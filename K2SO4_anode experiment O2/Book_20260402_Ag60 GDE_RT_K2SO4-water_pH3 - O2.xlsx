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6/20260402_60Ag_RT_K2SO4-water_H2SO4anolyte/"/>
    </mc:Choice>
  </mc:AlternateContent>
  <xr:revisionPtr revIDLastSave="63" documentId="14_{EEE6E7B6-06D0-403C-AF41-5E047245F00F}" xr6:coauthVersionLast="47" xr6:coauthVersionMax="47" xr10:uidLastSave="{D381EAAC-F0D4-4B40-940A-9B5476B5F4B2}"/>
  <bookViews>
    <workbookView xWindow="11424" yWindow="0" windowWidth="11712" windowHeight="12336" xr2:uid="{15374DF8-AA4F-49FF-8BB1-7BFD50C5D9E4}"/>
  </bookViews>
  <sheets>
    <sheet name="Sheet1" sheetId="1" r:id="rId1"/>
    <sheet name="Flow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1" l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" i="1"/>
  <c r="C257" i="2" l="1"/>
  <c r="D257" i="2" s="1"/>
  <c r="E257" i="2" s="1"/>
  <c r="C258" i="1" s="1"/>
  <c r="C258" i="2"/>
  <c r="D258" i="2" s="1"/>
  <c r="E258" i="2" s="1"/>
  <c r="C259" i="1" s="1"/>
  <c r="C259" i="2"/>
  <c r="D259" i="2" s="1"/>
  <c r="E259" i="2" s="1"/>
  <c r="C260" i="1" s="1"/>
  <c r="C260" i="2"/>
  <c r="D260" i="2" s="1"/>
  <c r="E260" i="2" s="1"/>
  <c r="C261" i="1" s="1"/>
  <c r="C261" i="2"/>
  <c r="D261" i="2" s="1"/>
  <c r="E261" i="2" s="1"/>
  <c r="C262" i="1" s="1"/>
  <c r="C262" i="2"/>
  <c r="D262" i="2" s="1"/>
  <c r="E262" i="2" s="1"/>
  <c r="C263" i="2"/>
  <c r="D263" i="2" s="1"/>
  <c r="E263" i="2" s="1"/>
  <c r="C264" i="1" s="1"/>
  <c r="C264" i="2"/>
  <c r="D264" i="2" s="1"/>
  <c r="E264" i="2" s="1"/>
  <c r="C265" i="1" s="1"/>
  <c r="C265" i="2"/>
  <c r="D265" i="2" s="1"/>
  <c r="E265" i="2" s="1"/>
  <c r="C266" i="1" s="1"/>
  <c r="C266" i="2"/>
  <c r="D266" i="2" s="1"/>
  <c r="E266" i="2" s="1"/>
  <c r="C267" i="1" s="1"/>
  <c r="C267" i="2"/>
  <c r="D267" i="2" s="1"/>
  <c r="E267" i="2" s="1"/>
  <c r="C268" i="1" s="1"/>
  <c r="C268" i="2"/>
  <c r="D268" i="2" s="1"/>
  <c r="E268" i="2" s="1"/>
  <c r="C269" i="1" s="1"/>
  <c r="C269" i="2"/>
  <c r="D269" i="2" s="1"/>
  <c r="E269" i="2" s="1"/>
  <c r="C270" i="1" s="1"/>
  <c r="C270" i="2"/>
  <c r="D270" i="2" s="1"/>
  <c r="E270" i="2" s="1"/>
  <c r="C271" i="1" s="1"/>
  <c r="C271" i="2"/>
  <c r="D271" i="2" s="1"/>
  <c r="E271" i="2" s="1"/>
  <c r="C272" i="1" s="1"/>
  <c r="C272" i="2"/>
  <c r="D272" i="2" s="1"/>
  <c r="E272" i="2" s="1"/>
  <c r="C273" i="1" s="1"/>
  <c r="C273" i="2"/>
  <c r="D273" i="2" s="1"/>
  <c r="E273" i="2" s="1"/>
  <c r="C274" i="2"/>
  <c r="D274" i="2" s="1"/>
  <c r="E274" i="2" s="1"/>
  <c r="C275" i="1" s="1"/>
  <c r="C275" i="2"/>
  <c r="D275" i="2" s="1"/>
  <c r="E275" i="2" s="1"/>
  <c r="C276" i="1" s="1"/>
  <c r="C276" i="2"/>
  <c r="D276" i="2" s="1"/>
  <c r="E276" i="2" s="1"/>
  <c r="C277" i="1" s="1"/>
  <c r="C277" i="2"/>
  <c r="D277" i="2" s="1"/>
  <c r="E277" i="2" s="1"/>
  <c r="C278" i="2"/>
  <c r="D278" i="2" s="1"/>
  <c r="E278" i="2" s="1"/>
  <c r="C279" i="1" s="1"/>
  <c r="C279" i="2"/>
  <c r="D279" i="2" s="1"/>
  <c r="E279" i="2" s="1"/>
  <c r="C280" i="1" s="1"/>
  <c r="C280" i="2"/>
  <c r="D280" i="2" s="1"/>
  <c r="E280" i="2" s="1"/>
  <c r="C281" i="1" s="1"/>
  <c r="C281" i="2"/>
  <c r="D281" i="2" s="1"/>
  <c r="E281" i="2" s="1"/>
  <c r="C282" i="1" s="1"/>
  <c r="C282" i="2"/>
  <c r="D282" i="2" s="1"/>
  <c r="E282" i="2" s="1"/>
  <c r="C283" i="1" s="1"/>
  <c r="C283" i="2"/>
  <c r="D283" i="2" s="1"/>
  <c r="E283" i="2" s="1"/>
  <c r="C284" i="1" s="1"/>
  <c r="C284" i="2"/>
  <c r="D284" i="2" s="1"/>
  <c r="E284" i="2" s="1"/>
  <c r="C285" i="1" s="1"/>
  <c r="C285" i="2"/>
  <c r="D285" i="2" s="1"/>
  <c r="E285" i="2" s="1"/>
  <c r="C286" i="1" s="1"/>
  <c r="C286" i="2"/>
  <c r="D286" i="2" s="1"/>
  <c r="E286" i="2" s="1"/>
  <c r="C287" i="2"/>
  <c r="D287" i="2" s="1"/>
  <c r="E287" i="2" s="1"/>
  <c r="C288" i="1" s="1"/>
  <c r="C288" i="2"/>
  <c r="D288" i="2" s="1"/>
  <c r="E288" i="2" s="1"/>
  <c r="C289" i="1" s="1"/>
  <c r="C289" i="2"/>
  <c r="D289" i="2" s="1"/>
  <c r="E289" i="2" s="1"/>
  <c r="C290" i="1" s="1"/>
  <c r="C290" i="2"/>
  <c r="D290" i="2" s="1"/>
  <c r="E290" i="2" s="1"/>
  <c r="C291" i="1" s="1"/>
  <c r="C291" i="2"/>
  <c r="D291" i="2" s="1"/>
  <c r="E291" i="2" s="1"/>
  <c r="C292" i="1" s="1"/>
  <c r="C292" i="2"/>
  <c r="D292" i="2" s="1"/>
  <c r="E292" i="2" s="1"/>
  <c r="C293" i="1" s="1"/>
  <c r="C293" i="2"/>
  <c r="D293" i="2" s="1"/>
  <c r="E293" i="2" s="1"/>
  <c r="C294" i="1" s="1"/>
  <c r="C294" i="2"/>
  <c r="D294" i="2" s="1"/>
  <c r="E294" i="2" s="1"/>
  <c r="C295" i="2"/>
  <c r="D295" i="2" s="1"/>
  <c r="E295" i="2" s="1"/>
  <c r="C296" i="1" s="1"/>
  <c r="C296" i="2"/>
  <c r="D296" i="2" s="1"/>
  <c r="E296" i="2" s="1"/>
  <c r="C297" i="1" s="1"/>
  <c r="C297" i="2"/>
  <c r="D297" i="2" s="1"/>
  <c r="E297" i="2" s="1"/>
  <c r="C298" i="1" s="1"/>
  <c r="C298" i="2"/>
  <c r="D298" i="2" s="1"/>
  <c r="E298" i="2" s="1"/>
  <c r="C299" i="1" s="1"/>
  <c r="C299" i="2"/>
  <c r="D299" i="2" s="1"/>
  <c r="E299" i="2" s="1"/>
  <c r="C300" i="2"/>
  <c r="D300" i="2" s="1"/>
  <c r="E300" i="2" s="1"/>
  <c r="C301" i="1" s="1"/>
  <c r="C301" i="2"/>
  <c r="D301" i="2" s="1"/>
  <c r="E301" i="2" s="1"/>
  <c r="C302" i="1" s="1"/>
  <c r="C302" i="2"/>
  <c r="D302" i="2" s="1"/>
  <c r="E302" i="2" s="1"/>
  <c r="C303" i="1" s="1"/>
  <c r="C303" i="2"/>
  <c r="D303" i="2" s="1"/>
  <c r="E303" i="2" s="1"/>
  <c r="C304" i="1" s="1"/>
  <c r="C304" i="2"/>
  <c r="D304" i="2" s="1"/>
  <c r="E304" i="2" s="1"/>
  <c r="C305" i="1" s="1"/>
  <c r="C305" i="2"/>
  <c r="D305" i="2" s="1"/>
  <c r="E305" i="2" s="1"/>
  <c r="C306" i="1" s="1"/>
  <c r="C306" i="2"/>
  <c r="D306" i="2" s="1"/>
  <c r="E306" i="2" s="1"/>
  <c r="C307" i="1" s="1"/>
  <c r="C307" i="2"/>
  <c r="D307" i="2" s="1"/>
  <c r="E307" i="2" s="1"/>
  <c r="C308" i="1" s="1"/>
  <c r="C308" i="2"/>
  <c r="D308" i="2" s="1"/>
  <c r="E308" i="2" s="1"/>
  <c r="C309" i="1" s="1"/>
  <c r="C309" i="2"/>
  <c r="D309" i="2" s="1"/>
  <c r="E309" i="2" s="1"/>
  <c r="C310" i="1" s="1"/>
  <c r="C310" i="2"/>
  <c r="D310" i="2" s="1"/>
  <c r="E310" i="2" s="1"/>
  <c r="C311" i="1" s="1"/>
  <c r="C311" i="2"/>
  <c r="D311" i="2" s="1"/>
  <c r="E311" i="2" s="1"/>
  <c r="C312" i="1" s="1"/>
  <c r="C312" i="2"/>
  <c r="D312" i="2" s="1"/>
  <c r="E312" i="2" s="1"/>
  <c r="C313" i="1" s="1"/>
  <c r="C313" i="2"/>
  <c r="D313" i="2" s="1"/>
  <c r="E313" i="2" s="1"/>
  <c r="C314" i="1" s="1"/>
  <c r="C314" i="2"/>
  <c r="D314" i="2" s="1"/>
  <c r="E314" i="2" s="1"/>
  <c r="C315" i="1" s="1"/>
  <c r="C315" i="2"/>
  <c r="D315" i="2" s="1"/>
  <c r="E315" i="2" s="1"/>
  <c r="C316" i="1" s="1"/>
  <c r="C316" i="2"/>
  <c r="D316" i="2" s="1"/>
  <c r="E316" i="2" s="1"/>
  <c r="C317" i="1" s="1"/>
  <c r="C317" i="2"/>
  <c r="D317" i="2" s="1"/>
  <c r="E317" i="2" s="1"/>
  <c r="C318" i="1" s="1"/>
  <c r="C318" i="2"/>
  <c r="D318" i="2"/>
  <c r="E318" i="2" s="1"/>
  <c r="C319" i="1" s="1"/>
  <c r="C319" i="2"/>
  <c r="D319" i="2" s="1"/>
  <c r="E319" i="2" s="1"/>
  <c r="C320" i="1" s="1"/>
  <c r="C320" i="2"/>
  <c r="D320" i="2" s="1"/>
  <c r="E320" i="2" s="1"/>
  <c r="C321" i="1" s="1"/>
  <c r="C263" i="1"/>
  <c r="C274" i="1"/>
  <c r="C278" i="1"/>
  <c r="C287" i="1"/>
  <c r="C295" i="1"/>
  <c r="C300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C135" i="2"/>
  <c r="D135" i="2" s="1"/>
  <c r="E135" i="2" s="1"/>
  <c r="C136" i="1" s="1"/>
  <c r="C136" i="2"/>
  <c r="D136" i="2" s="1"/>
  <c r="E136" i="2" s="1"/>
  <c r="C137" i="1" s="1"/>
  <c r="C137" i="2"/>
  <c r="D137" i="2" s="1"/>
  <c r="E137" i="2" s="1"/>
  <c r="C138" i="1" s="1"/>
  <c r="C138" i="2"/>
  <c r="D138" i="2" s="1"/>
  <c r="E138" i="2" s="1"/>
  <c r="C139" i="1" s="1"/>
  <c r="C139" i="2"/>
  <c r="D139" i="2" s="1"/>
  <c r="E139" i="2" s="1"/>
  <c r="C140" i="1" s="1"/>
  <c r="C140" i="2"/>
  <c r="D140" i="2" s="1"/>
  <c r="E140" i="2" s="1"/>
  <c r="C141" i="1" s="1"/>
  <c r="C141" i="2"/>
  <c r="D141" i="2" s="1"/>
  <c r="E141" i="2" s="1"/>
  <c r="C142" i="1" s="1"/>
  <c r="C142" i="2"/>
  <c r="D142" i="2" s="1"/>
  <c r="E142" i="2" s="1"/>
  <c r="C143" i="1" s="1"/>
  <c r="C143" i="2"/>
  <c r="D143" i="2" s="1"/>
  <c r="E143" i="2" s="1"/>
  <c r="C144" i="1" s="1"/>
  <c r="C144" i="2"/>
  <c r="D144" i="2" s="1"/>
  <c r="E144" i="2" s="1"/>
  <c r="C145" i="1" s="1"/>
  <c r="C145" i="2"/>
  <c r="D145" i="2" s="1"/>
  <c r="E145" i="2" s="1"/>
  <c r="C146" i="1" s="1"/>
  <c r="C146" i="2"/>
  <c r="D146" i="2" s="1"/>
  <c r="E146" i="2" s="1"/>
  <c r="C147" i="1" s="1"/>
  <c r="C147" i="2"/>
  <c r="D147" i="2" s="1"/>
  <c r="E147" i="2" s="1"/>
  <c r="C148" i="1" s="1"/>
  <c r="C148" i="2"/>
  <c r="D148" i="2" s="1"/>
  <c r="E148" i="2" s="1"/>
  <c r="C149" i="1" s="1"/>
  <c r="C149" i="2"/>
  <c r="D149" i="2" s="1"/>
  <c r="E149" i="2" s="1"/>
  <c r="C150" i="1" s="1"/>
  <c r="C150" i="2"/>
  <c r="D150" i="2" s="1"/>
  <c r="E150" i="2" s="1"/>
  <c r="C151" i="1" s="1"/>
  <c r="C151" i="2"/>
  <c r="D151" i="2" s="1"/>
  <c r="E151" i="2" s="1"/>
  <c r="C152" i="1" s="1"/>
  <c r="C152" i="2"/>
  <c r="D152" i="2" s="1"/>
  <c r="E152" i="2" s="1"/>
  <c r="C153" i="1" s="1"/>
  <c r="C153" i="2"/>
  <c r="D153" i="2" s="1"/>
  <c r="E153" i="2" s="1"/>
  <c r="C154" i="1" s="1"/>
  <c r="C154" i="2"/>
  <c r="D154" i="2" s="1"/>
  <c r="E154" i="2" s="1"/>
  <c r="C155" i="1" s="1"/>
  <c r="C155" i="2"/>
  <c r="D155" i="2" s="1"/>
  <c r="E155" i="2" s="1"/>
  <c r="C156" i="1" s="1"/>
  <c r="C156" i="2"/>
  <c r="D156" i="2" s="1"/>
  <c r="E156" i="2" s="1"/>
  <c r="C157" i="1" s="1"/>
  <c r="C157" i="2"/>
  <c r="D157" i="2" s="1"/>
  <c r="E157" i="2" s="1"/>
  <c r="C158" i="1" s="1"/>
  <c r="C158" i="2"/>
  <c r="D158" i="2" s="1"/>
  <c r="E158" i="2" s="1"/>
  <c r="C159" i="1" s="1"/>
  <c r="C159" i="2"/>
  <c r="D159" i="2" s="1"/>
  <c r="E159" i="2" s="1"/>
  <c r="C160" i="1" s="1"/>
  <c r="C160" i="2"/>
  <c r="D160" i="2" s="1"/>
  <c r="E160" i="2" s="1"/>
  <c r="C161" i="1" s="1"/>
  <c r="C161" i="2"/>
  <c r="D161" i="2" s="1"/>
  <c r="E161" i="2" s="1"/>
  <c r="C162" i="1" s="1"/>
  <c r="C162" i="2"/>
  <c r="D162" i="2" s="1"/>
  <c r="E162" i="2" s="1"/>
  <c r="C163" i="1" s="1"/>
  <c r="C163" i="2"/>
  <c r="D163" i="2" s="1"/>
  <c r="E163" i="2" s="1"/>
  <c r="C164" i="1" s="1"/>
  <c r="C164" i="2"/>
  <c r="D164" i="2" s="1"/>
  <c r="E164" i="2" s="1"/>
  <c r="C165" i="1" s="1"/>
  <c r="C165" i="2"/>
  <c r="D165" i="2" s="1"/>
  <c r="E165" i="2" s="1"/>
  <c r="C166" i="1" s="1"/>
  <c r="C166" i="2"/>
  <c r="D166" i="2" s="1"/>
  <c r="E166" i="2" s="1"/>
  <c r="C167" i="1" s="1"/>
  <c r="C167" i="2"/>
  <c r="D167" i="2" s="1"/>
  <c r="E167" i="2" s="1"/>
  <c r="C168" i="1" s="1"/>
  <c r="C168" i="2"/>
  <c r="D168" i="2" s="1"/>
  <c r="E168" i="2" s="1"/>
  <c r="C169" i="1" s="1"/>
  <c r="C169" i="2"/>
  <c r="D169" i="2" s="1"/>
  <c r="E169" i="2" s="1"/>
  <c r="C170" i="1" s="1"/>
  <c r="C170" i="2"/>
  <c r="D170" i="2" s="1"/>
  <c r="E170" i="2" s="1"/>
  <c r="C171" i="1" s="1"/>
  <c r="C171" i="2"/>
  <c r="D171" i="2" s="1"/>
  <c r="E171" i="2" s="1"/>
  <c r="C172" i="1" s="1"/>
  <c r="C172" i="2"/>
  <c r="D172" i="2" s="1"/>
  <c r="E172" i="2" s="1"/>
  <c r="C173" i="1" s="1"/>
  <c r="C173" i="2"/>
  <c r="D173" i="2" s="1"/>
  <c r="E173" i="2" s="1"/>
  <c r="C174" i="1" s="1"/>
  <c r="C174" i="2"/>
  <c r="D174" i="2" s="1"/>
  <c r="E174" i="2" s="1"/>
  <c r="C175" i="1" s="1"/>
  <c r="C175" i="2"/>
  <c r="D175" i="2" s="1"/>
  <c r="E175" i="2" s="1"/>
  <c r="C176" i="1" s="1"/>
  <c r="C176" i="2"/>
  <c r="D176" i="2" s="1"/>
  <c r="E176" i="2" s="1"/>
  <c r="C177" i="1" s="1"/>
  <c r="C177" i="2"/>
  <c r="D177" i="2" s="1"/>
  <c r="E177" i="2" s="1"/>
  <c r="C178" i="1" s="1"/>
  <c r="C178" i="2"/>
  <c r="D178" i="2" s="1"/>
  <c r="E178" i="2" s="1"/>
  <c r="C179" i="1" s="1"/>
  <c r="C179" i="2"/>
  <c r="D179" i="2" s="1"/>
  <c r="E179" i="2" s="1"/>
  <c r="C180" i="1" s="1"/>
  <c r="C180" i="2"/>
  <c r="D180" i="2" s="1"/>
  <c r="E180" i="2" s="1"/>
  <c r="C181" i="1" s="1"/>
  <c r="C181" i="2"/>
  <c r="D181" i="2" s="1"/>
  <c r="E181" i="2" s="1"/>
  <c r="C182" i="1" s="1"/>
  <c r="C182" i="2"/>
  <c r="D182" i="2" s="1"/>
  <c r="E182" i="2" s="1"/>
  <c r="C183" i="1" s="1"/>
  <c r="C183" i="2"/>
  <c r="D183" i="2" s="1"/>
  <c r="E183" i="2" s="1"/>
  <c r="C184" i="1" s="1"/>
  <c r="C184" i="2"/>
  <c r="D184" i="2" s="1"/>
  <c r="E184" i="2" s="1"/>
  <c r="C185" i="1" s="1"/>
  <c r="C185" i="2"/>
  <c r="D185" i="2" s="1"/>
  <c r="E185" i="2" s="1"/>
  <c r="C186" i="1" s="1"/>
  <c r="C186" i="2"/>
  <c r="D186" i="2" s="1"/>
  <c r="E186" i="2" s="1"/>
  <c r="C187" i="1" s="1"/>
  <c r="C187" i="2"/>
  <c r="D187" i="2" s="1"/>
  <c r="E187" i="2" s="1"/>
  <c r="C188" i="1" s="1"/>
  <c r="C188" i="2"/>
  <c r="D188" i="2" s="1"/>
  <c r="E188" i="2" s="1"/>
  <c r="C189" i="1" s="1"/>
  <c r="C189" i="2"/>
  <c r="D189" i="2" s="1"/>
  <c r="E189" i="2" s="1"/>
  <c r="C190" i="1" s="1"/>
  <c r="C190" i="2"/>
  <c r="D190" i="2" s="1"/>
  <c r="E190" i="2" s="1"/>
  <c r="C191" i="1" s="1"/>
  <c r="C191" i="2"/>
  <c r="D191" i="2" s="1"/>
  <c r="E191" i="2" s="1"/>
  <c r="C192" i="1" s="1"/>
  <c r="C192" i="2"/>
  <c r="D192" i="2" s="1"/>
  <c r="E192" i="2" s="1"/>
  <c r="C193" i="1" s="1"/>
  <c r="C193" i="2"/>
  <c r="D193" i="2" s="1"/>
  <c r="E193" i="2" s="1"/>
  <c r="C194" i="1" s="1"/>
  <c r="C194" i="2"/>
  <c r="D194" i="2" s="1"/>
  <c r="E194" i="2" s="1"/>
  <c r="C195" i="1" s="1"/>
  <c r="C195" i="2"/>
  <c r="D195" i="2" s="1"/>
  <c r="E195" i="2" s="1"/>
  <c r="C196" i="1" s="1"/>
  <c r="C196" i="2"/>
  <c r="D196" i="2" s="1"/>
  <c r="E196" i="2" s="1"/>
  <c r="C197" i="1" s="1"/>
  <c r="C197" i="2"/>
  <c r="D197" i="2" s="1"/>
  <c r="E197" i="2" s="1"/>
  <c r="C198" i="1" s="1"/>
  <c r="C198" i="2"/>
  <c r="D198" i="2" s="1"/>
  <c r="E198" i="2" s="1"/>
  <c r="C199" i="1" s="1"/>
  <c r="C199" i="2"/>
  <c r="D199" i="2" s="1"/>
  <c r="E199" i="2" s="1"/>
  <c r="C200" i="1" s="1"/>
  <c r="C200" i="2"/>
  <c r="D200" i="2" s="1"/>
  <c r="E200" i="2" s="1"/>
  <c r="C201" i="1" s="1"/>
  <c r="C201" i="2"/>
  <c r="D201" i="2" s="1"/>
  <c r="E201" i="2" s="1"/>
  <c r="C202" i="1" s="1"/>
  <c r="C202" i="2"/>
  <c r="D202" i="2" s="1"/>
  <c r="E202" i="2" s="1"/>
  <c r="C203" i="1" s="1"/>
  <c r="C203" i="2"/>
  <c r="D203" i="2" s="1"/>
  <c r="E203" i="2" s="1"/>
  <c r="C204" i="1" s="1"/>
  <c r="C204" i="2"/>
  <c r="D204" i="2" s="1"/>
  <c r="E204" i="2" s="1"/>
  <c r="C205" i="1" s="1"/>
  <c r="C205" i="2"/>
  <c r="D205" i="2" s="1"/>
  <c r="E205" i="2" s="1"/>
  <c r="C206" i="1" s="1"/>
  <c r="C206" i="2"/>
  <c r="D206" i="2" s="1"/>
  <c r="E206" i="2" s="1"/>
  <c r="C207" i="1" s="1"/>
  <c r="C207" i="2"/>
  <c r="D207" i="2" s="1"/>
  <c r="E207" i="2" s="1"/>
  <c r="C208" i="1" s="1"/>
  <c r="C208" i="2"/>
  <c r="D208" i="2" s="1"/>
  <c r="E208" i="2" s="1"/>
  <c r="C209" i="1" s="1"/>
  <c r="C209" i="2"/>
  <c r="D209" i="2" s="1"/>
  <c r="E209" i="2" s="1"/>
  <c r="C210" i="1" s="1"/>
  <c r="C210" i="2"/>
  <c r="D210" i="2" s="1"/>
  <c r="E210" i="2" s="1"/>
  <c r="C211" i="1" s="1"/>
  <c r="C211" i="2"/>
  <c r="D211" i="2" s="1"/>
  <c r="E211" i="2" s="1"/>
  <c r="C212" i="1" s="1"/>
  <c r="C212" i="2"/>
  <c r="D212" i="2" s="1"/>
  <c r="E212" i="2" s="1"/>
  <c r="C213" i="1" s="1"/>
  <c r="C213" i="2"/>
  <c r="D213" i="2" s="1"/>
  <c r="E213" i="2" s="1"/>
  <c r="C214" i="1" s="1"/>
  <c r="C214" i="2"/>
  <c r="D214" i="2" s="1"/>
  <c r="E214" i="2" s="1"/>
  <c r="C215" i="1" s="1"/>
  <c r="C215" i="2"/>
  <c r="D215" i="2" s="1"/>
  <c r="E215" i="2" s="1"/>
  <c r="C216" i="1" s="1"/>
  <c r="C216" i="2"/>
  <c r="D216" i="2" s="1"/>
  <c r="E216" i="2" s="1"/>
  <c r="C217" i="1" s="1"/>
  <c r="C217" i="2"/>
  <c r="D217" i="2" s="1"/>
  <c r="E217" i="2" s="1"/>
  <c r="C218" i="1" s="1"/>
  <c r="C218" i="2"/>
  <c r="D218" i="2" s="1"/>
  <c r="E218" i="2" s="1"/>
  <c r="C219" i="1" s="1"/>
  <c r="C219" i="2"/>
  <c r="D219" i="2" s="1"/>
  <c r="E219" i="2" s="1"/>
  <c r="C220" i="1" s="1"/>
  <c r="C220" i="2"/>
  <c r="D220" i="2" s="1"/>
  <c r="E220" i="2" s="1"/>
  <c r="C221" i="1" s="1"/>
  <c r="C221" i="2"/>
  <c r="D221" i="2" s="1"/>
  <c r="E221" i="2" s="1"/>
  <c r="C222" i="1" s="1"/>
  <c r="C222" i="2"/>
  <c r="D222" i="2" s="1"/>
  <c r="E222" i="2" s="1"/>
  <c r="C223" i="1" s="1"/>
  <c r="C223" i="2"/>
  <c r="D223" i="2" s="1"/>
  <c r="E223" i="2" s="1"/>
  <c r="C224" i="1" s="1"/>
  <c r="C224" i="2"/>
  <c r="D224" i="2" s="1"/>
  <c r="E224" i="2" s="1"/>
  <c r="C225" i="1" s="1"/>
  <c r="C225" i="2"/>
  <c r="D225" i="2" s="1"/>
  <c r="E225" i="2" s="1"/>
  <c r="C226" i="1" s="1"/>
  <c r="C226" i="2"/>
  <c r="D226" i="2" s="1"/>
  <c r="E226" i="2" s="1"/>
  <c r="C227" i="1" s="1"/>
  <c r="C227" i="2"/>
  <c r="D227" i="2" s="1"/>
  <c r="E227" i="2" s="1"/>
  <c r="C228" i="1" s="1"/>
  <c r="C228" i="2"/>
  <c r="D228" i="2" s="1"/>
  <c r="E228" i="2" s="1"/>
  <c r="C229" i="1" s="1"/>
  <c r="C229" i="2"/>
  <c r="D229" i="2" s="1"/>
  <c r="E229" i="2" s="1"/>
  <c r="C230" i="1" s="1"/>
  <c r="C230" i="2"/>
  <c r="D230" i="2" s="1"/>
  <c r="E230" i="2" s="1"/>
  <c r="C231" i="1" s="1"/>
  <c r="C231" i="2"/>
  <c r="D231" i="2" s="1"/>
  <c r="E231" i="2" s="1"/>
  <c r="C232" i="1" s="1"/>
  <c r="C232" i="2"/>
  <c r="D232" i="2" s="1"/>
  <c r="E232" i="2" s="1"/>
  <c r="C233" i="1" s="1"/>
  <c r="C233" i="2"/>
  <c r="D233" i="2" s="1"/>
  <c r="E233" i="2" s="1"/>
  <c r="C234" i="1" s="1"/>
  <c r="C234" i="2"/>
  <c r="D234" i="2" s="1"/>
  <c r="E234" i="2" s="1"/>
  <c r="C235" i="1" s="1"/>
  <c r="C235" i="2"/>
  <c r="D235" i="2" s="1"/>
  <c r="E235" i="2" s="1"/>
  <c r="C236" i="1" s="1"/>
  <c r="C236" i="2"/>
  <c r="D236" i="2" s="1"/>
  <c r="E236" i="2" s="1"/>
  <c r="C237" i="1" s="1"/>
  <c r="C237" i="2"/>
  <c r="D237" i="2" s="1"/>
  <c r="E237" i="2" s="1"/>
  <c r="C238" i="1" s="1"/>
  <c r="C238" i="2"/>
  <c r="D238" i="2" s="1"/>
  <c r="E238" i="2" s="1"/>
  <c r="C239" i="1" s="1"/>
  <c r="C239" i="2"/>
  <c r="D239" i="2" s="1"/>
  <c r="E239" i="2" s="1"/>
  <c r="C240" i="1" s="1"/>
  <c r="C240" i="2"/>
  <c r="D240" i="2" s="1"/>
  <c r="E240" i="2" s="1"/>
  <c r="C241" i="1" s="1"/>
  <c r="C241" i="2"/>
  <c r="D241" i="2" s="1"/>
  <c r="E241" i="2" s="1"/>
  <c r="C242" i="1" s="1"/>
  <c r="C242" i="2"/>
  <c r="D242" i="2" s="1"/>
  <c r="E242" i="2" s="1"/>
  <c r="C243" i="1" s="1"/>
  <c r="C243" i="2"/>
  <c r="D243" i="2" s="1"/>
  <c r="E243" i="2" s="1"/>
  <c r="C244" i="1" s="1"/>
  <c r="C244" i="2"/>
  <c r="D244" i="2" s="1"/>
  <c r="E244" i="2" s="1"/>
  <c r="C245" i="1" s="1"/>
  <c r="C245" i="2"/>
  <c r="D245" i="2" s="1"/>
  <c r="E245" i="2" s="1"/>
  <c r="C246" i="1" s="1"/>
  <c r="C246" i="2"/>
  <c r="D246" i="2" s="1"/>
  <c r="E246" i="2" s="1"/>
  <c r="C247" i="1" s="1"/>
  <c r="C247" i="2"/>
  <c r="D247" i="2" s="1"/>
  <c r="E247" i="2" s="1"/>
  <c r="C248" i="1" s="1"/>
  <c r="C248" i="2"/>
  <c r="D248" i="2" s="1"/>
  <c r="E248" i="2" s="1"/>
  <c r="C249" i="1" s="1"/>
  <c r="C249" i="2"/>
  <c r="D249" i="2" s="1"/>
  <c r="E249" i="2" s="1"/>
  <c r="C250" i="1" s="1"/>
  <c r="C250" i="2"/>
  <c r="D250" i="2" s="1"/>
  <c r="E250" i="2" s="1"/>
  <c r="C251" i="1" s="1"/>
  <c r="C251" i="2"/>
  <c r="D251" i="2" s="1"/>
  <c r="E251" i="2" s="1"/>
  <c r="C252" i="1" s="1"/>
  <c r="C252" i="2"/>
  <c r="D252" i="2" s="1"/>
  <c r="E252" i="2" s="1"/>
  <c r="C253" i="1" s="1"/>
  <c r="C253" i="2"/>
  <c r="D253" i="2" s="1"/>
  <c r="E253" i="2" s="1"/>
  <c r="C254" i="1" s="1"/>
  <c r="C254" i="2"/>
  <c r="D254" i="2" s="1"/>
  <c r="E254" i="2" s="1"/>
  <c r="C255" i="1" s="1"/>
  <c r="C255" i="2"/>
  <c r="D255" i="2" s="1"/>
  <c r="E255" i="2" s="1"/>
  <c r="C256" i="1" s="1"/>
  <c r="C256" i="2"/>
  <c r="D256" i="2" s="1"/>
  <c r="E256" i="2" s="1"/>
  <c r="C257" i="1" s="1"/>
  <c r="S3" i="1"/>
  <c r="C1" i="2"/>
  <c r="D1" i="2" s="1"/>
  <c r="E1" i="2" s="1"/>
  <c r="S2" i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3" i="1"/>
  <c r="R3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3" i="1"/>
  <c r="C39" i="2" l="1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D54" i="2" s="1"/>
  <c r="C55" i="2"/>
  <c r="D55" i="2" s="1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E68" i="2" s="1"/>
  <c r="C69" i="1" s="1"/>
  <c r="C69" i="2"/>
  <c r="D69" i="2" s="1"/>
  <c r="C70" i="2"/>
  <c r="D70" i="2" s="1"/>
  <c r="C71" i="2"/>
  <c r="D71" i="2" s="1"/>
  <c r="C72" i="2"/>
  <c r="D72" i="2" s="1"/>
  <c r="C73" i="2"/>
  <c r="D73" i="2" s="1"/>
  <c r="C74" i="2"/>
  <c r="D74" i="2" s="1"/>
  <c r="C75" i="2"/>
  <c r="D75" i="2"/>
  <c r="C76" i="2"/>
  <c r="D76" i="2" s="1"/>
  <c r="C77" i="2"/>
  <c r="D77" i="2" s="1"/>
  <c r="C78" i="2"/>
  <c r="D78" i="2" s="1"/>
  <c r="C79" i="2"/>
  <c r="D79" i="2" s="1"/>
  <c r="C80" i="2"/>
  <c r="D80" i="2" s="1"/>
  <c r="C81" i="2"/>
  <c r="D81" i="2" s="1"/>
  <c r="C82" i="2"/>
  <c r="D82" i="2" s="1"/>
  <c r="E82" i="2" s="1"/>
  <c r="C83" i="1" s="1"/>
  <c r="C83" i="2"/>
  <c r="D83" i="2"/>
  <c r="C84" i="2"/>
  <c r="D84" i="2" s="1"/>
  <c r="C85" i="2"/>
  <c r="D85" i="2" s="1"/>
  <c r="C86" i="2"/>
  <c r="D86" i="2" s="1"/>
  <c r="C87" i="2"/>
  <c r="D87" i="2" s="1"/>
  <c r="C88" i="2"/>
  <c r="D88" i="2" s="1"/>
  <c r="C89" i="2"/>
  <c r="D89" i="2" s="1"/>
  <c r="C90" i="2"/>
  <c r="D90" i="2" s="1"/>
  <c r="C91" i="2"/>
  <c r="D91" i="2" s="1"/>
  <c r="C92" i="2"/>
  <c r="D92" i="2" s="1"/>
  <c r="C93" i="2"/>
  <c r="D93" i="2" s="1"/>
  <c r="C94" i="2"/>
  <c r="D94" i="2" s="1"/>
  <c r="C95" i="2"/>
  <c r="D95" i="2" s="1"/>
  <c r="C96" i="2"/>
  <c r="D96" i="2" s="1"/>
  <c r="C97" i="2"/>
  <c r="D97" i="2" s="1"/>
  <c r="E97" i="2" s="1"/>
  <c r="C98" i="1" s="1"/>
  <c r="C98" i="2"/>
  <c r="D98" i="2" s="1"/>
  <c r="C99" i="2"/>
  <c r="D99" i="2" s="1"/>
  <c r="C100" i="2"/>
  <c r="D100" i="2" s="1"/>
  <c r="C101" i="2"/>
  <c r="D101" i="2" s="1"/>
  <c r="C102" i="2"/>
  <c r="D102" i="2" s="1"/>
  <c r="C103" i="2"/>
  <c r="D103" i="2" s="1"/>
  <c r="C104" i="2"/>
  <c r="D104" i="2" s="1"/>
  <c r="C105" i="2"/>
  <c r="D105" i="2" s="1"/>
  <c r="C106" i="2"/>
  <c r="D106" i="2" s="1"/>
  <c r="C107" i="2"/>
  <c r="D107" i="2" s="1"/>
  <c r="C108" i="2"/>
  <c r="D108" i="2" s="1"/>
  <c r="C109" i="2"/>
  <c r="D109" i="2" s="1"/>
  <c r="C110" i="2"/>
  <c r="D110" i="2" s="1"/>
  <c r="E110" i="2" s="1"/>
  <c r="C111" i="1" s="1"/>
  <c r="C111" i="2"/>
  <c r="D111" i="2" s="1"/>
  <c r="C112" i="2"/>
  <c r="D112" i="2" s="1"/>
  <c r="C113" i="2"/>
  <c r="D113" i="2" s="1"/>
  <c r="C114" i="2"/>
  <c r="D114" i="2" s="1"/>
  <c r="C115" i="2"/>
  <c r="D115" i="2" s="1"/>
  <c r="C116" i="2"/>
  <c r="D116" i="2" s="1"/>
  <c r="C117" i="2"/>
  <c r="D117" i="2" s="1"/>
  <c r="C118" i="2"/>
  <c r="D118" i="2" s="1"/>
  <c r="C119" i="2"/>
  <c r="D119" i="2" s="1"/>
  <c r="C120" i="2"/>
  <c r="D120" i="2" s="1"/>
  <c r="C121" i="2"/>
  <c r="D121" i="2" s="1"/>
  <c r="C122" i="2"/>
  <c r="D122" i="2" s="1"/>
  <c r="C123" i="2"/>
  <c r="D123" i="2" s="1"/>
  <c r="C124" i="2"/>
  <c r="D124" i="2" s="1"/>
  <c r="C125" i="2"/>
  <c r="D125" i="2" s="1"/>
  <c r="C126" i="2"/>
  <c r="D126" i="2" s="1"/>
  <c r="C127" i="2"/>
  <c r="D127" i="2" s="1"/>
  <c r="C128" i="2"/>
  <c r="D128" i="2" s="1"/>
  <c r="C129" i="2"/>
  <c r="D129" i="2" s="1"/>
  <c r="C130" i="2"/>
  <c r="D130" i="2" s="1"/>
  <c r="C131" i="2"/>
  <c r="D131" i="2" s="1"/>
  <c r="C132" i="2"/>
  <c r="D132" i="2" s="1"/>
  <c r="C133" i="2"/>
  <c r="D133" i="2" s="1"/>
  <c r="C134" i="2"/>
  <c r="D134" i="2" s="1"/>
  <c r="C37" i="2"/>
  <c r="D37" i="2" s="1"/>
  <c r="C33" i="2"/>
  <c r="D33" i="2" s="1"/>
  <c r="C26" i="2"/>
  <c r="D26" i="2" s="1"/>
  <c r="C25" i="2"/>
  <c r="D25" i="2" s="1"/>
  <c r="C13" i="2"/>
  <c r="D13" i="2" s="1"/>
  <c r="C3" i="2"/>
  <c r="D3" i="2" s="1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4" i="2"/>
  <c r="D34" i="2" s="1"/>
  <c r="C35" i="2"/>
  <c r="D35" i="2" s="1"/>
  <c r="C36" i="2"/>
  <c r="D36" i="2" s="1"/>
  <c r="C38" i="2"/>
  <c r="D38" i="2" s="1"/>
  <c r="C2" i="2"/>
  <c r="D2" i="2" s="1"/>
  <c r="E2" i="2" s="1"/>
  <c r="E39" i="2" l="1"/>
  <c r="C40" i="1" s="1"/>
  <c r="E46" i="2"/>
  <c r="C47" i="1" s="1"/>
  <c r="E57" i="2"/>
  <c r="C58" i="1" s="1"/>
  <c r="E127" i="2"/>
  <c r="C128" i="1" s="1"/>
  <c r="E95" i="2"/>
  <c r="C96" i="1" s="1"/>
  <c r="E74" i="2"/>
  <c r="C75" i="1" s="1"/>
  <c r="E72" i="2"/>
  <c r="C73" i="1" s="1"/>
  <c r="E114" i="2"/>
  <c r="C115" i="1" s="1"/>
  <c r="E42" i="2"/>
  <c r="C43" i="1" s="1"/>
  <c r="E120" i="2"/>
  <c r="C121" i="1" s="1"/>
  <c r="E101" i="2"/>
  <c r="C102" i="1" s="1"/>
  <c r="E10" i="2"/>
  <c r="C11" i="1" s="1"/>
  <c r="E38" i="2"/>
  <c r="C39" i="1" s="1"/>
  <c r="E28" i="2"/>
  <c r="C29" i="1" s="1"/>
  <c r="E14" i="2"/>
  <c r="C15" i="1" s="1"/>
  <c r="E26" i="2"/>
  <c r="C27" i="1" s="1"/>
  <c r="E117" i="2"/>
  <c r="C118" i="1" s="1"/>
  <c r="E89" i="2"/>
  <c r="C90" i="1" s="1"/>
  <c r="E56" i="2"/>
  <c r="C57" i="1" s="1"/>
  <c r="E24" i="2"/>
  <c r="C25" i="1" s="1"/>
  <c r="E33" i="2"/>
  <c r="C34" i="1" s="1"/>
  <c r="E126" i="2"/>
  <c r="C127" i="1" s="1"/>
  <c r="E109" i="2"/>
  <c r="C110" i="1" s="1"/>
  <c r="E99" i="2"/>
  <c r="C100" i="1" s="1"/>
  <c r="E88" i="2"/>
  <c r="C89" i="1" s="1"/>
  <c r="E79" i="2"/>
  <c r="C80" i="1" s="1"/>
  <c r="E71" i="2"/>
  <c r="C72" i="1" s="1"/>
  <c r="E55" i="2"/>
  <c r="C56" i="1" s="1"/>
  <c r="E44" i="2"/>
  <c r="C45" i="1" s="1"/>
  <c r="E23" i="2"/>
  <c r="C24" i="1" s="1"/>
  <c r="E37" i="2"/>
  <c r="C38" i="1" s="1"/>
  <c r="E125" i="2"/>
  <c r="C126" i="1" s="1"/>
  <c r="E116" i="2"/>
  <c r="C117" i="1" s="1"/>
  <c r="E108" i="2"/>
  <c r="C109" i="1" s="1"/>
  <c r="E98" i="2"/>
  <c r="C99" i="1" s="1"/>
  <c r="E87" i="2"/>
  <c r="C88" i="1" s="1"/>
  <c r="E78" i="2"/>
  <c r="C79" i="1" s="1"/>
  <c r="E70" i="2"/>
  <c r="C71" i="1" s="1"/>
  <c r="E62" i="2"/>
  <c r="C63" i="1" s="1"/>
  <c r="E54" i="2"/>
  <c r="C55" i="1" s="1"/>
  <c r="E9" i="2"/>
  <c r="C10" i="1" s="1"/>
  <c r="E124" i="2"/>
  <c r="C125" i="1" s="1"/>
  <c r="E21" i="2"/>
  <c r="C22" i="1" s="1"/>
  <c r="E61" i="2"/>
  <c r="C62" i="1" s="1"/>
  <c r="E52" i="2"/>
  <c r="C53" i="1" s="1"/>
  <c r="E35" i="2"/>
  <c r="C36" i="1" s="1"/>
  <c r="E20" i="2"/>
  <c r="C21" i="1" s="1"/>
  <c r="E7" i="2"/>
  <c r="C8" i="1" s="1"/>
  <c r="E133" i="2"/>
  <c r="C134" i="1" s="1"/>
  <c r="E122" i="2"/>
  <c r="C123" i="1" s="1"/>
  <c r="E105" i="2"/>
  <c r="C106" i="1" s="1"/>
  <c r="E84" i="2"/>
  <c r="C85" i="1" s="1"/>
  <c r="E76" i="2"/>
  <c r="C77" i="1" s="1"/>
  <c r="E51" i="2"/>
  <c r="C52" i="1" s="1"/>
  <c r="E27" i="2"/>
  <c r="C28" i="1" s="1"/>
  <c r="E12" i="2"/>
  <c r="C13" i="1" s="1"/>
  <c r="E100" i="2"/>
  <c r="C101" i="1" s="1"/>
  <c r="E80" i="2"/>
  <c r="C81" i="1" s="1"/>
  <c r="E63" i="2"/>
  <c r="C64" i="1" s="1"/>
  <c r="E45" i="2"/>
  <c r="C46" i="1" s="1"/>
  <c r="E11" i="2"/>
  <c r="C12" i="1" s="1"/>
  <c r="E22" i="2"/>
  <c r="C23" i="1" s="1"/>
  <c r="E107" i="2"/>
  <c r="C108" i="1" s="1"/>
  <c r="E86" i="2"/>
  <c r="C87" i="1" s="1"/>
  <c r="E77" i="2"/>
  <c r="C78" i="1" s="1"/>
  <c r="E69" i="2"/>
  <c r="C70" i="1" s="1"/>
  <c r="E53" i="2"/>
  <c r="C54" i="1" s="1"/>
  <c r="E43" i="2"/>
  <c r="C44" i="1" s="1"/>
  <c r="E36" i="2"/>
  <c r="C37" i="1" s="1"/>
  <c r="E8" i="2"/>
  <c r="C9" i="1" s="1"/>
  <c r="E134" i="2"/>
  <c r="C135" i="1" s="1"/>
  <c r="E123" i="2"/>
  <c r="C124" i="1" s="1"/>
  <c r="E115" i="2"/>
  <c r="C116" i="1" s="1"/>
  <c r="E106" i="2"/>
  <c r="C107" i="1" s="1"/>
  <c r="E96" i="2"/>
  <c r="C97" i="1" s="1"/>
  <c r="E85" i="2"/>
  <c r="C86" i="1" s="1"/>
  <c r="E34" i="2"/>
  <c r="C35" i="1" s="1"/>
  <c r="E19" i="2"/>
  <c r="C20" i="1" s="1"/>
  <c r="E6" i="2"/>
  <c r="C7" i="1" s="1"/>
  <c r="E132" i="2"/>
  <c r="C133" i="1" s="1"/>
  <c r="E121" i="2"/>
  <c r="C122" i="1" s="1"/>
  <c r="E104" i="2"/>
  <c r="C105" i="1" s="1"/>
  <c r="E83" i="2"/>
  <c r="C84" i="1" s="1"/>
  <c r="E75" i="2"/>
  <c r="C76" i="1" s="1"/>
  <c r="E60" i="2"/>
  <c r="C61" i="1" s="1"/>
  <c r="E50" i="2"/>
  <c r="C51" i="1" s="1"/>
  <c r="E32" i="2"/>
  <c r="C33" i="1" s="1"/>
  <c r="E18" i="2"/>
  <c r="C19" i="1" s="1"/>
  <c r="E5" i="2"/>
  <c r="C6" i="1" s="1"/>
  <c r="E131" i="2"/>
  <c r="C132" i="1" s="1"/>
  <c r="E113" i="2"/>
  <c r="C114" i="1" s="1"/>
  <c r="E103" i="2"/>
  <c r="C104" i="1" s="1"/>
  <c r="E94" i="2"/>
  <c r="C95" i="1" s="1"/>
  <c r="E67" i="2"/>
  <c r="C68" i="1" s="1"/>
  <c r="E59" i="2"/>
  <c r="C60" i="1" s="1"/>
  <c r="E49" i="2"/>
  <c r="C50" i="1" s="1"/>
  <c r="E41" i="2"/>
  <c r="C42" i="1" s="1"/>
  <c r="E31" i="2"/>
  <c r="C32" i="1" s="1"/>
  <c r="E17" i="2"/>
  <c r="C18" i="1" s="1"/>
  <c r="E4" i="2"/>
  <c r="C5" i="1" s="1"/>
  <c r="E130" i="2"/>
  <c r="C131" i="1" s="1"/>
  <c r="E112" i="2"/>
  <c r="C113" i="1" s="1"/>
  <c r="E93" i="2"/>
  <c r="C94" i="1" s="1"/>
  <c r="E48" i="2"/>
  <c r="C49" i="1" s="1"/>
  <c r="E30" i="2"/>
  <c r="C31" i="1" s="1"/>
  <c r="E16" i="2"/>
  <c r="C17" i="1" s="1"/>
  <c r="E3" i="2"/>
  <c r="C4" i="1" s="1"/>
  <c r="T4" i="1" s="1"/>
  <c r="E129" i="2"/>
  <c r="C130" i="1" s="1"/>
  <c r="E111" i="2"/>
  <c r="C112" i="1" s="1"/>
  <c r="E102" i="2"/>
  <c r="C103" i="1" s="1"/>
  <c r="E92" i="2"/>
  <c r="C93" i="1" s="1"/>
  <c r="E66" i="2"/>
  <c r="C67" i="1" s="1"/>
  <c r="E58" i="2"/>
  <c r="C59" i="1" s="1"/>
  <c r="E47" i="2"/>
  <c r="C48" i="1" s="1"/>
  <c r="E40" i="2"/>
  <c r="C41" i="1" s="1"/>
  <c r="E29" i="2"/>
  <c r="C30" i="1" s="1"/>
  <c r="E15" i="2"/>
  <c r="C16" i="1" s="1"/>
  <c r="E13" i="2"/>
  <c r="C14" i="1" s="1"/>
  <c r="E128" i="2"/>
  <c r="C129" i="1" s="1"/>
  <c r="E119" i="2"/>
  <c r="C120" i="1" s="1"/>
  <c r="E91" i="2"/>
  <c r="C92" i="1" s="1"/>
  <c r="E73" i="2"/>
  <c r="C74" i="1" s="1"/>
  <c r="E65" i="2"/>
  <c r="C66" i="1" s="1"/>
  <c r="E25" i="2"/>
  <c r="C26" i="1" s="1"/>
  <c r="E118" i="2"/>
  <c r="C119" i="1" s="1"/>
  <c r="E90" i="2"/>
  <c r="C91" i="1" s="1"/>
  <c r="E81" i="2"/>
  <c r="C82" i="1" s="1"/>
  <c r="E64" i="2"/>
  <c r="C65" i="1" s="1"/>
  <c r="C3" i="1"/>
  <c r="C2" i="1"/>
  <c r="U11" i="1" l="1"/>
  <c r="T11" i="1"/>
  <c r="U44" i="1"/>
  <c r="T44" i="1"/>
  <c r="U46" i="1"/>
  <c r="T46" i="1"/>
  <c r="T8" i="1"/>
  <c r="U8" i="1"/>
  <c r="U4" i="1"/>
  <c r="T21" i="1"/>
  <c r="U21" i="1"/>
  <c r="T14" i="1"/>
  <c r="U14" i="1"/>
  <c r="U17" i="1"/>
  <c r="T17" i="1"/>
  <c r="T9" i="1"/>
  <c r="U9" i="1"/>
  <c r="T36" i="1"/>
  <c r="U36" i="1"/>
  <c r="T31" i="1"/>
  <c r="U31" i="1"/>
  <c r="T37" i="1"/>
  <c r="U37" i="1"/>
  <c r="U34" i="1"/>
  <c r="T34" i="1"/>
  <c r="T43" i="1"/>
  <c r="U43" i="1"/>
  <c r="U16" i="1"/>
  <c r="T16" i="1"/>
  <c r="T30" i="1"/>
  <c r="U30" i="1"/>
  <c r="U13" i="1"/>
  <c r="T13" i="1"/>
  <c r="T25" i="1"/>
  <c r="U25" i="1"/>
  <c r="U41" i="1"/>
  <c r="T41" i="1"/>
  <c r="U7" i="1"/>
  <c r="T7" i="1"/>
  <c r="U28" i="1"/>
  <c r="T28" i="1"/>
  <c r="U22" i="1"/>
  <c r="T22" i="1"/>
  <c r="U38" i="1"/>
  <c r="T38" i="1"/>
  <c r="T48" i="1"/>
  <c r="U48" i="1"/>
  <c r="U20" i="1"/>
  <c r="T20" i="1"/>
  <c r="T24" i="1"/>
  <c r="U24" i="1"/>
  <c r="T6" i="1"/>
  <c r="U6" i="1"/>
  <c r="T35" i="1"/>
  <c r="U35" i="1"/>
  <c r="T10" i="1"/>
  <c r="U10" i="1"/>
  <c r="U45" i="1"/>
  <c r="T45" i="1"/>
  <c r="T26" i="1"/>
  <c r="U26" i="1"/>
  <c r="T5" i="1"/>
  <c r="U5" i="1"/>
  <c r="U19" i="1"/>
  <c r="T19" i="1"/>
  <c r="T27" i="1"/>
  <c r="U27" i="1"/>
  <c r="T18" i="1"/>
  <c r="U18" i="1"/>
  <c r="T33" i="1"/>
  <c r="U33" i="1"/>
  <c r="T15" i="1"/>
  <c r="U15" i="1"/>
  <c r="U32" i="1"/>
  <c r="T32" i="1"/>
  <c r="T23" i="1"/>
  <c r="U23" i="1"/>
  <c r="T29" i="1"/>
  <c r="U29" i="1"/>
  <c r="T47" i="1"/>
  <c r="U47" i="1"/>
  <c r="U42" i="1"/>
  <c r="T42" i="1"/>
  <c r="T12" i="1"/>
  <c r="U12" i="1"/>
  <c r="T39" i="1"/>
  <c r="U39" i="1"/>
  <c r="U40" i="1"/>
  <c r="T40" i="1"/>
  <c r="T3" i="1"/>
  <c r="U3" i="1"/>
  <c r="W38" i="1" l="1"/>
  <c r="W20" i="1"/>
  <c r="W7" i="1"/>
  <c r="W17" i="1"/>
  <c r="W43" i="1"/>
  <c r="W36" i="1"/>
  <c r="W14" i="1"/>
  <c r="W8" i="1"/>
  <c r="W42" i="1"/>
  <c r="W22" i="1"/>
  <c r="W6" i="1"/>
  <c r="W48" i="1"/>
  <c r="W32" i="1"/>
  <c r="W39" i="1"/>
  <c r="W19" i="1"/>
  <c r="W45" i="1"/>
  <c r="W16" i="1"/>
  <c r="W40" i="1"/>
  <c r="W30" i="1"/>
  <c r="W4" i="1"/>
  <c r="W31" i="1"/>
  <c r="W28" i="1"/>
  <c r="W5" i="1"/>
  <c r="W10" i="1"/>
  <c r="W37" i="1"/>
  <c r="W13" i="1"/>
  <c r="W34" i="1"/>
  <c r="W46" i="1"/>
  <c r="W44" i="1"/>
  <c r="W11" i="1"/>
  <c r="W35" i="1"/>
  <c r="W9" i="1"/>
  <c r="W12" i="1"/>
  <c r="W15" i="1"/>
  <c r="W33" i="1"/>
  <c r="W29" i="1"/>
  <c r="W26" i="1"/>
  <c r="W27" i="1"/>
  <c r="W25" i="1"/>
  <c r="W24" i="1"/>
  <c r="W23" i="1"/>
  <c r="W21" i="1"/>
  <c r="W18" i="1"/>
  <c r="W41" i="1"/>
  <c r="W47" i="1"/>
  <c r="W3" i="1"/>
</calcChain>
</file>

<file path=xl/sharedStrings.xml><?xml version="1.0" encoding="utf-8"?>
<sst xmlns="http://schemas.openxmlformats.org/spreadsheetml/2006/main" count="1312" uniqueCount="35">
  <si>
    <t>Electrode</t>
  </si>
  <si>
    <t>Inlet flow rate</t>
  </si>
  <si>
    <t>Flow rate (ml min-1)</t>
  </si>
  <si>
    <t>Catholyte</t>
  </si>
  <si>
    <t>Anolyte</t>
  </si>
  <si>
    <t>Membrane</t>
  </si>
  <si>
    <t>Applied current / A</t>
  </si>
  <si>
    <t>Duration / h</t>
  </si>
  <si>
    <t>area(H2)</t>
  </si>
  <si>
    <t>area(CO)</t>
  </si>
  <si>
    <t>area(CO2)</t>
  </si>
  <si>
    <t>area(CH4)</t>
  </si>
  <si>
    <t>area(O2)</t>
  </si>
  <si>
    <t>area(N2)</t>
  </si>
  <si>
    <t>c(H2)</t>
  </si>
  <si>
    <t>c(CO)</t>
  </si>
  <si>
    <t>c(CO2)</t>
  </si>
  <si>
    <t>c(O2)</t>
  </si>
  <si>
    <t>FE(H2)</t>
  </si>
  <si>
    <t>FE(CO)</t>
  </si>
  <si>
    <t>FE(CH4)</t>
  </si>
  <si>
    <t>Total FE</t>
  </si>
  <si>
    <t>Carbon efficiency</t>
  </si>
  <si>
    <t>Ag60 GDE in PTFE holder</t>
  </si>
  <si>
    <t>Time</t>
  </si>
  <si>
    <t>uGC</t>
  </si>
  <si>
    <t xml:space="preserve">c(H2) + a * p^2 + b * p </t>
  </si>
  <si>
    <t>Linear relation</t>
  </si>
  <si>
    <t>a</t>
  </si>
  <si>
    <t>b</t>
  </si>
  <si>
    <t>c(CO) = a * p</t>
  </si>
  <si>
    <t>Li2SO4-MeOH</t>
  </si>
  <si>
    <t>30%w/w H2SO4</t>
  </si>
  <si>
    <t>Nafion</t>
  </si>
  <si>
    <t>K2SO4-water_pH3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</si>
</sst>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/d/yy\ h:mm\ AM/PM;@"/>
    <numFmt numFmtId="165" formatCode="0.0"/>
    <numFmt numFmtId="166" formatCode="yyyy\-mm\-dd\ hh:mm:ss"/>
  </numFmts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indexed="72"/>
      <name val="SansSerif"/>
    </font>
    <font>
      <sz val="9"/>
      <color rgb="FF000000"/>
      <name val="SansSerif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5B5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2" fillId="5" borderId="0" xfId="0" applyNumberFormat="1" applyFont="1" applyFill="1" applyAlignment="1">
      <alignment horizontal="center"/>
    </xf>
    <xf numFmtId="10" fontId="1" fillId="6" borderId="0" xfId="0" applyNumberFormat="1" applyFont="1" applyFill="1" applyAlignment="1">
      <alignment horizontal="center" vertical="center"/>
    </xf>
    <xf numFmtId="22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64" fontId="5" fillId="4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6" fillId="0" borderId="0" xfId="0" applyFon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/>
    <xf numFmtId="22" fontId="0" fillId="0" borderId="0" xfId="0" applyNumberFormat="1"/>
    <xf numFmtId="165" fontId="0" fillId="0" borderId="0" xfId="0" applyNumberFormat="1"/>
    <xf numFmtId="22" fontId="0" fillId="0" borderId="0" xfId="0" applyNumberFormat="1" applyAlignment="1">
      <alignment horizontal="center" vertical="center"/>
    </xf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11" fontId="0" fillId="7" borderId="4" xfId="0" applyNumberFormat="1" applyFill="1" applyBorder="1"/>
    <xf numFmtId="11" fontId="0" fillId="7" borderId="5" xfId="0" applyNumberFormat="1" applyFill="1" applyBorder="1"/>
    <xf numFmtId="0" fontId="0" fillId="7" borderId="4" xfId="0" applyFill="1" applyBorder="1"/>
    <xf numFmtId="0" fontId="0" fillId="7" borderId="5" xfId="0" applyFill="1" applyBorder="1"/>
    <xf numFmtId="11" fontId="0" fillId="7" borderId="6" xfId="0" applyNumberFormat="1" applyFill="1" applyBorder="1"/>
    <xf numFmtId="0" fontId="0" fillId="7" borderId="7" xfId="0" applyFill="1" applyBorder="1"/>
    <xf numFmtId="166" fontId="0" fillId="0" borderId="0" xfId="0" applyNumberForma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EDDA-4846-4EA0-B855-5F628FF13338}">
  <dimension ref="A1:AB396"/>
  <sheetViews>
    <sheetView tabSelected="1" topLeftCell="G1" zoomScale="85" zoomScaleNormal="85" workbookViewId="0">
      <selection activeCell="X4" sqref="X4:X48"/>
    </sheetView>
  </sheetViews>
  <sheetFormatPr defaultRowHeight="14.4"/>
  <cols>
    <col min="1" max="1" width="25.6640625" customWidth="1"/>
    <col min="2" max="2" width="6.5546875" customWidth="1"/>
    <col min="3" max="3" width="18.88671875" customWidth="1"/>
    <col min="4" max="4" width="13.77734375" customWidth="1"/>
    <col min="5" max="5" width="15.77734375" customWidth="1"/>
    <col min="6" max="6" width="13.5546875" customWidth="1"/>
    <col min="7" max="7" width="14.88671875" customWidth="1"/>
    <col min="8" max="8" width="13.88671875" bestFit="1" customWidth="1"/>
    <col min="9" max="9" width="15.109375" customWidth="1"/>
    <col min="14" max="14" width="9.21875" bestFit="1" customWidth="1"/>
    <col min="16" max="16" width="15.33203125" bestFit="1" customWidth="1"/>
    <col min="19" max="19" width="11.21875" customWidth="1"/>
    <col min="23" max="23" width="16.44140625" bestFit="1" customWidth="1"/>
    <col min="27" max="27" width="20.5546875" bestFit="1" customWidth="1"/>
    <col min="28" max="28" width="13.88671875" bestFit="1" customWidth="1"/>
  </cols>
  <sheetData>
    <row r="1" spans="1:28" s="11" customFormat="1" ht="34.799999999999997" thickBot="1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24</v>
      </c>
      <c r="I1" s="7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7" t="s">
        <v>21</v>
      </c>
      <c r="X1" s="7" t="s">
        <v>22</v>
      </c>
      <c r="Y1" s="7"/>
      <c r="AA1" s="29" t="s">
        <v>25</v>
      </c>
      <c r="AB1" s="29"/>
    </row>
    <row r="2" spans="1:28">
      <c r="A2" s="1" t="s">
        <v>23</v>
      </c>
      <c r="B2" s="1">
        <v>60</v>
      </c>
      <c r="C2" s="12">
        <f>+'Flow rate'!E1</f>
        <v>0</v>
      </c>
      <c r="D2" s="1" t="s">
        <v>31</v>
      </c>
      <c r="E2" s="1" t="s">
        <v>32</v>
      </c>
      <c r="F2" s="1" t="s">
        <v>33</v>
      </c>
      <c r="G2" s="1">
        <v>0</v>
      </c>
      <c r="H2" s="15">
        <v>46114.69189814815</v>
      </c>
      <c r="I2">
        <v>0</v>
      </c>
      <c r="J2" s="13">
        <v>0</v>
      </c>
      <c r="K2" s="13">
        <v>0</v>
      </c>
      <c r="L2">
        <v>0</v>
      </c>
      <c r="N2">
        <v>0</v>
      </c>
      <c r="P2" s="3">
        <v>0</v>
      </c>
      <c r="Q2" s="3">
        <v>0</v>
      </c>
      <c r="R2" s="3">
        <v>0</v>
      </c>
      <c r="S2" s="3">
        <f>N2/100</f>
        <v>0</v>
      </c>
      <c r="T2" s="4">
        <v>0</v>
      </c>
      <c r="U2" s="5">
        <v>0</v>
      </c>
      <c r="V2" s="14"/>
      <c r="W2" s="3">
        <v>0</v>
      </c>
      <c r="X2" s="3">
        <v>0</v>
      </c>
      <c r="Y2">
        <v>0</v>
      </c>
      <c r="AA2" s="18" t="s">
        <v>26</v>
      </c>
      <c r="AB2" s="19" t="s">
        <v>27</v>
      </c>
    </row>
    <row r="3" spans="1:28">
      <c r="A3" s="1" t="s">
        <v>23</v>
      </c>
      <c r="B3" s="1">
        <v>60</v>
      </c>
      <c r="C3" s="12">
        <f>+'Flow rate'!E2</f>
        <v>0</v>
      </c>
      <c r="D3" s="1" t="s">
        <v>31</v>
      </c>
      <c r="E3" s="1" t="s">
        <v>32</v>
      </c>
      <c r="F3" s="1" t="s">
        <v>33</v>
      </c>
      <c r="G3" s="1">
        <v>-0.1</v>
      </c>
      <c r="H3" s="15">
        <v>46114.692245370374</v>
      </c>
      <c r="I3" s="2">
        <f>+(H3-H$2)*24</f>
        <v>8.3333333604969084E-3</v>
      </c>
      <c r="J3" s="13">
        <v>0</v>
      </c>
      <c r="K3" s="13">
        <v>0</v>
      </c>
      <c r="L3">
        <v>0</v>
      </c>
      <c r="N3">
        <v>0</v>
      </c>
      <c r="P3" s="3">
        <f>+J3^2*$AA$4+J3*$AB$4</f>
        <v>0</v>
      </c>
      <c r="Q3" s="3">
        <f>+K3*$AA$7</f>
        <v>0</v>
      </c>
      <c r="R3" s="3">
        <f>+L3*$AA$7</f>
        <v>0</v>
      </c>
      <c r="S3" s="3">
        <f>N3/1000000</f>
        <v>0</v>
      </c>
      <c r="T3" s="4">
        <f>+P3*C3/1000/60/24.3*2*96485/-1/G3</f>
        <v>0</v>
      </c>
      <c r="U3" s="5">
        <f>+Q3*C3/1000/60/24.3*2*96485/-1/G3</f>
        <v>0</v>
      </c>
      <c r="V3" s="14"/>
      <c r="W3" s="3">
        <f>+T3+U3</f>
        <v>0</v>
      </c>
      <c r="X3" s="3">
        <v>0</v>
      </c>
      <c r="Y3">
        <v>106.9603</v>
      </c>
      <c r="AA3" s="20" t="s">
        <v>28</v>
      </c>
      <c r="AB3" s="21" t="s">
        <v>29</v>
      </c>
    </row>
    <row r="4" spans="1:28">
      <c r="A4" s="1" t="s">
        <v>23</v>
      </c>
      <c r="B4" s="1">
        <v>60</v>
      </c>
      <c r="C4" s="12">
        <f>+'Flow rate'!E3</f>
        <v>0</v>
      </c>
      <c r="D4" s="1" t="s">
        <v>31</v>
      </c>
      <c r="E4" s="1" t="s">
        <v>32</v>
      </c>
      <c r="F4" s="1" t="s">
        <v>33</v>
      </c>
      <c r="G4" s="1">
        <v>-0.25</v>
      </c>
      <c r="H4" s="15">
        <v>46114.69259259259</v>
      </c>
      <c r="I4" s="2">
        <f t="shared" ref="I4:I67" si="0">+(H4-H$2)*24</f>
        <v>1.6666666546370834E-2</v>
      </c>
      <c r="J4">
        <v>65292</v>
      </c>
      <c r="K4">
        <v>3506543</v>
      </c>
      <c r="L4">
        <v>2808364</v>
      </c>
      <c r="N4">
        <v>30519923</v>
      </c>
      <c r="O4">
        <v>18103619</v>
      </c>
      <c r="P4" s="3">
        <f t="shared" ref="P4:P48" si="1">+J4^2*$AA$4+J4*$AB$4</f>
        <v>1.4365736648616056E-4</v>
      </c>
      <c r="Q4" s="3">
        <f>+K4*$AA$7</f>
        <v>8.0802672966200001E-2</v>
      </c>
      <c r="R4" s="3">
        <f>+L4*$AA$7</f>
        <v>6.4714254997600001E-2</v>
      </c>
      <c r="S4" s="3">
        <f>N4/SUM(J4:O4)</f>
        <v>0.55486994966396919</v>
      </c>
      <c r="T4" s="4">
        <f>+P4*C4/1000/60/24.3*2*96485/-1/G4</f>
        <v>0</v>
      </c>
      <c r="U4" s="5">
        <f t="shared" ref="U4:U39" si="2">+Q4*C4/1000/60/24.3*2*96485/-1/G4</f>
        <v>0</v>
      </c>
      <c r="V4" s="14"/>
      <c r="W4" s="3">
        <f t="shared" ref="W4:W48" si="3">+T4+U4</f>
        <v>0</v>
      </c>
      <c r="X4" s="3">
        <f>+K4/(K4+L2)</f>
        <v>1</v>
      </c>
      <c r="AA4" s="22">
        <v>3.5107500000000004E-18</v>
      </c>
      <c r="AB4" s="23">
        <v>2.1999999999999998E-9</v>
      </c>
    </row>
    <row r="5" spans="1:28">
      <c r="A5" s="1" t="s">
        <v>23</v>
      </c>
      <c r="B5" s="1">
        <v>60</v>
      </c>
      <c r="C5" s="12">
        <f>+'Flow rate'!E4</f>
        <v>0</v>
      </c>
      <c r="D5" s="1" t="s">
        <v>31</v>
      </c>
      <c r="E5" s="1" t="s">
        <v>32</v>
      </c>
      <c r="F5" s="1" t="s">
        <v>33</v>
      </c>
      <c r="G5" s="1">
        <v>-0.25</v>
      </c>
      <c r="H5" s="15">
        <v>46114.692939814813</v>
      </c>
      <c r="I5" s="2">
        <f t="shared" si="0"/>
        <v>2.4999999906867743E-2</v>
      </c>
      <c r="J5">
        <v>67739</v>
      </c>
      <c r="K5">
        <v>3562365</v>
      </c>
      <c r="L5">
        <v>2774006</v>
      </c>
      <c r="N5">
        <v>30831092</v>
      </c>
      <c r="O5">
        <v>17752974</v>
      </c>
      <c r="P5" s="3">
        <f t="shared" si="1"/>
        <v>1.4904190932957378E-4</v>
      </c>
      <c r="Q5" s="3">
        <f t="shared" ref="Q5:Q48" si="4">+K5*$AA$7</f>
        <v>8.2089001640999998E-2</v>
      </c>
      <c r="R5" s="3">
        <f t="shared" ref="R5:R48" si="5">+L5*$AA$7</f>
        <v>6.3922529860399993E-2</v>
      </c>
      <c r="S5" s="3">
        <f t="shared" ref="S5:S48" si="6">N5/SUM(J5:O5)</f>
        <v>0.56068584635358698</v>
      </c>
      <c r="T5" s="4">
        <f t="shared" ref="T5:T39" si="7">+P5*C5/1000/60/24.3*2*96485/-1/G5</f>
        <v>0</v>
      </c>
      <c r="U5" s="5">
        <f t="shared" si="2"/>
        <v>0</v>
      </c>
      <c r="V5" s="14"/>
      <c r="W5" s="3">
        <f t="shared" si="3"/>
        <v>0</v>
      </c>
      <c r="X5" s="3">
        <f t="shared" ref="X5:X48" si="8">+K5/(K5+L3)</f>
        <v>1</v>
      </c>
      <c r="Y5">
        <v>108.0033</v>
      </c>
      <c r="AA5" s="24" t="s">
        <v>30</v>
      </c>
      <c r="AB5" s="25"/>
    </row>
    <row r="6" spans="1:28">
      <c r="A6" s="1" t="s">
        <v>23</v>
      </c>
      <c r="B6" s="1">
        <v>60</v>
      </c>
      <c r="C6" s="12">
        <f>+'Flow rate'!E5</f>
        <v>0</v>
      </c>
      <c r="D6" s="1" t="s">
        <v>31</v>
      </c>
      <c r="E6" s="1" t="s">
        <v>32</v>
      </c>
      <c r="F6" s="1" t="s">
        <v>33</v>
      </c>
      <c r="G6" s="1">
        <v>-0.25</v>
      </c>
      <c r="H6" s="15">
        <v>46114.693287037036</v>
      </c>
      <c r="I6" s="2">
        <f t="shared" si="0"/>
        <v>3.3333333267364651E-2</v>
      </c>
      <c r="J6">
        <v>76980</v>
      </c>
      <c r="K6">
        <v>3717408</v>
      </c>
      <c r="L6">
        <v>2795688</v>
      </c>
      <c r="N6">
        <v>31403300</v>
      </c>
      <c r="O6">
        <v>17093417</v>
      </c>
      <c r="P6" s="3">
        <f t="shared" si="1"/>
        <v>1.6937680442504429E-4</v>
      </c>
      <c r="Q6" s="3">
        <f t="shared" si="4"/>
        <v>8.5661719507199988E-2</v>
      </c>
      <c r="R6" s="3">
        <f t="shared" si="5"/>
        <v>6.4422156859199997E-2</v>
      </c>
      <c r="S6" s="3">
        <f t="shared" si="6"/>
        <v>0.57006949015892072</v>
      </c>
      <c r="T6" s="4">
        <f t="shared" si="7"/>
        <v>0</v>
      </c>
      <c r="U6" s="5">
        <f t="shared" si="2"/>
        <v>0</v>
      </c>
      <c r="V6" s="14"/>
      <c r="W6" s="3">
        <f t="shared" si="3"/>
        <v>0</v>
      </c>
      <c r="X6" s="3">
        <f t="shared" si="8"/>
        <v>0.56965030344302559</v>
      </c>
      <c r="AA6" s="20" t="s">
        <v>28</v>
      </c>
      <c r="AB6" s="25"/>
    </row>
    <row r="7" spans="1:28" ht="15" thickBot="1">
      <c r="A7" s="1" t="s">
        <v>23</v>
      </c>
      <c r="B7" s="1">
        <v>60</v>
      </c>
      <c r="C7" s="12">
        <f>+'Flow rate'!E6</f>
        <v>0</v>
      </c>
      <c r="D7" s="1" t="s">
        <v>31</v>
      </c>
      <c r="E7" s="1" t="s">
        <v>32</v>
      </c>
      <c r="F7" s="1" t="s">
        <v>33</v>
      </c>
      <c r="G7" s="1">
        <v>-0.5</v>
      </c>
      <c r="H7" s="15">
        <v>46114.69363425926</v>
      </c>
      <c r="I7" s="2">
        <f t="shared" si="0"/>
        <v>4.1666666627861559E-2</v>
      </c>
      <c r="J7">
        <v>84065</v>
      </c>
      <c r="K7">
        <v>3788019</v>
      </c>
      <c r="L7">
        <v>2826704</v>
      </c>
      <c r="N7">
        <v>31812620</v>
      </c>
      <c r="O7">
        <v>16445734</v>
      </c>
      <c r="P7" s="3">
        <f t="shared" si="1"/>
        <v>1.849678102042229E-4</v>
      </c>
      <c r="Q7" s="3">
        <f t="shared" si="4"/>
        <v>8.7288837024599997E-2</v>
      </c>
      <c r="R7" s="3">
        <f t="shared" si="5"/>
        <v>6.513687095359999E-2</v>
      </c>
      <c r="S7" s="3">
        <f t="shared" si="6"/>
        <v>0.5788623433147233</v>
      </c>
      <c r="T7" s="4">
        <f t="shared" si="7"/>
        <v>0</v>
      </c>
      <c r="U7" s="5">
        <f t="shared" si="2"/>
        <v>0</v>
      </c>
      <c r="V7" s="14"/>
      <c r="W7" s="3">
        <f t="shared" si="3"/>
        <v>0</v>
      </c>
      <c r="X7" s="3">
        <f t="shared" si="8"/>
        <v>0.57726372575538798</v>
      </c>
      <c r="Y7">
        <v>107.75710000000001</v>
      </c>
      <c r="AA7" s="26">
        <v>2.3043399999999998E-8</v>
      </c>
      <c r="AB7" s="27"/>
    </row>
    <row r="8" spans="1:28">
      <c r="A8" s="1" t="s">
        <v>23</v>
      </c>
      <c r="B8" s="1">
        <v>60</v>
      </c>
      <c r="C8" s="12">
        <f>+'Flow rate'!E7</f>
        <v>0</v>
      </c>
      <c r="D8" s="1" t="s">
        <v>31</v>
      </c>
      <c r="E8" s="1" t="s">
        <v>32</v>
      </c>
      <c r="F8" s="1" t="s">
        <v>33</v>
      </c>
      <c r="G8" s="1">
        <v>-0.25</v>
      </c>
      <c r="H8" s="15">
        <v>46114.693981481483</v>
      </c>
      <c r="I8" s="2">
        <f t="shared" si="0"/>
        <v>4.9999999988358468E-2</v>
      </c>
      <c r="J8">
        <v>93986</v>
      </c>
      <c r="K8">
        <v>3895990</v>
      </c>
      <c r="L8">
        <v>2956772</v>
      </c>
      <c r="N8">
        <v>32529834</v>
      </c>
      <c r="O8">
        <v>15657766</v>
      </c>
      <c r="P8" s="3">
        <f t="shared" si="1"/>
        <v>2.068002117473941E-4</v>
      </c>
      <c r="Q8" s="3">
        <f t="shared" si="4"/>
        <v>8.9776855965999991E-2</v>
      </c>
      <c r="R8" s="3">
        <f t="shared" si="5"/>
        <v>6.8134079904799999E-2</v>
      </c>
      <c r="S8" s="3">
        <f t="shared" si="6"/>
        <v>0.59001031444137142</v>
      </c>
      <c r="T8" s="4">
        <f t="shared" si="7"/>
        <v>0</v>
      </c>
      <c r="U8" s="5">
        <f t="shared" si="2"/>
        <v>0</v>
      </c>
      <c r="V8" s="14"/>
      <c r="W8" s="3">
        <f t="shared" si="3"/>
        <v>0</v>
      </c>
      <c r="X8" s="3">
        <f t="shared" si="8"/>
        <v>0.58221420695974913</v>
      </c>
      <c r="AB8" s="15"/>
    </row>
    <row r="9" spans="1:28">
      <c r="A9" s="1" t="s">
        <v>23</v>
      </c>
      <c r="B9" s="1">
        <v>60</v>
      </c>
      <c r="C9" s="12">
        <f>+'Flow rate'!E8</f>
        <v>0</v>
      </c>
      <c r="D9" s="1" t="s">
        <v>31</v>
      </c>
      <c r="E9" s="1" t="s">
        <v>32</v>
      </c>
      <c r="F9" s="1" t="s">
        <v>33</v>
      </c>
      <c r="G9" s="1">
        <v>-0.5</v>
      </c>
      <c r="H9" s="15">
        <v>46114.694328703707</v>
      </c>
      <c r="I9" s="2">
        <f t="shared" si="0"/>
        <v>5.8333333348855376E-2</v>
      </c>
      <c r="J9">
        <v>95936</v>
      </c>
      <c r="K9">
        <v>3986141</v>
      </c>
      <c r="L9">
        <v>2991596</v>
      </c>
      <c r="N9">
        <v>32716941</v>
      </c>
      <c r="O9">
        <v>15269942</v>
      </c>
      <c r="P9" s="3">
        <f t="shared" si="1"/>
        <v>2.1109151194628401E-4</v>
      </c>
      <c r="Q9" s="3">
        <f t="shared" si="4"/>
        <v>9.1854241519399998E-2</v>
      </c>
      <c r="R9" s="3">
        <f t="shared" si="5"/>
        <v>6.8936543266399988E-2</v>
      </c>
      <c r="S9" s="3">
        <f t="shared" si="6"/>
        <v>0.59419924855099537</v>
      </c>
      <c r="T9" s="4">
        <f t="shared" si="7"/>
        <v>0</v>
      </c>
      <c r="U9" s="5">
        <f t="shared" si="2"/>
        <v>0</v>
      </c>
      <c r="V9" s="14"/>
      <c r="W9" s="3">
        <f t="shared" si="3"/>
        <v>0</v>
      </c>
      <c r="X9" s="3">
        <f t="shared" si="8"/>
        <v>0.58509198433253651</v>
      </c>
      <c r="Y9">
        <v>106.85590000000001</v>
      </c>
      <c r="AB9" s="15"/>
    </row>
    <row r="10" spans="1:28">
      <c r="A10" s="1" t="s">
        <v>23</v>
      </c>
      <c r="B10" s="1">
        <v>60</v>
      </c>
      <c r="C10" s="12">
        <f>+'Flow rate'!E9</f>
        <v>0</v>
      </c>
      <c r="D10" s="1" t="s">
        <v>31</v>
      </c>
      <c r="E10" s="1" t="s">
        <v>32</v>
      </c>
      <c r="F10" s="1" t="s">
        <v>33</v>
      </c>
      <c r="G10" s="1">
        <v>-0.5</v>
      </c>
      <c r="H10" s="15">
        <v>46114.694675925923</v>
      </c>
      <c r="I10" s="2">
        <f t="shared" si="0"/>
        <v>6.6666666534729302E-2</v>
      </c>
      <c r="J10">
        <v>102889</v>
      </c>
      <c r="K10">
        <v>3955282</v>
      </c>
      <c r="L10">
        <v>3329029</v>
      </c>
      <c r="N10">
        <v>33288710</v>
      </c>
      <c r="O10">
        <v>14519235</v>
      </c>
      <c r="P10" s="3">
        <f t="shared" si="1"/>
        <v>2.2639296531319641E-4</v>
      </c>
      <c r="Q10" s="3">
        <f t="shared" si="4"/>
        <v>9.1143145238799989E-2</v>
      </c>
      <c r="R10" s="3">
        <f t="shared" si="5"/>
        <v>7.6712146858599992E-2</v>
      </c>
      <c r="S10" s="3">
        <f t="shared" si="6"/>
        <v>0.60310938579833429</v>
      </c>
      <c r="T10" s="4">
        <f t="shared" si="7"/>
        <v>0</v>
      </c>
      <c r="U10" s="5">
        <f t="shared" si="2"/>
        <v>0</v>
      </c>
      <c r="V10" s="14"/>
      <c r="W10" s="3">
        <f t="shared" si="3"/>
        <v>0</v>
      </c>
      <c r="X10" s="3">
        <f t="shared" si="8"/>
        <v>0.57222961510428016</v>
      </c>
      <c r="AA10" s="15"/>
      <c r="AB10" s="15"/>
    </row>
    <row r="11" spans="1:28">
      <c r="A11" s="1" t="s">
        <v>23</v>
      </c>
      <c r="B11" s="1">
        <v>60</v>
      </c>
      <c r="C11" s="12">
        <f>+'Flow rate'!E10</f>
        <v>0</v>
      </c>
      <c r="D11" s="1" t="s">
        <v>31</v>
      </c>
      <c r="E11" s="1" t="s">
        <v>32</v>
      </c>
      <c r="F11" s="1" t="s">
        <v>33</v>
      </c>
      <c r="G11" s="1">
        <v>-0.5</v>
      </c>
      <c r="H11" s="15">
        <v>46114.695023148146</v>
      </c>
      <c r="I11" s="2">
        <f t="shared" si="0"/>
        <v>7.499999989522621E-2</v>
      </c>
      <c r="J11">
        <v>100358</v>
      </c>
      <c r="K11">
        <v>4116672</v>
      </c>
      <c r="L11">
        <v>3416084</v>
      </c>
      <c r="N11">
        <v>33169595</v>
      </c>
      <c r="O11">
        <v>14474112</v>
      </c>
      <c r="P11" s="3">
        <f t="shared" si="1"/>
        <v>2.2082295931965173E-4</v>
      </c>
      <c r="Q11" s="3">
        <f t="shared" si="4"/>
        <v>9.4862119564799993E-2</v>
      </c>
      <c r="R11" s="3">
        <f t="shared" si="5"/>
        <v>7.8718190045599989E-2</v>
      </c>
      <c r="S11" s="3">
        <f t="shared" si="6"/>
        <v>0.60006336109668823</v>
      </c>
      <c r="T11" s="4">
        <f t="shared" si="7"/>
        <v>0</v>
      </c>
      <c r="U11" s="5">
        <f t="shared" si="2"/>
        <v>0</v>
      </c>
      <c r="V11" s="14"/>
      <c r="W11" s="3">
        <f t="shared" si="3"/>
        <v>0</v>
      </c>
      <c r="X11" s="3">
        <f t="shared" si="8"/>
        <v>0.57913854683025456</v>
      </c>
      <c r="Y11">
        <v>106.9331</v>
      </c>
      <c r="AA11" s="15"/>
      <c r="AB11" s="15"/>
    </row>
    <row r="12" spans="1:28">
      <c r="A12" s="1" t="s">
        <v>23</v>
      </c>
      <c r="B12" s="1">
        <v>60</v>
      </c>
      <c r="C12" s="12">
        <f>+'Flow rate'!E11</f>
        <v>0</v>
      </c>
      <c r="D12" s="1" t="s">
        <v>31</v>
      </c>
      <c r="E12" s="1" t="s">
        <v>32</v>
      </c>
      <c r="F12" s="1" t="s">
        <v>33</v>
      </c>
      <c r="G12" s="1">
        <v>-0.5</v>
      </c>
      <c r="H12" s="15">
        <v>46114.695370370369</v>
      </c>
      <c r="I12" s="2">
        <f t="shared" si="0"/>
        <v>8.3333333255723119E-2</v>
      </c>
      <c r="J12">
        <v>101575</v>
      </c>
      <c r="K12">
        <v>4143035</v>
      </c>
      <c r="L12">
        <v>13909</v>
      </c>
      <c r="N12">
        <v>33068729</v>
      </c>
      <c r="O12">
        <v>14445466</v>
      </c>
      <c r="P12" s="3">
        <f t="shared" si="1"/>
        <v>2.2350122209510419E-4</v>
      </c>
      <c r="Q12" s="3">
        <f t="shared" si="4"/>
        <v>9.5469612718999994E-2</v>
      </c>
      <c r="R12" s="3">
        <f t="shared" si="5"/>
        <v>3.2051065059999996E-4</v>
      </c>
      <c r="S12" s="3">
        <f t="shared" si="6"/>
        <v>0.63872890650468894</v>
      </c>
      <c r="T12" s="4">
        <f t="shared" si="7"/>
        <v>0</v>
      </c>
      <c r="U12" s="5">
        <f t="shared" si="2"/>
        <v>0</v>
      </c>
      <c r="V12" s="14"/>
      <c r="W12" s="3">
        <f t="shared" si="3"/>
        <v>0</v>
      </c>
      <c r="X12" s="3">
        <f t="shared" si="8"/>
        <v>0.55446995636011687</v>
      </c>
    </row>
    <row r="13" spans="1:28">
      <c r="A13" s="1" t="s">
        <v>23</v>
      </c>
      <c r="B13" s="1">
        <v>60</v>
      </c>
      <c r="C13" s="12">
        <f>+'Flow rate'!E12</f>
        <v>0</v>
      </c>
      <c r="D13" s="1" t="s">
        <v>31</v>
      </c>
      <c r="E13" s="1" t="s">
        <v>32</v>
      </c>
      <c r="F13" s="1" t="s">
        <v>33</v>
      </c>
      <c r="G13" s="1">
        <v>-0.5</v>
      </c>
      <c r="H13" s="15">
        <v>46114.695717592593</v>
      </c>
      <c r="I13" s="2">
        <f t="shared" si="0"/>
        <v>9.1666666616220027E-2</v>
      </c>
      <c r="J13">
        <v>99008</v>
      </c>
      <c r="K13">
        <v>4087428</v>
      </c>
      <c r="L13">
        <v>4019930</v>
      </c>
      <c r="N13">
        <v>32835296</v>
      </c>
      <c r="O13">
        <v>14480226</v>
      </c>
      <c r="P13" s="3">
        <f t="shared" si="1"/>
        <v>2.1785201442200267E-4</v>
      </c>
      <c r="Q13" s="3">
        <f t="shared" si="4"/>
        <v>9.418823837519999E-2</v>
      </c>
      <c r="R13" s="3">
        <f t="shared" si="5"/>
        <v>9.2632854961999994E-2</v>
      </c>
      <c r="S13" s="3">
        <f t="shared" si="6"/>
        <v>0.59139372205786667</v>
      </c>
      <c r="T13" s="4">
        <f t="shared" si="7"/>
        <v>0</v>
      </c>
      <c r="U13" s="5">
        <f t="shared" si="2"/>
        <v>0</v>
      </c>
      <c r="V13" s="14"/>
      <c r="W13" s="3">
        <f t="shared" si="3"/>
        <v>0</v>
      </c>
      <c r="X13" s="3">
        <f t="shared" si="8"/>
        <v>0.54473531860813973</v>
      </c>
      <c r="Y13">
        <v>105.8969</v>
      </c>
    </row>
    <row r="14" spans="1:28">
      <c r="A14" s="1" t="s">
        <v>23</v>
      </c>
      <c r="B14" s="1">
        <v>60</v>
      </c>
      <c r="C14" s="12">
        <f>+'Flow rate'!E13</f>
        <v>0</v>
      </c>
      <c r="D14" s="1" t="s">
        <v>31</v>
      </c>
      <c r="E14" s="1" t="s">
        <v>32</v>
      </c>
      <c r="F14" s="1" t="s">
        <v>33</v>
      </c>
      <c r="G14" s="1">
        <v>-0.5</v>
      </c>
      <c r="H14" s="15">
        <v>46114.696064814816</v>
      </c>
      <c r="I14" s="2">
        <f t="shared" si="0"/>
        <v>9.9999999976716936E-2</v>
      </c>
      <c r="J14">
        <v>100817</v>
      </c>
      <c r="K14">
        <v>3842427</v>
      </c>
      <c r="L14">
        <v>4467185</v>
      </c>
      <c r="N14">
        <v>32291774</v>
      </c>
      <c r="O14">
        <v>14965690</v>
      </c>
      <c r="P14" s="3">
        <f t="shared" si="1"/>
        <v>2.2183308349993697E-4</v>
      </c>
      <c r="Q14" s="3">
        <f t="shared" si="4"/>
        <v>8.8542582331799999E-2</v>
      </c>
      <c r="R14" s="3">
        <f t="shared" si="5"/>
        <v>0.102939130829</v>
      </c>
      <c r="S14" s="3">
        <f t="shared" si="6"/>
        <v>0.58007896939803349</v>
      </c>
      <c r="T14" s="4">
        <f t="shared" si="7"/>
        <v>0</v>
      </c>
      <c r="U14" s="5">
        <f t="shared" si="2"/>
        <v>0</v>
      </c>
      <c r="V14" s="14"/>
      <c r="W14" s="3">
        <f t="shared" si="3"/>
        <v>0</v>
      </c>
      <c r="X14" s="3">
        <f t="shared" si="8"/>
        <v>0.99639320847560997</v>
      </c>
    </row>
    <row r="15" spans="1:28">
      <c r="A15" s="1" t="s">
        <v>23</v>
      </c>
      <c r="B15" s="1">
        <v>60</v>
      </c>
      <c r="C15" s="12">
        <f>+'Flow rate'!E14</f>
        <v>0</v>
      </c>
      <c r="D15" s="1" t="s">
        <v>31</v>
      </c>
      <c r="E15" s="1" t="s">
        <v>32</v>
      </c>
      <c r="F15" s="1" t="s">
        <v>33</v>
      </c>
      <c r="G15" s="1">
        <v>-0.5</v>
      </c>
      <c r="H15" s="15">
        <v>46114.696412037039</v>
      </c>
      <c r="I15" s="2">
        <f t="shared" si="0"/>
        <v>0.10833333333721384</v>
      </c>
      <c r="J15">
        <v>100676</v>
      </c>
      <c r="K15">
        <v>3945774</v>
      </c>
      <c r="L15">
        <v>4622290</v>
      </c>
      <c r="N15">
        <v>31903076</v>
      </c>
      <c r="O15">
        <v>15198511</v>
      </c>
      <c r="P15" s="3">
        <f t="shared" si="1"/>
        <v>2.2152278375772849E-4</v>
      </c>
      <c r="Q15" s="3">
        <f t="shared" si="4"/>
        <v>9.0924048591599999E-2</v>
      </c>
      <c r="R15" s="3">
        <f t="shared" si="5"/>
        <v>0.106513277386</v>
      </c>
      <c r="S15" s="3">
        <f t="shared" si="6"/>
        <v>0.57204391145133504</v>
      </c>
      <c r="T15" s="4">
        <f t="shared" si="7"/>
        <v>0</v>
      </c>
      <c r="U15" s="5">
        <f t="shared" si="2"/>
        <v>0</v>
      </c>
      <c r="V15" s="14"/>
      <c r="W15" s="3">
        <f t="shared" si="3"/>
        <v>0</v>
      </c>
      <c r="X15" s="3">
        <f t="shared" si="8"/>
        <v>0.49534529528086907</v>
      </c>
      <c r="Y15">
        <v>105.9696</v>
      </c>
    </row>
    <row r="16" spans="1:28">
      <c r="A16" s="1" t="s">
        <v>23</v>
      </c>
      <c r="B16" s="1">
        <v>60</v>
      </c>
      <c r="C16" s="12">
        <f>+'Flow rate'!E15</f>
        <v>0</v>
      </c>
      <c r="D16" s="1" t="s">
        <v>31</v>
      </c>
      <c r="E16" s="1" t="s">
        <v>32</v>
      </c>
      <c r="F16" s="1" t="s">
        <v>33</v>
      </c>
      <c r="G16" s="1">
        <v>-0.5</v>
      </c>
      <c r="H16" s="15">
        <v>46114.696759259263</v>
      </c>
      <c r="I16" s="2">
        <f t="shared" si="0"/>
        <v>0.11666666669771075</v>
      </c>
      <c r="J16">
        <v>118777</v>
      </c>
      <c r="K16">
        <v>3647671</v>
      </c>
      <c r="L16">
        <v>5062530</v>
      </c>
      <c r="N16">
        <v>30794676</v>
      </c>
      <c r="O16">
        <v>16342487</v>
      </c>
      <c r="P16" s="3">
        <f t="shared" si="1"/>
        <v>2.6135892957579053E-4</v>
      </c>
      <c r="Q16" s="3">
        <f t="shared" si="4"/>
        <v>8.40547419214E-2</v>
      </c>
      <c r="R16" s="3">
        <f t="shared" si="5"/>
        <v>0.11665790380199999</v>
      </c>
      <c r="S16" s="3">
        <f t="shared" si="6"/>
        <v>0.55023761598999654</v>
      </c>
      <c r="T16" s="4">
        <f t="shared" si="7"/>
        <v>0</v>
      </c>
      <c r="U16" s="5">
        <f t="shared" si="2"/>
        <v>0</v>
      </c>
      <c r="V16" s="14"/>
      <c r="W16" s="3">
        <f t="shared" si="3"/>
        <v>0</v>
      </c>
      <c r="X16" s="3">
        <f t="shared" si="8"/>
        <v>0.44950532701997425</v>
      </c>
    </row>
    <row r="17" spans="1:25">
      <c r="A17" s="1" t="s">
        <v>23</v>
      </c>
      <c r="B17" s="1">
        <v>60</v>
      </c>
      <c r="C17" s="12">
        <f>+'Flow rate'!E16</f>
        <v>0</v>
      </c>
      <c r="D17" s="1" t="s">
        <v>31</v>
      </c>
      <c r="E17" s="1" t="s">
        <v>32</v>
      </c>
      <c r="F17" s="1" t="s">
        <v>33</v>
      </c>
      <c r="G17" s="1">
        <v>-0.5</v>
      </c>
      <c r="H17" s="15">
        <v>46114.697106481479</v>
      </c>
      <c r="I17" s="2">
        <f t="shared" si="0"/>
        <v>0.12499999988358468</v>
      </c>
      <c r="J17">
        <v>128069</v>
      </c>
      <c r="K17">
        <v>3673851</v>
      </c>
      <c r="L17">
        <v>5171095</v>
      </c>
      <c r="N17">
        <v>30330388</v>
      </c>
      <c r="O17">
        <v>16667377</v>
      </c>
      <c r="P17" s="3">
        <f t="shared" si="1"/>
        <v>2.8180938215860261E-4</v>
      </c>
      <c r="Q17" s="3">
        <f t="shared" si="4"/>
        <v>8.4658018133400001E-2</v>
      </c>
      <c r="R17" s="3">
        <f t="shared" si="5"/>
        <v>0.11915961052299999</v>
      </c>
      <c r="S17" s="3">
        <f t="shared" si="6"/>
        <v>0.54189682545070839</v>
      </c>
      <c r="T17" s="4">
        <f t="shared" si="7"/>
        <v>0</v>
      </c>
      <c r="U17" s="5">
        <f t="shared" si="2"/>
        <v>0</v>
      </c>
      <c r="V17" s="14"/>
      <c r="W17" s="3">
        <f t="shared" si="3"/>
        <v>0</v>
      </c>
      <c r="X17" s="3">
        <f t="shared" si="8"/>
        <v>0.44283854384827837</v>
      </c>
      <c r="Y17">
        <v>104.4051</v>
      </c>
    </row>
    <row r="18" spans="1:25">
      <c r="A18" s="1" t="s">
        <v>23</v>
      </c>
      <c r="B18" s="1">
        <v>60</v>
      </c>
      <c r="C18" s="12">
        <f>+'Flow rate'!E17</f>
        <v>0</v>
      </c>
      <c r="D18" s="1" t="s">
        <v>31</v>
      </c>
      <c r="E18" s="1" t="s">
        <v>32</v>
      </c>
      <c r="F18" s="1" t="s">
        <v>33</v>
      </c>
      <c r="G18" s="1">
        <v>-0.5</v>
      </c>
      <c r="H18" s="15">
        <v>46114.697453703702</v>
      </c>
      <c r="I18" s="2">
        <f t="shared" si="0"/>
        <v>0.13333333324408159</v>
      </c>
      <c r="J18">
        <v>186378</v>
      </c>
      <c r="K18">
        <v>3358140</v>
      </c>
      <c r="L18">
        <v>5545827</v>
      </c>
      <c r="N18">
        <v>29163547</v>
      </c>
      <c r="O18">
        <v>17934989</v>
      </c>
      <c r="P18" s="3">
        <f t="shared" si="1"/>
        <v>4.1015355207625197E-4</v>
      </c>
      <c r="Q18" s="3">
        <f t="shared" si="4"/>
        <v>7.7382963276E-2</v>
      </c>
      <c r="R18" s="3">
        <f t="shared" si="5"/>
        <v>0.1277947098918</v>
      </c>
      <c r="S18" s="3">
        <f t="shared" si="6"/>
        <v>0.51902701176768407</v>
      </c>
      <c r="T18" s="4">
        <f t="shared" si="7"/>
        <v>0</v>
      </c>
      <c r="U18" s="5">
        <f t="shared" si="2"/>
        <v>0</v>
      </c>
      <c r="V18" s="14"/>
      <c r="W18" s="3">
        <f t="shared" si="3"/>
        <v>0</v>
      </c>
      <c r="X18" s="3">
        <f t="shared" si="8"/>
        <v>0.39879724534983557</v>
      </c>
    </row>
    <row r="19" spans="1:25">
      <c r="A19" s="1" t="s">
        <v>23</v>
      </c>
      <c r="B19" s="1">
        <v>60</v>
      </c>
      <c r="C19" s="12">
        <f>+'Flow rate'!E18</f>
        <v>0</v>
      </c>
      <c r="D19" s="1" t="s">
        <v>31</v>
      </c>
      <c r="E19" s="1" t="s">
        <v>32</v>
      </c>
      <c r="F19" s="1" t="s">
        <v>33</v>
      </c>
      <c r="G19" s="1">
        <v>-0.5</v>
      </c>
      <c r="H19" s="15">
        <v>46114.697800925926</v>
      </c>
      <c r="I19" s="2">
        <f t="shared" si="0"/>
        <v>0.1416666666045785</v>
      </c>
      <c r="J19">
        <v>210087</v>
      </c>
      <c r="K19">
        <v>3392691</v>
      </c>
      <c r="L19">
        <v>5638902</v>
      </c>
      <c r="N19">
        <v>28766965</v>
      </c>
      <c r="O19">
        <v>18201018</v>
      </c>
      <c r="P19" s="3">
        <f t="shared" si="1"/>
        <v>4.6234635238437784E-4</v>
      </c>
      <c r="Q19" s="3">
        <f t="shared" si="4"/>
        <v>7.8179135789400001E-2</v>
      </c>
      <c r="R19" s="3">
        <f t="shared" si="5"/>
        <v>0.1299394743468</v>
      </c>
      <c r="S19" s="3">
        <f t="shared" si="6"/>
        <v>0.51177970947806606</v>
      </c>
      <c r="T19" s="4">
        <f t="shared" si="7"/>
        <v>0</v>
      </c>
      <c r="U19" s="5">
        <f t="shared" si="2"/>
        <v>0</v>
      </c>
      <c r="V19" s="14"/>
      <c r="W19" s="3">
        <f t="shared" si="3"/>
        <v>0</v>
      </c>
      <c r="X19" s="3">
        <f t="shared" si="8"/>
        <v>0.3961671858684932</v>
      </c>
      <c r="Y19">
        <v>104.38579999999999</v>
      </c>
    </row>
    <row r="20" spans="1:25">
      <c r="A20" s="1" t="s">
        <v>23</v>
      </c>
      <c r="B20" s="1">
        <v>60</v>
      </c>
      <c r="C20" s="12">
        <f>+'Flow rate'!E19</f>
        <v>2.2065060000000001</v>
      </c>
      <c r="D20" s="1" t="s">
        <v>31</v>
      </c>
      <c r="E20" s="1" t="s">
        <v>32</v>
      </c>
      <c r="F20" s="1" t="s">
        <v>33</v>
      </c>
      <c r="G20" s="1">
        <v>-0.5</v>
      </c>
      <c r="H20" s="15">
        <v>46114.698148148149</v>
      </c>
      <c r="I20" s="2">
        <f t="shared" si="0"/>
        <v>0.1499999999650754</v>
      </c>
      <c r="J20">
        <v>299635</v>
      </c>
      <c r="K20">
        <v>3276337</v>
      </c>
      <c r="L20">
        <v>5949531</v>
      </c>
      <c r="N20">
        <v>28286471</v>
      </c>
      <c r="O20">
        <v>18719087</v>
      </c>
      <c r="P20" s="3">
        <f t="shared" si="1"/>
        <v>6.5951219911346965E-4</v>
      </c>
      <c r="Q20" s="3">
        <f t="shared" si="4"/>
        <v>7.5497944025799998E-2</v>
      </c>
      <c r="R20" s="3">
        <f t="shared" si="5"/>
        <v>0.13709742264539998</v>
      </c>
      <c r="S20" s="3">
        <f t="shared" si="6"/>
        <v>0.50037042467679849</v>
      </c>
      <c r="T20" s="4">
        <f t="shared" si="7"/>
        <v>3.8520349106140067E-4</v>
      </c>
      <c r="U20" s="5">
        <f t="shared" si="2"/>
        <v>4.4096336119012092E-2</v>
      </c>
      <c r="V20" s="14"/>
      <c r="W20" s="3">
        <f t="shared" si="3"/>
        <v>4.4481539610073492E-2</v>
      </c>
      <c r="X20" s="3">
        <f t="shared" si="8"/>
        <v>0.37137566247918313</v>
      </c>
    </row>
    <row r="21" spans="1:25">
      <c r="A21" s="1" t="s">
        <v>23</v>
      </c>
      <c r="B21" s="1">
        <v>60</v>
      </c>
      <c r="C21" s="12">
        <f>+'Flow rate'!E20</f>
        <v>2.2065060000000001</v>
      </c>
      <c r="D21" s="1" t="s">
        <v>31</v>
      </c>
      <c r="E21" s="1" t="s">
        <v>32</v>
      </c>
      <c r="F21" s="1" t="s">
        <v>33</v>
      </c>
      <c r="G21" s="1">
        <v>-0.5</v>
      </c>
      <c r="H21" s="15">
        <v>46114.698495370372</v>
      </c>
      <c r="I21" s="2">
        <f t="shared" si="0"/>
        <v>0.15833333332557231</v>
      </c>
      <c r="J21">
        <v>335144</v>
      </c>
      <c r="K21">
        <v>3285095</v>
      </c>
      <c r="L21">
        <v>6091461</v>
      </c>
      <c r="N21">
        <v>28233362</v>
      </c>
      <c r="O21">
        <v>18614454</v>
      </c>
      <c r="P21" s="3">
        <f t="shared" si="1"/>
        <v>7.3771113270870887E-4</v>
      </c>
      <c r="Q21" s="3">
        <f t="shared" si="4"/>
        <v>7.5699758122999991E-2</v>
      </c>
      <c r="R21" s="3">
        <f t="shared" si="5"/>
        <v>0.14036797240739998</v>
      </c>
      <c r="S21" s="3">
        <f t="shared" si="6"/>
        <v>0.49917969595072209</v>
      </c>
      <c r="T21" s="4">
        <f t="shared" si="7"/>
        <v>4.3087740317198199E-4</v>
      </c>
      <c r="U21" s="5">
        <f t="shared" si="2"/>
        <v>4.4214210352258025E-2</v>
      </c>
      <c r="V21" s="14"/>
      <c r="W21" s="3">
        <f t="shared" si="3"/>
        <v>4.464508775543001E-2</v>
      </c>
      <c r="X21" s="3">
        <f t="shared" si="8"/>
        <v>0.36811924073932339</v>
      </c>
      <c r="Y21">
        <v>101.9332</v>
      </c>
    </row>
    <row r="22" spans="1:25">
      <c r="A22" s="1" t="s">
        <v>23</v>
      </c>
      <c r="B22" s="1">
        <v>60</v>
      </c>
      <c r="C22" s="12">
        <f>+'Flow rate'!E21</f>
        <v>0.25565300000000002</v>
      </c>
      <c r="D22" s="1" t="s">
        <v>31</v>
      </c>
      <c r="E22" s="1" t="s">
        <v>32</v>
      </c>
      <c r="F22" s="1" t="s">
        <v>33</v>
      </c>
      <c r="G22" s="1">
        <v>-0.5</v>
      </c>
      <c r="H22" s="15">
        <v>46114.698842592596</v>
      </c>
      <c r="I22" s="2">
        <f t="shared" si="0"/>
        <v>0.16666666668606922</v>
      </c>
      <c r="J22">
        <v>445062</v>
      </c>
      <c r="K22">
        <v>3382758</v>
      </c>
      <c r="L22">
        <v>6354006</v>
      </c>
      <c r="N22">
        <v>28937213</v>
      </c>
      <c r="O22">
        <v>17725787</v>
      </c>
      <c r="P22" s="3">
        <f t="shared" si="1"/>
        <v>9.7983181000543037E-4</v>
      </c>
      <c r="Q22" s="3">
        <f t="shared" si="4"/>
        <v>7.7950245697199994E-2</v>
      </c>
      <c r="R22" s="3">
        <f t="shared" si="5"/>
        <v>0.14641790186039999</v>
      </c>
      <c r="S22" s="3">
        <f t="shared" si="6"/>
        <v>0.50905623319174198</v>
      </c>
      <c r="T22" s="4">
        <f t="shared" si="7"/>
        <v>6.6307811857817194E-5</v>
      </c>
      <c r="U22" s="5">
        <f t="shared" si="2"/>
        <v>5.2750994335771934E-3</v>
      </c>
      <c r="V22" s="14"/>
      <c r="W22" s="3">
        <f t="shared" si="3"/>
        <v>5.3414072454350103E-3</v>
      </c>
      <c r="X22" s="3">
        <f t="shared" si="8"/>
        <v>0.36247891594441622</v>
      </c>
    </row>
    <row r="23" spans="1:25">
      <c r="A23" s="1" t="s">
        <v>23</v>
      </c>
      <c r="B23" s="1">
        <v>60</v>
      </c>
      <c r="C23" s="12">
        <f>+'Flow rate'!E22</f>
        <v>0.25565300000000002</v>
      </c>
      <c r="D23" s="1" t="s">
        <v>31</v>
      </c>
      <c r="E23" s="1" t="s">
        <v>32</v>
      </c>
      <c r="F23" s="1" t="s">
        <v>33</v>
      </c>
      <c r="G23" s="1">
        <v>-0.5</v>
      </c>
      <c r="H23" s="15">
        <v>46114.699189814812</v>
      </c>
      <c r="I23" s="2">
        <f t="shared" si="0"/>
        <v>0.17499999987194315</v>
      </c>
      <c r="J23">
        <v>470646</v>
      </c>
      <c r="K23">
        <v>3476138</v>
      </c>
      <c r="L23">
        <v>6438279</v>
      </c>
      <c r="N23">
        <v>29293460</v>
      </c>
      <c r="O23">
        <v>17208710</v>
      </c>
      <c r="P23" s="3">
        <f t="shared" si="1"/>
        <v>1.0361988580079222E-3</v>
      </c>
      <c r="Q23" s="3">
        <f t="shared" si="4"/>
        <v>8.0102038389199992E-2</v>
      </c>
      <c r="R23" s="3">
        <f t="shared" si="5"/>
        <v>0.1483598383086</v>
      </c>
      <c r="S23" s="3">
        <f t="shared" si="6"/>
        <v>0.51493909011183581</v>
      </c>
      <c r="T23" s="4">
        <f t="shared" si="7"/>
        <v>7.0122319180159642E-5</v>
      </c>
      <c r="U23" s="5">
        <f t="shared" si="2"/>
        <v>5.4207169400933069E-3</v>
      </c>
      <c r="V23" s="14"/>
      <c r="W23" s="3">
        <f t="shared" si="3"/>
        <v>5.4908392592734664E-3</v>
      </c>
      <c r="X23" s="3">
        <f t="shared" si="8"/>
        <v>0.36332396455996951</v>
      </c>
      <c r="Y23">
        <v>101.4933</v>
      </c>
    </row>
    <row r="24" spans="1:25">
      <c r="A24" s="1" t="s">
        <v>23</v>
      </c>
      <c r="B24" s="1">
        <v>60</v>
      </c>
      <c r="C24" s="12">
        <f>+'Flow rate'!E23</f>
        <v>0.25565300000000002</v>
      </c>
      <c r="D24" s="1" t="s">
        <v>31</v>
      </c>
      <c r="E24" s="1" t="s">
        <v>32</v>
      </c>
      <c r="F24" s="1" t="s">
        <v>33</v>
      </c>
      <c r="G24" s="1">
        <v>-0.5</v>
      </c>
      <c r="H24" s="15">
        <v>46114.699537037035</v>
      </c>
      <c r="I24" s="2">
        <f t="shared" si="0"/>
        <v>0.18333333323244005</v>
      </c>
      <c r="J24">
        <v>553838</v>
      </c>
      <c r="K24">
        <v>3818351</v>
      </c>
      <c r="L24">
        <v>6661653</v>
      </c>
      <c r="N24">
        <v>31121467</v>
      </c>
      <c r="O24">
        <v>14973722</v>
      </c>
      <c r="P24" s="3">
        <f t="shared" si="1"/>
        <v>1.219520475273554E-3</v>
      </c>
      <c r="Q24" s="3">
        <f t="shared" si="4"/>
        <v>8.7987789433399993E-2</v>
      </c>
      <c r="R24" s="3">
        <f t="shared" si="5"/>
        <v>0.1535071347402</v>
      </c>
      <c r="S24" s="3">
        <f t="shared" si="6"/>
        <v>0.54475748065812635</v>
      </c>
      <c r="T24" s="4">
        <f t="shared" si="7"/>
        <v>8.2528178209223942E-5</v>
      </c>
      <c r="U24" s="5">
        <f t="shared" si="2"/>
        <v>5.9543665841005795E-3</v>
      </c>
      <c r="V24" s="14"/>
      <c r="W24" s="3">
        <f t="shared" si="3"/>
        <v>6.0368947623098031E-3</v>
      </c>
      <c r="X24" s="3">
        <f t="shared" si="8"/>
        <v>0.37536541432826237</v>
      </c>
    </row>
    <row r="25" spans="1:25">
      <c r="A25" s="1" t="s">
        <v>23</v>
      </c>
      <c r="B25" s="1">
        <v>60</v>
      </c>
      <c r="C25" s="12">
        <f>+'Flow rate'!E24</f>
        <v>0.25565300000000002</v>
      </c>
      <c r="D25" s="1" t="s">
        <v>31</v>
      </c>
      <c r="E25" s="1" t="s">
        <v>32</v>
      </c>
      <c r="F25" s="1" t="s">
        <v>33</v>
      </c>
      <c r="G25" s="1">
        <v>-0.5</v>
      </c>
      <c r="H25" s="15">
        <v>46114.699884259258</v>
      </c>
      <c r="I25" s="2">
        <f t="shared" si="0"/>
        <v>0.19166666659293696</v>
      </c>
      <c r="J25">
        <v>591576</v>
      </c>
      <c r="K25">
        <v>3998453</v>
      </c>
      <c r="L25">
        <v>6745715</v>
      </c>
      <c r="N25">
        <v>31788764</v>
      </c>
      <c r="O25">
        <v>14041959</v>
      </c>
      <c r="P25" s="3">
        <f t="shared" si="1"/>
        <v>1.3026958296664766E-3</v>
      </c>
      <c r="Q25" s="3">
        <f t="shared" si="4"/>
        <v>9.213795186019999E-2</v>
      </c>
      <c r="R25" s="3">
        <f t="shared" si="5"/>
        <v>0.15544420903099998</v>
      </c>
      <c r="S25" s="3">
        <f t="shared" si="6"/>
        <v>0.55607361567402791</v>
      </c>
      <c r="T25" s="4">
        <f t="shared" si="7"/>
        <v>8.8156874577290025E-5</v>
      </c>
      <c r="U25" s="5">
        <f t="shared" si="2"/>
        <v>6.2352190595617628E-3</v>
      </c>
      <c r="V25" s="14"/>
      <c r="W25" s="3">
        <f t="shared" si="3"/>
        <v>6.3233759341390526E-3</v>
      </c>
      <c r="X25" s="3">
        <f t="shared" si="8"/>
        <v>0.38311350717830062</v>
      </c>
      <c r="Y25">
        <v>95.8643</v>
      </c>
    </row>
    <row r="26" spans="1:25">
      <c r="A26" s="1" t="s">
        <v>23</v>
      </c>
      <c r="B26" s="1">
        <v>60</v>
      </c>
      <c r="C26" s="12">
        <f>+'Flow rate'!E25</f>
        <v>0.25565300000000002</v>
      </c>
      <c r="D26" s="1" t="s">
        <v>31</v>
      </c>
      <c r="E26" s="1" t="s">
        <v>32</v>
      </c>
      <c r="F26" s="1" t="s">
        <v>33</v>
      </c>
      <c r="G26" s="1">
        <v>-0.5</v>
      </c>
      <c r="H26" s="15">
        <v>46114.700231481482</v>
      </c>
      <c r="I26" s="2">
        <f t="shared" si="0"/>
        <v>0.19999999995343387</v>
      </c>
      <c r="J26">
        <v>619587</v>
      </c>
      <c r="K26">
        <v>4329672</v>
      </c>
      <c r="L26">
        <v>6851016</v>
      </c>
      <c r="N26">
        <v>33284433</v>
      </c>
      <c r="O26">
        <v>12230107</v>
      </c>
      <c r="P26" s="3">
        <f t="shared" si="1"/>
        <v>1.3644391349735352E-3</v>
      </c>
      <c r="Q26" s="3">
        <f t="shared" si="4"/>
        <v>9.9770363764799988E-2</v>
      </c>
      <c r="R26" s="3">
        <f t="shared" si="5"/>
        <v>0.15787070209439999</v>
      </c>
      <c r="S26" s="3">
        <f t="shared" si="6"/>
        <v>0.5807300084629079</v>
      </c>
      <c r="T26" s="4">
        <f t="shared" si="7"/>
        <v>9.2335207460519781E-5</v>
      </c>
      <c r="U26" s="5">
        <f t="shared" si="2"/>
        <v>6.7517245734915205E-3</v>
      </c>
      <c r="V26" s="14"/>
      <c r="W26" s="3">
        <f t="shared" si="3"/>
        <v>6.8440597809520404E-3</v>
      </c>
      <c r="X26" s="3">
        <f t="shared" si="8"/>
        <v>0.39391720288500248</v>
      </c>
    </row>
    <row r="27" spans="1:25">
      <c r="A27" s="1" t="s">
        <v>23</v>
      </c>
      <c r="B27" s="1">
        <v>60</v>
      </c>
      <c r="C27" s="12">
        <f>+'Flow rate'!E26</f>
        <v>0.25565300000000002</v>
      </c>
      <c r="D27" s="1" t="s">
        <v>31</v>
      </c>
      <c r="E27" s="1" t="s">
        <v>32</v>
      </c>
      <c r="F27" s="1" t="s">
        <v>33</v>
      </c>
      <c r="G27" s="1">
        <v>-0.5</v>
      </c>
      <c r="H27" s="15">
        <v>46114.700578703705</v>
      </c>
      <c r="I27" s="2">
        <f t="shared" si="0"/>
        <v>0.20833333331393078</v>
      </c>
      <c r="J27">
        <v>609163</v>
      </c>
      <c r="K27">
        <v>4237348</v>
      </c>
      <c r="L27">
        <v>6835007</v>
      </c>
      <c r="N27">
        <v>33213802</v>
      </c>
      <c r="O27">
        <v>12285880</v>
      </c>
      <c r="P27" s="3">
        <f t="shared" si="1"/>
        <v>1.3414613675672676E-3</v>
      </c>
      <c r="Q27" s="3">
        <f t="shared" si="4"/>
        <v>9.764290490319999E-2</v>
      </c>
      <c r="R27" s="3">
        <f t="shared" si="5"/>
        <v>0.15750180030379998</v>
      </c>
      <c r="S27" s="3">
        <f t="shared" si="6"/>
        <v>0.58085178345330279</v>
      </c>
      <c r="T27" s="4">
        <f t="shared" si="7"/>
        <v>9.0780241125961776E-5</v>
      </c>
      <c r="U27" s="5">
        <f t="shared" si="2"/>
        <v>6.6077538016817801E-3</v>
      </c>
      <c r="V27" s="14"/>
      <c r="W27" s="3">
        <f t="shared" si="3"/>
        <v>6.6985340428077416E-3</v>
      </c>
      <c r="X27" s="3">
        <f t="shared" si="8"/>
        <v>0.38580749286424015</v>
      </c>
      <c r="Y27">
        <v>94.796999999999997</v>
      </c>
    </row>
    <row r="28" spans="1:25">
      <c r="A28" s="1" t="s">
        <v>23</v>
      </c>
      <c r="B28" s="1">
        <v>60</v>
      </c>
      <c r="C28" s="12">
        <f>+'Flow rate'!E27</f>
        <v>0.25565300000000002</v>
      </c>
      <c r="D28" s="1" t="s">
        <v>31</v>
      </c>
      <c r="E28" s="1" t="s">
        <v>32</v>
      </c>
      <c r="F28" s="1" t="s">
        <v>33</v>
      </c>
      <c r="G28" s="1">
        <v>-0.5</v>
      </c>
      <c r="H28" s="15">
        <v>46114.700925925928</v>
      </c>
      <c r="I28" s="2">
        <f t="shared" si="0"/>
        <v>0.21666666667442769</v>
      </c>
      <c r="J28">
        <v>600208</v>
      </c>
      <c r="K28">
        <v>4264759</v>
      </c>
      <c r="L28">
        <v>6777158</v>
      </c>
      <c r="N28">
        <v>33096882</v>
      </c>
      <c r="O28">
        <v>12493784</v>
      </c>
      <c r="P28" s="3">
        <f t="shared" si="1"/>
        <v>1.321722346435089E-3</v>
      </c>
      <c r="Q28" s="3">
        <f t="shared" si="4"/>
        <v>9.8274547540599999E-2</v>
      </c>
      <c r="R28" s="3">
        <f t="shared" si="5"/>
        <v>0.15616876265719998</v>
      </c>
      <c r="S28" s="3">
        <f t="shared" si="6"/>
        <v>0.57828530500984998</v>
      </c>
      <c r="T28" s="4">
        <f t="shared" si="7"/>
        <v>8.9444449323608749E-5</v>
      </c>
      <c r="U28" s="5">
        <f t="shared" si="2"/>
        <v>6.6504987306934861E-3</v>
      </c>
      <c r="V28" s="14"/>
      <c r="W28" s="3">
        <f t="shared" si="3"/>
        <v>6.739943180017095E-3</v>
      </c>
      <c r="X28" s="3">
        <f t="shared" si="8"/>
        <v>0.38366726566523701</v>
      </c>
    </row>
    <row r="29" spans="1:25">
      <c r="A29" s="1" t="s">
        <v>23</v>
      </c>
      <c r="B29" s="1">
        <v>60</v>
      </c>
      <c r="C29" s="12">
        <f>+'Flow rate'!E28</f>
        <v>0.25565300000000002</v>
      </c>
      <c r="D29" s="1" t="s">
        <v>31</v>
      </c>
      <c r="E29" s="1" t="s">
        <v>32</v>
      </c>
      <c r="F29" s="1" t="s">
        <v>33</v>
      </c>
      <c r="G29" s="1">
        <v>-0.5</v>
      </c>
      <c r="H29" s="15">
        <v>46114.701273148145</v>
      </c>
      <c r="I29" s="2">
        <f t="shared" si="0"/>
        <v>0.22499999986030161</v>
      </c>
      <c r="J29">
        <v>591310</v>
      </c>
      <c r="K29">
        <v>4204527</v>
      </c>
      <c r="L29">
        <v>6743480</v>
      </c>
      <c r="N29">
        <v>32987204</v>
      </c>
      <c r="O29">
        <v>12614889</v>
      </c>
      <c r="P29" s="3">
        <f t="shared" si="1"/>
        <v>1.3021095250171481E-3</v>
      </c>
      <c r="Q29" s="3">
        <f t="shared" si="4"/>
        <v>9.6886597471799993E-2</v>
      </c>
      <c r="R29" s="3">
        <f t="shared" si="5"/>
        <v>0.15539270703199998</v>
      </c>
      <c r="S29" s="3">
        <f t="shared" si="6"/>
        <v>0.57729068988672139</v>
      </c>
      <c r="T29" s="4">
        <f t="shared" si="7"/>
        <v>8.8117197789925046E-5</v>
      </c>
      <c r="U29" s="5">
        <f t="shared" si="2"/>
        <v>6.5565724761156479E-3</v>
      </c>
      <c r="V29" s="14"/>
      <c r="W29" s="3">
        <f t="shared" si="3"/>
        <v>6.6446896739055733E-3</v>
      </c>
      <c r="X29" s="3">
        <f t="shared" si="8"/>
        <v>0.38086091315086307</v>
      </c>
      <c r="Y29">
        <v>89.445800000000006</v>
      </c>
    </row>
    <row r="30" spans="1:25">
      <c r="A30" s="1" t="s">
        <v>23</v>
      </c>
      <c r="B30" s="1">
        <v>60</v>
      </c>
      <c r="C30" s="12">
        <f>+'Flow rate'!E29</f>
        <v>0.25565300000000002</v>
      </c>
      <c r="D30" s="1" t="s">
        <v>31</v>
      </c>
      <c r="E30" s="1" t="s">
        <v>32</v>
      </c>
      <c r="F30" s="1" t="s">
        <v>33</v>
      </c>
      <c r="G30" s="1">
        <v>-0.5</v>
      </c>
      <c r="H30" s="15">
        <v>46114.701620370368</v>
      </c>
      <c r="I30" s="2">
        <f t="shared" si="0"/>
        <v>0.23333333322079852</v>
      </c>
      <c r="J30">
        <v>578179</v>
      </c>
      <c r="K30">
        <v>4235740</v>
      </c>
      <c r="L30">
        <v>6681639</v>
      </c>
      <c r="N30">
        <v>32844179</v>
      </c>
      <c r="O30">
        <v>12874109</v>
      </c>
      <c r="P30" s="3">
        <f t="shared" si="1"/>
        <v>1.2731674119739209E-3</v>
      </c>
      <c r="Q30" s="3">
        <f t="shared" si="4"/>
        <v>9.7605851115999995E-2</v>
      </c>
      <c r="R30" s="3">
        <f t="shared" si="5"/>
        <v>0.15396768013259998</v>
      </c>
      <c r="S30" s="3">
        <f t="shared" si="6"/>
        <v>0.57405997492285343</v>
      </c>
      <c r="T30" s="4">
        <f t="shared" si="7"/>
        <v>8.6158608400561007E-5</v>
      </c>
      <c r="U30" s="5">
        <f t="shared" si="2"/>
        <v>6.6052462738334389E-3</v>
      </c>
      <c r="V30" s="14"/>
      <c r="W30" s="3">
        <f t="shared" si="3"/>
        <v>6.691404882234E-3</v>
      </c>
      <c r="X30" s="3">
        <f t="shared" si="8"/>
        <v>0.38461629264159169</v>
      </c>
    </row>
    <row r="31" spans="1:25">
      <c r="A31" s="1" t="s">
        <v>23</v>
      </c>
      <c r="B31" s="1">
        <v>60</v>
      </c>
      <c r="C31" s="12">
        <f>+'Flow rate'!E30</f>
        <v>0.25565300000000002</v>
      </c>
      <c r="D31" s="1" t="s">
        <v>31</v>
      </c>
      <c r="E31" s="1" t="s">
        <v>32</v>
      </c>
      <c r="F31" s="1" t="s">
        <v>33</v>
      </c>
      <c r="G31" s="1">
        <v>-0.5</v>
      </c>
      <c r="H31" s="15">
        <v>46114.701967592591</v>
      </c>
      <c r="I31" s="2">
        <f t="shared" si="0"/>
        <v>0.24166666658129543</v>
      </c>
      <c r="J31">
        <v>571663</v>
      </c>
      <c r="K31">
        <v>4197353</v>
      </c>
      <c r="L31">
        <v>6613668</v>
      </c>
      <c r="N31">
        <v>32717048</v>
      </c>
      <c r="O31">
        <v>13005399</v>
      </c>
      <c r="P31" s="3">
        <f t="shared" si="1"/>
        <v>1.2588059081342861E-3</v>
      </c>
      <c r="Q31" s="3">
        <f t="shared" si="4"/>
        <v>9.6721284120199993E-2</v>
      </c>
      <c r="R31" s="3">
        <f t="shared" si="5"/>
        <v>0.15240139719119999</v>
      </c>
      <c r="S31" s="3">
        <f t="shared" si="6"/>
        <v>0.5729265904319526</v>
      </c>
      <c r="T31" s="4">
        <f t="shared" si="7"/>
        <v>8.5186727425816435E-5</v>
      </c>
      <c r="U31" s="5">
        <f t="shared" si="2"/>
        <v>6.5453852840858051E-3</v>
      </c>
      <c r="V31" s="14"/>
      <c r="W31" s="3">
        <f t="shared" si="3"/>
        <v>6.6305720115116219E-3</v>
      </c>
      <c r="X31" s="3">
        <f t="shared" si="8"/>
        <v>0.38364108107673339</v>
      </c>
      <c r="Y31">
        <v>88.078999999999994</v>
      </c>
    </row>
    <row r="32" spans="1:25">
      <c r="A32" s="1" t="s">
        <v>23</v>
      </c>
      <c r="B32" s="1">
        <v>60</v>
      </c>
      <c r="C32" s="12">
        <f>+'Flow rate'!E31</f>
        <v>0.25565300000000002</v>
      </c>
      <c r="D32" s="1" t="s">
        <v>31</v>
      </c>
      <c r="E32" s="1" t="s">
        <v>32</v>
      </c>
      <c r="F32" s="1" t="s">
        <v>33</v>
      </c>
      <c r="G32" s="1">
        <v>-0.5</v>
      </c>
      <c r="H32" s="15">
        <v>46114.702314814815</v>
      </c>
      <c r="I32" s="2">
        <f t="shared" si="0"/>
        <v>0.24999999994179234</v>
      </c>
      <c r="J32">
        <v>561134</v>
      </c>
      <c r="K32">
        <v>4149850</v>
      </c>
      <c r="L32">
        <v>6574146</v>
      </c>
      <c r="N32">
        <v>32537546</v>
      </c>
      <c r="O32">
        <v>13313630</v>
      </c>
      <c r="P32" s="3">
        <f t="shared" si="1"/>
        <v>1.2356002346480298E-3</v>
      </c>
      <c r="Q32" s="3">
        <f t="shared" si="4"/>
        <v>9.5626653489999991E-2</v>
      </c>
      <c r="R32" s="3">
        <f t="shared" si="5"/>
        <v>0.15149067593639998</v>
      </c>
      <c r="S32" s="3">
        <f t="shared" si="6"/>
        <v>0.56947234215666653</v>
      </c>
      <c r="T32" s="4">
        <f t="shared" si="7"/>
        <v>8.3616338083637305E-5</v>
      </c>
      <c r="U32" s="5">
        <f t="shared" si="2"/>
        <v>6.471308732232786E-3</v>
      </c>
      <c r="V32" s="14"/>
      <c r="W32" s="3">
        <f t="shared" si="3"/>
        <v>6.5549250703164233E-3</v>
      </c>
      <c r="X32" s="3">
        <f t="shared" si="8"/>
        <v>0.38312830304309964</v>
      </c>
      <c r="Y32">
        <v>87.852100000000007</v>
      </c>
    </row>
    <row r="33" spans="1:25">
      <c r="A33" s="1" t="s">
        <v>23</v>
      </c>
      <c r="B33" s="1">
        <v>60</v>
      </c>
      <c r="C33" s="12">
        <f>+'Flow rate'!E32</f>
        <v>0.25565300000000002</v>
      </c>
      <c r="D33" s="1" t="s">
        <v>31</v>
      </c>
      <c r="E33" s="1" t="s">
        <v>32</v>
      </c>
      <c r="F33" s="1" t="s">
        <v>33</v>
      </c>
      <c r="G33" s="1">
        <v>-0.5</v>
      </c>
      <c r="H33" s="15">
        <v>46114.702662037038</v>
      </c>
      <c r="I33" s="2">
        <f t="shared" si="0"/>
        <v>0.25833333330228925</v>
      </c>
      <c r="J33">
        <v>550855</v>
      </c>
      <c r="K33">
        <v>4122414</v>
      </c>
      <c r="L33">
        <v>6509575</v>
      </c>
      <c r="N33">
        <v>32333184</v>
      </c>
      <c r="O33">
        <v>13481317</v>
      </c>
      <c r="P33" s="3">
        <f t="shared" si="1"/>
        <v>1.212946306301821E-3</v>
      </c>
      <c r="Q33" s="3">
        <f t="shared" si="4"/>
        <v>9.49944347676E-2</v>
      </c>
      <c r="R33" s="3">
        <f t="shared" si="5"/>
        <v>0.15000274055499999</v>
      </c>
      <c r="S33" s="3">
        <f t="shared" si="6"/>
        <v>0.56727526518998383</v>
      </c>
      <c r="T33" s="4">
        <f t="shared" si="7"/>
        <v>8.20832867953631E-5</v>
      </c>
      <c r="U33" s="5">
        <f t="shared" si="2"/>
        <v>6.4285248180244326E-3</v>
      </c>
      <c r="V33" s="14"/>
      <c r="W33" s="3">
        <f t="shared" si="3"/>
        <v>6.5106081048197954E-3</v>
      </c>
      <c r="X33" s="3">
        <f t="shared" si="8"/>
        <v>0.38397750687820753</v>
      </c>
    </row>
    <row r="34" spans="1:25">
      <c r="A34" s="1" t="s">
        <v>23</v>
      </c>
      <c r="B34" s="1">
        <v>60</v>
      </c>
      <c r="C34" s="12">
        <f>+'Flow rate'!E33</f>
        <v>0.25565300000000002</v>
      </c>
      <c r="D34" s="1" t="s">
        <v>31</v>
      </c>
      <c r="E34" s="1" t="s">
        <v>32</v>
      </c>
      <c r="F34" s="1" t="s">
        <v>33</v>
      </c>
      <c r="G34" s="1">
        <v>-0.5</v>
      </c>
      <c r="H34" s="15">
        <v>46114.703009259261</v>
      </c>
      <c r="I34" s="2">
        <f t="shared" si="0"/>
        <v>0.26666666666278616</v>
      </c>
      <c r="J34">
        <v>524038</v>
      </c>
      <c r="K34">
        <v>4042048</v>
      </c>
      <c r="L34">
        <v>6475210</v>
      </c>
      <c r="N34">
        <v>32166368</v>
      </c>
      <c r="O34">
        <v>13831645</v>
      </c>
      <c r="P34" s="3">
        <f t="shared" si="1"/>
        <v>1.1538477075091775E-3</v>
      </c>
      <c r="Q34" s="3">
        <f t="shared" si="4"/>
        <v>9.3142528883199988E-2</v>
      </c>
      <c r="R34" s="3">
        <f t="shared" si="5"/>
        <v>0.14921085411399998</v>
      </c>
      <c r="S34" s="3">
        <f t="shared" si="6"/>
        <v>0.56393333937478096</v>
      </c>
      <c r="T34" s="4">
        <f t="shared" si="7"/>
        <v>7.8083928201584107E-5</v>
      </c>
      <c r="U34" s="5">
        <f t="shared" si="2"/>
        <v>6.3032014454749126E-3</v>
      </c>
      <c r="V34" s="14"/>
      <c r="W34" s="3">
        <f t="shared" si="3"/>
        <v>6.3812853736764964E-3</v>
      </c>
      <c r="X34" s="3">
        <f t="shared" si="8"/>
        <v>0.38074360736060398</v>
      </c>
      <c r="Y34">
        <v>78.671199999999999</v>
      </c>
    </row>
    <row r="35" spans="1:25">
      <c r="A35" s="1" t="s">
        <v>23</v>
      </c>
      <c r="B35" s="1">
        <v>60</v>
      </c>
      <c r="C35" s="12">
        <f>+'Flow rate'!E34</f>
        <v>0.25565300000000002</v>
      </c>
      <c r="D35" s="1" t="s">
        <v>31</v>
      </c>
      <c r="E35" s="1" t="s">
        <v>32</v>
      </c>
      <c r="F35" s="1" t="s">
        <v>33</v>
      </c>
      <c r="G35" s="1">
        <v>-0.5</v>
      </c>
      <c r="H35" s="15">
        <v>46114.703356481485</v>
      </c>
      <c r="I35" s="2">
        <f t="shared" si="0"/>
        <v>0.27500000002328306</v>
      </c>
      <c r="J35">
        <v>536923</v>
      </c>
      <c r="K35">
        <v>4021016</v>
      </c>
      <c r="L35">
        <v>6402412</v>
      </c>
      <c r="N35">
        <v>31916874</v>
      </c>
      <c r="O35">
        <v>14031207</v>
      </c>
      <c r="P35" s="3">
        <f t="shared" si="1"/>
        <v>1.1822427011555616E-3</v>
      </c>
      <c r="Q35" s="3">
        <f t="shared" si="4"/>
        <v>9.26578800944E-2</v>
      </c>
      <c r="R35" s="3">
        <f t="shared" si="5"/>
        <v>0.14753334068079998</v>
      </c>
      <c r="S35" s="3">
        <f t="shared" si="6"/>
        <v>0.56084613260825744</v>
      </c>
      <c r="T35" s="4">
        <f t="shared" si="7"/>
        <v>8.0005492573328606E-5</v>
      </c>
      <c r="U35" s="5">
        <f t="shared" si="2"/>
        <v>6.270403979239671E-3</v>
      </c>
      <c r="V35" s="14"/>
      <c r="W35" s="3">
        <f t="shared" si="3"/>
        <v>6.3504094718129997E-3</v>
      </c>
      <c r="X35" s="3">
        <f t="shared" si="8"/>
        <v>0.38184143700956574</v>
      </c>
    </row>
    <row r="36" spans="1:25">
      <c r="A36" s="1" t="s">
        <v>23</v>
      </c>
      <c r="B36" s="1">
        <v>60</v>
      </c>
      <c r="C36" s="12">
        <f>+'Flow rate'!E35</f>
        <v>0.30409799999999998</v>
      </c>
      <c r="D36" s="1" t="s">
        <v>31</v>
      </c>
      <c r="E36" s="1" t="s">
        <v>32</v>
      </c>
      <c r="F36" s="1" t="s">
        <v>33</v>
      </c>
      <c r="G36" s="1">
        <v>-0.5</v>
      </c>
      <c r="H36" s="15">
        <v>46114.703703703701</v>
      </c>
      <c r="I36" s="2">
        <f t="shared" si="0"/>
        <v>0.28333333320915699</v>
      </c>
      <c r="J36">
        <v>505123</v>
      </c>
      <c r="K36">
        <v>3901307</v>
      </c>
      <c r="L36">
        <v>6369496</v>
      </c>
      <c r="N36">
        <v>31755850</v>
      </c>
      <c r="O36">
        <v>14379358</v>
      </c>
      <c r="P36" s="3">
        <f t="shared" si="1"/>
        <v>1.1121663652123367E-3</v>
      </c>
      <c r="Q36" s="3">
        <f t="shared" si="4"/>
        <v>8.9899377723799995E-2</v>
      </c>
      <c r="R36" s="3">
        <f t="shared" si="5"/>
        <v>0.14677484412639999</v>
      </c>
      <c r="S36" s="3">
        <f t="shared" si="6"/>
        <v>0.55799011139015431</v>
      </c>
      <c r="T36" s="4">
        <f t="shared" si="7"/>
        <v>8.9525259625994498E-5</v>
      </c>
      <c r="U36" s="5">
        <f t="shared" si="2"/>
        <v>7.2365658436379272E-3</v>
      </c>
      <c r="V36" s="14"/>
      <c r="W36" s="3">
        <f t="shared" si="3"/>
        <v>7.3260911032639216E-3</v>
      </c>
      <c r="X36" s="3">
        <f t="shared" si="8"/>
        <v>0.37597461653076847</v>
      </c>
      <c r="Y36">
        <v>77.773499999999999</v>
      </c>
    </row>
    <row r="37" spans="1:25">
      <c r="A37" s="1" t="s">
        <v>23</v>
      </c>
      <c r="B37" s="1">
        <v>60</v>
      </c>
      <c r="C37" s="12">
        <f>+'Flow rate'!E36</f>
        <v>0.30409799999999998</v>
      </c>
      <c r="D37" s="1" t="s">
        <v>31</v>
      </c>
      <c r="E37" s="1" t="s">
        <v>32</v>
      </c>
      <c r="F37" s="1" t="s">
        <v>33</v>
      </c>
      <c r="G37" s="1">
        <v>-0.5</v>
      </c>
      <c r="H37" s="15">
        <v>46114.704050925924</v>
      </c>
      <c r="I37" s="2">
        <f t="shared" si="0"/>
        <v>0.2916666665696539</v>
      </c>
      <c r="J37">
        <v>490970</v>
      </c>
      <c r="K37">
        <v>3930967</v>
      </c>
      <c r="L37">
        <v>6315409</v>
      </c>
      <c r="N37">
        <v>31446888</v>
      </c>
      <c r="O37">
        <v>14643970</v>
      </c>
      <c r="P37" s="3">
        <f t="shared" si="1"/>
        <v>1.0809802716972147E-3</v>
      </c>
      <c r="Q37" s="3">
        <f t="shared" si="4"/>
        <v>9.0582844967799989E-2</v>
      </c>
      <c r="R37" s="3">
        <f t="shared" si="5"/>
        <v>0.14552849575059998</v>
      </c>
      <c r="S37" s="3">
        <f t="shared" si="6"/>
        <v>0.55336762006414986</v>
      </c>
      <c r="T37" s="4">
        <f t="shared" si="7"/>
        <v>8.7014894984523982E-5</v>
      </c>
      <c r="U37" s="5">
        <f t="shared" si="2"/>
        <v>7.2915824170381484E-3</v>
      </c>
      <c r="V37" s="14"/>
      <c r="W37" s="3">
        <f t="shared" si="3"/>
        <v>7.3785973120226722E-3</v>
      </c>
      <c r="X37" s="3">
        <f t="shared" si="8"/>
        <v>0.38041448010374923</v>
      </c>
    </row>
    <row r="38" spans="1:25">
      <c r="A38" s="1" t="s">
        <v>23</v>
      </c>
      <c r="B38" s="1">
        <v>60</v>
      </c>
      <c r="C38" s="12">
        <f>+'Flow rate'!E37</f>
        <v>0.36975799999999998</v>
      </c>
      <c r="D38" s="1" t="s">
        <v>31</v>
      </c>
      <c r="E38" s="1" t="s">
        <v>32</v>
      </c>
      <c r="F38" s="1" t="s">
        <v>33</v>
      </c>
      <c r="G38" s="1">
        <v>-0.5</v>
      </c>
      <c r="H38" s="15">
        <v>46114.704398148147</v>
      </c>
      <c r="I38" s="2">
        <f t="shared" si="0"/>
        <v>0.29999999993015081</v>
      </c>
      <c r="J38">
        <v>461896</v>
      </c>
      <c r="K38">
        <v>3633223</v>
      </c>
      <c r="L38">
        <v>6146178</v>
      </c>
      <c r="N38">
        <v>30838369</v>
      </c>
      <c r="O38">
        <v>15615746</v>
      </c>
      <c r="P38" s="3">
        <f t="shared" si="1"/>
        <v>1.0169202111919404E-3</v>
      </c>
      <c r="Q38" s="3">
        <f t="shared" si="4"/>
        <v>8.3721810878199993E-2</v>
      </c>
      <c r="R38" s="3">
        <f t="shared" si="5"/>
        <v>0.1416288381252</v>
      </c>
      <c r="S38" s="3">
        <f t="shared" si="6"/>
        <v>0.54393059177345782</v>
      </c>
      <c r="T38" s="4">
        <f t="shared" si="7"/>
        <v>9.9532915739820326E-5</v>
      </c>
      <c r="U38" s="5">
        <f t="shared" si="2"/>
        <v>8.1944245536803625E-3</v>
      </c>
      <c r="V38" s="14"/>
      <c r="W38" s="3">
        <f t="shared" si="3"/>
        <v>8.2939574694201827E-3</v>
      </c>
      <c r="X38" s="3">
        <f t="shared" si="8"/>
        <v>0.36322353951960462</v>
      </c>
      <c r="Y38">
        <v>91.524000000000001</v>
      </c>
    </row>
    <row r="39" spans="1:25">
      <c r="A39" s="1" t="s">
        <v>23</v>
      </c>
      <c r="B39" s="1">
        <v>60</v>
      </c>
      <c r="C39" s="12">
        <f>+'Flow rate'!E38</f>
        <v>0.36975799999999998</v>
      </c>
      <c r="D39" s="1" t="s">
        <v>31</v>
      </c>
      <c r="E39" s="1" t="s">
        <v>32</v>
      </c>
      <c r="F39" s="1" t="s">
        <v>33</v>
      </c>
      <c r="G39" s="1">
        <v>-0.5</v>
      </c>
      <c r="H39" s="15">
        <v>46114.704745370371</v>
      </c>
      <c r="I39" s="2">
        <f t="shared" si="0"/>
        <v>0.30833333329064772</v>
      </c>
      <c r="J39">
        <v>429769</v>
      </c>
      <c r="K39">
        <v>3494429</v>
      </c>
      <c r="L39">
        <v>5850709</v>
      </c>
      <c r="N39">
        <v>29463265</v>
      </c>
      <c r="O39">
        <v>17285161</v>
      </c>
      <c r="P39" s="3">
        <f t="shared" si="1"/>
        <v>9.4614024041674212E-4</v>
      </c>
      <c r="Q39" s="3">
        <f t="shared" si="4"/>
        <v>8.0523525218599998E-2</v>
      </c>
      <c r="R39" s="3">
        <f t="shared" si="5"/>
        <v>0.13482022777059999</v>
      </c>
      <c r="S39" s="3">
        <f t="shared" si="6"/>
        <v>0.52125845091265233</v>
      </c>
      <c r="T39" s="4">
        <f t="shared" si="7"/>
        <v>9.260519733113876E-5</v>
      </c>
      <c r="U39" s="5">
        <f t="shared" si="2"/>
        <v>7.8813865261484657E-3</v>
      </c>
      <c r="V39" s="14"/>
      <c r="W39" s="3">
        <f t="shared" si="3"/>
        <v>7.9739917234796041E-3</v>
      </c>
      <c r="X39" s="3">
        <f t="shared" si="8"/>
        <v>0.35621678971660897</v>
      </c>
    </row>
    <row r="40" spans="1:25">
      <c r="A40" s="1" t="s">
        <v>23</v>
      </c>
      <c r="B40" s="1">
        <v>60</v>
      </c>
      <c r="C40" s="12">
        <f>+'Flow rate'!E39</f>
        <v>0.36975799999999998</v>
      </c>
      <c r="D40" s="1" t="s">
        <v>31</v>
      </c>
      <c r="E40" s="1" t="s">
        <v>32</v>
      </c>
      <c r="F40" s="1" t="s">
        <v>33</v>
      </c>
      <c r="G40" s="1">
        <v>-0.5</v>
      </c>
      <c r="H40" s="15">
        <v>46114.705092592594</v>
      </c>
      <c r="I40" s="2">
        <f t="shared" si="0"/>
        <v>0.31666666665114462</v>
      </c>
      <c r="J40">
        <v>388978</v>
      </c>
      <c r="K40">
        <v>3024119</v>
      </c>
      <c r="L40">
        <v>5550746</v>
      </c>
      <c r="N40">
        <v>28191196</v>
      </c>
      <c r="O40">
        <v>19120109</v>
      </c>
      <c r="P40" s="3">
        <f t="shared" si="1"/>
        <v>8.5628279011245212E-4</v>
      </c>
      <c r="Q40" s="3">
        <f t="shared" si="4"/>
        <v>6.9685983764600001E-2</v>
      </c>
      <c r="R40" s="3">
        <f t="shared" si="5"/>
        <v>0.12790806037639998</v>
      </c>
      <c r="S40" s="3">
        <f t="shared" si="6"/>
        <v>0.50095285400226752</v>
      </c>
      <c r="T40" s="4">
        <f t="shared" ref="T40:T48" si="9">+P40*C40/1000/60/24.3*2*96485/-1/G40</f>
        <v>8.3810235906142682E-5</v>
      </c>
      <c r="U40" s="5">
        <f t="shared" ref="U40:U48" si="10">+Q40*C40/1000/60/24.3*2*96485/-1/G40</f>
        <v>6.8206424397432523E-3</v>
      </c>
      <c r="V40" s="14"/>
      <c r="W40" s="3">
        <f t="shared" si="3"/>
        <v>6.9044526756493951E-3</v>
      </c>
      <c r="X40" s="3">
        <f t="shared" si="8"/>
        <v>0.32977328869501171</v>
      </c>
      <c r="Y40">
        <v>91.524000000000001</v>
      </c>
    </row>
    <row r="41" spans="1:25">
      <c r="A41" s="1" t="s">
        <v>23</v>
      </c>
      <c r="B41" s="1">
        <v>60</v>
      </c>
      <c r="C41" s="12">
        <f>+'Flow rate'!E40</f>
        <v>0.36975799999999998</v>
      </c>
      <c r="D41" s="1" t="s">
        <v>31</v>
      </c>
      <c r="E41" s="1" t="s">
        <v>32</v>
      </c>
      <c r="F41" s="1" t="s">
        <v>33</v>
      </c>
      <c r="G41" s="1">
        <v>-0.5</v>
      </c>
      <c r="H41" s="15">
        <v>46114.705439814818</v>
      </c>
      <c r="I41" s="2">
        <f t="shared" si="0"/>
        <v>0.32500000001164153</v>
      </c>
      <c r="J41">
        <v>353532</v>
      </c>
      <c r="K41">
        <v>2876760</v>
      </c>
      <c r="L41">
        <v>5097111</v>
      </c>
      <c r="N41">
        <v>26715331</v>
      </c>
      <c r="O41">
        <v>20962756</v>
      </c>
      <c r="P41" s="3">
        <f t="shared" si="1"/>
        <v>7.7820919064999045E-4</v>
      </c>
      <c r="Q41" s="3">
        <f t="shared" si="4"/>
        <v>6.6290331383999992E-2</v>
      </c>
      <c r="R41" s="3">
        <f t="shared" si="5"/>
        <v>0.11745476761739999</v>
      </c>
      <c r="S41" s="3">
        <f t="shared" si="6"/>
        <v>0.47701271786033833</v>
      </c>
      <c r="T41" s="4">
        <f t="shared" si="9"/>
        <v>7.6168640320493588E-5</v>
      </c>
      <c r="U41" s="5">
        <f t="shared" si="10"/>
        <v>6.4882867853268342E-3</v>
      </c>
      <c r="V41" s="14"/>
      <c r="W41" s="3">
        <f t="shared" si="3"/>
        <v>6.5644554256473276E-3</v>
      </c>
      <c r="X41" s="3">
        <f t="shared" si="8"/>
        <v>0.32962133695347412</v>
      </c>
    </row>
    <row r="42" spans="1:25">
      <c r="A42" s="1" t="s">
        <v>23</v>
      </c>
      <c r="B42" s="1">
        <v>60</v>
      </c>
      <c r="C42" s="12">
        <f>+'Flow rate'!E41</f>
        <v>0.36975799999999998</v>
      </c>
      <c r="D42" s="1" t="s">
        <v>31</v>
      </c>
      <c r="E42" s="1" t="s">
        <v>32</v>
      </c>
      <c r="F42" s="1" t="s">
        <v>33</v>
      </c>
      <c r="G42" s="1">
        <v>-0.5</v>
      </c>
      <c r="H42" s="15">
        <v>46114.705787037034</v>
      </c>
      <c r="I42" s="2">
        <f t="shared" si="0"/>
        <v>0.33333333319751546</v>
      </c>
      <c r="J42">
        <v>314596</v>
      </c>
      <c r="K42">
        <v>2720472</v>
      </c>
      <c r="L42">
        <v>4816454</v>
      </c>
      <c r="N42">
        <v>25647959</v>
      </c>
      <c r="O42">
        <v>22467486</v>
      </c>
      <c r="P42" s="3">
        <f t="shared" si="1"/>
        <v>6.9245866118567052E-4</v>
      </c>
      <c r="Q42" s="3">
        <f t="shared" si="4"/>
        <v>6.2688924484799999E-2</v>
      </c>
      <c r="R42" s="3">
        <f t="shared" si="5"/>
        <v>0.11098747610359999</v>
      </c>
      <c r="S42" s="3">
        <f t="shared" si="6"/>
        <v>0.45826958963132663</v>
      </c>
      <c r="T42" s="4">
        <f t="shared" si="9"/>
        <v>6.777565124437602E-5</v>
      </c>
      <c r="U42" s="5">
        <f t="shared" si="10"/>
        <v>6.1357925330759819E-3</v>
      </c>
      <c r="V42" s="14"/>
      <c r="W42" s="3">
        <f t="shared" si="3"/>
        <v>6.203568184320358E-3</v>
      </c>
      <c r="X42" s="3">
        <f t="shared" si="8"/>
        <v>0.32890826961639746</v>
      </c>
      <c r="Y42">
        <v>91.524000000000001</v>
      </c>
    </row>
    <row r="43" spans="1:25">
      <c r="A43" s="1" t="s">
        <v>23</v>
      </c>
      <c r="B43" s="1">
        <v>60</v>
      </c>
      <c r="C43" s="12">
        <f>+'Flow rate'!E42</f>
        <v>0.36975799999999998</v>
      </c>
      <c r="D43" s="1" t="s">
        <v>31</v>
      </c>
      <c r="E43" s="1" t="s">
        <v>32</v>
      </c>
      <c r="F43" s="1" t="s">
        <v>33</v>
      </c>
      <c r="G43" s="1">
        <v>-0.5</v>
      </c>
      <c r="H43" s="15">
        <v>46114.706134259257</v>
      </c>
      <c r="I43" s="2">
        <f t="shared" si="0"/>
        <v>0.34166666655801237</v>
      </c>
      <c r="J43">
        <v>285505</v>
      </c>
      <c r="K43">
        <v>2402112</v>
      </c>
      <c r="L43">
        <v>4428258</v>
      </c>
      <c r="N43">
        <v>24409304</v>
      </c>
      <c r="O43">
        <v>24009960</v>
      </c>
      <c r="P43" s="3">
        <f t="shared" si="1"/>
        <v>6.2839717213346649E-4</v>
      </c>
      <c r="Q43" s="3">
        <f t="shared" si="4"/>
        <v>5.5352827660799998E-2</v>
      </c>
      <c r="R43" s="3">
        <f t="shared" si="5"/>
        <v>0.1020421203972</v>
      </c>
      <c r="S43" s="3">
        <f t="shared" si="6"/>
        <v>0.43952899802771717</v>
      </c>
      <c r="T43" s="4">
        <f t="shared" si="9"/>
        <v>6.1505516457176912E-5</v>
      </c>
      <c r="U43" s="5">
        <f t="shared" si="10"/>
        <v>5.4177587099636442E-3</v>
      </c>
      <c r="V43" s="14"/>
      <c r="W43" s="3">
        <f t="shared" si="3"/>
        <v>5.4792642264208215E-3</v>
      </c>
      <c r="X43" s="3">
        <f t="shared" si="8"/>
        <v>0.32031478461168578</v>
      </c>
    </row>
    <row r="44" spans="1:25">
      <c r="A44" s="1" t="s">
        <v>23</v>
      </c>
      <c r="B44" s="1">
        <v>60</v>
      </c>
      <c r="C44" s="12">
        <f>+'Flow rate'!E43</f>
        <v>0.36975799999999998</v>
      </c>
      <c r="D44" s="1" t="s">
        <v>31</v>
      </c>
      <c r="E44" s="1" t="s">
        <v>32</v>
      </c>
      <c r="F44" s="1" t="s">
        <v>33</v>
      </c>
      <c r="G44" s="1">
        <v>-0.5</v>
      </c>
      <c r="H44" s="15">
        <v>46114.70648148148</v>
      </c>
      <c r="I44" s="2">
        <f t="shared" si="0"/>
        <v>0.34999999991850927</v>
      </c>
      <c r="J44">
        <v>254463</v>
      </c>
      <c r="K44">
        <v>2308582</v>
      </c>
      <c r="L44">
        <v>4168706</v>
      </c>
      <c r="N44">
        <v>23527175</v>
      </c>
      <c r="O44">
        <v>25289200</v>
      </c>
      <c r="P44" s="3">
        <f t="shared" si="1"/>
        <v>5.6004592604203896E-4</v>
      </c>
      <c r="Q44" s="3">
        <f t="shared" si="4"/>
        <v>5.3197578458799993E-2</v>
      </c>
      <c r="R44" s="3">
        <f t="shared" si="5"/>
        <v>9.6061159840399993E-2</v>
      </c>
      <c r="S44" s="3">
        <f t="shared" si="6"/>
        <v>0.42354579162580569</v>
      </c>
      <c r="T44" s="4">
        <f t="shared" si="9"/>
        <v>5.4815513895465891E-5</v>
      </c>
      <c r="U44" s="5">
        <f t="shared" si="10"/>
        <v>5.2068097733016976E-3</v>
      </c>
      <c r="V44" s="14"/>
      <c r="W44" s="3">
        <f t="shared" si="3"/>
        <v>5.2616252871971634E-3</v>
      </c>
      <c r="X44" s="3">
        <f t="shared" si="8"/>
        <v>0.32400987166942036</v>
      </c>
      <c r="Y44">
        <v>91.524000000000001</v>
      </c>
    </row>
    <row r="45" spans="1:25">
      <c r="A45" s="1" t="s">
        <v>23</v>
      </c>
      <c r="B45" s="1">
        <v>60</v>
      </c>
      <c r="C45" s="12">
        <f>+'Flow rate'!E44</f>
        <v>0.36975799999999998</v>
      </c>
      <c r="D45" s="1" t="s">
        <v>31</v>
      </c>
      <c r="E45" s="1" t="s">
        <v>32</v>
      </c>
      <c r="F45" s="1" t="s">
        <v>33</v>
      </c>
      <c r="G45" s="1">
        <v>-0.5</v>
      </c>
      <c r="H45" s="15">
        <v>46114.706828703704</v>
      </c>
      <c r="I45" s="2">
        <f t="shared" si="0"/>
        <v>0.35833333327900618</v>
      </c>
      <c r="J45">
        <v>229897</v>
      </c>
      <c r="K45">
        <v>1988727</v>
      </c>
      <c r="L45">
        <v>3815475</v>
      </c>
      <c r="N45">
        <v>22485156</v>
      </c>
      <c r="O45">
        <v>26561493</v>
      </c>
      <c r="P45" s="3">
        <f t="shared" si="1"/>
        <v>5.059589523729105E-4</v>
      </c>
      <c r="Q45" s="3">
        <f t="shared" si="4"/>
        <v>4.5827031751799994E-2</v>
      </c>
      <c r="R45" s="3">
        <f t="shared" si="5"/>
        <v>8.7921516615E-2</v>
      </c>
      <c r="S45" s="3">
        <f t="shared" si="6"/>
        <v>0.40822168936413139</v>
      </c>
      <c r="T45" s="4">
        <f t="shared" si="9"/>
        <v>4.9521652947888421E-5</v>
      </c>
      <c r="U45" s="5">
        <f t="shared" si="10"/>
        <v>4.4854041052165205E-3</v>
      </c>
      <c r="V45" s="14"/>
      <c r="W45" s="3">
        <f t="shared" si="3"/>
        <v>4.5349257581644093E-3</v>
      </c>
      <c r="X45" s="3">
        <f t="shared" si="8"/>
        <v>0.30991610546074205</v>
      </c>
    </row>
    <row r="46" spans="1:25">
      <c r="A46" s="1" t="s">
        <v>23</v>
      </c>
      <c r="B46" s="1">
        <v>60</v>
      </c>
      <c r="C46" s="12">
        <f>+'Flow rate'!E45</f>
        <v>0.36975799999999998</v>
      </c>
      <c r="D46" s="1" t="s">
        <v>31</v>
      </c>
      <c r="E46" s="1" t="s">
        <v>32</v>
      </c>
      <c r="F46" s="1" t="s">
        <v>33</v>
      </c>
      <c r="G46" s="1">
        <v>-0.5</v>
      </c>
      <c r="H46" s="15">
        <v>46114.707187499997</v>
      </c>
      <c r="I46" s="2">
        <f t="shared" si="0"/>
        <v>0.36694444430759177</v>
      </c>
      <c r="J46">
        <v>205725</v>
      </c>
      <c r="K46">
        <v>1868376</v>
      </c>
      <c r="L46">
        <v>3583252</v>
      </c>
      <c r="N46">
        <v>21762333</v>
      </c>
      <c r="O46">
        <v>27613213</v>
      </c>
      <c r="P46" s="3">
        <f t="shared" si="1"/>
        <v>4.5274358468452543E-4</v>
      </c>
      <c r="Q46" s="3">
        <f t="shared" si="4"/>
        <v>4.3053735518399999E-2</v>
      </c>
      <c r="R46" s="3">
        <f t="shared" si="5"/>
        <v>8.2570309136799996E-2</v>
      </c>
      <c r="S46" s="3">
        <f t="shared" si="6"/>
        <v>0.39544224264834749</v>
      </c>
      <c r="T46" s="4">
        <f t="shared" si="9"/>
        <v>4.4313102021377377E-5</v>
      </c>
      <c r="U46" s="5">
        <f t="shared" si="10"/>
        <v>4.2139626909515589E-3</v>
      </c>
      <c r="V46" s="14"/>
      <c r="W46" s="3">
        <f t="shared" si="3"/>
        <v>4.2582757929729362E-3</v>
      </c>
      <c r="X46" s="3">
        <f t="shared" si="8"/>
        <v>0.30948329010604791</v>
      </c>
      <c r="Y46">
        <v>91.524000000000001</v>
      </c>
    </row>
    <row r="47" spans="1:25">
      <c r="A47" s="1" t="s">
        <v>23</v>
      </c>
      <c r="B47" s="1">
        <v>60</v>
      </c>
      <c r="C47" s="12">
        <f>+'Flow rate'!E46</f>
        <v>0.36975799999999998</v>
      </c>
      <c r="D47" s="1" t="s">
        <v>31</v>
      </c>
      <c r="E47" s="1" t="s">
        <v>32</v>
      </c>
      <c r="F47" s="1" t="s">
        <v>33</v>
      </c>
      <c r="G47" s="1">
        <v>-0.5</v>
      </c>
      <c r="H47" s="15">
        <v>46114.70753472222</v>
      </c>
      <c r="I47" s="2">
        <f t="shared" si="0"/>
        <v>0.37527777766808867</v>
      </c>
      <c r="J47">
        <v>185494</v>
      </c>
      <c r="K47">
        <v>1647388</v>
      </c>
      <c r="L47">
        <v>3296497</v>
      </c>
      <c r="N47">
        <v>20871091</v>
      </c>
      <c r="O47">
        <v>28673697</v>
      </c>
      <c r="P47" s="3">
        <f t="shared" si="1"/>
        <v>4.0820759797038437E-4</v>
      </c>
      <c r="Q47" s="3">
        <f t="shared" si="4"/>
        <v>3.7961420639199994E-2</v>
      </c>
      <c r="R47" s="3">
        <f t="shared" si="5"/>
        <v>7.5962498969799994E-2</v>
      </c>
      <c r="S47" s="3">
        <f t="shared" si="6"/>
        <v>0.38173587537236736</v>
      </c>
      <c r="T47" s="4">
        <f t="shared" si="9"/>
        <v>3.9954061298002783E-5</v>
      </c>
      <c r="U47" s="5">
        <f t="shared" si="10"/>
        <v>3.7155431077691573E-3</v>
      </c>
      <c r="V47" s="14"/>
      <c r="W47" s="3">
        <f t="shared" si="3"/>
        <v>3.75549716906716E-3</v>
      </c>
      <c r="X47" s="3">
        <f t="shared" si="8"/>
        <v>0.30156128755196682</v>
      </c>
    </row>
    <row r="48" spans="1:25">
      <c r="A48" s="1" t="s">
        <v>23</v>
      </c>
      <c r="B48" s="1">
        <v>60</v>
      </c>
      <c r="C48" s="12">
        <f>+'Flow rate'!E47</f>
        <v>0.53003</v>
      </c>
      <c r="D48" s="1" t="s">
        <v>31</v>
      </c>
      <c r="E48" s="1" t="s">
        <v>32</v>
      </c>
      <c r="F48" s="1" t="s">
        <v>33</v>
      </c>
      <c r="G48" s="1">
        <v>-0.5</v>
      </c>
      <c r="H48" s="15">
        <v>46114.707881944443</v>
      </c>
      <c r="I48" s="2">
        <f t="shared" si="0"/>
        <v>0.38361111102858558</v>
      </c>
      <c r="J48">
        <v>165792</v>
      </c>
      <c r="K48">
        <v>1406709</v>
      </c>
      <c r="L48">
        <v>3105798</v>
      </c>
      <c r="N48">
        <v>20310393</v>
      </c>
      <c r="O48">
        <v>29544095</v>
      </c>
      <c r="P48" s="3">
        <f t="shared" si="1"/>
        <v>3.6483889994053705E-4</v>
      </c>
      <c r="Q48" s="3">
        <f t="shared" si="4"/>
        <v>3.2415358170599998E-2</v>
      </c>
      <c r="R48" s="3">
        <f t="shared" si="5"/>
        <v>7.1568145633199992E-2</v>
      </c>
      <c r="S48" s="3">
        <f t="shared" si="6"/>
        <v>0.37244370070431204</v>
      </c>
      <c r="T48" s="4">
        <f t="shared" si="9"/>
        <v>5.1187492764450103E-5</v>
      </c>
      <c r="U48" s="5">
        <f t="shared" si="10"/>
        <v>4.5479276252753725E-3</v>
      </c>
      <c r="V48" s="14"/>
      <c r="W48" s="3">
        <f t="shared" si="3"/>
        <v>4.5991151180398227E-3</v>
      </c>
      <c r="X48" s="3">
        <f t="shared" si="8"/>
        <v>0.2819078145099731</v>
      </c>
      <c r="Y48">
        <v>91.524000000000001</v>
      </c>
    </row>
    <row r="49" spans="1:24">
      <c r="A49" s="1" t="s">
        <v>23</v>
      </c>
      <c r="B49" s="1">
        <v>60</v>
      </c>
      <c r="C49" s="12">
        <f>+'Flow rate'!E48</f>
        <v>0.53003</v>
      </c>
      <c r="D49" s="1" t="s">
        <v>31</v>
      </c>
      <c r="E49" s="1" t="s">
        <v>32</v>
      </c>
      <c r="F49" s="1" t="s">
        <v>33</v>
      </c>
      <c r="G49" s="1">
        <v>-0.5</v>
      </c>
      <c r="H49" s="15">
        <v>46114.708229166667</v>
      </c>
      <c r="I49" s="2">
        <f t="shared" si="0"/>
        <v>0.39194444438908249</v>
      </c>
      <c r="P49" s="3"/>
      <c r="Q49" s="3"/>
      <c r="R49" s="3"/>
      <c r="S49" s="3"/>
      <c r="T49" s="4"/>
      <c r="U49" s="5"/>
      <c r="V49" s="14"/>
      <c r="W49" s="3"/>
      <c r="X49" s="3"/>
    </row>
    <row r="50" spans="1:24">
      <c r="A50" s="1" t="s">
        <v>23</v>
      </c>
      <c r="B50" s="1">
        <v>60</v>
      </c>
      <c r="C50" s="12">
        <f>+'Flow rate'!E49</f>
        <v>0.56669199999999997</v>
      </c>
      <c r="D50" s="1" t="s">
        <v>31</v>
      </c>
      <c r="E50" s="1" t="s">
        <v>32</v>
      </c>
      <c r="F50" s="1" t="s">
        <v>33</v>
      </c>
      <c r="G50" s="1">
        <v>-0.5</v>
      </c>
      <c r="H50" s="15">
        <v>46114.70857638889</v>
      </c>
      <c r="I50" s="2">
        <f t="shared" si="0"/>
        <v>0.4002777777495794</v>
      </c>
      <c r="P50" s="3"/>
      <c r="Q50" s="3"/>
      <c r="R50" s="3"/>
      <c r="S50" s="3"/>
      <c r="T50" s="4"/>
      <c r="U50" s="5"/>
      <c r="V50" s="14"/>
      <c r="W50" s="3"/>
      <c r="X50" s="3"/>
    </row>
    <row r="51" spans="1:24">
      <c r="A51" s="1" t="s">
        <v>23</v>
      </c>
      <c r="B51" s="1">
        <v>60</v>
      </c>
      <c r="C51" s="12">
        <f>+'Flow rate'!E50</f>
        <v>0.56669199999999997</v>
      </c>
      <c r="D51" s="1" t="s">
        <v>31</v>
      </c>
      <c r="E51" s="1" t="s">
        <v>32</v>
      </c>
      <c r="F51" s="1" t="s">
        <v>33</v>
      </c>
      <c r="G51" s="1">
        <v>-0.5</v>
      </c>
      <c r="H51" s="15">
        <v>46114.708923611113</v>
      </c>
      <c r="I51" s="2">
        <f t="shared" si="0"/>
        <v>0.40861111111007631</v>
      </c>
      <c r="P51" s="3"/>
      <c r="Q51" s="3"/>
      <c r="R51" s="3"/>
      <c r="S51" s="3"/>
      <c r="T51" s="4"/>
      <c r="U51" s="5"/>
      <c r="V51" s="14"/>
      <c r="W51" s="3"/>
      <c r="X51" s="3"/>
    </row>
    <row r="52" spans="1:24">
      <c r="A52" s="1" t="s">
        <v>23</v>
      </c>
      <c r="B52" s="1">
        <v>60</v>
      </c>
      <c r="C52" s="12">
        <f>+'Flow rate'!E51</f>
        <v>0.56669199999999997</v>
      </c>
      <c r="D52" s="1" t="s">
        <v>31</v>
      </c>
      <c r="E52" s="1" t="s">
        <v>32</v>
      </c>
      <c r="F52" s="1" t="s">
        <v>33</v>
      </c>
      <c r="G52" s="1">
        <v>-0.5</v>
      </c>
      <c r="H52" s="15">
        <v>46114.709270833337</v>
      </c>
      <c r="I52" s="2">
        <f t="shared" si="0"/>
        <v>0.41694444447057322</v>
      </c>
      <c r="P52" s="3"/>
      <c r="Q52" s="3"/>
      <c r="R52" s="3"/>
      <c r="S52" s="3"/>
      <c r="T52" s="4"/>
      <c r="U52" s="5"/>
      <c r="V52" s="14"/>
      <c r="W52" s="3"/>
      <c r="X52" s="3"/>
    </row>
    <row r="53" spans="1:24">
      <c r="A53" s="1" t="s">
        <v>23</v>
      </c>
      <c r="B53" s="1">
        <v>60</v>
      </c>
      <c r="C53" s="12">
        <f>+'Flow rate'!E52</f>
        <v>0.56669199999999997</v>
      </c>
      <c r="D53" s="1" t="s">
        <v>31</v>
      </c>
      <c r="E53" s="1" t="s">
        <v>32</v>
      </c>
      <c r="F53" s="1" t="s">
        <v>33</v>
      </c>
      <c r="G53" s="1">
        <v>-0.5</v>
      </c>
      <c r="H53" s="15">
        <v>46114.709618055553</v>
      </c>
      <c r="I53" s="2">
        <f t="shared" si="0"/>
        <v>0.42527777765644714</v>
      </c>
      <c r="P53" s="3"/>
      <c r="Q53" s="3"/>
      <c r="R53" s="3"/>
      <c r="S53" s="3"/>
      <c r="T53" s="4"/>
      <c r="U53" s="5"/>
      <c r="V53" s="14"/>
      <c r="W53" s="3"/>
      <c r="X53" s="3"/>
    </row>
    <row r="54" spans="1:24">
      <c r="A54" s="1" t="s">
        <v>23</v>
      </c>
      <c r="B54" s="1">
        <v>60</v>
      </c>
      <c r="C54" s="12">
        <f>+'Flow rate'!E53</f>
        <v>0.56517300000000004</v>
      </c>
      <c r="D54" s="1" t="s">
        <v>31</v>
      </c>
      <c r="E54" s="1" t="s">
        <v>32</v>
      </c>
      <c r="F54" s="1" t="s">
        <v>33</v>
      </c>
      <c r="G54" s="1">
        <v>-0.5</v>
      </c>
      <c r="H54" s="15">
        <v>46114.709965277776</v>
      </c>
      <c r="I54" s="2">
        <f t="shared" si="0"/>
        <v>0.43361111101694405</v>
      </c>
      <c r="P54" s="3"/>
      <c r="Q54" s="3"/>
      <c r="R54" s="3"/>
      <c r="S54" s="3"/>
      <c r="T54" s="4"/>
      <c r="U54" s="5"/>
      <c r="V54" s="14"/>
      <c r="W54" s="3"/>
      <c r="X54" s="3"/>
    </row>
    <row r="55" spans="1:24">
      <c r="A55" s="1" t="s">
        <v>23</v>
      </c>
      <c r="B55" s="1">
        <v>60</v>
      </c>
      <c r="C55" s="12">
        <f>+'Flow rate'!E54</f>
        <v>0.56517300000000004</v>
      </c>
      <c r="D55" s="1" t="s">
        <v>31</v>
      </c>
      <c r="E55" s="1" t="s">
        <v>32</v>
      </c>
      <c r="F55" s="1" t="s">
        <v>33</v>
      </c>
      <c r="G55" s="1">
        <v>-0.5</v>
      </c>
      <c r="H55" s="15">
        <v>46114.710312499999</v>
      </c>
      <c r="I55" s="2">
        <f t="shared" si="0"/>
        <v>0.44194444437744096</v>
      </c>
      <c r="P55" s="3"/>
      <c r="Q55" s="3"/>
      <c r="R55" s="3"/>
      <c r="S55" s="3"/>
      <c r="T55" s="4"/>
      <c r="U55" s="5"/>
      <c r="V55" s="14"/>
      <c r="W55" s="3"/>
      <c r="X55" s="3"/>
    </row>
    <row r="56" spans="1:24">
      <c r="A56" s="1" t="s">
        <v>23</v>
      </c>
      <c r="B56" s="1">
        <v>60</v>
      </c>
      <c r="C56" s="12">
        <f>+'Flow rate'!E55</f>
        <v>0.55647000000000002</v>
      </c>
      <c r="D56" s="1" t="s">
        <v>31</v>
      </c>
      <c r="E56" s="1" t="s">
        <v>32</v>
      </c>
      <c r="F56" s="1" t="s">
        <v>33</v>
      </c>
      <c r="G56" s="1">
        <v>-0.5</v>
      </c>
      <c r="H56" s="15">
        <v>46114.710659722223</v>
      </c>
      <c r="I56" s="2">
        <f t="shared" si="0"/>
        <v>0.45027777773793787</v>
      </c>
      <c r="P56" s="3"/>
      <c r="Q56" s="3"/>
      <c r="R56" s="3"/>
      <c r="S56" s="3"/>
      <c r="T56" s="4"/>
      <c r="U56" s="5"/>
      <c r="V56" s="14"/>
      <c r="W56" s="3"/>
      <c r="X56" s="3"/>
    </row>
    <row r="57" spans="1:24">
      <c r="A57" s="1" t="s">
        <v>23</v>
      </c>
      <c r="B57" s="1">
        <v>60</v>
      </c>
      <c r="C57" s="12">
        <f>+'Flow rate'!E56</f>
        <v>0.55647000000000002</v>
      </c>
      <c r="D57" s="1" t="s">
        <v>31</v>
      </c>
      <c r="E57" s="1" t="s">
        <v>32</v>
      </c>
      <c r="F57" s="1" t="s">
        <v>33</v>
      </c>
      <c r="G57" s="1">
        <v>-0.5</v>
      </c>
      <c r="H57" s="15">
        <v>46114.711006944446</v>
      </c>
      <c r="I57" s="2">
        <f t="shared" si="0"/>
        <v>0.45861111109843478</v>
      </c>
      <c r="P57" s="3"/>
      <c r="Q57" s="3"/>
      <c r="R57" s="3"/>
      <c r="S57" s="3"/>
      <c r="T57" s="4"/>
      <c r="U57" s="5"/>
      <c r="V57" s="14"/>
      <c r="W57" s="3"/>
      <c r="X57" s="3"/>
    </row>
    <row r="58" spans="1:24">
      <c r="A58" s="1" t="s">
        <v>23</v>
      </c>
      <c r="B58" s="1">
        <v>60</v>
      </c>
      <c r="C58" s="12">
        <f>+'Flow rate'!E57</f>
        <v>0.55647000000000002</v>
      </c>
      <c r="D58" s="1" t="s">
        <v>31</v>
      </c>
      <c r="E58" s="1" t="s">
        <v>32</v>
      </c>
      <c r="F58" s="1" t="s">
        <v>33</v>
      </c>
      <c r="G58" s="1">
        <v>-0.5</v>
      </c>
      <c r="H58" s="15">
        <v>46114.711354166669</v>
      </c>
      <c r="I58" s="2">
        <f t="shared" si="0"/>
        <v>0.46694444445893168</v>
      </c>
      <c r="P58" s="3"/>
      <c r="Q58" s="3"/>
      <c r="R58" s="3"/>
      <c r="S58" s="3"/>
      <c r="T58" s="4"/>
      <c r="U58" s="5"/>
      <c r="V58" s="14"/>
      <c r="W58" s="3"/>
      <c r="X58" s="3"/>
    </row>
    <row r="59" spans="1:24">
      <c r="A59" s="1" t="s">
        <v>23</v>
      </c>
      <c r="B59" s="1">
        <v>60</v>
      </c>
      <c r="C59" s="12">
        <f>+'Flow rate'!E58</f>
        <v>0.55647000000000002</v>
      </c>
      <c r="D59" s="1" t="s">
        <v>31</v>
      </c>
      <c r="E59" s="1" t="s">
        <v>32</v>
      </c>
      <c r="F59" s="1" t="s">
        <v>33</v>
      </c>
      <c r="G59" s="1">
        <v>-0.5</v>
      </c>
      <c r="H59" s="15">
        <v>46114.711701388886</v>
      </c>
      <c r="I59" s="2">
        <f t="shared" si="0"/>
        <v>0.47527777764480561</v>
      </c>
      <c r="P59" s="3"/>
      <c r="Q59" s="3"/>
      <c r="R59" s="3"/>
      <c r="S59" s="3"/>
      <c r="T59" s="4"/>
      <c r="U59" s="5"/>
      <c r="V59" s="14"/>
      <c r="W59" s="3"/>
      <c r="X59" s="3"/>
    </row>
    <row r="60" spans="1:24">
      <c r="A60" s="1" t="s">
        <v>23</v>
      </c>
      <c r="B60" s="1">
        <v>60</v>
      </c>
      <c r="C60" s="12">
        <f>+'Flow rate'!E59</f>
        <v>0.55647000000000002</v>
      </c>
      <c r="D60" s="1" t="s">
        <v>31</v>
      </c>
      <c r="E60" s="1" t="s">
        <v>32</v>
      </c>
      <c r="F60" s="1" t="s">
        <v>33</v>
      </c>
      <c r="G60" s="1">
        <v>-0.5</v>
      </c>
      <c r="H60" s="15">
        <v>46114.712048611109</v>
      </c>
      <c r="I60" s="2">
        <f t="shared" si="0"/>
        <v>0.48361111100530252</v>
      </c>
      <c r="P60" s="3"/>
      <c r="Q60" s="3"/>
      <c r="R60" s="3"/>
      <c r="S60" s="3"/>
      <c r="T60" s="4"/>
      <c r="U60" s="5"/>
      <c r="V60" s="14"/>
      <c r="W60" s="3"/>
      <c r="X60" s="3"/>
    </row>
    <row r="61" spans="1:24">
      <c r="A61" s="1" t="s">
        <v>23</v>
      </c>
      <c r="B61" s="1">
        <v>60</v>
      </c>
      <c r="C61" s="12">
        <f>+'Flow rate'!E60</f>
        <v>0.55647000000000002</v>
      </c>
      <c r="D61" s="1" t="s">
        <v>31</v>
      </c>
      <c r="E61" s="1" t="s">
        <v>32</v>
      </c>
      <c r="F61" s="1" t="s">
        <v>33</v>
      </c>
      <c r="G61" s="1">
        <v>-0.5</v>
      </c>
      <c r="H61" s="15">
        <v>46114.712395833332</v>
      </c>
      <c r="I61" s="2">
        <f t="shared" si="0"/>
        <v>0.49194444436579943</v>
      </c>
      <c r="P61" s="3"/>
      <c r="Q61" s="3"/>
      <c r="R61" s="3"/>
      <c r="S61" s="3"/>
      <c r="T61" s="4"/>
      <c r="U61" s="5"/>
      <c r="V61" s="14"/>
      <c r="W61" s="3"/>
      <c r="X61" s="3"/>
    </row>
    <row r="62" spans="1:24">
      <c r="A62" s="1" t="s">
        <v>23</v>
      </c>
      <c r="B62" s="1">
        <v>60</v>
      </c>
      <c r="C62" s="12">
        <f>+'Flow rate'!E61</f>
        <v>0.55989699999999998</v>
      </c>
      <c r="D62" s="1" t="s">
        <v>31</v>
      </c>
      <c r="E62" s="1" t="s">
        <v>32</v>
      </c>
      <c r="F62" s="1" t="s">
        <v>33</v>
      </c>
      <c r="G62" s="1">
        <v>-0.5</v>
      </c>
      <c r="H62" s="15">
        <v>46114.712743055556</v>
      </c>
      <c r="I62" s="2">
        <f t="shared" si="0"/>
        <v>0.50027777772629634</v>
      </c>
      <c r="P62" s="3"/>
      <c r="Q62" s="3"/>
      <c r="R62" s="3"/>
      <c r="S62" s="3"/>
      <c r="T62" s="4"/>
      <c r="U62" s="5"/>
      <c r="V62" s="14"/>
      <c r="W62" s="3"/>
      <c r="X62" s="3"/>
    </row>
    <row r="63" spans="1:24">
      <c r="A63" s="1" t="s">
        <v>23</v>
      </c>
      <c r="B63" s="1">
        <v>60</v>
      </c>
      <c r="C63" s="12">
        <f>+'Flow rate'!E62</f>
        <v>0.55989699999999998</v>
      </c>
      <c r="D63" s="1" t="s">
        <v>31</v>
      </c>
      <c r="E63" s="1" t="s">
        <v>32</v>
      </c>
      <c r="F63" s="1" t="s">
        <v>33</v>
      </c>
      <c r="G63" s="1">
        <v>-0.5</v>
      </c>
      <c r="H63" s="15">
        <v>46114.713090277779</v>
      </c>
      <c r="I63" s="2">
        <f t="shared" si="0"/>
        <v>0.50861111108679324</v>
      </c>
      <c r="P63" s="3"/>
      <c r="Q63" s="3"/>
      <c r="R63" s="3"/>
      <c r="S63" s="3"/>
      <c r="T63" s="4"/>
      <c r="U63" s="5"/>
      <c r="V63" s="14"/>
      <c r="W63" s="3"/>
      <c r="X63" s="3"/>
    </row>
    <row r="64" spans="1:24">
      <c r="A64" s="1" t="s">
        <v>23</v>
      </c>
      <c r="B64" s="1">
        <v>60</v>
      </c>
      <c r="C64" s="12">
        <f>+'Flow rate'!E63</f>
        <v>0.56470299999999995</v>
      </c>
      <c r="D64" s="1" t="s">
        <v>31</v>
      </c>
      <c r="E64" s="1" t="s">
        <v>32</v>
      </c>
      <c r="F64" s="1" t="s">
        <v>33</v>
      </c>
      <c r="G64" s="1">
        <v>-0.5</v>
      </c>
      <c r="H64" s="15">
        <v>46114.713437500002</v>
      </c>
      <c r="I64" s="2">
        <f t="shared" si="0"/>
        <v>0.51694444444729015</v>
      </c>
      <c r="P64" s="3"/>
      <c r="Q64" s="3"/>
      <c r="R64" s="3"/>
      <c r="S64" s="3"/>
      <c r="T64" s="4"/>
      <c r="U64" s="5"/>
      <c r="V64" s="14"/>
      <c r="W64" s="3"/>
      <c r="X64" s="3"/>
    </row>
    <row r="65" spans="1:24">
      <c r="A65" s="1" t="s">
        <v>23</v>
      </c>
      <c r="B65" s="1">
        <v>60</v>
      </c>
      <c r="C65" s="12">
        <f>+'Flow rate'!E64</f>
        <v>0.56470299999999995</v>
      </c>
      <c r="D65" s="1" t="s">
        <v>31</v>
      </c>
      <c r="E65" s="1" t="s">
        <v>32</v>
      </c>
      <c r="F65" s="1" t="s">
        <v>33</v>
      </c>
      <c r="G65" s="1">
        <v>-0.5</v>
      </c>
      <c r="H65" s="15">
        <v>46114.713784722226</v>
      </c>
      <c r="I65" s="2">
        <f t="shared" si="0"/>
        <v>0.52527777780778706</v>
      </c>
      <c r="P65" s="3"/>
      <c r="Q65" s="3"/>
      <c r="R65" s="3"/>
      <c r="S65" s="3"/>
      <c r="T65" s="4"/>
      <c r="U65" s="5"/>
      <c r="V65" s="14"/>
      <c r="W65" s="3"/>
      <c r="X65" s="3"/>
    </row>
    <row r="66" spans="1:24">
      <c r="A66" s="1" t="s">
        <v>23</v>
      </c>
      <c r="B66" s="1">
        <v>60</v>
      </c>
      <c r="C66" s="12">
        <f>+'Flow rate'!E65</f>
        <v>0.56470299999999995</v>
      </c>
      <c r="D66" s="1" t="s">
        <v>31</v>
      </c>
      <c r="E66" s="1" t="s">
        <v>32</v>
      </c>
      <c r="F66" s="1" t="s">
        <v>33</v>
      </c>
      <c r="G66" s="1">
        <v>-0.5</v>
      </c>
      <c r="H66" s="15">
        <v>46114.714131944442</v>
      </c>
      <c r="I66" s="2">
        <f t="shared" si="0"/>
        <v>0.53361111099366099</v>
      </c>
      <c r="P66" s="3"/>
      <c r="Q66" s="3"/>
      <c r="R66" s="3"/>
      <c r="S66" s="3"/>
      <c r="T66" s="4"/>
      <c r="U66" s="5"/>
      <c r="V66" s="14"/>
      <c r="W66" s="3"/>
      <c r="X66" s="3"/>
    </row>
    <row r="67" spans="1:24">
      <c r="A67" s="1" t="s">
        <v>23</v>
      </c>
      <c r="B67" s="1">
        <v>60</v>
      </c>
      <c r="C67" s="12">
        <f>+'Flow rate'!E66</f>
        <v>0.56470299999999995</v>
      </c>
      <c r="D67" s="1" t="s">
        <v>31</v>
      </c>
      <c r="E67" s="1" t="s">
        <v>32</v>
      </c>
      <c r="F67" s="1" t="s">
        <v>33</v>
      </c>
      <c r="G67" s="1">
        <v>-0.5</v>
      </c>
      <c r="H67" s="15">
        <v>46114.714479166665</v>
      </c>
      <c r="I67" s="2">
        <f t="shared" si="0"/>
        <v>0.54194444435415789</v>
      </c>
      <c r="P67" s="3"/>
      <c r="Q67" s="3"/>
      <c r="R67" s="3"/>
      <c r="S67" s="3"/>
      <c r="T67" s="4"/>
      <c r="U67" s="5"/>
      <c r="V67" s="14"/>
      <c r="W67" s="3"/>
      <c r="X67" s="3"/>
    </row>
    <row r="68" spans="1:24">
      <c r="A68" s="1" t="s">
        <v>23</v>
      </c>
      <c r="B68" s="1">
        <v>60</v>
      </c>
      <c r="C68" s="12">
        <f>+'Flow rate'!E67</f>
        <v>0.56470299999999995</v>
      </c>
      <c r="D68" s="1" t="s">
        <v>31</v>
      </c>
      <c r="E68" s="1" t="s">
        <v>32</v>
      </c>
      <c r="F68" s="1" t="s">
        <v>33</v>
      </c>
      <c r="G68" s="1">
        <v>-0.5</v>
      </c>
      <c r="H68" s="15">
        <v>46114.714826388888</v>
      </c>
      <c r="I68" s="2">
        <f t="shared" ref="I68:I131" si="11">+(H68-H$2)*24</f>
        <v>0.5502777777146548</v>
      </c>
      <c r="P68" s="3"/>
      <c r="Q68" s="3"/>
      <c r="R68" s="3"/>
      <c r="S68" s="3"/>
      <c r="T68" s="4"/>
      <c r="U68" s="5"/>
      <c r="V68" s="14"/>
      <c r="W68" s="3"/>
      <c r="X68" s="3"/>
    </row>
    <row r="69" spans="1:24">
      <c r="A69" s="1" t="s">
        <v>23</v>
      </c>
      <c r="B69" s="1">
        <v>60</v>
      </c>
      <c r="C69" s="12">
        <f>+'Flow rate'!E68</f>
        <v>0.56470299999999995</v>
      </c>
      <c r="D69" s="1" t="s">
        <v>31</v>
      </c>
      <c r="E69" s="1" t="s">
        <v>32</v>
      </c>
      <c r="F69" s="1" t="s">
        <v>33</v>
      </c>
      <c r="G69" s="1">
        <v>-0.5</v>
      </c>
      <c r="H69" s="15">
        <v>46114.715173611112</v>
      </c>
      <c r="I69" s="2">
        <f t="shared" si="11"/>
        <v>0.55861111107515171</v>
      </c>
      <c r="P69" s="3"/>
      <c r="Q69" s="3"/>
      <c r="R69" s="3"/>
      <c r="S69" s="3"/>
      <c r="T69" s="4"/>
      <c r="U69" s="5"/>
      <c r="V69" s="14"/>
      <c r="W69" s="3"/>
      <c r="X69" s="3"/>
    </row>
    <row r="70" spans="1:24">
      <c r="A70" s="1" t="s">
        <v>23</v>
      </c>
      <c r="B70" s="1">
        <v>60</v>
      </c>
      <c r="C70" s="12">
        <f>+'Flow rate'!E69</f>
        <v>0.55059800000000003</v>
      </c>
      <c r="D70" s="1" t="s">
        <v>31</v>
      </c>
      <c r="E70" s="1" t="s">
        <v>32</v>
      </c>
      <c r="F70" s="1" t="s">
        <v>33</v>
      </c>
      <c r="G70" s="1">
        <v>-0.5</v>
      </c>
      <c r="H70" s="15">
        <v>46114.715520833335</v>
      </c>
      <c r="I70" s="2">
        <f t="shared" si="11"/>
        <v>0.56694444443564862</v>
      </c>
      <c r="P70" s="3"/>
      <c r="Q70" s="3"/>
      <c r="R70" s="3"/>
      <c r="S70" s="3"/>
      <c r="T70" s="4"/>
      <c r="U70" s="5"/>
      <c r="V70" s="14"/>
      <c r="W70" s="3"/>
      <c r="X70" s="3"/>
    </row>
    <row r="71" spans="1:24">
      <c r="A71" s="1" t="s">
        <v>23</v>
      </c>
      <c r="B71" s="1">
        <v>60</v>
      </c>
      <c r="C71" s="12">
        <f>+'Flow rate'!E70</f>
        <v>0.55059800000000003</v>
      </c>
      <c r="D71" s="1" t="s">
        <v>31</v>
      </c>
      <c r="E71" s="1" t="s">
        <v>32</v>
      </c>
      <c r="F71" s="1" t="s">
        <v>33</v>
      </c>
      <c r="G71" s="1">
        <v>-0.5</v>
      </c>
      <c r="H71" s="15">
        <v>46114.715868055559</v>
      </c>
      <c r="I71" s="2">
        <f t="shared" si="11"/>
        <v>0.57527777779614553</v>
      </c>
      <c r="P71" s="3"/>
      <c r="Q71" s="3"/>
      <c r="R71" s="3"/>
      <c r="S71" s="3"/>
      <c r="T71" s="4"/>
      <c r="U71" s="5"/>
      <c r="V71" s="14"/>
      <c r="W71" s="3"/>
      <c r="X71" s="3"/>
    </row>
    <row r="72" spans="1:24">
      <c r="A72" s="1" t="s">
        <v>23</v>
      </c>
      <c r="B72" s="1">
        <v>60</v>
      </c>
      <c r="C72" s="12">
        <f>+'Flow rate'!E71</f>
        <v>0.54559500000000005</v>
      </c>
      <c r="D72" s="1" t="s">
        <v>31</v>
      </c>
      <c r="E72" s="1" t="s">
        <v>32</v>
      </c>
      <c r="F72" s="1" t="s">
        <v>33</v>
      </c>
      <c r="G72" s="1">
        <v>-0.5</v>
      </c>
      <c r="H72" s="15">
        <v>46114.716215277775</v>
      </c>
      <c r="I72" s="2">
        <f t="shared" si="11"/>
        <v>0.58361111098201945</v>
      </c>
      <c r="P72" s="3"/>
      <c r="Q72" s="3"/>
      <c r="R72" s="3"/>
      <c r="S72" s="3"/>
      <c r="T72" s="4"/>
      <c r="U72" s="5"/>
      <c r="V72" s="14"/>
      <c r="W72" s="3"/>
      <c r="X72" s="3"/>
    </row>
    <row r="73" spans="1:24">
      <c r="A73" s="1" t="s">
        <v>23</v>
      </c>
      <c r="B73" s="1">
        <v>60</v>
      </c>
      <c r="C73" s="12">
        <f>+'Flow rate'!E72</f>
        <v>0.54559500000000005</v>
      </c>
      <c r="D73" s="1" t="s">
        <v>31</v>
      </c>
      <c r="E73" s="1" t="s">
        <v>32</v>
      </c>
      <c r="F73" s="1" t="s">
        <v>33</v>
      </c>
      <c r="G73" s="1">
        <v>-0.5</v>
      </c>
      <c r="H73" s="15">
        <v>46114.716562499998</v>
      </c>
      <c r="I73" s="2">
        <f t="shared" si="11"/>
        <v>0.59194444434251636</v>
      </c>
      <c r="P73" s="3"/>
      <c r="Q73" s="3"/>
      <c r="R73" s="3"/>
      <c r="S73" s="3"/>
      <c r="T73" s="4"/>
      <c r="U73" s="5"/>
      <c r="V73" s="14"/>
      <c r="W73" s="3"/>
      <c r="X73" s="3"/>
    </row>
    <row r="74" spans="1:24">
      <c r="A74" s="1" t="s">
        <v>23</v>
      </c>
      <c r="B74" s="1">
        <v>60</v>
      </c>
      <c r="C74" s="12">
        <f>+'Flow rate'!E73</f>
        <v>0.54559500000000005</v>
      </c>
      <c r="D74" s="1" t="s">
        <v>31</v>
      </c>
      <c r="E74" s="1" t="s">
        <v>32</v>
      </c>
      <c r="F74" s="1" t="s">
        <v>33</v>
      </c>
      <c r="G74" s="1">
        <v>-0.5</v>
      </c>
      <c r="H74" s="15">
        <v>46114.716909722221</v>
      </c>
      <c r="I74" s="2">
        <f t="shared" si="11"/>
        <v>0.60027777770301327</v>
      </c>
      <c r="P74" s="3"/>
      <c r="Q74" s="3"/>
      <c r="R74" s="3"/>
      <c r="S74" s="3"/>
      <c r="T74" s="4"/>
      <c r="U74" s="5"/>
      <c r="V74" s="14"/>
      <c r="W74" s="3"/>
      <c r="X74" s="3"/>
    </row>
    <row r="75" spans="1:24">
      <c r="A75" s="1" t="s">
        <v>23</v>
      </c>
      <c r="B75" s="1">
        <v>60</v>
      </c>
      <c r="C75" s="12">
        <f>+'Flow rate'!E74</f>
        <v>0.54559500000000005</v>
      </c>
      <c r="D75" s="1" t="s">
        <v>31</v>
      </c>
      <c r="E75" s="1" t="s">
        <v>32</v>
      </c>
      <c r="F75" s="1" t="s">
        <v>33</v>
      </c>
      <c r="G75" s="1">
        <v>-0.5</v>
      </c>
      <c r="H75" s="15">
        <v>46114.717256944445</v>
      </c>
      <c r="I75" s="2">
        <f t="shared" si="11"/>
        <v>0.60861111106351018</v>
      </c>
      <c r="P75" s="3"/>
      <c r="Q75" s="3"/>
      <c r="R75" s="3"/>
      <c r="S75" s="3"/>
      <c r="T75" s="4"/>
      <c r="U75" s="5"/>
      <c r="V75" s="14"/>
      <c r="W75" s="3"/>
      <c r="X75" s="3"/>
    </row>
    <row r="76" spans="1:24">
      <c r="A76" s="1" t="s">
        <v>23</v>
      </c>
      <c r="B76" s="1">
        <v>60</v>
      </c>
      <c r="C76" s="12">
        <f>+'Flow rate'!E75</f>
        <v>0.54559500000000005</v>
      </c>
      <c r="D76" s="1" t="s">
        <v>31</v>
      </c>
      <c r="E76" s="1" t="s">
        <v>32</v>
      </c>
      <c r="F76" s="1" t="s">
        <v>33</v>
      </c>
      <c r="G76" s="1">
        <v>-0.5</v>
      </c>
      <c r="H76" s="15">
        <v>46114.717604166668</v>
      </c>
      <c r="I76" s="2">
        <f t="shared" si="11"/>
        <v>0.61694444442400709</v>
      </c>
      <c r="P76" s="3"/>
      <c r="Q76" s="3"/>
      <c r="R76" s="3"/>
      <c r="S76" s="3"/>
      <c r="T76" s="4"/>
      <c r="U76" s="5"/>
      <c r="V76" s="14"/>
      <c r="W76" s="3"/>
      <c r="X76" s="3"/>
    </row>
    <row r="77" spans="1:24">
      <c r="A77" s="1" t="s">
        <v>23</v>
      </c>
      <c r="B77" s="1">
        <v>60</v>
      </c>
      <c r="C77" s="12">
        <f>+'Flow rate'!E76</f>
        <v>0.54559500000000005</v>
      </c>
      <c r="D77" s="1" t="s">
        <v>31</v>
      </c>
      <c r="E77" s="1" t="s">
        <v>32</v>
      </c>
      <c r="F77" s="1" t="s">
        <v>33</v>
      </c>
      <c r="G77" s="1">
        <v>-0.5</v>
      </c>
      <c r="H77" s="15">
        <v>46114.717951388891</v>
      </c>
      <c r="I77" s="2">
        <f t="shared" si="11"/>
        <v>0.625277777784504</v>
      </c>
      <c r="P77" s="3"/>
      <c r="Q77" s="3"/>
      <c r="R77" s="3"/>
      <c r="S77" s="3"/>
      <c r="T77" s="4"/>
      <c r="U77" s="5"/>
      <c r="V77" s="14"/>
      <c r="W77" s="3"/>
      <c r="X77" s="3"/>
    </row>
    <row r="78" spans="1:24">
      <c r="A78" s="1" t="s">
        <v>23</v>
      </c>
      <c r="B78" s="1">
        <v>60</v>
      </c>
      <c r="C78" s="12">
        <f>+'Flow rate'!E77</f>
        <v>0.60736100000000004</v>
      </c>
      <c r="D78" s="1" t="s">
        <v>31</v>
      </c>
      <c r="E78" s="1" t="s">
        <v>32</v>
      </c>
      <c r="F78" s="1" t="s">
        <v>33</v>
      </c>
      <c r="G78" s="1">
        <v>-0.5</v>
      </c>
      <c r="H78" s="15">
        <v>46114.718298611115</v>
      </c>
      <c r="I78" s="2">
        <f t="shared" si="11"/>
        <v>0.6336111111450009</v>
      </c>
      <c r="P78" s="3"/>
      <c r="Q78" s="3"/>
      <c r="R78" s="3"/>
      <c r="S78" s="3"/>
      <c r="T78" s="4"/>
      <c r="U78" s="5"/>
      <c r="V78" s="14"/>
      <c r="W78" s="3"/>
      <c r="X78" s="3"/>
    </row>
    <row r="79" spans="1:24">
      <c r="A79" s="1" t="s">
        <v>23</v>
      </c>
      <c r="B79" s="1">
        <v>60</v>
      </c>
      <c r="C79" s="12">
        <f>+'Flow rate'!E78</f>
        <v>0.60736100000000004</v>
      </c>
      <c r="D79" s="1" t="s">
        <v>31</v>
      </c>
      <c r="E79" s="1" t="s">
        <v>32</v>
      </c>
      <c r="F79" s="1" t="s">
        <v>33</v>
      </c>
      <c r="G79" s="1">
        <v>-0.5</v>
      </c>
      <c r="H79" s="15">
        <v>46114.718645833331</v>
      </c>
      <c r="I79" s="2">
        <f t="shared" si="11"/>
        <v>0.64194444433087483</v>
      </c>
      <c r="P79" s="3"/>
      <c r="Q79" s="3"/>
      <c r="R79" s="3"/>
      <c r="S79" s="3"/>
      <c r="T79" s="4"/>
      <c r="U79" s="5"/>
      <c r="V79" s="14"/>
      <c r="W79" s="3"/>
      <c r="X79" s="3"/>
    </row>
    <row r="80" spans="1:24">
      <c r="A80" s="1" t="s">
        <v>23</v>
      </c>
      <c r="B80" s="1">
        <v>60</v>
      </c>
      <c r="C80" s="12">
        <f>+'Flow rate'!E79</f>
        <v>0.61189000000000004</v>
      </c>
      <c r="D80" s="1" t="s">
        <v>31</v>
      </c>
      <c r="E80" s="1" t="s">
        <v>32</v>
      </c>
      <c r="F80" s="1" t="s">
        <v>33</v>
      </c>
      <c r="G80" s="1">
        <v>-0.5</v>
      </c>
      <c r="H80" s="15">
        <v>46114.718993055554</v>
      </c>
      <c r="I80" s="2">
        <f t="shared" si="11"/>
        <v>0.65027777769137174</v>
      </c>
      <c r="P80" s="3"/>
      <c r="Q80" s="3"/>
      <c r="R80" s="3"/>
      <c r="S80" s="3"/>
      <c r="T80" s="4"/>
      <c r="U80" s="5"/>
      <c r="V80" s="14"/>
      <c r="W80" s="3"/>
      <c r="X80" s="3"/>
    </row>
    <row r="81" spans="1:24">
      <c r="A81" s="1" t="s">
        <v>23</v>
      </c>
      <c r="B81" s="1">
        <v>60</v>
      </c>
      <c r="C81" s="12">
        <f>+'Flow rate'!E80</f>
        <v>0.61189000000000004</v>
      </c>
      <c r="D81" s="1" t="s">
        <v>31</v>
      </c>
      <c r="E81" s="1" t="s">
        <v>32</v>
      </c>
      <c r="F81" s="1" t="s">
        <v>33</v>
      </c>
      <c r="G81" s="1">
        <v>-0.5</v>
      </c>
      <c r="H81" s="15">
        <v>46114.719340277778</v>
      </c>
      <c r="I81" s="2">
        <f t="shared" si="11"/>
        <v>0.65861111105186865</v>
      </c>
      <c r="P81" s="3"/>
      <c r="Q81" s="3"/>
      <c r="R81" s="3"/>
      <c r="S81" s="3"/>
      <c r="T81" s="4"/>
      <c r="U81" s="5"/>
      <c r="V81" s="14"/>
      <c r="W81" s="3"/>
      <c r="X81" s="3"/>
    </row>
    <row r="82" spans="1:24">
      <c r="A82" s="1" t="s">
        <v>23</v>
      </c>
      <c r="B82" s="1">
        <v>60</v>
      </c>
      <c r="C82" s="12">
        <f>+'Flow rate'!E81</f>
        <v>0.61189000000000004</v>
      </c>
      <c r="D82" s="1" t="s">
        <v>31</v>
      </c>
      <c r="E82" s="1" t="s">
        <v>32</v>
      </c>
      <c r="F82" s="1" t="s">
        <v>33</v>
      </c>
      <c r="G82" s="1">
        <v>-0.5</v>
      </c>
      <c r="H82" s="15">
        <v>46114.719687500001</v>
      </c>
      <c r="I82" s="2">
        <f t="shared" si="11"/>
        <v>0.66694444441236556</v>
      </c>
      <c r="P82" s="3"/>
      <c r="Q82" s="3"/>
      <c r="R82" s="3"/>
      <c r="S82" s="3"/>
      <c r="T82" s="4"/>
      <c r="U82" s="5"/>
      <c r="V82" s="14"/>
      <c r="W82" s="3"/>
      <c r="X82" s="3"/>
    </row>
    <row r="83" spans="1:24">
      <c r="A83" s="1" t="s">
        <v>23</v>
      </c>
      <c r="B83" s="1">
        <v>60</v>
      </c>
      <c r="C83" s="12">
        <f>+'Flow rate'!E82</f>
        <v>0.61189000000000004</v>
      </c>
      <c r="D83" s="1" t="s">
        <v>31</v>
      </c>
      <c r="E83" s="1" t="s">
        <v>32</v>
      </c>
      <c r="F83" s="1" t="s">
        <v>33</v>
      </c>
      <c r="G83" s="1">
        <v>-0.5</v>
      </c>
      <c r="H83" s="15">
        <v>46114.720034722224</v>
      </c>
      <c r="I83" s="2">
        <f t="shared" si="11"/>
        <v>0.67527777777286246</v>
      </c>
      <c r="P83" s="3"/>
      <c r="Q83" s="3"/>
      <c r="R83" s="3"/>
      <c r="S83" s="3"/>
      <c r="T83" s="4"/>
      <c r="U83" s="5"/>
      <c r="V83" s="14"/>
      <c r="W83" s="3"/>
      <c r="X83" s="3"/>
    </row>
    <row r="84" spans="1:24">
      <c r="A84" s="1" t="s">
        <v>23</v>
      </c>
      <c r="B84" s="1">
        <v>60</v>
      </c>
      <c r="C84" s="12">
        <f>+'Flow rate'!E83</f>
        <v>0.91809700000000005</v>
      </c>
      <c r="D84" s="1" t="s">
        <v>31</v>
      </c>
      <c r="E84" s="1" t="s">
        <v>32</v>
      </c>
      <c r="F84" s="1" t="s">
        <v>33</v>
      </c>
      <c r="G84" s="1">
        <v>-0.5</v>
      </c>
      <c r="H84" s="15">
        <v>46114.720381944448</v>
      </c>
      <c r="I84" s="2">
        <f t="shared" si="11"/>
        <v>0.68361111113335937</v>
      </c>
      <c r="P84" s="3"/>
      <c r="Q84" s="3"/>
      <c r="R84" s="3"/>
      <c r="S84" s="3"/>
      <c r="T84" s="4"/>
      <c r="U84" s="5"/>
      <c r="V84" s="14"/>
      <c r="W84" s="3"/>
      <c r="X84" s="3"/>
    </row>
    <row r="85" spans="1:24">
      <c r="A85" s="1" t="s">
        <v>23</v>
      </c>
      <c r="B85" s="1">
        <v>60</v>
      </c>
      <c r="C85" s="12">
        <f>+'Flow rate'!E84</f>
        <v>0.91809700000000005</v>
      </c>
      <c r="D85" s="1" t="s">
        <v>31</v>
      </c>
      <c r="E85" s="1" t="s">
        <v>32</v>
      </c>
      <c r="F85" s="1" t="s">
        <v>33</v>
      </c>
      <c r="G85" s="1">
        <v>-0.5</v>
      </c>
      <c r="H85" s="15">
        <v>46114.720729166664</v>
      </c>
      <c r="I85" s="2">
        <f t="shared" si="11"/>
        <v>0.6919444443192333</v>
      </c>
      <c r="P85" s="3"/>
      <c r="Q85" s="3"/>
      <c r="R85" s="3"/>
      <c r="S85" s="3"/>
      <c r="T85" s="4"/>
      <c r="U85" s="5"/>
      <c r="V85" s="14"/>
      <c r="W85" s="3"/>
      <c r="X85" s="3"/>
    </row>
    <row r="86" spans="1:24">
      <c r="A86" s="1" t="s">
        <v>23</v>
      </c>
      <c r="B86" s="1">
        <v>60</v>
      </c>
      <c r="C86" s="12">
        <f>+'Flow rate'!E85</f>
        <v>1.1828879999999999</v>
      </c>
      <c r="D86" s="1" t="s">
        <v>31</v>
      </c>
      <c r="E86" s="1" t="s">
        <v>32</v>
      </c>
      <c r="F86" s="1" t="s">
        <v>33</v>
      </c>
      <c r="G86" s="1">
        <v>-0.5</v>
      </c>
      <c r="H86" s="15">
        <v>46114.721076388887</v>
      </c>
      <c r="I86" s="2">
        <f t="shared" si="11"/>
        <v>0.70027777767973021</v>
      </c>
      <c r="P86" s="3"/>
      <c r="Q86" s="3"/>
      <c r="R86" s="3"/>
      <c r="S86" s="3"/>
      <c r="T86" s="4"/>
      <c r="U86" s="5"/>
      <c r="V86" s="14"/>
      <c r="W86" s="3"/>
      <c r="X86" s="3"/>
    </row>
    <row r="87" spans="1:24">
      <c r="A87" s="1" t="s">
        <v>23</v>
      </c>
      <c r="B87" s="1">
        <v>60</v>
      </c>
      <c r="C87" s="12">
        <f>+'Flow rate'!E86</f>
        <v>1.1828879999999999</v>
      </c>
      <c r="D87" s="1" t="s">
        <v>31</v>
      </c>
      <c r="E87" s="1" t="s">
        <v>32</v>
      </c>
      <c r="F87" s="1" t="s">
        <v>33</v>
      </c>
      <c r="G87" s="1">
        <v>-0.5</v>
      </c>
      <c r="H87" s="15">
        <v>46114.72142361111</v>
      </c>
      <c r="I87" s="2">
        <f t="shared" si="11"/>
        <v>0.70861111104022712</v>
      </c>
      <c r="P87" s="3"/>
      <c r="Q87" s="3"/>
      <c r="R87" s="3"/>
      <c r="S87" s="3"/>
      <c r="T87" s="4"/>
      <c r="U87" s="5"/>
      <c r="V87" s="14"/>
      <c r="W87" s="3"/>
      <c r="X87" s="3"/>
    </row>
    <row r="88" spans="1:24">
      <c r="A88" s="1" t="s">
        <v>23</v>
      </c>
      <c r="B88" s="1">
        <v>60</v>
      </c>
      <c r="C88" s="12">
        <f>+'Flow rate'!E87</f>
        <v>1.2077929999999999</v>
      </c>
      <c r="D88" s="1" t="s">
        <v>31</v>
      </c>
      <c r="E88" s="1" t="s">
        <v>32</v>
      </c>
      <c r="F88" s="1" t="s">
        <v>33</v>
      </c>
      <c r="G88" s="1">
        <v>-0.5</v>
      </c>
      <c r="H88" s="15">
        <v>46114.721770833334</v>
      </c>
      <c r="I88" s="2">
        <f t="shared" si="11"/>
        <v>0.71694444440072402</v>
      </c>
      <c r="P88" s="3"/>
      <c r="Q88" s="3"/>
      <c r="R88" s="3"/>
      <c r="S88" s="3"/>
      <c r="T88" s="4"/>
      <c r="U88" s="5"/>
      <c r="V88" s="14"/>
      <c r="W88" s="3"/>
      <c r="X88" s="3"/>
    </row>
    <row r="89" spans="1:24">
      <c r="A89" s="1" t="s">
        <v>23</v>
      </c>
      <c r="B89" s="1">
        <v>60</v>
      </c>
      <c r="C89" s="12">
        <f>+'Flow rate'!E88</f>
        <v>1.2077929999999999</v>
      </c>
      <c r="D89" s="1" t="s">
        <v>31</v>
      </c>
      <c r="E89" s="1" t="s">
        <v>32</v>
      </c>
      <c r="F89" s="1" t="s">
        <v>33</v>
      </c>
      <c r="G89" s="1">
        <v>-0.5</v>
      </c>
      <c r="H89" s="15">
        <v>46114.722118055557</v>
      </c>
      <c r="I89" s="2">
        <f t="shared" si="11"/>
        <v>0.72527777776122093</v>
      </c>
      <c r="P89" s="3"/>
      <c r="Q89" s="3"/>
      <c r="R89" s="3"/>
      <c r="S89" s="3"/>
      <c r="T89" s="4"/>
      <c r="U89" s="5"/>
      <c r="V89" s="14"/>
      <c r="W89" s="3"/>
      <c r="X89" s="3"/>
    </row>
    <row r="90" spans="1:24">
      <c r="A90" s="1" t="s">
        <v>23</v>
      </c>
      <c r="B90" s="1">
        <v>60</v>
      </c>
      <c r="C90" s="12">
        <f>+'Flow rate'!E89</f>
        <v>1.210774</v>
      </c>
      <c r="D90" s="1" t="s">
        <v>31</v>
      </c>
      <c r="E90" s="1" t="s">
        <v>32</v>
      </c>
      <c r="F90" s="1" t="s">
        <v>33</v>
      </c>
      <c r="G90" s="1">
        <v>-0.5</v>
      </c>
      <c r="H90" s="15">
        <v>46114.72246527778</v>
      </c>
      <c r="I90" s="2">
        <f t="shared" si="11"/>
        <v>0.73361111112171784</v>
      </c>
      <c r="P90" s="3"/>
      <c r="Q90" s="3"/>
      <c r="R90" s="3"/>
      <c r="S90" s="3"/>
      <c r="T90" s="4"/>
      <c r="U90" s="5"/>
      <c r="V90" s="14"/>
      <c r="W90" s="3"/>
      <c r="X90" s="3"/>
    </row>
    <row r="91" spans="1:24">
      <c r="A91" s="1" t="s">
        <v>23</v>
      </c>
      <c r="B91" s="1">
        <v>60</v>
      </c>
      <c r="C91" s="12">
        <f>+'Flow rate'!E90</f>
        <v>1.210774</v>
      </c>
      <c r="D91" s="1" t="s">
        <v>31</v>
      </c>
      <c r="E91" s="1" t="s">
        <v>32</v>
      </c>
      <c r="F91" s="1" t="s">
        <v>33</v>
      </c>
      <c r="G91" s="1">
        <v>-0.5</v>
      </c>
      <c r="H91" s="15">
        <v>46114.722812499997</v>
      </c>
      <c r="I91" s="2">
        <f t="shared" si="11"/>
        <v>0.74194444430759177</v>
      </c>
      <c r="P91" s="3"/>
      <c r="Q91" s="3"/>
      <c r="R91" s="3"/>
      <c r="S91" s="3"/>
      <c r="T91" s="4"/>
      <c r="U91" s="5"/>
      <c r="V91" s="14"/>
      <c r="W91" s="3"/>
      <c r="X91" s="3"/>
    </row>
    <row r="92" spans="1:24">
      <c r="A92" s="1" t="s">
        <v>23</v>
      </c>
      <c r="B92" s="1">
        <v>60</v>
      </c>
      <c r="C92" s="12">
        <f>+'Flow rate'!E91</f>
        <v>1.1408720000000001</v>
      </c>
      <c r="D92" s="1" t="s">
        <v>31</v>
      </c>
      <c r="E92" s="1" t="s">
        <v>32</v>
      </c>
      <c r="F92" s="1" t="s">
        <v>33</v>
      </c>
      <c r="G92" s="1">
        <v>-0.5</v>
      </c>
      <c r="H92" s="15">
        <v>46114.72315972222</v>
      </c>
      <c r="I92" s="2">
        <f t="shared" si="11"/>
        <v>0.75027777766808867</v>
      </c>
      <c r="P92" s="3"/>
      <c r="Q92" s="3"/>
      <c r="R92" s="3"/>
      <c r="S92" s="3"/>
      <c r="T92" s="4"/>
      <c r="U92" s="5"/>
      <c r="V92" s="14"/>
      <c r="W92" s="3"/>
      <c r="X92" s="3"/>
    </row>
    <row r="93" spans="1:24">
      <c r="A93" s="1" t="s">
        <v>23</v>
      </c>
      <c r="B93" s="1">
        <v>60</v>
      </c>
      <c r="C93" s="12">
        <f>+'Flow rate'!E92</f>
        <v>1.1408720000000001</v>
      </c>
      <c r="D93" s="1" t="s">
        <v>31</v>
      </c>
      <c r="E93" s="1" t="s">
        <v>32</v>
      </c>
      <c r="F93" s="1" t="s">
        <v>33</v>
      </c>
      <c r="G93" s="1">
        <v>-0.5</v>
      </c>
      <c r="H93" s="15">
        <v>46114.723506944443</v>
      </c>
      <c r="I93" s="2">
        <f t="shared" si="11"/>
        <v>0.75861111102858558</v>
      </c>
      <c r="P93" s="3"/>
      <c r="Q93" s="3"/>
      <c r="R93" s="3"/>
      <c r="S93" s="3"/>
      <c r="T93" s="4"/>
      <c r="U93" s="5"/>
      <c r="V93" s="14"/>
      <c r="W93" s="3"/>
      <c r="X93" s="3"/>
    </row>
    <row r="94" spans="1:24">
      <c r="A94" s="1" t="s">
        <v>23</v>
      </c>
      <c r="B94" s="1">
        <v>60</v>
      </c>
      <c r="C94" s="12">
        <f>+'Flow rate'!E93</f>
        <v>1.1510549999999999</v>
      </c>
      <c r="D94" s="1" t="s">
        <v>31</v>
      </c>
      <c r="E94" s="1" t="s">
        <v>32</v>
      </c>
      <c r="F94" s="1" t="s">
        <v>33</v>
      </c>
      <c r="G94" s="1">
        <v>-0.5</v>
      </c>
      <c r="H94" s="15">
        <v>46114.723854166667</v>
      </c>
      <c r="I94" s="2">
        <f t="shared" si="11"/>
        <v>0.76694444438908249</v>
      </c>
      <c r="P94" s="3"/>
      <c r="Q94" s="3"/>
      <c r="R94" s="3"/>
      <c r="S94" s="3"/>
      <c r="T94" s="4"/>
      <c r="U94" s="5"/>
      <c r="V94" s="14"/>
      <c r="W94" s="3"/>
      <c r="X94" s="3"/>
    </row>
    <row r="95" spans="1:24">
      <c r="A95" s="1" t="s">
        <v>23</v>
      </c>
      <c r="B95" s="1">
        <v>60</v>
      </c>
      <c r="C95" s="12">
        <f>+'Flow rate'!E94</f>
        <v>1.1510549999999999</v>
      </c>
      <c r="D95" s="1" t="s">
        <v>31</v>
      </c>
      <c r="E95" s="1" t="s">
        <v>32</v>
      </c>
      <c r="F95" s="1" t="s">
        <v>33</v>
      </c>
      <c r="G95" s="1">
        <v>-0.5</v>
      </c>
      <c r="H95" s="15">
        <v>46114.72420138889</v>
      </c>
      <c r="I95" s="2">
        <f t="shared" si="11"/>
        <v>0.7752777777495794</v>
      </c>
      <c r="P95" s="3"/>
      <c r="Q95" s="3"/>
      <c r="R95" s="3"/>
      <c r="S95" s="3"/>
      <c r="T95" s="4"/>
      <c r="U95" s="5"/>
      <c r="V95" s="14"/>
      <c r="W95" s="3"/>
      <c r="X95" s="3"/>
    </row>
    <row r="96" spans="1:24">
      <c r="A96" s="1" t="s">
        <v>23</v>
      </c>
      <c r="B96" s="1">
        <v>60</v>
      </c>
      <c r="C96" s="12">
        <f>+'Flow rate'!E95</f>
        <v>1.1849419999999999</v>
      </c>
      <c r="D96" s="1" t="s">
        <v>31</v>
      </c>
      <c r="E96" s="1" t="s">
        <v>32</v>
      </c>
      <c r="F96" s="1" t="s">
        <v>33</v>
      </c>
      <c r="G96" s="1">
        <v>-0.5</v>
      </c>
      <c r="H96" s="15">
        <v>46114.724548611113</v>
      </c>
      <c r="I96" s="2">
        <f t="shared" si="11"/>
        <v>0.78361111111007631</v>
      </c>
      <c r="P96" s="3"/>
      <c r="Q96" s="3"/>
      <c r="R96" s="3"/>
      <c r="S96" s="3"/>
      <c r="T96" s="4"/>
      <c r="U96" s="5"/>
      <c r="V96" s="14"/>
      <c r="W96" s="3"/>
      <c r="X96" s="3"/>
    </row>
    <row r="97" spans="1:24">
      <c r="A97" s="1" t="s">
        <v>23</v>
      </c>
      <c r="B97" s="1">
        <v>60</v>
      </c>
      <c r="C97" s="12">
        <f>+'Flow rate'!E96</f>
        <v>1.1849419999999999</v>
      </c>
      <c r="D97" s="1" t="s">
        <v>31</v>
      </c>
      <c r="E97" s="1" t="s">
        <v>32</v>
      </c>
      <c r="F97" s="1" t="s">
        <v>33</v>
      </c>
      <c r="G97" s="1">
        <v>-0.5</v>
      </c>
      <c r="H97" s="15">
        <v>46114.724895833337</v>
      </c>
      <c r="I97" s="2">
        <f t="shared" si="11"/>
        <v>0.79194444447057322</v>
      </c>
      <c r="P97" s="3"/>
      <c r="Q97" s="3"/>
      <c r="R97" s="3"/>
      <c r="S97" s="3"/>
      <c r="T97" s="4"/>
      <c r="U97" s="5"/>
      <c r="V97" s="14"/>
      <c r="W97" s="3"/>
      <c r="X97" s="3"/>
    </row>
    <row r="98" spans="1:24">
      <c r="A98" s="1" t="s">
        <v>23</v>
      </c>
      <c r="B98" s="1">
        <v>60</v>
      </c>
      <c r="C98" s="12">
        <f>+'Flow rate'!E97</f>
        <v>1.190293</v>
      </c>
      <c r="D98" s="1" t="s">
        <v>31</v>
      </c>
      <c r="E98" s="1" t="s">
        <v>32</v>
      </c>
      <c r="F98" s="1" t="s">
        <v>33</v>
      </c>
      <c r="G98" s="1">
        <v>-0.5</v>
      </c>
      <c r="H98" s="15">
        <v>46114.725243055553</v>
      </c>
      <c r="I98" s="2">
        <f t="shared" si="11"/>
        <v>0.80027777765644714</v>
      </c>
      <c r="P98" s="3"/>
      <c r="Q98" s="3"/>
      <c r="R98" s="3"/>
      <c r="S98" s="3"/>
      <c r="T98" s="4"/>
      <c r="U98" s="5"/>
      <c r="V98" s="14"/>
      <c r="W98" s="3"/>
      <c r="X98" s="3"/>
    </row>
    <row r="99" spans="1:24">
      <c r="A99" s="1" t="s">
        <v>23</v>
      </c>
      <c r="B99" s="1">
        <v>60</v>
      </c>
      <c r="C99" s="12">
        <f>+'Flow rate'!E98</f>
        <v>1.190293</v>
      </c>
      <c r="D99" s="1" t="s">
        <v>31</v>
      </c>
      <c r="E99" s="1" t="s">
        <v>32</v>
      </c>
      <c r="F99" s="1" t="s">
        <v>33</v>
      </c>
      <c r="G99" s="1">
        <v>-0.5</v>
      </c>
      <c r="H99" s="15">
        <v>46114.725590277776</v>
      </c>
      <c r="I99" s="2">
        <f t="shared" si="11"/>
        <v>0.80861111101694405</v>
      </c>
      <c r="P99" s="3"/>
      <c r="Q99" s="3"/>
      <c r="R99" s="3"/>
      <c r="S99" s="3"/>
      <c r="T99" s="4"/>
      <c r="U99" s="5"/>
      <c r="V99" s="14"/>
      <c r="W99" s="3"/>
      <c r="X99" s="3"/>
    </row>
    <row r="100" spans="1:24">
      <c r="A100" s="1" t="s">
        <v>23</v>
      </c>
      <c r="B100" s="1">
        <v>60</v>
      </c>
      <c r="C100" s="12">
        <f>+'Flow rate'!E99</f>
        <v>1.196286</v>
      </c>
      <c r="D100" s="1" t="s">
        <v>31</v>
      </c>
      <c r="E100" s="1" t="s">
        <v>32</v>
      </c>
      <c r="F100" s="1" t="s">
        <v>33</v>
      </c>
      <c r="G100" s="1">
        <v>-0.5</v>
      </c>
      <c r="H100" s="15">
        <v>46114.725937499999</v>
      </c>
      <c r="I100" s="2">
        <f t="shared" si="11"/>
        <v>0.81694444437744096</v>
      </c>
      <c r="P100" s="3"/>
      <c r="Q100" s="3"/>
      <c r="R100" s="3"/>
      <c r="S100" s="3"/>
      <c r="T100" s="4"/>
      <c r="U100" s="5"/>
      <c r="V100" s="14"/>
      <c r="W100" s="3"/>
      <c r="X100" s="3"/>
    </row>
    <row r="101" spans="1:24">
      <c r="A101" s="1" t="s">
        <v>23</v>
      </c>
      <c r="B101" s="1">
        <v>60</v>
      </c>
      <c r="C101" s="12">
        <f>+'Flow rate'!E100</f>
        <v>1.196286</v>
      </c>
      <c r="D101" s="1" t="s">
        <v>31</v>
      </c>
      <c r="E101" s="1" t="s">
        <v>32</v>
      </c>
      <c r="F101" s="1" t="s">
        <v>33</v>
      </c>
      <c r="G101" s="1">
        <v>-0.5</v>
      </c>
      <c r="H101" s="15">
        <v>46114.726284722223</v>
      </c>
      <c r="I101" s="2">
        <f t="shared" si="11"/>
        <v>0.82527777773793787</v>
      </c>
      <c r="P101" s="3"/>
      <c r="Q101" s="3"/>
      <c r="R101" s="3"/>
      <c r="S101" s="3"/>
      <c r="T101" s="4"/>
      <c r="U101" s="5"/>
      <c r="V101" s="14"/>
      <c r="W101" s="3"/>
      <c r="X101" s="3"/>
    </row>
    <row r="102" spans="1:24">
      <c r="A102" s="1" t="s">
        <v>23</v>
      </c>
      <c r="B102" s="1">
        <v>60</v>
      </c>
      <c r="C102" s="12">
        <f>+'Flow rate'!E101</f>
        <v>1.1898249999999999</v>
      </c>
      <c r="D102" s="1" t="s">
        <v>31</v>
      </c>
      <c r="E102" s="1" t="s">
        <v>32</v>
      </c>
      <c r="F102" s="1" t="s">
        <v>33</v>
      </c>
      <c r="G102" s="1">
        <v>-0.5</v>
      </c>
      <c r="H102" s="15">
        <v>46114.726631944446</v>
      </c>
      <c r="I102" s="2">
        <f t="shared" si="11"/>
        <v>0.83361111109843478</v>
      </c>
      <c r="P102" s="3"/>
      <c r="Q102" s="3"/>
      <c r="R102" s="3"/>
      <c r="S102" s="3"/>
      <c r="T102" s="4"/>
      <c r="U102" s="5"/>
      <c r="V102" s="14"/>
      <c r="W102" s="3"/>
      <c r="X102" s="3"/>
    </row>
    <row r="103" spans="1:24">
      <c r="A103" s="1" t="s">
        <v>23</v>
      </c>
      <c r="B103" s="1">
        <v>60</v>
      </c>
      <c r="C103" s="12">
        <f>+'Flow rate'!E102</f>
        <v>1.1898249999999999</v>
      </c>
      <c r="D103" s="1" t="s">
        <v>31</v>
      </c>
      <c r="E103" s="1" t="s">
        <v>32</v>
      </c>
      <c r="F103" s="1" t="s">
        <v>33</v>
      </c>
      <c r="G103" s="1">
        <v>-0.5</v>
      </c>
      <c r="H103" s="15">
        <v>46114.726979166669</v>
      </c>
      <c r="I103" s="2">
        <f t="shared" si="11"/>
        <v>0.84194444445893168</v>
      </c>
      <c r="P103" s="3"/>
      <c r="Q103" s="3"/>
      <c r="R103" s="3"/>
      <c r="S103" s="3"/>
      <c r="T103" s="4"/>
      <c r="U103" s="5"/>
      <c r="V103" s="14"/>
      <c r="W103" s="3"/>
      <c r="X103" s="3"/>
    </row>
    <row r="104" spans="1:24">
      <c r="A104" s="1" t="s">
        <v>23</v>
      </c>
      <c r="B104" s="1">
        <v>60</v>
      </c>
      <c r="C104" s="12">
        <f>+'Flow rate'!E103</f>
        <v>1.187422</v>
      </c>
      <c r="D104" s="1" t="s">
        <v>31</v>
      </c>
      <c r="E104" s="1" t="s">
        <v>32</v>
      </c>
      <c r="F104" s="1" t="s">
        <v>33</v>
      </c>
      <c r="G104" s="1">
        <v>-0.5</v>
      </c>
      <c r="H104" s="15">
        <v>46114.727326388886</v>
      </c>
      <c r="I104" s="2">
        <f t="shared" si="11"/>
        <v>0.85027777764480561</v>
      </c>
      <c r="P104" s="3"/>
      <c r="Q104" s="3"/>
      <c r="R104" s="3"/>
      <c r="S104" s="3"/>
      <c r="T104" s="4"/>
      <c r="U104" s="5"/>
      <c r="V104" s="14"/>
      <c r="W104" s="3"/>
      <c r="X104" s="3"/>
    </row>
    <row r="105" spans="1:24">
      <c r="A105" s="1" t="s">
        <v>23</v>
      </c>
      <c r="B105" s="1">
        <v>60</v>
      </c>
      <c r="C105" s="12">
        <f>+'Flow rate'!E104</f>
        <v>1.187422</v>
      </c>
      <c r="D105" s="1" t="s">
        <v>31</v>
      </c>
      <c r="E105" s="1" t="s">
        <v>32</v>
      </c>
      <c r="F105" s="1" t="s">
        <v>33</v>
      </c>
      <c r="G105" s="1">
        <v>-0.5</v>
      </c>
      <c r="H105" s="15">
        <v>46114.727673611109</v>
      </c>
      <c r="I105" s="2">
        <f t="shared" si="11"/>
        <v>0.85861111100530252</v>
      </c>
      <c r="P105" s="3"/>
      <c r="Q105" s="3"/>
      <c r="R105" s="3"/>
      <c r="S105" s="3"/>
      <c r="T105" s="4"/>
      <c r="U105" s="5"/>
      <c r="V105" s="14"/>
      <c r="W105" s="3"/>
      <c r="X105" s="3"/>
    </row>
    <row r="106" spans="1:24">
      <c r="A106" s="1" t="s">
        <v>23</v>
      </c>
      <c r="B106" s="1">
        <v>60</v>
      </c>
      <c r="C106" s="12">
        <f>+'Flow rate'!E105</f>
        <v>1.1628750000000001</v>
      </c>
      <c r="D106" s="1" t="s">
        <v>31</v>
      </c>
      <c r="E106" s="1" t="s">
        <v>32</v>
      </c>
      <c r="F106" s="1" t="s">
        <v>33</v>
      </c>
      <c r="G106" s="1">
        <v>-0.5</v>
      </c>
      <c r="H106" s="15">
        <v>46114.728020833332</v>
      </c>
      <c r="I106" s="2">
        <f t="shared" si="11"/>
        <v>0.86694444436579943</v>
      </c>
      <c r="P106" s="3"/>
      <c r="Q106" s="3"/>
      <c r="R106" s="3"/>
      <c r="S106" s="3"/>
      <c r="T106" s="4"/>
      <c r="U106" s="5"/>
      <c r="V106" s="14"/>
      <c r="W106" s="3"/>
      <c r="X106" s="3"/>
    </row>
    <row r="107" spans="1:24">
      <c r="A107" s="1" t="s">
        <v>23</v>
      </c>
      <c r="B107" s="1">
        <v>60</v>
      </c>
      <c r="C107" s="12">
        <f>+'Flow rate'!E106</f>
        <v>1.1628750000000001</v>
      </c>
      <c r="D107" s="1" t="s">
        <v>31</v>
      </c>
      <c r="E107" s="1" t="s">
        <v>32</v>
      </c>
      <c r="F107" s="1" t="s">
        <v>33</v>
      </c>
      <c r="G107" s="1">
        <v>-0.5</v>
      </c>
      <c r="H107" s="15">
        <v>46114.728368055556</v>
      </c>
      <c r="I107" s="2">
        <f t="shared" si="11"/>
        <v>0.87527777772629634</v>
      </c>
      <c r="P107" s="3"/>
      <c r="Q107" s="3"/>
      <c r="R107" s="3"/>
      <c r="S107" s="3"/>
      <c r="T107" s="4"/>
      <c r="U107" s="5"/>
      <c r="V107" s="14"/>
      <c r="W107" s="3"/>
      <c r="X107" s="3"/>
    </row>
    <row r="108" spans="1:24">
      <c r="A108" s="1" t="s">
        <v>23</v>
      </c>
      <c r="B108" s="1">
        <v>60</v>
      </c>
      <c r="C108" s="12">
        <f>+'Flow rate'!E107</f>
        <v>1.1657839999999999</v>
      </c>
      <c r="D108" s="1" t="s">
        <v>31</v>
      </c>
      <c r="E108" s="1" t="s">
        <v>32</v>
      </c>
      <c r="F108" s="1" t="s">
        <v>33</v>
      </c>
      <c r="G108" s="1">
        <v>-0.5</v>
      </c>
      <c r="H108" s="15">
        <v>46114.728715277779</v>
      </c>
      <c r="I108" s="2">
        <f t="shared" si="11"/>
        <v>0.88361111108679324</v>
      </c>
      <c r="P108" s="3"/>
      <c r="Q108" s="3"/>
      <c r="R108" s="3"/>
      <c r="S108" s="3"/>
      <c r="T108" s="4"/>
      <c r="U108" s="5"/>
      <c r="V108" s="14"/>
      <c r="W108" s="3"/>
      <c r="X108" s="3"/>
    </row>
    <row r="109" spans="1:24">
      <c r="A109" s="1" t="s">
        <v>23</v>
      </c>
      <c r="B109" s="1">
        <v>60</v>
      </c>
      <c r="C109" s="12">
        <f>+'Flow rate'!E108</f>
        <v>1.1657839999999999</v>
      </c>
      <c r="D109" s="1" t="s">
        <v>31</v>
      </c>
      <c r="E109" s="1" t="s">
        <v>32</v>
      </c>
      <c r="F109" s="1" t="s">
        <v>33</v>
      </c>
      <c r="G109" s="1">
        <v>-0.5</v>
      </c>
      <c r="H109" s="15">
        <v>46114.729062500002</v>
      </c>
      <c r="I109" s="2">
        <f t="shared" si="11"/>
        <v>0.89194444444729015</v>
      </c>
      <c r="P109" s="3"/>
      <c r="Q109" s="3"/>
      <c r="R109" s="3"/>
      <c r="S109" s="3"/>
      <c r="T109" s="4"/>
      <c r="U109" s="5"/>
      <c r="V109" s="14"/>
      <c r="W109" s="3"/>
      <c r="X109" s="3"/>
    </row>
    <row r="110" spans="1:24">
      <c r="A110" s="1" t="s">
        <v>23</v>
      </c>
      <c r="B110" s="1">
        <v>60</v>
      </c>
      <c r="C110" s="12">
        <f>+'Flow rate'!E109</f>
        <v>1.1821330000000001</v>
      </c>
      <c r="D110" s="1" t="s">
        <v>31</v>
      </c>
      <c r="E110" s="1" t="s">
        <v>32</v>
      </c>
      <c r="F110" s="1" t="s">
        <v>33</v>
      </c>
      <c r="G110" s="1">
        <v>-0.5</v>
      </c>
      <c r="H110" s="15">
        <v>46114.729409722226</v>
      </c>
      <c r="I110" s="2">
        <f t="shared" si="11"/>
        <v>0.90027777780778706</v>
      </c>
      <c r="P110" s="3"/>
      <c r="Q110" s="3"/>
      <c r="R110" s="3"/>
      <c r="S110" s="3"/>
      <c r="T110" s="4"/>
      <c r="U110" s="5"/>
      <c r="V110" s="14"/>
      <c r="W110" s="3"/>
      <c r="X110" s="3"/>
    </row>
    <row r="111" spans="1:24">
      <c r="A111" s="1" t="s">
        <v>23</v>
      </c>
      <c r="B111" s="1">
        <v>60</v>
      </c>
      <c r="C111" s="12">
        <f>+'Flow rate'!E110</f>
        <v>1.1821330000000001</v>
      </c>
      <c r="D111" s="1" t="s">
        <v>31</v>
      </c>
      <c r="E111" s="1" t="s">
        <v>32</v>
      </c>
      <c r="F111" s="1" t="s">
        <v>33</v>
      </c>
      <c r="G111" s="1">
        <v>-0.5</v>
      </c>
      <c r="H111" s="15">
        <v>46114.729756944442</v>
      </c>
      <c r="I111" s="2">
        <f t="shared" si="11"/>
        <v>0.90861111099366099</v>
      </c>
      <c r="P111" s="3"/>
      <c r="Q111" s="3"/>
      <c r="R111" s="3"/>
      <c r="S111" s="3"/>
      <c r="T111" s="4"/>
      <c r="U111" s="5"/>
      <c r="V111" s="14"/>
      <c r="W111" s="3"/>
      <c r="X111" s="3"/>
    </row>
    <row r="112" spans="1:24">
      <c r="A112" s="1" t="s">
        <v>23</v>
      </c>
      <c r="B112" s="1">
        <v>60</v>
      </c>
      <c r="C112" s="12">
        <f>+'Flow rate'!E111</f>
        <v>1.1687339999999999</v>
      </c>
      <c r="D112" s="1" t="s">
        <v>31</v>
      </c>
      <c r="E112" s="1" t="s">
        <v>32</v>
      </c>
      <c r="F112" s="1" t="s">
        <v>33</v>
      </c>
      <c r="G112" s="1">
        <v>-0.5</v>
      </c>
      <c r="H112" s="15">
        <v>46114.730104166665</v>
      </c>
      <c r="I112" s="2">
        <f t="shared" si="11"/>
        <v>0.91694444435415789</v>
      </c>
      <c r="P112" s="3"/>
      <c r="Q112" s="3"/>
      <c r="R112" s="3"/>
      <c r="S112" s="3"/>
      <c r="T112" s="4"/>
      <c r="U112" s="5"/>
      <c r="V112" s="14"/>
      <c r="W112" s="3"/>
      <c r="X112" s="3"/>
    </row>
    <row r="113" spans="1:24">
      <c r="A113" s="1" t="s">
        <v>23</v>
      </c>
      <c r="B113" s="1">
        <v>60</v>
      </c>
      <c r="C113" s="12">
        <f>+'Flow rate'!E112</f>
        <v>1.1687339999999999</v>
      </c>
      <c r="D113" s="1" t="s">
        <v>31</v>
      </c>
      <c r="E113" s="1" t="s">
        <v>32</v>
      </c>
      <c r="F113" s="1" t="s">
        <v>33</v>
      </c>
      <c r="G113" s="1">
        <v>-0.5</v>
      </c>
      <c r="H113" s="15">
        <v>46114.730451388888</v>
      </c>
      <c r="I113" s="2">
        <f t="shared" si="11"/>
        <v>0.9252777777146548</v>
      </c>
      <c r="P113" s="3"/>
      <c r="Q113" s="3"/>
      <c r="R113" s="3"/>
      <c r="S113" s="3"/>
      <c r="T113" s="4"/>
      <c r="U113" s="5"/>
      <c r="V113" s="14"/>
      <c r="W113" s="3"/>
      <c r="X113" s="3"/>
    </row>
    <row r="114" spans="1:24">
      <c r="A114" s="1" t="s">
        <v>23</v>
      </c>
      <c r="B114" s="1">
        <v>60</v>
      </c>
      <c r="C114" s="12">
        <f>+'Flow rate'!E113</f>
        <v>1.149945</v>
      </c>
      <c r="D114" s="1" t="s">
        <v>31</v>
      </c>
      <c r="E114" s="1" t="s">
        <v>32</v>
      </c>
      <c r="F114" s="1" t="s">
        <v>33</v>
      </c>
      <c r="G114" s="1">
        <v>-0.5</v>
      </c>
      <c r="H114" s="15">
        <v>46114.730798611112</v>
      </c>
      <c r="I114" s="2">
        <f t="shared" si="11"/>
        <v>0.93361111107515171</v>
      </c>
      <c r="P114" s="3"/>
      <c r="Q114" s="3"/>
      <c r="R114" s="3"/>
      <c r="S114" s="3"/>
      <c r="T114" s="4"/>
      <c r="U114" s="5"/>
      <c r="V114" s="14"/>
      <c r="W114" s="3"/>
      <c r="X114" s="3"/>
    </row>
    <row r="115" spans="1:24">
      <c r="A115" s="1" t="s">
        <v>23</v>
      </c>
      <c r="B115" s="1">
        <v>60</v>
      </c>
      <c r="C115" s="12">
        <f>+'Flow rate'!E114</f>
        <v>1.149945</v>
      </c>
      <c r="D115" s="1" t="s">
        <v>31</v>
      </c>
      <c r="E115" s="1" t="s">
        <v>32</v>
      </c>
      <c r="F115" s="1" t="s">
        <v>33</v>
      </c>
      <c r="G115" s="1">
        <v>-0.5</v>
      </c>
      <c r="H115" s="15">
        <v>46114.731145833335</v>
      </c>
      <c r="I115" s="2">
        <f t="shared" si="11"/>
        <v>0.94194444443564862</v>
      </c>
      <c r="P115" s="3"/>
      <c r="Q115" s="3"/>
      <c r="R115" s="3"/>
      <c r="S115" s="3"/>
      <c r="T115" s="4"/>
      <c r="U115" s="5"/>
      <c r="V115" s="14"/>
      <c r="W115" s="3"/>
      <c r="X115" s="3"/>
    </row>
    <row r="116" spans="1:24">
      <c r="A116" s="1" t="s">
        <v>23</v>
      </c>
      <c r="B116" s="1">
        <v>60</v>
      </c>
      <c r="C116" s="12">
        <f>+'Flow rate'!E115</f>
        <v>1.148304</v>
      </c>
      <c r="D116" s="1" t="s">
        <v>31</v>
      </c>
      <c r="E116" s="1" t="s">
        <v>32</v>
      </c>
      <c r="F116" s="1" t="s">
        <v>33</v>
      </c>
      <c r="G116" s="1">
        <v>-0.5</v>
      </c>
      <c r="H116" s="15">
        <v>46114.731493055559</v>
      </c>
      <c r="I116" s="2">
        <f t="shared" si="11"/>
        <v>0.95027777779614553</v>
      </c>
      <c r="P116" s="3"/>
      <c r="Q116" s="3"/>
      <c r="R116" s="3"/>
      <c r="S116" s="3"/>
      <c r="T116" s="4"/>
      <c r="U116" s="5"/>
      <c r="V116" s="14"/>
      <c r="W116" s="3"/>
      <c r="X116" s="3"/>
    </row>
    <row r="117" spans="1:24">
      <c r="A117" s="1" t="s">
        <v>23</v>
      </c>
      <c r="B117" s="1">
        <v>60</v>
      </c>
      <c r="C117" s="12">
        <f>+'Flow rate'!E116</f>
        <v>1.148304</v>
      </c>
      <c r="D117" s="1" t="s">
        <v>31</v>
      </c>
      <c r="E117" s="1" t="s">
        <v>32</v>
      </c>
      <c r="F117" s="1" t="s">
        <v>33</v>
      </c>
      <c r="G117" s="1">
        <v>-0.5</v>
      </c>
      <c r="H117" s="15">
        <v>46114.731840277775</v>
      </c>
      <c r="I117" s="2">
        <f t="shared" si="11"/>
        <v>0.95861111098201945</v>
      </c>
      <c r="P117" s="3"/>
      <c r="Q117" s="3"/>
      <c r="R117" s="3"/>
      <c r="S117" s="3"/>
      <c r="T117" s="4"/>
      <c r="U117" s="5"/>
      <c r="V117" s="14"/>
      <c r="W117" s="3"/>
      <c r="X117" s="3"/>
    </row>
    <row r="118" spans="1:24">
      <c r="A118" s="1" t="s">
        <v>23</v>
      </c>
      <c r="B118" s="1">
        <v>60</v>
      </c>
      <c r="C118" s="12">
        <f>+'Flow rate'!E117</f>
        <v>1.1472260000000001</v>
      </c>
      <c r="D118" s="1" t="s">
        <v>31</v>
      </c>
      <c r="E118" s="1" t="s">
        <v>32</v>
      </c>
      <c r="F118" s="1" t="s">
        <v>33</v>
      </c>
      <c r="G118" s="1">
        <v>-0.5</v>
      </c>
      <c r="H118" s="15">
        <v>46114.732187499998</v>
      </c>
      <c r="I118" s="2">
        <f t="shared" si="11"/>
        <v>0.96694444434251636</v>
      </c>
      <c r="P118" s="3"/>
      <c r="Q118" s="3"/>
      <c r="R118" s="3"/>
      <c r="S118" s="3"/>
      <c r="T118" s="4"/>
      <c r="U118" s="5"/>
      <c r="V118" s="14"/>
      <c r="W118" s="3"/>
      <c r="X118" s="3"/>
    </row>
    <row r="119" spans="1:24">
      <c r="A119" s="1" t="s">
        <v>23</v>
      </c>
      <c r="B119" s="1">
        <v>60</v>
      </c>
      <c r="C119" s="12">
        <f>+'Flow rate'!E118</f>
        <v>1.1472260000000001</v>
      </c>
      <c r="D119" s="1" t="s">
        <v>31</v>
      </c>
      <c r="E119" s="1" t="s">
        <v>32</v>
      </c>
      <c r="F119" s="1" t="s">
        <v>33</v>
      </c>
      <c r="G119" s="1">
        <v>-0.5</v>
      </c>
      <c r="H119" s="15">
        <v>46114.732534722221</v>
      </c>
      <c r="I119" s="2">
        <f t="shared" si="11"/>
        <v>0.97527777770301327</v>
      </c>
      <c r="P119" s="3"/>
      <c r="Q119" s="3"/>
      <c r="R119" s="3"/>
      <c r="S119" s="3"/>
      <c r="T119" s="4"/>
      <c r="U119" s="5"/>
      <c r="V119" s="14"/>
      <c r="W119" s="3"/>
      <c r="X119" s="3"/>
    </row>
    <row r="120" spans="1:24">
      <c r="A120" s="1" t="s">
        <v>23</v>
      </c>
      <c r="B120" s="1">
        <v>60</v>
      </c>
      <c r="C120" s="12">
        <f>+'Flow rate'!E119</f>
        <v>1.1796390000000001</v>
      </c>
      <c r="D120" s="1" t="s">
        <v>31</v>
      </c>
      <c r="E120" s="1" t="s">
        <v>32</v>
      </c>
      <c r="F120" s="1" t="s">
        <v>33</v>
      </c>
      <c r="G120" s="1">
        <v>-0.5</v>
      </c>
      <c r="H120" s="15">
        <v>46114.732881944445</v>
      </c>
      <c r="I120" s="2">
        <f t="shared" si="11"/>
        <v>0.98361111106351018</v>
      </c>
      <c r="P120" s="3"/>
      <c r="Q120" s="3"/>
      <c r="R120" s="3"/>
      <c r="S120" s="3"/>
      <c r="T120" s="4"/>
      <c r="U120" s="5"/>
      <c r="V120" s="14"/>
      <c r="W120" s="3"/>
      <c r="X120" s="3"/>
    </row>
    <row r="121" spans="1:24">
      <c r="A121" s="1" t="s">
        <v>23</v>
      </c>
      <c r="B121" s="1">
        <v>60</v>
      </c>
      <c r="C121" s="12">
        <f>+'Flow rate'!E120</f>
        <v>1.1796390000000001</v>
      </c>
      <c r="D121" s="1" t="s">
        <v>31</v>
      </c>
      <c r="E121" s="1" t="s">
        <v>32</v>
      </c>
      <c r="F121" s="1" t="s">
        <v>33</v>
      </c>
      <c r="G121" s="1">
        <v>-0.5</v>
      </c>
      <c r="H121" s="15">
        <v>46114.733229166668</v>
      </c>
      <c r="I121" s="2">
        <f t="shared" si="11"/>
        <v>0.99194444442400709</v>
      </c>
      <c r="P121" s="3"/>
      <c r="Q121" s="3"/>
      <c r="R121" s="3"/>
      <c r="S121" s="3"/>
      <c r="T121" s="4"/>
      <c r="U121" s="5"/>
      <c r="V121" s="14"/>
      <c r="W121" s="3"/>
      <c r="X121" s="3"/>
    </row>
    <row r="122" spans="1:24">
      <c r="A122" s="1" t="s">
        <v>23</v>
      </c>
      <c r="B122" s="1">
        <v>60</v>
      </c>
      <c r="C122" s="12">
        <f>+'Flow rate'!E121</f>
        <v>1.218135</v>
      </c>
      <c r="D122" s="1" t="s">
        <v>31</v>
      </c>
      <c r="E122" s="1" t="s">
        <v>32</v>
      </c>
      <c r="F122" s="1" t="s">
        <v>33</v>
      </c>
      <c r="G122" s="1">
        <v>-0.5</v>
      </c>
      <c r="H122" s="15">
        <v>46114.733576388891</v>
      </c>
      <c r="I122" s="2">
        <f t="shared" si="11"/>
        <v>1.000277777784504</v>
      </c>
      <c r="P122" s="3"/>
      <c r="Q122" s="3"/>
      <c r="R122" s="3"/>
      <c r="S122" s="3"/>
      <c r="T122" s="4"/>
      <c r="U122" s="5"/>
      <c r="V122" s="14"/>
      <c r="W122" s="3"/>
      <c r="X122" s="3"/>
    </row>
    <row r="123" spans="1:24">
      <c r="A123" s="1" t="s">
        <v>23</v>
      </c>
      <c r="B123" s="1">
        <v>60</v>
      </c>
      <c r="C123" s="12">
        <f>+'Flow rate'!E122</f>
        <v>1.218135</v>
      </c>
      <c r="D123" s="1" t="s">
        <v>31</v>
      </c>
      <c r="E123" s="1" t="s">
        <v>32</v>
      </c>
      <c r="F123" s="1" t="s">
        <v>33</v>
      </c>
      <c r="G123" s="1">
        <v>-0.5</v>
      </c>
      <c r="H123" s="15">
        <v>46114.733923611115</v>
      </c>
      <c r="I123" s="2">
        <f t="shared" si="11"/>
        <v>1.0086111111450009</v>
      </c>
      <c r="P123" s="3"/>
      <c r="Q123" s="3"/>
      <c r="R123" s="3"/>
      <c r="S123" s="3"/>
      <c r="T123" s="4"/>
      <c r="U123" s="5"/>
      <c r="V123" s="14"/>
      <c r="W123" s="3"/>
      <c r="X123" s="3"/>
    </row>
    <row r="124" spans="1:24">
      <c r="A124" s="1" t="s">
        <v>23</v>
      </c>
      <c r="B124" s="1">
        <v>60</v>
      </c>
      <c r="C124" s="12">
        <f>+'Flow rate'!E123</f>
        <v>2.0972040000000001</v>
      </c>
      <c r="D124" s="1" t="s">
        <v>31</v>
      </c>
      <c r="E124" s="1" t="s">
        <v>32</v>
      </c>
      <c r="F124" s="1" t="s">
        <v>33</v>
      </c>
      <c r="G124" s="1">
        <v>-0.5</v>
      </c>
      <c r="H124" s="15">
        <v>46114.734270833331</v>
      </c>
      <c r="I124" s="2">
        <f t="shared" si="11"/>
        <v>1.0169444443308748</v>
      </c>
      <c r="P124" s="3"/>
      <c r="Q124" s="3"/>
      <c r="R124" s="3"/>
      <c r="S124" s="3"/>
      <c r="T124" s="4"/>
      <c r="U124" s="5"/>
      <c r="V124" s="14"/>
      <c r="W124" s="3"/>
      <c r="X124" s="3"/>
    </row>
    <row r="125" spans="1:24">
      <c r="A125" s="1" t="s">
        <v>23</v>
      </c>
      <c r="B125" s="1">
        <v>60</v>
      </c>
      <c r="C125" s="12">
        <f>+'Flow rate'!E124</f>
        <v>2.0972040000000001</v>
      </c>
      <c r="D125" s="1" t="s">
        <v>31</v>
      </c>
      <c r="E125" s="1" t="s">
        <v>32</v>
      </c>
      <c r="F125" s="1" t="s">
        <v>33</v>
      </c>
      <c r="G125" s="1">
        <v>-0.5</v>
      </c>
      <c r="H125" s="15">
        <v>46114.734618055554</v>
      </c>
      <c r="I125" s="2">
        <f t="shared" si="11"/>
        <v>1.0252777776913717</v>
      </c>
      <c r="P125" s="3"/>
      <c r="Q125" s="3"/>
      <c r="R125" s="3"/>
      <c r="S125" s="3"/>
      <c r="T125" s="4"/>
      <c r="U125" s="5"/>
      <c r="V125" s="14"/>
      <c r="W125" s="3"/>
      <c r="X125" s="3"/>
    </row>
    <row r="126" spans="1:24">
      <c r="A126" s="1" t="s">
        <v>23</v>
      </c>
      <c r="B126" s="1">
        <v>60</v>
      </c>
      <c r="C126" s="12">
        <f>+'Flow rate'!E125</f>
        <v>2.1880000000000002</v>
      </c>
      <c r="D126" s="1" t="s">
        <v>31</v>
      </c>
      <c r="E126" s="1" t="s">
        <v>32</v>
      </c>
      <c r="F126" s="1" t="s">
        <v>33</v>
      </c>
      <c r="G126" s="1">
        <v>-0.5</v>
      </c>
      <c r="H126" s="15">
        <v>46114.734965277778</v>
      </c>
      <c r="I126" s="2">
        <f t="shared" si="11"/>
        <v>1.0336111110518686</v>
      </c>
      <c r="P126" s="3"/>
      <c r="Q126" s="3"/>
      <c r="R126" s="3"/>
      <c r="S126" s="3"/>
      <c r="T126" s="4"/>
      <c r="U126" s="5"/>
      <c r="V126" s="14"/>
      <c r="W126" s="3"/>
      <c r="X126" s="3"/>
    </row>
    <row r="127" spans="1:24">
      <c r="A127" s="1" t="s">
        <v>23</v>
      </c>
      <c r="B127" s="1">
        <v>60</v>
      </c>
      <c r="C127" s="12">
        <f>+'Flow rate'!E126</f>
        <v>2.1880000000000002</v>
      </c>
      <c r="D127" s="1" t="s">
        <v>31</v>
      </c>
      <c r="E127" s="1" t="s">
        <v>32</v>
      </c>
      <c r="F127" s="1" t="s">
        <v>33</v>
      </c>
      <c r="G127" s="1">
        <v>-0.5</v>
      </c>
      <c r="H127" s="15">
        <v>46114.735312500001</v>
      </c>
      <c r="I127" s="2">
        <f t="shared" si="11"/>
        <v>1.0419444444123656</v>
      </c>
      <c r="P127" s="3"/>
      <c r="Q127" s="3"/>
      <c r="R127" s="3"/>
      <c r="S127" s="3"/>
      <c r="T127" s="4"/>
      <c r="U127" s="5"/>
      <c r="V127" s="14"/>
      <c r="W127" s="3"/>
      <c r="X127" s="3"/>
    </row>
    <row r="128" spans="1:24">
      <c r="A128" s="1" t="s">
        <v>23</v>
      </c>
      <c r="B128" s="1">
        <v>60</v>
      </c>
      <c r="C128" s="12">
        <f>+'Flow rate'!E127</f>
        <v>2.5292919999999999</v>
      </c>
      <c r="D128" s="1" t="s">
        <v>31</v>
      </c>
      <c r="E128" s="1" t="s">
        <v>32</v>
      </c>
      <c r="F128" s="1" t="s">
        <v>33</v>
      </c>
      <c r="G128" s="1">
        <v>-0.5</v>
      </c>
      <c r="H128" s="15">
        <v>46114.735659722224</v>
      </c>
      <c r="I128" s="2">
        <f t="shared" si="11"/>
        <v>1.0502777777728625</v>
      </c>
      <c r="P128" s="3"/>
      <c r="Q128" s="3"/>
      <c r="R128" s="3"/>
      <c r="S128" s="3"/>
      <c r="T128" s="4"/>
      <c r="U128" s="5"/>
      <c r="V128" s="14"/>
      <c r="W128" s="3"/>
      <c r="X128" s="3"/>
    </row>
    <row r="129" spans="1:24">
      <c r="A129" s="1" t="s">
        <v>23</v>
      </c>
      <c r="B129" s="1">
        <v>60</v>
      </c>
      <c r="C129" s="12">
        <f>+'Flow rate'!E128</f>
        <v>2.5292919999999999</v>
      </c>
      <c r="D129" s="1" t="s">
        <v>31</v>
      </c>
      <c r="E129" s="1" t="s">
        <v>32</v>
      </c>
      <c r="F129" s="1" t="s">
        <v>33</v>
      </c>
      <c r="G129" s="1">
        <v>-0.5</v>
      </c>
      <c r="H129" s="15">
        <v>46114.736006944448</v>
      </c>
      <c r="I129" s="2">
        <f t="shared" si="11"/>
        <v>1.0586111111333594</v>
      </c>
      <c r="P129" s="3"/>
      <c r="Q129" s="3"/>
      <c r="R129" s="3"/>
      <c r="S129" s="3"/>
      <c r="T129" s="4"/>
      <c r="U129" s="5"/>
      <c r="V129" s="14"/>
      <c r="W129" s="3"/>
      <c r="X129" s="3"/>
    </row>
    <row r="130" spans="1:24">
      <c r="A130" s="1" t="s">
        <v>23</v>
      </c>
      <c r="B130" s="1">
        <v>60</v>
      </c>
      <c r="C130" s="12">
        <f>+'Flow rate'!E129</f>
        <v>2.26505</v>
      </c>
      <c r="D130" s="1" t="s">
        <v>31</v>
      </c>
      <c r="E130" s="1" t="s">
        <v>32</v>
      </c>
      <c r="F130" s="1" t="s">
        <v>33</v>
      </c>
      <c r="G130" s="1">
        <v>-0.5</v>
      </c>
      <c r="H130" s="15">
        <v>46114.736354166664</v>
      </c>
      <c r="I130" s="2">
        <f t="shared" si="11"/>
        <v>1.0669444443192333</v>
      </c>
      <c r="P130" s="3"/>
      <c r="Q130" s="3"/>
      <c r="R130" s="3"/>
      <c r="S130" s="3"/>
      <c r="T130" s="4"/>
      <c r="U130" s="5"/>
      <c r="V130" s="14"/>
      <c r="W130" s="3"/>
      <c r="X130" s="3"/>
    </row>
    <row r="131" spans="1:24">
      <c r="A131" s="1" t="s">
        <v>23</v>
      </c>
      <c r="B131" s="1">
        <v>60</v>
      </c>
      <c r="C131" s="12">
        <f>+'Flow rate'!E130</f>
        <v>2.26505</v>
      </c>
      <c r="D131" s="1" t="s">
        <v>31</v>
      </c>
      <c r="E131" s="1" t="s">
        <v>32</v>
      </c>
      <c r="F131" s="1" t="s">
        <v>33</v>
      </c>
      <c r="G131" s="1">
        <v>-0.5</v>
      </c>
      <c r="H131" s="15">
        <v>46114.736701388887</v>
      </c>
      <c r="I131" s="2">
        <f t="shared" si="11"/>
        <v>1.0752777776797302</v>
      </c>
      <c r="P131" s="3"/>
      <c r="Q131" s="3"/>
      <c r="R131" s="3"/>
      <c r="S131" s="3"/>
      <c r="T131" s="4"/>
      <c r="U131" s="5"/>
      <c r="V131" s="14"/>
      <c r="W131" s="3"/>
      <c r="X131" s="3"/>
    </row>
    <row r="132" spans="1:24">
      <c r="A132" s="1" t="s">
        <v>23</v>
      </c>
      <c r="B132" s="1">
        <v>60</v>
      </c>
      <c r="C132" s="12">
        <f>+'Flow rate'!E131</f>
        <v>2.2953229999999998</v>
      </c>
      <c r="D132" s="1" t="s">
        <v>31</v>
      </c>
      <c r="E132" s="1" t="s">
        <v>32</v>
      </c>
      <c r="F132" s="1" t="s">
        <v>33</v>
      </c>
      <c r="G132" s="1">
        <v>-0.5</v>
      </c>
      <c r="H132" s="15">
        <v>46114.73704861111</v>
      </c>
      <c r="I132" s="2">
        <f t="shared" ref="I132:I195" si="12">+(H132-H$2)*24</f>
        <v>1.0836111110402271</v>
      </c>
      <c r="P132" s="3"/>
      <c r="Q132" s="3"/>
      <c r="R132" s="3"/>
      <c r="S132" s="3"/>
      <c r="T132" s="4"/>
      <c r="U132" s="5"/>
      <c r="V132" s="14"/>
      <c r="W132" s="3"/>
      <c r="X132" s="3"/>
    </row>
    <row r="133" spans="1:24">
      <c r="A133" s="1" t="s">
        <v>23</v>
      </c>
      <c r="B133" s="1">
        <v>60</v>
      </c>
      <c r="C133" s="12">
        <f>+'Flow rate'!E132</f>
        <v>2.2953229999999998</v>
      </c>
      <c r="D133" s="1" t="s">
        <v>31</v>
      </c>
      <c r="E133" s="1" t="s">
        <v>32</v>
      </c>
      <c r="F133" s="1" t="s">
        <v>33</v>
      </c>
      <c r="G133" s="1">
        <v>-0.5</v>
      </c>
      <c r="H133" s="15">
        <v>46114.737395833334</v>
      </c>
      <c r="I133" s="2">
        <f t="shared" si="12"/>
        <v>1.091944444400724</v>
      </c>
      <c r="P133" s="3"/>
      <c r="Q133" s="3"/>
      <c r="R133" s="3"/>
      <c r="S133" s="3"/>
      <c r="T133" s="4"/>
      <c r="U133" s="5"/>
      <c r="V133" s="14"/>
      <c r="W133" s="3"/>
      <c r="X133" s="3"/>
    </row>
    <row r="134" spans="1:24">
      <c r="A134" s="1" t="s">
        <v>23</v>
      </c>
      <c r="B134" s="1">
        <v>60</v>
      </c>
      <c r="C134" s="12">
        <f>+'Flow rate'!E133</f>
        <v>2.3978419999999998</v>
      </c>
      <c r="D134" s="1" t="s">
        <v>31</v>
      </c>
      <c r="E134" s="1" t="s">
        <v>32</v>
      </c>
      <c r="F134" s="1" t="s">
        <v>33</v>
      </c>
      <c r="G134" s="1">
        <v>-0.5</v>
      </c>
      <c r="H134" s="15">
        <v>46114.737743055557</v>
      </c>
      <c r="I134" s="2">
        <f t="shared" si="12"/>
        <v>1.1002777777612209</v>
      </c>
      <c r="P134" s="3"/>
      <c r="Q134" s="3"/>
      <c r="R134" s="3"/>
      <c r="S134" s="3"/>
      <c r="T134" s="4"/>
      <c r="U134" s="5"/>
      <c r="V134" s="14"/>
      <c r="W134" s="3"/>
      <c r="X134" s="3"/>
    </row>
    <row r="135" spans="1:24">
      <c r="A135" s="1" t="s">
        <v>23</v>
      </c>
      <c r="B135" s="1">
        <v>60</v>
      </c>
      <c r="C135" s="12">
        <f>+'Flow rate'!E134</f>
        <v>2.3978419999999998</v>
      </c>
      <c r="D135" s="1" t="s">
        <v>31</v>
      </c>
      <c r="E135" s="1" t="s">
        <v>32</v>
      </c>
      <c r="F135" s="1" t="s">
        <v>33</v>
      </c>
      <c r="G135" s="1">
        <v>-0.5</v>
      </c>
      <c r="H135" s="15">
        <v>46114.73809027778</v>
      </c>
      <c r="I135" s="2">
        <f t="shared" si="12"/>
        <v>1.1086111111217178</v>
      </c>
      <c r="P135" s="3"/>
      <c r="Q135" s="3"/>
      <c r="R135" s="3"/>
      <c r="S135" s="3"/>
      <c r="T135" s="4"/>
      <c r="U135" s="5"/>
      <c r="V135" s="14"/>
      <c r="W135" s="3"/>
      <c r="X135" s="3"/>
    </row>
    <row r="136" spans="1:24">
      <c r="A136" s="1" t="s">
        <v>23</v>
      </c>
      <c r="B136" s="1">
        <v>60</v>
      </c>
      <c r="C136" s="12">
        <f>+'Flow rate'!E135</f>
        <v>2.2928579999999998</v>
      </c>
      <c r="D136" s="1" t="s">
        <v>31</v>
      </c>
      <c r="E136" s="1" t="s">
        <v>32</v>
      </c>
      <c r="F136" s="1" t="s">
        <v>33</v>
      </c>
      <c r="G136" s="1">
        <v>-0.5</v>
      </c>
      <c r="H136" s="15">
        <v>46114.738437499997</v>
      </c>
      <c r="I136" s="2">
        <f t="shared" si="12"/>
        <v>1.1169444443075918</v>
      </c>
      <c r="P136" s="3"/>
      <c r="Q136" s="3"/>
      <c r="R136" s="3"/>
      <c r="S136" s="3"/>
      <c r="W136" s="3"/>
      <c r="X136" s="3"/>
    </row>
    <row r="137" spans="1:24">
      <c r="A137" s="1" t="s">
        <v>23</v>
      </c>
      <c r="B137" s="1">
        <v>60</v>
      </c>
      <c r="C137" s="12">
        <f>+'Flow rate'!E136</f>
        <v>2.2928579999999998</v>
      </c>
      <c r="D137" s="1" t="s">
        <v>31</v>
      </c>
      <c r="E137" s="1" t="s">
        <v>32</v>
      </c>
      <c r="F137" s="1" t="s">
        <v>33</v>
      </c>
      <c r="G137" s="1">
        <v>-0.5</v>
      </c>
      <c r="H137" s="15">
        <v>46114.73878472222</v>
      </c>
      <c r="I137" s="2">
        <f t="shared" si="12"/>
        <v>1.1252777776680887</v>
      </c>
      <c r="P137" s="3"/>
      <c r="Q137" s="3"/>
      <c r="R137" s="3"/>
      <c r="S137" s="3"/>
      <c r="W137" s="3"/>
      <c r="X137" s="3"/>
    </row>
    <row r="138" spans="1:24">
      <c r="A138" s="1" t="s">
        <v>23</v>
      </c>
      <c r="B138" s="1">
        <v>60</v>
      </c>
      <c r="C138" s="12">
        <f>+'Flow rate'!E137</f>
        <v>2.3074590000000001</v>
      </c>
      <c r="D138" s="1" t="s">
        <v>31</v>
      </c>
      <c r="E138" s="1" t="s">
        <v>32</v>
      </c>
      <c r="F138" s="1" t="s">
        <v>33</v>
      </c>
      <c r="G138" s="1">
        <v>-0.5</v>
      </c>
      <c r="H138" s="15">
        <v>46114.739131944443</v>
      </c>
      <c r="I138" s="2">
        <f t="shared" si="12"/>
        <v>1.1336111110285856</v>
      </c>
      <c r="P138" s="3"/>
      <c r="Q138" s="3"/>
      <c r="R138" s="3"/>
      <c r="S138" s="3"/>
      <c r="W138" s="3"/>
      <c r="X138" s="3"/>
    </row>
    <row r="139" spans="1:24">
      <c r="A139" s="1" t="s">
        <v>23</v>
      </c>
      <c r="B139" s="1">
        <v>60</v>
      </c>
      <c r="C139" s="12">
        <f>+'Flow rate'!E138</f>
        <v>2.3074590000000001</v>
      </c>
      <c r="D139" s="1" t="s">
        <v>31</v>
      </c>
      <c r="E139" s="1" t="s">
        <v>32</v>
      </c>
      <c r="F139" s="1" t="s">
        <v>33</v>
      </c>
      <c r="G139" s="1">
        <v>-0.5</v>
      </c>
      <c r="H139" s="15">
        <v>46114.739479166667</v>
      </c>
      <c r="I139" s="2">
        <f t="shared" si="12"/>
        <v>1.1419444443890825</v>
      </c>
      <c r="P139" s="3"/>
      <c r="Q139" s="3"/>
      <c r="R139" s="3"/>
      <c r="S139" s="3"/>
      <c r="W139" s="3"/>
      <c r="X139" s="3"/>
    </row>
    <row r="140" spans="1:24">
      <c r="A140" s="1" t="s">
        <v>23</v>
      </c>
      <c r="B140" s="1">
        <v>60</v>
      </c>
      <c r="C140" s="12">
        <f>+'Flow rate'!E139</f>
        <v>2.335515</v>
      </c>
      <c r="D140" s="1" t="s">
        <v>31</v>
      </c>
      <c r="E140" s="1" t="s">
        <v>32</v>
      </c>
      <c r="F140" s="1" t="s">
        <v>33</v>
      </c>
      <c r="G140" s="1">
        <v>-0.5</v>
      </c>
      <c r="H140" s="15">
        <v>46114.73982638889</v>
      </c>
      <c r="I140" s="2">
        <f t="shared" si="12"/>
        <v>1.1502777777495794</v>
      </c>
      <c r="P140" s="3"/>
      <c r="Q140" s="3"/>
      <c r="R140" s="3"/>
      <c r="S140" s="3"/>
      <c r="W140" s="3"/>
      <c r="X140" s="3"/>
    </row>
    <row r="141" spans="1:24">
      <c r="A141" s="1" t="s">
        <v>23</v>
      </c>
      <c r="B141" s="1">
        <v>60</v>
      </c>
      <c r="C141" s="12">
        <f>+'Flow rate'!E140</f>
        <v>2.335515</v>
      </c>
      <c r="D141" s="1" t="s">
        <v>31</v>
      </c>
      <c r="E141" s="1" t="s">
        <v>32</v>
      </c>
      <c r="F141" s="1" t="s">
        <v>33</v>
      </c>
      <c r="G141" s="1">
        <v>-0.5</v>
      </c>
      <c r="H141" s="15">
        <v>46114.740173611113</v>
      </c>
      <c r="I141" s="2">
        <f t="shared" si="12"/>
        <v>1.1586111111100763</v>
      </c>
      <c r="P141" s="3"/>
      <c r="Q141" s="3"/>
      <c r="R141" s="3"/>
      <c r="S141" s="3"/>
      <c r="W141" s="3"/>
      <c r="X141" s="3"/>
    </row>
    <row r="142" spans="1:24">
      <c r="A142" s="1" t="s">
        <v>23</v>
      </c>
      <c r="B142" s="1">
        <v>60</v>
      </c>
      <c r="C142" s="12">
        <f>+'Flow rate'!E141</f>
        <v>2.26267</v>
      </c>
      <c r="D142" s="1" t="s">
        <v>31</v>
      </c>
      <c r="E142" s="1" t="s">
        <v>32</v>
      </c>
      <c r="F142" s="1" t="s">
        <v>33</v>
      </c>
      <c r="G142" s="1">
        <v>-0.5</v>
      </c>
      <c r="H142" s="15">
        <v>46114.740520833337</v>
      </c>
      <c r="I142" s="2">
        <f t="shared" si="12"/>
        <v>1.1669444444705732</v>
      </c>
      <c r="P142" s="3"/>
      <c r="Q142" s="3"/>
      <c r="R142" s="3"/>
      <c r="S142" s="3"/>
    </row>
    <row r="143" spans="1:24">
      <c r="A143" s="1" t="s">
        <v>23</v>
      </c>
      <c r="B143" s="1">
        <v>60</v>
      </c>
      <c r="C143" s="12">
        <f>+'Flow rate'!E142</f>
        <v>2.26267</v>
      </c>
      <c r="D143" s="1" t="s">
        <v>31</v>
      </c>
      <c r="E143" s="1" t="s">
        <v>32</v>
      </c>
      <c r="F143" s="1" t="s">
        <v>33</v>
      </c>
      <c r="G143" s="1">
        <v>-0.5</v>
      </c>
      <c r="H143" s="15">
        <v>46114.740868055553</v>
      </c>
      <c r="I143" s="2">
        <f t="shared" si="12"/>
        <v>1.1752777776564471</v>
      </c>
      <c r="P143" s="3"/>
      <c r="Q143" s="3"/>
      <c r="R143" s="3"/>
      <c r="S143" s="3"/>
    </row>
    <row r="144" spans="1:24">
      <c r="A144" s="1" t="s">
        <v>23</v>
      </c>
      <c r="B144" s="1">
        <v>60</v>
      </c>
      <c r="C144" s="12">
        <f>+'Flow rate'!E143</f>
        <v>2.3519649999999999</v>
      </c>
      <c r="D144" s="1" t="s">
        <v>31</v>
      </c>
      <c r="E144" s="1" t="s">
        <v>32</v>
      </c>
      <c r="F144" s="1" t="s">
        <v>33</v>
      </c>
      <c r="G144" s="1">
        <v>-0.5</v>
      </c>
      <c r="H144" s="15">
        <v>46114.741215277776</v>
      </c>
      <c r="I144" s="2">
        <f t="shared" si="12"/>
        <v>1.1836111110169441</v>
      </c>
      <c r="P144" s="3"/>
      <c r="Q144" s="3"/>
      <c r="R144" s="3"/>
      <c r="S144" s="3"/>
    </row>
    <row r="145" spans="1:19">
      <c r="A145" s="1" t="s">
        <v>23</v>
      </c>
      <c r="B145" s="1">
        <v>60</v>
      </c>
      <c r="C145" s="12">
        <f>+'Flow rate'!E144</f>
        <v>2.3519649999999999</v>
      </c>
      <c r="D145" s="1" t="s">
        <v>31</v>
      </c>
      <c r="E145" s="1" t="s">
        <v>32</v>
      </c>
      <c r="F145" s="1" t="s">
        <v>33</v>
      </c>
      <c r="G145" s="1">
        <v>-0.5</v>
      </c>
      <c r="H145" s="15">
        <v>46114.741562499999</v>
      </c>
      <c r="I145" s="2">
        <f t="shared" si="12"/>
        <v>1.191944444377441</v>
      </c>
      <c r="P145" s="3"/>
      <c r="Q145" s="3"/>
      <c r="R145" s="3"/>
      <c r="S145" s="3"/>
    </row>
    <row r="146" spans="1:19">
      <c r="A146" s="1" t="s">
        <v>23</v>
      </c>
      <c r="B146" s="1">
        <v>60</v>
      </c>
      <c r="C146" s="12">
        <f>+'Flow rate'!E145</f>
        <v>2.1574469999999999</v>
      </c>
      <c r="D146" s="1" t="s">
        <v>31</v>
      </c>
      <c r="E146" s="1" t="s">
        <v>32</v>
      </c>
      <c r="F146" s="1" t="s">
        <v>33</v>
      </c>
      <c r="G146" s="1">
        <v>-0.5</v>
      </c>
      <c r="H146" s="15">
        <v>46114.741909722223</v>
      </c>
      <c r="I146" s="2">
        <f t="shared" si="12"/>
        <v>1.2002777777379379</v>
      </c>
      <c r="P146" s="3"/>
      <c r="Q146" s="3"/>
      <c r="R146" s="3"/>
      <c r="S146" s="3"/>
    </row>
    <row r="147" spans="1:19">
      <c r="A147" s="1" t="s">
        <v>23</v>
      </c>
      <c r="B147" s="1">
        <v>60</v>
      </c>
      <c r="C147" s="12">
        <f>+'Flow rate'!E146</f>
        <v>2.1574469999999999</v>
      </c>
      <c r="D147" s="1" t="s">
        <v>31</v>
      </c>
      <c r="E147" s="1" t="s">
        <v>32</v>
      </c>
      <c r="F147" s="1" t="s">
        <v>33</v>
      </c>
      <c r="G147" s="1">
        <v>-0.5</v>
      </c>
      <c r="H147" s="15">
        <v>46114.742256944446</v>
      </c>
      <c r="I147" s="2">
        <f t="shared" si="12"/>
        <v>1.2086111110984348</v>
      </c>
      <c r="P147" s="3"/>
      <c r="Q147" s="3"/>
      <c r="R147" s="3"/>
      <c r="S147" s="3"/>
    </row>
    <row r="148" spans="1:19">
      <c r="A148" s="1" t="s">
        <v>23</v>
      </c>
      <c r="B148" s="1">
        <v>60</v>
      </c>
      <c r="C148" s="12">
        <f>+'Flow rate'!E147</f>
        <v>2.3242430000000001</v>
      </c>
      <c r="D148" s="1" t="s">
        <v>31</v>
      </c>
      <c r="E148" s="1" t="s">
        <v>32</v>
      </c>
      <c r="F148" s="1" t="s">
        <v>33</v>
      </c>
      <c r="G148" s="1">
        <v>-0.5</v>
      </c>
      <c r="H148" s="15">
        <v>46114.742604166669</v>
      </c>
      <c r="I148" s="2">
        <f t="shared" si="12"/>
        <v>1.2169444444589317</v>
      </c>
      <c r="P148" s="3"/>
      <c r="Q148" s="3"/>
      <c r="R148" s="3"/>
      <c r="S148" s="3"/>
    </row>
    <row r="149" spans="1:19">
      <c r="A149" s="1" t="s">
        <v>23</v>
      </c>
      <c r="B149" s="1">
        <v>60</v>
      </c>
      <c r="C149" s="12">
        <f>+'Flow rate'!E148</f>
        <v>2.3242430000000001</v>
      </c>
      <c r="D149" s="1" t="s">
        <v>31</v>
      </c>
      <c r="E149" s="1" t="s">
        <v>32</v>
      </c>
      <c r="F149" s="1" t="s">
        <v>33</v>
      </c>
      <c r="G149" s="1">
        <v>-0.5</v>
      </c>
      <c r="H149" s="15">
        <v>46114.742951388886</v>
      </c>
      <c r="I149" s="2">
        <f t="shared" si="12"/>
        <v>1.2252777776448056</v>
      </c>
      <c r="P149" s="3"/>
      <c r="Q149" s="3"/>
      <c r="R149" s="3"/>
      <c r="S149" s="3"/>
    </row>
    <row r="150" spans="1:19">
      <c r="A150" s="1" t="s">
        <v>23</v>
      </c>
      <c r="B150" s="1">
        <v>60</v>
      </c>
      <c r="C150" s="12">
        <f>+'Flow rate'!E149</f>
        <v>2.2416</v>
      </c>
      <c r="D150" s="1" t="s">
        <v>31</v>
      </c>
      <c r="E150" s="1" t="s">
        <v>32</v>
      </c>
      <c r="F150" s="1" t="s">
        <v>33</v>
      </c>
      <c r="G150" s="1">
        <v>-0.5</v>
      </c>
      <c r="H150" s="15">
        <v>46114.743298611109</v>
      </c>
      <c r="I150" s="2">
        <f t="shared" si="12"/>
        <v>1.2336111110053025</v>
      </c>
      <c r="P150" s="3"/>
      <c r="Q150" s="3"/>
      <c r="R150" s="3"/>
      <c r="S150" s="3"/>
    </row>
    <row r="151" spans="1:19">
      <c r="A151" s="1" t="s">
        <v>23</v>
      </c>
      <c r="B151" s="1">
        <v>60</v>
      </c>
      <c r="C151" s="12">
        <f>+'Flow rate'!E150</f>
        <v>2.2416</v>
      </c>
      <c r="D151" s="1" t="s">
        <v>31</v>
      </c>
      <c r="E151" s="1" t="s">
        <v>32</v>
      </c>
      <c r="F151" s="1" t="s">
        <v>33</v>
      </c>
      <c r="G151" s="1">
        <v>-0.5</v>
      </c>
      <c r="H151" s="15">
        <v>46114.743645833332</v>
      </c>
      <c r="I151" s="2">
        <f t="shared" si="12"/>
        <v>1.2419444443657994</v>
      </c>
      <c r="P151" s="3"/>
      <c r="Q151" s="3"/>
      <c r="R151" s="3"/>
      <c r="S151" s="3"/>
    </row>
    <row r="152" spans="1:19">
      <c r="A152" s="1" t="s">
        <v>23</v>
      </c>
      <c r="B152" s="1">
        <v>60</v>
      </c>
      <c r="C152" s="12">
        <f>+'Flow rate'!E151</f>
        <v>2.238747</v>
      </c>
      <c r="D152" s="1" t="s">
        <v>31</v>
      </c>
      <c r="E152" s="1" t="s">
        <v>32</v>
      </c>
      <c r="F152" s="1" t="s">
        <v>33</v>
      </c>
      <c r="G152" s="1">
        <v>-0.5</v>
      </c>
      <c r="H152" s="15">
        <v>46114.743993055556</v>
      </c>
      <c r="I152" s="2">
        <f t="shared" si="12"/>
        <v>1.2502777777262963</v>
      </c>
      <c r="P152" s="3"/>
      <c r="Q152" s="3"/>
      <c r="R152" s="3"/>
      <c r="S152" s="3"/>
    </row>
    <row r="153" spans="1:19">
      <c r="A153" s="1" t="s">
        <v>23</v>
      </c>
      <c r="B153" s="1">
        <v>60</v>
      </c>
      <c r="C153" s="12">
        <f>+'Flow rate'!E152</f>
        <v>2.238747</v>
      </c>
      <c r="D153" s="1" t="s">
        <v>31</v>
      </c>
      <c r="E153" s="1" t="s">
        <v>32</v>
      </c>
      <c r="F153" s="1" t="s">
        <v>33</v>
      </c>
      <c r="G153" s="1">
        <v>-0.5</v>
      </c>
      <c r="H153" s="15">
        <v>46114.744340277779</v>
      </c>
      <c r="I153" s="2">
        <f t="shared" si="12"/>
        <v>1.2586111110867932</v>
      </c>
      <c r="P153" s="3"/>
      <c r="Q153" s="3"/>
      <c r="R153" s="3"/>
      <c r="S153" s="3"/>
    </row>
    <row r="154" spans="1:19">
      <c r="A154" s="1" t="s">
        <v>23</v>
      </c>
      <c r="B154" s="1">
        <v>60</v>
      </c>
      <c r="C154" s="12">
        <f>+'Flow rate'!E153</f>
        <v>2.2413050000000001</v>
      </c>
      <c r="D154" s="1" t="s">
        <v>31</v>
      </c>
      <c r="E154" s="1" t="s">
        <v>32</v>
      </c>
      <c r="F154" s="1" t="s">
        <v>33</v>
      </c>
      <c r="G154" s="1">
        <v>-0.5</v>
      </c>
      <c r="H154" s="15">
        <v>46114.744687500002</v>
      </c>
      <c r="I154" s="2">
        <f t="shared" si="12"/>
        <v>1.2669444444472902</v>
      </c>
      <c r="P154" s="3"/>
      <c r="Q154" s="3"/>
      <c r="R154" s="3"/>
      <c r="S154" s="3"/>
    </row>
    <row r="155" spans="1:19">
      <c r="A155" s="1" t="s">
        <v>23</v>
      </c>
      <c r="B155" s="1">
        <v>60</v>
      </c>
      <c r="C155" s="12">
        <f>+'Flow rate'!E154</f>
        <v>2.2413050000000001</v>
      </c>
      <c r="D155" s="1" t="s">
        <v>31</v>
      </c>
      <c r="E155" s="1" t="s">
        <v>32</v>
      </c>
      <c r="F155" s="1" t="s">
        <v>33</v>
      </c>
      <c r="G155" s="1">
        <v>-0.5</v>
      </c>
      <c r="H155" s="15">
        <v>46114.745034722226</v>
      </c>
      <c r="I155" s="2">
        <f t="shared" si="12"/>
        <v>1.2752777778077871</v>
      </c>
      <c r="P155" s="3"/>
      <c r="Q155" s="3"/>
      <c r="R155" s="3"/>
      <c r="S155" s="3"/>
    </row>
    <row r="156" spans="1:19">
      <c r="A156" s="1" t="s">
        <v>23</v>
      </c>
      <c r="B156" s="1">
        <v>60</v>
      </c>
      <c r="C156" s="12">
        <f>+'Flow rate'!E155</f>
        <v>2.225012</v>
      </c>
      <c r="D156" s="1" t="s">
        <v>31</v>
      </c>
      <c r="E156" s="1" t="s">
        <v>32</v>
      </c>
      <c r="F156" s="1" t="s">
        <v>33</v>
      </c>
      <c r="G156" s="1">
        <v>-0.5</v>
      </c>
      <c r="H156" s="15">
        <v>46114.745381944442</v>
      </c>
      <c r="I156" s="2">
        <f t="shared" si="12"/>
        <v>1.283611110993661</v>
      </c>
      <c r="P156" s="3"/>
      <c r="Q156" s="3"/>
      <c r="R156" s="3"/>
      <c r="S156" s="3"/>
    </row>
    <row r="157" spans="1:19">
      <c r="A157" s="1" t="s">
        <v>23</v>
      </c>
      <c r="B157" s="1">
        <v>60</v>
      </c>
      <c r="C157" s="12">
        <f>+'Flow rate'!E156</f>
        <v>2.225012</v>
      </c>
      <c r="D157" s="1" t="s">
        <v>31</v>
      </c>
      <c r="E157" s="1" t="s">
        <v>32</v>
      </c>
      <c r="F157" s="1" t="s">
        <v>33</v>
      </c>
      <c r="G157" s="1">
        <v>-0.5</v>
      </c>
      <c r="H157" s="15">
        <v>46114.745729166665</v>
      </c>
      <c r="I157" s="2">
        <f t="shared" si="12"/>
        <v>1.2919444443541579</v>
      </c>
      <c r="P157" s="3"/>
      <c r="Q157" s="3"/>
      <c r="R157" s="3"/>
      <c r="S157" s="3"/>
    </row>
    <row r="158" spans="1:19">
      <c r="A158" s="1" t="s">
        <v>23</v>
      </c>
      <c r="B158" s="1">
        <v>60</v>
      </c>
      <c r="C158" s="12">
        <f>+'Flow rate'!E157</f>
        <v>2.2990539999999999</v>
      </c>
      <c r="D158" s="1" t="s">
        <v>31</v>
      </c>
      <c r="E158" s="1" t="s">
        <v>32</v>
      </c>
      <c r="F158" s="1" t="s">
        <v>33</v>
      </c>
      <c r="G158" s="1">
        <v>-0.5</v>
      </c>
      <c r="H158" s="15">
        <v>46114.746076388888</v>
      </c>
      <c r="I158" s="2">
        <f t="shared" si="12"/>
        <v>1.3002777777146548</v>
      </c>
      <c r="P158" s="3"/>
      <c r="Q158" s="3"/>
      <c r="R158" s="3"/>
      <c r="S158" s="3"/>
    </row>
    <row r="159" spans="1:19">
      <c r="A159" s="1" t="s">
        <v>23</v>
      </c>
      <c r="B159" s="1">
        <v>60</v>
      </c>
      <c r="C159" s="12">
        <f>+'Flow rate'!E158</f>
        <v>2.2990539999999999</v>
      </c>
      <c r="D159" s="1" t="s">
        <v>31</v>
      </c>
      <c r="E159" s="1" t="s">
        <v>32</v>
      </c>
      <c r="F159" s="1" t="s">
        <v>33</v>
      </c>
      <c r="G159" s="1">
        <v>-0.5</v>
      </c>
      <c r="H159" s="15">
        <v>46114.746423611112</v>
      </c>
      <c r="I159" s="2">
        <f t="shared" si="12"/>
        <v>1.3086111110751517</v>
      </c>
      <c r="P159" s="3"/>
      <c r="Q159" s="3"/>
      <c r="R159" s="3"/>
      <c r="S159" s="3"/>
    </row>
    <row r="160" spans="1:19">
      <c r="A160" s="1" t="s">
        <v>23</v>
      </c>
      <c r="B160" s="1">
        <v>60</v>
      </c>
      <c r="C160" s="12">
        <f>+'Flow rate'!E159</f>
        <v>2.2950170000000001</v>
      </c>
      <c r="D160" s="1" t="s">
        <v>31</v>
      </c>
      <c r="E160" s="1" t="s">
        <v>32</v>
      </c>
      <c r="F160" s="1" t="s">
        <v>33</v>
      </c>
      <c r="G160" s="1">
        <v>-0.5</v>
      </c>
      <c r="H160" s="15">
        <v>46114.746770833335</v>
      </c>
      <c r="I160" s="2">
        <f t="shared" si="12"/>
        <v>1.3169444444356486</v>
      </c>
      <c r="P160" s="3"/>
      <c r="Q160" s="3"/>
      <c r="R160" s="3"/>
      <c r="S160" s="3"/>
    </row>
    <row r="161" spans="1:19">
      <c r="A161" s="1" t="s">
        <v>23</v>
      </c>
      <c r="B161" s="1">
        <v>60</v>
      </c>
      <c r="C161" s="12">
        <f>+'Flow rate'!E160</f>
        <v>2.2950170000000001</v>
      </c>
      <c r="D161" s="1" t="s">
        <v>31</v>
      </c>
      <c r="E161" s="1" t="s">
        <v>32</v>
      </c>
      <c r="F161" s="1" t="s">
        <v>33</v>
      </c>
      <c r="G161" s="1">
        <v>-0.5</v>
      </c>
      <c r="H161" s="15">
        <v>46114.747118055559</v>
      </c>
      <c r="I161" s="2">
        <f t="shared" si="12"/>
        <v>1.3252777777961455</v>
      </c>
      <c r="P161" s="3"/>
      <c r="Q161" s="3"/>
      <c r="R161" s="3"/>
      <c r="S161" s="3"/>
    </row>
    <row r="162" spans="1:19">
      <c r="A162" s="1" t="s">
        <v>23</v>
      </c>
      <c r="B162" s="1">
        <v>60</v>
      </c>
      <c r="C162" s="12">
        <f>+'Flow rate'!E161</f>
        <v>2.2787739999999999</v>
      </c>
      <c r="D162" s="1" t="s">
        <v>31</v>
      </c>
      <c r="E162" s="1" t="s">
        <v>32</v>
      </c>
      <c r="F162" s="1" t="s">
        <v>33</v>
      </c>
      <c r="G162" s="1">
        <v>-0.5</v>
      </c>
      <c r="H162" s="15">
        <v>46114.747476851851</v>
      </c>
      <c r="I162" s="2">
        <f t="shared" si="12"/>
        <v>1.3338888888247311</v>
      </c>
      <c r="P162" s="3"/>
      <c r="Q162" s="3"/>
      <c r="R162" s="3"/>
      <c r="S162" s="3"/>
    </row>
    <row r="163" spans="1:19">
      <c r="A163" s="1" t="s">
        <v>23</v>
      </c>
      <c r="B163" s="1">
        <v>60</v>
      </c>
      <c r="C163" s="12">
        <f>+'Flow rate'!E162</f>
        <v>2.2787739999999999</v>
      </c>
      <c r="D163" s="1" t="s">
        <v>31</v>
      </c>
      <c r="E163" s="1" t="s">
        <v>32</v>
      </c>
      <c r="F163" s="1" t="s">
        <v>33</v>
      </c>
      <c r="G163" s="1">
        <v>-0.5</v>
      </c>
      <c r="H163" s="15">
        <v>46114.747824074075</v>
      </c>
      <c r="I163" s="2">
        <f t="shared" si="12"/>
        <v>1.342222222185228</v>
      </c>
      <c r="P163" s="3"/>
      <c r="Q163" s="3"/>
      <c r="R163" s="3"/>
      <c r="S163" s="3"/>
    </row>
    <row r="164" spans="1:19">
      <c r="A164" s="1" t="s">
        <v>23</v>
      </c>
      <c r="B164" s="1">
        <v>60</v>
      </c>
      <c r="C164" s="12">
        <f>+'Flow rate'!E163</f>
        <v>3.0086360000000001</v>
      </c>
      <c r="D164" s="1" t="s">
        <v>31</v>
      </c>
      <c r="E164" s="1" t="s">
        <v>32</v>
      </c>
      <c r="F164" s="1" t="s">
        <v>33</v>
      </c>
      <c r="G164" s="1">
        <v>-0.5</v>
      </c>
      <c r="H164" s="15">
        <v>46114.748171296298</v>
      </c>
      <c r="I164" s="2">
        <f t="shared" si="12"/>
        <v>1.3505555555457249</v>
      </c>
      <c r="P164" s="3"/>
      <c r="Q164" s="3"/>
      <c r="R164" s="3"/>
      <c r="S164" s="3"/>
    </row>
    <row r="165" spans="1:19">
      <c r="A165" s="1" t="s">
        <v>23</v>
      </c>
      <c r="B165" s="1">
        <v>60</v>
      </c>
      <c r="C165" s="12">
        <f>+'Flow rate'!E164</f>
        <v>3.0086360000000001</v>
      </c>
      <c r="D165" s="1" t="s">
        <v>31</v>
      </c>
      <c r="E165" s="1" t="s">
        <v>32</v>
      </c>
      <c r="F165" s="1" t="s">
        <v>33</v>
      </c>
      <c r="G165" s="1">
        <v>-0.5</v>
      </c>
      <c r="H165" s="15">
        <v>46114.748518518521</v>
      </c>
      <c r="I165" s="2">
        <f t="shared" si="12"/>
        <v>1.3588888889062218</v>
      </c>
      <c r="P165" s="3"/>
      <c r="Q165" s="3"/>
      <c r="R165" s="3"/>
      <c r="S165" s="3"/>
    </row>
    <row r="166" spans="1:19">
      <c r="A166" s="1" t="s">
        <v>23</v>
      </c>
      <c r="B166" s="1">
        <v>60</v>
      </c>
      <c r="C166" s="12">
        <f>+'Flow rate'!E165</f>
        <v>3.464899</v>
      </c>
      <c r="D166" s="1" t="s">
        <v>31</v>
      </c>
      <c r="E166" s="1" t="s">
        <v>32</v>
      </c>
      <c r="F166" s="1" t="s">
        <v>33</v>
      </c>
      <c r="G166" s="1">
        <v>-0.5</v>
      </c>
      <c r="H166" s="15">
        <v>46114.748865740738</v>
      </c>
      <c r="I166" s="2">
        <f t="shared" si="12"/>
        <v>1.3672222220920958</v>
      </c>
      <c r="P166" s="3"/>
      <c r="Q166" s="3"/>
      <c r="R166" s="3"/>
      <c r="S166" s="3"/>
    </row>
    <row r="167" spans="1:19">
      <c r="A167" s="1" t="s">
        <v>23</v>
      </c>
      <c r="B167" s="1">
        <v>60</v>
      </c>
      <c r="C167" s="12">
        <f>+'Flow rate'!E166</f>
        <v>3.464899</v>
      </c>
      <c r="D167" s="1" t="s">
        <v>31</v>
      </c>
      <c r="E167" s="1" t="s">
        <v>32</v>
      </c>
      <c r="F167" s="1" t="s">
        <v>33</v>
      </c>
      <c r="G167" s="1">
        <v>-0.5</v>
      </c>
      <c r="H167" s="15">
        <v>46114.749212962961</v>
      </c>
      <c r="I167" s="2">
        <f t="shared" si="12"/>
        <v>1.3755555554525927</v>
      </c>
      <c r="P167" s="3"/>
      <c r="Q167" s="3"/>
      <c r="R167" s="3"/>
      <c r="S167" s="3"/>
    </row>
    <row r="168" spans="1:19">
      <c r="A168" s="1" t="s">
        <v>23</v>
      </c>
      <c r="B168" s="1">
        <v>60</v>
      </c>
      <c r="C168" s="12">
        <f>+'Flow rate'!E167</f>
        <v>3.2805960000000001</v>
      </c>
      <c r="D168" s="1" t="s">
        <v>31</v>
      </c>
      <c r="E168" s="1" t="s">
        <v>32</v>
      </c>
      <c r="F168" s="1" t="s">
        <v>33</v>
      </c>
      <c r="G168" s="1">
        <v>-0.5</v>
      </c>
      <c r="H168" s="15">
        <v>46114.749560185184</v>
      </c>
      <c r="I168" s="2">
        <f t="shared" si="12"/>
        <v>1.3838888888130896</v>
      </c>
      <c r="P168" s="3"/>
      <c r="Q168" s="3"/>
      <c r="R168" s="3"/>
      <c r="S168" s="3"/>
    </row>
    <row r="169" spans="1:19">
      <c r="A169" s="1" t="s">
        <v>23</v>
      </c>
      <c r="B169" s="1">
        <v>60</v>
      </c>
      <c r="C169" s="12">
        <f>+'Flow rate'!E168</f>
        <v>3.2805960000000001</v>
      </c>
      <c r="D169" s="1" t="s">
        <v>31</v>
      </c>
      <c r="E169" s="1" t="s">
        <v>32</v>
      </c>
      <c r="F169" s="1" t="s">
        <v>33</v>
      </c>
      <c r="G169" s="1">
        <v>-0.5</v>
      </c>
      <c r="H169" s="15">
        <v>46114.749907407408</v>
      </c>
      <c r="I169" s="2">
        <f t="shared" si="12"/>
        <v>1.3922222221735865</v>
      </c>
      <c r="P169" s="3"/>
      <c r="Q169" s="3"/>
      <c r="R169" s="3"/>
      <c r="S169" s="3"/>
    </row>
    <row r="170" spans="1:19">
      <c r="A170" s="1" t="s">
        <v>23</v>
      </c>
      <c r="B170" s="1">
        <v>60</v>
      </c>
      <c r="C170" s="12">
        <f>+'Flow rate'!E169</f>
        <v>3.6246260000000001</v>
      </c>
      <c r="D170" s="1" t="s">
        <v>31</v>
      </c>
      <c r="E170" s="1" t="s">
        <v>32</v>
      </c>
      <c r="F170" s="1" t="s">
        <v>33</v>
      </c>
      <c r="G170" s="1">
        <v>-0.5</v>
      </c>
      <c r="H170" s="15">
        <v>46114.750254629631</v>
      </c>
      <c r="I170" s="2">
        <f t="shared" si="12"/>
        <v>1.4005555555340834</v>
      </c>
      <c r="P170" s="3"/>
      <c r="Q170" s="3"/>
      <c r="R170" s="3"/>
      <c r="S170" s="3"/>
    </row>
    <row r="171" spans="1:19">
      <c r="A171" s="1" t="s">
        <v>23</v>
      </c>
      <c r="B171" s="1">
        <v>60</v>
      </c>
      <c r="C171" s="12">
        <f>+'Flow rate'!E170</f>
        <v>3.6246260000000001</v>
      </c>
      <c r="D171" s="1" t="s">
        <v>31</v>
      </c>
      <c r="E171" s="1" t="s">
        <v>32</v>
      </c>
      <c r="F171" s="1" t="s">
        <v>33</v>
      </c>
      <c r="G171" s="1">
        <v>-0.5</v>
      </c>
      <c r="H171" s="15">
        <v>46114.750601851854</v>
      </c>
      <c r="I171" s="2">
        <f t="shared" si="12"/>
        <v>1.4088888888945803</v>
      </c>
      <c r="P171" s="3"/>
      <c r="Q171" s="3"/>
      <c r="R171" s="3"/>
      <c r="S171" s="3"/>
    </row>
    <row r="172" spans="1:19">
      <c r="A172" s="1" t="s">
        <v>23</v>
      </c>
      <c r="B172" s="1">
        <v>60</v>
      </c>
      <c r="C172" s="12">
        <f>+'Flow rate'!E171</f>
        <v>3.4860600000000002</v>
      </c>
      <c r="D172" s="1" t="s">
        <v>31</v>
      </c>
      <c r="E172" s="1" t="s">
        <v>32</v>
      </c>
      <c r="F172" s="1" t="s">
        <v>33</v>
      </c>
      <c r="G172" s="1">
        <v>-0.5</v>
      </c>
      <c r="H172" s="15">
        <v>46114.750949074078</v>
      </c>
      <c r="I172" s="2">
        <f t="shared" si="12"/>
        <v>1.4172222222550772</v>
      </c>
      <c r="P172" s="3"/>
      <c r="Q172" s="3"/>
      <c r="R172" s="3"/>
      <c r="S172" s="3"/>
    </row>
    <row r="173" spans="1:19">
      <c r="A173" s="1" t="s">
        <v>23</v>
      </c>
      <c r="B173" s="1">
        <v>60</v>
      </c>
      <c r="C173" s="12">
        <f>+'Flow rate'!E172</f>
        <v>3.4860600000000002</v>
      </c>
      <c r="D173" s="1" t="s">
        <v>31</v>
      </c>
      <c r="E173" s="1" t="s">
        <v>32</v>
      </c>
      <c r="F173" s="1" t="s">
        <v>33</v>
      </c>
      <c r="G173" s="1">
        <v>-0.5</v>
      </c>
      <c r="H173" s="15">
        <v>46114.751296296294</v>
      </c>
      <c r="I173" s="2">
        <f t="shared" si="12"/>
        <v>1.4255555554409511</v>
      </c>
      <c r="P173" s="3"/>
      <c r="Q173" s="3"/>
      <c r="R173" s="3"/>
      <c r="S173" s="3"/>
    </row>
    <row r="174" spans="1:19">
      <c r="A174" s="1" t="s">
        <v>23</v>
      </c>
      <c r="B174" s="1">
        <v>60</v>
      </c>
      <c r="C174" s="12">
        <f>+'Flow rate'!E173</f>
        <v>3.2645300000000002</v>
      </c>
      <c r="D174" s="1" t="s">
        <v>31</v>
      </c>
      <c r="E174" s="1" t="s">
        <v>32</v>
      </c>
      <c r="F174" s="1" t="s">
        <v>33</v>
      </c>
      <c r="G174" s="1">
        <v>-0.5</v>
      </c>
      <c r="H174" s="15">
        <v>46114.751643518517</v>
      </c>
      <c r="I174" s="2">
        <f t="shared" si="12"/>
        <v>1.433888888801448</v>
      </c>
      <c r="P174" s="3"/>
      <c r="Q174" s="3"/>
      <c r="R174" s="3"/>
      <c r="S174" s="3"/>
    </row>
    <row r="175" spans="1:19">
      <c r="A175" s="1" t="s">
        <v>23</v>
      </c>
      <c r="B175" s="1">
        <v>60</v>
      </c>
      <c r="C175" s="12">
        <f>+'Flow rate'!E174</f>
        <v>3.2645300000000002</v>
      </c>
      <c r="D175" s="1" t="s">
        <v>31</v>
      </c>
      <c r="E175" s="1" t="s">
        <v>32</v>
      </c>
      <c r="F175" s="1" t="s">
        <v>33</v>
      </c>
      <c r="G175" s="1">
        <v>-0.5</v>
      </c>
      <c r="H175" s="15">
        <v>46114.75199074074</v>
      </c>
      <c r="I175" s="2">
        <f t="shared" si="12"/>
        <v>1.442222222161945</v>
      </c>
      <c r="P175" s="3"/>
      <c r="Q175" s="3"/>
      <c r="R175" s="3"/>
      <c r="S175" s="3"/>
    </row>
    <row r="176" spans="1:19">
      <c r="A176" s="1" t="s">
        <v>23</v>
      </c>
      <c r="B176" s="1">
        <v>60</v>
      </c>
      <c r="C176" s="12">
        <f>+'Flow rate'!E175</f>
        <v>3.5587620000000002</v>
      </c>
      <c r="D176" s="1" t="s">
        <v>31</v>
      </c>
      <c r="E176" s="1" t="s">
        <v>32</v>
      </c>
      <c r="F176" s="1" t="s">
        <v>33</v>
      </c>
      <c r="G176" s="1">
        <v>-0.5</v>
      </c>
      <c r="H176" s="15">
        <v>46114.752337962964</v>
      </c>
      <c r="I176" s="2">
        <f t="shared" si="12"/>
        <v>1.4505555555224419</v>
      </c>
      <c r="P176" s="3"/>
      <c r="Q176" s="3"/>
      <c r="R176" s="3"/>
      <c r="S176" s="3"/>
    </row>
    <row r="177" spans="1:19">
      <c r="A177" s="1" t="s">
        <v>23</v>
      </c>
      <c r="B177" s="1">
        <v>60</v>
      </c>
      <c r="C177" s="12">
        <f>+'Flow rate'!E176</f>
        <v>3.5587620000000002</v>
      </c>
      <c r="D177" s="1" t="s">
        <v>31</v>
      </c>
      <c r="E177" s="1" t="s">
        <v>32</v>
      </c>
      <c r="F177" s="1" t="s">
        <v>33</v>
      </c>
      <c r="G177" s="1">
        <v>-0.5</v>
      </c>
      <c r="H177" s="15">
        <v>46114.752685185187</v>
      </c>
      <c r="I177" s="2">
        <f t="shared" si="12"/>
        <v>1.4588888888829388</v>
      </c>
      <c r="P177" s="3"/>
      <c r="Q177" s="3"/>
      <c r="R177" s="3"/>
      <c r="S177" s="3"/>
    </row>
    <row r="178" spans="1:19">
      <c r="A178" s="1" t="s">
        <v>23</v>
      </c>
      <c r="B178" s="1">
        <v>60</v>
      </c>
      <c r="C178" s="12">
        <f>+'Flow rate'!E177</f>
        <v>3.3923869999999998</v>
      </c>
      <c r="D178" s="1" t="s">
        <v>31</v>
      </c>
      <c r="E178" s="1" t="s">
        <v>32</v>
      </c>
      <c r="F178" s="1" t="s">
        <v>33</v>
      </c>
      <c r="G178" s="1">
        <v>-0.5</v>
      </c>
      <c r="H178" s="15">
        <v>46114.753032407411</v>
      </c>
      <c r="I178" s="2">
        <f t="shared" si="12"/>
        <v>1.4672222222434357</v>
      </c>
      <c r="P178" s="3"/>
      <c r="Q178" s="3"/>
      <c r="R178" s="3"/>
      <c r="S178" s="3"/>
    </row>
    <row r="179" spans="1:19">
      <c r="A179" s="1" t="s">
        <v>23</v>
      </c>
      <c r="B179" s="1">
        <v>60</v>
      </c>
      <c r="C179" s="12">
        <f>+'Flow rate'!E178</f>
        <v>3.3923869999999998</v>
      </c>
      <c r="D179" s="1" t="s">
        <v>31</v>
      </c>
      <c r="E179" s="1" t="s">
        <v>32</v>
      </c>
      <c r="F179" s="1" t="s">
        <v>33</v>
      </c>
      <c r="G179" s="1">
        <v>-0.5</v>
      </c>
      <c r="H179" s="15">
        <v>46114.753379629627</v>
      </c>
      <c r="I179" s="2">
        <f t="shared" si="12"/>
        <v>1.4755555554293096</v>
      </c>
      <c r="P179" s="3"/>
      <c r="Q179" s="3"/>
      <c r="R179" s="3"/>
      <c r="S179" s="3"/>
    </row>
    <row r="180" spans="1:19">
      <c r="A180" s="1" t="s">
        <v>23</v>
      </c>
      <c r="B180" s="1">
        <v>60</v>
      </c>
      <c r="C180" s="12">
        <f>+'Flow rate'!E179</f>
        <v>3.498103</v>
      </c>
      <c r="D180" s="1" t="s">
        <v>31</v>
      </c>
      <c r="E180" s="1" t="s">
        <v>32</v>
      </c>
      <c r="F180" s="1" t="s">
        <v>33</v>
      </c>
      <c r="G180" s="1">
        <v>-0.5</v>
      </c>
      <c r="H180" s="15">
        <v>46114.75372685185</v>
      </c>
      <c r="I180" s="2">
        <f t="shared" si="12"/>
        <v>1.4838888887898065</v>
      </c>
      <c r="P180" s="3"/>
      <c r="Q180" s="3"/>
      <c r="R180" s="3"/>
      <c r="S180" s="3"/>
    </row>
    <row r="181" spans="1:19">
      <c r="A181" s="1" t="s">
        <v>23</v>
      </c>
      <c r="B181" s="1">
        <v>60</v>
      </c>
      <c r="C181" s="12">
        <f>+'Flow rate'!E180</f>
        <v>3.498103</v>
      </c>
      <c r="D181" s="1" t="s">
        <v>31</v>
      </c>
      <c r="E181" s="1" t="s">
        <v>32</v>
      </c>
      <c r="F181" s="1" t="s">
        <v>33</v>
      </c>
      <c r="G181" s="1">
        <v>-0.5</v>
      </c>
      <c r="H181" s="15">
        <v>46114.754074074073</v>
      </c>
      <c r="I181" s="2">
        <f t="shared" si="12"/>
        <v>1.4922222221503034</v>
      </c>
      <c r="P181" s="3"/>
      <c r="Q181" s="3"/>
      <c r="R181" s="3"/>
      <c r="S181" s="3"/>
    </row>
    <row r="182" spans="1:19">
      <c r="A182" s="1" t="s">
        <v>23</v>
      </c>
      <c r="B182" s="1">
        <v>60</v>
      </c>
      <c r="C182" s="12">
        <f>+'Flow rate'!E181</f>
        <v>3.4702519999999999</v>
      </c>
      <c r="D182" s="1" t="s">
        <v>31</v>
      </c>
      <c r="E182" s="1" t="s">
        <v>32</v>
      </c>
      <c r="F182" s="1" t="s">
        <v>33</v>
      </c>
      <c r="G182" s="1">
        <v>-0.5</v>
      </c>
      <c r="H182" s="15">
        <v>46114.754421296297</v>
      </c>
      <c r="I182" s="2">
        <f t="shared" si="12"/>
        <v>1.5005555555108003</v>
      </c>
      <c r="P182" s="3"/>
      <c r="Q182" s="3"/>
      <c r="R182" s="3"/>
      <c r="S182" s="3"/>
    </row>
    <row r="183" spans="1:19">
      <c r="A183" s="1" t="s">
        <v>23</v>
      </c>
      <c r="B183" s="1">
        <v>60</v>
      </c>
      <c r="C183" s="12">
        <f>+'Flow rate'!E182</f>
        <v>3.4702519999999999</v>
      </c>
      <c r="D183" s="1" t="s">
        <v>31</v>
      </c>
      <c r="E183" s="1" t="s">
        <v>32</v>
      </c>
      <c r="F183" s="1" t="s">
        <v>33</v>
      </c>
      <c r="G183" s="1">
        <v>-0.5</v>
      </c>
      <c r="H183" s="15">
        <v>46114.75476851852</v>
      </c>
      <c r="I183" s="2">
        <f t="shared" si="12"/>
        <v>1.5088888888712972</v>
      </c>
      <c r="P183" s="3"/>
      <c r="Q183" s="3"/>
      <c r="R183" s="3"/>
      <c r="S183" s="3"/>
    </row>
    <row r="184" spans="1:19">
      <c r="A184" s="1" t="s">
        <v>23</v>
      </c>
      <c r="B184" s="1">
        <v>60</v>
      </c>
      <c r="C184" s="12">
        <f>+'Flow rate'!E183</f>
        <v>3.3842349999999999</v>
      </c>
      <c r="D184" s="1" t="s">
        <v>31</v>
      </c>
      <c r="E184" s="1" t="s">
        <v>32</v>
      </c>
      <c r="F184" s="1" t="s">
        <v>33</v>
      </c>
      <c r="G184" s="1">
        <v>-0.5</v>
      </c>
      <c r="H184" s="15">
        <v>46114.755115740743</v>
      </c>
      <c r="I184" s="2">
        <f t="shared" si="12"/>
        <v>1.5172222222317941</v>
      </c>
      <c r="P184" s="3"/>
      <c r="Q184" s="3"/>
      <c r="R184" s="3"/>
      <c r="S184" s="3"/>
    </row>
    <row r="185" spans="1:19">
      <c r="A185" s="1" t="s">
        <v>23</v>
      </c>
      <c r="B185" s="1">
        <v>60</v>
      </c>
      <c r="C185" s="12">
        <f>+'Flow rate'!E184</f>
        <v>3.3842349999999999</v>
      </c>
      <c r="D185" s="1" t="s">
        <v>31</v>
      </c>
      <c r="E185" s="1" t="s">
        <v>32</v>
      </c>
      <c r="F185" s="1" t="s">
        <v>33</v>
      </c>
      <c r="G185" s="1">
        <v>-0.5</v>
      </c>
      <c r="H185" s="15">
        <v>46114.755462962959</v>
      </c>
      <c r="I185" s="2">
        <f t="shared" si="12"/>
        <v>1.5255555554176681</v>
      </c>
      <c r="P185" s="3"/>
      <c r="Q185" s="3"/>
      <c r="R185" s="3"/>
      <c r="S185" s="3"/>
    </row>
    <row r="186" spans="1:19">
      <c r="A186" s="1" t="s">
        <v>23</v>
      </c>
      <c r="B186" s="1">
        <v>60</v>
      </c>
      <c r="C186" s="12">
        <f>+'Flow rate'!E185</f>
        <v>3.1893310000000001</v>
      </c>
      <c r="D186" s="1" t="s">
        <v>31</v>
      </c>
      <c r="E186" s="1" t="s">
        <v>32</v>
      </c>
      <c r="F186" s="1" t="s">
        <v>33</v>
      </c>
      <c r="G186" s="1">
        <v>-0.5</v>
      </c>
      <c r="H186" s="15">
        <v>46114.755810185183</v>
      </c>
      <c r="I186" s="2">
        <f t="shared" si="12"/>
        <v>1.533888888778165</v>
      </c>
      <c r="P186" s="3"/>
      <c r="Q186" s="3"/>
      <c r="R186" s="3"/>
      <c r="S186" s="3"/>
    </row>
    <row r="187" spans="1:19">
      <c r="A187" s="1" t="s">
        <v>23</v>
      </c>
      <c r="B187" s="1">
        <v>60</v>
      </c>
      <c r="C187" s="12">
        <f>+'Flow rate'!E186</f>
        <v>3.1893310000000001</v>
      </c>
      <c r="D187" s="1" t="s">
        <v>31</v>
      </c>
      <c r="E187" s="1" t="s">
        <v>32</v>
      </c>
      <c r="F187" s="1" t="s">
        <v>33</v>
      </c>
      <c r="G187" s="1">
        <v>-0.5</v>
      </c>
      <c r="H187" s="15">
        <v>46114.756157407406</v>
      </c>
      <c r="I187" s="2">
        <f t="shared" si="12"/>
        <v>1.5422222221386619</v>
      </c>
      <c r="P187" s="3"/>
      <c r="Q187" s="3"/>
      <c r="R187" s="3"/>
      <c r="S187" s="3"/>
    </row>
    <row r="188" spans="1:19">
      <c r="A188" s="1" t="s">
        <v>23</v>
      </c>
      <c r="B188" s="1">
        <v>60</v>
      </c>
      <c r="C188" s="12">
        <f>+'Flow rate'!E187</f>
        <v>3.3596520000000001</v>
      </c>
      <c r="D188" s="1" t="s">
        <v>31</v>
      </c>
      <c r="E188" s="1" t="s">
        <v>32</v>
      </c>
      <c r="F188" s="1" t="s">
        <v>33</v>
      </c>
      <c r="G188" s="1">
        <v>-0.5</v>
      </c>
      <c r="H188" s="15">
        <v>46114.756504629629</v>
      </c>
      <c r="I188" s="2">
        <f t="shared" si="12"/>
        <v>1.5505555554991588</v>
      </c>
      <c r="P188" s="3"/>
      <c r="Q188" s="3"/>
      <c r="R188" s="3"/>
      <c r="S188" s="3"/>
    </row>
    <row r="189" spans="1:19">
      <c r="A189" s="1" t="s">
        <v>23</v>
      </c>
      <c r="B189" s="1">
        <v>60</v>
      </c>
      <c r="C189" s="12">
        <f>+'Flow rate'!E188</f>
        <v>3.3596520000000001</v>
      </c>
      <c r="D189" s="1" t="s">
        <v>31</v>
      </c>
      <c r="E189" s="1" t="s">
        <v>32</v>
      </c>
      <c r="F189" s="1" t="s">
        <v>33</v>
      </c>
      <c r="G189" s="1">
        <v>-0.5</v>
      </c>
      <c r="H189" s="15">
        <v>46114.756851851853</v>
      </c>
      <c r="I189" s="2">
        <f t="shared" si="12"/>
        <v>1.5588888888596557</v>
      </c>
      <c r="P189" s="3"/>
      <c r="Q189" s="3"/>
      <c r="R189" s="3"/>
      <c r="S189" s="3"/>
    </row>
    <row r="190" spans="1:19">
      <c r="A190" s="1" t="s">
        <v>23</v>
      </c>
      <c r="B190" s="1">
        <v>60</v>
      </c>
      <c r="C190" s="12">
        <f>+'Flow rate'!E189</f>
        <v>3.432061</v>
      </c>
      <c r="D190" s="1" t="s">
        <v>31</v>
      </c>
      <c r="E190" s="1" t="s">
        <v>32</v>
      </c>
      <c r="F190" s="1" t="s">
        <v>33</v>
      </c>
      <c r="G190" s="1">
        <v>-0.5</v>
      </c>
      <c r="H190" s="15">
        <v>46114.757199074076</v>
      </c>
      <c r="I190" s="2">
        <f t="shared" si="12"/>
        <v>1.5672222222201526</v>
      </c>
      <c r="P190" s="3"/>
      <c r="Q190" s="3"/>
      <c r="R190" s="3"/>
      <c r="S190" s="3"/>
    </row>
    <row r="191" spans="1:19">
      <c r="A191" s="1" t="s">
        <v>23</v>
      </c>
      <c r="B191" s="1">
        <v>60</v>
      </c>
      <c r="C191" s="12">
        <f>+'Flow rate'!E190</f>
        <v>3.432061</v>
      </c>
      <c r="D191" s="1" t="s">
        <v>31</v>
      </c>
      <c r="E191" s="1" t="s">
        <v>32</v>
      </c>
      <c r="F191" s="1" t="s">
        <v>33</v>
      </c>
      <c r="G191" s="1">
        <v>-0.5</v>
      </c>
      <c r="H191" s="15">
        <v>46114.7575462963</v>
      </c>
      <c r="I191" s="2">
        <f t="shared" si="12"/>
        <v>1.5755555555806495</v>
      </c>
      <c r="P191" s="3"/>
      <c r="Q191" s="3"/>
      <c r="R191" s="3"/>
      <c r="S191" s="3"/>
    </row>
    <row r="192" spans="1:19">
      <c r="A192" s="1" t="s">
        <v>23</v>
      </c>
      <c r="B192" s="1">
        <v>60</v>
      </c>
      <c r="C192" s="12">
        <f>+'Flow rate'!E191</f>
        <v>3.3556859999999999</v>
      </c>
      <c r="D192" s="1" t="s">
        <v>31</v>
      </c>
      <c r="E192" s="1" t="s">
        <v>32</v>
      </c>
      <c r="F192" s="1" t="s">
        <v>33</v>
      </c>
      <c r="G192" s="1">
        <v>-0.5</v>
      </c>
      <c r="H192" s="15">
        <v>46114.757893518516</v>
      </c>
      <c r="I192" s="2">
        <f t="shared" si="12"/>
        <v>1.5838888887665235</v>
      </c>
      <c r="P192" s="3"/>
      <c r="Q192" s="3"/>
      <c r="R192" s="3"/>
      <c r="S192" s="3"/>
    </row>
    <row r="193" spans="1:19">
      <c r="A193" s="1" t="s">
        <v>23</v>
      </c>
      <c r="B193" s="1">
        <v>60</v>
      </c>
      <c r="C193" s="12">
        <f>+'Flow rate'!E192</f>
        <v>3.3556859999999999</v>
      </c>
      <c r="D193" s="1" t="s">
        <v>31</v>
      </c>
      <c r="E193" s="1" t="s">
        <v>32</v>
      </c>
      <c r="F193" s="1" t="s">
        <v>33</v>
      </c>
      <c r="G193" s="1">
        <v>-0.5</v>
      </c>
      <c r="H193" s="15">
        <v>46114.758240740739</v>
      </c>
      <c r="I193" s="2">
        <f t="shared" si="12"/>
        <v>1.5922222221270204</v>
      </c>
      <c r="P193" s="3"/>
      <c r="Q193" s="3"/>
      <c r="R193" s="3"/>
      <c r="S193" s="3"/>
    </row>
    <row r="194" spans="1:19">
      <c r="A194" s="1" t="s">
        <v>23</v>
      </c>
      <c r="B194" s="1">
        <v>60</v>
      </c>
      <c r="C194" s="12">
        <f>+'Flow rate'!E193</f>
        <v>3.405119</v>
      </c>
      <c r="D194" s="1" t="s">
        <v>31</v>
      </c>
      <c r="E194" s="1" t="s">
        <v>32</v>
      </c>
      <c r="F194" s="1" t="s">
        <v>33</v>
      </c>
      <c r="G194" s="1">
        <v>-0.5</v>
      </c>
      <c r="H194" s="15">
        <v>46114.758587962962</v>
      </c>
      <c r="I194" s="2">
        <f t="shared" si="12"/>
        <v>1.6005555554875173</v>
      </c>
      <c r="P194" s="3"/>
      <c r="Q194" s="3"/>
      <c r="R194" s="3"/>
      <c r="S194" s="3"/>
    </row>
    <row r="195" spans="1:19">
      <c r="A195" s="1" t="s">
        <v>23</v>
      </c>
      <c r="B195" s="1">
        <v>60</v>
      </c>
      <c r="C195" s="12">
        <f>+'Flow rate'!E194</f>
        <v>3.405119</v>
      </c>
      <c r="D195" s="1" t="s">
        <v>31</v>
      </c>
      <c r="E195" s="1" t="s">
        <v>32</v>
      </c>
      <c r="F195" s="1" t="s">
        <v>33</v>
      </c>
      <c r="G195" s="1">
        <v>-0.5</v>
      </c>
      <c r="H195" s="15">
        <v>46114.758935185186</v>
      </c>
      <c r="I195" s="2">
        <f t="shared" si="12"/>
        <v>1.6088888888480142</v>
      </c>
      <c r="P195" s="3"/>
      <c r="Q195" s="3"/>
      <c r="R195" s="3"/>
      <c r="S195" s="3"/>
    </row>
    <row r="196" spans="1:19">
      <c r="A196" s="1" t="s">
        <v>23</v>
      </c>
      <c r="B196" s="1">
        <v>60</v>
      </c>
      <c r="C196" s="12">
        <f>+'Flow rate'!E195</f>
        <v>3.419181</v>
      </c>
      <c r="D196" s="1" t="s">
        <v>31</v>
      </c>
      <c r="E196" s="1" t="s">
        <v>32</v>
      </c>
      <c r="F196" s="1" t="s">
        <v>33</v>
      </c>
      <c r="G196" s="1">
        <v>-0.5</v>
      </c>
      <c r="H196" s="15">
        <v>46114.759282407409</v>
      </c>
      <c r="I196" s="2">
        <f t="shared" ref="I196:I259" si="13">+(H196-H$2)*24</f>
        <v>1.6172222222085111</v>
      </c>
      <c r="P196" s="3"/>
      <c r="Q196" s="3"/>
      <c r="R196" s="3"/>
      <c r="S196" s="3"/>
    </row>
    <row r="197" spans="1:19">
      <c r="A197" s="1" t="s">
        <v>23</v>
      </c>
      <c r="B197" s="1">
        <v>60</v>
      </c>
      <c r="C197" s="12">
        <f>+'Flow rate'!E196</f>
        <v>3.419181</v>
      </c>
      <c r="D197" s="1" t="s">
        <v>31</v>
      </c>
      <c r="E197" s="1" t="s">
        <v>32</v>
      </c>
      <c r="F197" s="1" t="s">
        <v>33</v>
      </c>
      <c r="G197" s="1">
        <v>-0.5</v>
      </c>
      <c r="H197" s="15">
        <v>46114.759629629632</v>
      </c>
      <c r="I197" s="2">
        <f t="shared" si="13"/>
        <v>1.625555555569008</v>
      </c>
      <c r="P197" s="3"/>
      <c r="Q197" s="3"/>
      <c r="R197" s="3"/>
      <c r="S197" s="3"/>
    </row>
    <row r="198" spans="1:19">
      <c r="A198" s="1" t="s">
        <v>23</v>
      </c>
      <c r="B198" s="1">
        <v>60</v>
      </c>
      <c r="C198" s="12">
        <f>+'Flow rate'!E197</f>
        <v>3.3114439999999998</v>
      </c>
      <c r="D198" s="1" t="s">
        <v>31</v>
      </c>
      <c r="E198" s="1" t="s">
        <v>32</v>
      </c>
      <c r="F198" s="1" t="s">
        <v>33</v>
      </c>
      <c r="G198" s="1">
        <v>-0.5</v>
      </c>
      <c r="H198" s="15">
        <v>46114.759976851848</v>
      </c>
      <c r="I198" s="2">
        <f t="shared" si="13"/>
        <v>1.6338888887548819</v>
      </c>
      <c r="P198" s="3"/>
      <c r="Q198" s="3"/>
      <c r="R198" s="3"/>
      <c r="S198" s="3"/>
    </row>
    <row r="199" spans="1:19">
      <c r="A199" s="1" t="s">
        <v>23</v>
      </c>
      <c r="B199" s="1">
        <v>60</v>
      </c>
      <c r="C199" s="12">
        <f>+'Flow rate'!E198</f>
        <v>3.3114439999999998</v>
      </c>
      <c r="D199" s="1" t="s">
        <v>31</v>
      </c>
      <c r="E199" s="1" t="s">
        <v>32</v>
      </c>
      <c r="F199" s="1" t="s">
        <v>33</v>
      </c>
      <c r="G199" s="1">
        <v>-0.5</v>
      </c>
      <c r="H199" s="15">
        <v>46114.760324074072</v>
      </c>
      <c r="I199" s="2">
        <f t="shared" si="13"/>
        <v>1.6422222221153788</v>
      </c>
      <c r="P199" s="3"/>
      <c r="Q199" s="3"/>
      <c r="R199" s="3"/>
      <c r="S199" s="3"/>
    </row>
    <row r="200" spans="1:19">
      <c r="A200" s="1" t="s">
        <v>23</v>
      </c>
      <c r="B200" s="1">
        <v>60</v>
      </c>
      <c r="C200" s="12">
        <f>+'Flow rate'!E199</f>
        <v>3.4422739999999998</v>
      </c>
      <c r="D200" s="1" t="s">
        <v>31</v>
      </c>
      <c r="E200" s="1" t="s">
        <v>32</v>
      </c>
      <c r="F200" s="1" t="s">
        <v>33</v>
      </c>
      <c r="G200" s="1">
        <v>-0.5</v>
      </c>
      <c r="H200" s="15">
        <v>46114.760671296295</v>
      </c>
      <c r="I200" s="2">
        <f t="shared" si="13"/>
        <v>1.6505555554758757</v>
      </c>
      <c r="P200" s="3"/>
      <c r="Q200" s="3"/>
      <c r="R200" s="3"/>
      <c r="S200" s="3"/>
    </row>
    <row r="201" spans="1:19">
      <c r="A201" s="1" t="s">
        <v>23</v>
      </c>
      <c r="B201" s="1">
        <v>60</v>
      </c>
      <c r="C201" s="12">
        <f>+'Flow rate'!E200</f>
        <v>3.4422739999999998</v>
      </c>
      <c r="D201" s="1" t="s">
        <v>31</v>
      </c>
      <c r="E201" s="1" t="s">
        <v>32</v>
      </c>
      <c r="F201" s="1" t="s">
        <v>33</v>
      </c>
      <c r="G201" s="1">
        <v>-0.5</v>
      </c>
      <c r="H201" s="15">
        <v>46114.761018518519</v>
      </c>
      <c r="I201" s="2">
        <f t="shared" si="13"/>
        <v>1.6588888888363726</v>
      </c>
      <c r="P201" s="3"/>
      <c r="Q201" s="3"/>
      <c r="R201" s="3"/>
      <c r="S201" s="3"/>
    </row>
    <row r="202" spans="1:19">
      <c r="A202" s="1" t="s">
        <v>23</v>
      </c>
      <c r="B202" s="1">
        <v>60</v>
      </c>
      <c r="C202" s="12">
        <f>+'Flow rate'!E201</f>
        <v>3.203697</v>
      </c>
      <c r="D202" s="1" t="s">
        <v>31</v>
      </c>
      <c r="E202" s="1" t="s">
        <v>32</v>
      </c>
      <c r="F202" s="1" t="s">
        <v>33</v>
      </c>
      <c r="G202" s="1">
        <v>-0.5</v>
      </c>
      <c r="H202" s="15">
        <v>46114.761365740742</v>
      </c>
      <c r="I202" s="2">
        <f t="shared" si="13"/>
        <v>1.6672222221968696</v>
      </c>
      <c r="P202" s="3"/>
      <c r="Q202" s="3"/>
      <c r="R202" s="3"/>
      <c r="S202" s="3"/>
    </row>
    <row r="203" spans="1:19">
      <c r="A203" s="1" t="s">
        <v>23</v>
      </c>
      <c r="B203" s="1">
        <v>60</v>
      </c>
      <c r="C203" s="12">
        <f>+'Flow rate'!E202</f>
        <v>3.203697</v>
      </c>
      <c r="D203" s="1" t="s">
        <v>31</v>
      </c>
      <c r="E203" s="1" t="s">
        <v>32</v>
      </c>
      <c r="F203" s="1" t="s">
        <v>33</v>
      </c>
      <c r="G203" s="1">
        <v>-0.5</v>
      </c>
      <c r="H203" s="15">
        <v>46114.761712962965</v>
      </c>
      <c r="I203" s="2">
        <f t="shared" si="13"/>
        <v>1.6755555555573665</v>
      </c>
      <c r="P203" s="3"/>
      <c r="Q203" s="3"/>
      <c r="R203" s="3"/>
      <c r="S203" s="3"/>
    </row>
    <row r="204" spans="1:19">
      <c r="A204" s="1" t="s">
        <v>23</v>
      </c>
      <c r="B204" s="1">
        <v>60</v>
      </c>
      <c r="C204" s="12">
        <f>+'Flow rate'!E203</f>
        <v>4.3815379999999999</v>
      </c>
      <c r="D204" s="1" t="s">
        <v>31</v>
      </c>
      <c r="E204" s="1" t="s">
        <v>32</v>
      </c>
      <c r="F204" s="1" t="s">
        <v>33</v>
      </c>
      <c r="G204" s="1">
        <v>-0.5</v>
      </c>
      <c r="H204" s="15">
        <v>46114.762060185189</v>
      </c>
      <c r="I204" s="2">
        <f t="shared" si="13"/>
        <v>1.6838888889178634</v>
      </c>
      <c r="P204" s="3"/>
      <c r="Q204" s="3"/>
      <c r="R204" s="3"/>
      <c r="S204" s="3"/>
    </row>
    <row r="205" spans="1:19">
      <c r="A205" s="1" t="s">
        <v>23</v>
      </c>
      <c r="B205" s="1">
        <v>60</v>
      </c>
      <c r="C205" s="12">
        <f>+'Flow rate'!E204</f>
        <v>4.3815379999999999</v>
      </c>
      <c r="D205" s="1" t="s">
        <v>31</v>
      </c>
      <c r="E205" s="1" t="s">
        <v>32</v>
      </c>
      <c r="F205" s="1" t="s">
        <v>33</v>
      </c>
      <c r="G205" s="1">
        <v>-0.5</v>
      </c>
      <c r="H205" s="15">
        <v>46114.762407407405</v>
      </c>
      <c r="I205" s="2">
        <f t="shared" si="13"/>
        <v>1.6922222221037373</v>
      </c>
      <c r="P205" s="3"/>
      <c r="Q205" s="3"/>
      <c r="R205" s="3"/>
      <c r="S205" s="3"/>
    </row>
    <row r="206" spans="1:19">
      <c r="A206" s="1" t="s">
        <v>23</v>
      </c>
      <c r="B206" s="1">
        <v>60</v>
      </c>
      <c r="C206" s="12">
        <f>+'Flow rate'!E205</f>
        <v>4.6200400000000004</v>
      </c>
      <c r="D206" s="1" t="s">
        <v>31</v>
      </c>
      <c r="E206" s="1" t="s">
        <v>32</v>
      </c>
      <c r="F206" s="1" t="s">
        <v>33</v>
      </c>
      <c r="G206" s="1">
        <v>-0.5</v>
      </c>
      <c r="H206" s="15">
        <v>46114.762754629628</v>
      </c>
      <c r="I206" s="2">
        <f t="shared" si="13"/>
        <v>1.7005555554642342</v>
      </c>
      <c r="P206" s="3"/>
      <c r="Q206" s="3"/>
      <c r="R206" s="3"/>
      <c r="S206" s="3"/>
    </row>
    <row r="207" spans="1:19">
      <c r="A207" s="1" t="s">
        <v>23</v>
      </c>
      <c r="B207" s="1">
        <v>60</v>
      </c>
      <c r="C207" s="12">
        <f>+'Flow rate'!E206</f>
        <v>4.6200400000000004</v>
      </c>
      <c r="D207" s="1" t="s">
        <v>31</v>
      </c>
      <c r="E207" s="1" t="s">
        <v>32</v>
      </c>
      <c r="F207" s="1" t="s">
        <v>33</v>
      </c>
      <c r="G207" s="1">
        <v>-0.5</v>
      </c>
      <c r="H207" s="15">
        <v>46114.763101851851</v>
      </c>
      <c r="I207" s="2">
        <f t="shared" si="13"/>
        <v>1.7088888888247311</v>
      </c>
      <c r="P207" s="3"/>
      <c r="Q207" s="3"/>
      <c r="R207" s="3"/>
      <c r="S207" s="3"/>
    </row>
    <row r="208" spans="1:19">
      <c r="A208" s="1" t="s">
        <v>23</v>
      </c>
      <c r="B208" s="1">
        <v>60</v>
      </c>
      <c r="C208" s="12">
        <f>+'Flow rate'!E207</f>
        <v>4.941414</v>
      </c>
      <c r="D208" s="1" t="s">
        <v>31</v>
      </c>
      <c r="E208" s="1" t="s">
        <v>32</v>
      </c>
      <c r="F208" s="1" t="s">
        <v>33</v>
      </c>
      <c r="G208" s="1">
        <v>-0.5</v>
      </c>
      <c r="H208" s="15">
        <v>46114.763449074075</v>
      </c>
      <c r="I208" s="2">
        <f t="shared" si="13"/>
        <v>1.717222222185228</v>
      </c>
      <c r="P208" s="3"/>
      <c r="Q208" s="3"/>
      <c r="R208" s="3"/>
      <c r="S208" s="3"/>
    </row>
    <row r="209" spans="1:19">
      <c r="A209" s="1" t="s">
        <v>23</v>
      </c>
      <c r="B209" s="1">
        <v>60</v>
      </c>
      <c r="C209" s="12">
        <f>+'Flow rate'!E208</f>
        <v>4.941414</v>
      </c>
      <c r="D209" s="1" t="s">
        <v>31</v>
      </c>
      <c r="E209" s="1" t="s">
        <v>32</v>
      </c>
      <c r="F209" s="1" t="s">
        <v>33</v>
      </c>
      <c r="G209" s="1">
        <v>-0.5</v>
      </c>
      <c r="H209" s="15">
        <v>46114.763796296298</v>
      </c>
      <c r="I209" s="2">
        <f t="shared" si="13"/>
        <v>1.7255555555457249</v>
      </c>
      <c r="P209" s="3"/>
      <c r="Q209" s="3"/>
      <c r="R209" s="3"/>
      <c r="S209" s="3"/>
    </row>
    <row r="210" spans="1:19">
      <c r="A210" s="1" t="s">
        <v>23</v>
      </c>
      <c r="B210" s="1">
        <v>60</v>
      </c>
      <c r="C210" s="12">
        <f>+'Flow rate'!E209</f>
        <v>4.3974380000000002</v>
      </c>
      <c r="D210" s="1" t="s">
        <v>31</v>
      </c>
      <c r="E210" s="1" t="s">
        <v>32</v>
      </c>
      <c r="F210" s="1" t="s">
        <v>33</v>
      </c>
      <c r="G210" s="1">
        <v>-0.5</v>
      </c>
      <c r="H210" s="15">
        <v>46114.764143518521</v>
      </c>
      <c r="I210" s="2">
        <f t="shared" si="13"/>
        <v>1.7338888889062218</v>
      </c>
      <c r="P210" s="3"/>
      <c r="Q210" s="3"/>
      <c r="R210" s="3"/>
      <c r="S210" s="3"/>
    </row>
    <row r="211" spans="1:19">
      <c r="A211" s="1" t="s">
        <v>23</v>
      </c>
      <c r="B211" s="1">
        <v>60</v>
      </c>
      <c r="C211" s="12">
        <f>+'Flow rate'!E210</f>
        <v>4.3974380000000002</v>
      </c>
      <c r="D211" s="1" t="s">
        <v>31</v>
      </c>
      <c r="E211" s="1" t="s">
        <v>32</v>
      </c>
      <c r="F211" s="1" t="s">
        <v>33</v>
      </c>
      <c r="G211" s="1">
        <v>-0.5</v>
      </c>
      <c r="H211" s="15">
        <v>46114.764490740738</v>
      </c>
      <c r="I211" s="2">
        <f t="shared" si="13"/>
        <v>1.7422222220920958</v>
      </c>
      <c r="P211" s="3"/>
      <c r="Q211" s="3"/>
      <c r="R211" s="3"/>
      <c r="S211" s="3"/>
    </row>
    <row r="212" spans="1:19">
      <c r="A212" s="1" t="s">
        <v>23</v>
      </c>
      <c r="B212" s="1">
        <v>60</v>
      </c>
      <c r="C212" s="12">
        <f>+'Flow rate'!E211</f>
        <v>4.6382130000000004</v>
      </c>
      <c r="D212" s="1" t="s">
        <v>31</v>
      </c>
      <c r="E212" s="1" t="s">
        <v>32</v>
      </c>
      <c r="F212" s="1" t="s">
        <v>33</v>
      </c>
      <c r="G212" s="1">
        <v>-0.5</v>
      </c>
      <c r="H212" s="15">
        <v>46114.764837962961</v>
      </c>
      <c r="I212" s="2">
        <f t="shared" si="13"/>
        <v>1.7505555554525927</v>
      </c>
      <c r="P212" s="3"/>
      <c r="Q212" s="3"/>
      <c r="R212" s="3"/>
      <c r="S212" s="3"/>
    </row>
    <row r="213" spans="1:19">
      <c r="A213" s="1" t="s">
        <v>23</v>
      </c>
      <c r="B213" s="1">
        <v>60</v>
      </c>
      <c r="C213" s="12">
        <f>+'Flow rate'!E212</f>
        <v>4.6382130000000004</v>
      </c>
      <c r="D213" s="1" t="s">
        <v>31</v>
      </c>
      <c r="E213" s="1" t="s">
        <v>32</v>
      </c>
      <c r="F213" s="1" t="s">
        <v>33</v>
      </c>
      <c r="G213" s="1">
        <v>-0.5</v>
      </c>
      <c r="H213" s="15">
        <v>46114.765185185184</v>
      </c>
      <c r="I213" s="2">
        <f t="shared" si="13"/>
        <v>1.7588888888130896</v>
      </c>
      <c r="P213" s="3"/>
      <c r="Q213" s="3"/>
      <c r="R213" s="3"/>
      <c r="S213" s="3"/>
    </row>
    <row r="214" spans="1:19">
      <c r="A214" s="1" t="s">
        <v>23</v>
      </c>
      <c r="B214" s="1">
        <v>60</v>
      </c>
      <c r="C214" s="12">
        <f>+'Flow rate'!E213</f>
        <v>4.5974380000000004</v>
      </c>
      <c r="D214" s="1" t="s">
        <v>31</v>
      </c>
      <c r="E214" s="1" t="s">
        <v>32</v>
      </c>
      <c r="F214" s="1" t="s">
        <v>33</v>
      </c>
      <c r="G214" s="1">
        <v>-0.5</v>
      </c>
      <c r="H214" s="15">
        <v>46114.765532407408</v>
      </c>
      <c r="I214" s="2">
        <f t="shared" si="13"/>
        <v>1.7672222221735865</v>
      </c>
      <c r="P214" s="3"/>
      <c r="Q214" s="3"/>
      <c r="R214" s="3"/>
      <c r="S214" s="3"/>
    </row>
    <row r="215" spans="1:19">
      <c r="A215" s="1" t="s">
        <v>23</v>
      </c>
      <c r="B215" s="1">
        <v>60</v>
      </c>
      <c r="C215" s="12">
        <f>+'Flow rate'!E214</f>
        <v>4.5974380000000004</v>
      </c>
      <c r="D215" s="1" t="s">
        <v>31</v>
      </c>
      <c r="E215" s="1" t="s">
        <v>32</v>
      </c>
      <c r="F215" s="1" t="s">
        <v>33</v>
      </c>
      <c r="G215" s="1">
        <v>-0.5</v>
      </c>
      <c r="H215" s="15">
        <v>46114.765879629631</v>
      </c>
      <c r="I215" s="2">
        <f t="shared" si="13"/>
        <v>1.7755555555340834</v>
      </c>
      <c r="P215" s="3"/>
      <c r="Q215" s="3"/>
      <c r="R215" s="3"/>
      <c r="S215" s="3"/>
    </row>
    <row r="216" spans="1:19">
      <c r="A216" s="1" t="s">
        <v>23</v>
      </c>
      <c r="B216" s="1">
        <v>60</v>
      </c>
      <c r="C216" s="12">
        <f>+'Flow rate'!E215</f>
        <v>4.6257279999999996</v>
      </c>
      <c r="D216" s="1" t="s">
        <v>31</v>
      </c>
      <c r="E216" s="1" t="s">
        <v>32</v>
      </c>
      <c r="F216" s="1" t="s">
        <v>33</v>
      </c>
      <c r="G216" s="1">
        <v>-0.5</v>
      </c>
      <c r="H216" s="15">
        <v>46114.766226851854</v>
      </c>
      <c r="I216" s="2">
        <f t="shared" si="13"/>
        <v>1.7838888888945803</v>
      </c>
      <c r="P216" s="3"/>
      <c r="Q216" s="3"/>
      <c r="R216" s="3"/>
      <c r="S216" s="3"/>
    </row>
    <row r="217" spans="1:19">
      <c r="A217" s="1" t="s">
        <v>23</v>
      </c>
      <c r="B217" s="1">
        <v>60</v>
      </c>
      <c r="C217" s="12">
        <f>+'Flow rate'!E216</f>
        <v>4.6257279999999996</v>
      </c>
      <c r="D217" s="1" t="s">
        <v>31</v>
      </c>
      <c r="E217" s="1" t="s">
        <v>32</v>
      </c>
      <c r="F217" s="1" t="s">
        <v>33</v>
      </c>
      <c r="G217" s="1">
        <v>-0.5</v>
      </c>
      <c r="H217" s="15">
        <v>46114.766574074078</v>
      </c>
      <c r="I217" s="2">
        <f t="shared" si="13"/>
        <v>1.7922222222550772</v>
      </c>
      <c r="P217" s="3"/>
      <c r="Q217" s="3"/>
      <c r="R217" s="3"/>
      <c r="S217" s="3"/>
    </row>
    <row r="218" spans="1:19">
      <c r="A218" s="1" t="s">
        <v>23</v>
      </c>
      <c r="B218" s="1">
        <v>60</v>
      </c>
      <c r="C218" s="12">
        <f>+'Flow rate'!E217</f>
        <v>4.6416300000000001</v>
      </c>
      <c r="D218" s="1" t="s">
        <v>31</v>
      </c>
      <c r="E218" s="1" t="s">
        <v>32</v>
      </c>
      <c r="F218" s="1" t="s">
        <v>33</v>
      </c>
      <c r="G218" s="1">
        <v>-0.5</v>
      </c>
      <c r="H218" s="15">
        <v>46114.766921296294</v>
      </c>
      <c r="I218" s="2">
        <f t="shared" si="13"/>
        <v>1.8005555554409511</v>
      </c>
      <c r="P218" s="3"/>
      <c r="Q218" s="3"/>
      <c r="R218" s="3"/>
      <c r="S218" s="3"/>
    </row>
    <row r="219" spans="1:19">
      <c r="A219" s="1" t="s">
        <v>23</v>
      </c>
      <c r="B219" s="1">
        <v>60</v>
      </c>
      <c r="C219" s="12">
        <f>+'Flow rate'!E218</f>
        <v>4.6416300000000001</v>
      </c>
      <c r="D219" s="1" t="s">
        <v>31</v>
      </c>
      <c r="E219" s="1" t="s">
        <v>32</v>
      </c>
      <c r="F219" s="1" t="s">
        <v>33</v>
      </c>
      <c r="G219" s="1">
        <v>-0.5</v>
      </c>
      <c r="H219" s="15">
        <v>46114.767268518517</v>
      </c>
      <c r="I219" s="2">
        <f t="shared" si="13"/>
        <v>1.808888888801448</v>
      </c>
      <c r="P219" s="3"/>
      <c r="Q219" s="3"/>
      <c r="R219" s="3"/>
      <c r="S219" s="3"/>
    </row>
    <row r="220" spans="1:19">
      <c r="A220" s="1" t="s">
        <v>23</v>
      </c>
      <c r="B220" s="1">
        <v>60</v>
      </c>
      <c r="C220" s="12">
        <f>+'Flow rate'!E219</f>
        <v>4.4899129999999996</v>
      </c>
      <c r="D220" s="1" t="s">
        <v>31</v>
      </c>
      <c r="E220" s="1" t="s">
        <v>32</v>
      </c>
      <c r="F220" s="1" t="s">
        <v>33</v>
      </c>
      <c r="G220" s="1">
        <v>-0.5</v>
      </c>
      <c r="H220" s="15">
        <v>46114.76761574074</v>
      </c>
      <c r="I220" s="2">
        <f t="shared" si="13"/>
        <v>1.817222222161945</v>
      </c>
      <c r="P220" s="3"/>
      <c r="Q220" s="3"/>
      <c r="R220" s="3"/>
      <c r="S220" s="3"/>
    </row>
    <row r="221" spans="1:19">
      <c r="A221" s="1" t="s">
        <v>23</v>
      </c>
      <c r="B221" s="1">
        <v>60</v>
      </c>
      <c r="C221" s="12">
        <f>+'Flow rate'!E220</f>
        <v>4.4899129999999996</v>
      </c>
      <c r="D221" s="1" t="s">
        <v>31</v>
      </c>
      <c r="E221" s="1" t="s">
        <v>32</v>
      </c>
      <c r="F221" s="1" t="s">
        <v>33</v>
      </c>
      <c r="G221" s="1">
        <v>-0.5</v>
      </c>
      <c r="H221" s="15">
        <v>46114.767962962964</v>
      </c>
      <c r="I221" s="2">
        <f t="shared" si="13"/>
        <v>1.8255555555224419</v>
      </c>
      <c r="P221" s="3"/>
      <c r="Q221" s="3"/>
      <c r="R221" s="3"/>
      <c r="S221" s="3"/>
    </row>
    <row r="222" spans="1:19">
      <c r="A222" s="1" t="s">
        <v>23</v>
      </c>
      <c r="B222" s="1">
        <v>60</v>
      </c>
      <c r="C222" s="12">
        <f>+'Flow rate'!E221</f>
        <v>4.4431609999999999</v>
      </c>
      <c r="D222" s="1" t="s">
        <v>31</v>
      </c>
      <c r="E222" s="1" t="s">
        <v>32</v>
      </c>
      <c r="F222" s="1" t="s">
        <v>33</v>
      </c>
      <c r="G222" s="1">
        <v>-0.5</v>
      </c>
      <c r="H222" s="15">
        <v>46114.768310185187</v>
      </c>
      <c r="I222" s="2">
        <f t="shared" si="13"/>
        <v>1.8338888888829388</v>
      </c>
      <c r="P222" s="3"/>
      <c r="Q222" s="3"/>
      <c r="R222" s="3"/>
      <c r="S222" s="3"/>
    </row>
    <row r="223" spans="1:19">
      <c r="A223" s="1" t="s">
        <v>23</v>
      </c>
      <c r="B223" s="1">
        <v>60</v>
      </c>
      <c r="C223" s="12">
        <f>+'Flow rate'!E222</f>
        <v>4.4431609999999999</v>
      </c>
      <c r="D223" s="1" t="s">
        <v>31</v>
      </c>
      <c r="E223" s="1" t="s">
        <v>32</v>
      </c>
      <c r="F223" s="1" t="s">
        <v>33</v>
      </c>
      <c r="G223" s="1">
        <v>-0.5</v>
      </c>
      <c r="H223" s="15">
        <v>46114.768657407411</v>
      </c>
      <c r="I223" s="2">
        <f t="shared" si="13"/>
        <v>1.8422222222434357</v>
      </c>
      <c r="P223" s="3"/>
      <c r="Q223" s="3"/>
      <c r="R223" s="3"/>
      <c r="S223" s="3"/>
    </row>
    <row r="224" spans="1:19">
      <c r="A224" s="1" t="s">
        <v>23</v>
      </c>
      <c r="B224" s="1">
        <v>60</v>
      </c>
      <c r="C224" s="12">
        <f>+'Flow rate'!E223</f>
        <v>4.6148199999999999</v>
      </c>
      <c r="D224" s="1" t="s">
        <v>31</v>
      </c>
      <c r="E224" s="1" t="s">
        <v>32</v>
      </c>
      <c r="F224" s="1" t="s">
        <v>33</v>
      </c>
      <c r="G224" s="1">
        <v>-0.5</v>
      </c>
      <c r="H224" s="15">
        <v>46114.769004629627</v>
      </c>
      <c r="I224" s="2">
        <f t="shared" si="13"/>
        <v>1.8505555554293096</v>
      </c>
      <c r="P224" s="3"/>
      <c r="Q224" s="3"/>
      <c r="R224" s="3"/>
      <c r="S224" s="3"/>
    </row>
    <row r="225" spans="1:19">
      <c r="A225" s="1" t="s">
        <v>23</v>
      </c>
      <c r="B225" s="1">
        <v>60</v>
      </c>
      <c r="C225" s="12">
        <f>+'Flow rate'!E224</f>
        <v>4.6148199999999999</v>
      </c>
      <c r="D225" s="1" t="s">
        <v>31</v>
      </c>
      <c r="E225" s="1" t="s">
        <v>32</v>
      </c>
      <c r="F225" s="1" t="s">
        <v>33</v>
      </c>
      <c r="G225" s="1">
        <v>-0.5</v>
      </c>
      <c r="H225" s="15">
        <v>46114.76935185185</v>
      </c>
      <c r="I225" s="2">
        <f t="shared" si="13"/>
        <v>1.8588888887898065</v>
      </c>
      <c r="P225" s="3"/>
      <c r="Q225" s="3"/>
      <c r="R225" s="3"/>
      <c r="S225" s="3"/>
    </row>
    <row r="226" spans="1:19">
      <c r="A226" s="1" t="s">
        <v>23</v>
      </c>
      <c r="B226" s="1">
        <v>60</v>
      </c>
      <c r="C226" s="12">
        <f>+'Flow rate'!E225</f>
        <v>4.5438210000000003</v>
      </c>
      <c r="D226" s="1" t="s">
        <v>31</v>
      </c>
      <c r="E226" s="1" t="s">
        <v>32</v>
      </c>
      <c r="F226" s="1" t="s">
        <v>33</v>
      </c>
      <c r="G226" s="1">
        <v>-0.5</v>
      </c>
      <c r="H226" s="15">
        <v>46114.769699074073</v>
      </c>
      <c r="I226" s="2">
        <f t="shared" si="13"/>
        <v>1.8672222221503034</v>
      </c>
      <c r="P226" s="3"/>
      <c r="Q226" s="3"/>
      <c r="R226" s="3"/>
      <c r="S226" s="3"/>
    </row>
    <row r="227" spans="1:19">
      <c r="A227" s="1" t="s">
        <v>23</v>
      </c>
      <c r="B227" s="1">
        <v>60</v>
      </c>
      <c r="C227" s="12">
        <f>+'Flow rate'!E226</f>
        <v>4.5438210000000003</v>
      </c>
      <c r="D227" s="1" t="s">
        <v>31</v>
      </c>
      <c r="E227" s="1" t="s">
        <v>32</v>
      </c>
      <c r="F227" s="1" t="s">
        <v>33</v>
      </c>
      <c r="G227" s="1">
        <v>-0.5</v>
      </c>
      <c r="H227" s="15">
        <v>46114.770046296297</v>
      </c>
      <c r="I227" s="2">
        <f t="shared" si="13"/>
        <v>1.8755555555108003</v>
      </c>
      <c r="P227" s="3"/>
      <c r="Q227" s="3"/>
      <c r="R227" s="3"/>
      <c r="S227" s="3"/>
    </row>
    <row r="228" spans="1:19">
      <c r="A228" s="1" t="s">
        <v>23</v>
      </c>
      <c r="B228" s="1">
        <v>60</v>
      </c>
      <c r="C228" s="12">
        <f>+'Flow rate'!E227</f>
        <v>4.4430680000000002</v>
      </c>
      <c r="D228" s="1" t="s">
        <v>31</v>
      </c>
      <c r="E228" s="1" t="s">
        <v>32</v>
      </c>
      <c r="F228" s="1" t="s">
        <v>33</v>
      </c>
      <c r="G228" s="1">
        <v>-0.5</v>
      </c>
      <c r="H228" s="15">
        <v>46114.77039351852</v>
      </c>
      <c r="I228" s="2">
        <f t="shared" si="13"/>
        <v>1.8838888888712972</v>
      </c>
      <c r="P228" s="3"/>
      <c r="Q228" s="3"/>
      <c r="R228" s="3"/>
      <c r="S228" s="3"/>
    </row>
    <row r="229" spans="1:19">
      <c r="A229" s="1" t="s">
        <v>23</v>
      </c>
      <c r="B229" s="1">
        <v>60</v>
      </c>
      <c r="C229" s="12">
        <f>+'Flow rate'!E228</f>
        <v>4.4430680000000002</v>
      </c>
      <c r="D229" s="1" t="s">
        <v>31</v>
      </c>
      <c r="E229" s="1" t="s">
        <v>32</v>
      </c>
      <c r="F229" s="1" t="s">
        <v>33</v>
      </c>
      <c r="G229" s="1">
        <v>-0.5</v>
      </c>
      <c r="H229" s="15">
        <v>46114.770740740743</v>
      </c>
      <c r="I229" s="2">
        <f t="shared" si="13"/>
        <v>1.8922222222317941</v>
      </c>
      <c r="P229" s="3"/>
      <c r="Q229" s="3"/>
      <c r="R229" s="3"/>
      <c r="S229" s="3"/>
    </row>
    <row r="230" spans="1:19">
      <c r="A230" s="1" t="s">
        <v>23</v>
      </c>
      <c r="B230" s="1">
        <v>60</v>
      </c>
      <c r="C230" s="12">
        <f>+'Flow rate'!E229</f>
        <v>4.3135750000000002</v>
      </c>
      <c r="D230" s="1" t="s">
        <v>31</v>
      </c>
      <c r="E230" s="1" t="s">
        <v>32</v>
      </c>
      <c r="F230" s="1" t="s">
        <v>33</v>
      </c>
      <c r="G230" s="1">
        <v>-0.5</v>
      </c>
      <c r="H230" s="15">
        <v>46114.771087962959</v>
      </c>
      <c r="I230" s="2">
        <f t="shared" si="13"/>
        <v>1.9005555554176681</v>
      </c>
      <c r="P230" s="3"/>
      <c r="Q230" s="3"/>
      <c r="R230" s="3"/>
      <c r="S230" s="3"/>
    </row>
    <row r="231" spans="1:19">
      <c r="A231" s="1" t="s">
        <v>23</v>
      </c>
      <c r="B231" s="1">
        <v>60</v>
      </c>
      <c r="C231" s="12">
        <f>+'Flow rate'!E230</f>
        <v>4.3135750000000002</v>
      </c>
      <c r="D231" s="1" t="s">
        <v>31</v>
      </c>
      <c r="E231" s="1" t="s">
        <v>32</v>
      </c>
      <c r="F231" s="1" t="s">
        <v>33</v>
      </c>
      <c r="G231" s="1">
        <v>-0.5</v>
      </c>
      <c r="H231" s="15">
        <v>46114.771435185183</v>
      </c>
      <c r="I231" s="2">
        <f t="shared" si="13"/>
        <v>1.908888888778165</v>
      </c>
      <c r="P231" s="3"/>
      <c r="Q231" s="3"/>
      <c r="R231" s="3"/>
      <c r="S231" s="3"/>
    </row>
    <row r="232" spans="1:19">
      <c r="A232" s="1" t="s">
        <v>23</v>
      </c>
      <c r="B232" s="1">
        <v>60</v>
      </c>
      <c r="C232" s="12">
        <f>+'Flow rate'!E231</f>
        <v>4.3886320000000003</v>
      </c>
      <c r="D232" s="1" t="s">
        <v>31</v>
      </c>
      <c r="E232" s="1" t="s">
        <v>32</v>
      </c>
      <c r="F232" s="1" t="s">
        <v>33</v>
      </c>
      <c r="G232" s="1">
        <v>-0.5</v>
      </c>
      <c r="H232" s="15">
        <v>46114.771782407406</v>
      </c>
      <c r="I232" s="2">
        <f t="shared" si="13"/>
        <v>1.9172222221386619</v>
      </c>
      <c r="P232" s="3"/>
      <c r="Q232" s="3"/>
      <c r="R232" s="3"/>
      <c r="S232" s="3"/>
    </row>
    <row r="233" spans="1:19">
      <c r="A233" s="1" t="s">
        <v>23</v>
      </c>
      <c r="B233" s="1">
        <v>60</v>
      </c>
      <c r="C233" s="12">
        <f>+'Flow rate'!E232</f>
        <v>4.3886320000000003</v>
      </c>
      <c r="D233" s="1" t="s">
        <v>31</v>
      </c>
      <c r="E233" s="1" t="s">
        <v>32</v>
      </c>
      <c r="F233" s="1" t="s">
        <v>33</v>
      </c>
      <c r="G233" s="1">
        <v>-0.5</v>
      </c>
      <c r="H233" s="15">
        <v>46114.772129629629</v>
      </c>
      <c r="I233" s="2">
        <f t="shared" si="13"/>
        <v>1.9255555554991588</v>
      </c>
      <c r="P233" s="3"/>
      <c r="Q233" s="3"/>
      <c r="R233" s="3"/>
      <c r="S233" s="3"/>
    </row>
    <row r="234" spans="1:19">
      <c r="A234" s="1" t="s">
        <v>23</v>
      </c>
      <c r="B234" s="1">
        <v>60</v>
      </c>
      <c r="C234" s="12">
        <f>+'Flow rate'!E233</f>
        <v>4.2731950000000003</v>
      </c>
      <c r="D234" s="1" t="s">
        <v>31</v>
      </c>
      <c r="E234" s="1" t="s">
        <v>32</v>
      </c>
      <c r="F234" s="1" t="s">
        <v>33</v>
      </c>
      <c r="G234" s="1">
        <v>-0.5</v>
      </c>
      <c r="H234" s="15">
        <v>46114.772476851853</v>
      </c>
      <c r="I234" s="2">
        <f t="shared" si="13"/>
        <v>1.9338888888596557</v>
      </c>
      <c r="P234" s="3"/>
      <c r="Q234" s="3"/>
      <c r="R234" s="3"/>
      <c r="S234" s="3"/>
    </row>
    <row r="235" spans="1:19">
      <c r="A235" s="1" t="s">
        <v>23</v>
      </c>
      <c r="B235" s="1">
        <v>60</v>
      </c>
      <c r="C235" s="12">
        <f>+'Flow rate'!E234</f>
        <v>4.2731950000000003</v>
      </c>
      <c r="D235" s="1" t="s">
        <v>31</v>
      </c>
      <c r="E235" s="1" t="s">
        <v>32</v>
      </c>
      <c r="F235" s="1" t="s">
        <v>33</v>
      </c>
      <c r="G235" s="1">
        <v>-0.5</v>
      </c>
      <c r="H235" s="15">
        <v>46114.772824074076</v>
      </c>
      <c r="I235" s="2">
        <f t="shared" si="13"/>
        <v>1.9422222222201526</v>
      </c>
      <c r="P235" s="3"/>
      <c r="Q235" s="3"/>
      <c r="R235" s="3"/>
      <c r="S235" s="3"/>
    </row>
    <row r="236" spans="1:19">
      <c r="A236" s="1" t="s">
        <v>23</v>
      </c>
      <c r="B236" s="1">
        <v>60</v>
      </c>
      <c r="C236" s="12">
        <f>+'Flow rate'!E235</f>
        <v>4.2529240000000001</v>
      </c>
      <c r="D236" s="1" t="s">
        <v>31</v>
      </c>
      <c r="E236" s="1" t="s">
        <v>32</v>
      </c>
      <c r="F236" s="1" t="s">
        <v>33</v>
      </c>
      <c r="G236" s="1">
        <v>-0.5</v>
      </c>
      <c r="H236" s="15">
        <v>46114.7731712963</v>
      </c>
      <c r="I236" s="2">
        <f t="shared" si="13"/>
        <v>1.9505555555806495</v>
      </c>
      <c r="P236" s="3"/>
      <c r="Q236" s="3"/>
      <c r="R236" s="3"/>
      <c r="S236" s="3"/>
    </row>
    <row r="237" spans="1:19">
      <c r="A237" s="1" t="s">
        <v>23</v>
      </c>
      <c r="B237" s="1">
        <v>60</v>
      </c>
      <c r="C237" s="12">
        <f>+'Flow rate'!E236</f>
        <v>4.2529240000000001</v>
      </c>
      <c r="D237" s="1" t="s">
        <v>31</v>
      </c>
      <c r="E237" s="1" t="s">
        <v>32</v>
      </c>
      <c r="F237" s="1" t="s">
        <v>33</v>
      </c>
      <c r="G237" s="1">
        <v>-0.5</v>
      </c>
      <c r="H237" s="15">
        <v>46114.773518518516</v>
      </c>
      <c r="I237" s="2">
        <f t="shared" si="13"/>
        <v>1.9588888887665235</v>
      </c>
      <c r="P237" s="3"/>
      <c r="Q237" s="3"/>
      <c r="R237" s="3"/>
      <c r="S237" s="3"/>
    </row>
    <row r="238" spans="1:19">
      <c r="A238" s="1" t="s">
        <v>23</v>
      </c>
      <c r="B238" s="1">
        <v>60</v>
      </c>
      <c r="C238" s="12">
        <f>+'Flow rate'!E237</f>
        <v>4.3887890000000001</v>
      </c>
      <c r="D238" s="1" t="s">
        <v>31</v>
      </c>
      <c r="E238" s="1" t="s">
        <v>32</v>
      </c>
      <c r="F238" s="1" t="s">
        <v>33</v>
      </c>
      <c r="G238" s="1">
        <v>-0.5</v>
      </c>
      <c r="H238" s="15">
        <v>46114.773865740739</v>
      </c>
      <c r="I238" s="2">
        <f t="shared" si="13"/>
        <v>1.9672222221270204</v>
      </c>
      <c r="P238" s="3"/>
      <c r="Q238" s="3"/>
      <c r="R238" s="3"/>
      <c r="S238" s="3"/>
    </row>
    <row r="239" spans="1:19">
      <c r="A239" s="1" t="s">
        <v>23</v>
      </c>
      <c r="B239" s="1">
        <v>60</v>
      </c>
      <c r="C239" s="12">
        <f>+'Flow rate'!E238</f>
        <v>4.3887890000000001</v>
      </c>
      <c r="D239" s="1" t="s">
        <v>31</v>
      </c>
      <c r="E239" s="1" t="s">
        <v>32</v>
      </c>
      <c r="F239" s="1" t="s">
        <v>33</v>
      </c>
      <c r="G239" s="1">
        <v>-0.5</v>
      </c>
      <c r="H239" s="15">
        <v>46114.774212962962</v>
      </c>
      <c r="I239" s="2">
        <f t="shared" si="13"/>
        <v>1.9755555554875173</v>
      </c>
      <c r="P239" s="3"/>
      <c r="Q239" s="3"/>
      <c r="R239" s="3"/>
      <c r="S239" s="3"/>
    </row>
    <row r="240" spans="1:19">
      <c r="A240" s="1" t="s">
        <v>23</v>
      </c>
      <c r="B240" s="1">
        <v>60</v>
      </c>
      <c r="C240" s="12">
        <f>+'Flow rate'!E239</f>
        <v>4.5850749999999998</v>
      </c>
      <c r="D240" s="1" t="s">
        <v>31</v>
      </c>
      <c r="E240" s="1" t="s">
        <v>32</v>
      </c>
      <c r="F240" s="1" t="s">
        <v>33</v>
      </c>
      <c r="G240" s="1">
        <v>-0.5</v>
      </c>
      <c r="H240" s="15">
        <v>46114.774560185186</v>
      </c>
      <c r="I240" s="2">
        <f t="shared" si="13"/>
        <v>1.9838888888480142</v>
      </c>
      <c r="P240" s="3"/>
      <c r="Q240" s="3"/>
      <c r="R240" s="3"/>
      <c r="S240" s="3"/>
    </row>
    <row r="241" spans="1:19">
      <c r="A241" s="1" t="s">
        <v>23</v>
      </c>
      <c r="B241" s="1">
        <v>60</v>
      </c>
      <c r="C241" s="12">
        <f>+'Flow rate'!E240</f>
        <v>4.5850749999999998</v>
      </c>
      <c r="D241" s="1" t="s">
        <v>31</v>
      </c>
      <c r="E241" s="1" t="s">
        <v>32</v>
      </c>
      <c r="F241" s="1" t="s">
        <v>33</v>
      </c>
      <c r="G241" s="1">
        <v>-0.5</v>
      </c>
      <c r="H241" s="15">
        <v>46114.774907407409</v>
      </c>
      <c r="I241" s="2">
        <f t="shared" si="13"/>
        <v>1.9922222222085111</v>
      </c>
      <c r="P241" s="3"/>
      <c r="Q241" s="3"/>
      <c r="R241" s="3"/>
      <c r="S241" s="3"/>
    </row>
    <row r="242" spans="1:19">
      <c r="A242" s="1" t="s">
        <v>23</v>
      </c>
      <c r="B242" s="1">
        <v>60</v>
      </c>
      <c r="C242" s="12">
        <f>+'Flow rate'!E241</f>
        <v>4.4595520000000004</v>
      </c>
      <c r="D242" s="1" t="s">
        <v>31</v>
      </c>
      <c r="E242" s="1" t="s">
        <v>32</v>
      </c>
      <c r="F242" s="1" t="s">
        <v>33</v>
      </c>
      <c r="G242" s="1">
        <v>-0.5</v>
      </c>
      <c r="H242" s="15">
        <v>46114.775254629632</v>
      </c>
      <c r="I242" s="2">
        <f t="shared" si="13"/>
        <v>2.000555555569008</v>
      </c>
      <c r="P242" s="3"/>
      <c r="Q242" s="3"/>
      <c r="R242" s="3"/>
      <c r="S242" s="3"/>
    </row>
    <row r="243" spans="1:19">
      <c r="A243" s="1" t="s">
        <v>23</v>
      </c>
      <c r="B243" s="1">
        <v>60</v>
      </c>
      <c r="C243" s="12">
        <f>+'Flow rate'!E242</f>
        <v>4.4595520000000004</v>
      </c>
      <c r="D243" s="1" t="s">
        <v>31</v>
      </c>
      <c r="E243" s="1" t="s">
        <v>32</v>
      </c>
      <c r="F243" s="1" t="s">
        <v>33</v>
      </c>
      <c r="G243" s="1">
        <v>-0.5</v>
      </c>
      <c r="H243" s="15">
        <v>46114.775601851848</v>
      </c>
      <c r="I243" s="2">
        <f t="shared" si="13"/>
        <v>2.0088888887548819</v>
      </c>
      <c r="P243" s="3"/>
      <c r="Q243" s="3"/>
      <c r="R243" s="3"/>
      <c r="S243" s="3"/>
    </row>
    <row r="244" spans="1:19">
      <c r="A244" s="1" t="s">
        <v>23</v>
      </c>
      <c r="B244" s="1">
        <v>60</v>
      </c>
      <c r="C244" s="12">
        <f>+'Flow rate'!E243</f>
        <v>5.1303809999999999</v>
      </c>
      <c r="D244" s="1" t="s">
        <v>31</v>
      </c>
      <c r="E244" s="1" t="s">
        <v>32</v>
      </c>
      <c r="F244" s="1" t="s">
        <v>33</v>
      </c>
      <c r="G244" s="1">
        <v>-0.5</v>
      </c>
      <c r="H244" s="15">
        <v>46114.775949074072</v>
      </c>
      <c r="I244" s="2">
        <f t="shared" si="13"/>
        <v>2.0172222221153788</v>
      </c>
      <c r="P244" s="3"/>
      <c r="Q244" s="3"/>
      <c r="R244" s="3"/>
      <c r="S244" s="3"/>
    </row>
    <row r="245" spans="1:19">
      <c r="A245" s="1" t="s">
        <v>23</v>
      </c>
      <c r="B245" s="1">
        <v>60</v>
      </c>
      <c r="C245" s="12">
        <f>+'Flow rate'!E244</f>
        <v>5.1303809999999999</v>
      </c>
      <c r="D245" s="1" t="s">
        <v>31</v>
      </c>
      <c r="E245" s="1" t="s">
        <v>32</v>
      </c>
      <c r="F245" s="1" t="s">
        <v>33</v>
      </c>
      <c r="G245" s="1">
        <v>-0.5</v>
      </c>
      <c r="H245" s="15">
        <v>46114.776296296295</v>
      </c>
      <c r="I245" s="2">
        <f t="shared" si="13"/>
        <v>2.0255555554758757</v>
      </c>
      <c r="P245" s="3"/>
      <c r="Q245" s="3"/>
      <c r="R245" s="3"/>
      <c r="S245" s="3"/>
    </row>
    <row r="246" spans="1:19">
      <c r="A246" s="1" t="s">
        <v>23</v>
      </c>
      <c r="B246" s="1">
        <v>60</v>
      </c>
      <c r="C246" s="12">
        <f>+'Flow rate'!E245</f>
        <v>5.6896269999999998</v>
      </c>
      <c r="D246" s="1" t="s">
        <v>31</v>
      </c>
      <c r="E246" s="1" t="s">
        <v>32</v>
      </c>
      <c r="F246" s="1" t="s">
        <v>33</v>
      </c>
      <c r="G246" s="1">
        <v>-0.5</v>
      </c>
      <c r="H246" s="15">
        <v>46114.776643518519</v>
      </c>
      <c r="I246" s="2">
        <f t="shared" si="13"/>
        <v>2.0338888888363726</v>
      </c>
      <c r="P246" s="3"/>
      <c r="Q246" s="3"/>
      <c r="R246" s="3"/>
      <c r="S246" s="3"/>
    </row>
    <row r="247" spans="1:19">
      <c r="A247" s="1" t="s">
        <v>23</v>
      </c>
      <c r="B247" s="1">
        <v>60</v>
      </c>
      <c r="C247" s="12">
        <f>+'Flow rate'!E246</f>
        <v>5.6896269999999998</v>
      </c>
      <c r="D247" s="1" t="s">
        <v>31</v>
      </c>
      <c r="E247" s="1" t="s">
        <v>32</v>
      </c>
      <c r="F247" s="1" t="s">
        <v>33</v>
      </c>
      <c r="G247" s="1">
        <v>-0.5</v>
      </c>
      <c r="H247" s="15">
        <v>46114.776990740742</v>
      </c>
      <c r="I247" s="2">
        <f t="shared" si="13"/>
        <v>2.0422222221968696</v>
      </c>
      <c r="P247" s="3"/>
      <c r="Q247" s="3"/>
      <c r="R247" s="3"/>
      <c r="S247" s="3"/>
    </row>
    <row r="248" spans="1:19">
      <c r="A248" s="1" t="s">
        <v>23</v>
      </c>
      <c r="B248" s="1">
        <v>60</v>
      </c>
      <c r="C248" s="12">
        <f>+'Flow rate'!E247</f>
        <v>5.5144060000000001</v>
      </c>
      <c r="D248" s="1" t="s">
        <v>31</v>
      </c>
      <c r="E248" s="1" t="s">
        <v>32</v>
      </c>
      <c r="F248" s="1" t="s">
        <v>33</v>
      </c>
      <c r="G248" s="1">
        <v>-0.5</v>
      </c>
      <c r="H248" s="15">
        <v>46114.777337962965</v>
      </c>
      <c r="I248" s="2">
        <f t="shared" si="13"/>
        <v>2.0505555555573665</v>
      </c>
      <c r="P248" s="3"/>
      <c r="Q248" s="3"/>
      <c r="R248" s="3"/>
      <c r="S248" s="3"/>
    </row>
    <row r="249" spans="1:19">
      <c r="A249" s="1" t="s">
        <v>23</v>
      </c>
      <c r="B249" s="1">
        <v>60</v>
      </c>
      <c r="C249" s="12">
        <f>+'Flow rate'!E248</f>
        <v>5.5144060000000001</v>
      </c>
      <c r="D249" s="1" t="s">
        <v>31</v>
      </c>
      <c r="E249" s="1" t="s">
        <v>32</v>
      </c>
      <c r="F249" s="1" t="s">
        <v>33</v>
      </c>
      <c r="G249" s="1">
        <v>-0.5</v>
      </c>
      <c r="H249" s="15">
        <v>46114.777685185189</v>
      </c>
      <c r="I249" s="2">
        <f t="shared" si="13"/>
        <v>2.0588888889178634</v>
      </c>
      <c r="P249" s="3"/>
      <c r="Q249" s="3"/>
      <c r="R249" s="3"/>
      <c r="S249" s="3"/>
    </row>
    <row r="250" spans="1:19">
      <c r="A250" s="1" t="s">
        <v>23</v>
      </c>
      <c r="B250" s="1">
        <v>60</v>
      </c>
      <c r="C250" s="12">
        <f>+'Flow rate'!E249</f>
        <v>5.5259410000000004</v>
      </c>
      <c r="D250" s="1" t="s">
        <v>31</v>
      </c>
      <c r="E250" s="1" t="s">
        <v>32</v>
      </c>
      <c r="F250" s="1" t="s">
        <v>33</v>
      </c>
      <c r="G250" s="1">
        <v>-0.5</v>
      </c>
      <c r="H250" s="15">
        <v>46114.778032407405</v>
      </c>
      <c r="I250" s="2">
        <f t="shared" si="13"/>
        <v>2.0672222221037373</v>
      </c>
      <c r="P250" s="3"/>
      <c r="Q250" s="3"/>
      <c r="R250" s="3"/>
      <c r="S250" s="3"/>
    </row>
    <row r="251" spans="1:19">
      <c r="A251" s="1" t="s">
        <v>23</v>
      </c>
      <c r="B251" s="1">
        <v>60</v>
      </c>
      <c r="C251" s="12">
        <f>+'Flow rate'!E250</f>
        <v>5.5259410000000004</v>
      </c>
      <c r="D251" s="1" t="s">
        <v>31</v>
      </c>
      <c r="E251" s="1" t="s">
        <v>32</v>
      </c>
      <c r="F251" s="1" t="s">
        <v>33</v>
      </c>
      <c r="G251" s="1">
        <v>-0.5</v>
      </c>
      <c r="H251" s="15">
        <v>46114.778379629628</v>
      </c>
      <c r="I251" s="2">
        <f t="shared" si="13"/>
        <v>2.0755555554642342</v>
      </c>
      <c r="P251" s="3"/>
      <c r="Q251" s="3"/>
      <c r="R251" s="3"/>
      <c r="S251" s="3"/>
    </row>
    <row r="252" spans="1:19">
      <c r="A252" s="1" t="s">
        <v>23</v>
      </c>
      <c r="B252" s="1">
        <v>60</v>
      </c>
      <c r="C252" s="12">
        <f>+'Flow rate'!E251</f>
        <v>5.69834</v>
      </c>
      <c r="D252" s="1" t="s">
        <v>31</v>
      </c>
      <c r="E252" s="1" t="s">
        <v>32</v>
      </c>
      <c r="F252" s="1" t="s">
        <v>33</v>
      </c>
      <c r="G252" s="1">
        <v>-0.5</v>
      </c>
      <c r="H252" s="15">
        <v>46114.778726851851</v>
      </c>
      <c r="I252" s="2">
        <f t="shared" si="13"/>
        <v>2.0838888888247311</v>
      </c>
      <c r="P252" s="3"/>
      <c r="Q252" s="3"/>
      <c r="R252" s="3"/>
      <c r="S252" s="3"/>
    </row>
    <row r="253" spans="1:19">
      <c r="A253" s="1" t="s">
        <v>23</v>
      </c>
      <c r="B253" s="1">
        <v>60</v>
      </c>
      <c r="C253" s="12">
        <f>+'Flow rate'!E252</f>
        <v>5.69834</v>
      </c>
      <c r="D253" s="1" t="s">
        <v>31</v>
      </c>
      <c r="E253" s="1" t="s">
        <v>32</v>
      </c>
      <c r="F253" s="1" t="s">
        <v>33</v>
      </c>
      <c r="G253" s="1">
        <v>-0.5</v>
      </c>
      <c r="H253" s="15">
        <v>46114.779074074075</v>
      </c>
      <c r="I253" s="2">
        <f t="shared" si="13"/>
        <v>2.092222222185228</v>
      </c>
      <c r="P253" s="3"/>
      <c r="Q253" s="3"/>
      <c r="R253" s="3"/>
      <c r="S253" s="3"/>
    </row>
    <row r="254" spans="1:19">
      <c r="A254" s="1" t="s">
        <v>23</v>
      </c>
      <c r="B254" s="1">
        <v>60</v>
      </c>
      <c r="C254" s="12">
        <f>+'Flow rate'!E253</f>
        <v>5.3689070000000001</v>
      </c>
      <c r="D254" s="1" t="s">
        <v>31</v>
      </c>
      <c r="E254" s="1" t="s">
        <v>32</v>
      </c>
      <c r="F254" s="1" t="s">
        <v>33</v>
      </c>
      <c r="G254" s="1">
        <v>-0.5</v>
      </c>
      <c r="H254" s="15">
        <v>46114.779421296298</v>
      </c>
      <c r="I254" s="2">
        <f t="shared" si="13"/>
        <v>2.1005555555457249</v>
      </c>
      <c r="P254" s="3"/>
      <c r="Q254" s="3"/>
      <c r="R254" s="3"/>
      <c r="S254" s="3"/>
    </row>
    <row r="255" spans="1:19">
      <c r="A255" s="1" t="s">
        <v>23</v>
      </c>
      <c r="B255" s="1">
        <v>60</v>
      </c>
      <c r="C255" s="12">
        <f>+'Flow rate'!E254</f>
        <v>5.3689070000000001</v>
      </c>
      <c r="D255" s="1" t="s">
        <v>31</v>
      </c>
      <c r="E255" s="1" t="s">
        <v>32</v>
      </c>
      <c r="F255" s="1" t="s">
        <v>33</v>
      </c>
      <c r="G255" s="1">
        <v>-0.5</v>
      </c>
      <c r="H255" s="15">
        <v>46114.779768518521</v>
      </c>
      <c r="I255" s="2">
        <f t="shared" si="13"/>
        <v>2.1088888889062218</v>
      </c>
      <c r="P255" s="3"/>
      <c r="Q255" s="3"/>
      <c r="R255" s="3"/>
      <c r="S255" s="3"/>
    </row>
    <row r="256" spans="1:19">
      <c r="A256" s="1" t="s">
        <v>23</v>
      </c>
      <c r="B256" s="1">
        <v>60</v>
      </c>
      <c r="C256" s="12">
        <f>+'Flow rate'!E255</f>
        <v>5.3097200000000004</v>
      </c>
      <c r="D256" s="1" t="s">
        <v>31</v>
      </c>
      <c r="E256" s="1" t="s">
        <v>32</v>
      </c>
      <c r="F256" s="1" t="s">
        <v>33</v>
      </c>
      <c r="G256" s="1">
        <v>-0.5</v>
      </c>
      <c r="H256" s="15">
        <v>46114.780115740738</v>
      </c>
      <c r="I256" s="2">
        <f t="shared" si="13"/>
        <v>2.1172222220920958</v>
      </c>
      <c r="P256" s="3"/>
      <c r="Q256" s="3"/>
      <c r="R256" s="3"/>
      <c r="S256" s="3"/>
    </row>
    <row r="257" spans="1:19">
      <c r="A257" s="1" t="s">
        <v>23</v>
      </c>
      <c r="B257" s="1">
        <v>60</v>
      </c>
      <c r="C257" s="12">
        <f>+'Flow rate'!E256</f>
        <v>5.3097200000000004</v>
      </c>
      <c r="D257" s="1" t="s">
        <v>31</v>
      </c>
      <c r="E257" s="1" t="s">
        <v>32</v>
      </c>
      <c r="F257" s="1" t="s">
        <v>33</v>
      </c>
      <c r="G257" s="1">
        <v>-0.5</v>
      </c>
      <c r="H257" s="15">
        <v>46114.780462962961</v>
      </c>
      <c r="I257" s="2">
        <f t="shared" si="13"/>
        <v>2.1255555554525927</v>
      </c>
      <c r="P257" s="3"/>
      <c r="Q257" s="3"/>
      <c r="R257" s="3"/>
      <c r="S257" s="3"/>
    </row>
    <row r="258" spans="1:19">
      <c r="A258" s="1" t="s">
        <v>23</v>
      </c>
      <c r="B258" s="1">
        <v>60</v>
      </c>
      <c r="C258" s="12">
        <f>+'Flow rate'!E257</f>
        <v>5.5610840000000001</v>
      </c>
      <c r="D258" s="1" t="s">
        <v>31</v>
      </c>
      <c r="E258" s="1" t="s">
        <v>32</v>
      </c>
      <c r="F258" s="1" t="s">
        <v>33</v>
      </c>
      <c r="G258" s="1">
        <v>-0.5</v>
      </c>
      <c r="H258" s="15">
        <v>46114.780810185184</v>
      </c>
      <c r="I258" s="2">
        <f t="shared" si="13"/>
        <v>2.1338888888130896</v>
      </c>
      <c r="P258" s="3"/>
      <c r="Q258" s="3"/>
      <c r="R258" s="3"/>
      <c r="S258" s="3"/>
    </row>
    <row r="259" spans="1:19">
      <c r="A259" s="1" t="s">
        <v>23</v>
      </c>
      <c r="B259" s="1">
        <v>60</v>
      </c>
      <c r="C259" s="12">
        <f>+'Flow rate'!E258</f>
        <v>5.5610840000000001</v>
      </c>
      <c r="D259" s="1" t="s">
        <v>31</v>
      </c>
      <c r="E259" s="1" t="s">
        <v>32</v>
      </c>
      <c r="F259" s="1" t="s">
        <v>33</v>
      </c>
      <c r="G259" s="1">
        <v>-0.5</v>
      </c>
      <c r="H259" s="15">
        <v>46114.781157407408</v>
      </c>
      <c r="I259" s="2">
        <f t="shared" si="13"/>
        <v>2.1422222221735865</v>
      </c>
      <c r="P259" s="3"/>
      <c r="Q259" s="3"/>
      <c r="R259" s="3"/>
      <c r="S259" s="3"/>
    </row>
    <row r="260" spans="1:19">
      <c r="A260" s="1" t="s">
        <v>23</v>
      </c>
      <c r="B260" s="1">
        <v>60</v>
      </c>
      <c r="C260" s="12">
        <f>+'Flow rate'!E259</f>
        <v>5.6459279999999996</v>
      </c>
      <c r="D260" s="1" t="s">
        <v>31</v>
      </c>
      <c r="E260" s="1" t="s">
        <v>32</v>
      </c>
      <c r="F260" s="1" t="s">
        <v>33</v>
      </c>
      <c r="G260" s="1">
        <v>-0.5</v>
      </c>
      <c r="H260" s="15">
        <v>46114.781504629631</v>
      </c>
      <c r="I260" s="2">
        <f t="shared" ref="I260:I321" si="14">+(H260-H$2)*24</f>
        <v>2.1505555555340834</v>
      </c>
      <c r="P260" s="3"/>
      <c r="Q260" s="3"/>
      <c r="R260" s="3"/>
      <c r="S260" s="3"/>
    </row>
    <row r="261" spans="1:19">
      <c r="A261" s="1" t="s">
        <v>23</v>
      </c>
      <c r="B261" s="1">
        <v>60</v>
      </c>
      <c r="C261" s="12">
        <f>+'Flow rate'!E260</f>
        <v>5.6459279999999996</v>
      </c>
      <c r="D261" s="1" t="s">
        <v>31</v>
      </c>
      <c r="E261" s="1" t="s">
        <v>32</v>
      </c>
      <c r="F261" s="1" t="s">
        <v>33</v>
      </c>
      <c r="G261" s="1">
        <v>-0.5</v>
      </c>
      <c r="H261" s="15">
        <v>46114.781851851854</v>
      </c>
      <c r="I261" s="2">
        <f t="shared" si="14"/>
        <v>2.1588888888945803</v>
      </c>
      <c r="P261" s="3"/>
      <c r="Q261" s="3"/>
      <c r="R261" s="3"/>
      <c r="S261" s="3"/>
    </row>
    <row r="262" spans="1:19">
      <c r="A262" s="1" t="s">
        <v>23</v>
      </c>
      <c r="B262" s="1">
        <v>60</v>
      </c>
      <c r="C262" s="12">
        <f>+'Flow rate'!E261</f>
        <v>5.4369009999999998</v>
      </c>
      <c r="D262" s="1" t="s">
        <v>31</v>
      </c>
      <c r="E262" s="1" t="s">
        <v>32</v>
      </c>
      <c r="F262" s="1" t="s">
        <v>33</v>
      </c>
      <c r="G262" s="1">
        <v>-0.5</v>
      </c>
      <c r="H262" s="15">
        <v>46114.782199074078</v>
      </c>
      <c r="I262" s="2">
        <f t="shared" si="14"/>
        <v>2.1672222222550772</v>
      </c>
      <c r="P262" s="3"/>
      <c r="Q262" s="3"/>
      <c r="R262" s="3"/>
      <c r="S262" s="3"/>
    </row>
    <row r="263" spans="1:19">
      <c r="A263" s="1" t="s">
        <v>23</v>
      </c>
      <c r="B263" s="1">
        <v>60</v>
      </c>
      <c r="C263" s="12">
        <f>+'Flow rate'!E262</f>
        <v>5.4369009999999998</v>
      </c>
      <c r="D263" s="1" t="s">
        <v>31</v>
      </c>
      <c r="E263" s="1" t="s">
        <v>32</v>
      </c>
      <c r="F263" s="1" t="s">
        <v>33</v>
      </c>
      <c r="G263" s="1">
        <v>-0.5</v>
      </c>
      <c r="H263" s="15">
        <v>46114.782546296294</v>
      </c>
      <c r="I263" s="2">
        <f t="shared" si="14"/>
        <v>2.1755555554409511</v>
      </c>
      <c r="P263" s="3"/>
      <c r="Q263" s="3"/>
      <c r="R263" s="3"/>
      <c r="S263" s="3"/>
    </row>
    <row r="264" spans="1:19">
      <c r="A264" s="1" t="s">
        <v>23</v>
      </c>
      <c r="B264" s="1">
        <v>60</v>
      </c>
      <c r="C264" s="12">
        <f>+'Flow rate'!E263</f>
        <v>5.5306740000000003</v>
      </c>
      <c r="D264" s="1" t="s">
        <v>31</v>
      </c>
      <c r="E264" s="1" t="s">
        <v>32</v>
      </c>
      <c r="F264" s="1" t="s">
        <v>33</v>
      </c>
      <c r="G264" s="1">
        <v>-0.5</v>
      </c>
      <c r="H264" s="15">
        <v>46114.782893518517</v>
      </c>
      <c r="I264" s="2">
        <f t="shared" si="14"/>
        <v>2.183888888801448</v>
      </c>
      <c r="P264" s="3"/>
      <c r="Q264" s="3"/>
      <c r="R264" s="3"/>
      <c r="S264" s="3"/>
    </row>
    <row r="265" spans="1:19">
      <c r="A265" s="1" t="s">
        <v>23</v>
      </c>
      <c r="B265" s="1">
        <v>60</v>
      </c>
      <c r="C265" s="12">
        <f>+'Flow rate'!E264</f>
        <v>5.5306740000000003</v>
      </c>
      <c r="D265" s="1" t="s">
        <v>31</v>
      </c>
      <c r="E265" s="1" t="s">
        <v>32</v>
      </c>
      <c r="F265" s="1" t="s">
        <v>33</v>
      </c>
      <c r="G265" s="1">
        <v>-0.5</v>
      </c>
      <c r="H265" s="15">
        <v>46114.78324074074</v>
      </c>
      <c r="I265" s="2">
        <f t="shared" si="14"/>
        <v>2.192222222161945</v>
      </c>
      <c r="P265" s="3"/>
      <c r="Q265" s="3"/>
      <c r="R265" s="3"/>
      <c r="S265" s="3"/>
    </row>
    <row r="266" spans="1:19">
      <c r="A266" s="1" t="s">
        <v>23</v>
      </c>
      <c r="B266" s="1">
        <v>60</v>
      </c>
      <c r="C266" s="12">
        <f>+'Flow rate'!E265</f>
        <v>5.6062620000000001</v>
      </c>
      <c r="D266" s="1" t="s">
        <v>31</v>
      </c>
      <c r="E266" s="1" t="s">
        <v>32</v>
      </c>
      <c r="F266" s="1" t="s">
        <v>33</v>
      </c>
      <c r="G266" s="1">
        <v>-0.5</v>
      </c>
      <c r="H266" s="15">
        <v>46114.783587962964</v>
      </c>
      <c r="I266" s="2">
        <f t="shared" si="14"/>
        <v>2.2005555555224419</v>
      </c>
      <c r="P266" s="3"/>
      <c r="Q266" s="3"/>
      <c r="R266" s="3"/>
      <c r="S266" s="3"/>
    </row>
    <row r="267" spans="1:19">
      <c r="A267" s="1" t="s">
        <v>23</v>
      </c>
      <c r="B267" s="1">
        <v>60</v>
      </c>
      <c r="C267" s="12">
        <f>+'Flow rate'!E266</f>
        <v>5.6062620000000001</v>
      </c>
      <c r="D267" s="1" t="s">
        <v>31</v>
      </c>
      <c r="E267" s="1" t="s">
        <v>32</v>
      </c>
      <c r="F267" s="1" t="s">
        <v>33</v>
      </c>
      <c r="G267" s="1">
        <v>-0.5</v>
      </c>
      <c r="H267" s="15">
        <v>46114.783935185187</v>
      </c>
      <c r="I267" s="2">
        <f t="shared" si="14"/>
        <v>2.2088888888829388</v>
      </c>
      <c r="P267" s="3"/>
      <c r="Q267" s="3"/>
      <c r="R267" s="3"/>
      <c r="S267" s="3"/>
    </row>
    <row r="268" spans="1:19">
      <c r="A268" s="1" t="s">
        <v>23</v>
      </c>
      <c r="B268" s="1">
        <v>60</v>
      </c>
      <c r="C268" s="12">
        <f>+'Flow rate'!E267</f>
        <v>5.3520620000000001</v>
      </c>
      <c r="D268" s="1" t="s">
        <v>31</v>
      </c>
      <c r="E268" s="1" t="s">
        <v>32</v>
      </c>
      <c r="F268" s="1" t="s">
        <v>33</v>
      </c>
      <c r="G268" s="1">
        <v>-0.5</v>
      </c>
      <c r="H268" s="15">
        <v>46114.784282407411</v>
      </c>
      <c r="I268" s="2">
        <f t="shared" si="14"/>
        <v>2.2172222222434357</v>
      </c>
      <c r="P268" s="3"/>
      <c r="Q268" s="3"/>
      <c r="R268" s="3"/>
      <c r="S268" s="3"/>
    </row>
    <row r="269" spans="1:19">
      <c r="A269" s="1" t="s">
        <v>23</v>
      </c>
      <c r="B269" s="1">
        <v>60</v>
      </c>
      <c r="C269" s="12">
        <f>+'Flow rate'!E268</f>
        <v>5.3520620000000001</v>
      </c>
      <c r="D269" s="1" t="s">
        <v>31</v>
      </c>
      <c r="E269" s="1" t="s">
        <v>32</v>
      </c>
      <c r="F269" s="1" t="s">
        <v>33</v>
      </c>
      <c r="G269" s="1">
        <v>-0.5</v>
      </c>
      <c r="H269" s="15">
        <v>46114.784629629627</v>
      </c>
      <c r="I269" s="2">
        <f t="shared" si="14"/>
        <v>2.2255555554293096</v>
      </c>
      <c r="P269" s="3"/>
      <c r="Q269" s="3"/>
      <c r="R269" s="3"/>
      <c r="S269" s="3"/>
    </row>
    <row r="270" spans="1:19">
      <c r="A270" s="1" t="s">
        <v>23</v>
      </c>
      <c r="B270" s="1">
        <v>60</v>
      </c>
      <c r="C270" s="12">
        <f>+'Flow rate'!E269</f>
        <v>5.4854880000000001</v>
      </c>
      <c r="D270" s="1" t="s">
        <v>31</v>
      </c>
      <c r="E270" s="1" t="s">
        <v>32</v>
      </c>
      <c r="F270" s="1" t="s">
        <v>33</v>
      </c>
      <c r="G270" s="1">
        <v>-0.5</v>
      </c>
      <c r="H270" s="15">
        <v>46114.78497685185</v>
      </c>
      <c r="I270" s="2">
        <f t="shared" si="14"/>
        <v>2.2338888887898065</v>
      </c>
      <c r="P270" s="3"/>
      <c r="Q270" s="3"/>
      <c r="R270" s="3"/>
      <c r="S270" s="3"/>
    </row>
    <row r="271" spans="1:19">
      <c r="A271" s="1" t="s">
        <v>23</v>
      </c>
      <c r="B271" s="1">
        <v>60</v>
      </c>
      <c r="C271" s="12">
        <f>+'Flow rate'!E270</f>
        <v>5.4854880000000001</v>
      </c>
      <c r="D271" s="1" t="s">
        <v>31</v>
      </c>
      <c r="E271" s="1" t="s">
        <v>32</v>
      </c>
      <c r="F271" s="1" t="s">
        <v>33</v>
      </c>
      <c r="G271" s="1">
        <v>-0.5</v>
      </c>
      <c r="H271" s="15">
        <v>46114.78533564815</v>
      </c>
      <c r="I271" s="2">
        <f t="shared" si="14"/>
        <v>2.2424999999930151</v>
      </c>
      <c r="P271" s="3"/>
      <c r="Q271" s="3"/>
      <c r="R271" s="3"/>
      <c r="S271" s="3"/>
    </row>
    <row r="272" spans="1:19">
      <c r="A272" s="1" t="s">
        <v>23</v>
      </c>
      <c r="B272" s="1">
        <v>60</v>
      </c>
      <c r="C272" s="12">
        <f>+'Flow rate'!E271</f>
        <v>5.3342919999999996</v>
      </c>
      <c r="D272" s="1" t="s">
        <v>31</v>
      </c>
      <c r="E272" s="1" t="s">
        <v>32</v>
      </c>
      <c r="F272" s="1" t="s">
        <v>33</v>
      </c>
      <c r="G272" s="1">
        <v>-0.5</v>
      </c>
      <c r="H272" s="15">
        <v>46114.785682870373</v>
      </c>
      <c r="I272" s="2">
        <f t="shared" si="14"/>
        <v>2.250833333353512</v>
      </c>
      <c r="P272" s="3"/>
      <c r="Q272" s="3"/>
      <c r="R272" s="3"/>
      <c r="S272" s="3"/>
    </row>
    <row r="273" spans="1:19">
      <c r="A273" s="1" t="s">
        <v>23</v>
      </c>
      <c r="B273" s="1">
        <v>60</v>
      </c>
      <c r="C273" s="12">
        <f>+'Flow rate'!E272</f>
        <v>5.3342919999999996</v>
      </c>
      <c r="D273" s="1" t="s">
        <v>31</v>
      </c>
      <c r="E273" s="1" t="s">
        <v>32</v>
      </c>
      <c r="F273" s="1" t="s">
        <v>33</v>
      </c>
      <c r="G273" s="1">
        <v>-0.5</v>
      </c>
      <c r="H273" s="15">
        <v>46114.786030092589</v>
      </c>
      <c r="I273" s="2">
        <f t="shared" si="14"/>
        <v>2.2591666665393859</v>
      </c>
      <c r="P273" s="3"/>
      <c r="Q273" s="3"/>
      <c r="R273" s="3"/>
      <c r="S273" s="3"/>
    </row>
    <row r="274" spans="1:19">
      <c r="A274" s="1" t="s">
        <v>23</v>
      </c>
      <c r="B274" s="1">
        <v>60</v>
      </c>
      <c r="C274" s="12">
        <f>+'Flow rate'!E273</f>
        <v>5.3254330000000003</v>
      </c>
      <c r="D274" s="1" t="s">
        <v>31</v>
      </c>
      <c r="E274" s="1" t="s">
        <v>32</v>
      </c>
      <c r="F274" s="1" t="s">
        <v>33</v>
      </c>
      <c r="G274" s="1">
        <v>-0.5</v>
      </c>
      <c r="H274" s="15">
        <v>46114.786377314813</v>
      </c>
      <c r="I274" s="2">
        <f t="shared" si="14"/>
        <v>2.2674999998998828</v>
      </c>
      <c r="P274" s="3"/>
      <c r="Q274" s="3"/>
      <c r="R274" s="3"/>
      <c r="S274" s="3"/>
    </row>
    <row r="275" spans="1:19">
      <c r="A275" s="1" t="s">
        <v>23</v>
      </c>
      <c r="B275" s="1">
        <v>60</v>
      </c>
      <c r="C275" s="12">
        <f>+'Flow rate'!E274</f>
        <v>5.3254330000000003</v>
      </c>
      <c r="D275" s="1" t="s">
        <v>31</v>
      </c>
      <c r="E275" s="1" t="s">
        <v>32</v>
      </c>
      <c r="F275" s="1" t="s">
        <v>33</v>
      </c>
      <c r="G275" s="1">
        <v>-0.5</v>
      </c>
      <c r="H275" s="15">
        <v>46114.786724537036</v>
      </c>
      <c r="I275" s="2">
        <f t="shared" si="14"/>
        <v>2.2758333332603797</v>
      </c>
      <c r="P275" s="3"/>
      <c r="Q275" s="3"/>
      <c r="R275" s="3"/>
      <c r="S275" s="3"/>
    </row>
    <row r="276" spans="1:19">
      <c r="A276" s="1" t="s">
        <v>23</v>
      </c>
      <c r="B276" s="1">
        <v>60</v>
      </c>
      <c r="C276" s="12">
        <f>+'Flow rate'!E275</f>
        <v>5.5564819999999999</v>
      </c>
      <c r="D276" s="1" t="s">
        <v>31</v>
      </c>
      <c r="E276" s="1" t="s">
        <v>32</v>
      </c>
      <c r="F276" s="1" t="s">
        <v>33</v>
      </c>
      <c r="G276" s="1">
        <v>-0.5</v>
      </c>
      <c r="H276" s="15">
        <v>46114.78707175926</v>
      </c>
      <c r="I276" s="2">
        <f t="shared" si="14"/>
        <v>2.2841666666208766</v>
      </c>
      <c r="P276" s="3"/>
      <c r="Q276" s="3"/>
      <c r="R276" s="3"/>
      <c r="S276" s="3"/>
    </row>
    <row r="277" spans="1:19">
      <c r="A277" s="1" t="s">
        <v>23</v>
      </c>
      <c r="B277" s="1">
        <v>60</v>
      </c>
      <c r="C277" s="12">
        <f>+'Flow rate'!E276</f>
        <v>5.5564819999999999</v>
      </c>
      <c r="D277" s="1" t="s">
        <v>31</v>
      </c>
      <c r="E277" s="1" t="s">
        <v>32</v>
      </c>
      <c r="F277" s="1" t="s">
        <v>33</v>
      </c>
      <c r="G277" s="1">
        <v>-0.5</v>
      </c>
      <c r="H277" s="15">
        <v>46114.787418981483</v>
      </c>
      <c r="I277" s="2">
        <f t="shared" si="14"/>
        <v>2.2924999999813735</v>
      </c>
      <c r="P277" s="3"/>
      <c r="Q277" s="3"/>
      <c r="R277" s="3"/>
      <c r="S277" s="3"/>
    </row>
    <row r="278" spans="1:19">
      <c r="A278" s="1" t="s">
        <v>23</v>
      </c>
      <c r="B278" s="1">
        <v>60</v>
      </c>
      <c r="C278" s="12">
        <f>+'Flow rate'!E277</f>
        <v>5.3892699999999998</v>
      </c>
      <c r="D278" s="1" t="s">
        <v>31</v>
      </c>
      <c r="E278" s="1" t="s">
        <v>32</v>
      </c>
      <c r="F278" s="1" t="s">
        <v>33</v>
      </c>
      <c r="G278" s="1">
        <v>-0.5</v>
      </c>
      <c r="H278" s="15">
        <v>46114.787766203706</v>
      </c>
      <c r="I278" s="2">
        <f t="shared" si="14"/>
        <v>2.3008333333418705</v>
      </c>
      <c r="P278" s="3"/>
      <c r="Q278" s="3"/>
      <c r="R278" s="3"/>
      <c r="S278" s="3"/>
    </row>
    <row r="279" spans="1:19">
      <c r="A279" s="1" t="s">
        <v>23</v>
      </c>
      <c r="B279" s="1">
        <v>60</v>
      </c>
      <c r="C279" s="12">
        <f>+'Flow rate'!E278</f>
        <v>5.3892699999999998</v>
      </c>
      <c r="D279" s="1" t="s">
        <v>31</v>
      </c>
      <c r="E279" s="1" t="s">
        <v>32</v>
      </c>
      <c r="F279" s="1" t="s">
        <v>33</v>
      </c>
      <c r="G279" s="1">
        <v>-0.5</v>
      </c>
      <c r="H279" s="15">
        <v>46114.788113425922</v>
      </c>
      <c r="I279" s="2">
        <f t="shared" si="14"/>
        <v>2.3091666665277444</v>
      </c>
      <c r="P279" s="3"/>
      <c r="Q279" s="3"/>
      <c r="R279" s="3"/>
      <c r="S279" s="3"/>
    </row>
    <row r="280" spans="1:19">
      <c r="A280" s="1" t="s">
        <v>23</v>
      </c>
      <c r="B280" s="1">
        <v>60</v>
      </c>
      <c r="C280" s="12">
        <f>+'Flow rate'!E279</f>
        <v>5.522043</v>
      </c>
      <c r="D280" s="1" t="s">
        <v>31</v>
      </c>
      <c r="E280" s="1" t="s">
        <v>32</v>
      </c>
      <c r="F280" s="1" t="s">
        <v>33</v>
      </c>
      <c r="G280" s="1">
        <v>-0.5</v>
      </c>
      <c r="H280" s="15">
        <v>46114.788460648146</v>
      </c>
      <c r="I280" s="2">
        <f t="shared" si="14"/>
        <v>2.3174999998882413</v>
      </c>
      <c r="P280" s="3"/>
      <c r="Q280" s="3"/>
      <c r="R280" s="3"/>
      <c r="S280" s="3"/>
    </row>
    <row r="281" spans="1:19">
      <c r="A281" s="1" t="s">
        <v>23</v>
      </c>
      <c r="B281" s="1">
        <v>60</v>
      </c>
      <c r="C281" s="12">
        <f>+'Flow rate'!E280</f>
        <v>5.522043</v>
      </c>
      <c r="D281" s="1" t="s">
        <v>31</v>
      </c>
      <c r="E281" s="1" t="s">
        <v>32</v>
      </c>
      <c r="F281" s="1" t="s">
        <v>33</v>
      </c>
      <c r="G281" s="1">
        <v>-0.5</v>
      </c>
      <c r="H281" s="15">
        <v>46114.788807870369</v>
      </c>
      <c r="I281" s="2">
        <f t="shared" si="14"/>
        <v>2.3258333332487382</v>
      </c>
      <c r="P281" s="3"/>
      <c r="Q281" s="3"/>
      <c r="R281" s="3"/>
      <c r="S281" s="3"/>
    </row>
    <row r="282" spans="1:19">
      <c r="A282" s="1" t="s">
        <v>23</v>
      </c>
      <c r="B282" s="1">
        <v>60</v>
      </c>
      <c r="C282" s="12">
        <f>+'Flow rate'!E281</f>
        <v>5.3637329999999999</v>
      </c>
      <c r="D282" s="1" t="s">
        <v>31</v>
      </c>
      <c r="E282" s="1" t="s">
        <v>32</v>
      </c>
      <c r="F282" s="1" t="s">
        <v>33</v>
      </c>
      <c r="G282" s="1">
        <v>-0.5</v>
      </c>
      <c r="H282" s="15">
        <v>46114.789155092592</v>
      </c>
      <c r="I282" s="2">
        <f t="shared" si="14"/>
        <v>2.3341666666092351</v>
      </c>
      <c r="P282" s="3"/>
      <c r="Q282" s="3"/>
      <c r="R282" s="3"/>
      <c r="S282" s="3"/>
    </row>
    <row r="283" spans="1:19">
      <c r="A283" s="1" t="s">
        <v>23</v>
      </c>
      <c r="B283" s="1">
        <v>60</v>
      </c>
      <c r="C283" s="12">
        <f>+'Flow rate'!E282</f>
        <v>5.3637329999999999</v>
      </c>
      <c r="D283" s="1" t="s">
        <v>31</v>
      </c>
      <c r="E283" s="1" t="s">
        <v>32</v>
      </c>
      <c r="F283" s="1" t="s">
        <v>33</v>
      </c>
      <c r="G283" s="1">
        <v>-0.5</v>
      </c>
      <c r="H283" s="15">
        <v>46114.789502314816</v>
      </c>
      <c r="I283" s="2">
        <f t="shared" si="14"/>
        <v>2.342499999969732</v>
      </c>
      <c r="P283" s="3"/>
      <c r="Q283" s="3"/>
      <c r="R283" s="3"/>
      <c r="S283" s="3"/>
    </row>
    <row r="284" spans="1:19">
      <c r="A284" s="1" t="s">
        <v>23</v>
      </c>
      <c r="B284" s="1">
        <v>60</v>
      </c>
      <c r="C284" s="12">
        <f>+'Flow rate'!E283</f>
        <v>6.2596360000000004</v>
      </c>
      <c r="D284" s="1" t="s">
        <v>31</v>
      </c>
      <c r="E284" s="1" t="s">
        <v>32</v>
      </c>
      <c r="F284" s="1" t="s">
        <v>33</v>
      </c>
      <c r="G284" s="1">
        <v>-0.5</v>
      </c>
      <c r="H284" s="15">
        <v>46114.789849537039</v>
      </c>
      <c r="I284" s="2">
        <f t="shared" si="14"/>
        <v>2.3508333333302289</v>
      </c>
      <c r="P284" s="3"/>
      <c r="Q284" s="3"/>
      <c r="R284" s="3"/>
      <c r="S284" s="3"/>
    </row>
    <row r="285" spans="1:19">
      <c r="A285" s="1" t="s">
        <v>23</v>
      </c>
      <c r="B285" s="1">
        <v>60</v>
      </c>
      <c r="C285" s="12">
        <f>+'Flow rate'!E284</f>
        <v>6.2596360000000004</v>
      </c>
      <c r="D285" s="1" t="s">
        <v>31</v>
      </c>
      <c r="E285" s="1" t="s">
        <v>32</v>
      </c>
      <c r="F285" s="1" t="s">
        <v>33</v>
      </c>
      <c r="G285" s="1">
        <v>-0.5</v>
      </c>
      <c r="H285" s="15">
        <v>46114.790196759262</v>
      </c>
      <c r="I285" s="2">
        <f t="shared" si="14"/>
        <v>2.3591666666907258</v>
      </c>
      <c r="P285" s="3"/>
      <c r="Q285" s="3"/>
      <c r="R285" s="3"/>
      <c r="S285" s="3"/>
    </row>
    <row r="286" spans="1:19">
      <c r="A286" s="1" t="s">
        <v>23</v>
      </c>
      <c r="B286" s="1">
        <v>60</v>
      </c>
      <c r="C286" s="12">
        <f>+'Flow rate'!E285</f>
        <v>6.7722899999999999</v>
      </c>
      <c r="D286" s="1" t="s">
        <v>31</v>
      </c>
      <c r="E286" s="1" t="s">
        <v>32</v>
      </c>
      <c r="F286" s="1" t="s">
        <v>33</v>
      </c>
      <c r="G286" s="1">
        <v>-0.5</v>
      </c>
      <c r="H286" s="15">
        <v>46114.790543981479</v>
      </c>
      <c r="I286" s="2">
        <f t="shared" si="14"/>
        <v>2.3674999998765998</v>
      </c>
      <c r="P286" s="3"/>
      <c r="Q286" s="3"/>
      <c r="R286" s="3"/>
      <c r="S286" s="3"/>
    </row>
    <row r="287" spans="1:19">
      <c r="A287" s="1" t="s">
        <v>23</v>
      </c>
      <c r="B287" s="1">
        <v>60</v>
      </c>
      <c r="C287" s="12">
        <f>+'Flow rate'!E286</f>
        <v>6.7722899999999999</v>
      </c>
      <c r="D287" s="1" t="s">
        <v>31</v>
      </c>
      <c r="E287" s="1" t="s">
        <v>32</v>
      </c>
      <c r="F287" s="1" t="s">
        <v>33</v>
      </c>
      <c r="G287" s="1">
        <v>-0.5</v>
      </c>
      <c r="H287" s="15">
        <v>46114.790891203702</v>
      </c>
      <c r="I287" s="2">
        <f t="shared" si="14"/>
        <v>2.3758333332370967</v>
      </c>
      <c r="P287" s="3"/>
      <c r="Q287" s="3"/>
      <c r="R287" s="3"/>
      <c r="S287" s="3"/>
    </row>
    <row r="288" spans="1:19">
      <c r="A288" s="1" t="s">
        <v>23</v>
      </c>
      <c r="B288" s="1">
        <v>60</v>
      </c>
      <c r="C288" s="12">
        <f>+'Flow rate'!E287</f>
        <v>6.7901389999999999</v>
      </c>
      <c r="D288" s="1" t="s">
        <v>31</v>
      </c>
      <c r="E288" s="1" t="s">
        <v>32</v>
      </c>
      <c r="F288" s="1" t="s">
        <v>33</v>
      </c>
      <c r="G288" s="1">
        <v>-0.5</v>
      </c>
      <c r="H288" s="15">
        <v>46114.791238425925</v>
      </c>
      <c r="I288" s="2">
        <f t="shared" si="14"/>
        <v>2.3841666665975936</v>
      </c>
      <c r="P288" s="3"/>
      <c r="Q288" s="3"/>
      <c r="R288" s="3"/>
      <c r="S288" s="3"/>
    </row>
    <row r="289" spans="1:19">
      <c r="A289" s="1" t="s">
        <v>23</v>
      </c>
      <c r="B289" s="1">
        <v>60</v>
      </c>
      <c r="C289" s="12">
        <f>+'Flow rate'!E288</f>
        <v>6.7901389999999999</v>
      </c>
      <c r="D289" s="1" t="s">
        <v>31</v>
      </c>
      <c r="E289" s="1" t="s">
        <v>32</v>
      </c>
      <c r="F289" s="1" t="s">
        <v>33</v>
      </c>
      <c r="G289" s="1">
        <v>-0.5</v>
      </c>
      <c r="H289" s="15">
        <v>46114.791585648149</v>
      </c>
      <c r="I289" s="2">
        <f t="shared" si="14"/>
        <v>2.3924999999580905</v>
      </c>
      <c r="P289" s="3"/>
      <c r="Q289" s="3"/>
      <c r="R289" s="3"/>
      <c r="S289" s="3"/>
    </row>
    <row r="290" spans="1:19">
      <c r="A290" s="1" t="s">
        <v>23</v>
      </c>
      <c r="B290" s="1">
        <v>60</v>
      </c>
      <c r="C290" s="12">
        <f>+'Flow rate'!E289</f>
        <v>6.545579</v>
      </c>
      <c r="D290" s="1" t="s">
        <v>31</v>
      </c>
      <c r="E290" s="1" t="s">
        <v>32</v>
      </c>
      <c r="F290" s="1" t="s">
        <v>33</v>
      </c>
      <c r="G290" s="1">
        <v>-0.5</v>
      </c>
      <c r="H290" s="15">
        <v>46114.791932870372</v>
      </c>
      <c r="I290" s="2">
        <f t="shared" si="14"/>
        <v>2.4008333333185874</v>
      </c>
      <c r="P290" s="3"/>
      <c r="Q290" s="3"/>
      <c r="R290" s="3"/>
      <c r="S290" s="3"/>
    </row>
    <row r="291" spans="1:19">
      <c r="A291" s="1" t="s">
        <v>23</v>
      </c>
      <c r="B291" s="1">
        <v>60</v>
      </c>
      <c r="C291" s="12">
        <f>+'Flow rate'!E290</f>
        <v>6.545579</v>
      </c>
      <c r="D291" s="1" t="s">
        <v>31</v>
      </c>
      <c r="E291" s="1" t="s">
        <v>32</v>
      </c>
      <c r="F291" s="1" t="s">
        <v>33</v>
      </c>
      <c r="G291" s="1">
        <v>-0.5</v>
      </c>
      <c r="H291" s="15">
        <v>46114.792280092595</v>
      </c>
      <c r="I291" s="2">
        <f t="shared" si="14"/>
        <v>2.4091666666790843</v>
      </c>
      <c r="P291" s="3"/>
      <c r="Q291" s="3"/>
      <c r="R291" s="3"/>
      <c r="S291" s="3"/>
    </row>
    <row r="292" spans="1:19">
      <c r="A292" s="1" t="s">
        <v>23</v>
      </c>
      <c r="B292" s="1">
        <v>60</v>
      </c>
      <c r="C292" s="12">
        <f>+'Flow rate'!E291</f>
        <v>6.5873629999999999</v>
      </c>
      <c r="D292" s="1" t="s">
        <v>31</v>
      </c>
      <c r="E292" s="1" t="s">
        <v>32</v>
      </c>
      <c r="F292" s="1" t="s">
        <v>33</v>
      </c>
      <c r="G292" s="1">
        <v>-0.5</v>
      </c>
      <c r="H292" s="15">
        <v>46114.792627314811</v>
      </c>
      <c r="I292" s="2">
        <f t="shared" si="14"/>
        <v>2.4174999998649582</v>
      </c>
      <c r="P292" s="3"/>
      <c r="Q292" s="3"/>
      <c r="R292" s="3"/>
      <c r="S292" s="3"/>
    </row>
    <row r="293" spans="1:19">
      <c r="A293" s="1" t="s">
        <v>23</v>
      </c>
      <c r="B293" s="1">
        <v>60</v>
      </c>
      <c r="C293" s="12">
        <f>+'Flow rate'!E292</f>
        <v>6.5873629999999999</v>
      </c>
      <c r="D293" s="1" t="s">
        <v>31</v>
      </c>
      <c r="E293" s="1" t="s">
        <v>32</v>
      </c>
      <c r="F293" s="1" t="s">
        <v>33</v>
      </c>
      <c r="G293" s="1">
        <v>-0.5</v>
      </c>
      <c r="H293" s="15">
        <v>46114.792974537035</v>
      </c>
      <c r="I293" s="2">
        <f t="shared" si="14"/>
        <v>2.4258333332254551</v>
      </c>
      <c r="P293" s="3"/>
      <c r="Q293" s="3"/>
      <c r="R293" s="3"/>
      <c r="S293" s="3"/>
    </row>
    <row r="294" spans="1:19">
      <c r="A294" s="1" t="s">
        <v>23</v>
      </c>
      <c r="B294" s="1">
        <v>60</v>
      </c>
      <c r="C294" s="12">
        <f>+'Flow rate'!E293</f>
        <v>6.6613920000000002</v>
      </c>
      <c r="D294" s="1" t="s">
        <v>31</v>
      </c>
      <c r="E294" s="1" t="s">
        <v>32</v>
      </c>
      <c r="F294" s="1" t="s">
        <v>33</v>
      </c>
      <c r="G294" s="1">
        <v>-0.5</v>
      </c>
      <c r="H294" s="15">
        <v>46114.793321759258</v>
      </c>
      <c r="I294" s="2">
        <f t="shared" si="14"/>
        <v>2.434166666585952</v>
      </c>
      <c r="P294" s="3"/>
      <c r="Q294" s="3"/>
      <c r="R294" s="3"/>
      <c r="S294" s="3"/>
    </row>
    <row r="295" spans="1:19">
      <c r="A295" s="1" t="s">
        <v>23</v>
      </c>
      <c r="B295" s="1">
        <v>60</v>
      </c>
      <c r="C295" s="12">
        <f>+'Flow rate'!E294</f>
        <v>6.6613920000000002</v>
      </c>
      <c r="D295" s="1" t="s">
        <v>31</v>
      </c>
      <c r="E295" s="1" t="s">
        <v>32</v>
      </c>
      <c r="F295" s="1" t="s">
        <v>33</v>
      </c>
      <c r="G295" s="1">
        <v>-0.5</v>
      </c>
      <c r="H295" s="15">
        <v>46114.793668981481</v>
      </c>
      <c r="I295" s="2">
        <f t="shared" si="14"/>
        <v>2.442499999946449</v>
      </c>
      <c r="P295" s="3"/>
      <c r="Q295" s="3"/>
      <c r="R295" s="3"/>
      <c r="S295" s="3"/>
    </row>
    <row r="296" spans="1:19">
      <c r="A296" s="1" t="s">
        <v>23</v>
      </c>
      <c r="B296" s="1">
        <v>60</v>
      </c>
      <c r="C296" s="12">
        <f>+'Flow rate'!E295</f>
        <v>6.7643180000000003</v>
      </c>
      <c r="D296" s="1" t="s">
        <v>31</v>
      </c>
      <c r="E296" s="1" t="s">
        <v>32</v>
      </c>
      <c r="F296" s="1" t="s">
        <v>33</v>
      </c>
      <c r="G296" s="1">
        <v>-0.5</v>
      </c>
      <c r="H296" s="15">
        <v>46114.794016203705</v>
      </c>
      <c r="I296" s="2">
        <f t="shared" si="14"/>
        <v>2.4508333333069459</v>
      </c>
      <c r="P296" s="3"/>
      <c r="Q296" s="3"/>
      <c r="R296" s="3"/>
      <c r="S296" s="3"/>
    </row>
    <row r="297" spans="1:19">
      <c r="A297" s="1" t="s">
        <v>23</v>
      </c>
      <c r="B297" s="1">
        <v>60</v>
      </c>
      <c r="C297" s="12">
        <f>+'Flow rate'!E296</f>
        <v>6.7643180000000003</v>
      </c>
      <c r="D297" s="1" t="s">
        <v>31</v>
      </c>
      <c r="E297" s="1" t="s">
        <v>32</v>
      </c>
      <c r="F297" s="1" t="s">
        <v>33</v>
      </c>
      <c r="G297" s="1">
        <v>-0.5</v>
      </c>
      <c r="H297" s="15">
        <v>46114.794363425928</v>
      </c>
      <c r="I297" s="2">
        <f t="shared" si="14"/>
        <v>2.4591666666674428</v>
      </c>
      <c r="P297" s="3"/>
      <c r="Q297" s="3"/>
      <c r="R297" s="3"/>
      <c r="S297" s="3"/>
    </row>
    <row r="298" spans="1:19">
      <c r="A298" s="1" t="s">
        <v>23</v>
      </c>
      <c r="B298" s="1">
        <v>60</v>
      </c>
      <c r="C298" s="12">
        <f>+'Flow rate'!E297</f>
        <v>6.5460580000000004</v>
      </c>
      <c r="D298" s="1" t="s">
        <v>31</v>
      </c>
      <c r="E298" s="1" t="s">
        <v>32</v>
      </c>
      <c r="F298" s="1" t="s">
        <v>33</v>
      </c>
      <c r="G298" s="1">
        <v>-0.5</v>
      </c>
      <c r="H298" s="15">
        <v>46114.794710648152</v>
      </c>
      <c r="I298" s="2">
        <f t="shared" si="14"/>
        <v>2.4675000000279397</v>
      </c>
      <c r="P298" s="3"/>
      <c r="Q298" s="3"/>
      <c r="R298" s="3"/>
      <c r="S298" s="3"/>
    </row>
    <row r="299" spans="1:19">
      <c r="A299" s="1" t="s">
        <v>23</v>
      </c>
      <c r="B299" s="1">
        <v>60</v>
      </c>
      <c r="C299" s="12">
        <f>+'Flow rate'!E298</f>
        <v>6.5460580000000004</v>
      </c>
      <c r="D299" s="1" t="s">
        <v>31</v>
      </c>
      <c r="E299" s="1" t="s">
        <v>32</v>
      </c>
      <c r="F299" s="1" t="s">
        <v>33</v>
      </c>
      <c r="G299" s="1">
        <v>-0.5</v>
      </c>
      <c r="H299" s="15">
        <v>46114.795057870368</v>
      </c>
      <c r="I299" s="2">
        <f t="shared" si="14"/>
        <v>2.4758333332138136</v>
      </c>
      <c r="P299" s="3"/>
      <c r="Q299" s="3"/>
      <c r="R299" s="3"/>
      <c r="S299" s="3"/>
    </row>
    <row r="300" spans="1:19">
      <c r="A300" s="1" t="s">
        <v>23</v>
      </c>
      <c r="B300" s="1">
        <v>60</v>
      </c>
      <c r="C300" s="12">
        <f>+'Flow rate'!E299</f>
        <v>6.5774229999999996</v>
      </c>
      <c r="D300" s="1" t="s">
        <v>31</v>
      </c>
      <c r="E300" s="1" t="s">
        <v>32</v>
      </c>
      <c r="F300" s="1" t="s">
        <v>33</v>
      </c>
      <c r="G300" s="1">
        <v>-0.5</v>
      </c>
      <c r="H300" s="15">
        <v>46114.795405092591</v>
      </c>
      <c r="I300" s="2">
        <f t="shared" si="14"/>
        <v>2.4841666665743105</v>
      </c>
      <c r="P300" s="3"/>
      <c r="Q300" s="3"/>
      <c r="R300" s="3"/>
      <c r="S300" s="3"/>
    </row>
    <row r="301" spans="1:19">
      <c r="A301" s="1" t="s">
        <v>23</v>
      </c>
      <c r="B301" s="1">
        <v>60</v>
      </c>
      <c r="C301" s="12">
        <f>+'Flow rate'!E300</f>
        <v>6.5774229999999996</v>
      </c>
      <c r="D301" s="1" t="s">
        <v>31</v>
      </c>
      <c r="E301" s="1" t="s">
        <v>32</v>
      </c>
      <c r="F301" s="1" t="s">
        <v>33</v>
      </c>
      <c r="G301" s="1">
        <v>-0.5</v>
      </c>
      <c r="H301" s="15">
        <v>46114.795752314814</v>
      </c>
      <c r="I301" s="2">
        <f t="shared" si="14"/>
        <v>2.4924999999348074</v>
      </c>
      <c r="P301" s="3"/>
      <c r="Q301" s="3"/>
      <c r="R301" s="3"/>
      <c r="S301" s="3"/>
    </row>
    <row r="302" spans="1:19">
      <c r="A302" s="1" t="s">
        <v>23</v>
      </c>
      <c r="B302" s="1">
        <v>60</v>
      </c>
      <c r="C302" s="12">
        <f>+'Flow rate'!E301</f>
        <v>6.5356550000000002</v>
      </c>
      <c r="D302" s="1" t="s">
        <v>31</v>
      </c>
      <c r="E302" s="1" t="s">
        <v>32</v>
      </c>
      <c r="F302" s="1" t="s">
        <v>33</v>
      </c>
      <c r="G302" s="1">
        <v>-0.5</v>
      </c>
      <c r="H302" s="15">
        <v>46114.796099537038</v>
      </c>
      <c r="I302" s="2">
        <f t="shared" si="14"/>
        <v>2.5008333332953043</v>
      </c>
      <c r="P302" s="3"/>
      <c r="Q302" s="3"/>
      <c r="R302" s="3"/>
      <c r="S302" s="3"/>
    </row>
    <row r="303" spans="1:19">
      <c r="A303" s="1" t="s">
        <v>23</v>
      </c>
      <c r="B303" s="1">
        <v>60</v>
      </c>
      <c r="C303" s="12">
        <f>+'Flow rate'!E302</f>
        <v>6.5356550000000002</v>
      </c>
      <c r="D303" s="1" t="s">
        <v>31</v>
      </c>
      <c r="E303" s="1" t="s">
        <v>32</v>
      </c>
      <c r="F303" s="1" t="s">
        <v>33</v>
      </c>
      <c r="G303" s="1">
        <v>-0.5</v>
      </c>
      <c r="H303" s="15">
        <v>46114.796446759261</v>
      </c>
      <c r="I303" s="2">
        <f t="shared" si="14"/>
        <v>2.5091666666558012</v>
      </c>
      <c r="P303" s="3"/>
      <c r="Q303" s="3"/>
      <c r="R303" s="3"/>
      <c r="S303" s="3"/>
    </row>
    <row r="304" spans="1:19">
      <c r="A304" s="1" t="s">
        <v>23</v>
      </c>
      <c r="B304" s="1">
        <v>60</v>
      </c>
      <c r="C304" s="12">
        <f>+'Flow rate'!E303</f>
        <v>6.7203850000000003</v>
      </c>
      <c r="D304" s="1" t="s">
        <v>31</v>
      </c>
      <c r="E304" s="1" t="s">
        <v>32</v>
      </c>
      <c r="F304" s="1" t="s">
        <v>33</v>
      </c>
      <c r="G304" s="1">
        <v>-0.5</v>
      </c>
      <c r="H304" s="15">
        <v>46114.796793981484</v>
      </c>
      <c r="I304" s="2">
        <f t="shared" si="14"/>
        <v>2.5175000000162981</v>
      </c>
      <c r="P304" s="3"/>
      <c r="Q304" s="3"/>
      <c r="R304" s="3"/>
      <c r="S304" s="3"/>
    </row>
    <row r="305" spans="1:19">
      <c r="A305" s="1" t="s">
        <v>23</v>
      </c>
      <c r="B305" s="1">
        <v>60</v>
      </c>
      <c r="C305" s="12">
        <f>+'Flow rate'!E304</f>
        <v>6.7203850000000003</v>
      </c>
      <c r="D305" s="1" t="s">
        <v>31</v>
      </c>
      <c r="E305" s="1" t="s">
        <v>32</v>
      </c>
      <c r="F305" s="1" t="s">
        <v>33</v>
      </c>
      <c r="G305" s="1">
        <v>-0.5</v>
      </c>
      <c r="H305" s="15">
        <v>46114.7971412037</v>
      </c>
      <c r="I305" s="2">
        <f t="shared" si="14"/>
        <v>2.5258333332021721</v>
      </c>
      <c r="P305" s="3"/>
      <c r="Q305" s="3"/>
      <c r="R305" s="3"/>
      <c r="S305" s="3"/>
    </row>
    <row r="306" spans="1:19">
      <c r="A306" s="1" t="s">
        <v>23</v>
      </c>
      <c r="B306" s="1">
        <v>60</v>
      </c>
      <c r="C306" s="12">
        <f>+'Flow rate'!E305</f>
        <v>6.5433560000000002</v>
      </c>
      <c r="D306" s="1" t="s">
        <v>31</v>
      </c>
      <c r="E306" s="1" t="s">
        <v>32</v>
      </c>
      <c r="F306" s="1" t="s">
        <v>33</v>
      </c>
      <c r="G306" s="1">
        <v>-0.5</v>
      </c>
      <c r="H306" s="15">
        <v>46114.797488425924</v>
      </c>
      <c r="I306" s="2">
        <f t="shared" si="14"/>
        <v>2.534166666562669</v>
      </c>
      <c r="P306" s="3"/>
      <c r="Q306" s="3"/>
      <c r="R306" s="3"/>
      <c r="S306" s="3"/>
    </row>
    <row r="307" spans="1:19">
      <c r="A307" s="1" t="s">
        <v>23</v>
      </c>
      <c r="B307" s="1">
        <v>60</v>
      </c>
      <c r="C307" s="12">
        <f>+'Flow rate'!E306</f>
        <v>6.5433560000000002</v>
      </c>
      <c r="D307" s="1" t="s">
        <v>31</v>
      </c>
      <c r="E307" s="1" t="s">
        <v>32</v>
      </c>
      <c r="F307" s="1" t="s">
        <v>33</v>
      </c>
      <c r="G307" s="1">
        <v>-0.5</v>
      </c>
      <c r="H307" s="15">
        <v>46114.797835648147</v>
      </c>
      <c r="I307" s="2">
        <f t="shared" si="14"/>
        <v>2.5424999999231659</v>
      </c>
      <c r="P307" s="3"/>
      <c r="Q307" s="3"/>
      <c r="R307" s="3"/>
      <c r="S307" s="3"/>
    </row>
    <row r="308" spans="1:19">
      <c r="A308" s="1" t="s">
        <v>23</v>
      </c>
      <c r="B308" s="1">
        <v>60</v>
      </c>
      <c r="C308" s="12">
        <f>+'Flow rate'!E307</f>
        <v>6.4329539999999996</v>
      </c>
      <c r="D308" s="1" t="s">
        <v>31</v>
      </c>
      <c r="E308" s="1" t="s">
        <v>32</v>
      </c>
      <c r="F308" s="1" t="s">
        <v>33</v>
      </c>
      <c r="G308" s="1">
        <v>-0.5</v>
      </c>
      <c r="H308" s="15">
        <v>46114.798182870371</v>
      </c>
      <c r="I308" s="2">
        <f t="shared" si="14"/>
        <v>2.5508333332836628</v>
      </c>
      <c r="P308" s="3"/>
      <c r="Q308" s="3"/>
      <c r="R308" s="3"/>
      <c r="S308" s="3"/>
    </row>
    <row r="309" spans="1:19">
      <c r="A309" s="1" t="s">
        <v>23</v>
      </c>
      <c r="B309" s="1">
        <v>60</v>
      </c>
      <c r="C309" s="12">
        <f>+'Flow rate'!E308</f>
        <v>6.4329539999999996</v>
      </c>
      <c r="D309" s="1" t="s">
        <v>31</v>
      </c>
      <c r="E309" s="1" t="s">
        <v>32</v>
      </c>
      <c r="F309" s="1" t="s">
        <v>33</v>
      </c>
      <c r="G309" s="1">
        <v>-0.5</v>
      </c>
      <c r="H309" s="15">
        <v>46114.798530092594</v>
      </c>
      <c r="I309" s="2">
        <f t="shared" si="14"/>
        <v>2.5591666666441597</v>
      </c>
      <c r="P309" s="3"/>
      <c r="Q309" s="3"/>
      <c r="R309" s="3"/>
      <c r="S309" s="3"/>
    </row>
    <row r="310" spans="1:19">
      <c r="A310" s="1" t="s">
        <v>23</v>
      </c>
      <c r="B310" s="1">
        <v>60</v>
      </c>
      <c r="C310" s="12">
        <f>+'Flow rate'!E309</f>
        <v>6.6185470000000004</v>
      </c>
      <c r="D310" s="1" t="s">
        <v>31</v>
      </c>
      <c r="E310" s="1" t="s">
        <v>32</v>
      </c>
      <c r="F310" s="1" t="s">
        <v>33</v>
      </c>
      <c r="G310" s="1">
        <v>-0.5</v>
      </c>
      <c r="H310" s="15">
        <v>46114.798877314817</v>
      </c>
      <c r="I310" s="2">
        <f t="shared" si="14"/>
        <v>2.5675000000046566</v>
      </c>
      <c r="P310" s="3"/>
      <c r="Q310" s="3"/>
      <c r="R310" s="3"/>
      <c r="S310" s="3"/>
    </row>
    <row r="311" spans="1:19">
      <c r="A311" s="1" t="s">
        <v>23</v>
      </c>
      <c r="B311" s="1">
        <v>60</v>
      </c>
      <c r="C311" s="12">
        <f>+'Flow rate'!E310</f>
        <v>6.6185470000000004</v>
      </c>
      <c r="D311" s="1" t="s">
        <v>31</v>
      </c>
      <c r="E311" s="1" t="s">
        <v>32</v>
      </c>
      <c r="F311" s="1" t="s">
        <v>33</v>
      </c>
      <c r="G311" s="1">
        <v>-0.5</v>
      </c>
      <c r="H311" s="15">
        <v>46114.799224537041</v>
      </c>
      <c r="I311" s="2">
        <f t="shared" si="14"/>
        <v>2.5758333333651535</v>
      </c>
      <c r="P311" s="3"/>
      <c r="Q311" s="3"/>
      <c r="R311" s="3"/>
      <c r="S311" s="3"/>
    </row>
    <row r="312" spans="1:19">
      <c r="A312" s="1" t="s">
        <v>23</v>
      </c>
      <c r="B312" s="1">
        <v>60</v>
      </c>
      <c r="C312" s="12">
        <f>+'Flow rate'!E311</f>
        <v>6.6277980000000003</v>
      </c>
      <c r="D312" s="1" t="s">
        <v>31</v>
      </c>
      <c r="E312" s="1" t="s">
        <v>32</v>
      </c>
      <c r="F312" s="1" t="s">
        <v>33</v>
      </c>
      <c r="G312" s="1">
        <v>-0.5</v>
      </c>
      <c r="H312" s="15">
        <v>46114.799571759257</v>
      </c>
      <c r="I312" s="2">
        <f t="shared" si="14"/>
        <v>2.5841666665510274</v>
      </c>
      <c r="P312" s="3"/>
      <c r="Q312" s="3"/>
      <c r="R312" s="3"/>
      <c r="S312" s="3"/>
    </row>
    <row r="313" spans="1:19">
      <c r="A313" s="1" t="s">
        <v>23</v>
      </c>
      <c r="B313" s="1">
        <v>60</v>
      </c>
      <c r="C313" s="12">
        <f>+'Flow rate'!E312</f>
        <v>6.6277980000000003</v>
      </c>
      <c r="D313" s="1" t="s">
        <v>31</v>
      </c>
      <c r="E313" s="1" t="s">
        <v>32</v>
      </c>
      <c r="F313" s="1" t="s">
        <v>33</v>
      </c>
      <c r="G313" s="1">
        <v>-0.5</v>
      </c>
      <c r="H313" s="15">
        <v>46114.79991898148</v>
      </c>
      <c r="I313" s="2">
        <f t="shared" si="14"/>
        <v>2.5924999999115244</v>
      </c>
      <c r="P313" s="3"/>
      <c r="Q313" s="3"/>
      <c r="R313" s="3"/>
      <c r="S313" s="3"/>
    </row>
    <row r="314" spans="1:19">
      <c r="A314" s="1" t="s">
        <v>23</v>
      </c>
      <c r="B314" s="1">
        <v>60</v>
      </c>
      <c r="C314" s="12">
        <f>+'Flow rate'!E313</f>
        <v>6.7990820000000003</v>
      </c>
      <c r="D314" s="1" t="s">
        <v>31</v>
      </c>
      <c r="E314" s="1" t="s">
        <v>32</v>
      </c>
      <c r="F314" s="1" t="s">
        <v>33</v>
      </c>
      <c r="G314" s="1">
        <v>-0.5</v>
      </c>
      <c r="H314" s="15">
        <v>46114.800266203703</v>
      </c>
      <c r="I314" s="2">
        <f t="shared" si="14"/>
        <v>2.6008333332720213</v>
      </c>
      <c r="P314" s="3"/>
      <c r="Q314" s="3"/>
      <c r="R314" s="3"/>
      <c r="S314" s="3"/>
    </row>
    <row r="315" spans="1:19">
      <c r="A315" s="1" t="s">
        <v>23</v>
      </c>
      <c r="B315" s="1">
        <v>60</v>
      </c>
      <c r="C315" s="12">
        <f>+'Flow rate'!E314</f>
        <v>6.7990820000000003</v>
      </c>
      <c r="D315" s="1" t="s">
        <v>31</v>
      </c>
      <c r="E315" s="1" t="s">
        <v>32</v>
      </c>
      <c r="F315" s="1" t="s">
        <v>33</v>
      </c>
      <c r="G315" s="1">
        <v>-0.5</v>
      </c>
      <c r="H315" s="15">
        <v>46114.800613425927</v>
      </c>
      <c r="I315" s="2">
        <f t="shared" si="14"/>
        <v>2.6091666666325182</v>
      </c>
      <c r="P315" s="3"/>
      <c r="Q315" s="3"/>
      <c r="R315" s="3"/>
      <c r="S315" s="3"/>
    </row>
    <row r="316" spans="1:19">
      <c r="A316" s="1" t="s">
        <v>23</v>
      </c>
      <c r="B316" s="1">
        <v>60</v>
      </c>
      <c r="C316" s="12">
        <f>+'Flow rate'!E315</f>
        <v>6.5581269999999998</v>
      </c>
      <c r="D316" s="1" t="s">
        <v>31</v>
      </c>
      <c r="E316" s="1" t="s">
        <v>32</v>
      </c>
      <c r="F316" s="1" t="s">
        <v>33</v>
      </c>
      <c r="G316" s="1">
        <v>-0.5</v>
      </c>
      <c r="H316" s="15">
        <v>46114.80096064815</v>
      </c>
      <c r="I316" s="2">
        <f t="shared" si="14"/>
        <v>2.6174999999930151</v>
      </c>
      <c r="P316" s="3"/>
      <c r="Q316" s="3"/>
      <c r="R316" s="3"/>
      <c r="S316" s="3"/>
    </row>
    <row r="317" spans="1:19">
      <c r="A317" s="1" t="s">
        <v>23</v>
      </c>
      <c r="B317" s="1">
        <v>60</v>
      </c>
      <c r="C317" s="12">
        <f>+'Flow rate'!E316</f>
        <v>6.5581269999999998</v>
      </c>
      <c r="D317" s="1" t="s">
        <v>31</v>
      </c>
      <c r="E317" s="1" t="s">
        <v>32</v>
      </c>
      <c r="F317" s="1" t="s">
        <v>33</v>
      </c>
      <c r="G317" s="1">
        <v>-0.5</v>
      </c>
      <c r="H317" s="15">
        <v>46114.801307870373</v>
      </c>
      <c r="I317" s="2">
        <f t="shared" si="14"/>
        <v>2.625833333353512</v>
      </c>
      <c r="P317" s="3"/>
      <c r="Q317" s="3"/>
      <c r="R317" s="3"/>
      <c r="S317" s="3"/>
    </row>
    <row r="318" spans="1:19">
      <c r="A318" s="1" t="s">
        <v>23</v>
      </c>
      <c r="B318" s="1">
        <v>60</v>
      </c>
      <c r="C318" s="12">
        <f>+'Flow rate'!E317</f>
        <v>6.7421540000000002</v>
      </c>
      <c r="D318" s="1" t="s">
        <v>31</v>
      </c>
      <c r="E318" s="1" t="s">
        <v>32</v>
      </c>
      <c r="F318" s="1" t="s">
        <v>33</v>
      </c>
      <c r="G318" s="1">
        <v>-0.5</v>
      </c>
      <c r="H318" s="15">
        <v>46114.801655092589</v>
      </c>
      <c r="I318" s="2">
        <f t="shared" si="14"/>
        <v>2.6341666665393859</v>
      </c>
      <c r="P318" s="3"/>
      <c r="Q318" s="3"/>
      <c r="R318" s="3"/>
      <c r="S318" s="3"/>
    </row>
    <row r="319" spans="1:19">
      <c r="A319" s="1" t="s">
        <v>23</v>
      </c>
      <c r="B319" s="1">
        <v>60</v>
      </c>
      <c r="C319" s="12">
        <f>+'Flow rate'!E318</f>
        <v>6.7421540000000002</v>
      </c>
      <c r="D319" s="1" t="s">
        <v>31</v>
      </c>
      <c r="E319" s="1" t="s">
        <v>32</v>
      </c>
      <c r="F319" s="1" t="s">
        <v>33</v>
      </c>
      <c r="G319" s="1">
        <v>-0.5</v>
      </c>
      <c r="H319" s="15">
        <v>46114.802002314813</v>
      </c>
      <c r="I319" s="2">
        <f t="shared" si="14"/>
        <v>2.6424999998998828</v>
      </c>
      <c r="P319" s="3"/>
      <c r="Q319" s="3"/>
      <c r="R319" s="3"/>
      <c r="S319" s="3"/>
    </row>
    <row r="320" spans="1:19">
      <c r="A320" s="1" t="s">
        <v>23</v>
      </c>
      <c r="B320" s="1">
        <v>60</v>
      </c>
      <c r="C320" s="12">
        <f>+'Flow rate'!E319</f>
        <v>6.7672499999999998</v>
      </c>
      <c r="D320" s="1" t="s">
        <v>31</v>
      </c>
      <c r="E320" s="1" t="s">
        <v>32</v>
      </c>
      <c r="F320" s="1" t="s">
        <v>33</v>
      </c>
      <c r="G320" s="1">
        <v>-0.5</v>
      </c>
      <c r="H320" s="15">
        <v>46114.802349537036</v>
      </c>
      <c r="I320" s="2">
        <f t="shared" si="14"/>
        <v>2.6508333332603797</v>
      </c>
      <c r="P320" s="3"/>
      <c r="Q320" s="3"/>
      <c r="R320" s="3"/>
      <c r="S320" s="3"/>
    </row>
    <row r="321" spans="1:19">
      <c r="A321" s="1" t="s">
        <v>23</v>
      </c>
      <c r="B321" s="1">
        <v>60</v>
      </c>
      <c r="C321" s="12">
        <f>+'Flow rate'!E320</f>
        <v>6.7672499999999998</v>
      </c>
      <c r="D321" s="1" t="s">
        <v>31</v>
      </c>
      <c r="E321" s="1" t="s">
        <v>32</v>
      </c>
      <c r="F321" s="1" t="s">
        <v>33</v>
      </c>
      <c r="G321" s="1">
        <v>-0.5</v>
      </c>
      <c r="H321" s="15">
        <v>46114.80269675926</v>
      </c>
      <c r="I321" s="2">
        <f t="shared" si="14"/>
        <v>2.6591666666208766</v>
      </c>
      <c r="P321" s="3"/>
      <c r="Q321" s="3"/>
      <c r="R321" s="3"/>
      <c r="S321" s="3"/>
    </row>
    <row r="322" spans="1:19">
      <c r="I322" s="2"/>
    </row>
    <row r="323" spans="1:19">
      <c r="I323" s="2"/>
    </row>
    <row r="324" spans="1:19">
      <c r="I324" s="2"/>
    </row>
    <row r="325" spans="1:19">
      <c r="I325" s="2"/>
    </row>
    <row r="326" spans="1:19">
      <c r="I326" s="2"/>
    </row>
    <row r="327" spans="1:19">
      <c r="I327" s="2"/>
    </row>
    <row r="328" spans="1:19">
      <c r="I328" s="2"/>
    </row>
    <row r="329" spans="1:19">
      <c r="I329" s="2"/>
    </row>
    <row r="330" spans="1:19">
      <c r="I330" s="2"/>
    </row>
    <row r="331" spans="1:19">
      <c r="I331" s="2"/>
    </row>
    <row r="332" spans="1:19">
      <c r="I332" s="2"/>
    </row>
    <row r="333" spans="1:19">
      <c r="I333" s="2"/>
    </row>
    <row r="334" spans="1:19">
      <c r="I334" s="2"/>
    </row>
    <row r="335" spans="1:19">
      <c r="I335" s="2"/>
    </row>
    <row r="336" spans="1:19">
      <c r="I336" s="2"/>
    </row>
    <row r="337" spans="9:9">
      <c r="I337" s="2"/>
    </row>
    <row r="338" spans="9:9">
      <c r="I338" s="2"/>
    </row>
    <row r="339" spans="9:9">
      <c r="I339" s="2"/>
    </row>
    <row r="340" spans="9:9">
      <c r="I340" s="2"/>
    </row>
    <row r="341" spans="9:9">
      <c r="I341" s="2"/>
    </row>
    <row r="342" spans="9:9">
      <c r="I342" s="2"/>
    </row>
    <row r="343" spans="9:9">
      <c r="I343" s="2"/>
    </row>
    <row r="344" spans="9:9">
      <c r="I344" s="2"/>
    </row>
    <row r="345" spans="9:9">
      <c r="I345" s="2"/>
    </row>
    <row r="346" spans="9:9">
      <c r="I346" s="2"/>
    </row>
    <row r="347" spans="9:9">
      <c r="I347" s="2"/>
    </row>
    <row r="348" spans="9:9">
      <c r="I348" s="2"/>
    </row>
    <row r="349" spans="9:9">
      <c r="I349" s="2"/>
    </row>
    <row r="350" spans="9:9">
      <c r="I350" s="2"/>
    </row>
    <row r="351" spans="9:9">
      <c r="I351" s="2"/>
    </row>
    <row r="352" spans="9:9">
      <c r="I352" s="2"/>
    </row>
    <row r="353" spans="9:9">
      <c r="I353" s="2"/>
    </row>
    <row r="354" spans="9:9">
      <c r="I354" s="2"/>
    </row>
    <row r="355" spans="9:9">
      <c r="I355" s="2"/>
    </row>
    <row r="356" spans="9:9">
      <c r="I356" s="2"/>
    </row>
    <row r="357" spans="9:9">
      <c r="I357" s="2"/>
    </row>
    <row r="358" spans="9:9">
      <c r="I358" s="2"/>
    </row>
    <row r="359" spans="9:9">
      <c r="I359" s="2"/>
    </row>
    <row r="360" spans="9:9">
      <c r="I360" s="2"/>
    </row>
    <row r="361" spans="9:9">
      <c r="I361" s="2"/>
    </row>
    <row r="362" spans="9:9">
      <c r="I362" s="2"/>
    </row>
    <row r="363" spans="9:9">
      <c r="I363" s="2"/>
    </row>
    <row r="364" spans="9:9">
      <c r="I364" s="2"/>
    </row>
    <row r="365" spans="9:9">
      <c r="I365" s="2"/>
    </row>
    <row r="366" spans="9:9">
      <c r="I366" s="2"/>
    </row>
    <row r="367" spans="9:9">
      <c r="I367" s="2"/>
    </row>
    <row r="368" spans="9:9">
      <c r="I368" s="2"/>
    </row>
    <row r="369" spans="9:9">
      <c r="I369" s="2"/>
    </row>
    <row r="370" spans="9:9">
      <c r="I370" s="2"/>
    </row>
    <row r="371" spans="9:9">
      <c r="I371" s="2"/>
    </row>
    <row r="372" spans="9:9">
      <c r="I372" s="2"/>
    </row>
    <row r="373" spans="9:9">
      <c r="I373" s="2"/>
    </row>
    <row r="374" spans="9:9">
      <c r="I374" s="2"/>
    </row>
    <row r="375" spans="9:9">
      <c r="I375" s="2"/>
    </row>
    <row r="376" spans="9:9">
      <c r="I376" s="2"/>
    </row>
    <row r="377" spans="9:9">
      <c r="I377" s="2"/>
    </row>
    <row r="378" spans="9:9">
      <c r="I378" s="2"/>
    </row>
    <row r="379" spans="9:9">
      <c r="I379" s="2"/>
    </row>
    <row r="380" spans="9:9">
      <c r="I380" s="2"/>
    </row>
    <row r="381" spans="9:9">
      <c r="I381" s="2"/>
    </row>
    <row r="382" spans="9:9">
      <c r="I382" s="2"/>
    </row>
    <row r="383" spans="9:9">
      <c r="I383" s="2"/>
    </row>
    <row r="384" spans="9:9">
      <c r="I384" s="2"/>
    </row>
    <row r="385" spans="9:9">
      <c r="I385" s="2"/>
    </row>
    <row r="386" spans="9:9">
      <c r="I386" s="2"/>
    </row>
    <row r="387" spans="9:9">
      <c r="I387" s="2"/>
    </row>
    <row r="388" spans="9:9">
      <c r="I388" s="2"/>
    </row>
    <row r="389" spans="9:9">
      <c r="I389" s="2"/>
    </row>
    <row r="390" spans="9:9">
      <c r="I390" s="2"/>
    </row>
    <row r="391" spans="9:9">
      <c r="I391" s="2"/>
    </row>
    <row r="392" spans="9:9">
      <c r="I392" s="2"/>
    </row>
    <row r="393" spans="9:9">
      <c r="I393" s="2"/>
    </row>
    <row r="394" spans="9:9">
      <c r="I394" s="2"/>
    </row>
    <row r="395" spans="9:9">
      <c r="I395" s="2"/>
    </row>
    <row r="396" spans="9:9">
      <c r="I396" s="2"/>
    </row>
  </sheetData>
  <mergeCells count="1">
    <mergeCell ref="AA1:AB1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68DE-1AB5-410D-AACE-96877914CDB4}">
  <dimension ref="A1:E4115"/>
  <sheetViews>
    <sheetView workbookViewId="0">
      <selection activeCell="A359" sqref="A359"/>
    </sheetView>
  </sheetViews>
  <sheetFormatPr defaultRowHeight="14.4"/>
  <cols>
    <col min="1" max="1" width="18.109375" style="15" bestFit="1" customWidth="1"/>
    <col min="3" max="3" width="13.44140625" bestFit="1" customWidth="1"/>
    <col min="4" max="4" width="13.44140625" style="15" bestFit="1" customWidth="1"/>
    <col min="5" max="5" width="8.88671875" customWidth="1"/>
  </cols>
  <sheetData>
    <row r="1" spans="1:5">
      <c r="B1" s="16" t="s">
        <v>34</v>
      </c>
      <c r="C1" s="17">
        <f>+Sheet1!H2</f>
        <v>46114.69189814815</v>
      </c>
      <c r="D1" s="17">
        <f>+C1-2/24</f>
        <v>46114.608564814815</v>
      </c>
      <c r="E1">
        <f>_xlfn.XLOOKUP(D1,A:A,B:B,,-1)</f>
        <v>0</v>
      </c>
    </row>
    <row r="2" spans="1:5">
      <c r="A2" s="28">
        <v>46114.608332999996</v>
      </c>
      <c r="B2" s="16">
        <v>0</v>
      </c>
      <c r="C2" s="17">
        <f>+Sheet1!H3</f>
        <v>46114.692245370374</v>
      </c>
      <c r="D2" s="17">
        <f t="shared" ref="D2" si="0">+C2-2/24</f>
        <v>46114.608912037038</v>
      </c>
      <c r="E2">
        <f t="shared" ref="E2:E65" si="1">_xlfn.XLOOKUP(D2,A:A,B:B,,-1)</f>
        <v>0</v>
      </c>
    </row>
    <row r="3" spans="1:5">
      <c r="A3" s="28">
        <v>46114.609027999999</v>
      </c>
      <c r="B3" s="16">
        <v>0</v>
      </c>
      <c r="C3" s="17">
        <f>+Sheet1!H4</f>
        <v>46114.69259259259</v>
      </c>
      <c r="D3" s="17">
        <f t="shared" ref="D3:D38" si="2">+C3-2/24</f>
        <v>46114.609259259254</v>
      </c>
      <c r="E3">
        <f t="shared" si="1"/>
        <v>0</v>
      </c>
    </row>
    <row r="4" spans="1:5">
      <c r="A4" s="28">
        <v>46114.609722000001</v>
      </c>
      <c r="B4" s="16">
        <v>0</v>
      </c>
      <c r="C4" s="17">
        <f>+Sheet1!H5</f>
        <v>46114.692939814813</v>
      </c>
      <c r="D4" s="17">
        <f t="shared" si="2"/>
        <v>46114.609606481477</v>
      </c>
      <c r="E4">
        <f t="shared" si="1"/>
        <v>0</v>
      </c>
    </row>
    <row r="5" spans="1:5">
      <c r="A5" s="28">
        <v>46114.610417000004</v>
      </c>
      <c r="B5" s="16">
        <v>0</v>
      </c>
      <c r="C5" s="17">
        <f>+Sheet1!H6</f>
        <v>46114.693287037036</v>
      </c>
      <c r="D5" s="17">
        <f t="shared" si="2"/>
        <v>46114.609953703701</v>
      </c>
      <c r="E5">
        <f t="shared" si="1"/>
        <v>0</v>
      </c>
    </row>
    <row r="6" spans="1:5">
      <c r="A6" s="28">
        <v>46114.611110999998</v>
      </c>
      <c r="B6" s="16">
        <v>0</v>
      </c>
      <c r="C6" s="17">
        <f>+Sheet1!H7</f>
        <v>46114.69363425926</v>
      </c>
      <c r="D6" s="17">
        <f t="shared" si="2"/>
        <v>46114.610300925924</v>
      </c>
      <c r="E6">
        <f t="shared" si="1"/>
        <v>0</v>
      </c>
    </row>
    <row r="7" spans="1:5">
      <c r="A7" s="28">
        <v>46114.611806000001</v>
      </c>
      <c r="B7" s="16">
        <v>0</v>
      </c>
      <c r="C7" s="17">
        <f>+Sheet1!H8</f>
        <v>46114.693981481483</v>
      </c>
      <c r="D7" s="17">
        <f t="shared" si="2"/>
        <v>46114.610648148147</v>
      </c>
      <c r="E7">
        <f t="shared" si="1"/>
        <v>0</v>
      </c>
    </row>
    <row r="8" spans="1:5">
      <c r="A8" s="28">
        <v>46114.612500000003</v>
      </c>
      <c r="B8" s="16">
        <v>0</v>
      </c>
      <c r="C8" s="17">
        <f>+Sheet1!H9</f>
        <v>46114.694328703707</v>
      </c>
      <c r="D8" s="17">
        <f t="shared" si="2"/>
        <v>46114.610995370371</v>
      </c>
      <c r="E8">
        <f t="shared" si="1"/>
        <v>0</v>
      </c>
    </row>
    <row r="9" spans="1:5">
      <c r="A9" s="28">
        <v>46114.613193999998</v>
      </c>
      <c r="B9" s="16">
        <v>0</v>
      </c>
      <c r="C9" s="17">
        <f>+Sheet1!H10</f>
        <v>46114.694675925923</v>
      </c>
      <c r="D9" s="17">
        <f t="shared" si="2"/>
        <v>46114.611342592587</v>
      </c>
      <c r="E9">
        <f t="shared" si="1"/>
        <v>0</v>
      </c>
    </row>
    <row r="10" spans="1:5">
      <c r="A10" s="28">
        <v>46114.613889</v>
      </c>
      <c r="B10" s="16">
        <v>0</v>
      </c>
      <c r="C10" s="17">
        <f>+Sheet1!H11</f>
        <v>46114.695023148146</v>
      </c>
      <c r="D10" s="17">
        <f t="shared" si="2"/>
        <v>46114.61168981481</v>
      </c>
      <c r="E10">
        <f t="shared" si="1"/>
        <v>0</v>
      </c>
    </row>
    <row r="11" spans="1:5">
      <c r="A11" s="28">
        <v>46114.614583000002</v>
      </c>
      <c r="B11" s="16">
        <v>2.2065060000000001</v>
      </c>
      <c r="C11" s="17">
        <f>+Sheet1!H12</f>
        <v>46114.695370370369</v>
      </c>
      <c r="D11" s="17">
        <f t="shared" si="2"/>
        <v>46114.612037037034</v>
      </c>
      <c r="E11">
        <f t="shared" si="1"/>
        <v>0</v>
      </c>
    </row>
    <row r="12" spans="1:5">
      <c r="A12" s="28">
        <v>46114.615277999997</v>
      </c>
      <c r="B12" s="16">
        <v>0.25565300000000002</v>
      </c>
      <c r="C12" s="17">
        <f>+Sheet1!H13</f>
        <v>46114.695717592593</v>
      </c>
      <c r="D12" s="17">
        <f t="shared" si="2"/>
        <v>46114.612384259257</v>
      </c>
      <c r="E12">
        <f t="shared" si="1"/>
        <v>0</v>
      </c>
    </row>
    <row r="13" spans="1:5">
      <c r="A13" s="28">
        <v>46114.615972</v>
      </c>
      <c r="B13" s="16">
        <v>0.25565300000000002</v>
      </c>
      <c r="C13" s="17">
        <f>+Sheet1!H14</f>
        <v>46114.696064814816</v>
      </c>
      <c r="D13" s="17">
        <f t="shared" si="2"/>
        <v>46114.61273148148</v>
      </c>
      <c r="E13">
        <f t="shared" si="1"/>
        <v>0</v>
      </c>
    </row>
    <row r="14" spans="1:5">
      <c r="A14" s="28">
        <v>46114.616667000002</v>
      </c>
      <c r="B14" s="16">
        <v>0.25565300000000002</v>
      </c>
      <c r="C14" s="17">
        <f>+Sheet1!H15</f>
        <v>46114.696412037039</v>
      </c>
      <c r="D14" s="17">
        <f t="shared" si="2"/>
        <v>46114.613078703704</v>
      </c>
      <c r="E14">
        <f t="shared" si="1"/>
        <v>0</v>
      </c>
    </row>
    <row r="15" spans="1:5">
      <c r="A15" s="28">
        <v>46114.617360999997</v>
      </c>
      <c r="B15" s="16">
        <v>0.25565300000000002</v>
      </c>
      <c r="C15" s="17">
        <f>+Sheet1!H16</f>
        <v>46114.696759259263</v>
      </c>
      <c r="D15" s="17">
        <f t="shared" si="2"/>
        <v>46114.613425925927</v>
      </c>
      <c r="E15">
        <f t="shared" si="1"/>
        <v>0</v>
      </c>
    </row>
    <row r="16" spans="1:5">
      <c r="A16" s="28">
        <v>46114.618055999999</v>
      </c>
      <c r="B16" s="16">
        <v>0.25565300000000002</v>
      </c>
      <c r="C16" s="17">
        <f>+Sheet1!H17</f>
        <v>46114.697106481479</v>
      </c>
      <c r="D16" s="17">
        <f t="shared" si="2"/>
        <v>46114.613773148143</v>
      </c>
      <c r="E16">
        <f t="shared" si="1"/>
        <v>0</v>
      </c>
    </row>
    <row r="17" spans="1:5">
      <c r="A17" s="28">
        <v>46114.618750000001</v>
      </c>
      <c r="B17" s="16">
        <v>0.25565300000000002</v>
      </c>
      <c r="C17" s="17">
        <f>+Sheet1!H18</f>
        <v>46114.697453703702</v>
      </c>
      <c r="D17" s="17">
        <f t="shared" si="2"/>
        <v>46114.614120370366</v>
      </c>
      <c r="E17">
        <f t="shared" si="1"/>
        <v>0</v>
      </c>
    </row>
    <row r="18" spans="1:5">
      <c r="A18" s="28">
        <v>46114.619444000004</v>
      </c>
      <c r="B18" s="16">
        <v>0.25565300000000002</v>
      </c>
      <c r="C18" s="17">
        <f>+Sheet1!H19</f>
        <v>46114.697800925926</v>
      </c>
      <c r="D18" s="17">
        <f t="shared" si="2"/>
        <v>46114.61446759259</v>
      </c>
      <c r="E18">
        <f t="shared" si="1"/>
        <v>0</v>
      </c>
    </row>
    <row r="19" spans="1:5">
      <c r="A19" s="28">
        <v>46114.620138999999</v>
      </c>
      <c r="B19" s="16">
        <v>0.30409799999999998</v>
      </c>
      <c r="C19" s="17">
        <f>+Sheet1!H20</f>
        <v>46114.698148148149</v>
      </c>
      <c r="D19" s="17">
        <f t="shared" si="2"/>
        <v>46114.614814814813</v>
      </c>
      <c r="E19">
        <f t="shared" si="1"/>
        <v>2.2065060000000001</v>
      </c>
    </row>
    <row r="20" spans="1:5">
      <c r="A20" s="28">
        <v>46114.620833000001</v>
      </c>
      <c r="B20" s="16">
        <v>0.36975799999999998</v>
      </c>
      <c r="C20" s="17">
        <f>+Sheet1!H21</f>
        <v>46114.698495370372</v>
      </c>
      <c r="D20" s="17">
        <f t="shared" si="2"/>
        <v>46114.615162037036</v>
      </c>
      <c r="E20">
        <f t="shared" si="1"/>
        <v>2.2065060000000001</v>
      </c>
    </row>
    <row r="21" spans="1:5">
      <c r="A21" s="28">
        <v>46114.621528000003</v>
      </c>
      <c r="B21" s="16">
        <v>0.36975799999999998</v>
      </c>
      <c r="C21" s="17">
        <f>+Sheet1!H22</f>
        <v>46114.698842592596</v>
      </c>
      <c r="D21" s="17">
        <f t="shared" si="2"/>
        <v>46114.61550925926</v>
      </c>
      <c r="E21">
        <f t="shared" si="1"/>
        <v>0.25565300000000002</v>
      </c>
    </row>
    <row r="22" spans="1:5">
      <c r="A22" s="28">
        <v>46114.622221999998</v>
      </c>
      <c r="B22" s="16">
        <v>0.36975799999999998</v>
      </c>
      <c r="C22" s="17">
        <f>+Sheet1!H23</f>
        <v>46114.699189814812</v>
      </c>
      <c r="D22" s="17">
        <f t="shared" si="2"/>
        <v>46114.615856481476</v>
      </c>
      <c r="E22">
        <f t="shared" si="1"/>
        <v>0.25565300000000002</v>
      </c>
    </row>
    <row r="23" spans="1:5">
      <c r="A23" s="28">
        <v>46114.622917000001</v>
      </c>
      <c r="B23" s="16">
        <v>0.36975799999999998</v>
      </c>
      <c r="C23" s="17">
        <f>+Sheet1!H24</f>
        <v>46114.699537037035</v>
      </c>
      <c r="D23" s="17">
        <f t="shared" si="2"/>
        <v>46114.616203703699</v>
      </c>
      <c r="E23">
        <f t="shared" si="1"/>
        <v>0.25565300000000002</v>
      </c>
    </row>
    <row r="24" spans="1:5">
      <c r="A24" s="28">
        <v>46114.623611000003</v>
      </c>
      <c r="B24" s="16">
        <v>0.36975799999999998</v>
      </c>
      <c r="C24" s="17">
        <f>+Sheet1!H25</f>
        <v>46114.699884259258</v>
      </c>
      <c r="D24" s="17">
        <f t="shared" si="2"/>
        <v>46114.616550925923</v>
      </c>
      <c r="E24">
        <f t="shared" si="1"/>
        <v>0.25565300000000002</v>
      </c>
    </row>
    <row r="25" spans="1:5">
      <c r="A25" s="28">
        <v>46114.624305999998</v>
      </c>
      <c r="B25" s="16">
        <v>0.53003</v>
      </c>
      <c r="C25" s="17">
        <f>+Sheet1!H26</f>
        <v>46114.700231481482</v>
      </c>
      <c r="D25" s="17">
        <f t="shared" si="2"/>
        <v>46114.616898148146</v>
      </c>
      <c r="E25">
        <f t="shared" si="1"/>
        <v>0.25565300000000002</v>
      </c>
    </row>
    <row r="26" spans="1:5">
      <c r="A26" s="28">
        <v>46114.625</v>
      </c>
      <c r="B26" s="16">
        <v>0.56669199999999997</v>
      </c>
      <c r="C26" s="17">
        <f>+Sheet1!H27</f>
        <v>46114.700578703705</v>
      </c>
      <c r="D26" s="17">
        <f t="shared" si="2"/>
        <v>46114.617245370369</v>
      </c>
      <c r="E26">
        <f t="shared" si="1"/>
        <v>0.25565300000000002</v>
      </c>
    </row>
    <row r="27" spans="1:5">
      <c r="A27" s="28">
        <v>46114.625694000002</v>
      </c>
      <c r="B27" s="16">
        <v>0.56669199999999997</v>
      </c>
      <c r="C27" s="17">
        <f>+Sheet1!H28</f>
        <v>46114.700925925928</v>
      </c>
      <c r="D27" s="17">
        <f t="shared" si="2"/>
        <v>46114.617592592593</v>
      </c>
      <c r="E27">
        <f t="shared" si="1"/>
        <v>0.25565300000000002</v>
      </c>
    </row>
    <row r="28" spans="1:5">
      <c r="A28" s="28">
        <v>46114.626388999997</v>
      </c>
      <c r="B28" s="16">
        <v>0.56517300000000004</v>
      </c>
      <c r="C28" s="17">
        <f>+Sheet1!H29</f>
        <v>46114.701273148145</v>
      </c>
      <c r="D28" s="17">
        <f t="shared" si="2"/>
        <v>46114.617939814809</v>
      </c>
      <c r="E28">
        <f t="shared" si="1"/>
        <v>0.25565300000000002</v>
      </c>
    </row>
    <row r="29" spans="1:5">
      <c r="A29" s="28">
        <v>46114.627082999999</v>
      </c>
      <c r="B29" s="16">
        <v>0.55647000000000002</v>
      </c>
      <c r="C29" s="17">
        <f>+Sheet1!H30</f>
        <v>46114.701620370368</v>
      </c>
      <c r="D29" s="17">
        <f t="shared" si="2"/>
        <v>46114.618287037032</v>
      </c>
      <c r="E29">
        <f t="shared" si="1"/>
        <v>0.25565300000000002</v>
      </c>
    </row>
    <row r="30" spans="1:5">
      <c r="A30" s="28">
        <v>46114.627778000002</v>
      </c>
      <c r="B30" s="16">
        <v>0.55647000000000002</v>
      </c>
      <c r="C30" s="17">
        <f>+Sheet1!H31</f>
        <v>46114.701967592591</v>
      </c>
      <c r="D30" s="17">
        <f t="shared" si="2"/>
        <v>46114.618634259255</v>
      </c>
      <c r="E30">
        <f t="shared" si="1"/>
        <v>0.25565300000000002</v>
      </c>
    </row>
    <row r="31" spans="1:5">
      <c r="A31" s="28">
        <v>46114.628471999997</v>
      </c>
      <c r="B31" s="16">
        <v>0.55647000000000002</v>
      </c>
      <c r="C31" s="17">
        <f>+Sheet1!H32</f>
        <v>46114.702314814815</v>
      </c>
      <c r="D31" s="17">
        <f t="shared" si="2"/>
        <v>46114.618981481479</v>
      </c>
      <c r="E31">
        <f t="shared" si="1"/>
        <v>0.25565300000000002</v>
      </c>
    </row>
    <row r="32" spans="1:5">
      <c r="A32" s="28">
        <v>46114.629166999999</v>
      </c>
      <c r="B32" s="16">
        <v>0.55989699999999998</v>
      </c>
      <c r="C32" s="17">
        <f>+Sheet1!H33</f>
        <v>46114.702662037038</v>
      </c>
      <c r="D32" s="17">
        <f t="shared" si="2"/>
        <v>46114.619328703702</v>
      </c>
      <c r="E32">
        <f t="shared" si="1"/>
        <v>0.25565300000000002</v>
      </c>
    </row>
    <row r="33" spans="1:5">
      <c r="A33" s="28">
        <v>46114.629861000001</v>
      </c>
      <c r="B33" s="16">
        <v>0.56470299999999995</v>
      </c>
      <c r="C33" s="17">
        <f>+Sheet1!H34</f>
        <v>46114.703009259261</v>
      </c>
      <c r="D33" s="17">
        <f t="shared" si="2"/>
        <v>46114.619675925926</v>
      </c>
      <c r="E33">
        <f t="shared" si="1"/>
        <v>0.25565300000000002</v>
      </c>
    </row>
    <row r="34" spans="1:5">
      <c r="A34" s="28">
        <v>46114.630555999996</v>
      </c>
      <c r="B34" s="16">
        <v>0.56470299999999995</v>
      </c>
      <c r="C34" s="17">
        <f>+Sheet1!H35</f>
        <v>46114.703356481485</v>
      </c>
      <c r="D34" s="17">
        <f t="shared" si="2"/>
        <v>46114.620023148149</v>
      </c>
      <c r="E34">
        <f t="shared" si="1"/>
        <v>0.25565300000000002</v>
      </c>
    </row>
    <row r="35" spans="1:5">
      <c r="A35" s="28">
        <v>46114.631249999999</v>
      </c>
      <c r="B35" s="16">
        <v>0.56470299999999995</v>
      </c>
      <c r="C35" s="17">
        <f>+Sheet1!H36</f>
        <v>46114.703703703701</v>
      </c>
      <c r="D35" s="17">
        <f t="shared" si="2"/>
        <v>46114.620370370365</v>
      </c>
      <c r="E35">
        <f t="shared" si="1"/>
        <v>0.30409799999999998</v>
      </c>
    </row>
    <row r="36" spans="1:5">
      <c r="A36" s="28">
        <v>46114.631944000001</v>
      </c>
      <c r="B36" s="16">
        <v>0.55059800000000003</v>
      </c>
      <c r="C36" s="17">
        <f>+Sheet1!H37</f>
        <v>46114.704050925924</v>
      </c>
      <c r="D36" s="17">
        <f t="shared" si="2"/>
        <v>46114.620717592588</v>
      </c>
      <c r="E36">
        <f t="shared" si="1"/>
        <v>0.30409799999999998</v>
      </c>
    </row>
    <row r="37" spans="1:5">
      <c r="A37" s="28">
        <v>46114.632639000003</v>
      </c>
      <c r="B37" s="16">
        <v>0.54559500000000005</v>
      </c>
      <c r="C37" s="17">
        <f>+Sheet1!H38</f>
        <v>46114.704398148147</v>
      </c>
      <c r="D37" s="17">
        <f t="shared" si="2"/>
        <v>46114.621064814812</v>
      </c>
      <c r="E37">
        <f t="shared" si="1"/>
        <v>0.36975799999999998</v>
      </c>
    </row>
    <row r="38" spans="1:5">
      <c r="A38" s="28">
        <v>46114.633332999998</v>
      </c>
      <c r="B38" s="16">
        <v>0.54559500000000005</v>
      </c>
      <c r="C38" s="17">
        <f>+Sheet1!H39</f>
        <v>46114.704745370371</v>
      </c>
      <c r="D38" s="17">
        <f t="shared" si="2"/>
        <v>46114.621412037035</v>
      </c>
      <c r="E38">
        <f t="shared" si="1"/>
        <v>0.36975799999999998</v>
      </c>
    </row>
    <row r="39" spans="1:5">
      <c r="A39" s="28">
        <v>46114.634028</v>
      </c>
      <c r="B39" s="16">
        <v>0.54559500000000005</v>
      </c>
      <c r="C39" s="17">
        <f>+Sheet1!H40</f>
        <v>46114.705092592594</v>
      </c>
      <c r="D39" s="17">
        <f t="shared" ref="D39:D102" si="3">+C39-2/24</f>
        <v>46114.621759259258</v>
      </c>
      <c r="E39">
        <f t="shared" si="1"/>
        <v>0.36975799999999998</v>
      </c>
    </row>
    <row r="40" spans="1:5">
      <c r="A40" s="28">
        <v>46114.634722000003</v>
      </c>
      <c r="B40" s="16">
        <v>0.60736100000000004</v>
      </c>
      <c r="C40" s="17">
        <f>+Sheet1!H41</f>
        <v>46114.705439814818</v>
      </c>
      <c r="D40" s="17">
        <f t="shared" si="3"/>
        <v>46114.622106481482</v>
      </c>
      <c r="E40">
        <f t="shared" si="1"/>
        <v>0.36975799999999998</v>
      </c>
    </row>
    <row r="41" spans="1:5">
      <c r="A41" s="28">
        <v>46114.635416999998</v>
      </c>
      <c r="B41" s="16">
        <v>0.61189000000000004</v>
      </c>
      <c r="C41" s="17">
        <f>+Sheet1!H42</f>
        <v>46114.705787037034</v>
      </c>
      <c r="D41" s="17">
        <f t="shared" si="3"/>
        <v>46114.622453703698</v>
      </c>
      <c r="E41">
        <f t="shared" si="1"/>
        <v>0.36975799999999998</v>
      </c>
    </row>
    <row r="42" spans="1:5">
      <c r="A42" s="28">
        <v>46114.636111</v>
      </c>
      <c r="B42" s="16">
        <v>0.61189000000000004</v>
      </c>
      <c r="C42" s="17">
        <f>+Sheet1!H43</f>
        <v>46114.706134259257</v>
      </c>
      <c r="D42" s="17">
        <f t="shared" si="3"/>
        <v>46114.622800925921</v>
      </c>
      <c r="E42">
        <f t="shared" si="1"/>
        <v>0.36975799999999998</v>
      </c>
    </row>
    <row r="43" spans="1:5">
      <c r="A43" s="28">
        <v>46114.636806000002</v>
      </c>
      <c r="B43" s="16">
        <v>0.91809700000000005</v>
      </c>
      <c r="C43" s="17">
        <f>+Sheet1!H44</f>
        <v>46114.70648148148</v>
      </c>
      <c r="D43" s="17">
        <f t="shared" si="3"/>
        <v>46114.623148148145</v>
      </c>
      <c r="E43">
        <f t="shared" si="1"/>
        <v>0.36975799999999998</v>
      </c>
    </row>
    <row r="44" spans="1:5">
      <c r="A44" s="28">
        <v>46114.637499999997</v>
      </c>
      <c r="B44" s="16">
        <v>1.1828879999999999</v>
      </c>
      <c r="C44" s="17">
        <f>+Sheet1!H45</f>
        <v>46114.706828703704</v>
      </c>
      <c r="D44" s="17">
        <f t="shared" si="3"/>
        <v>46114.623495370368</v>
      </c>
      <c r="E44">
        <f t="shared" si="1"/>
        <v>0.36975799999999998</v>
      </c>
    </row>
    <row r="45" spans="1:5">
      <c r="A45" s="28">
        <v>46114.638193999999</v>
      </c>
      <c r="B45" s="16">
        <v>1.2077929999999999</v>
      </c>
      <c r="C45" s="17">
        <f>+Sheet1!H46</f>
        <v>46114.707187499997</v>
      </c>
      <c r="D45" s="17">
        <f t="shared" si="3"/>
        <v>46114.623854166661</v>
      </c>
      <c r="E45">
        <f t="shared" si="1"/>
        <v>0.36975799999999998</v>
      </c>
    </row>
    <row r="46" spans="1:5">
      <c r="A46" s="28">
        <v>46114.638889000002</v>
      </c>
      <c r="B46" s="16">
        <v>1.210774</v>
      </c>
      <c r="C46" s="17">
        <f>+Sheet1!H47</f>
        <v>46114.70753472222</v>
      </c>
      <c r="D46" s="17">
        <f t="shared" si="3"/>
        <v>46114.624201388884</v>
      </c>
      <c r="E46">
        <f t="shared" si="1"/>
        <v>0.36975799999999998</v>
      </c>
    </row>
    <row r="47" spans="1:5">
      <c r="A47" s="28">
        <v>46114.639582999996</v>
      </c>
      <c r="B47" s="16">
        <v>1.1408720000000001</v>
      </c>
      <c r="C47" s="17">
        <f>+Sheet1!H48</f>
        <v>46114.707881944443</v>
      </c>
      <c r="D47" s="17">
        <f t="shared" si="3"/>
        <v>46114.624548611107</v>
      </c>
      <c r="E47">
        <f t="shared" si="1"/>
        <v>0.53003</v>
      </c>
    </row>
    <row r="48" spans="1:5">
      <c r="A48" s="28">
        <v>46114.640277999999</v>
      </c>
      <c r="B48" s="16">
        <v>1.1510549999999999</v>
      </c>
      <c r="C48" s="17">
        <f>+Sheet1!H49</f>
        <v>46114.708229166667</v>
      </c>
      <c r="D48" s="17">
        <f t="shared" si="3"/>
        <v>46114.624895833331</v>
      </c>
      <c r="E48">
        <f t="shared" si="1"/>
        <v>0.53003</v>
      </c>
    </row>
    <row r="49" spans="1:5">
      <c r="A49" s="28">
        <v>46114.640972000001</v>
      </c>
      <c r="B49" s="16">
        <v>1.1849419999999999</v>
      </c>
      <c r="C49" s="17">
        <f>+Sheet1!H50</f>
        <v>46114.70857638889</v>
      </c>
      <c r="D49" s="17">
        <f t="shared" si="3"/>
        <v>46114.625243055554</v>
      </c>
      <c r="E49">
        <f t="shared" si="1"/>
        <v>0.56669199999999997</v>
      </c>
    </row>
    <row r="50" spans="1:5">
      <c r="A50" s="28">
        <v>46114.641667000004</v>
      </c>
      <c r="B50" s="16">
        <v>1.190293</v>
      </c>
      <c r="C50" s="17">
        <f>+Sheet1!H51</f>
        <v>46114.708923611113</v>
      </c>
      <c r="D50" s="17">
        <f t="shared" si="3"/>
        <v>46114.625590277778</v>
      </c>
      <c r="E50">
        <f t="shared" si="1"/>
        <v>0.56669199999999997</v>
      </c>
    </row>
    <row r="51" spans="1:5">
      <c r="A51" s="28">
        <v>46114.642360999998</v>
      </c>
      <c r="B51" s="16">
        <v>1.196286</v>
      </c>
      <c r="C51" s="17">
        <f>+Sheet1!H52</f>
        <v>46114.709270833337</v>
      </c>
      <c r="D51" s="17">
        <f t="shared" si="3"/>
        <v>46114.625937500001</v>
      </c>
      <c r="E51">
        <f t="shared" si="1"/>
        <v>0.56669199999999997</v>
      </c>
    </row>
    <row r="52" spans="1:5">
      <c r="A52" s="28">
        <v>46114.643056000001</v>
      </c>
      <c r="B52" s="16">
        <v>1.1898249999999999</v>
      </c>
      <c r="C52" s="17">
        <f>+Sheet1!H53</f>
        <v>46114.709618055553</v>
      </c>
      <c r="D52" s="17">
        <f t="shared" si="3"/>
        <v>46114.626284722217</v>
      </c>
      <c r="E52">
        <f t="shared" si="1"/>
        <v>0.56669199999999997</v>
      </c>
    </row>
    <row r="53" spans="1:5">
      <c r="A53" s="28">
        <v>46114.643750000003</v>
      </c>
      <c r="B53" s="16">
        <v>1.187422</v>
      </c>
      <c r="C53" s="17">
        <f>+Sheet1!H54</f>
        <v>46114.709965277776</v>
      </c>
      <c r="D53" s="17">
        <f t="shared" si="3"/>
        <v>46114.62663194444</v>
      </c>
      <c r="E53">
        <f t="shared" si="1"/>
        <v>0.56517300000000004</v>
      </c>
    </row>
    <row r="54" spans="1:5">
      <c r="A54" s="28">
        <v>46114.644443999998</v>
      </c>
      <c r="B54" s="16">
        <v>1.1628750000000001</v>
      </c>
      <c r="C54" s="17">
        <f>+Sheet1!H55</f>
        <v>46114.710312499999</v>
      </c>
      <c r="D54" s="17">
        <f t="shared" si="3"/>
        <v>46114.626979166664</v>
      </c>
      <c r="E54">
        <f t="shared" si="1"/>
        <v>0.56517300000000004</v>
      </c>
    </row>
    <row r="55" spans="1:5">
      <c r="A55" s="28">
        <v>46114.645139</v>
      </c>
      <c r="B55" s="16">
        <v>1.1657839999999999</v>
      </c>
      <c r="C55" s="17">
        <f>+Sheet1!H56</f>
        <v>46114.710659722223</v>
      </c>
      <c r="D55" s="17">
        <f t="shared" si="3"/>
        <v>46114.627326388887</v>
      </c>
      <c r="E55">
        <f t="shared" si="1"/>
        <v>0.55647000000000002</v>
      </c>
    </row>
    <row r="56" spans="1:5">
      <c r="A56" s="28">
        <v>46114.645833000002</v>
      </c>
      <c r="B56" s="16">
        <v>1.1821330000000001</v>
      </c>
      <c r="C56" s="17">
        <f>+Sheet1!H57</f>
        <v>46114.711006944446</v>
      </c>
      <c r="D56" s="17">
        <f t="shared" si="3"/>
        <v>46114.62767361111</v>
      </c>
      <c r="E56">
        <f t="shared" si="1"/>
        <v>0.55647000000000002</v>
      </c>
    </row>
    <row r="57" spans="1:5">
      <c r="A57" s="28">
        <v>46114.646527999997</v>
      </c>
      <c r="B57" s="16">
        <v>1.1687339999999999</v>
      </c>
      <c r="C57" s="17">
        <f>+Sheet1!H58</f>
        <v>46114.711354166669</v>
      </c>
      <c r="D57" s="17">
        <f t="shared" si="3"/>
        <v>46114.628020833334</v>
      </c>
      <c r="E57">
        <f t="shared" si="1"/>
        <v>0.55647000000000002</v>
      </c>
    </row>
    <row r="58" spans="1:5">
      <c r="A58" s="28">
        <v>46114.647222</v>
      </c>
      <c r="B58" s="16">
        <v>1.149945</v>
      </c>
      <c r="C58" s="17">
        <f>+Sheet1!H59</f>
        <v>46114.711701388886</v>
      </c>
      <c r="D58" s="17">
        <f t="shared" si="3"/>
        <v>46114.62836805555</v>
      </c>
      <c r="E58">
        <f t="shared" si="1"/>
        <v>0.55647000000000002</v>
      </c>
    </row>
    <row r="59" spans="1:5">
      <c r="A59" s="28">
        <v>46114.647917000002</v>
      </c>
      <c r="B59" s="16">
        <v>1.148304</v>
      </c>
      <c r="C59" s="17">
        <f>+Sheet1!H60</f>
        <v>46114.712048611109</v>
      </c>
      <c r="D59" s="17">
        <f t="shared" si="3"/>
        <v>46114.628715277773</v>
      </c>
      <c r="E59">
        <f t="shared" si="1"/>
        <v>0.55647000000000002</v>
      </c>
    </row>
    <row r="60" spans="1:5">
      <c r="A60" s="28">
        <v>46114.648610999997</v>
      </c>
      <c r="B60" s="16">
        <v>1.1472260000000001</v>
      </c>
      <c r="C60" s="17">
        <f>+Sheet1!H61</f>
        <v>46114.712395833332</v>
      </c>
      <c r="D60" s="17">
        <f t="shared" si="3"/>
        <v>46114.629062499997</v>
      </c>
      <c r="E60">
        <f t="shared" si="1"/>
        <v>0.55647000000000002</v>
      </c>
    </row>
    <row r="61" spans="1:5">
      <c r="A61" s="28">
        <v>46114.649305999999</v>
      </c>
      <c r="B61" s="16">
        <v>1.1796390000000001</v>
      </c>
      <c r="C61" s="17">
        <f>+Sheet1!H62</f>
        <v>46114.712743055556</v>
      </c>
      <c r="D61" s="17">
        <f t="shared" si="3"/>
        <v>46114.62940972222</v>
      </c>
      <c r="E61">
        <f t="shared" si="1"/>
        <v>0.55989699999999998</v>
      </c>
    </row>
    <row r="62" spans="1:5">
      <c r="A62" s="28">
        <v>46114.65</v>
      </c>
      <c r="B62" s="16">
        <v>1.218135</v>
      </c>
      <c r="C62" s="17">
        <f>+Sheet1!H63</f>
        <v>46114.713090277779</v>
      </c>
      <c r="D62" s="17">
        <f t="shared" si="3"/>
        <v>46114.629756944443</v>
      </c>
      <c r="E62">
        <f t="shared" si="1"/>
        <v>0.55989699999999998</v>
      </c>
    </row>
    <row r="63" spans="1:5">
      <c r="A63" s="28">
        <v>46114.650694000004</v>
      </c>
      <c r="B63" s="16">
        <v>2.0972040000000001</v>
      </c>
      <c r="C63" s="17">
        <f>+Sheet1!H64</f>
        <v>46114.713437500002</v>
      </c>
      <c r="D63" s="17">
        <f t="shared" si="3"/>
        <v>46114.630104166667</v>
      </c>
      <c r="E63">
        <f t="shared" si="1"/>
        <v>0.56470299999999995</v>
      </c>
    </row>
    <row r="64" spans="1:5">
      <c r="A64" s="28">
        <v>46114.651388999999</v>
      </c>
      <c r="B64" s="16">
        <v>2.1880000000000002</v>
      </c>
      <c r="C64" s="17">
        <f>+Sheet1!H65</f>
        <v>46114.713784722226</v>
      </c>
      <c r="D64" s="17">
        <f t="shared" si="3"/>
        <v>46114.63045138889</v>
      </c>
      <c r="E64">
        <f t="shared" si="1"/>
        <v>0.56470299999999995</v>
      </c>
    </row>
    <row r="65" spans="1:5">
      <c r="A65" s="28">
        <v>46114.652083000001</v>
      </c>
      <c r="B65" s="16">
        <v>2.5292919999999999</v>
      </c>
      <c r="C65" s="17">
        <f>+Sheet1!H66</f>
        <v>46114.714131944442</v>
      </c>
      <c r="D65" s="17">
        <f t="shared" si="3"/>
        <v>46114.630798611106</v>
      </c>
      <c r="E65">
        <f t="shared" si="1"/>
        <v>0.56470299999999995</v>
      </c>
    </row>
    <row r="66" spans="1:5">
      <c r="A66" s="28">
        <v>46114.652778000003</v>
      </c>
      <c r="B66" s="16">
        <v>2.26505</v>
      </c>
      <c r="C66" s="17">
        <f>+Sheet1!H67</f>
        <v>46114.714479166665</v>
      </c>
      <c r="D66" s="17">
        <f t="shared" si="3"/>
        <v>46114.631145833329</v>
      </c>
      <c r="E66">
        <f t="shared" ref="E66:E129" si="4">_xlfn.XLOOKUP(D66,A:A,B:B,,-1)</f>
        <v>0.56470299999999995</v>
      </c>
    </row>
    <row r="67" spans="1:5">
      <c r="A67" s="28">
        <v>46114.653471999998</v>
      </c>
      <c r="B67" s="16">
        <v>2.2953229999999998</v>
      </c>
      <c r="C67" s="17">
        <f>+Sheet1!H68</f>
        <v>46114.714826388888</v>
      </c>
      <c r="D67" s="17">
        <f t="shared" si="3"/>
        <v>46114.631493055553</v>
      </c>
      <c r="E67">
        <f t="shared" si="4"/>
        <v>0.56470299999999995</v>
      </c>
    </row>
    <row r="68" spans="1:5">
      <c r="A68" s="28">
        <v>46114.654167000001</v>
      </c>
      <c r="B68" s="16">
        <v>2.3978419999999998</v>
      </c>
      <c r="C68" s="17">
        <f>+Sheet1!H69</f>
        <v>46114.715173611112</v>
      </c>
      <c r="D68" s="17">
        <f t="shared" si="3"/>
        <v>46114.631840277776</v>
      </c>
      <c r="E68">
        <f t="shared" si="4"/>
        <v>0.56470299999999995</v>
      </c>
    </row>
    <row r="69" spans="1:5">
      <c r="A69" s="28">
        <v>46114.654861000003</v>
      </c>
      <c r="B69" s="16">
        <v>2.2928579999999998</v>
      </c>
      <c r="C69" s="17">
        <f>+Sheet1!H70</f>
        <v>46114.715520833335</v>
      </c>
      <c r="D69" s="17">
        <f t="shared" si="3"/>
        <v>46114.632187499999</v>
      </c>
      <c r="E69">
        <f t="shared" si="4"/>
        <v>0.55059800000000003</v>
      </c>
    </row>
    <row r="70" spans="1:5">
      <c r="A70" s="28">
        <v>46114.655555999998</v>
      </c>
      <c r="B70" s="16">
        <v>2.3074590000000001</v>
      </c>
      <c r="C70" s="17">
        <f>+Sheet1!H71</f>
        <v>46114.715868055559</v>
      </c>
      <c r="D70" s="17">
        <f t="shared" si="3"/>
        <v>46114.632534722223</v>
      </c>
      <c r="E70">
        <f t="shared" si="4"/>
        <v>0.55059800000000003</v>
      </c>
    </row>
    <row r="71" spans="1:5">
      <c r="A71" s="28">
        <v>46114.65625</v>
      </c>
      <c r="B71" s="16">
        <v>2.335515</v>
      </c>
      <c r="C71" s="17">
        <f>+Sheet1!H72</f>
        <v>46114.716215277775</v>
      </c>
      <c r="D71" s="17">
        <f t="shared" si="3"/>
        <v>46114.632881944439</v>
      </c>
      <c r="E71">
        <f t="shared" si="4"/>
        <v>0.54559500000000005</v>
      </c>
    </row>
    <row r="72" spans="1:5">
      <c r="A72" s="28">
        <v>46114.656944000002</v>
      </c>
      <c r="B72" s="16">
        <v>2.26267</v>
      </c>
      <c r="C72" s="17">
        <f>+Sheet1!H73</f>
        <v>46114.716562499998</v>
      </c>
      <c r="D72" s="17">
        <f t="shared" si="3"/>
        <v>46114.633229166662</v>
      </c>
      <c r="E72">
        <f t="shared" si="4"/>
        <v>0.54559500000000005</v>
      </c>
    </row>
    <row r="73" spans="1:5">
      <c r="A73" s="28">
        <v>46114.657638999997</v>
      </c>
      <c r="B73" s="16">
        <v>2.3519649999999999</v>
      </c>
      <c r="C73" s="17">
        <f>+Sheet1!H74</f>
        <v>46114.716909722221</v>
      </c>
      <c r="D73" s="17">
        <f t="shared" si="3"/>
        <v>46114.633576388886</v>
      </c>
      <c r="E73">
        <f t="shared" si="4"/>
        <v>0.54559500000000005</v>
      </c>
    </row>
    <row r="74" spans="1:5">
      <c r="A74" s="28">
        <v>46114.658332999999</v>
      </c>
      <c r="B74" s="16">
        <v>2.1574469999999999</v>
      </c>
      <c r="C74" s="17">
        <f>+Sheet1!H75</f>
        <v>46114.717256944445</v>
      </c>
      <c r="D74" s="17">
        <f t="shared" si="3"/>
        <v>46114.633923611109</v>
      </c>
      <c r="E74">
        <f t="shared" si="4"/>
        <v>0.54559500000000005</v>
      </c>
    </row>
    <row r="75" spans="1:5">
      <c r="A75" s="28">
        <v>46114.659028000002</v>
      </c>
      <c r="B75" s="16">
        <v>2.3242430000000001</v>
      </c>
      <c r="C75" s="17">
        <f>+Sheet1!H76</f>
        <v>46114.717604166668</v>
      </c>
      <c r="D75" s="17">
        <f t="shared" si="3"/>
        <v>46114.634270833332</v>
      </c>
      <c r="E75">
        <f t="shared" si="4"/>
        <v>0.54559500000000005</v>
      </c>
    </row>
    <row r="76" spans="1:5">
      <c r="A76" s="28">
        <v>46114.659721999997</v>
      </c>
      <c r="B76" s="16">
        <v>2.2416</v>
      </c>
      <c r="C76" s="17">
        <f>+Sheet1!H77</f>
        <v>46114.717951388891</v>
      </c>
      <c r="D76" s="17">
        <f t="shared" si="3"/>
        <v>46114.634618055556</v>
      </c>
      <c r="E76">
        <f t="shared" si="4"/>
        <v>0.54559500000000005</v>
      </c>
    </row>
    <row r="77" spans="1:5">
      <c r="A77" s="28">
        <v>46114.660416999999</v>
      </c>
      <c r="B77" s="16">
        <v>2.238747</v>
      </c>
      <c r="C77" s="17">
        <f>+Sheet1!H78</f>
        <v>46114.718298611115</v>
      </c>
      <c r="D77" s="17">
        <f t="shared" si="3"/>
        <v>46114.634965277779</v>
      </c>
      <c r="E77">
        <f t="shared" si="4"/>
        <v>0.60736100000000004</v>
      </c>
    </row>
    <row r="78" spans="1:5">
      <c r="A78" s="28">
        <v>46114.661111000001</v>
      </c>
      <c r="B78" s="16">
        <v>2.2413050000000001</v>
      </c>
      <c r="C78" s="17">
        <f>+Sheet1!H79</f>
        <v>46114.718645833331</v>
      </c>
      <c r="D78" s="17">
        <f t="shared" si="3"/>
        <v>46114.635312499995</v>
      </c>
      <c r="E78">
        <f t="shared" si="4"/>
        <v>0.60736100000000004</v>
      </c>
    </row>
    <row r="79" spans="1:5">
      <c r="A79" s="28">
        <v>46114.661805999996</v>
      </c>
      <c r="B79" s="16">
        <v>2.225012</v>
      </c>
      <c r="C79" s="17">
        <f>+Sheet1!H80</f>
        <v>46114.718993055554</v>
      </c>
      <c r="D79" s="17">
        <f t="shared" si="3"/>
        <v>46114.635659722218</v>
      </c>
      <c r="E79">
        <f t="shared" si="4"/>
        <v>0.61189000000000004</v>
      </c>
    </row>
    <row r="80" spans="1:5">
      <c r="A80" s="28">
        <v>46114.662499999999</v>
      </c>
      <c r="B80" s="16">
        <v>2.2990539999999999</v>
      </c>
      <c r="C80" s="17">
        <f>+Sheet1!H81</f>
        <v>46114.719340277778</v>
      </c>
      <c r="D80" s="17">
        <f t="shared" si="3"/>
        <v>46114.636006944442</v>
      </c>
      <c r="E80">
        <f t="shared" si="4"/>
        <v>0.61189000000000004</v>
      </c>
    </row>
    <row r="81" spans="1:5">
      <c r="A81" s="28">
        <v>46114.663194000001</v>
      </c>
      <c r="B81" s="16">
        <v>2.2950170000000001</v>
      </c>
      <c r="C81" s="17">
        <f>+Sheet1!H82</f>
        <v>46114.719687500001</v>
      </c>
      <c r="D81" s="17">
        <f t="shared" si="3"/>
        <v>46114.636354166665</v>
      </c>
      <c r="E81">
        <f t="shared" si="4"/>
        <v>0.61189000000000004</v>
      </c>
    </row>
    <row r="82" spans="1:5">
      <c r="A82" s="28">
        <v>46114.663889000003</v>
      </c>
      <c r="B82" s="16">
        <v>2.2787739999999999</v>
      </c>
      <c r="C82" s="17">
        <f>+Sheet1!H83</f>
        <v>46114.720034722224</v>
      </c>
      <c r="D82" s="17">
        <f t="shared" si="3"/>
        <v>46114.636701388888</v>
      </c>
      <c r="E82">
        <f t="shared" si="4"/>
        <v>0.61189000000000004</v>
      </c>
    </row>
    <row r="83" spans="1:5">
      <c r="A83" s="28">
        <v>46114.664582999998</v>
      </c>
      <c r="B83" s="16">
        <v>3.0086360000000001</v>
      </c>
      <c r="C83" s="17">
        <f>+Sheet1!H84</f>
        <v>46114.720381944448</v>
      </c>
      <c r="D83" s="17">
        <f t="shared" si="3"/>
        <v>46114.637048611112</v>
      </c>
      <c r="E83">
        <f t="shared" si="4"/>
        <v>0.91809700000000005</v>
      </c>
    </row>
    <row r="84" spans="1:5">
      <c r="A84" s="28">
        <v>46114.665278</v>
      </c>
      <c r="B84" s="16">
        <v>3.464899</v>
      </c>
      <c r="C84" s="17">
        <f>+Sheet1!H85</f>
        <v>46114.720729166664</v>
      </c>
      <c r="D84" s="17">
        <f t="shared" si="3"/>
        <v>46114.637395833328</v>
      </c>
      <c r="E84">
        <f t="shared" si="4"/>
        <v>0.91809700000000005</v>
      </c>
    </row>
    <row r="85" spans="1:5">
      <c r="A85" s="28">
        <v>46114.665972000003</v>
      </c>
      <c r="B85" s="16">
        <v>3.2805960000000001</v>
      </c>
      <c r="C85" s="17">
        <f>+Sheet1!H86</f>
        <v>46114.721076388887</v>
      </c>
      <c r="D85" s="17">
        <f t="shared" si="3"/>
        <v>46114.637743055551</v>
      </c>
      <c r="E85">
        <f t="shared" si="4"/>
        <v>1.1828879999999999</v>
      </c>
    </row>
    <row r="86" spans="1:5">
      <c r="A86" s="28">
        <v>46114.666666999998</v>
      </c>
      <c r="B86" s="16">
        <v>3.6246260000000001</v>
      </c>
      <c r="C86" s="17">
        <f>+Sheet1!H87</f>
        <v>46114.72142361111</v>
      </c>
      <c r="D86" s="17">
        <f t="shared" si="3"/>
        <v>46114.638090277775</v>
      </c>
      <c r="E86">
        <f t="shared" si="4"/>
        <v>1.1828879999999999</v>
      </c>
    </row>
    <row r="87" spans="1:5">
      <c r="A87" s="28">
        <v>46114.667361</v>
      </c>
      <c r="B87" s="16">
        <v>3.4860600000000002</v>
      </c>
      <c r="C87" s="17">
        <f>+Sheet1!H88</f>
        <v>46114.721770833334</v>
      </c>
      <c r="D87" s="17">
        <f t="shared" si="3"/>
        <v>46114.638437499998</v>
      </c>
      <c r="E87">
        <f t="shared" si="4"/>
        <v>1.2077929999999999</v>
      </c>
    </row>
    <row r="88" spans="1:5">
      <c r="A88" s="28">
        <v>46114.668056000002</v>
      </c>
      <c r="B88" s="16">
        <v>3.2645300000000002</v>
      </c>
      <c r="C88" s="17">
        <f>+Sheet1!H89</f>
        <v>46114.722118055557</v>
      </c>
      <c r="D88" s="17">
        <f t="shared" si="3"/>
        <v>46114.638784722221</v>
      </c>
      <c r="E88">
        <f t="shared" si="4"/>
        <v>1.2077929999999999</v>
      </c>
    </row>
    <row r="89" spans="1:5">
      <c r="A89" s="28">
        <v>46114.668749999997</v>
      </c>
      <c r="B89" s="16">
        <v>3.5587620000000002</v>
      </c>
      <c r="C89" s="17">
        <f>+Sheet1!H90</f>
        <v>46114.72246527778</v>
      </c>
      <c r="D89" s="17">
        <f t="shared" si="3"/>
        <v>46114.639131944445</v>
      </c>
      <c r="E89">
        <f t="shared" si="4"/>
        <v>1.210774</v>
      </c>
    </row>
    <row r="90" spans="1:5">
      <c r="A90" s="28">
        <v>46114.669443999999</v>
      </c>
      <c r="B90" s="16">
        <v>3.3923869999999998</v>
      </c>
      <c r="C90" s="17">
        <f>+Sheet1!H91</f>
        <v>46114.722812499997</v>
      </c>
      <c r="D90" s="17">
        <f t="shared" si="3"/>
        <v>46114.639479166661</v>
      </c>
      <c r="E90">
        <f t="shared" si="4"/>
        <v>1.210774</v>
      </c>
    </row>
    <row r="91" spans="1:5">
      <c r="A91" s="28">
        <v>46114.670139000002</v>
      </c>
      <c r="B91" s="16">
        <v>3.498103</v>
      </c>
      <c r="C91" s="17">
        <f>+Sheet1!H92</f>
        <v>46114.72315972222</v>
      </c>
      <c r="D91" s="17">
        <f t="shared" si="3"/>
        <v>46114.639826388884</v>
      </c>
      <c r="E91">
        <f t="shared" si="4"/>
        <v>1.1408720000000001</v>
      </c>
    </row>
    <row r="92" spans="1:5">
      <c r="A92" s="28">
        <v>46114.670832999996</v>
      </c>
      <c r="B92" s="16">
        <v>3.4702519999999999</v>
      </c>
      <c r="C92" s="17">
        <f>+Sheet1!H93</f>
        <v>46114.723506944443</v>
      </c>
      <c r="D92" s="17">
        <f t="shared" si="3"/>
        <v>46114.640173611107</v>
      </c>
      <c r="E92">
        <f t="shared" si="4"/>
        <v>1.1408720000000001</v>
      </c>
    </row>
    <row r="93" spans="1:5">
      <c r="A93" s="28">
        <v>46114.671527999999</v>
      </c>
      <c r="B93" s="16">
        <v>3.3842349999999999</v>
      </c>
      <c r="C93" s="17">
        <f>+Sheet1!H94</f>
        <v>46114.723854166667</v>
      </c>
      <c r="D93" s="17">
        <f t="shared" si="3"/>
        <v>46114.640520833331</v>
      </c>
      <c r="E93">
        <f t="shared" si="4"/>
        <v>1.1510549999999999</v>
      </c>
    </row>
    <row r="94" spans="1:5">
      <c r="A94" s="28">
        <v>46114.672222000001</v>
      </c>
      <c r="B94" s="16">
        <v>3.1893310000000001</v>
      </c>
      <c r="C94" s="17">
        <f>+Sheet1!H95</f>
        <v>46114.72420138889</v>
      </c>
      <c r="D94" s="17">
        <f t="shared" si="3"/>
        <v>46114.640868055554</v>
      </c>
      <c r="E94">
        <f t="shared" si="4"/>
        <v>1.1510549999999999</v>
      </c>
    </row>
    <row r="95" spans="1:5">
      <c r="A95" s="28">
        <v>46114.672917000004</v>
      </c>
      <c r="B95" s="16">
        <v>3.3596520000000001</v>
      </c>
      <c r="C95" s="17">
        <f>+Sheet1!H96</f>
        <v>46114.724548611113</v>
      </c>
      <c r="D95" s="17">
        <f t="shared" si="3"/>
        <v>46114.641215277778</v>
      </c>
      <c r="E95">
        <f t="shared" si="4"/>
        <v>1.1849419999999999</v>
      </c>
    </row>
    <row r="96" spans="1:5">
      <c r="A96" s="28">
        <v>46114.673610999998</v>
      </c>
      <c r="B96" s="16">
        <v>3.432061</v>
      </c>
      <c r="C96" s="17">
        <f>+Sheet1!H97</f>
        <v>46114.724895833337</v>
      </c>
      <c r="D96" s="17">
        <f t="shared" si="3"/>
        <v>46114.641562500001</v>
      </c>
      <c r="E96">
        <f t="shared" si="4"/>
        <v>1.1849419999999999</v>
      </c>
    </row>
    <row r="97" spans="1:5">
      <c r="A97" s="28">
        <v>46114.674306000001</v>
      </c>
      <c r="B97" s="16">
        <v>3.3556859999999999</v>
      </c>
      <c r="C97" s="17">
        <f>+Sheet1!H98</f>
        <v>46114.725243055553</v>
      </c>
      <c r="D97" s="17">
        <f t="shared" si="3"/>
        <v>46114.641909722217</v>
      </c>
      <c r="E97">
        <f t="shared" si="4"/>
        <v>1.190293</v>
      </c>
    </row>
    <row r="98" spans="1:5">
      <c r="A98" s="28">
        <v>46114.675000000003</v>
      </c>
      <c r="B98" s="16">
        <v>3.405119</v>
      </c>
      <c r="C98" s="17">
        <f>+Sheet1!H99</f>
        <v>46114.725590277776</v>
      </c>
      <c r="D98" s="17">
        <f t="shared" si="3"/>
        <v>46114.64225694444</v>
      </c>
      <c r="E98">
        <f t="shared" si="4"/>
        <v>1.190293</v>
      </c>
    </row>
    <row r="99" spans="1:5">
      <c r="A99" s="28">
        <v>46114.675693999998</v>
      </c>
      <c r="B99" s="16">
        <v>3.419181</v>
      </c>
      <c r="C99" s="17">
        <f>+Sheet1!H100</f>
        <v>46114.725937499999</v>
      </c>
      <c r="D99" s="17">
        <f t="shared" si="3"/>
        <v>46114.642604166664</v>
      </c>
      <c r="E99">
        <f t="shared" si="4"/>
        <v>1.196286</v>
      </c>
    </row>
    <row r="100" spans="1:5">
      <c r="A100" s="28">
        <v>46114.676389</v>
      </c>
      <c r="B100" s="16">
        <v>3.3114439999999998</v>
      </c>
      <c r="C100" s="17">
        <f>+Sheet1!H101</f>
        <v>46114.726284722223</v>
      </c>
      <c r="D100" s="17">
        <f t="shared" si="3"/>
        <v>46114.642951388887</v>
      </c>
      <c r="E100">
        <f t="shared" si="4"/>
        <v>1.196286</v>
      </c>
    </row>
    <row r="101" spans="1:5">
      <c r="A101" s="28">
        <v>46114.677083000002</v>
      </c>
      <c r="B101" s="16">
        <v>3.4422739999999998</v>
      </c>
      <c r="C101" s="17">
        <f>+Sheet1!H102</f>
        <v>46114.726631944446</v>
      </c>
      <c r="D101" s="17">
        <f t="shared" si="3"/>
        <v>46114.64329861111</v>
      </c>
      <c r="E101">
        <f t="shared" si="4"/>
        <v>1.1898249999999999</v>
      </c>
    </row>
    <row r="102" spans="1:5">
      <c r="A102" s="28">
        <v>46114.677777999997</v>
      </c>
      <c r="B102" s="16">
        <v>3.203697</v>
      </c>
      <c r="C102" s="17">
        <f>+Sheet1!H103</f>
        <v>46114.726979166669</v>
      </c>
      <c r="D102" s="17">
        <f t="shared" si="3"/>
        <v>46114.643645833334</v>
      </c>
      <c r="E102">
        <f t="shared" si="4"/>
        <v>1.1898249999999999</v>
      </c>
    </row>
    <row r="103" spans="1:5">
      <c r="A103" s="28">
        <v>46114.678472</v>
      </c>
      <c r="B103" s="16">
        <v>4.3815379999999999</v>
      </c>
      <c r="C103" s="17">
        <f>+Sheet1!H104</f>
        <v>46114.727326388886</v>
      </c>
      <c r="D103" s="17">
        <f t="shared" ref="D103:D166" si="5">+C103-2/24</f>
        <v>46114.64399305555</v>
      </c>
      <c r="E103">
        <f t="shared" si="4"/>
        <v>1.187422</v>
      </c>
    </row>
    <row r="104" spans="1:5">
      <c r="A104" s="28">
        <v>46114.679167000002</v>
      </c>
      <c r="B104" s="16">
        <v>4.6200400000000004</v>
      </c>
      <c r="C104" s="17">
        <f>+Sheet1!H105</f>
        <v>46114.727673611109</v>
      </c>
      <c r="D104" s="17">
        <f t="shared" si="5"/>
        <v>46114.644340277773</v>
      </c>
      <c r="E104">
        <f t="shared" si="4"/>
        <v>1.187422</v>
      </c>
    </row>
    <row r="105" spans="1:5">
      <c r="A105" s="28">
        <v>46114.679860999997</v>
      </c>
      <c r="B105" s="16">
        <v>4.941414</v>
      </c>
      <c r="C105" s="17">
        <f>+Sheet1!H106</f>
        <v>46114.728020833332</v>
      </c>
      <c r="D105" s="17">
        <f t="shared" si="5"/>
        <v>46114.644687499997</v>
      </c>
      <c r="E105">
        <f t="shared" si="4"/>
        <v>1.1628750000000001</v>
      </c>
    </row>
    <row r="106" spans="1:5">
      <c r="A106" s="28">
        <v>46114.680555999999</v>
      </c>
      <c r="B106" s="16">
        <v>4.3974380000000002</v>
      </c>
      <c r="C106" s="17">
        <f>+Sheet1!H107</f>
        <v>46114.728368055556</v>
      </c>
      <c r="D106" s="17">
        <f t="shared" si="5"/>
        <v>46114.64503472222</v>
      </c>
      <c r="E106">
        <f t="shared" si="4"/>
        <v>1.1628750000000001</v>
      </c>
    </row>
    <row r="107" spans="1:5">
      <c r="A107" s="28">
        <v>46114.681250000001</v>
      </c>
      <c r="B107" s="16">
        <v>4.6382130000000004</v>
      </c>
      <c r="C107" s="17">
        <f>+Sheet1!H108</f>
        <v>46114.728715277779</v>
      </c>
      <c r="D107" s="17">
        <f t="shared" si="5"/>
        <v>46114.645381944443</v>
      </c>
      <c r="E107">
        <f t="shared" si="4"/>
        <v>1.1657839999999999</v>
      </c>
    </row>
    <row r="108" spans="1:5">
      <c r="A108" s="28">
        <v>46114.681944000004</v>
      </c>
      <c r="B108" s="16">
        <v>4.5974380000000004</v>
      </c>
      <c r="C108" s="17">
        <f>+Sheet1!H109</f>
        <v>46114.729062500002</v>
      </c>
      <c r="D108" s="17">
        <f t="shared" si="5"/>
        <v>46114.645729166667</v>
      </c>
      <c r="E108">
        <f t="shared" si="4"/>
        <v>1.1657839999999999</v>
      </c>
    </row>
    <row r="109" spans="1:5">
      <c r="A109" s="28">
        <v>46114.682638999999</v>
      </c>
      <c r="B109" s="16">
        <v>4.6257279999999996</v>
      </c>
      <c r="C109" s="17">
        <f>+Sheet1!H110</f>
        <v>46114.729409722226</v>
      </c>
      <c r="D109" s="17">
        <f t="shared" si="5"/>
        <v>46114.64607638889</v>
      </c>
      <c r="E109">
        <f t="shared" si="4"/>
        <v>1.1821330000000001</v>
      </c>
    </row>
    <row r="110" spans="1:5">
      <c r="A110" s="28">
        <v>46114.683333000001</v>
      </c>
      <c r="B110" s="16">
        <v>4.6416300000000001</v>
      </c>
      <c r="C110" s="17">
        <f>+Sheet1!H111</f>
        <v>46114.729756944442</v>
      </c>
      <c r="D110" s="17">
        <f t="shared" si="5"/>
        <v>46114.646423611106</v>
      </c>
      <c r="E110">
        <f t="shared" si="4"/>
        <v>1.1821330000000001</v>
      </c>
    </row>
    <row r="111" spans="1:5">
      <c r="A111" s="28">
        <v>46114.684028000003</v>
      </c>
      <c r="B111" s="16">
        <v>4.4899129999999996</v>
      </c>
      <c r="C111" s="17">
        <f>+Sheet1!H112</f>
        <v>46114.730104166665</v>
      </c>
      <c r="D111" s="17">
        <f t="shared" si="5"/>
        <v>46114.646770833329</v>
      </c>
      <c r="E111">
        <f t="shared" si="4"/>
        <v>1.1687339999999999</v>
      </c>
    </row>
    <row r="112" spans="1:5">
      <c r="A112" s="28">
        <v>46114.684721999998</v>
      </c>
      <c r="B112" s="16">
        <v>4.4431609999999999</v>
      </c>
      <c r="C112" s="17">
        <f>+Sheet1!H113</f>
        <v>46114.730451388888</v>
      </c>
      <c r="D112" s="17">
        <f t="shared" si="5"/>
        <v>46114.647118055553</v>
      </c>
      <c r="E112">
        <f t="shared" si="4"/>
        <v>1.1687339999999999</v>
      </c>
    </row>
    <row r="113" spans="1:5">
      <c r="A113" s="28">
        <v>46114.685417000001</v>
      </c>
      <c r="B113" s="16">
        <v>4.6148199999999999</v>
      </c>
      <c r="C113" s="17">
        <f>+Sheet1!H114</f>
        <v>46114.730798611112</v>
      </c>
      <c r="D113" s="17">
        <f t="shared" si="5"/>
        <v>46114.647465277776</v>
      </c>
      <c r="E113">
        <f t="shared" si="4"/>
        <v>1.149945</v>
      </c>
    </row>
    <row r="114" spans="1:5">
      <c r="A114" s="28">
        <v>46114.686111000003</v>
      </c>
      <c r="B114" s="16">
        <v>4.5438210000000003</v>
      </c>
      <c r="C114" s="17">
        <f>+Sheet1!H115</f>
        <v>46114.731145833335</v>
      </c>
      <c r="D114" s="17">
        <f t="shared" si="5"/>
        <v>46114.647812499999</v>
      </c>
      <c r="E114">
        <f t="shared" si="4"/>
        <v>1.149945</v>
      </c>
    </row>
    <row r="115" spans="1:5">
      <c r="A115" s="28">
        <v>46114.686805999998</v>
      </c>
      <c r="B115" s="16">
        <v>4.4430680000000002</v>
      </c>
      <c r="C115" s="17">
        <f>+Sheet1!H116</f>
        <v>46114.731493055559</v>
      </c>
      <c r="D115" s="17">
        <f t="shared" si="5"/>
        <v>46114.648159722223</v>
      </c>
      <c r="E115">
        <f t="shared" si="4"/>
        <v>1.148304</v>
      </c>
    </row>
    <row r="116" spans="1:5">
      <c r="A116" s="28">
        <v>46114.6875</v>
      </c>
      <c r="B116" s="16">
        <v>4.3135750000000002</v>
      </c>
      <c r="C116" s="17">
        <f>+Sheet1!H117</f>
        <v>46114.731840277775</v>
      </c>
      <c r="D116" s="17">
        <f t="shared" si="5"/>
        <v>46114.648506944439</v>
      </c>
      <c r="E116">
        <f t="shared" si="4"/>
        <v>1.148304</v>
      </c>
    </row>
    <row r="117" spans="1:5">
      <c r="A117" s="28">
        <v>46114.688194000002</v>
      </c>
      <c r="B117" s="16">
        <v>4.3886320000000003</v>
      </c>
      <c r="C117" s="17">
        <f>+Sheet1!H118</f>
        <v>46114.732187499998</v>
      </c>
      <c r="D117" s="17">
        <f t="shared" si="5"/>
        <v>46114.648854166662</v>
      </c>
      <c r="E117">
        <f t="shared" si="4"/>
        <v>1.1472260000000001</v>
      </c>
    </row>
    <row r="118" spans="1:5">
      <c r="A118" s="28">
        <v>46114.688888999997</v>
      </c>
      <c r="B118" s="16">
        <v>4.2731950000000003</v>
      </c>
      <c r="C118" s="17">
        <f>+Sheet1!H119</f>
        <v>46114.732534722221</v>
      </c>
      <c r="D118" s="17">
        <f t="shared" si="5"/>
        <v>46114.649201388886</v>
      </c>
      <c r="E118">
        <f t="shared" si="4"/>
        <v>1.1472260000000001</v>
      </c>
    </row>
    <row r="119" spans="1:5">
      <c r="A119" s="28">
        <v>46114.689582999999</v>
      </c>
      <c r="B119" s="16">
        <v>4.2529240000000001</v>
      </c>
      <c r="C119" s="17">
        <f>+Sheet1!H120</f>
        <v>46114.732881944445</v>
      </c>
      <c r="D119" s="17">
        <f t="shared" si="5"/>
        <v>46114.649548611109</v>
      </c>
      <c r="E119">
        <f t="shared" si="4"/>
        <v>1.1796390000000001</v>
      </c>
    </row>
    <row r="120" spans="1:5">
      <c r="A120" s="28">
        <v>46114.690278000002</v>
      </c>
      <c r="B120" s="16">
        <v>4.3887890000000001</v>
      </c>
      <c r="C120" s="17">
        <f>+Sheet1!H121</f>
        <v>46114.733229166668</v>
      </c>
      <c r="D120" s="17">
        <f t="shared" si="5"/>
        <v>46114.649895833332</v>
      </c>
      <c r="E120">
        <f t="shared" si="4"/>
        <v>1.1796390000000001</v>
      </c>
    </row>
    <row r="121" spans="1:5">
      <c r="A121" s="28">
        <v>46114.690971999997</v>
      </c>
      <c r="B121" s="16">
        <v>4.5850749999999998</v>
      </c>
      <c r="C121" s="17">
        <f>+Sheet1!H122</f>
        <v>46114.733576388891</v>
      </c>
      <c r="D121" s="17">
        <f t="shared" si="5"/>
        <v>46114.650243055556</v>
      </c>
      <c r="E121">
        <f t="shared" si="4"/>
        <v>1.218135</v>
      </c>
    </row>
    <row r="122" spans="1:5">
      <c r="A122" s="28">
        <v>46114.691666999999</v>
      </c>
      <c r="B122" s="16">
        <v>4.4595520000000004</v>
      </c>
      <c r="C122" s="17">
        <f>+Sheet1!H123</f>
        <v>46114.733923611115</v>
      </c>
      <c r="D122" s="17">
        <f t="shared" si="5"/>
        <v>46114.650590277779</v>
      </c>
      <c r="E122">
        <f t="shared" si="4"/>
        <v>1.218135</v>
      </c>
    </row>
    <row r="123" spans="1:5">
      <c r="A123" s="28">
        <v>46114.692361000001</v>
      </c>
      <c r="B123" s="16">
        <v>5.1303809999999999</v>
      </c>
      <c r="C123" s="17">
        <f>+Sheet1!H124</f>
        <v>46114.734270833331</v>
      </c>
      <c r="D123" s="17">
        <f t="shared" si="5"/>
        <v>46114.650937499995</v>
      </c>
      <c r="E123">
        <f t="shared" si="4"/>
        <v>2.0972040000000001</v>
      </c>
    </row>
    <row r="124" spans="1:5">
      <c r="A124" s="28">
        <v>46114.693055999996</v>
      </c>
      <c r="B124" s="16">
        <v>5.6896269999999998</v>
      </c>
      <c r="C124" s="17">
        <f>+Sheet1!H125</f>
        <v>46114.734618055554</v>
      </c>
      <c r="D124" s="17">
        <f t="shared" si="5"/>
        <v>46114.651284722218</v>
      </c>
      <c r="E124">
        <f t="shared" si="4"/>
        <v>2.0972040000000001</v>
      </c>
    </row>
    <row r="125" spans="1:5">
      <c r="A125" s="28">
        <v>46114.693749999999</v>
      </c>
      <c r="B125" s="16">
        <v>5.5144060000000001</v>
      </c>
      <c r="C125" s="17">
        <f>+Sheet1!H126</f>
        <v>46114.734965277778</v>
      </c>
      <c r="D125" s="17">
        <f t="shared" si="5"/>
        <v>46114.651631944442</v>
      </c>
      <c r="E125">
        <f t="shared" si="4"/>
        <v>2.1880000000000002</v>
      </c>
    </row>
    <row r="126" spans="1:5">
      <c r="A126" s="28">
        <v>46114.694444000001</v>
      </c>
      <c r="B126" s="16">
        <v>5.5259410000000004</v>
      </c>
      <c r="C126" s="17">
        <f>+Sheet1!H127</f>
        <v>46114.735312500001</v>
      </c>
      <c r="D126" s="17">
        <f t="shared" si="5"/>
        <v>46114.651979166665</v>
      </c>
      <c r="E126">
        <f t="shared" si="4"/>
        <v>2.1880000000000002</v>
      </c>
    </row>
    <row r="127" spans="1:5">
      <c r="A127" s="28">
        <v>46114.695139000003</v>
      </c>
      <c r="B127" s="16">
        <v>5.69834</v>
      </c>
      <c r="C127" s="17">
        <f>+Sheet1!H128</f>
        <v>46114.735659722224</v>
      </c>
      <c r="D127" s="17">
        <f t="shared" si="5"/>
        <v>46114.652326388888</v>
      </c>
      <c r="E127">
        <f t="shared" si="4"/>
        <v>2.5292919999999999</v>
      </c>
    </row>
    <row r="128" spans="1:5">
      <c r="A128" s="28">
        <v>46114.695832999998</v>
      </c>
      <c r="B128" s="16">
        <v>5.3689070000000001</v>
      </c>
      <c r="C128" s="17">
        <f>+Sheet1!H129</f>
        <v>46114.736006944448</v>
      </c>
      <c r="D128" s="17">
        <f t="shared" si="5"/>
        <v>46114.652673611112</v>
      </c>
      <c r="E128">
        <f t="shared" si="4"/>
        <v>2.5292919999999999</v>
      </c>
    </row>
    <row r="129" spans="1:5">
      <c r="A129" s="28">
        <v>46114.696528</v>
      </c>
      <c r="B129" s="16">
        <v>5.3097200000000004</v>
      </c>
      <c r="C129" s="17">
        <f>+Sheet1!H130</f>
        <v>46114.736354166664</v>
      </c>
      <c r="D129" s="17">
        <f t="shared" si="5"/>
        <v>46114.653020833328</v>
      </c>
      <c r="E129">
        <f t="shared" si="4"/>
        <v>2.26505</v>
      </c>
    </row>
    <row r="130" spans="1:5">
      <c r="A130" s="28">
        <v>46114.697222000003</v>
      </c>
      <c r="B130" s="16">
        <v>5.5610840000000001</v>
      </c>
      <c r="C130" s="17">
        <f>+Sheet1!H131</f>
        <v>46114.736701388887</v>
      </c>
      <c r="D130" s="17">
        <f t="shared" si="5"/>
        <v>46114.653368055551</v>
      </c>
      <c r="E130">
        <f t="shared" ref="E130:E193" si="6">_xlfn.XLOOKUP(D130,A:A,B:B,,-1)</f>
        <v>2.26505</v>
      </c>
    </row>
    <row r="131" spans="1:5">
      <c r="A131" s="28">
        <v>46114.697916999998</v>
      </c>
      <c r="B131" s="16">
        <v>5.6459279999999996</v>
      </c>
      <c r="C131" s="17">
        <f>+Sheet1!H132</f>
        <v>46114.73704861111</v>
      </c>
      <c r="D131" s="17">
        <f t="shared" si="5"/>
        <v>46114.653715277775</v>
      </c>
      <c r="E131">
        <f t="shared" si="6"/>
        <v>2.2953229999999998</v>
      </c>
    </row>
    <row r="132" spans="1:5">
      <c r="A132" s="28">
        <v>46114.698611</v>
      </c>
      <c r="B132" s="16">
        <v>5.4369009999999998</v>
      </c>
      <c r="C132" s="17">
        <f>+Sheet1!H133</f>
        <v>46114.737395833334</v>
      </c>
      <c r="D132" s="17">
        <f t="shared" si="5"/>
        <v>46114.654062499998</v>
      </c>
      <c r="E132">
        <f t="shared" si="6"/>
        <v>2.2953229999999998</v>
      </c>
    </row>
    <row r="133" spans="1:5">
      <c r="A133" s="28">
        <v>46114.699306000002</v>
      </c>
      <c r="B133" s="16">
        <v>5.5306740000000003</v>
      </c>
      <c r="C133" s="17">
        <f>+Sheet1!H134</f>
        <v>46114.737743055557</v>
      </c>
      <c r="D133" s="17">
        <f t="shared" si="5"/>
        <v>46114.654409722221</v>
      </c>
      <c r="E133">
        <f t="shared" si="6"/>
        <v>2.3978419999999998</v>
      </c>
    </row>
    <row r="134" spans="1:5">
      <c r="A134" s="28">
        <v>46114.7</v>
      </c>
      <c r="B134" s="16">
        <v>5.6062620000000001</v>
      </c>
      <c r="C134" s="17">
        <f>+Sheet1!H135</f>
        <v>46114.73809027778</v>
      </c>
      <c r="D134" s="17">
        <f t="shared" si="5"/>
        <v>46114.654756944445</v>
      </c>
      <c r="E134">
        <f t="shared" si="6"/>
        <v>2.3978419999999998</v>
      </c>
    </row>
    <row r="135" spans="1:5">
      <c r="A135" s="28">
        <v>46114.700693999999</v>
      </c>
      <c r="B135" s="16">
        <v>5.3520620000000001</v>
      </c>
      <c r="C135" s="17">
        <f>+Sheet1!H136</f>
        <v>46114.738437499997</v>
      </c>
      <c r="D135" s="17">
        <f t="shared" si="5"/>
        <v>46114.655104166661</v>
      </c>
      <c r="E135">
        <f t="shared" si="6"/>
        <v>2.2928579999999998</v>
      </c>
    </row>
    <row r="136" spans="1:5">
      <c r="A136" s="28">
        <v>46114.701389000002</v>
      </c>
      <c r="B136" s="16">
        <v>5.4854880000000001</v>
      </c>
      <c r="C136" s="17">
        <f>+Sheet1!H137</f>
        <v>46114.73878472222</v>
      </c>
      <c r="D136" s="17">
        <f t="shared" si="5"/>
        <v>46114.655451388884</v>
      </c>
      <c r="E136">
        <f t="shared" si="6"/>
        <v>2.2928579999999998</v>
      </c>
    </row>
    <row r="137" spans="1:5">
      <c r="A137" s="28">
        <v>46114.702082999996</v>
      </c>
      <c r="B137" s="16">
        <v>5.3342919999999996</v>
      </c>
      <c r="C137" s="17">
        <f>+Sheet1!H138</f>
        <v>46114.739131944443</v>
      </c>
      <c r="D137" s="17">
        <f t="shared" si="5"/>
        <v>46114.655798611107</v>
      </c>
      <c r="E137">
        <f t="shared" si="6"/>
        <v>2.3074590000000001</v>
      </c>
    </row>
    <row r="138" spans="1:5">
      <c r="A138" s="28">
        <v>46114.702777999999</v>
      </c>
      <c r="B138" s="16">
        <v>5.3254330000000003</v>
      </c>
      <c r="C138" s="17">
        <f>+Sheet1!H139</f>
        <v>46114.739479166667</v>
      </c>
      <c r="D138" s="17">
        <f t="shared" si="5"/>
        <v>46114.656145833331</v>
      </c>
      <c r="E138">
        <f t="shared" si="6"/>
        <v>2.3074590000000001</v>
      </c>
    </row>
    <row r="139" spans="1:5">
      <c r="A139" s="28">
        <v>46114.703472000001</v>
      </c>
      <c r="B139" s="16">
        <v>5.5564819999999999</v>
      </c>
      <c r="C139" s="17">
        <f>+Sheet1!H140</f>
        <v>46114.73982638889</v>
      </c>
      <c r="D139" s="17">
        <f t="shared" si="5"/>
        <v>46114.656493055554</v>
      </c>
      <c r="E139">
        <f t="shared" si="6"/>
        <v>2.335515</v>
      </c>
    </row>
    <row r="140" spans="1:5">
      <c r="A140" s="28">
        <v>46114.704167000004</v>
      </c>
      <c r="B140" s="16">
        <v>5.3892699999999998</v>
      </c>
      <c r="C140" s="17">
        <f>+Sheet1!H141</f>
        <v>46114.740173611113</v>
      </c>
      <c r="D140" s="17">
        <f t="shared" si="5"/>
        <v>46114.656840277778</v>
      </c>
      <c r="E140">
        <f t="shared" si="6"/>
        <v>2.335515</v>
      </c>
    </row>
    <row r="141" spans="1:5">
      <c r="A141" s="28">
        <v>46114.704860999998</v>
      </c>
      <c r="B141" s="16">
        <v>5.522043</v>
      </c>
      <c r="C141" s="17">
        <f>+Sheet1!H142</f>
        <v>46114.740520833337</v>
      </c>
      <c r="D141" s="17">
        <f t="shared" si="5"/>
        <v>46114.657187500001</v>
      </c>
      <c r="E141">
        <f t="shared" si="6"/>
        <v>2.26267</v>
      </c>
    </row>
    <row r="142" spans="1:5">
      <c r="A142" s="28">
        <v>46114.705556000001</v>
      </c>
      <c r="B142" s="16">
        <v>5.3637329999999999</v>
      </c>
      <c r="C142" s="17">
        <f>+Sheet1!H143</f>
        <v>46114.740868055553</v>
      </c>
      <c r="D142" s="17">
        <f t="shared" si="5"/>
        <v>46114.657534722217</v>
      </c>
      <c r="E142">
        <f t="shared" si="6"/>
        <v>2.26267</v>
      </c>
    </row>
    <row r="143" spans="1:5">
      <c r="A143" s="28">
        <v>46114.706250000003</v>
      </c>
      <c r="B143" s="16">
        <v>6.2596360000000004</v>
      </c>
      <c r="C143" s="17">
        <f>+Sheet1!H144</f>
        <v>46114.741215277776</v>
      </c>
      <c r="D143" s="17">
        <f t="shared" si="5"/>
        <v>46114.65788194444</v>
      </c>
      <c r="E143">
        <f t="shared" si="6"/>
        <v>2.3519649999999999</v>
      </c>
    </row>
    <row r="144" spans="1:5">
      <c r="A144" s="28">
        <v>46114.706943999998</v>
      </c>
      <c r="B144" s="16">
        <v>6.7722899999999999</v>
      </c>
      <c r="C144" s="17">
        <f>+Sheet1!H145</f>
        <v>46114.741562499999</v>
      </c>
      <c r="D144" s="17">
        <f t="shared" si="5"/>
        <v>46114.658229166664</v>
      </c>
      <c r="E144">
        <f t="shared" si="6"/>
        <v>2.3519649999999999</v>
      </c>
    </row>
    <row r="145" spans="1:5">
      <c r="A145" s="28">
        <v>46114.707639</v>
      </c>
      <c r="B145" s="16">
        <v>6.7901389999999999</v>
      </c>
      <c r="C145" s="17">
        <f>+Sheet1!H146</f>
        <v>46114.741909722223</v>
      </c>
      <c r="D145" s="17">
        <f t="shared" si="5"/>
        <v>46114.658576388887</v>
      </c>
      <c r="E145">
        <f t="shared" si="6"/>
        <v>2.1574469999999999</v>
      </c>
    </row>
    <row r="146" spans="1:5">
      <c r="A146" s="28">
        <v>46114.708333000002</v>
      </c>
      <c r="B146" s="16">
        <v>6.545579</v>
      </c>
      <c r="C146" s="17">
        <f>+Sheet1!H147</f>
        <v>46114.742256944446</v>
      </c>
      <c r="D146" s="17">
        <f t="shared" si="5"/>
        <v>46114.65892361111</v>
      </c>
      <c r="E146">
        <f t="shared" si="6"/>
        <v>2.1574469999999999</v>
      </c>
    </row>
    <row r="147" spans="1:5">
      <c r="A147" s="28">
        <v>46114.709027999997</v>
      </c>
      <c r="B147" s="16">
        <v>6.5873629999999999</v>
      </c>
      <c r="C147" s="17">
        <f>+Sheet1!H148</f>
        <v>46114.742604166669</v>
      </c>
      <c r="D147" s="17">
        <f t="shared" si="5"/>
        <v>46114.659270833334</v>
      </c>
      <c r="E147">
        <f t="shared" si="6"/>
        <v>2.3242430000000001</v>
      </c>
    </row>
    <row r="148" spans="1:5">
      <c r="A148" s="28">
        <v>46114.709722</v>
      </c>
      <c r="B148" s="16">
        <v>6.6613920000000002</v>
      </c>
      <c r="C148" s="17">
        <f>+Sheet1!H149</f>
        <v>46114.742951388886</v>
      </c>
      <c r="D148" s="17">
        <f t="shared" si="5"/>
        <v>46114.65961805555</v>
      </c>
      <c r="E148">
        <f t="shared" si="6"/>
        <v>2.3242430000000001</v>
      </c>
    </row>
    <row r="149" spans="1:5">
      <c r="A149" s="28">
        <v>46114.710417000002</v>
      </c>
      <c r="B149" s="16">
        <v>6.7643180000000003</v>
      </c>
      <c r="C149" s="17">
        <f>+Sheet1!H150</f>
        <v>46114.743298611109</v>
      </c>
      <c r="D149" s="17">
        <f t="shared" si="5"/>
        <v>46114.659965277773</v>
      </c>
      <c r="E149">
        <f t="shared" si="6"/>
        <v>2.2416</v>
      </c>
    </row>
    <row r="150" spans="1:5">
      <c r="A150" s="28">
        <v>46114.711110999997</v>
      </c>
      <c r="B150" s="16">
        <v>6.5460580000000004</v>
      </c>
      <c r="C150" s="17">
        <f>+Sheet1!H151</f>
        <v>46114.743645833332</v>
      </c>
      <c r="D150" s="17">
        <f t="shared" si="5"/>
        <v>46114.660312499997</v>
      </c>
      <c r="E150">
        <f t="shared" si="6"/>
        <v>2.2416</v>
      </c>
    </row>
    <row r="151" spans="1:5">
      <c r="A151" s="28">
        <v>46114.711805999999</v>
      </c>
      <c r="B151" s="16">
        <v>6.5774229999999996</v>
      </c>
      <c r="C151" s="17">
        <f>+Sheet1!H152</f>
        <v>46114.743993055556</v>
      </c>
      <c r="D151" s="17">
        <f t="shared" si="5"/>
        <v>46114.66065972222</v>
      </c>
      <c r="E151">
        <f t="shared" si="6"/>
        <v>2.238747</v>
      </c>
    </row>
    <row r="152" spans="1:5">
      <c r="A152" s="28">
        <v>46114.712500000001</v>
      </c>
      <c r="B152" s="16">
        <v>6.5356550000000002</v>
      </c>
      <c r="C152" s="17">
        <f>+Sheet1!H153</f>
        <v>46114.744340277779</v>
      </c>
      <c r="D152" s="17">
        <f t="shared" si="5"/>
        <v>46114.661006944443</v>
      </c>
      <c r="E152">
        <f t="shared" si="6"/>
        <v>2.238747</v>
      </c>
    </row>
    <row r="153" spans="1:5">
      <c r="A153" s="28">
        <v>46114.713194000004</v>
      </c>
      <c r="B153" s="16">
        <v>6.7203850000000003</v>
      </c>
      <c r="C153" s="17">
        <f>+Sheet1!H154</f>
        <v>46114.744687500002</v>
      </c>
      <c r="D153" s="17">
        <f t="shared" si="5"/>
        <v>46114.661354166667</v>
      </c>
      <c r="E153">
        <f t="shared" si="6"/>
        <v>2.2413050000000001</v>
      </c>
    </row>
    <row r="154" spans="1:5">
      <c r="A154" s="28">
        <v>46114.713888999999</v>
      </c>
      <c r="B154" s="16">
        <v>6.5433560000000002</v>
      </c>
      <c r="C154" s="17">
        <f>+Sheet1!H155</f>
        <v>46114.745034722226</v>
      </c>
      <c r="D154" s="17">
        <f t="shared" si="5"/>
        <v>46114.66170138889</v>
      </c>
      <c r="E154">
        <f t="shared" si="6"/>
        <v>2.2413050000000001</v>
      </c>
    </row>
    <row r="155" spans="1:5">
      <c r="A155" s="28">
        <v>46114.714583000001</v>
      </c>
      <c r="B155" s="16">
        <v>6.4329539999999996</v>
      </c>
      <c r="C155" s="17">
        <f>+Sheet1!H156</f>
        <v>46114.745381944442</v>
      </c>
      <c r="D155" s="17">
        <f t="shared" si="5"/>
        <v>46114.662048611106</v>
      </c>
      <c r="E155">
        <f t="shared" si="6"/>
        <v>2.225012</v>
      </c>
    </row>
    <row r="156" spans="1:5">
      <c r="A156" s="28">
        <v>46114.715278000003</v>
      </c>
      <c r="B156" s="16">
        <v>6.6185470000000004</v>
      </c>
      <c r="C156" s="17">
        <f>+Sheet1!H157</f>
        <v>46114.745729166665</v>
      </c>
      <c r="D156" s="17">
        <f t="shared" si="5"/>
        <v>46114.662395833329</v>
      </c>
      <c r="E156">
        <f t="shared" si="6"/>
        <v>2.225012</v>
      </c>
    </row>
    <row r="157" spans="1:5">
      <c r="A157" s="28">
        <v>46114.715971999998</v>
      </c>
      <c r="B157" s="16">
        <v>6.6277980000000003</v>
      </c>
      <c r="C157" s="17">
        <f>+Sheet1!H158</f>
        <v>46114.746076388888</v>
      </c>
      <c r="D157" s="17">
        <f t="shared" si="5"/>
        <v>46114.662743055553</v>
      </c>
      <c r="E157">
        <f t="shared" si="6"/>
        <v>2.2990539999999999</v>
      </c>
    </row>
    <row r="158" spans="1:5">
      <c r="A158" s="28">
        <v>46114.716667000001</v>
      </c>
      <c r="B158" s="16">
        <v>6.7990820000000003</v>
      </c>
      <c r="C158" s="17">
        <f>+Sheet1!H159</f>
        <v>46114.746423611112</v>
      </c>
      <c r="D158" s="17">
        <f t="shared" si="5"/>
        <v>46114.663090277776</v>
      </c>
      <c r="E158">
        <f t="shared" si="6"/>
        <v>2.2990539999999999</v>
      </c>
    </row>
    <row r="159" spans="1:5">
      <c r="A159" s="28">
        <v>46114.717361000003</v>
      </c>
      <c r="B159" s="16">
        <v>6.5581269999999998</v>
      </c>
      <c r="C159" s="17">
        <f>+Sheet1!H160</f>
        <v>46114.746770833335</v>
      </c>
      <c r="D159" s="17">
        <f t="shared" si="5"/>
        <v>46114.663437499999</v>
      </c>
      <c r="E159">
        <f t="shared" si="6"/>
        <v>2.2950170000000001</v>
      </c>
    </row>
    <row r="160" spans="1:5">
      <c r="A160" s="28">
        <v>46114.718055999998</v>
      </c>
      <c r="B160" s="16">
        <v>6.7421540000000002</v>
      </c>
      <c r="C160" s="17">
        <f>+Sheet1!H161</f>
        <v>46114.747118055559</v>
      </c>
      <c r="D160" s="17">
        <f t="shared" si="5"/>
        <v>46114.663784722223</v>
      </c>
      <c r="E160">
        <f t="shared" si="6"/>
        <v>2.2950170000000001</v>
      </c>
    </row>
    <row r="161" spans="1:5">
      <c r="A161" s="28">
        <v>46114.71875</v>
      </c>
      <c r="B161" s="16">
        <v>6.7672499999999998</v>
      </c>
      <c r="C161" s="17">
        <f>+Sheet1!H162</f>
        <v>46114.747476851851</v>
      </c>
      <c r="D161" s="17">
        <f t="shared" si="5"/>
        <v>46114.664143518516</v>
      </c>
      <c r="E161">
        <f t="shared" si="6"/>
        <v>2.2787739999999999</v>
      </c>
    </row>
    <row r="162" spans="1:5">
      <c r="A162" s="28">
        <v>46114.719444000002</v>
      </c>
      <c r="B162" s="16">
        <v>6.7778260000000001</v>
      </c>
      <c r="C162" s="17">
        <f>+Sheet1!H163</f>
        <v>46114.747824074075</v>
      </c>
      <c r="D162" s="17">
        <f t="shared" si="5"/>
        <v>46114.664490740739</v>
      </c>
      <c r="E162">
        <f t="shared" si="6"/>
        <v>2.2787739999999999</v>
      </c>
    </row>
    <row r="163" spans="1:5">
      <c r="A163" s="28">
        <v>46114.720138999997</v>
      </c>
      <c r="B163" s="16">
        <v>2.571E-2</v>
      </c>
      <c r="C163" s="17">
        <f>+Sheet1!H164</f>
        <v>46114.748171296298</v>
      </c>
      <c r="D163" s="17">
        <f t="shared" si="5"/>
        <v>46114.664837962962</v>
      </c>
      <c r="E163">
        <f t="shared" si="6"/>
        <v>3.0086360000000001</v>
      </c>
    </row>
    <row r="164" spans="1:5">
      <c r="A164" s="28">
        <v>46114.720832999999</v>
      </c>
      <c r="B164" s="16">
        <v>2.571E-2</v>
      </c>
      <c r="C164" s="17">
        <f>+Sheet1!H165</f>
        <v>46114.748518518521</v>
      </c>
      <c r="D164" s="17">
        <f t="shared" si="5"/>
        <v>46114.665185185186</v>
      </c>
      <c r="E164">
        <f t="shared" si="6"/>
        <v>3.0086360000000001</v>
      </c>
    </row>
    <row r="165" spans="1:5">
      <c r="A165" s="28">
        <v>46114.721528000002</v>
      </c>
      <c r="B165" s="16">
        <v>2.571E-2</v>
      </c>
      <c r="C165" s="17">
        <f>+Sheet1!H166</f>
        <v>46114.748865740738</v>
      </c>
      <c r="D165" s="17">
        <f t="shared" si="5"/>
        <v>46114.665532407402</v>
      </c>
      <c r="E165">
        <f t="shared" si="6"/>
        <v>3.464899</v>
      </c>
    </row>
    <row r="166" spans="1:5">
      <c r="A166" s="28">
        <v>46114.722221999997</v>
      </c>
      <c r="B166" s="16">
        <v>2.571E-2</v>
      </c>
      <c r="C166" s="17">
        <f>+Sheet1!H167</f>
        <v>46114.749212962961</v>
      </c>
      <c r="D166" s="17">
        <f t="shared" si="5"/>
        <v>46114.665879629625</v>
      </c>
      <c r="E166">
        <f t="shared" si="6"/>
        <v>3.464899</v>
      </c>
    </row>
    <row r="167" spans="1:5">
      <c r="A167" s="28">
        <v>46114.722916999999</v>
      </c>
      <c r="B167" s="16">
        <v>2.571E-2</v>
      </c>
      <c r="C167" s="17">
        <f>+Sheet1!H168</f>
        <v>46114.749560185184</v>
      </c>
      <c r="D167" s="17">
        <f t="shared" ref="D167:D230" si="7">+C167-2/24</f>
        <v>46114.666226851848</v>
      </c>
      <c r="E167">
        <f t="shared" si="6"/>
        <v>3.2805960000000001</v>
      </c>
    </row>
    <row r="168" spans="1:5">
      <c r="A168" s="28">
        <v>46114.723611000001</v>
      </c>
      <c r="B168" s="16">
        <v>2.571E-2</v>
      </c>
      <c r="C168" s="17">
        <f>+Sheet1!H169</f>
        <v>46114.749907407408</v>
      </c>
      <c r="D168" s="17">
        <f t="shared" si="7"/>
        <v>46114.666574074072</v>
      </c>
      <c r="E168">
        <f t="shared" si="6"/>
        <v>3.2805960000000001</v>
      </c>
    </row>
    <row r="169" spans="1:5">
      <c r="A169" s="28">
        <v>46114.724305999996</v>
      </c>
      <c r="B169" s="16">
        <v>2.571E-2</v>
      </c>
      <c r="C169" s="17">
        <f>+Sheet1!H170</f>
        <v>46114.750254629631</v>
      </c>
      <c r="D169" s="17">
        <f t="shared" si="7"/>
        <v>46114.666921296295</v>
      </c>
      <c r="E169">
        <f t="shared" si="6"/>
        <v>3.6246260000000001</v>
      </c>
    </row>
    <row r="170" spans="1:5">
      <c r="A170" s="28">
        <v>46114.724999999999</v>
      </c>
      <c r="B170" s="16">
        <v>2.571E-2</v>
      </c>
      <c r="C170" s="17">
        <f>+Sheet1!H171</f>
        <v>46114.750601851854</v>
      </c>
      <c r="D170" s="17">
        <f t="shared" si="7"/>
        <v>46114.667268518519</v>
      </c>
      <c r="E170">
        <f t="shared" si="6"/>
        <v>3.6246260000000001</v>
      </c>
    </row>
    <row r="171" spans="1:5">
      <c r="A171" s="28">
        <v>46114.725694000001</v>
      </c>
      <c r="B171" s="16">
        <v>2.571E-2</v>
      </c>
      <c r="C171" s="17">
        <f>+Sheet1!H172</f>
        <v>46114.750949074078</v>
      </c>
      <c r="D171" s="17">
        <f t="shared" si="7"/>
        <v>46114.667615740742</v>
      </c>
      <c r="E171">
        <f t="shared" si="6"/>
        <v>3.4860600000000002</v>
      </c>
    </row>
    <row r="172" spans="1:5">
      <c r="A172" s="28">
        <v>46114.726389000003</v>
      </c>
      <c r="B172" s="16">
        <v>2.571E-2</v>
      </c>
      <c r="C172" s="17">
        <f>+Sheet1!H173</f>
        <v>46114.751296296294</v>
      </c>
      <c r="D172" s="17">
        <f t="shared" si="7"/>
        <v>46114.667962962958</v>
      </c>
      <c r="E172">
        <f t="shared" si="6"/>
        <v>3.4860600000000002</v>
      </c>
    </row>
    <row r="173" spans="1:5">
      <c r="A173" s="28">
        <v>46114.727082999998</v>
      </c>
      <c r="B173" s="16">
        <v>2.571E-2</v>
      </c>
      <c r="C173" s="17">
        <f>+Sheet1!H174</f>
        <v>46114.751643518517</v>
      </c>
      <c r="D173" s="17">
        <f t="shared" si="7"/>
        <v>46114.668310185181</v>
      </c>
      <c r="E173">
        <f t="shared" si="6"/>
        <v>3.2645300000000002</v>
      </c>
    </row>
    <row r="174" spans="1:5">
      <c r="A174" s="28">
        <v>46114.727778</v>
      </c>
      <c r="B174" s="16">
        <v>2.571E-2</v>
      </c>
      <c r="C174" s="17">
        <f>+Sheet1!H175</f>
        <v>46114.75199074074</v>
      </c>
      <c r="D174" s="17">
        <f t="shared" si="7"/>
        <v>46114.668657407405</v>
      </c>
      <c r="E174">
        <f t="shared" si="6"/>
        <v>3.2645300000000002</v>
      </c>
    </row>
    <row r="175" spans="1:5">
      <c r="A175" s="28">
        <v>46114.728472000003</v>
      </c>
      <c r="B175" s="16">
        <v>2.571E-2</v>
      </c>
      <c r="C175" s="17">
        <f>+Sheet1!H176</f>
        <v>46114.752337962964</v>
      </c>
      <c r="D175" s="17">
        <f t="shared" si="7"/>
        <v>46114.669004629628</v>
      </c>
      <c r="E175">
        <f t="shared" si="6"/>
        <v>3.5587620000000002</v>
      </c>
    </row>
    <row r="176" spans="1:5">
      <c r="A176" s="28">
        <v>46114.729166999998</v>
      </c>
      <c r="B176" s="16">
        <v>2.571E-2</v>
      </c>
      <c r="C176" s="17">
        <f>+Sheet1!H177</f>
        <v>46114.752685185187</v>
      </c>
      <c r="D176" s="17">
        <f t="shared" si="7"/>
        <v>46114.669351851851</v>
      </c>
      <c r="E176">
        <f t="shared" si="6"/>
        <v>3.5587620000000002</v>
      </c>
    </row>
    <row r="177" spans="1:5">
      <c r="A177" s="28">
        <v>46114.729861</v>
      </c>
      <c r="B177" s="16">
        <v>2.571E-2</v>
      </c>
      <c r="C177" s="17">
        <f>+Sheet1!H178</f>
        <v>46114.753032407411</v>
      </c>
      <c r="D177" s="17">
        <f t="shared" si="7"/>
        <v>46114.669699074075</v>
      </c>
      <c r="E177">
        <f t="shared" si="6"/>
        <v>3.3923869999999998</v>
      </c>
    </row>
    <row r="178" spans="1:5">
      <c r="A178" s="28">
        <v>46114.730556000002</v>
      </c>
      <c r="B178" s="16">
        <v>2.571E-2</v>
      </c>
      <c r="C178" s="17">
        <f>+Sheet1!H179</f>
        <v>46114.753379629627</v>
      </c>
      <c r="D178" s="17">
        <f t="shared" si="7"/>
        <v>46114.670046296291</v>
      </c>
      <c r="E178">
        <f t="shared" si="6"/>
        <v>3.3923869999999998</v>
      </c>
    </row>
    <row r="179" spans="1:5">
      <c r="A179" s="28">
        <v>46114.731249999997</v>
      </c>
      <c r="B179" s="16">
        <v>2.571E-2</v>
      </c>
      <c r="C179" s="17">
        <f>+Sheet1!H180</f>
        <v>46114.75372685185</v>
      </c>
      <c r="D179" s="17">
        <f t="shared" si="7"/>
        <v>46114.670393518514</v>
      </c>
      <c r="E179">
        <f t="shared" si="6"/>
        <v>3.498103</v>
      </c>
    </row>
    <row r="180" spans="1:5">
      <c r="A180" s="28">
        <v>46114.731943999999</v>
      </c>
      <c r="B180" s="16">
        <v>2.571E-2</v>
      </c>
      <c r="C180" s="17">
        <f>+Sheet1!H181</f>
        <v>46114.754074074073</v>
      </c>
      <c r="D180" s="17">
        <f t="shared" si="7"/>
        <v>46114.670740740738</v>
      </c>
      <c r="E180">
        <f t="shared" si="6"/>
        <v>3.498103</v>
      </c>
    </row>
    <row r="181" spans="1:5">
      <c r="A181" s="28">
        <v>46114.732639000002</v>
      </c>
      <c r="B181" s="16">
        <v>2.571E-2</v>
      </c>
      <c r="C181" s="17">
        <f>+Sheet1!H182</f>
        <v>46114.754421296297</v>
      </c>
      <c r="D181" s="17">
        <f t="shared" si="7"/>
        <v>46114.671087962961</v>
      </c>
      <c r="E181">
        <f t="shared" si="6"/>
        <v>3.4702519999999999</v>
      </c>
    </row>
    <row r="182" spans="1:5">
      <c r="A182" s="28">
        <v>46114.733332999996</v>
      </c>
      <c r="B182" s="16">
        <v>2.571E-2</v>
      </c>
      <c r="C182" s="17">
        <f>+Sheet1!H183</f>
        <v>46114.75476851852</v>
      </c>
      <c r="D182" s="17">
        <f t="shared" si="7"/>
        <v>46114.671435185184</v>
      </c>
      <c r="E182">
        <f t="shared" si="6"/>
        <v>3.4702519999999999</v>
      </c>
    </row>
    <row r="183" spans="1:5">
      <c r="A183" s="28">
        <v>46114.734027999999</v>
      </c>
      <c r="B183" s="16">
        <v>2.571E-2</v>
      </c>
      <c r="C183" s="17">
        <f>+Sheet1!H184</f>
        <v>46114.755115740743</v>
      </c>
      <c r="D183" s="17">
        <f t="shared" si="7"/>
        <v>46114.671782407408</v>
      </c>
      <c r="E183">
        <f t="shared" si="6"/>
        <v>3.3842349999999999</v>
      </c>
    </row>
    <row r="184" spans="1:5">
      <c r="A184" s="28">
        <v>46114.734722000001</v>
      </c>
      <c r="B184" s="16">
        <v>2.571E-2</v>
      </c>
      <c r="C184" s="17">
        <f>+Sheet1!H185</f>
        <v>46114.755462962959</v>
      </c>
      <c r="D184" s="17">
        <f t="shared" si="7"/>
        <v>46114.672129629624</v>
      </c>
      <c r="E184">
        <f t="shared" si="6"/>
        <v>3.3842349999999999</v>
      </c>
    </row>
    <row r="185" spans="1:5">
      <c r="A185" s="28">
        <v>46114.735417000004</v>
      </c>
      <c r="B185" s="16">
        <v>2.571E-2</v>
      </c>
      <c r="C185" s="17">
        <f>+Sheet1!H186</f>
        <v>46114.755810185183</v>
      </c>
      <c r="D185" s="17">
        <f t="shared" si="7"/>
        <v>46114.672476851847</v>
      </c>
      <c r="E185">
        <f t="shared" si="6"/>
        <v>3.1893310000000001</v>
      </c>
    </row>
    <row r="186" spans="1:5">
      <c r="A186" s="28">
        <v>46114.736110999998</v>
      </c>
      <c r="B186" s="16">
        <v>2.571E-2</v>
      </c>
      <c r="C186" s="17">
        <f>+Sheet1!H187</f>
        <v>46114.756157407406</v>
      </c>
      <c r="D186" s="17">
        <f t="shared" si="7"/>
        <v>46114.67282407407</v>
      </c>
      <c r="E186">
        <f t="shared" si="6"/>
        <v>3.1893310000000001</v>
      </c>
    </row>
    <row r="187" spans="1:5">
      <c r="A187" s="28">
        <v>46114.736806000001</v>
      </c>
      <c r="B187" s="16">
        <v>2.571E-2</v>
      </c>
      <c r="C187" s="17">
        <f>+Sheet1!H188</f>
        <v>46114.756504629629</v>
      </c>
      <c r="D187" s="17">
        <f t="shared" si="7"/>
        <v>46114.673171296294</v>
      </c>
      <c r="E187">
        <f t="shared" si="6"/>
        <v>3.3596520000000001</v>
      </c>
    </row>
    <row r="188" spans="1:5">
      <c r="A188" s="28">
        <v>46114.737500000003</v>
      </c>
      <c r="B188" s="16">
        <v>2.571E-2</v>
      </c>
      <c r="C188" s="17">
        <f>+Sheet1!H189</f>
        <v>46114.756851851853</v>
      </c>
      <c r="D188" s="17">
        <f t="shared" si="7"/>
        <v>46114.673518518517</v>
      </c>
      <c r="E188">
        <f t="shared" si="6"/>
        <v>3.3596520000000001</v>
      </c>
    </row>
    <row r="189" spans="1:5">
      <c r="A189" s="28">
        <v>46114.738193999998</v>
      </c>
      <c r="B189" s="16">
        <v>2.571E-2</v>
      </c>
      <c r="C189" s="17">
        <f>+Sheet1!H190</f>
        <v>46114.757199074076</v>
      </c>
      <c r="D189" s="17">
        <f t="shared" si="7"/>
        <v>46114.67386574074</v>
      </c>
      <c r="E189">
        <f t="shared" si="6"/>
        <v>3.432061</v>
      </c>
    </row>
    <row r="190" spans="1:5">
      <c r="A190" s="28">
        <v>46114.738889</v>
      </c>
      <c r="B190" s="16">
        <v>2.571E-2</v>
      </c>
      <c r="C190" s="17">
        <f>+Sheet1!H191</f>
        <v>46114.7575462963</v>
      </c>
      <c r="D190" s="17">
        <f t="shared" si="7"/>
        <v>46114.674212962964</v>
      </c>
      <c r="E190">
        <f t="shared" si="6"/>
        <v>3.432061</v>
      </c>
    </row>
    <row r="191" spans="1:5">
      <c r="A191" s="28">
        <v>46114.739583000002</v>
      </c>
      <c r="B191" s="16">
        <v>2.571E-2</v>
      </c>
      <c r="C191" s="17">
        <f>+Sheet1!H192</f>
        <v>46114.757893518516</v>
      </c>
      <c r="D191" s="17">
        <f t="shared" si="7"/>
        <v>46114.67456018518</v>
      </c>
      <c r="E191">
        <f t="shared" si="6"/>
        <v>3.3556859999999999</v>
      </c>
    </row>
    <row r="192" spans="1:5">
      <c r="A192" s="28">
        <v>46114.740277999997</v>
      </c>
      <c r="B192" s="16">
        <v>2.571E-2</v>
      </c>
      <c r="C192" s="17">
        <f>+Sheet1!H193</f>
        <v>46114.758240740739</v>
      </c>
      <c r="D192" s="17">
        <f t="shared" si="7"/>
        <v>46114.674907407403</v>
      </c>
      <c r="E192">
        <f t="shared" si="6"/>
        <v>3.3556859999999999</v>
      </c>
    </row>
    <row r="193" spans="1:5">
      <c r="A193" s="28">
        <v>46114.740972</v>
      </c>
      <c r="B193" s="16">
        <v>2.571E-2</v>
      </c>
      <c r="C193" s="17">
        <f>+Sheet1!H194</f>
        <v>46114.758587962962</v>
      </c>
      <c r="D193" s="17">
        <f t="shared" si="7"/>
        <v>46114.675254629627</v>
      </c>
      <c r="E193">
        <f t="shared" si="6"/>
        <v>3.405119</v>
      </c>
    </row>
    <row r="194" spans="1:5">
      <c r="A194" s="28">
        <v>46114.741667000002</v>
      </c>
      <c r="B194" s="16">
        <v>2.571E-2</v>
      </c>
      <c r="C194" s="17">
        <f>+Sheet1!H195</f>
        <v>46114.758935185186</v>
      </c>
      <c r="D194" s="17">
        <f t="shared" si="7"/>
        <v>46114.67560185185</v>
      </c>
      <c r="E194">
        <f t="shared" ref="E194:E256" si="8">_xlfn.XLOOKUP(D194,A:A,B:B,,-1)</f>
        <v>3.405119</v>
      </c>
    </row>
    <row r="195" spans="1:5">
      <c r="A195" s="28">
        <v>46114.742360999997</v>
      </c>
      <c r="B195" s="16">
        <v>2.571E-2</v>
      </c>
      <c r="C195" s="17">
        <f>+Sheet1!H196</f>
        <v>46114.759282407409</v>
      </c>
      <c r="D195" s="17">
        <f t="shared" si="7"/>
        <v>46114.675949074073</v>
      </c>
      <c r="E195">
        <f t="shared" si="8"/>
        <v>3.419181</v>
      </c>
    </row>
    <row r="196" spans="1:5">
      <c r="A196" s="28">
        <v>46114.743055999999</v>
      </c>
      <c r="B196" s="16">
        <v>2.571E-2</v>
      </c>
      <c r="C196" s="17">
        <f>+Sheet1!H197</f>
        <v>46114.759629629632</v>
      </c>
      <c r="D196" s="17">
        <f t="shared" si="7"/>
        <v>46114.676296296297</v>
      </c>
      <c r="E196">
        <f t="shared" si="8"/>
        <v>3.419181</v>
      </c>
    </row>
    <row r="197" spans="1:5">
      <c r="A197" s="28">
        <v>46114.743750000001</v>
      </c>
      <c r="B197" s="16">
        <v>2.571E-2</v>
      </c>
      <c r="C197" s="17">
        <f>+Sheet1!H198</f>
        <v>46114.759976851848</v>
      </c>
      <c r="D197" s="17">
        <f t="shared" si="7"/>
        <v>46114.676643518513</v>
      </c>
      <c r="E197">
        <f t="shared" si="8"/>
        <v>3.3114439999999998</v>
      </c>
    </row>
    <row r="198" spans="1:5">
      <c r="A198" s="28">
        <v>46114.744444000004</v>
      </c>
      <c r="B198" s="16">
        <v>2.571E-2</v>
      </c>
      <c r="C198" s="17">
        <f>+Sheet1!H199</f>
        <v>46114.760324074072</v>
      </c>
      <c r="D198" s="17">
        <f t="shared" si="7"/>
        <v>46114.676990740736</v>
      </c>
      <c r="E198">
        <f t="shared" si="8"/>
        <v>3.3114439999999998</v>
      </c>
    </row>
    <row r="199" spans="1:5">
      <c r="A199" s="28">
        <v>46114.745138999999</v>
      </c>
      <c r="B199" s="16">
        <v>2.571E-2</v>
      </c>
      <c r="C199" s="17">
        <f>+Sheet1!H200</f>
        <v>46114.760671296295</v>
      </c>
      <c r="D199" s="17">
        <f t="shared" si="7"/>
        <v>46114.677337962959</v>
      </c>
      <c r="E199">
        <f t="shared" si="8"/>
        <v>3.4422739999999998</v>
      </c>
    </row>
    <row r="200" spans="1:5">
      <c r="A200" s="28">
        <v>46114.745833000001</v>
      </c>
      <c r="B200" s="16">
        <v>2.571E-2</v>
      </c>
      <c r="C200" s="17">
        <f>+Sheet1!H201</f>
        <v>46114.761018518519</v>
      </c>
      <c r="D200" s="17">
        <f t="shared" si="7"/>
        <v>46114.677685185183</v>
      </c>
      <c r="E200">
        <f t="shared" si="8"/>
        <v>3.4422739999999998</v>
      </c>
    </row>
    <row r="201" spans="1:5">
      <c r="A201" s="28">
        <v>46114.746528000003</v>
      </c>
      <c r="B201" s="16">
        <v>2.571E-2</v>
      </c>
      <c r="C201" s="17">
        <f>+Sheet1!H202</f>
        <v>46114.761365740742</v>
      </c>
      <c r="D201" s="17">
        <f t="shared" si="7"/>
        <v>46114.678032407406</v>
      </c>
      <c r="E201">
        <f t="shared" si="8"/>
        <v>3.203697</v>
      </c>
    </row>
    <row r="202" spans="1:5">
      <c r="A202" s="28">
        <v>46114.747221999998</v>
      </c>
      <c r="B202" s="16">
        <v>2.571E-2</v>
      </c>
      <c r="C202" s="17">
        <f>+Sheet1!H203</f>
        <v>46114.761712962965</v>
      </c>
      <c r="D202" s="17">
        <f t="shared" si="7"/>
        <v>46114.678379629629</v>
      </c>
      <c r="E202">
        <f t="shared" si="8"/>
        <v>3.203697</v>
      </c>
    </row>
    <row r="203" spans="1:5">
      <c r="A203" s="28">
        <v>46114.747917000001</v>
      </c>
      <c r="B203" s="16">
        <v>2.571E-2</v>
      </c>
      <c r="C203" s="17">
        <f>+Sheet1!H204</f>
        <v>46114.762060185189</v>
      </c>
      <c r="D203" s="17">
        <f t="shared" si="7"/>
        <v>46114.678726851853</v>
      </c>
      <c r="E203">
        <f t="shared" si="8"/>
        <v>4.3815379999999999</v>
      </c>
    </row>
    <row r="204" spans="1:5">
      <c r="A204" s="28">
        <v>46114.748611000003</v>
      </c>
      <c r="B204" s="16">
        <v>2.571E-2</v>
      </c>
      <c r="C204" s="17">
        <f>+Sheet1!H205</f>
        <v>46114.762407407405</v>
      </c>
      <c r="D204" s="17">
        <f t="shared" si="7"/>
        <v>46114.679074074069</v>
      </c>
      <c r="E204">
        <f t="shared" si="8"/>
        <v>4.3815379999999999</v>
      </c>
    </row>
    <row r="205" spans="1:5">
      <c r="A205" s="28">
        <v>46114.749305999998</v>
      </c>
      <c r="B205" s="16">
        <v>2.571E-2</v>
      </c>
      <c r="C205" s="17">
        <f>+Sheet1!H206</f>
        <v>46114.762754629628</v>
      </c>
      <c r="D205" s="17">
        <f t="shared" si="7"/>
        <v>46114.679421296292</v>
      </c>
      <c r="E205">
        <f t="shared" si="8"/>
        <v>4.6200400000000004</v>
      </c>
    </row>
    <row r="206" spans="1:5">
      <c r="A206" s="28">
        <v>46114.75</v>
      </c>
      <c r="B206" s="16">
        <v>2.571E-2</v>
      </c>
      <c r="C206" s="17">
        <f>+Sheet1!H207</f>
        <v>46114.763101851851</v>
      </c>
      <c r="D206" s="17">
        <f t="shared" si="7"/>
        <v>46114.679768518516</v>
      </c>
      <c r="E206">
        <f t="shared" si="8"/>
        <v>4.6200400000000004</v>
      </c>
    </row>
    <row r="207" spans="1:5">
      <c r="A207" s="28">
        <v>46114.750694000002</v>
      </c>
      <c r="B207" s="16">
        <v>2.571E-2</v>
      </c>
      <c r="C207" s="17">
        <f>+Sheet1!H208</f>
        <v>46114.763449074075</v>
      </c>
      <c r="D207" s="17">
        <f t="shared" si="7"/>
        <v>46114.680115740739</v>
      </c>
      <c r="E207">
        <f t="shared" si="8"/>
        <v>4.941414</v>
      </c>
    </row>
    <row r="208" spans="1:5">
      <c r="A208" s="28">
        <v>46114.751388999997</v>
      </c>
      <c r="B208" s="16">
        <v>2.571E-2</v>
      </c>
      <c r="C208" s="17">
        <f>+Sheet1!H209</f>
        <v>46114.763796296298</v>
      </c>
      <c r="D208" s="17">
        <f t="shared" si="7"/>
        <v>46114.680462962962</v>
      </c>
      <c r="E208">
        <f t="shared" si="8"/>
        <v>4.941414</v>
      </c>
    </row>
    <row r="209" spans="1:5">
      <c r="A209" s="28">
        <v>46114.752082999999</v>
      </c>
      <c r="B209" s="16">
        <v>2.571E-2</v>
      </c>
      <c r="C209" s="17">
        <f>+Sheet1!H210</f>
        <v>46114.764143518521</v>
      </c>
      <c r="D209" s="17">
        <f t="shared" si="7"/>
        <v>46114.680810185186</v>
      </c>
      <c r="E209">
        <f t="shared" si="8"/>
        <v>4.3974380000000002</v>
      </c>
    </row>
    <row r="210" spans="1:5">
      <c r="A210" s="28">
        <v>46114.752778000002</v>
      </c>
      <c r="B210" s="16">
        <v>2.571E-2</v>
      </c>
      <c r="C210" s="17">
        <f>+Sheet1!H211</f>
        <v>46114.764490740738</v>
      </c>
      <c r="D210" s="17">
        <f t="shared" si="7"/>
        <v>46114.681157407402</v>
      </c>
      <c r="E210">
        <f t="shared" si="8"/>
        <v>4.3974380000000002</v>
      </c>
    </row>
    <row r="211" spans="1:5">
      <c r="A211" s="28">
        <v>46114.753471999997</v>
      </c>
      <c r="B211" s="16">
        <v>2.571E-2</v>
      </c>
      <c r="C211" s="17">
        <f>+Sheet1!H212</f>
        <v>46114.764837962961</v>
      </c>
      <c r="D211" s="17">
        <f t="shared" si="7"/>
        <v>46114.681504629625</v>
      </c>
      <c r="E211">
        <f t="shared" si="8"/>
        <v>4.6382130000000004</v>
      </c>
    </row>
    <row r="212" spans="1:5">
      <c r="A212" s="28">
        <v>46114.754166999999</v>
      </c>
      <c r="B212" s="16">
        <v>2.571E-2</v>
      </c>
      <c r="C212" s="17">
        <f>+Sheet1!H213</f>
        <v>46114.765185185184</v>
      </c>
      <c r="D212" s="17">
        <f t="shared" si="7"/>
        <v>46114.681851851848</v>
      </c>
      <c r="E212">
        <f t="shared" si="8"/>
        <v>4.6382130000000004</v>
      </c>
    </row>
    <row r="213" spans="1:5">
      <c r="A213" s="28">
        <v>46114.754861000001</v>
      </c>
      <c r="B213" s="16">
        <v>2.571E-2</v>
      </c>
      <c r="C213" s="17">
        <f>+Sheet1!H214</f>
        <v>46114.765532407408</v>
      </c>
      <c r="D213" s="17">
        <f t="shared" si="7"/>
        <v>46114.682199074072</v>
      </c>
      <c r="E213">
        <f t="shared" si="8"/>
        <v>4.5974380000000004</v>
      </c>
    </row>
    <row r="214" spans="1:5">
      <c r="A214" s="28">
        <v>46114.755555999996</v>
      </c>
      <c r="B214" s="16">
        <v>2.571E-2</v>
      </c>
      <c r="C214" s="17">
        <f>+Sheet1!H215</f>
        <v>46114.765879629631</v>
      </c>
      <c r="D214" s="17">
        <f t="shared" si="7"/>
        <v>46114.682546296295</v>
      </c>
      <c r="E214">
        <f t="shared" si="8"/>
        <v>4.5974380000000004</v>
      </c>
    </row>
    <row r="215" spans="1:5">
      <c r="A215" s="28">
        <v>46114.756249999999</v>
      </c>
      <c r="B215" s="16">
        <v>2.571E-2</v>
      </c>
      <c r="C215" s="17">
        <f>+Sheet1!H216</f>
        <v>46114.766226851854</v>
      </c>
      <c r="D215" s="17">
        <f t="shared" si="7"/>
        <v>46114.682893518519</v>
      </c>
      <c r="E215">
        <f t="shared" si="8"/>
        <v>4.6257279999999996</v>
      </c>
    </row>
    <row r="216" spans="1:5">
      <c r="A216" s="28">
        <v>46114.756944000001</v>
      </c>
      <c r="B216" s="16">
        <v>2.571E-2</v>
      </c>
      <c r="C216" s="17">
        <f>+Sheet1!H217</f>
        <v>46114.766574074078</v>
      </c>
      <c r="D216" s="17">
        <f t="shared" si="7"/>
        <v>46114.683240740742</v>
      </c>
      <c r="E216">
        <f t="shared" si="8"/>
        <v>4.6257279999999996</v>
      </c>
    </row>
    <row r="217" spans="1:5">
      <c r="A217" s="28">
        <v>46114.757639000003</v>
      </c>
      <c r="B217" s="16">
        <v>2.571E-2</v>
      </c>
      <c r="C217" s="17">
        <f>+Sheet1!H218</f>
        <v>46114.766921296294</v>
      </c>
      <c r="D217" s="17">
        <f t="shared" si="7"/>
        <v>46114.683587962958</v>
      </c>
      <c r="E217">
        <f t="shared" si="8"/>
        <v>4.6416300000000001</v>
      </c>
    </row>
    <row r="218" spans="1:5">
      <c r="A218" s="28">
        <v>46114.758332999998</v>
      </c>
      <c r="B218" s="16">
        <v>2.571E-2</v>
      </c>
      <c r="C218" s="17">
        <f>+Sheet1!H219</f>
        <v>46114.767268518517</v>
      </c>
      <c r="D218" s="17">
        <f t="shared" si="7"/>
        <v>46114.683935185181</v>
      </c>
      <c r="E218">
        <f t="shared" si="8"/>
        <v>4.6416300000000001</v>
      </c>
    </row>
    <row r="219" spans="1:5">
      <c r="A219" s="28">
        <v>46114.759028</v>
      </c>
      <c r="B219" s="16">
        <v>2.571E-2</v>
      </c>
      <c r="C219" s="17">
        <f>+Sheet1!H220</f>
        <v>46114.76761574074</v>
      </c>
      <c r="D219" s="17">
        <f t="shared" si="7"/>
        <v>46114.684282407405</v>
      </c>
      <c r="E219">
        <f t="shared" si="8"/>
        <v>4.4899129999999996</v>
      </c>
    </row>
    <row r="220" spans="1:5">
      <c r="A220" s="28">
        <v>46114.759722000003</v>
      </c>
      <c r="B220" s="16">
        <v>2.571E-2</v>
      </c>
      <c r="C220" s="17">
        <f>+Sheet1!H221</f>
        <v>46114.767962962964</v>
      </c>
      <c r="D220" s="17">
        <f t="shared" si="7"/>
        <v>46114.684629629628</v>
      </c>
      <c r="E220">
        <f t="shared" si="8"/>
        <v>4.4899129999999996</v>
      </c>
    </row>
    <row r="221" spans="1:5">
      <c r="A221" s="28">
        <v>46114.760416999998</v>
      </c>
      <c r="B221" s="16">
        <v>2.571E-2</v>
      </c>
      <c r="C221" s="17">
        <f>+Sheet1!H222</f>
        <v>46114.768310185187</v>
      </c>
      <c r="D221" s="17">
        <f t="shared" si="7"/>
        <v>46114.684976851851</v>
      </c>
      <c r="E221">
        <f t="shared" si="8"/>
        <v>4.4431609999999999</v>
      </c>
    </row>
    <row r="222" spans="1:5">
      <c r="A222" s="28">
        <v>46114.761111</v>
      </c>
      <c r="B222" s="16">
        <v>2.571E-2</v>
      </c>
      <c r="C222" s="17">
        <f>+Sheet1!H223</f>
        <v>46114.768657407411</v>
      </c>
      <c r="D222" s="17">
        <f t="shared" si="7"/>
        <v>46114.685324074075</v>
      </c>
      <c r="E222">
        <f t="shared" si="8"/>
        <v>4.4431609999999999</v>
      </c>
    </row>
    <row r="223" spans="1:5">
      <c r="A223" s="28">
        <v>46114.761806000002</v>
      </c>
      <c r="B223" s="16">
        <v>2.571E-2</v>
      </c>
      <c r="C223" s="17">
        <f>+Sheet1!H224</f>
        <v>46114.769004629627</v>
      </c>
      <c r="D223" s="17">
        <f t="shared" si="7"/>
        <v>46114.685671296291</v>
      </c>
      <c r="E223">
        <f t="shared" si="8"/>
        <v>4.6148199999999999</v>
      </c>
    </row>
    <row r="224" spans="1:5">
      <c r="A224" s="28">
        <v>46114.762499999997</v>
      </c>
      <c r="B224" s="16">
        <v>2.571E-2</v>
      </c>
      <c r="C224" s="17">
        <f>+Sheet1!H225</f>
        <v>46114.76935185185</v>
      </c>
      <c r="D224" s="17">
        <f t="shared" si="7"/>
        <v>46114.686018518514</v>
      </c>
      <c r="E224">
        <f t="shared" si="8"/>
        <v>4.6148199999999999</v>
      </c>
    </row>
    <row r="225" spans="1:5">
      <c r="A225" s="28">
        <v>46114.763193999999</v>
      </c>
      <c r="B225" s="16">
        <v>2.571E-2</v>
      </c>
      <c r="C225" s="17">
        <f>+Sheet1!H226</f>
        <v>46114.769699074073</v>
      </c>
      <c r="D225" s="17">
        <f t="shared" si="7"/>
        <v>46114.686365740738</v>
      </c>
      <c r="E225">
        <f t="shared" si="8"/>
        <v>4.5438210000000003</v>
      </c>
    </row>
    <row r="226" spans="1:5">
      <c r="A226" s="28">
        <v>46114.763889000002</v>
      </c>
      <c r="B226" s="16">
        <v>2.571E-2</v>
      </c>
      <c r="C226" s="17">
        <f>+Sheet1!H227</f>
        <v>46114.770046296297</v>
      </c>
      <c r="D226" s="17">
        <f t="shared" si="7"/>
        <v>46114.686712962961</v>
      </c>
      <c r="E226">
        <f t="shared" si="8"/>
        <v>4.5438210000000003</v>
      </c>
    </row>
    <row r="227" spans="1:5">
      <c r="A227" s="28">
        <v>46114.764582999996</v>
      </c>
      <c r="B227" s="16">
        <v>2.571E-2</v>
      </c>
      <c r="C227" s="17">
        <f>+Sheet1!H228</f>
        <v>46114.77039351852</v>
      </c>
      <c r="D227" s="17">
        <f t="shared" si="7"/>
        <v>46114.687060185184</v>
      </c>
      <c r="E227">
        <f t="shared" si="8"/>
        <v>4.4430680000000002</v>
      </c>
    </row>
    <row r="228" spans="1:5">
      <c r="A228" s="28">
        <v>46114.765277999999</v>
      </c>
      <c r="B228" s="16">
        <v>2.571E-2</v>
      </c>
      <c r="C228" s="17">
        <f>+Sheet1!H229</f>
        <v>46114.770740740743</v>
      </c>
      <c r="D228" s="17">
        <f t="shared" si="7"/>
        <v>46114.687407407408</v>
      </c>
      <c r="E228">
        <f t="shared" si="8"/>
        <v>4.4430680000000002</v>
      </c>
    </row>
    <row r="229" spans="1:5">
      <c r="A229" s="28">
        <v>46114.765972000001</v>
      </c>
      <c r="B229" s="16">
        <v>2.571E-2</v>
      </c>
      <c r="C229" s="17">
        <f>+Sheet1!H230</f>
        <v>46114.771087962959</v>
      </c>
      <c r="D229" s="17">
        <f t="shared" si="7"/>
        <v>46114.687754629624</v>
      </c>
      <c r="E229">
        <f t="shared" si="8"/>
        <v>4.3135750000000002</v>
      </c>
    </row>
    <row r="230" spans="1:5">
      <c r="A230" s="28">
        <v>46114.766667000004</v>
      </c>
      <c r="B230" s="16">
        <v>2.571E-2</v>
      </c>
      <c r="C230" s="17">
        <f>+Sheet1!H231</f>
        <v>46114.771435185183</v>
      </c>
      <c r="D230" s="17">
        <f t="shared" si="7"/>
        <v>46114.688101851847</v>
      </c>
      <c r="E230">
        <f t="shared" si="8"/>
        <v>4.3135750000000002</v>
      </c>
    </row>
    <row r="231" spans="1:5">
      <c r="A231" s="28">
        <v>46114.767360999998</v>
      </c>
      <c r="B231" s="16">
        <v>2.571E-2</v>
      </c>
      <c r="C231" s="17">
        <f>+Sheet1!H232</f>
        <v>46114.771782407406</v>
      </c>
      <c r="D231" s="17">
        <f t="shared" ref="D231:D256" si="9">+C231-2/24</f>
        <v>46114.68844907407</v>
      </c>
      <c r="E231">
        <f t="shared" si="8"/>
        <v>4.3886320000000003</v>
      </c>
    </row>
    <row r="232" spans="1:5">
      <c r="A232" s="28">
        <v>46114.768056000001</v>
      </c>
      <c r="B232" s="16">
        <v>2.571E-2</v>
      </c>
      <c r="C232" s="17">
        <f>+Sheet1!H233</f>
        <v>46114.772129629629</v>
      </c>
      <c r="D232" s="17">
        <f t="shared" si="9"/>
        <v>46114.688796296294</v>
      </c>
      <c r="E232">
        <f t="shared" si="8"/>
        <v>4.3886320000000003</v>
      </c>
    </row>
    <row r="233" spans="1:5">
      <c r="A233" s="28">
        <v>46114.768750000003</v>
      </c>
      <c r="B233" s="16">
        <v>2.571E-2</v>
      </c>
      <c r="C233" s="17">
        <f>+Sheet1!H234</f>
        <v>46114.772476851853</v>
      </c>
      <c r="D233" s="17">
        <f t="shared" si="9"/>
        <v>46114.689143518517</v>
      </c>
      <c r="E233">
        <f t="shared" si="8"/>
        <v>4.2731950000000003</v>
      </c>
    </row>
    <row r="234" spans="1:5">
      <c r="A234" s="28">
        <v>46114.769443999998</v>
      </c>
      <c r="B234" s="16">
        <v>2.571E-2</v>
      </c>
      <c r="C234" s="17">
        <f>+Sheet1!H235</f>
        <v>46114.772824074076</v>
      </c>
      <c r="D234" s="17">
        <f t="shared" si="9"/>
        <v>46114.68949074074</v>
      </c>
      <c r="E234">
        <f t="shared" si="8"/>
        <v>4.2731950000000003</v>
      </c>
    </row>
    <row r="235" spans="1:5">
      <c r="A235" s="28">
        <v>46114.770139</v>
      </c>
      <c r="B235" s="16">
        <v>2.571E-2</v>
      </c>
      <c r="C235" s="17">
        <f>+Sheet1!H236</f>
        <v>46114.7731712963</v>
      </c>
      <c r="D235" s="17">
        <f t="shared" si="9"/>
        <v>46114.689837962964</v>
      </c>
      <c r="E235">
        <f t="shared" si="8"/>
        <v>4.2529240000000001</v>
      </c>
    </row>
    <row r="236" spans="1:5">
      <c r="A236" s="28">
        <v>46114.770833000002</v>
      </c>
      <c r="B236" s="16">
        <v>2.571E-2</v>
      </c>
      <c r="C236" s="17">
        <f>+Sheet1!H237</f>
        <v>46114.773518518516</v>
      </c>
      <c r="D236" s="17">
        <f t="shared" si="9"/>
        <v>46114.69018518518</v>
      </c>
      <c r="E236">
        <f t="shared" si="8"/>
        <v>4.2529240000000001</v>
      </c>
    </row>
    <row r="237" spans="1:5">
      <c r="A237" s="28">
        <v>46114.771527999997</v>
      </c>
      <c r="B237" s="16">
        <v>2.571E-2</v>
      </c>
      <c r="C237" s="17">
        <f>+Sheet1!H238</f>
        <v>46114.773865740739</v>
      </c>
      <c r="D237" s="17">
        <f t="shared" si="9"/>
        <v>46114.690532407403</v>
      </c>
      <c r="E237">
        <f t="shared" si="8"/>
        <v>4.3887890000000001</v>
      </c>
    </row>
    <row r="238" spans="1:5">
      <c r="A238" s="28">
        <v>46114.772222</v>
      </c>
      <c r="B238" s="16">
        <v>2.571E-2</v>
      </c>
      <c r="C238" s="17">
        <f>+Sheet1!H239</f>
        <v>46114.774212962962</v>
      </c>
      <c r="D238" s="17">
        <f t="shared" si="9"/>
        <v>46114.690879629627</v>
      </c>
      <c r="E238">
        <f t="shared" si="8"/>
        <v>4.3887890000000001</v>
      </c>
    </row>
    <row r="239" spans="1:5">
      <c r="A239" s="28">
        <v>46114.772917000002</v>
      </c>
      <c r="B239" s="16">
        <v>2.571E-2</v>
      </c>
      <c r="C239" s="17">
        <f>+Sheet1!H240</f>
        <v>46114.774560185186</v>
      </c>
      <c r="D239" s="17">
        <f t="shared" si="9"/>
        <v>46114.69122685185</v>
      </c>
      <c r="E239">
        <f t="shared" si="8"/>
        <v>4.5850749999999998</v>
      </c>
    </row>
    <row r="240" spans="1:5">
      <c r="A240" s="28">
        <v>46114.773610999997</v>
      </c>
      <c r="B240" s="16">
        <v>2.571E-2</v>
      </c>
      <c r="C240" s="17">
        <f>+Sheet1!H241</f>
        <v>46114.774907407409</v>
      </c>
      <c r="D240" s="17">
        <f t="shared" si="9"/>
        <v>46114.691574074073</v>
      </c>
      <c r="E240">
        <f t="shared" si="8"/>
        <v>4.5850749999999998</v>
      </c>
    </row>
    <row r="241" spans="1:5">
      <c r="A241" s="28">
        <v>46114.774305999999</v>
      </c>
      <c r="B241" s="16">
        <v>2.571E-2</v>
      </c>
      <c r="C241" s="17">
        <f>+Sheet1!H242</f>
        <v>46114.775254629632</v>
      </c>
      <c r="D241" s="17">
        <f t="shared" si="9"/>
        <v>46114.691921296297</v>
      </c>
      <c r="E241">
        <f t="shared" si="8"/>
        <v>4.4595520000000004</v>
      </c>
    </row>
    <row r="242" spans="1:5">
      <c r="A242" s="28">
        <v>46114.775000000001</v>
      </c>
      <c r="B242" s="16">
        <v>2.571E-2</v>
      </c>
      <c r="C242" s="17">
        <f>+Sheet1!H243</f>
        <v>46114.775601851848</v>
      </c>
      <c r="D242" s="17">
        <f t="shared" si="9"/>
        <v>46114.692268518513</v>
      </c>
      <c r="E242">
        <f t="shared" si="8"/>
        <v>4.4595520000000004</v>
      </c>
    </row>
    <row r="243" spans="1:5">
      <c r="A243" s="28">
        <v>46114.775694000004</v>
      </c>
      <c r="B243" s="16">
        <v>3.0852000000000001E-2</v>
      </c>
      <c r="C243" s="17">
        <f>+Sheet1!H244</f>
        <v>46114.775949074072</v>
      </c>
      <c r="D243" s="17">
        <f t="shared" si="9"/>
        <v>46114.692615740736</v>
      </c>
      <c r="E243">
        <f t="shared" si="8"/>
        <v>5.1303809999999999</v>
      </c>
    </row>
    <row r="244" spans="1:5">
      <c r="A244" s="28">
        <v>46114.776388999999</v>
      </c>
      <c r="B244" s="16">
        <v>3.6582000000000003E-2</v>
      </c>
      <c r="C244" s="17">
        <f>+Sheet1!H245</f>
        <v>46114.776296296295</v>
      </c>
      <c r="D244" s="17">
        <f t="shared" si="9"/>
        <v>46114.692962962959</v>
      </c>
      <c r="E244">
        <f t="shared" si="8"/>
        <v>5.1303809999999999</v>
      </c>
    </row>
    <row r="245" spans="1:5">
      <c r="A245" s="28">
        <v>46114.777083000001</v>
      </c>
      <c r="B245" s="16">
        <v>3.6582000000000003E-2</v>
      </c>
      <c r="C245" s="17">
        <f>+Sheet1!H246</f>
        <v>46114.776643518519</v>
      </c>
      <c r="D245" s="17">
        <f t="shared" si="9"/>
        <v>46114.693310185183</v>
      </c>
      <c r="E245">
        <f t="shared" si="8"/>
        <v>5.6896269999999998</v>
      </c>
    </row>
    <row r="246" spans="1:5">
      <c r="A246" s="28">
        <v>46114.777778000003</v>
      </c>
      <c r="B246" s="16">
        <v>3.6582000000000003E-2</v>
      </c>
      <c r="C246" s="17">
        <f>+Sheet1!H247</f>
        <v>46114.776990740742</v>
      </c>
      <c r="D246" s="17">
        <f t="shared" si="9"/>
        <v>46114.693657407406</v>
      </c>
      <c r="E246">
        <f t="shared" si="8"/>
        <v>5.6896269999999998</v>
      </c>
    </row>
    <row r="247" spans="1:5">
      <c r="A247" s="28">
        <v>46114.778471999998</v>
      </c>
      <c r="B247" s="16">
        <v>3.6582000000000003E-2</v>
      </c>
      <c r="C247" s="17">
        <f>+Sheet1!H248</f>
        <v>46114.777337962965</v>
      </c>
      <c r="D247" s="17">
        <f t="shared" si="9"/>
        <v>46114.694004629629</v>
      </c>
      <c r="E247">
        <f t="shared" si="8"/>
        <v>5.5144060000000001</v>
      </c>
    </row>
    <row r="248" spans="1:5">
      <c r="A248" s="28">
        <v>46114.779167000001</v>
      </c>
      <c r="B248" s="16">
        <v>3.6582000000000003E-2</v>
      </c>
      <c r="C248" s="17">
        <f>+Sheet1!H249</f>
        <v>46114.777685185189</v>
      </c>
      <c r="D248" s="17">
        <f t="shared" si="9"/>
        <v>46114.694351851853</v>
      </c>
      <c r="E248">
        <f t="shared" si="8"/>
        <v>5.5144060000000001</v>
      </c>
    </row>
    <row r="249" spans="1:5">
      <c r="A249" s="28">
        <v>46114.779861000003</v>
      </c>
      <c r="B249" s="16">
        <v>3.6582000000000003E-2</v>
      </c>
      <c r="C249" s="17">
        <f>+Sheet1!H250</f>
        <v>46114.778032407405</v>
      </c>
      <c r="D249" s="17">
        <f t="shared" si="9"/>
        <v>46114.694699074069</v>
      </c>
      <c r="E249">
        <f t="shared" si="8"/>
        <v>5.5259410000000004</v>
      </c>
    </row>
    <row r="250" spans="1:5">
      <c r="A250" s="28">
        <v>46114.780555999998</v>
      </c>
      <c r="B250" s="16">
        <v>3.6582000000000003E-2</v>
      </c>
      <c r="C250" s="17">
        <f>+Sheet1!H251</f>
        <v>46114.778379629628</v>
      </c>
      <c r="D250" s="17">
        <f t="shared" si="9"/>
        <v>46114.695046296292</v>
      </c>
      <c r="E250">
        <f t="shared" si="8"/>
        <v>5.5259410000000004</v>
      </c>
    </row>
    <row r="251" spans="1:5">
      <c r="A251" s="28">
        <v>46114.78125</v>
      </c>
      <c r="B251" s="16">
        <v>3.6582000000000003E-2</v>
      </c>
      <c r="C251" s="17">
        <f>+Sheet1!H252</f>
        <v>46114.778726851851</v>
      </c>
      <c r="D251" s="17">
        <f t="shared" si="9"/>
        <v>46114.695393518516</v>
      </c>
      <c r="E251">
        <f t="shared" si="8"/>
        <v>5.69834</v>
      </c>
    </row>
    <row r="252" spans="1:5">
      <c r="A252" s="28">
        <v>46114.781944000002</v>
      </c>
      <c r="B252" s="16">
        <v>3.6582000000000003E-2</v>
      </c>
      <c r="C252" s="17">
        <f>+Sheet1!H253</f>
        <v>46114.779074074075</v>
      </c>
      <c r="D252" s="17">
        <f t="shared" si="9"/>
        <v>46114.695740740739</v>
      </c>
      <c r="E252">
        <f t="shared" si="8"/>
        <v>5.69834</v>
      </c>
    </row>
    <row r="253" spans="1:5">
      <c r="A253" s="28">
        <v>46114.782638999997</v>
      </c>
      <c r="B253" s="16">
        <v>3.6582000000000003E-2</v>
      </c>
      <c r="C253" s="17">
        <f>+Sheet1!H254</f>
        <v>46114.779421296298</v>
      </c>
      <c r="D253" s="17">
        <f t="shared" si="9"/>
        <v>46114.696087962962</v>
      </c>
      <c r="E253">
        <f t="shared" si="8"/>
        <v>5.3689070000000001</v>
      </c>
    </row>
    <row r="254" spans="1:5">
      <c r="A254" s="28">
        <v>46114.783332999999</v>
      </c>
      <c r="B254" s="16">
        <v>3.6582000000000003E-2</v>
      </c>
      <c r="C254" s="17">
        <f>+Sheet1!H255</f>
        <v>46114.779768518521</v>
      </c>
      <c r="D254" s="17">
        <f t="shared" si="9"/>
        <v>46114.696435185186</v>
      </c>
      <c r="E254">
        <f t="shared" si="8"/>
        <v>5.3689070000000001</v>
      </c>
    </row>
    <row r="255" spans="1:5">
      <c r="A255" s="28">
        <v>46114.784028000002</v>
      </c>
      <c r="B255" s="16">
        <v>3.6582000000000003E-2</v>
      </c>
      <c r="C255" s="17">
        <f>+Sheet1!H256</f>
        <v>46114.780115740738</v>
      </c>
      <c r="D255" s="17">
        <f t="shared" si="9"/>
        <v>46114.696782407402</v>
      </c>
      <c r="E255">
        <f t="shared" si="8"/>
        <v>5.3097200000000004</v>
      </c>
    </row>
    <row r="256" spans="1:5">
      <c r="A256" s="28">
        <v>46114.784721999997</v>
      </c>
      <c r="B256" s="16">
        <v>3.6582000000000003E-2</v>
      </c>
      <c r="C256" s="17">
        <f>+Sheet1!H257</f>
        <v>46114.780462962961</v>
      </c>
      <c r="D256" s="17">
        <f t="shared" si="9"/>
        <v>46114.697129629625</v>
      </c>
      <c r="E256">
        <f t="shared" si="8"/>
        <v>5.3097200000000004</v>
      </c>
    </row>
    <row r="257" spans="1:5">
      <c r="A257" s="28">
        <v>46114.785416999999</v>
      </c>
      <c r="B257" s="16">
        <v>3.6582000000000003E-2</v>
      </c>
      <c r="C257" s="17">
        <f>+Sheet1!H258</f>
        <v>46114.780810185184</v>
      </c>
      <c r="D257" s="17">
        <f t="shared" ref="D257:D320" si="10">+C257-2/24</f>
        <v>46114.697476851848</v>
      </c>
      <c r="E257">
        <f t="shared" ref="E257:E320" si="11">_xlfn.XLOOKUP(D257,A:A,B:B,,-1)</f>
        <v>5.5610840000000001</v>
      </c>
    </row>
    <row r="258" spans="1:5">
      <c r="A258" s="28">
        <v>46114.786111000001</v>
      </c>
      <c r="B258" s="16">
        <v>3.6582000000000003E-2</v>
      </c>
      <c r="C258" s="17">
        <f>+Sheet1!H259</f>
        <v>46114.781157407408</v>
      </c>
      <c r="D258" s="17">
        <f t="shared" si="10"/>
        <v>46114.697824074072</v>
      </c>
      <c r="E258">
        <f t="shared" si="11"/>
        <v>5.5610840000000001</v>
      </c>
    </row>
    <row r="259" spans="1:5">
      <c r="A259" s="28">
        <v>46114.786805999996</v>
      </c>
      <c r="B259" s="16">
        <v>3.6582000000000003E-2</v>
      </c>
      <c r="C259" s="17">
        <f>+Sheet1!H260</f>
        <v>46114.781504629631</v>
      </c>
      <c r="D259" s="17">
        <f t="shared" si="10"/>
        <v>46114.698171296295</v>
      </c>
      <c r="E259">
        <f t="shared" si="11"/>
        <v>5.6459279999999996</v>
      </c>
    </row>
    <row r="260" spans="1:5">
      <c r="A260" s="28">
        <v>46114.787499999999</v>
      </c>
      <c r="B260" s="16">
        <v>3.6582000000000003E-2</v>
      </c>
      <c r="C260" s="17">
        <f>+Sheet1!H261</f>
        <v>46114.781851851854</v>
      </c>
      <c r="D260" s="17">
        <f t="shared" si="10"/>
        <v>46114.698518518519</v>
      </c>
      <c r="E260">
        <f t="shared" si="11"/>
        <v>5.6459279999999996</v>
      </c>
    </row>
    <row r="261" spans="1:5">
      <c r="A261" s="28">
        <v>46114.788194000001</v>
      </c>
      <c r="B261" s="16">
        <v>3.6582000000000003E-2</v>
      </c>
      <c r="C261" s="17">
        <f>+Sheet1!H262</f>
        <v>46114.782199074078</v>
      </c>
      <c r="D261" s="17">
        <f t="shared" si="10"/>
        <v>46114.698865740742</v>
      </c>
      <c r="E261">
        <f t="shared" si="11"/>
        <v>5.4369009999999998</v>
      </c>
    </row>
    <row r="262" spans="1:5">
      <c r="A262" s="28">
        <v>46114.788889000003</v>
      </c>
      <c r="B262" s="16">
        <v>3.6582000000000003E-2</v>
      </c>
      <c r="C262" s="17">
        <f>+Sheet1!H263</f>
        <v>46114.782546296294</v>
      </c>
      <c r="D262" s="17">
        <f t="shared" si="10"/>
        <v>46114.699212962958</v>
      </c>
      <c r="E262">
        <f t="shared" si="11"/>
        <v>5.4369009999999998</v>
      </c>
    </row>
    <row r="263" spans="1:5">
      <c r="A263" s="28">
        <v>46114.789582999998</v>
      </c>
      <c r="B263" s="16">
        <v>3.6582000000000003E-2</v>
      </c>
      <c r="C263" s="17">
        <f>+Sheet1!H264</f>
        <v>46114.782893518517</v>
      </c>
      <c r="D263" s="17">
        <f t="shared" si="10"/>
        <v>46114.699560185181</v>
      </c>
      <c r="E263">
        <f t="shared" si="11"/>
        <v>5.5306740000000003</v>
      </c>
    </row>
    <row r="264" spans="1:5">
      <c r="A264" s="28">
        <v>46114.790278</v>
      </c>
      <c r="B264" s="16">
        <v>3.6582000000000003E-2</v>
      </c>
      <c r="C264" s="17">
        <f>+Sheet1!H265</f>
        <v>46114.78324074074</v>
      </c>
      <c r="D264" s="17">
        <f t="shared" si="10"/>
        <v>46114.699907407405</v>
      </c>
      <c r="E264">
        <f t="shared" si="11"/>
        <v>5.5306740000000003</v>
      </c>
    </row>
    <row r="265" spans="1:5">
      <c r="A265" s="28">
        <v>46114.790972000003</v>
      </c>
      <c r="B265" s="16">
        <v>3.6582000000000003E-2</v>
      </c>
      <c r="C265" s="17">
        <f>+Sheet1!H266</f>
        <v>46114.783587962964</v>
      </c>
      <c r="D265" s="17">
        <f t="shared" si="10"/>
        <v>46114.700254629628</v>
      </c>
      <c r="E265">
        <f t="shared" si="11"/>
        <v>5.6062620000000001</v>
      </c>
    </row>
    <row r="266" spans="1:5">
      <c r="A266" s="28">
        <v>46114.791666999998</v>
      </c>
      <c r="B266" s="16">
        <v>3.6582000000000003E-2</v>
      </c>
      <c r="C266" s="17">
        <f>+Sheet1!H267</f>
        <v>46114.783935185187</v>
      </c>
      <c r="D266" s="17">
        <f t="shared" si="10"/>
        <v>46114.700601851851</v>
      </c>
      <c r="E266">
        <f t="shared" si="11"/>
        <v>5.6062620000000001</v>
      </c>
    </row>
    <row r="267" spans="1:5">
      <c r="A267" s="28">
        <v>46114.792361</v>
      </c>
      <c r="B267" s="16">
        <v>3.6582000000000003E-2</v>
      </c>
      <c r="C267" s="17">
        <f>+Sheet1!H268</f>
        <v>46114.784282407411</v>
      </c>
      <c r="D267" s="17">
        <f t="shared" si="10"/>
        <v>46114.700949074075</v>
      </c>
      <c r="E267">
        <f t="shared" si="11"/>
        <v>5.3520620000000001</v>
      </c>
    </row>
    <row r="268" spans="1:5">
      <c r="A268" s="28">
        <v>46114.793056000002</v>
      </c>
      <c r="B268" s="16">
        <v>3.6582000000000003E-2</v>
      </c>
      <c r="C268" s="17">
        <f>+Sheet1!H269</f>
        <v>46114.784629629627</v>
      </c>
      <c r="D268" s="17">
        <f t="shared" si="10"/>
        <v>46114.701296296291</v>
      </c>
      <c r="E268">
        <f t="shared" si="11"/>
        <v>5.3520620000000001</v>
      </c>
    </row>
    <row r="269" spans="1:5">
      <c r="A269" s="28">
        <v>46114.793749999997</v>
      </c>
      <c r="B269" s="16">
        <v>3.6582000000000003E-2</v>
      </c>
      <c r="C269" s="17">
        <f>+Sheet1!H270</f>
        <v>46114.78497685185</v>
      </c>
      <c r="D269" s="17">
        <f t="shared" si="10"/>
        <v>46114.701643518514</v>
      </c>
      <c r="E269">
        <f t="shared" si="11"/>
        <v>5.4854880000000001</v>
      </c>
    </row>
    <row r="270" spans="1:5">
      <c r="A270" s="28">
        <v>46114.794443999999</v>
      </c>
      <c r="B270" s="16">
        <v>3.6582000000000003E-2</v>
      </c>
      <c r="C270" s="17">
        <f>+Sheet1!H271</f>
        <v>46114.78533564815</v>
      </c>
      <c r="D270" s="17">
        <f t="shared" si="10"/>
        <v>46114.702002314814</v>
      </c>
      <c r="E270">
        <f t="shared" si="11"/>
        <v>5.4854880000000001</v>
      </c>
    </row>
    <row r="271" spans="1:5">
      <c r="A271" s="28">
        <v>46114.795139000002</v>
      </c>
      <c r="B271" s="16">
        <v>3.6582000000000003E-2</v>
      </c>
      <c r="C271" s="17">
        <f>+Sheet1!H272</f>
        <v>46114.785682870373</v>
      </c>
      <c r="D271" s="17">
        <f t="shared" si="10"/>
        <v>46114.702349537038</v>
      </c>
      <c r="E271">
        <f t="shared" si="11"/>
        <v>5.3342919999999996</v>
      </c>
    </row>
    <row r="272" spans="1:5">
      <c r="A272" s="28">
        <v>46114.795832999996</v>
      </c>
      <c r="B272" s="16">
        <v>3.6582000000000003E-2</v>
      </c>
      <c r="C272" s="17">
        <f>+Sheet1!H273</f>
        <v>46114.786030092589</v>
      </c>
      <c r="D272" s="17">
        <f t="shared" si="10"/>
        <v>46114.702696759254</v>
      </c>
      <c r="E272">
        <f t="shared" si="11"/>
        <v>5.3342919999999996</v>
      </c>
    </row>
    <row r="273" spans="1:5">
      <c r="A273" s="28">
        <v>46114.796527999999</v>
      </c>
      <c r="B273" s="16">
        <v>3.6582000000000003E-2</v>
      </c>
      <c r="C273" s="17">
        <f>+Sheet1!H274</f>
        <v>46114.786377314813</v>
      </c>
      <c r="D273" s="17">
        <f t="shared" si="10"/>
        <v>46114.703043981477</v>
      </c>
      <c r="E273">
        <f t="shared" si="11"/>
        <v>5.3254330000000003</v>
      </c>
    </row>
    <row r="274" spans="1:5">
      <c r="A274" s="28">
        <v>46114.797222000001</v>
      </c>
      <c r="B274" s="16">
        <v>3.6582000000000003E-2</v>
      </c>
      <c r="C274" s="17">
        <f>+Sheet1!H275</f>
        <v>46114.786724537036</v>
      </c>
      <c r="D274" s="17">
        <f t="shared" si="10"/>
        <v>46114.7033912037</v>
      </c>
      <c r="E274">
        <f t="shared" si="11"/>
        <v>5.3254330000000003</v>
      </c>
    </row>
    <row r="275" spans="1:5">
      <c r="A275" s="28">
        <v>46114.797917000004</v>
      </c>
      <c r="B275" s="16">
        <v>3.6582000000000003E-2</v>
      </c>
      <c r="C275" s="17">
        <f>+Sheet1!H276</f>
        <v>46114.78707175926</v>
      </c>
      <c r="D275" s="17">
        <f t="shared" si="10"/>
        <v>46114.703738425924</v>
      </c>
      <c r="E275">
        <f t="shared" si="11"/>
        <v>5.5564819999999999</v>
      </c>
    </row>
    <row r="276" spans="1:5">
      <c r="A276" s="28">
        <v>46114.798610999998</v>
      </c>
      <c r="B276" s="16">
        <v>3.6582000000000003E-2</v>
      </c>
      <c r="C276" s="17">
        <f>+Sheet1!H277</f>
        <v>46114.787418981483</v>
      </c>
      <c r="D276" s="17">
        <f t="shared" si="10"/>
        <v>46114.704085648147</v>
      </c>
      <c r="E276">
        <f t="shared" si="11"/>
        <v>5.5564819999999999</v>
      </c>
    </row>
    <row r="277" spans="1:5">
      <c r="A277" s="28">
        <v>46114.799306000001</v>
      </c>
      <c r="B277" s="16">
        <v>3.6582000000000003E-2</v>
      </c>
      <c r="C277" s="17">
        <f>+Sheet1!H278</f>
        <v>46114.787766203706</v>
      </c>
      <c r="D277" s="17">
        <f t="shared" si="10"/>
        <v>46114.704432870371</v>
      </c>
      <c r="E277">
        <f t="shared" si="11"/>
        <v>5.3892699999999998</v>
      </c>
    </row>
    <row r="278" spans="1:5">
      <c r="A278" s="28">
        <v>46114.8</v>
      </c>
      <c r="B278" s="16">
        <v>3.6582000000000003E-2</v>
      </c>
      <c r="C278" s="17">
        <f>+Sheet1!H279</f>
        <v>46114.788113425922</v>
      </c>
      <c r="D278" s="17">
        <f t="shared" si="10"/>
        <v>46114.704780092587</v>
      </c>
      <c r="E278">
        <f t="shared" si="11"/>
        <v>5.3892699999999998</v>
      </c>
    </row>
    <row r="279" spans="1:5">
      <c r="A279" s="28">
        <v>46114.800693999998</v>
      </c>
      <c r="B279" s="16">
        <v>3.6582000000000003E-2</v>
      </c>
      <c r="C279" s="17">
        <f>+Sheet1!H280</f>
        <v>46114.788460648146</v>
      </c>
      <c r="D279" s="17">
        <f t="shared" si="10"/>
        <v>46114.70512731481</v>
      </c>
      <c r="E279">
        <f t="shared" si="11"/>
        <v>5.522043</v>
      </c>
    </row>
    <row r="280" spans="1:5">
      <c r="A280" s="28">
        <v>46114.801389</v>
      </c>
      <c r="B280" s="16">
        <v>3.6582000000000003E-2</v>
      </c>
      <c r="C280" s="17">
        <f>+Sheet1!H281</f>
        <v>46114.788807870369</v>
      </c>
      <c r="D280" s="17">
        <f t="shared" si="10"/>
        <v>46114.705474537033</v>
      </c>
      <c r="E280">
        <f t="shared" si="11"/>
        <v>5.522043</v>
      </c>
    </row>
    <row r="281" spans="1:5">
      <c r="A281" s="28">
        <v>46114.802083000002</v>
      </c>
      <c r="B281" s="16">
        <v>3.6582000000000003E-2</v>
      </c>
      <c r="C281" s="17">
        <f>+Sheet1!H282</f>
        <v>46114.789155092592</v>
      </c>
      <c r="D281" s="17">
        <f t="shared" si="10"/>
        <v>46114.705821759257</v>
      </c>
      <c r="E281">
        <f t="shared" si="11"/>
        <v>5.3637329999999999</v>
      </c>
    </row>
    <row r="282" spans="1:5">
      <c r="A282" s="28">
        <v>46114.802777999997</v>
      </c>
      <c r="B282" s="16">
        <v>3.6582000000000003E-2</v>
      </c>
      <c r="C282" s="17">
        <f>+Sheet1!H283</f>
        <v>46114.789502314816</v>
      </c>
      <c r="D282" s="17">
        <f t="shared" si="10"/>
        <v>46114.70616898148</v>
      </c>
      <c r="E282">
        <f t="shared" si="11"/>
        <v>5.3637329999999999</v>
      </c>
    </row>
    <row r="283" spans="1:5">
      <c r="A283" s="28">
        <v>46114.803472</v>
      </c>
      <c r="B283" s="16">
        <v>3.6582000000000003E-2</v>
      </c>
      <c r="C283" s="17">
        <f>+Sheet1!H284</f>
        <v>46114.789849537039</v>
      </c>
      <c r="D283" s="17">
        <f t="shared" si="10"/>
        <v>46114.706516203703</v>
      </c>
      <c r="E283">
        <f t="shared" si="11"/>
        <v>6.2596360000000004</v>
      </c>
    </row>
    <row r="284" spans="1:5">
      <c r="A284" s="28">
        <v>46114.804167000002</v>
      </c>
      <c r="B284" s="16">
        <v>3.6582000000000003E-2</v>
      </c>
      <c r="C284" s="17">
        <f>+Sheet1!H285</f>
        <v>46114.790196759262</v>
      </c>
      <c r="D284" s="17">
        <f t="shared" si="10"/>
        <v>46114.706863425927</v>
      </c>
      <c r="E284">
        <f t="shared" si="11"/>
        <v>6.2596360000000004</v>
      </c>
    </row>
    <row r="285" spans="1:5">
      <c r="A285" s="28">
        <v>46114.804860999997</v>
      </c>
      <c r="B285" s="16">
        <v>3.6582000000000003E-2</v>
      </c>
      <c r="C285" s="17">
        <f>+Sheet1!H286</f>
        <v>46114.790543981479</v>
      </c>
      <c r="D285" s="17">
        <f t="shared" si="10"/>
        <v>46114.707210648143</v>
      </c>
      <c r="E285">
        <f t="shared" si="11"/>
        <v>6.7722899999999999</v>
      </c>
    </row>
    <row r="286" spans="1:5">
      <c r="A286" s="28">
        <v>46114.805555999999</v>
      </c>
      <c r="B286" s="16">
        <v>3.6582000000000003E-2</v>
      </c>
      <c r="C286" s="17">
        <f>+Sheet1!H287</f>
        <v>46114.790891203702</v>
      </c>
      <c r="D286" s="17">
        <f t="shared" si="10"/>
        <v>46114.707557870366</v>
      </c>
      <c r="E286">
        <f t="shared" si="11"/>
        <v>6.7722899999999999</v>
      </c>
    </row>
    <row r="287" spans="1:5">
      <c r="A287" s="28">
        <v>46114.806250000001</v>
      </c>
      <c r="B287" s="16">
        <v>3.6582000000000003E-2</v>
      </c>
      <c r="C287" s="17">
        <f>+Sheet1!H288</f>
        <v>46114.791238425925</v>
      </c>
      <c r="D287" s="17">
        <f t="shared" si="10"/>
        <v>46114.707905092589</v>
      </c>
      <c r="E287">
        <f t="shared" si="11"/>
        <v>6.7901389999999999</v>
      </c>
    </row>
    <row r="288" spans="1:5">
      <c r="A288" s="28">
        <v>46114.806944000004</v>
      </c>
      <c r="B288" s="16">
        <v>3.6582000000000003E-2</v>
      </c>
      <c r="C288" s="17">
        <f>+Sheet1!H289</f>
        <v>46114.791585648149</v>
      </c>
      <c r="D288" s="17">
        <f t="shared" si="10"/>
        <v>46114.708252314813</v>
      </c>
      <c r="E288">
        <f t="shared" si="11"/>
        <v>6.7901389999999999</v>
      </c>
    </row>
    <row r="289" spans="1:5">
      <c r="A289" s="28">
        <v>46114.807638999999</v>
      </c>
      <c r="B289" s="16">
        <v>3.6582000000000003E-2</v>
      </c>
      <c r="C289" s="17">
        <f>+Sheet1!H290</f>
        <v>46114.791932870372</v>
      </c>
      <c r="D289" s="17">
        <f t="shared" si="10"/>
        <v>46114.708599537036</v>
      </c>
      <c r="E289">
        <f t="shared" si="11"/>
        <v>6.545579</v>
      </c>
    </row>
    <row r="290" spans="1:5">
      <c r="A290" s="28">
        <v>46114.808333000001</v>
      </c>
      <c r="B290" s="16">
        <v>3.6582000000000003E-2</v>
      </c>
      <c r="C290" s="17">
        <f>+Sheet1!H291</f>
        <v>46114.792280092595</v>
      </c>
      <c r="D290" s="17">
        <f t="shared" si="10"/>
        <v>46114.70894675926</v>
      </c>
      <c r="E290">
        <f t="shared" si="11"/>
        <v>6.545579</v>
      </c>
    </row>
    <row r="291" spans="1:5">
      <c r="A291" s="28">
        <v>46114.809028000003</v>
      </c>
      <c r="B291" s="16">
        <v>3.6582000000000003E-2</v>
      </c>
      <c r="C291" s="17">
        <f>+Sheet1!H292</f>
        <v>46114.792627314811</v>
      </c>
      <c r="D291" s="17">
        <f t="shared" si="10"/>
        <v>46114.709293981476</v>
      </c>
      <c r="E291">
        <f t="shared" si="11"/>
        <v>6.5873629999999999</v>
      </c>
    </row>
    <row r="292" spans="1:5">
      <c r="A292" s="28">
        <v>46114.809721999998</v>
      </c>
      <c r="B292" s="16">
        <v>3.6582000000000003E-2</v>
      </c>
      <c r="C292" s="17">
        <f>+Sheet1!H293</f>
        <v>46114.792974537035</v>
      </c>
      <c r="D292" s="17">
        <f t="shared" si="10"/>
        <v>46114.709641203699</v>
      </c>
      <c r="E292">
        <f t="shared" si="11"/>
        <v>6.5873629999999999</v>
      </c>
    </row>
    <row r="293" spans="1:5">
      <c r="A293" s="28">
        <v>46114.810417000001</v>
      </c>
      <c r="B293" s="16">
        <v>3.6582000000000003E-2</v>
      </c>
      <c r="C293" s="17">
        <f>+Sheet1!H294</f>
        <v>46114.793321759258</v>
      </c>
      <c r="D293" s="17">
        <f t="shared" si="10"/>
        <v>46114.709988425922</v>
      </c>
      <c r="E293">
        <f t="shared" si="11"/>
        <v>6.6613920000000002</v>
      </c>
    </row>
    <row r="294" spans="1:5">
      <c r="A294" s="28">
        <v>46114.811111000003</v>
      </c>
      <c r="B294" s="16">
        <v>3.6582000000000003E-2</v>
      </c>
      <c r="C294" s="17">
        <f>+Sheet1!H295</f>
        <v>46114.793668981481</v>
      </c>
      <c r="D294" s="17">
        <f t="shared" si="10"/>
        <v>46114.710335648146</v>
      </c>
      <c r="E294">
        <f t="shared" si="11"/>
        <v>6.6613920000000002</v>
      </c>
    </row>
    <row r="295" spans="1:5">
      <c r="A295" s="28">
        <v>46114.811805999998</v>
      </c>
      <c r="B295" s="16">
        <v>3.6582000000000003E-2</v>
      </c>
      <c r="C295" s="17">
        <f>+Sheet1!H296</f>
        <v>46114.794016203705</v>
      </c>
      <c r="D295" s="17">
        <f t="shared" si="10"/>
        <v>46114.710682870369</v>
      </c>
      <c r="E295">
        <f t="shared" si="11"/>
        <v>6.7643180000000003</v>
      </c>
    </row>
    <row r="296" spans="1:5">
      <c r="A296" s="28">
        <v>46114.8125</v>
      </c>
      <c r="B296" s="16">
        <v>3.6582000000000003E-2</v>
      </c>
      <c r="C296" s="17">
        <f>+Sheet1!H297</f>
        <v>46114.794363425928</v>
      </c>
      <c r="D296" s="17">
        <f t="shared" si="10"/>
        <v>46114.711030092592</v>
      </c>
      <c r="E296">
        <f t="shared" si="11"/>
        <v>6.7643180000000003</v>
      </c>
    </row>
    <row r="297" spans="1:5">
      <c r="A297" s="28">
        <v>46114.813194000002</v>
      </c>
      <c r="B297" s="16">
        <v>3.6582000000000003E-2</v>
      </c>
      <c r="C297" s="17">
        <f>+Sheet1!H298</f>
        <v>46114.794710648152</v>
      </c>
      <c r="D297" s="17">
        <f t="shared" si="10"/>
        <v>46114.711377314816</v>
      </c>
      <c r="E297">
        <f t="shared" si="11"/>
        <v>6.5460580000000004</v>
      </c>
    </row>
    <row r="298" spans="1:5">
      <c r="A298" s="28">
        <v>46114.813888999997</v>
      </c>
      <c r="B298" s="16">
        <v>3.6582000000000003E-2</v>
      </c>
      <c r="C298" s="17">
        <f>+Sheet1!H299</f>
        <v>46114.795057870368</v>
      </c>
      <c r="D298" s="17">
        <f t="shared" si="10"/>
        <v>46114.711724537032</v>
      </c>
      <c r="E298">
        <f t="shared" si="11"/>
        <v>6.5460580000000004</v>
      </c>
    </row>
    <row r="299" spans="1:5">
      <c r="A299" s="28">
        <v>46114.814582999999</v>
      </c>
      <c r="B299" s="16">
        <v>3.6582000000000003E-2</v>
      </c>
      <c r="C299" s="17">
        <f>+Sheet1!H300</f>
        <v>46114.795405092591</v>
      </c>
      <c r="D299" s="17">
        <f t="shared" si="10"/>
        <v>46114.712071759255</v>
      </c>
      <c r="E299">
        <f t="shared" si="11"/>
        <v>6.5774229999999996</v>
      </c>
    </row>
    <row r="300" spans="1:5">
      <c r="A300" s="28">
        <v>46114.815278000002</v>
      </c>
      <c r="B300" s="16">
        <v>4.5659999999999997E-3</v>
      </c>
      <c r="C300" s="17">
        <f>+Sheet1!H301</f>
        <v>46114.795752314814</v>
      </c>
      <c r="D300" s="17">
        <f t="shared" si="10"/>
        <v>46114.712418981479</v>
      </c>
      <c r="E300">
        <f t="shared" si="11"/>
        <v>6.5774229999999996</v>
      </c>
    </row>
    <row r="301" spans="1:5">
      <c r="A301" s="28"/>
      <c r="B301" s="16"/>
      <c r="C301" s="17">
        <f>+Sheet1!H302</f>
        <v>46114.796099537038</v>
      </c>
      <c r="D301" s="17">
        <f t="shared" si="10"/>
        <v>46114.712766203702</v>
      </c>
      <c r="E301">
        <f t="shared" si="11"/>
        <v>6.5356550000000002</v>
      </c>
    </row>
    <row r="302" spans="1:5">
      <c r="A302" s="28"/>
      <c r="B302" s="16"/>
      <c r="C302" s="17">
        <f>+Sheet1!H303</f>
        <v>46114.796446759261</v>
      </c>
      <c r="D302" s="17">
        <f t="shared" si="10"/>
        <v>46114.713113425925</v>
      </c>
      <c r="E302">
        <f t="shared" si="11"/>
        <v>6.5356550000000002</v>
      </c>
    </row>
    <row r="303" spans="1:5">
      <c r="A303" s="28"/>
      <c r="B303" s="16"/>
      <c r="C303" s="17">
        <f>+Sheet1!H304</f>
        <v>46114.796793981484</v>
      </c>
      <c r="D303" s="17">
        <f t="shared" si="10"/>
        <v>46114.713460648149</v>
      </c>
      <c r="E303">
        <f t="shared" si="11"/>
        <v>6.7203850000000003</v>
      </c>
    </row>
    <row r="304" spans="1:5">
      <c r="A304" s="28"/>
      <c r="B304" s="16"/>
      <c r="C304" s="17">
        <f>+Sheet1!H305</f>
        <v>46114.7971412037</v>
      </c>
      <c r="D304" s="17">
        <f t="shared" si="10"/>
        <v>46114.713807870365</v>
      </c>
      <c r="E304">
        <f t="shared" si="11"/>
        <v>6.7203850000000003</v>
      </c>
    </row>
    <row r="305" spans="1:5">
      <c r="A305" s="28"/>
      <c r="B305" s="16"/>
      <c r="C305" s="17">
        <f>+Sheet1!H306</f>
        <v>46114.797488425924</v>
      </c>
      <c r="D305" s="17">
        <f t="shared" si="10"/>
        <v>46114.714155092588</v>
      </c>
      <c r="E305">
        <f t="shared" si="11"/>
        <v>6.5433560000000002</v>
      </c>
    </row>
    <row r="306" spans="1:5">
      <c r="A306" s="28"/>
      <c r="B306" s="16"/>
      <c r="C306" s="17">
        <f>+Sheet1!H307</f>
        <v>46114.797835648147</v>
      </c>
      <c r="D306" s="17">
        <f t="shared" si="10"/>
        <v>46114.714502314811</v>
      </c>
      <c r="E306">
        <f t="shared" si="11"/>
        <v>6.5433560000000002</v>
      </c>
    </row>
    <row r="307" spans="1:5">
      <c r="A307" s="28"/>
      <c r="B307" s="16"/>
      <c r="C307" s="17">
        <f>+Sheet1!H308</f>
        <v>46114.798182870371</v>
      </c>
      <c r="D307" s="17">
        <f t="shared" si="10"/>
        <v>46114.714849537035</v>
      </c>
      <c r="E307">
        <f t="shared" si="11"/>
        <v>6.4329539999999996</v>
      </c>
    </row>
    <row r="308" spans="1:5">
      <c r="A308" s="28"/>
      <c r="B308" s="16"/>
      <c r="C308" s="17">
        <f>+Sheet1!H309</f>
        <v>46114.798530092594</v>
      </c>
      <c r="D308" s="17">
        <f t="shared" si="10"/>
        <v>46114.715196759258</v>
      </c>
      <c r="E308">
        <f t="shared" si="11"/>
        <v>6.4329539999999996</v>
      </c>
    </row>
    <row r="309" spans="1:5">
      <c r="A309" s="28"/>
      <c r="B309" s="16"/>
      <c r="C309" s="17">
        <f>+Sheet1!H310</f>
        <v>46114.798877314817</v>
      </c>
      <c r="D309" s="17">
        <f t="shared" si="10"/>
        <v>46114.715543981481</v>
      </c>
      <c r="E309">
        <f t="shared" si="11"/>
        <v>6.6185470000000004</v>
      </c>
    </row>
    <row r="310" spans="1:5">
      <c r="A310" s="28"/>
      <c r="B310" s="16"/>
      <c r="C310" s="17">
        <f>+Sheet1!H311</f>
        <v>46114.799224537041</v>
      </c>
      <c r="D310" s="17">
        <f t="shared" si="10"/>
        <v>46114.715891203705</v>
      </c>
      <c r="E310">
        <f t="shared" si="11"/>
        <v>6.6185470000000004</v>
      </c>
    </row>
    <row r="311" spans="1:5">
      <c r="A311" s="28"/>
      <c r="B311" s="16"/>
      <c r="C311" s="17">
        <f>+Sheet1!H312</f>
        <v>46114.799571759257</v>
      </c>
      <c r="D311" s="17">
        <f t="shared" si="10"/>
        <v>46114.716238425921</v>
      </c>
      <c r="E311">
        <f t="shared" si="11"/>
        <v>6.6277980000000003</v>
      </c>
    </row>
    <row r="312" spans="1:5">
      <c r="A312" s="28"/>
      <c r="B312" s="16"/>
      <c r="C312" s="17">
        <f>+Sheet1!H313</f>
        <v>46114.79991898148</v>
      </c>
      <c r="D312" s="17">
        <f t="shared" si="10"/>
        <v>46114.716585648144</v>
      </c>
      <c r="E312">
        <f t="shared" si="11"/>
        <v>6.6277980000000003</v>
      </c>
    </row>
    <row r="313" spans="1:5">
      <c r="A313" s="28"/>
      <c r="B313" s="16"/>
      <c r="C313" s="17">
        <f>+Sheet1!H314</f>
        <v>46114.800266203703</v>
      </c>
      <c r="D313" s="17">
        <f t="shared" si="10"/>
        <v>46114.716932870368</v>
      </c>
      <c r="E313">
        <f t="shared" si="11"/>
        <v>6.7990820000000003</v>
      </c>
    </row>
    <row r="314" spans="1:5">
      <c r="A314" s="28"/>
      <c r="B314" s="16"/>
      <c r="C314" s="17">
        <f>+Sheet1!H315</f>
        <v>46114.800613425927</v>
      </c>
      <c r="D314" s="17">
        <f t="shared" si="10"/>
        <v>46114.717280092591</v>
      </c>
      <c r="E314">
        <f t="shared" si="11"/>
        <v>6.7990820000000003</v>
      </c>
    </row>
    <row r="315" spans="1:5">
      <c r="A315" s="28"/>
      <c r="B315" s="16"/>
      <c r="C315" s="17">
        <f>+Sheet1!H316</f>
        <v>46114.80096064815</v>
      </c>
      <c r="D315" s="17">
        <f t="shared" si="10"/>
        <v>46114.717627314814</v>
      </c>
      <c r="E315">
        <f t="shared" si="11"/>
        <v>6.5581269999999998</v>
      </c>
    </row>
    <row r="316" spans="1:5">
      <c r="A316" s="28"/>
      <c r="B316" s="16"/>
      <c r="C316" s="17">
        <f>+Sheet1!H317</f>
        <v>46114.801307870373</v>
      </c>
      <c r="D316" s="17">
        <f t="shared" si="10"/>
        <v>46114.717974537038</v>
      </c>
      <c r="E316">
        <f t="shared" si="11"/>
        <v>6.5581269999999998</v>
      </c>
    </row>
    <row r="317" spans="1:5">
      <c r="A317" s="28"/>
      <c r="B317" s="16"/>
      <c r="C317" s="17">
        <f>+Sheet1!H318</f>
        <v>46114.801655092589</v>
      </c>
      <c r="D317" s="17">
        <f t="shared" si="10"/>
        <v>46114.718321759254</v>
      </c>
      <c r="E317">
        <f t="shared" si="11"/>
        <v>6.7421540000000002</v>
      </c>
    </row>
    <row r="318" spans="1:5">
      <c r="A318" s="28"/>
      <c r="B318" s="16"/>
      <c r="C318" s="17">
        <f>+Sheet1!H319</f>
        <v>46114.802002314813</v>
      </c>
      <c r="D318" s="17">
        <f t="shared" si="10"/>
        <v>46114.718668981477</v>
      </c>
      <c r="E318">
        <f t="shared" si="11"/>
        <v>6.7421540000000002</v>
      </c>
    </row>
    <row r="319" spans="1:5">
      <c r="A319" s="28"/>
      <c r="B319" s="16"/>
      <c r="C319" s="17">
        <f>+Sheet1!H320</f>
        <v>46114.802349537036</v>
      </c>
      <c r="D319" s="17">
        <f t="shared" si="10"/>
        <v>46114.7190162037</v>
      </c>
      <c r="E319">
        <f t="shared" si="11"/>
        <v>6.7672499999999998</v>
      </c>
    </row>
    <row r="320" spans="1:5">
      <c r="A320" s="28"/>
      <c r="B320" s="16"/>
      <c r="C320" s="17">
        <f>+Sheet1!H321</f>
        <v>46114.80269675926</v>
      </c>
      <c r="D320" s="17">
        <f t="shared" si="10"/>
        <v>46114.719363425924</v>
      </c>
      <c r="E320">
        <f t="shared" si="11"/>
        <v>6.7672499999999998</v>
      </c>
    </row>
    <row r="321" spans="1:4">
      <c r="A321" s="28"/>
      <c r="B321" s="16"/>
      <c r="C321" s="17"/>
      <c r="D321" s="17"/>
    </row>
    <row r="322" spans="1:4">
      <c r="A322" s="28"/>
      <c r="B322" s="16"/>
      <c r="C322" s="17"/>
      <c r="D322" s="17"/>
    </row>
    <row r="323" spans="1:4">
      <c r="A323" s="28"/>
      <c r="B323" s="16"/>
      <c r="C323" s="17"/>
      <c r="D323" s="17"/>
    </row>
    <row r="324" spans="1:4">
      <c r="A324" s="28"/>
      <c r="B324" s="16"/>
      <c r="C324" s="17"/>
      <c r="D324" s="17"/>
    </row>
    <row r="325" spans="1:4">
      <c r="A325" s="28"/>
      <c r="B325" s="16"/>
      <c r="C325" s="17"/>
      <c r="D325" s="17"/>
    </row>
    <row r="326" spans="1:4">
      <c r="A326" s="28"/>
      <c r="B326" s="16"/>
      <c r="C326" s="17"/>
      <c r="D326" s="17"/>
    </row>
    <row r="327" spans="1:4">
      <c r="A327" s="28"/>
      <c r="B327" s="16"/>
      <c r="C327" s="17"/>
      <c r="D327" s="17"/>
    </row>
    <row r="328" spans="1:4">
      <c r="A328" s="28"/>
      <c r="B328" s="16"/>
      <c r="C328" s="17"/>
      <c r="D328" s="17"/>
    </row>
    <row r="329" spans="1:4">
      <c r="A329" s="28"/>
      <c r="B329" s="16"/>
      <c r="C329" s="17"/>
      <c r="D329" s="17"/>
    </row>
    <row r="330" spans="1:4">
      <c r="A330" s="28"/>
      <c r="B330" s="16"/>
      <c r="C330" s="17"/>
      <c r="D330" s="17"/>
    </row>
    <row r="331" spans="1:4">
      <c r="A331" s="28"/>
      <c r="B331" s="16"/>
      <c r="C331" s="17"/>
      <c r="D331" s="17"/>
    </row>
    <row r="332" spans="1:4">
      <c r="A332" s="28"/>
      <c r="B332" s="16"/>
      <c r="C332" s="17"/>
      <c r="D332" s="17"/>
    </row>
    <row r="333" spans="1:4">
      <c r="A333" s="28"/>
      <c r="B333" s="16"/>
      <c r="C333" s="17"/>
      <c r="D333" s="17"/>
    </row>
    <row r="334" spans="1:4">
      <c r="A334" s="28"/>
      <c r="B334" s="16"/>
      <c r="C334" s="17"/>
      <c r="D334" s="17"/>
    </row>
    <row r="335" spans="1:4">
      <c r="A335" s="28"/>
      <c r="B335" s="16"/>
      <c r="C335" s="17"/>
      <c r="D335" s="17"/>
    </row>
    <row r="336" spans="1:4">
      <c r="A336" s="28"/>
      <c r="B336" s="16"/>
      <c r="C336" s="17"/>
      <c r="D336" s="17"/>
    </row>
    <row r="337" spans="1:4">
      <c r="A337" s="28"/>
      <c r="B337" s="16"/>
      <c r="C337" s="17"/>
      <c r="D337" s="17"/>
    </row>
    <row r="338" spans="1:4">
      <c r="A338" s="28"/>
      <c r="B338" s="16"/>
      <c r="C338" s="17"/>
      <c r="D338" s="17"/>
    </row>
    <row r="339" spans="1:4">
      <c r="A339" s="28"/>
      <c r="B339" s="16"/>
      <c r="C339" s="17"/>
      <c r="D339" s="17"/>
    </row>
    <row r="340" spans="1:4">
      <c r="A340" s="28"/>
      <c r="B340" s="16"/>
      <c r="C340" s="17"/>
      <c r="D340" s="17"/>
    </row>
    <row r="341" spans="1:4">
      <c r="A341" s="28"/>
      <c r="B341" s="16"/>
      <c r="C341" s="17"/>
      <c r="D341" s="17"/>
    </row>
    <row r="342" spans="1:4">
      <c r="A342" s="28"/>
      <c r="B342" s="16"/>
      <c r="C342" s="17"/>
      <c r="D342" s="17"/>
    </row>
    <row r="343" spans="1:4">
      <c r="A343" s="28"/>
      <c r="B343" s="16"/>
      <c r="C343" s="17"/>
      <c r="D343" s="17"/>
    </row>
    <row r="344" spans="1:4">
      <c r="A344" s="28"/>
      <c r="B344" s="16"/>
      <c r="C344" s="17"/>
      <c r="D344" s="17"/>
    </row>
    <row r="345" spans="1:4">
      <c r="A345" s="28"/>
      <c r="B345" s="16"/>
      <c r="C345" s="17"/>
      <c r="D345" s="17"/>
    </row>
    <row r="346" spans="1:4">
      <c r="A346" s="28"/>
      <c r="B346" s="16"/>
      <c r="C346" s="17"/>
      <c r="D346" s="17"/>
    </row>
    <row r="347" spans="1:4">
      <c r="A347" s="28"/>
      <c r="B347" s="16"/>
      <c r="C347" s="17"/>
      <c r="D347" s="17"/>
    </row>
    <row r="348" spans="1:4">
      <c r="A348" s="28"/>
      <c r="B348" s="16"/>
      <c r="C348" s="17"/>
      <c r="D348" s="17"/>
    </row>
    <row r="349" spans="1:4">
      <c r="A349" s="28"/>
      <c r="B349" s="16"/>
      <c r="C349" s="17"/>
      <c r="D349" s="17"/>
    </row>
    <row r="350" spans="1:4">
      <c r="A350" s="28"/>
      <c r="B350" s="16"/>
      <c r="C350" s="17"/>
      <c r="D350" s="17"/>
    </row>
    <row r="351" spans="1:4">
      <c r="A351" s="28"/>
      <c r="B351" s="16"/>
      <c r="C351" s="17"/>
      <c r="D351" s="17"/>
    </row>
    <row r="352" spans="1:4">
      <c r="A352" s="28"/>
      <c r="B352" s="16"/>
      <c r="C352" s="17"/>
      <c r="D352" s="17"/>
    </row>
    <row r="353" spans="1:4">
      <c r="A353" s="28"/>
      <c r="B353" s="16"/>
      <c r="C353" s="17"/>
      <c r="D353" s="17"/>
    </row>
    <row r="354" spans="1:4">
      <c r="A354" s="28"/>
      <c r="B354" s="16"/>
      <c r="C354" s="17"/>
      <c r="D354" s="17"/>
    </row>
    <row r="355" spans="1:4">
      <c r="A355" s="28"/>
      <c r="B355" s="16"/>
      <c r="C355" s="17"/>
      <c r="D355" s="17"/>
    </row>
    <row r="356" spans="1:4">
      <c r="A356" s="28"/>
      <c r="B356" s="16"/>
      <c r="C356" s="17"/>
      <c r="D356" s="17"/>
    </row>
    <row r="357" spans="1:4">
      <c r="A357" s="28"/>
      <c r="B357" s="16"/>
      <c r="C357" s="17"/>
      <c r="D357" s="17"/>
    </row>
    <row r="358" spans="1:4">
      <c r="A358" s="28"/>
      <c r="B358" s="16"/>
      <c r="C358" s="17"/>
      <c r="D358" s="17"/>
    </row>
    <row r="359" spans="1:4">
      <c r="A359" s="28"/>
      <c r="B359" s="16"/>
      <c r="C359" s="17"/>
      <c r="D359" s="17"/>
    </row>
    <row r="360" spans="1:4">
      <c r="B360" s="16"/>
      <c r="C360" s="17"/>
      <c r="D360" s="17"/>
    </row>
    <row r="361" spans="1:4">
      <c r="B361" s="16"/>
      <c r="C361" s="17"/>
      <c r="D361" s="17"/>
    </row>
    <row r="362" spans="1:4">
      <c r="B362" s="16"/>
      <c r="C362" s="17"/>
      <c r="D362" s="17"/>
    </row>
    <row r="363" spans="1:4">
      <c r="B363" s="16"/>
      <c r="C363" s="17"/>
      <c r="D363" s="17"/>
    </row>
    <row r="364" spans="1:4">
      <c r="B364" s="16"/>
      <c r="C364" s="17"/>
      <c r="D364" s="17"/>
    </row>
    <row r="365" spans="1:4">
      <c r="B365" s="16"/>
      <c r="C365" s="17"/>
      <c r="D365" s="17"/>
    </row>
    <row r="366" spans="1:4">
      <c r="B366" s="16"/>
      <c r="C366" s="17"/>
      <c r="D366" s="17"/>
    </row>
    <row r="367" spans="1:4">
      <c r="B367" s="16"/>
      <c r="C367" s="17"/>
      <c r="D367" s="17"/>
    </row>
    <row r="368" spans="1:4">
      <c r="B368" s="16"/>
      <c r="C368" s="17"/>
      <c r="D368" s="17"/>
    </row>
    <row r="369" spans="2:4">
      <c r="B369" s="16"/>
      <c r="C369" s="17"/>
      <c r="D369" s="17"/>
    </row>
    <row r="370" spans="2:4">
      <c r="B370" s="16"/>
      <c r="C370" s="17"/>
      <c r="D370" s="17"/>
    </row>
    <row r="371" spans="2:4">
      <c r="B371" s="16"/>
      <c r="C371" s="17"/>
      <c r="D371" s="17"/>
    </row>
    <row r="372" spans="2:4">
      <c r="B372" s="16"/>
      <c r="C372" s="17"/>
      <c r="D372" s="17"/>
    </row>
    <row r="373" spans="2:4">
      <c r="B373" s="16"/>
      <c r="C373" s="17"/>
      <c r="D373" s="17"/>
    </row>
    <row r="374" spans="2:4">
      <c r="B374" s="16"/>
      <c r="C374" s="17"/>
      <c r="D374" s="17"/>
    </row>
    <row r="375" spans="2:4">
      <c r="B375" s="16"/>
      <c r="C375" s="17"/>
      <c r="D375" s="17"/>
    </row>
    <row r="376" spans="2:4">
      <c r="B376" s="16"/>
      <c r="C376" s="17"/>
      <c r="D376" s="17"/>
    </row>
    <row r="377" spans="2:4">
      <c r="B377" s="16"/>
      <c r="C377" s="17"/>
      <c r="D377" s="17"/>
    </row>
    <row r="378" spans="2:4">
      <c r="B378" s="16"/>
      <c r="C378" s="17"/>
      <c r="D378" s="17"/>
    </row>
    <row r="379" spans="2:4">
      <c r="B379" s="16"/>
      <c r="C379" s="17"/>
      <c r="D379" s="17"/>
    </row>
    <row r="380" spans="2:4">
      <c r="B380" s="16"/>
      <c r="C380" s="17"/>
      <c r="D380" s="17"/>
    </row>
    <row r="381" spans="2:4">
      <c r="B381" s="16"/>
      <c r="C381" s="17"/>
      <c r="D381" s="17"/>
    </row>
    <row r="382" spans="2:4">
      <c r="B382" s="16"/>
      <c r="C382" s="17"/>
      <c r="D382" s="17"/>
    </row>
    <row r="383" spans="2:4">
      <c r="B383" s="16"/>
      <c r="C383" s="17"/>
      <c r="D383" s="17"/>
    </row>
    <row r="384" spans="2:4">
      <c r="B384" s="16"/>
      <c r="C384" s="17"/>
      <c r="D384" s="17"/>
    </row>
    <row r="385" spans="2:4">
      <c r="B385" s="16"/>
      <c r="C385" s="17"/>
      <c r="D385" s="17"/>
    </row>
    <row r="386" spans="2:4">
      <c r="B386" s="16"/>
      <c r="C386" s="17"/>
      <c r="D386" s="17"/>
    </row>
    <row r="387" spans="2:4">
      <c r="B387" s="16"/>
      <c r="C387" s="17"/>
      <c r="D387" s="17"/>
    </row>
    <row r="388" spans="2:4">
      <c r="B388" s="16"/>
      <c r="C388" s="17"/>
      <c r="D388" s="17"/>
    </row>
    <row r="389" spans="2:4">
      <c r="B389" s="16"/>
      <c r="C389" s="17"/>
      <c r="D389" s="17"/>
    </row>
    <row r="390" spans="2:4">
      <c r="B390" s="16"/>
      <c r="C390" s="17"/>
      <c r="D390" s="17"/>
    </row>
    <row r="391" spans="2:4">
      <c r="B391" s="16"/>
      <c r="C391" s="17"/>
      <c r="D391" s="17"/>
    </row>
    <row r="392" spans="2:4">
      <c r="B392" s="16"/>
      <c r="C392" s="17"/>
      <c r="D392" s="17"/>
    </row>
    <row r="393" spans="2:4">
      <c r="B393" s="16"/>
      <c r="C393" s="17"/>
      <c r="D393" s="17"/>
    </row>
    <row r="394" spans="2:4">
      <c r="B394" s="16"/>
      <c r="C394" s="17"/>
      <c r="D394" s="17"/>
    </row>
    <row r="395" spans="2:4">
      <c r="B395" s="16"/>
      <c r="C395" s="17"/>
      <c r="D395" s="17"/>
    </row>
    <row r="396" spans="2:4">
      <c r="B396" s="16"/>
      <c r="C396" s="17"/>
      <c r="D396" s="17"/>
    </row>
    <row r="397" spans="2:4">
      <c r="B397" s="16"/>
      <c r="C397" s="17"/>
      <c r="D397" s="17"/>
    </row>
    <row r="398" spans="2:4">
      <c r="B398" s="16"/>
      <c r="C398" s="17"/>
      <c r="D398" s="17"/>
    </row>
    <row r="399" spans="2:4">
      <c r="B399" s="16"/>
      <c r="C399" s="17"/>
      <c r="D399" s="17"/>
    </row>
    <row r="400" spans="2:4">
      <c r="B400" s="16"/>
      <c r="C400" s="17"/>
      <c r="D400" s="17"/>
    </row>
    <row r="401" spans="2:4">
      <c r="B401" s="16"/>
      <c r="C401" s="17"/>
      <c r="D401" s="17"/>
    </row>
    <row r="402" spans="2:4">
      <c r="B402" s="16"/>
      <c r="C402" s="17"/>
      <c r="D402" s="17"/>
    </row>
    <row r="403" spans="2:4">
      <c r="B403" s="16"/>
      <c r="C403" s="17"/>
      <c r="D403" s="17"/>
    </row>
    <row r="404" spans="2:4">
      <c r="B404" s="16"/>
      <c r="C404" s="17"/>
      <c r="D404" s="17"/>
    </row>
    <row r="405" spans="2:4">
      <c r="B405" s="16"/>
      <c r="C405" s="17"/>
      <c r="D405" s="17"/>
    </row>
    <row r="406" spans="2:4">
      <c r="B406" s="16"/>
      <c r="C406" s="17"/>
      <c r="D406" s="17"/>
    </row>
    <row r="407" spans="2:4">
      <c r="B407" s="16"/>
      <c r="C407" s="17"/>
      <c r="D407" s="17"/>
    </row>
    <row r="408" spans="2:4">
      <c r="B408" s="16"/>
      <c r="C408" s="17"/>
      <c r="D408" s="17"/>
    </row>
    <row r="409" spans="2:4">
      <c r="B409" s="16"/>
      <c r="C409" s="17"/>
      <c r="D409" s="17"/>
    </row>
    <row r="410" spans="2:4">
      <c r="B410" s="16"/>
      <c r="C410" s="17"/>
      <c r="D410" s="17"/>
    </row>
    <row r="411" spans="2:4">
      <c r="B411" s="16"/>
      <c r="C411" s="17"/>
      <c r="D411" s="17"/>
    </row>
    <row r="412" spans="2:4">
      <c r="B412" s="16"/>
      <c r="C412" s="17"/>
      <c r="D412" s="17"/>
    </row>
    <row r="413" spans="2:4">
      <c r="B413" s="16"/>
      <c r="C413" s="17"/>
      <c r="D413" s="17"/>
    </row>
    <row r="414" spans="2:4">
      <c r="B414" s="16"/>
      <c r="C414" s="17"/>
      <c r="D414" s="17"/>
    </row>
    <row r="415" spans="2:4">
      <c r="B415" s="16"/>
      <c r="C415" s="17"/>
      <c r="D415" s="17"/>
    </row>
    <row r="416" spans="2:4">
      <c r="B416" s="16"/>
      <c r="C416" s="17"/>
      <c r="D416" s="17"/>
    </row>
    <row r="417" spans="2:4">
      <c r="B417" s="16"/>
      <c r="C417" s="17"/>
      <c r="D417" s="17"/>
    </row>
    <row r="418" spans="2:4">
      <c r="B418" s="16"/>
      <c r="C418" s="17"/>
      <c r="D418" s="17"/>
    </row>
    <row r="419" spans="2:4">
      <c r="B419" s="16"/>
      <c r="C419" s="17"/>
      <c r="D419" s="17"/>
    </row>
    <row r="420" spans="2:4">
      <c r="B420" s="16"/>
      <c r="C420" s="17"/>
      <c r="D420" s="17"/>
    </row>
    <row r="421" spans="2:4">
      <c r="B421" s="16"/>
      <c r="C421" s="17"/>
      <c r="D421" s="17"/>
    </row>
    <row r="422" spans="2:4">
      <c r="B422" s="16"/>
      <c r="C422" s="17"/>
      <c r="D422" s="17"/>
    </row>
    <row r="423" spans="2:4">
      <c r="B423" s="16"/>
      <c r="C423" s="17"/>
      <c r="D423" s="17"/>
    </row>
    <row r="424" spans="2:4">
      <c r="B424" s="16"/>
      <c r="C424" s="17"/>
      <c r="D424" s="17"/>
    </row>
    <row r="425" spans="2:4">
      <c r="B425" s="16"/>
      <c r="C425" s="17"/>
      <c r="D425" s="17"/>
    </row>
    <row r="426" spans="2:4">
      <c r="B426" s="16"/>
      <c r="C426" s="17"/>
      <c r="D426" s="17"/>
    </row>
    <row r="427" spans="2:4">
      <c r="B427" s="16"/>
      <c r="C427" s="17"/>
      <c r="D427" s="17"/>
    </row>
    <row r="428" spans="2:4">
      <c r="B428" s="16"/>
      <c r="C428" s="17"/>
      <c r="D428" s="17"/>
    </row>
    <row r="429" spans="2:4">
      <c r="B429" s="16"/>
      <c r="C429" s="17"/>
      <c r="D429" s="17"/>
    </row>
    <row r="430" spans="2:4">
      <c r="B430" s="16"/>
      <c r="C430" s="17"/>
      <c r="D430" s="17"/>
    </row>
    <row r="431" spans="2:4">
      <c r="B431" s="16"/>
      <c r="C431" s="17"/>
      <c r="D431" s="17"/>
    </row>
    <row r="432" spans="2:4">
      <c r="B432" s="16"/>
      <c r="C432" s="17"/>
      <c r="D432" s="17"/>
    </row>
    <row r="433" spans="2:4">
      <c r="B433" s="16"/>
      <c r="C433" s="17"/>
      <c r="D433" s="17"/>
    </row>
    <row r="434" spans="2:4">
      <c r="B434" s="16"/>
      <c r="C434" s="17"/>
      <c r="D434" s="17"/>
    </row>
    <row r="435" spans="2:4">
      <c r="B435" s="16"/>
      <c r="C435" s="17"/>
      <c r="D435" s="17"/>
    </row>
    <row r="436" spans="2:4">
      <c r="B436" s="16"/>
      <c r="C436" s="17"/>
      <c r="D436" s="17"/>
    </row>
    <row r="437" spans="2:4">
      <c r="B437" s="16"/>
      <c r="C437" s="17"/>
      <c r="D437" s="17"/>
    </row>
    <row r="438" spans="2:4">
      <c r="B438" s="16"/>
      <c r="C438" s="17"/>
      <c r="D438" s="17"/>
    </row>
    <row r="439" spans="2:4">
      <c r="B439" s="16"/>
      <c r="C439" s="17"/>
      <c r="D439" s="17"/>
    </row>
    <row r="440" spans="2:4">
      <c r="B440" s="16"/>
      <c r="C440" s="17"/>
      <c r="D440" s="17"/>
    </row>
    <row r="441" spans="2:4">
      <c r="B441" s="16"/>
      <c r="C441" s="17"/>
      <c r="D441" s="17"/>
    </row>
    <row r="442" spans="2:4">
      <c r="B442" s="16"/>
      <c r="C442" s="17"/>
      <c r="D442" s="17"/>
    </row>
    <row r="443" spans="2:4">
      <c r="B443" s="16"/>
      <c r="C443" s="17"/>
      <c r="D443" s="17"/>
    </row>
    <row r="444" spans="2:4">
      <c r="B444" s="16"/>
      <c r="C444" s="17"/>
      <c r="D444" s="17"/>
    </row>
    <row r="445" spans="2:4">
      <c r="B445" s="16"/>
      <c r="C445" s="17"/>
      <c r="D445" s="17"/>
    </row>
    <row r="446" spans="2:4">
      <c r="B446" s="16"/>
      <c r="C446" s="17"/>
      <c r="D446" s="17"/>
    </row>
    <row r="447" spans="2:4">
      <c r="B447" s="16"/>
      <c r="C447" s="17"/>
      <c r="D447" s="17"/>
    </row>
    <row r="448" spans="2:4">
      <c r="B448" s="16"/>
      <c r="C448" s="17"/>
      <c r="D448" s="17"/>
    </row>
    <row r="449" spans="2:4">
      <c r="B449" s="16"/>
      <c r="C449" s="17"/>
      <c r="D449" s="17"/>
    </row>
    <row r="450" spans="2:4">
      <c r="B450" s="16"/>
      <c r="C450" s="17"/>
      <c r="D450" s="17"/>
    </row>
    <row r="451" spans="2:4">
      <c r="B451" s="16"/>
      <c r="C451" s="17"/>
      <c r="D451" s="17"/>
    </row>
    <row r="452" spans="2:4">
      <c r="B452" s="16"/>
      <c r="C452" s="17"/>
      <c r="D452" s="17"/>
    </row>
    <row r="453" spans="2:4">
      <c r="B453" s="16"/>
      <c r="C453" s="17"/>
      <c r="D453" s="17"/>
    </row>
    <row r="454" spans="2:4">
      <c r="B454" s="16"/>
      <c r="C454" s="17"/>
      <c r="D454" s="17"/>
    </row>
    <row r="455" spans="2:4">
      <c r="B455" s="16"/>
      <c r="C455" s="17"/>
      <c r="D455" s="17"/>
    </row>
    <row r="456" spans="2:4">
      <c r="B456" s="16"/>
      <c r="C456" s="17"/>
      <c r="D456" s="17"/>
    </row>
    <row r="457" spans="2:4">
      <c r="B457" s="16"/>
      <c r="C457" s="17"/>
      <c r="D457" s="17"/>
    </row>
    <row r="458" spans="2:4">
      <c r="B458" s="16"/>
      <c r="C458" s="17"/>
      <c r="D458" s="17"/>
    </row>
    <row r="459" spans="2:4">
      <c r="B459" s="16"/>
      <c r="C459" s="17"/>
      <c r="D459" s="17"/>
    </row>
    <row r="460" spans="2:4">
      <c r="B460" s="16"/>
      <c r="C460" s="17"/>
      <c r="D460" s="17"/>
    </row>
    <row r="461" spans="2:4">
      <c r="B461" s="16"/>
      <c r="C461" s="17"/>
      <c r="D461" s="17"/>
    </row>
    <row r="462" spans="2:4">
      <c r="B462" s="16"/>
      <c r="C462" s="17"/>
      <c r="D462" s="17"/>
    </row>
    <row r="463" spans="2:4">
      <c r="B463" s="16"/>
      <c r="C463" s="17"/>
      <c r="D463" s="17"/>
    </row>
    <row r="464" spans="2:4">
      <c r="B464" s="16"/>
      <c r="C464" s="17"/>
      <c r="D464" s="17"/>
    </row>
    <row r="465" spans="2:4">
      <c r="B465" s="16"/>
      <c r="C465" s="17"/>
      <c r="D465" s="17"/>
    </row>
    <row r="466" spans="2:4">
      <c r="B466" s="16"/>
      <c r="C466" s="17"/>
      <c r="D466" s="17"/>
    </row>
    <row r="467" spans="2:4">
      <c r="B467" s="16"/>
      <c r="C467" s="17"/>
      <c r="D467" s="17"/>
    </row>
    <row r="468" spans="2:4">
      <c r="B468" s="16"/>
      <c r="C468" s="17"/>
      <c r="D468" s="17"/>
    </row>
    <row r="469" spans="2:4">
      <c r="B469" s="16"/>
      <c r="C469" s="17"/>
      <c r="D469" s="17"/>
    </row>
    <row r="470" spans="2:4">
      <c r="B470" s="16"/>
      <c r="C470" s="17"/>
      <c r="D470" s="17"/>
    </row>
    <row r="471" spans="2:4">
      <c r="B471" s="16"/>
      <c r="C471" s="17"/>
      <c r="D471" s="17"/>
    </row>
    <row r="472" spans="2:4">
      <c r="B472" s="16"/>
      <c r="C472" s="17"/>
      <c r="D472" s="17"/>
    </row>
    <row r="473" spans="2:4">
      <c r="B473" s="16"/>
      <c r="C473" s="17"/>
      <c r="D473" s="17"/>
    </row>
    <row r="474" spans="2:4">
      <c r="B474" s="16"/>
      <c r="C474" s="17"/>
      <c r="D474" s="17"/>
    </row>
    <row r="475" spans="2:4">
      <c r="B475" s="16"/>
      <c r="C475" s="17"/>
      <c r="D475" s="17"/>
    </row>
    <row r="476" spans="2:4">
      <c r="B476" s="16"/>
      <c r="C476" s="17"/>
      <c r="D476" s="17"/>
    </row>
    <row r="477" spans="2:4">
      <c r="B477" s="16"/>
      <c r="C477" s="17"/>
      <c r="D477" s="17"/>
    </row>
    <row r="478" spans="2:4">
      <c r="B478" s="16"/>
      <c r="C478" s="17"/>
      <c r="D478" s="17"/>
    </row>
    <row r="479" spans="2:4">
      <c r="B479" s="16"/>
      <c r="C479" s="17"/>
      <c r="D479" s="17"/>
    </row>
    <row r="480" spans="2:4">
      <c r="B480" s="16"/>
      <c r="C480" s="17"/>
      <c r="D480" s="17"/>
    </row>
    <row r="481" spans="2:4">
      <c r="B481" s="16"/>
      <c r="C481" s="17"/>
      <c r="D481" s="17"/>
    </row>
    <row r="482" spans="2:4">
      <c r="B482" s="16"/>
      <c r="C482" s="17"/>
      <c r="D482" s="17"/>
    </row>
    <row r="483" spans="2:4">
      <c r="B483" s="16"/>
      <c r="C483" s="17"/>
      <c r="D483" s="17"/>
    </row>
    <row r="484" spans="2:4">
      <c r="B484" s="16"/>
      <c r="C484" s="17"/>
      <c r="D484" s="17"/>
    </row>
    <row r="485" spans="2:4">
      <c r="B485" s="16"/>
      <c r="C485" s="17"/>
      <c r="D485" s="17"/>
    </row>
    <row r="486" spans="2:4">
      <c r="B486" s="16"/>
      <c r="C486" s="17"/>
      <c r="D486" s="17"/>
    </row>
    <row r="487" spans="2:4">
      <c r="B487" s="16"/>
      <c r="C487" s="17"/>
      <c r="D487" s="17"/>
    </row>
    <row r="488" spans="2:4">
      <c r="B488" s="16"/>
      <c r="C488" s="17"/>
      <c r="D488" s="17"/>
    </row>
    <row r="489" spans="2:4">
      <c r="B489" s="16"/>
      <c r="C489" s="17"/>
      <c r="D489" s="17"/>
    </row>
    <row r="490" spans="2:4">
      <c r="B490" s="16"/>
      <c r="C490" s="17"/>
      <c r="D490" s="17"/>
    </row>
    <row r="491" spans="2:4">
      <c r="B491" s="16"/>
      <c r="C491" s="17"/>
      <c r="D491" s="17"/>
    </row>
    <row r="492" spans="2:4">
      <c r="B492" s="16"/>
      <c r="C492" s="17"/>
      <c r="D492" s="17"/>
    </row>
    <row r="493" spans="2:4">
      <c r="B493" s="16"/>
      <c r="C493" s="17"/>
      <c r="D493" s="17"/>
    </row>
    <row r="494" spans="2:4">
      <c r="B494" s="16"/>
      <c r="C494" s="17"/>
      <c r="D494" s="17"/>
    </row>
    <row r="495" spans="2:4">
      <c r="B495" s="16"/>
      <c r="C495" s="17"/>
      <c r="D495" s="17"/>
    </row>
    <row r="496" spans="2:4">
      <c r="B496" s="16"/>
      <c r="C496" s="17"/>
      <c r="D496" s="17"/>
    </row>
    <row r="497" spans="2:4">
      <c r="B497" s="16"/>
      <c r="C497" s="17"/>
      <c r="D497" s="17"/>
    </row>
    <row r="498" spans="2:4">
      <c r="B498" s="16"/>
      <c r="C498" s="17"/>
      <c r="D498" s="17"/>
    </row>
    <row r="499" spans="2:4">
      <c r="B499" s="16"/>
      <c r="C499" s="17"/>
      <c r="D499" s="17"/>
    </row>
    <row r="500" spans="2:4">
      <c r="B500" s="16"/>
      <c r="C500" s="17"/>
      <c r="D500" s="17"/>
    </row>
    <row r="501" spans="2:4">
      <c r="B501" s="16"/>
      <c r="C501" s="17"/>
      <c r="D501" s="17"/>
    </row>
    <row r="502" spans="2:4">
      <c r="B502" s="16"/>
      <c r="C502" s="17"/>
      <c r="D502" s="17"/>
    </row>
    <row r="503" spans="2:4">
      <c r="B503" s="16"/>
      <c r="C503" s="17"/>
      <c r="D503" s="17"/>
    </row>
    <row r="504" spans="2:4">
      <c r="B504" s="16"/>
      <c r="C504" s="17"/>
      <c r="D504" s="17"/>
    </row>
    <row r="505" spans="2:4">
      <c r="B505" s="16"/>
      <c r="C505" s="17"/>
      <c r="D505" s="17"/>
    </row>
    <row r="506" spans="2:4">
      <c r="B506" s="16"/>
      <c r="C506" s="17"/>
      <c r="D506" s="17"/>
    </row>
    <row r="507" spans="2:4">
      <c r="B507" s="16"/>
      <c r="C507" s="17"/>
      <c r="D507" s="17"/>
    </row>
    <row r="508" spans="2:4">
      <c r="B508" s="16"/>
      <c r="C508" s="17"/>
      <c r="D508" s="17"/>
    </row>
    <row r="509" spans="2:4">
      <c r="B509" s="16"/>
      <c r="C509" s="17"/>
      <c r="D509" s="17"/>
    </row>
    <row r="510" spans="2:4">
      <c r="B510" s="16"/>
      <c r="C510" s="17"/>
      <c r="D510" s="17"/>
    </row>
    <row r="511" spans="2:4">
      <c r="B511" s="16"/>
      <c r="C511" s="17"/>
      <c r="D511" s="17"/>
    </row>
    <row r="512" spans="2:4">
      <c r="B512" s="16"/>
      <c r="C512" s="17"/>
      <c r="D512" s="17"/>
    </row>
    <row r="513" spans="2:4">
      <c r="B513" s="16"/>
      <c r="C513" s="17"/>
      <c r="D513" s="17"/>
    </row>
    <row r="514" spans="2:4">
      <c r="B514" s="16"/>
      <c r="C514" s="17"/>
      <c r="D514" s="17"/>
    </row>
    <row r="515" spans="2:4">
      <c r="B515" s="16"/>
      <c r="C515" s="17"/>
      <c r="D515" s="17"/>
    </row>
    <row r="516" spans="2:4">
      <c r="B516" s="16"/>
      <c r="C516" s="17"/>
      <c r="D516" s="17"/>
    </row>
    <row r="517" spans="2:4">
      <c r="B517" s="16"/>
      <c r="C517" s="17"/>
      <c r="D517" s="17"/>
    </row>
    <row r="518" spans="2:4">
      <c r="B518" s="16"/>
      <c r="C518" s="17"/>
      <c r="D518" s="17"/>
    </row>
    <row r="519" spans="2:4">
      <c r="B519" s="16"/>
      <c r="C519" s="17"/>
      <c r="D519" s="17"/>
    </row>
    <row r="520" spans="2:4">
      <c r="B520" s="16"/>
      <c r="C520" s="17"/>
      <c r="D520" s="17"/>
    </row>
    <row r="521" spans="2:4">
      <c r="B521" s="16"/>
      <c r="C521" s="17"/>
      <c r="D521" s="17"/>
    </row>
    <row r="522" spans="2:4">
      <c r="B522" s="16"/>
      <c r="C522" s="17"/>
      <c r="D522" s="17"/>
    </row>
    <row r="523" spans="2:4">
      <c r="B523" s="16"/>
      <c r="C523" s="17"/>
      <c r="D523" s="17"/>
    </row>
    <row r="524" spans="2:4">
      <c r="B524" s="16"/>
      <c r="C524" s="17"/>
      <c r="D524" s="17"/>
    </row>
    <row r="525" spans="2:4">
      <c r="B525" s="16"/>
      <c r="C525" s="17"/>
      <c r="D525" s="17"/>
    </row>
    <row r="526" spans="2:4">
      <c r="B526" s="16"/>
      <c r="C526" s="17"/>
      <c r="D526" s="17"/>
    </row>
    <row r="527" spans="2:4">
      <c r="B527" s="16"/>
      <c r="C527" s="17"/>
      <c r="D527" s="17"/>
    </row>
    <row r="528" spans="2:4">
      <c r="B528" s="16"/>
      <c r="C528" s="17"/>
      <c r="D528" s="17"/>
    </row>
    <row r="529" spans="2:4">
      <c r="B529" s="16"/>
      <c r="C529" s="17"/>
      <c r="D529" s="17"/>
    </row>
    <row r="530" spans="2:4">
      <c r="B530" s="16"/>
      <c r="C530" s="17"/>
      <c r="D530" s="17"/>
    </row>
    <row r="531" spans="2:4">
      <c r="B531" s="16"/>
      <c r="C531" s="17"/>
      <c r="D531" s="17"/>
    </row>
    <row r="532" spans="2:4">
      <c r="B532" s="16"/>
      <c r="C532" s="17"/>
      <c r="D532" s="17"/>
    </row>
    <row r="533" spans="2:4">
      <c r="B533" s="16"/>
      <c r="C533" s="17"/>
      <c r="D533" s="17"/>
    </row>
    <row r="534" spans="2:4">
      <c r="B534" s="16"/>
      <c r="C534" s="17"/>
      <c r="D534" s="17"/>
    </row>
    <row r="535" spans="2:4">
      <c r="B535" s="16"/>
      <c r="C535" s="17"/>
      <c r="D535" s="17"/>
    </row>
    <row r="536" spans="2:4">
      <c r="B536" s="16"/>
      <c r="C536" s="17"/>
      <c r="D536" s="17"/>
    </row>
    <row r="537" spans="2:4">
      <c r="B537" s="16"/>
      <c r="C537" s="17"/>
      <c r="D537" s="17"/>
    </row>
    <row r="538" spans="2:4">
      <c r="B538" s="16"/>
      <c r="C538" s="17"/>
      <c r="D538" s="17"/>
    </row>
    <row r="539" spans="2:4">
      <c r="B539" s="16"/>
      <c r="C539" s="17"/>
      <c r="D539" s="17"/>
    </row>
    <row r="540" spans="2:4">
      <c r="B540" s="16"/>
      <c r="C540" s="17"/>
      <c r="D540" s="17"/>
    </row>
    <row r="541" spans="2:4">
      <c r="B541" s="16"/>
      <c r="C541" s="17"/>
      <c r="D541" s="17"/>
    </row>
    <row r="542" spans="2:4">
      <c r="B542" s="16"/>
      <c r="C542" s="17"/>
      <c r="D542" s="17"/>
    </row>
    <row r="543" spans="2:4">
      <c r="B543" s="16"/>
      <c r="C543" s="17"/>
      <c r="D543" s="17"/>
    </row>
    <row r="544" spans="2:4">
      <c r="B544" s="16"/>
      <c r="C544" s="17"/>
      <c r="D544" s="17"/>
    </row>
    <row r="545" spans="2:4">
      <c r="B545" s="16"/>
      <c r="C545" s="17"/>
      <c r="D545" s="17"/>
    </row>
    <row r="546" spans="2:4">
      <c r="B546" s="16"/>
      <c r="C546" s="17"/>
      <c r="D546" s="17"/>
    </row>
    <row r="547" spans="2:4">
      <c r="B547" s="16"/>
      <c r="C547" s="17"/>
      <c r="D547" s="17"/>
    </row>
    <row r="548" spans="2:4">
      <c r="B548" s="16"/>
      <c r="C548" s="17"/>
      <c r="D548" s="17"/>
    </row>
    <row r="549" spans="2:4">
      <c r="B549" s="16"/>
      <c r="C549" s="17"/>
      <c r="D549" s="17"/>
    </row>
    <row r="550" spans="2:4">
      <c r="B550" s="16"/>
      <c r="C550" s="17"/>
      <c r="D550" s="17"/>
    </row>
    <row r="551" spans="2:4">
      <c r="B551" s="16"/>
      <c r="C551" s="17"/>
      <c r="D551" s="17"/>
    </row>
    <row r="552" spans="2:4">
      <c r="B552" s="16"/>
      <c r="C552" s="17"/>
      <c r="D552" s="17"/>
    </row>
    <row r="553" spans="2:4">
      <c r="B553" s="16"/>
      <c r="C553" s="17"/>
      <c r="D553" s="17"/>
    </row>
    <row r="554" spans="2:4">
      <c r="B554" s="16"/>
      <c r="C554" s="17"/>
      <c r="D554" s="17"/>
    </row>
    <row r="555" spans="2:4">
      <c r="B555" s="16"/>
      <c r="C555" s="17"/>
      <c r="D555" s="17"/>
    </row>
    <row r="556" spans="2:4">
      <c r="B556" s="16"/>
      <c r="C556" s="17"/>
      <c r="D556" s="17"/>
    </row>
    <row r="557" spans="2:4">
      <c r="B557" s="16"/>
      <c r="C557" s="17"/>
      <c r="D557" s="17"/>
    </row>
    <row r="558" spans="2:4">
      <c r="B558" s="16"/>
      <c r="C558" s="17"/>
      <c r="D558" s="17"/>
    </row>
    <row r="559" spans="2:4">
      <c r="B559" s="16"/>
      <c r="C559" s="17"/>
      <c r="D559" s="17"/>
    </row>
    <row r="560" spans="2:4">
      <c r="B560" s="16"/>
      <c r="C560" s="17"/>
      <c r="D560" s="17"/>
    </row>
    <row r="561" spans="2:4">
      <c r="B561" s="16"/>
      <c r="C561" s="17"/>
      <c r="D561" s="17"/>
    </row>
    <row r="562" spans="2:4">
      <c r="B562" s="16"/>
      <c r="C562" s="17"/>
      <c r="D562" s="17"/>
    </row>
    <row r="563" spans="2:4">
      <c r="B563" s="16"/>
      <c r="C563" s="17"/>
      <c r="D563" s="17"/>
    </row>
    <row r="564" spans="2:4">
      <c r="B564" s="16"/>
      <c r="C564" s="17"/>
      <c r="D564" s="17"/>
    </row>
    <row r="565" spans="2:4">
      <c r="B565" s="16"/>
      <c r="C565" s="17"/>
      <c r="D565" s="17"/>
    </row>
    <row r="566" spans="2:4">
      <c r="B566" s="16"/>
      <c r="C566" s="17"/>
      <c r="D566" s="17"/>
    </row>
    <row r="567" spans="2:4">
      <c r="B567" s="16"/>
      <c r="C567" s="17"/>
      <c r="D567" s="17"/>
    </row>
    <row r="568" spans="2:4">
      <c r="B568" s="16"/>
      <c r="C568" s="17"/>
      <c r="D568" s="17"/>
    </row>
    <row r="569" spans="2:4">
      <c r="B569" s="16"/>
      <c r="C569" s="17"/>
      <c r="D569" s="17"/>
    </row>
    <row r="570" spans="2:4">
      <c r="B570" s="16"/>
      <c r="C570" s="17"/>
      <c r="D570" s="17"/>
    </row>
    <row r="571" spans="2:4">
      <c r="B571" s="16"/>
      <c r="C571" s="17"/>
      <c r="D571" s="17"/>
    </row>
    <row r="572" spans="2:4">
      <c r="B572" s="16"/>
      <c r="C572" s="17"/>
      <c r="D572" s="17"/>
    </row>
    <row r="573" spans="2:4">
      <c r="B573" s="16"/>
      <c r="C573" s="17"/>
      <c r="D573" s="17"/>
    </row>
    <row r="574" spans="2:4">
      <c r="B574" s="16"/>
      <c r="C574" s="17"/>
      <c r="D574" s="17"/>
    </row>
    <row r="575" spans="2:4">
      <c r="B575" s="16"/>
      <c r="C575" s="17"/>
      <c r="D575" s="17"/>
    </row>
    <row r="576" spans="2:4">
      <c r="B576" s="16"/>
      <c r="C576" s="17"/>
      <c r="D576" s="17"/>
    </row>
    <row r="577" spans="2:4">
      <c r="B577" s="16"/>
      <c r="C577" s="17"/>
      <c r="D577" s="17"/>
    </row>
    <row r="578" spans="2:4">
      <c r="B578" s="16"/>
      <c r="C578" s="17"/>
      <c r="D578" s="17"/>
    </row>
    <row r="579" spans="2:4">
      <c r="B579" s="16"/>
      <c r="C579" s="17"/>
      <c r="D579" s="17"/>
    </row>
    <row r="580" spans="2:4">
      <c r="B580" s="16"/>
      <c r="C580" s="17"/>
      <c r="D580" s="17"/>
    </row>
    <row r="581" spans="2:4">
      <c r="B581" s="16"/>
      <c r="C581" s="17"/>
      <c r="D581" s="17"/>
    </row>
    <row r="582" spans="2:4">
      <c r="B582" s="16"/>
      <c r="C582" s="17"/>
      <c r="D582" s="17"/>
    </row>
    <row r="583" spans="2:4">
      <c r="B583" s="16"/>
      <c r="C583" s="17"/>
      <c r="D583" s="17"/>
    </row>
    <row r="584" spans="2:4">
      <c r="B584" s="16"/>
      <c r="C584" s="17"/>
      <c r="D584" s="17"/>
    </row>
    <row r="585" spans="2:4">
      <c r="B585" s="16"/>
      <c r="C585" s="17"/>
      <c r="D585" s="17"/>
    </row>
    <row r="586" spans="2:4">
      <c r="B586" s="16"/>
      <c r="C586" s="17"/>
      <c r="D586" s="17"/>
    </row>
    <row r="587" spans="2:4">
      <c r="B587" s="16"/>
      <c r="C587" s="17"/>
      <c r="D587" s="17"/>
    </row>
    <row r="588" spans="2:4">
      <c r="B588" s="16"/>
      <c r="C588" s="17"/>
      <c r="D588" s="17"/>
    </row>
    <row r="589" spans="2:4">
      <c r="B589" s="16"/>
      <c r="C589" s="17"/>
      <c r="D589" s="17"/>
    </row>
    <row r="590" spans="2:4">
      <c r="B590" s="16"/>
      <c r="C590" s="17"/>
      <c r="D590" s="17"/>
    </row>
    <row r="591" spans="2:4">
      <c r="B591" s="16"/>
      <c r="C591" s="17"/>
      <c r="D591" s="17"/>
    </row>
    <row r="592" spans="2:4">
      <c r="B592" s="16"/>
      <c r="C592" s="17"/>
      <c r="D592" s="17"/>
    </row>
    <row r="593" spans="2:4">
      <c r="B593" s="16"/>
      <c r="C593" s="17"/>
      <c r="D593" s="17"/>
    </row>
    <row r="594" spans="2:4">
      <c r="B594" s="16"/>
      <c r="C594" s="17"/>
      <c r="D594" s="17"/>
    </row>
    <row r="595" spans="2:4">
      <c r="B595" s="16"/>
      <c r="C595" s="17"/>
      <c r="D595" s="17"/>
    </row>
    <row r="596" spans="2:4">
      <c r="B596" s="16"/>
      <c r="C596" s="17"/>
      <c r="D596" s="17"/>
    </row>
    <row r="597" spans="2:4">
      <c r="B597" s="16"/>
      <c r="C597" s="17"/>
      <c r="D597" s="17"/>
    </row>
    <row r="598" spans="2:4">
      <c r="B598" s="16"/>
      <c r="C598" s="17"/>
      <c r="D598" s="17"/>
    </row>
    <row r="599" spans="2:4">
      <c r="B599" s="16"/>
      <c r="C599" s="17"/>
      <c r="D599" s="17"/>
    </row>
    <row r="600" spans="2:4">
      <c r="B600" s="16"/>
      <c r="C600" s="17"/>
      <c r="D600" s="17"/>
    </row>
    <row r="601" spans="2:4">
      <c r="B601" s="16"/>
      <c r="C601" s="17"/>
      <c r="D601" s="17"/>
    </row>
    <row r="602" spans="2:4">
      <c r="B602" s="16"/>
      <c r="C602" s="17"/>
      <c r="D602" s="17"/>
    </row>
    <row r="603" spans="2:4">
      <c r="B603" s="16"/>
      <c r="C603" s="17"/>
      <c r="D603" s="17"/>
    </row>
    <row r="604" spans="2:4">
      <c r="B604" s="16"/>
      <c r="C604" s="17"/>
      <c r="D604" s="17"/>
    </row>
    <row r="605" spans="2:4">
      <c r="B605" s="16"/>
      <c r="C605" s="17"/>
      <c r="D605" s="17"/>
    </row>
    <row r="606" spans="2:4">
      <c r="B606" s="16"/>
      <c r="C606" s="17"/>
      <c r="D606" s="17"/>
    </row>
    <row r="607" spans="2:4">
      <c r="B607" s="16"/>
      <c r="C607" s="17"/>
      <c r="D607" s="17"/>
    </row>
    <row r="608" spans="2:4">
      <c r="B608" s="16"/>
      <c r="C608" s="17"/>
      <c r="D608" s="17"/>
    </row>
    <row r="609" spans="2:4">
      <c r="B609" s="16"/>
      <c r="C609" s="17"/>
      <c r="D609" s="17"/>
    </row>
    <row r="610" spans="2:4">
      <c r="B610" s="16"/>
      <c r="C610" s="17"/>
      <c r="D610" s="17"/>
    </row>
    <row r="611" spans="2:4">
      <c r="B611" s="16"/>
      <c r="C611" s="17"/>
      <c r="D611" s="17"/>
    </row>
    <row r="612" spans="2:4">
      <c r="B612" s="16"/>
      <c r="C612" s="17"/>
      <c r="D612" s="17"/>
    </row>
    <row r="613" spans="2:4">
      <c r="B613" s="16"/>
      <c r="C613" s="17"/>
      <c r="D613" s="17"/>
    </row>
    <row r="614" spans="2:4">
      <c r="B614" s="16"/>
      <c r="C614" s="17"/>
      <c r="D614" s="17"/>
    </row>
    <row r="615" spans="2:4">
      <c r="B615" s="16"/>
      <c r="C615" s="17"/>
      <c r="D615" s="17"/>
    </row>
    <row r="616" spans="2:4">
      <c r="B616" s="16"/>
      <c r="C616" s="17"/>
      <c r="D616" s="17"/>
    </row>
    <row r="617" spans="2:4">
      <c r="B617" s="16"/>
      <c r="C617" s="17"/>
      <c r="D617" s="17"/>
    </row>
    <row r="618" spans="2:4">
      <c r="B618" s="16"/>
      <c r="C618" s="17"/>
      <c r="D618" s="17"/>
    </row>
    <row r="619" spans="2:4">
      <c r="B619" s="16"/>
      <c r="C619" s="17"/>
      <c r="D619" s="17"/>
    </row>
    <row r="620" spans="2:4">
      <c r="B620" s="16"/>
      <c r="C620" s="17"/>
      <c r="D620" s="17"/>
    </row>
    <row r="621" spans="2:4">
      <c r="B621" s="16"/>
      <c r="C621" s="17"/>
      <c r="D621" s="17"/>
    </row>
    <row r="622" spans="2:4">
      <c r="B622" s="16"/>
      <c r="C622" s="17"/>
      <c r="D622" s="17"/>
    </row>
    <row r="623" spans="2:4">
      <c r="B623" s="16"/>
      <c r="C623" s="17"/>
      <c r="D623" s="17"/>
    </row>
    <row r="624" spans="2:4">
      <c r="B624" s="16"/>
      <c r="C624" s="17"/>
      <c r="D624" s="17"/>
    </row>
    <row r="625" spans="2:4">
      <c r="B625" s="16"/>
      <c r="C625" s="17"/>
      <c r="D625" s="17"/>
    </row>
    <row r="626" spans="2:4">
      <c r="B626" s="16"/>
      <c r="C626" s="17"/>
      <c r="D626" s="17"/>
    </row>
    <row r="627" spans="2:4">
      <c r="B627" s="16"/>
      <c r="C627" s="17"/>
      <c r="D627" s="17"/>
    </row>
    <row r="628" spans="2:4">
      <c r="B628" s="16"/>
      <c r="C628" s="17"/>
      <c r="D628" s="17"/>
    </row>
    <row r="629" spans="2:4">
      <c r="B629" s="16"/>
      <c r="C629" s="17"/>
      <c r="D629" s="17"/>
    </row>
    <row r="630" spans="2:4">
      <c r="B630" s="16"/>
      <c r="C630" s="17"/>
      <c r="D630" s="17"/>
    </row>
    <row r="631" spans="2:4">
      <c r="B631" s="16"/>
      <c r="C631" s="17"/>
      <c r="D631" s="17"/>
    </row>
    <row r="632" spans="2:4">
      <c r="B632" s="16"/>
      <c r="C632" s="17"/>
      <c r="D632" s="17"/>
    </row>
    <row r="633" spans="2:4">
      <c r="B633" s="16"/>
      <c r="C633" s="17"/>
      <c r="D633" s="17"/>
    </row>
    <row r="634" spans="2:4">
      <c r="B634" s="16"/>
      <c r="C634" s="17"/>
      <c r="D634" s="17"/>
    </row>
    <row r="635" spans="2:4">
      <c r="B635" s="16"/>
      <c r="C635" s="17"/>
      <c r="D635" s="17"/>
    </row>
    <row r="636" spans="2:4">
      <c r="B636" s="16"/>
      <c r="C636" s="17"/>
      <c r="D636" s="17"/>
    </row>
    <row r="637" spans="2:4">
      <c r="B637" s="16"/>
      <c r="C637" s="17"/>
      <c r="D637" s="17"/>
    </row>
    <row r="638" spans="2:4">
      <c r="B638" s="16"/>
      <c r="C638" s="17"/>
      <c r="D638" s="17"/>
    </row>
    <row r="639" spans="2:4">
      <c r="B639" s="16"/>
      <c r="C639" s="17"/>
      <c r="D639" s="17"/>
    </row>
    <row r="640" spans="2:4">
      <c r="B640" s="16"/>
      <c r="C640" s="17"/>
      <c r="D640" s="17"/>
    </row>
    <row r="641" spans="2:4">
      <c r="B641" s="16"/>
      <c r="C641" s="17"/>
      <c r="D641" s="17"/>
    </row>
    <row r="642" spans="2:4">
      <c r="B642" s="16"/>
      <c r="C642" s="17"/>
      <c r="D642" s="17"/>
    </row>
    <row r="643" spans="2:4">
      <c r="B643" s="16"/>
      <c r="C643" s="17"/>
      <c r="D643" s="17"/>
    </row>
    <row r="644" spans="2:4">
      <c r="B644" s="16"/>
      <c r="C644" s="17"/>
      <c r="D644" s="17"/>
    </row>
    <row r="645" spans="2:4">
      <c r="B645" s="16"/>
      <c r="C645" s="17"/>
      <c r="D645" s="17"/>
    </row>
    <row r="646" spans="2:4">
      <c r="B646" s="16"/>
      <c r="C646" s="17"/>
      <c r="D646" s="17"/>
    </row>
    <row r="647" spans="2:4">
      <c r="B647" s="16"/>
      <c r="C647" s="17"/>
      <c r="D647" s="17"/>
    </row>
    <row r="648" spans="2:4">
      <c r="B648" s="16"/>
      <c r="C648" s="17"/>
      <c r="D648" s="17"/>
    </row>
    <row r="649" spans="2:4">
      <c r="B649" s="16"/>
      <c r="C649" s="17"/>
      <c r="D649" s="17"/>
    </row>
    <row r="650" spans="2:4">
      <c r="B650" s="16"/>
      <c r="C650" s="17"/>
      <c r="D650" s="17"/>
    </row>
    <row r="651" spans="2:4">
      <c r="B651" s="16"/>
      <c r="C651" s="17"/>
      <c r="D651" s="17"/>
    </row>
    <row r="652" spans="2:4">
      <c r="B652" s="16"/>
      <c r="C652" s="17"/>
      <c r="D652" s="17"/>
    </row>
    <row r="653" spans="2:4">
      <c r="B653" s="16"/>
      <c r="C653" s="17"/>
      <c r="D653" s="17"/>
    </row>
    <row r="654" spans="2:4">
      <c r="B654" s="16"/>
      <c r="C654" s="17"/>
      <c r="D654" s="17"/>
    </row>
    <row r="655" spans="2:4">
      <c r="B655" s="16"/>
      <c r="C655" s="17"/>
      <c r="D655" s="17"/>
    </row>
    <row r="656" spans="2:4">
      <c r="B656" s="16"/>
      <c r="C656" s="17"/>
      <c r="D656" s="17"/>
    </row>
    <row r="657" spans="2:4">
      <c r="B657" s="16"/>
      <c r="C657" s="17"/>
      <c r="D657" s="17"/>
    </row>
    <row r="658" spans="2:4">
      <c r="B658" s="16"/>
      <c r="C658" s="17"/>
      <c r="D658" s="17"/>
    </row>
    <row r="659" spans="2:4">
      <c r="B659" s="16"/>
      <c r="C659" s="17"/>
      <c r="D659" s="17"/>
    </row>
    <row r="660" spans="2:4">
      <c r="B660" s="16"/>
      <c r="C660" s="17"/>
      <c r="D660" s="17"/>
    </row>
    <row r="661" spans="2:4">
      <c r="B661" s="16"/>
      <c r="C661" s="17"/>
      <c r="D661" s="17"/>
    </row>
    <row r="662" spans="2:4">
      <c r="B662" s="16"/>
      <c r="C662" s="17"/>
      <c r="D662" s="17"/>
    </row>
    <row r="663" spans="2:4">
      <c r="B663" s="16"/>
      <c r="C663" s="17"/>
      <c r="D663" s="17"/>
    </row>
    <row r="664" spans="2:4">
      <c r="B664" s="16"/>
      <c r="C664" s="17"/>
      <c r="D664" s="17"/>
    </row>
    <row r="665" spans="2:4">
      <c r="B665" s="16"/>
      <c r="C665" s="17"/>
      <c r="D665" s="17"/>
    </row>
    <row r="666" spans="2:4">
      <c r="B666" s="16"/>
      <c r="C666" s="17"/>
      <c r="D666" s="17"/>
    </row>
    <row r="667" spans="2:4">
      <c r="B667" s="16"/>
      <c r="C667" s="17"/>
      <c r="D667" s="17"/>
    </row>
    <row r="668" spans="2:4">
      <c r="B668" s="16"/>
      <c r="C668" s="17"/>
      <c r="D668" s="17"/>
    </row>
    <row r="669" spans="2:4">
      <c r="B669" s="16"/>
      <c r="C669" s="17"/>
      <c r="D669" s="17"/>
    </row>
    <row r="670" spans="2:4">
      <c r="B670" s="16"/>
      <c r="C670" s="17"/>
      <c r="D670" s="17"/>
    </row>
    <row r="671" spans="2:4">
      <c r="B671" s="16"/>
      <c r="C671" s="17"/>
      <c r="D671" s="17"/>
    </row>
    <row r="672" spans="2:4">
      <c r="B672" s="16"/>
      <c r="C672" s="17"/>
      <c r="D672" s="17"/>
    </row>
    <row r="673" spans="2:4">
      <c r="B673" s="16"/>
      <c r="C673" s="17"/>
      <c r="D673" s="17"/>
    </row>
    <row r="674" spans="2:4">
      <c r="B674" s="16"/>
      <c r="C674" s="17"/>
      <c r="D674" s="17"/>
    </row>
    <row r="675" spans="2:4">
      <c r="B675" s="16"/>
      <c r="C675" s="17"/>
      <c r="D675" s="17"/>
    </row>
    <row r="676" spans="2:4">
      <c r="B676" s="16"/>
      <c r="C676" s="17"/>
      <c r="D676" s="17"/>
    </row>
    <row r="677" spans="2:4">
      <c r="B677" s="16"/>
      <c r="C677" s="17"/>
      <c r="D677" s="17"/>
    </row>
    <row r="678" spans="2:4">
      <c r="B678" s="16"/>
      <c r="C678" s="17"/>
      <c r="D678" s="17"/>
    </row>
    <row r="679" spans="2:4">
      <c r="B679" s="16"/>
      <c r="C679" s="17"/>
      <c r="D679" s="17"/>
    </row>
    <row r="680" spans="2:4">
      <c r="B680" s="16"/>
      <c r="C680" s="17"/>
      <c r="D680" s="17"/>
    </row>
    <row r="681" spans="2:4">
      <c r="B681" s="16"/>
      <c r="C681" s="17"/>
      <c r="D681" s="17"/>
    </row>
    <row r="682" spans="2:4">
      <c r="B682" s="16"/>
      <c r="C682" s="17"/>
      <c r="D682" s="17"/>
    </row>
    <row r="683" spans="2:4">
      <c r="B683" s="16"/>
      <c r="C683" s="17"/>
      <c r="D683" s="17"/>
    </row>
    <row r="684" spans="2:4">
      <c r="B684" s="16"/>
      <c r="C684" s="17"/>
      <c r="D684" s="17"/>
    </row>
    <row r="685" spans="2:4">
      <c r="B685" s="16"/>
      <c r="C685" s="17"/>
      <c r="D685" s="17"/>
    </row>
    <row r="686" spans="2:4">
      <c r="B686" s="16"/>
      <c r="C686" s="17"/>
      <c r="D686" s="17"/>
    </row>
    <row r="687" spans="2:4">
      <c r="B687" s="16"/>
      <c r="C687" s="17"/>
      <c r="D687" s="17"/>
    </row>
    <row r="688" spans="2:4">
      <c r="B688" s="16"/>
      <c r="C688" s="17"/>
      <c r="D688" s="17"/>
    </row>
    <row r="689" spans="2:4">
      <c r="B689" s="16"/>
      <c r="C689" s="17"/>
      <c r="D689" s="17"/>
    </row>
    <row r="690" spans="2:4">
      <c r="B690" s="16"/>
      <c r="C690" s="17"/>
      <c r="D690" s="17"/>
    </row>
    <row r="691" spans="2:4">
      <c r="B691" s="16"/>
      <c r="C691" s="17"/>
      <c r="D691" s="17"/>
    </row>
    <row r="692" spans="2:4">
      <c r="B692" s="16"/>
      <c r="C692" s="17"/>
      <c r="D692" s="17"/>
    </row>
    <row r="693" spans="2:4">
      <c r="B693" s="16"/>
      <c r="C693" s="17"/>
      <c r="D693" s="17"/>
    </row>
    <row r="694" spans="2:4">
      <c r="B694" s="16"/>
      <c r="C694" s="17"/>
      <c r="D694" s="17"/>
    </row>
    <row r="695" spans="2:4">
      <c r="B695" s="16"/>
      <c r="C695" s="17"/>
      <c r="D695" s="17"/>
    </row>
    <row r="696" spans="2:4">
      <c r="B696" s="16"/>
      <c r="C696" s="17"/>
      <c r="D696" s="17"/>
    </row>
    <row r="697" spans="2:4">
      <c r="B697" s="16"/>
      <c r="C697" s="17"/>
      <c r="D697" s="17"/>
    </row>
    <row r="698" spans="2:4">
      <c r="B698" s="16"/>
      <c r="C698" s="17"/>
      <c r="D698" s="17"/>
    </row>
    <row r="699" spans="2:4">
      <c r="B699" s="16"/>
      <c r="C699" s="17"/>
      <c r="D699" s="17"/>
    </row>
    <row r="700" spans="2:4">
      <c r="B700" s="16"/>
      <c r="C700" s="17"/>
      <c r="D700" s="17"/>
    </row>
    <row r="701" spans="2:4">
      <c r="B701" s="16"/>
      <c r="C701" s="17"/>
      <c r="D701" s="17"/>
    </row>
    <row r="702" spans="2:4">
      <c r="B702" s="16"/>
      <c r="C702" s="17"/>
      <c r="D702" s="17"/>
    </row>
    <row r="703" spans="2:4">
      <c r="B703" s="16"/>
      <c r="C703" s="17"/>
      <c r="D703" s="17"/>
    </row>
    <row r="704" spans="2:4">
      <c r="B704" s="16"/>
      <c r="C704" s="17"/>
      <c r="D704" s="17"/>
    </row>
    <row r="705" spans="2:4">
      <c r="B705" s="16"/>
      <c r="C705" s="17"/>
      <c r="D705" s="17"/>
    </row>
    <row r="706" spans="2:4">
      <c r="B706" s="16"/>
      <c r="C706" s="17"/>
      <c r="D706" s="17"/>
    </row>
    <row r="707" spans="2:4">
      <c r="B707" s="16"/>
      <c r="C707" s="17"/>
      <c r="D707" s="17"/>
    </row>
    <row r="708" spans="2:4">
      <c r="B708" s="16"/>
      <c r="C708" s="17"/>
      <c r="D708" s="17"/>
    </row>
    <row r="709" spans="2:4">
      <c r="B709" s="16"/>
      <c r="C709" s="17"/>
      <c r="D709" s="17"/>
    </row>
    <row r="710" spans="2:4">
      <c r="B710" s="16"/>
      <c r="C710" s="17"/>
      <c r="D710" s="17"/>
    </row>
    <row r="711" spans="2:4">
      <c r="B711" s="16"/>
      <c r="C711" s="17"/>
      <c r="D711" s="17"/>
    </row>
    <row r="712" spans="2:4">
      <c r="B712" s="16"/>
      <c r="C712" s="17"/>
      <c r="D712" s="17"/>
    </row>
    <row r="713" spans="2:4">
      <c r="B713" s="16"/>
      <c r="C713" s="17"/>
      <c r="D713" s="17"/>
    </row>
    <row r="714" spans="2:4">
      <c r="B714" s="16"/>
      <c r="C714" s="17"/>
      <c r="D714" s="17"/>
    </row>
    <row r="715" spans="2:4">
      <c r="B715" s="16"/>
      <c r="C715" s="17"/>
      <c r="D715" s="17"/>
    </row>
    <row r="716" spans="2:4">
      <c r="B716" s="16"/>
      <c r="C716" s="17"/>
      <c r="D716" s="17"/>
    </row>
    <row r="717" spans="2:4">
      <c r="B717" s="16"/>
      <c r="C717" s="17"/>
      <c r="D717" s="17"/>
    </row>
    <row r="718" spans="2:4">
      <c r="B718" s="16"/>
      <c r="C718" s="17"/>
      <c r="D718" s="17"/>
    </row>
    <row r="719" spans="2:4">
      <c r="B719" s="16"/>
      <c r="C719" s="17"/>
      <c r="D719" s="17"/>
    </row>
    <row r="720" spans="2:4">
      <c r="B720" s="16"/>
      <c r="C720" s="17"/>
      <c r="D720" s="17"/>
    </row>
    <row r="721" spans="2:4">
      <c r="B721" s="16"/>
      <c r="C721" s="17"/>
      <c r="D721" s="17"/>
    </row>
    <row r="722" spans="2:4">
      <c r="B722" s="16"/>
      <c r="C722" s="17"/>
      <c r="D722" s="17"/>
    </row>
    <row r="723" spans="2:4">
      <c r="B723" s="16"/>
      <c r="C723" s="17"/>
      <c r="D723" s="17"/>
    </row>
    <row r="724" spans="2:4">
      <c r="B724" s="16"/>
      <c r="C724" s="17"/>
      <c r="D724" s="17"/>
    </row>
    <row r="725" spans="2:4">
      <c r="B725" s="16"/>
      <c r="C725" s="17"/>
      <c r="D725" s="17"/>
    </row>
    <row r="726" spans="2:4">
      <c r="B726" s="16"/>
      <c r="C726" s="17"/>
      <c r="D726" s="17"/>
    </row>
    <row r="727" spans="2:4">
      <c r="B727" s="16"/>
      <c r="C727" s="17"/>
      <c r="D727" s="17"/>
    </row>
    <row r="728" spans="2:4">
      <c r="B728" s="16"/>
      <c r="C728" s="17"/>
      <c r="D728" s="17"/>
    </row>
    <row r="729" spans="2:4">
      <c r="B729" s="16"/>
      <c r="C729" s="17"/>
      <c r="D729" s="17"/>
    </row>
    <row r="730" spans="2:4">
      <c r="B730" s="16"/>
      <c r="C730" s="17"/>
      <c r="D730" s="17"/>
    </row>
    <row r="731" spans="2:4">
      <c r="B731" s="16"/>
      <c r="C731" s="17"/>
      <c r="D731" s="17"/>
    </row>
    <row r="732" spans="2:4">
      <c r="B732" s="16"/>
      <c r="C732" s="17"/>
      <c r="D732" s="17"/>
    </row>
    <row r="733" spans="2:4">
      <c r="B733" s="16"/>
      <c r="C733" s="17"/>
      <c r="D733" s="17"/>
    </row>
    <row r="734" spans="2:4">
      <c r="B734" s="16"/>
      <c r="C734" s="17"/>
      <c r="D734" s="17"/>
    </row>
    <row r="735" spans="2:4">
      <c r="B735" s="16"/>
      <c r="C735" s="17"/>
      <c r="D735" s="17"/>
    </row>
    <row r="736" spans="2:4">
      <c r="B736" s="16"/>
      <c r="C736" s="17"/>
      <c r="D736" s="17"/>
    </row>
    <row r="737" spans="2:4">
      <c r="B737" s="16"/>
      <c r="C737" s="17"/>
      <c r="D737" s="17"/>
    </row>
    <row r="738" spans="2:4">
      <c r="B738" s="16"/>
      <c r="C738" s="17"/>
      <c r="D738" s="17"/>
    </row>
    <row r="739" spans="2:4">
      <c r="B739" s="16"/>
      <c r="C739" s="17"/>
      <c r="D739" s="17"/>
    </row>
    <row r="740" spans="2:4">
      <c r="B740" s="16"/>
      <c r="C740" s="17"/>
      <c r="D740" s="17"/>
    </row>
    <row r="741" spans="2:4">
      <c r="B741" s="16"/>
      <c r="C741" s="17"/>
      <c r="D741" s="17"/>
    </row>
    <row r="742" spans="2:4">
      <c r="B742" s="16"/>
      <c r="C742" s="17"/>
      <c r="D742" s="17"/>
    </row>
    <row r="743" spans="2:4">
      <c r="B743" s="16"/>
      <c r="C743" s="17"/>
      <c r="D743" s="17"/>
    </row>
    <row r="744" spans="2:4">
      <c r="B744" s="16"/>
      <c r="C744" s="17"/>
      <c r="D744" s="17"/>
    </row>
    <row r="745" spans="2:4">
      <c r="B745" s="16"/>
      <c r="C745" s="17"/>
      <c r="D745" s="17"/>
    </row>
    <row r="746" spans="2:4">
      <c r="B746" s="16"/>
      <c r="C746" s="17"/>
      <c r="D746" s="17"/>
    </row>
    <row r="747" spans="2:4">
      <c r="B747" s="16"/>
      <c r="C747" s="17"/>
      <c r="D747" s="17"/>
    </row>
    <row r="748" spans="2:4">
      <c r="B748" s="16"/>
      <c r="C748" s="17"/>
      <c r="D748" s="17"/>
    </row>
    <row r="749" spans="2:4">
      <c r="B749" s="16"/>
      <c r="C749" s="17"/>
      <c r="D749" s="17"/>
    </row>
    <row r="750" spans="2:4">
      <c r="B750" s="16"/>
      <c r="C750" s="17"/>
      <c r="D750" s="17"/>
    </row>
    <row r="751" spans="2:4">
      <c r="B751" s="16"/>
      <c r="C751" s="17"/>
      <c r="D751" s="17"/>
    </row>
    <row r="752" spans="2:4">
      <c r="B752" s="16"/>
      <c r="C752" s="17"/>
      <c r="D752" s="17"/>
    </row>
    <row r="753" spans="2:4">
      <c r="B753" s="16"/>
      <c r="C753" s="17"/>
      <c r="D753" s="17"/>
    </row>
    <row r="754" spans="2:4">
      <c r="B754" s="16"/>
      <c r="C754" s="17"/>
      <c r="D754" s="17"/>
    </row>
    <row r="755" spans="2:4">
      <c r="B755" s="16"/>
      <c r="C755" s="17"/>
      <c r="D755" s="17"/>
    </row>
    <row r="756" spans="2:4">
      <c r="B756" s="16"/>
      <c r="C756" s="17"/>
      <c r="D756" s="17"/>
    </row>
    <row r="757" spans="2:4">
      <c r="B757" s="16"/>
      <c r="C757" s="17"/>
      <c r="D757" s="17"/>
    </row>
    <row r="758" spans="2:4">
      <c r="B758" s="16"/>
      <c r="C758" s="17"/>
      <c r="D758" s="17"/>
    </row>
    <row r="759" spans="2:4">
      <c r="B759" s="16"/>
      <c r="C759" s="17"/>
      <c r="D759" s="17"/>
    </row>
    <row r="760" spans="2:4">
      <c r="B760" s="16"/>
      <c r="C760" s="17"/>
      <c r="D760" s="17"/>
    </row>
    <row r="761" spans="2:4">
      <c r="B761" s="16"/>
      <c r="C761" s="17"/>
      <c r="D761" s="17"/>
    </row>
    <row r="762" spans="2:4">
      <c r="B762" s="16"/>
      <c r="C762" s="17"/>
      <c r="D762" s="17"/>
    </row>
    <row r="763" spans="2:4">
      <c r="B763" s="16"/>
      <c r="C763" s="17"/>
      <c r="D763" s="17"/>
    </row>
    <row r="764" spans="2:4">
      <c r="B764" s="16"/>
      <c r="C764" s="17"/>
      <c r="D764" s="17"/>
    </row>
    <row r="765" spans="2:4">
      <c r="B765" s="16"/>
      <c r="C765" s="17"/>
      <c r="D765" s="17"/>
    </row>
    <row r="766" spans="2:4">
      <c r="B766" s="16"/>
      <c r="C766" s="17"/>
      <c r="D766" s="17"/>
    </row>
    <row r="767" spans="2:4">
      <c r="B767" s="16"/>
      <c r="C767" s="17"/>
      <c r="D767" s="17"/>
    </row>
    <row r="768" spans="2:4">
      <c r="B768" s="16"/>
      <c r="C768" s="17"/>
      <c r="D768" s="17"/>
    </row>
    <row r="769" spans="2:4">
      <c r="B769" s="16"/>
      <c r="C769" s="17"/>
      <c r="D769" s="17"/>
    </row>
    <row r="770" spans="2:4">
      <c r="B770" s="16"/>
      <c r="C770" s="17"/>
      <c r="D770" s="17"/>
    </row>
    <row r="771" spans="2:4">
      <c r="B771" s="16"/>
      <c r="C771" s="17"/>
      <c r="D771" s="17"/>
    </row>
    <row r="772" spans="2:4">
      <c r="B772" s="16"/>
      <c r="C772" s="17"/>
      <c r="D772" s="17"/>
    </row>
    <row r="773" spans="2:4">
      <c r="B773" s="16"/>
      <c r="C773" s="17"/>
      <c r="D773" s="17"/>
    </row>
    <row r="774" spans="2:4">
      <c r="B774" s="16"/>
      <c r="C774" s="17"/>
      <c r="D774" s="17"/>
    </row>
    <row r="775" spans="2:4">
      <c r="B775" s="16"/>
      <c r="C775" s="17"/>
      <c r="D775" s="17"/>
    </row>
    <row r="776" spans="2:4">
      <c r="B776" s="16"/>
      <c r="C776" s="17"/>
      <c r="D776" s="17"/>
    </row>
    <row r="777" spans="2:4">
      <c r="B777" s="16"/>
      <c r="C777" s="17"/>
      <c r="D777" s="17"/>
    </row>
    <row r="778" spans="2:4">
      <c r="B778" s="16"/>
      <c r="C778" s="17"/>
      <c r="D778" s="17"/>
    </row>
    <row r="779" spans="2:4">
      <c r="B779" s="16"/>
      <c r="C779" s="17"/>
      <c r="D779" s="17"/>
    </row>
    <row r="780" spans="2:4">
      <c r="B780" s="16"/>
      <c r="C780" s="17"/>
      <c r="D780" s="17"/>
    </row>
    <row r="781" spans="2:4">
      <c r="B781" s="16"/>
      <c r="C781" s="17"/>
      <c r="D781" s="17"/>
    </row>
    <row r="782" spans="2:4">
      <c r="B782" s="16"/>
      <c r="C782" s="17"/>
      <c r="D782" s="17"/>
    </row>
    <row r="783" spans="2:4">
      <c r="B783" s="16"/>
      <c r="C783" s="17"/>
      <c r="D783" s="17"/>
    </row>
    <row r="784" spans="2:4">
      <c r="B784" s="16"/>
      <c r="C784" s="17"/>
      <c r="D784" s="17"/>
    </row>
    <row r="785" spans="2:4">
      <c r="B785" s="16"/>
      <c r="C785" s="17"/>
      <c r="D785" s="17"/>
    </row>
    <row r="786" spans="2:4">
      <c r="B786" s="16"/>
      <c r="C786" s="17"/>
      <c r="D786" s="17"/>
    </row>
    <row r="787" spans="2:4">
      <c r="B787" s="16"/>
      <c r="C787" s="17"/>
      <c r="D787" s="17"/>
    </row>
    <row r="788" spans="2:4">
      <c r="B788" s="16"/>
      <c r="C788" s="17"/>
      <c r="D788" s="17"/>
    </row>
    <row r="789" spans="2:4">
      <c r="B789" s="16"/>
      <c r="C789" s="17"/>
      <c r="D789" s="17"/>
    </row>
    <row r="790" spans="2:4">
      <c r="B790" s="16"/>
      <c r="C790" s="17"/>
      <c r="D790" s="17"/>
    </row>
    <row r="791" spans="2:4">
      <c r="B791" s="16"/>
      <c r="C791" s="17"/>
      <c r="D791" s="17"/>
    </row>
    <row r="792" spans="2:4">
      <c r="B792" s="16"/>
      <c r="C792" s="17"/>
      <c r="D792" s="17"/>
    </row>
    <row r="793" spans="2:4">
      <c r="B793" s="16"/>
      <c r="C793" s="17"/>
      <c r="D793" s="17"/>
    </row>
    <row r="794" spans="2:4">
      <c r="B794" s="16"/>
      <c r="C794" s="17"/>
      <c r="D794" s="17"/>
    </row>
    <row r="795" spans="2:4">
      <c r="B795" s="16"/>
      <c r="C795" s="17"/>
      <c r="D795" s="17"/>
    </row>
    <row r="796" spans="2:4">
      <c r="B796" s="16"/>
      <c r="C796" s="17"/>
      <c r="D796" s="17"/>
    </row>
    <row r="797" spans="2:4">
      <c r="B797" s="16"/>
      <c r="C797" s="17"/>
      <c r="D797" s="17"/>
    </row>
    <row r="798" spans="2:4">
      <c r="B798" s="16"/>
      <c r="C798" s="17"/>
      <c r="D798" s="17"/>
    </row>
    <row r="799" spans="2:4">
      <c r="B799" s="16"/>
      <c r="C799" s="17"/>
      <c r="D799" s="17"/>
    </row>
    <row r="800" spans="2:4">
      <c r="B800" s="16"/>
      <c r="C800" s="17"/>
      <c r="D800" s="17"/>
    </row>
    <row r="801" spans="2:4">
      <c r="B801" s="16"/>
      <c r="C801" s="17"/>
      <c r="D801" s="17"/>
    </row>
    <row r="802" spans="2:4">
      <c r="B802" s="16"/>
      <c r="C802" s="17"/>
      <c r="D802" s="17"/>
    </row>
    <row r="803" spans="2:4">
      <c r="B803" s="16"/>
      <c r="C803" s="17"/>
      <c r="D803" s="17"/>
    </row>
    <row r="804" spans="2:4">
      <c r="B804" s="16"/>
      <c r="C804" s="17"/>
      <c r="D804" s="17"/>
    </row>
    <row r="805" spans="2:4">
      <c r="B805" s="16"/>
      <c r="C805" s="17"/>
      <c r="D805" s="17"/>
    </row>
    <row r="806" spans="2:4">
      <c r="B806" s="16"/>
      <c r="C806" s="17"/>
      <c r="D806" s="17"/>
    </row>
    <row r="807" spans="2:4">
      <c r="B807" s="16"/>
      <c r="C807" s="17"/>
      <c r="D807" s="17"/>
    </row>
    <row r="808" spans="2:4">
      <c r="B808" s="16"/>
      <c r="C808" s="17"/>
      <c r="D808" s="17"/>
    </row>
    <row r="809" spans="2:4">
      <c r="B809" s="16"/>
      <c r="C809" s="17"/>
      <c r="D809" s="17"/>
    </row>
    <row r="810" spans="2:4">
      <c r="B810" s="16"/>
      <c r="C810" s="17"/>
      <c r="D810" s="17"/>
    </row>
    <row r="811" spans="2:4">
      <c r="B811" s="16"/>
      <c r="C811" s="17"/>
      <c r="D811" s="17"/>
    </row>
    <row r="812" spans="2:4">
      <c r="B812" s="16"/>
      <c r="C812" s="17"/>
      <c r="D812" s="17"/>
    </row>
    <row r="813" spans="2:4">
      <c r="B813" s="16"/>
      <c r="C813" s="17"/>
      <c r="D813" s="17"/>
    </row>
    <row r="814" spans="2:4">
      <c r="B814" s="16"/>
      <c r="C814" s="17"/>
      <c r="D814" s="17"/>
    </row>
    <row r="815" spans="2:4">
      <c r="B815" s="16"/>
      <c r="C815" s="17"/>
      <c r="D815" s="17"/>
    </row>
    <row r="816" spans="2:4">
      <c r="B816" s="16"/>
      <c r="C816" s="17"/>
      <c r="D816" s="17"/>
    </row>
    <row r="817" spans="2:4">
      <c r="B817" s="16"/>
      <c r="C817" s="17"/>
      <c r="D817" s="17"/>
    </row>
    <row r="818" spans="2:4">
      <c r="B818" s="16"/>
      <c r="C818" s="17"/>
      <c r="D818" s="17"/>
    </row>
    <row r="819" spans="2:4">
      <c r="B819" s="16"/>
      <c r="C819" s="17"/>
      <c r="D819" s="17"/>
    </row>
    <row r="820" spans="2:4">
      <c r="B820" s="16"/>
      <c r="C820" s="17"/>
      <c r="D820" s="17"/>
    </row>
    <row r="821" spans="2:4">
      <c r="B821" s="16"/>
      <c r="C821" s="17"/>
      <c r="D821" s="17"/>
    </row>
    <row r="822" spans="2:4">
      <c r="B822" s="16"/>
      <c r="C822" s="17"/>
      <c r="D822" s="17"/>
    </row>
    <row r="823" spans="2:4">
      <c r="B823" s="16"/>
      <c r="C823" s="17"/>
      <c r="D823" s="17"/>
    </row>
    <row r="824" spans="2:4">
      <c r="B824" s="16"/>
      <c r="C824" s="17"/>
      <c r="D824" s="17"/>
    </row>
    <row r="825" spans="2:4">
      <c r="B825" s="16"/>
      <c r="C825" s="17"/>
      <c r="D825" s="17"/>
    </row>
    <row r="826" spans="2:4">
      <c r="B826" s="16"/>
      <c r="C826" s="17"/>
      <c r="D826" s="17"/>
    </row>
    <row r="827" spans="2:4">
      <c r="B827" s="16"/>
      <c r="C827" s="17"/>
      <c r="D827" s="17"/>
    </row>
    <row r="828" spans="2:4">
      <c r="B828" s="16"/>
      <c r="C828" s="17"/>
      <c r="D828" s="17"/>
    </row>
    <row r="829" spans="2:4">
      <c r="B829" s="16"/>
      <c r="C829" s="17"/>
      <c r="D829" s="17"/>
    </row>
    <row r="830" spans="2:4">
      <c r="B830" s="16"/>
      <c r="C830" s="17"/>
      <c r="D830" s="17"/>
    </row>
    <row r="831" spans="2:4">
      <c r="B831" s="16"/>
      <c r="C831" s="17"/>
      <c r="D831" s="17"/>
    </row>
    <row r="832" spans="2:4">
      <c r="B832" s="16"/>
      <c r="C832" s="17"/>
      <c r="D832" s="17"/>
    </row>
    <row r="833" spans="2:4">
      <c r="B833" s="16"/>
      <c r="C833" s="17"/>
      <c r="D833" s="17"/>
    </row>
    <row r="834" spans="2:4">
      <c r="B834" s="16"/>
      <c r="C834" s="17"/>
      <c r="D834" s="17"/>
    </row>
    <row r="835" spans="2:4">
      <c r="B835" s="16"/>
      <c r="C835" s="17"/>
      <c r="D835" s="17"/>
    </row>
    <row r="836" spans="2:4">
      <c r="B836" s="16"/>
      <c r="C836" s="17"/>
      <c r="D836" s="17"/>
    </row>
    <row r="837" spans="2:4">
      <c r="B837" s="16"/>
      <c r="C837" s="17"/>
      <c r="D837" s="17"/>
    </row>
    <row r="838" spans="2:4">
      <c r="B838" s="16"/>
      <c r="C838" s="17"/>
      <c r="D838" s="17"/>
    </row>
    <row r="839" spans="2:4">
      <c r="B839" s="16"/>
      <c r="C839" s="17"/>
      <c r="D839" s="17"/>
    </row>
    <row r="840" spans="2:4">
      <c r="B840" s="16"/>
      <c r="C840" s="17"/>
      <c r="D840" s="17"/>
    </row>
    <row r="841" spans="2:4">
      <c r="B841" s="16"/>
      <c r="C841" s="17"/>
      <c r="D841" s="17"/>
    </row>
    <row r="842" spans="2:4">
      <c r="B842" s="16"/>
      <c r="C842" s="17"/>
      <c r="D842" s="17"/>
    </row>
    <row r="843" spans="2:4">
      <c r="B843" s="16"/>
      <c r="C843" s="17"/>
      <c r="D843" s="17"/>
    </row>
    <row r="844" spans="2:4">
      <c r="B844" s="16"/>
      <c r="C844" s="17"/>
      <c r="D844" s="17"/>
    </row>
    <row r="845" spans="2:4">
      <c r="B845" s="16"/>
      <c r="C845" s="17"/>
      <c r="D845" s="17"/>
    </row>
    <row r="846" spans="2:4">
      <c r="B846" s="16"/>
      <c r="C846" s="17"/>
      <c r="D846" s="17"/>
    </row>
    <row r="847" spans="2:4">
      <c r="B847" s="16"/>
      <c r="C847" s="17"/>
      <c r="D847" s="17"/>
    </row>
    <row r="848" spans="2:4">
      <c r="B848" s="16"/>
      <c r="C848" s="17"/>
      <c r="D848" s="17"/>
    </row>
    <row r="849" spans="2:4">
      <c r="B849" s="16"/>
      <c r="C849" s="17"/>
      <c r="D849" s="17"/>
    </row>
    <row r="850" spans="2:4">
      <c r="B850" s="16"/>
      <c r="C850" s="17"/>
      <c r="D850" s="17"/>
    </row>
    <row r="851" spans="2:4">
      <c r="B851" s="16"/>
      <c r="C851" s="17"/>
      <c r="D851" s="17"/>
    </row>
    <row r="852" spans="2:4">
      <c r="B852" s="16"/>
      <c r="C852" s="17"/>
      <c r="D852" s="17"/>
    </row>
    <row r="853" spans="2:4">
      <c r="B853" s="16"/>
      <c r="C853" s="17"/>
      <c r="D853" s="17"/>
    </row>
    <row r="854" spans="2:4">
      <c r="B854" s="16"/>
      <c r="C854" s="17"/>
      <c r="D854" s="17"/>
    </row>
    <row r="855" spans="2:4">
      <c r="B855" s="16"/>
      <c r="C855" s="17"/>
      <c r="D855" s="17"/>
    </row>
    <row r="856" spans="2:4">
      <c r="B856" s="16"/>
      <c r="C856" s="17"/>
      <c r="D856" s="17"/>
    </row>
    <row r="857" spans="2:4">
      <c r="B857" s="16"/>
      <c r="C857" s="17"/>
      <c r="D857" s="17"/>
    </row>
    <row r="858" spans="2:4">
      <c r="B858" s="16"/>
      <c r="C858" s="17"/>
      <c r="D858" s="17"/>
    </row>
    <row r="859" spans="2:4">
      <c r="B859" s="16"/>
      <c r="C859" s="17"/>
      <c r="D859" s="17"/>
    </row>
    <row r="860" spans="2:4">
      <c r="B860" s="16"/>
      <c r="C860" s="17"/>
      <c r="D860" s="17"/>
    </row>
    <row r="861" spans="2:4">
      <c r="B861" s="16"/>
      <c r="C861" s="17"/>
      <c r="D861" s="17"/>
    </row>
    <row r="862" spans="2:4">
      <c r="B862" s="16"/>
      <c r="C862" s="17"/>
      <c r="D862" s="17"/>
    </row>
    <row r="863" spans="2:4">
      <c r="B863" s="16"/>
      <c r="C863" s="17"/>
      <c r="D863" s="17"/>
    </row>
    <row r="864" spans="2:4">
      <c r="B864" s="16"/>
      <c r="C864" s="17"/>
      <c r="D864" s="17"/>
    </row>
    <row r="865" spans="2:4">
      <c r="B865" s="16"/>
      <c r="C865" s="17"/>
      <c r="D865" s="17"/>
    </row>
    <row r="866" spans="2:4">
      <c r="B866" s="16"/>
      <c r="C866" s="17"/>
      <c r="D866" s="17"/>
    </row>
    <row r="867" spans="2:4">
      <c r="B867" s="16"/>
      <c r="C867" s="17"/>
      <c r="D867" s="17"/>
    </row>
    <row r="868" spans="2:4">
      <c r="B868" s="16"/>
      <c r="C868" s="17"/>
      <c r="D868" s="17"/>
    </row>
    <row r="869" spans="2:4">
      <c r="B869" s="16"/>
      <c r="C869" s="17"/>
      <c r="D869" s="17"/>
    </row>
    <row r="870" spans="2:4">
      <c r="B870" s="16"/>
      <c r="C870" s="17"/>
      <c r="D870" s="17"/>
    </row>
    <row r="871" spans="2:4">
      <c r="B871" s="16"/>
      <c r="C871" s="17"/>
      <c r="D871" s="17"/>
    </row>
    <row r="872" spans="2:4">
      <c r="B872" s="16"/>
      <c r="C872" s="17"/>
      <c r="D872" s="17"/>
    </row>
    <row r="873" spans="2:4">
      <c r="B873" s="16"/>
      <c r="C873" s="17"/>
      <c r="D873" s="17"/>
    </row>
    <row r="874" spans="2:4">
      <c r="B874" s="16"/>
      <c r="C874" s="17"/>
      <c r="D874" s="17"/>
    </row>
    <row r="875" spans="2:4">
      <c r="B875" s="16"/>
      <c r="C875" s="17"/>
      <c r="D875" s="17"/>
    </row>
    <row r="876" spans="2:4">
      <c r="B876" s="16"/>
      <c r="C876" s="17"/>
      <c r="D876" s="17"/>
    </row>
    <row r="877" spans="2:4">
      <c r="B877" s="16"/>
      <c r="C877" s="17"/>
      <c r="D877" s="17"/>
    </row>
    <row r="878" spans="2:4">
      <c r="B878" s="16"/>
      <c r="C878" s="17"/>
      <c r="D878" s="17"/>
    </row>
    <row r="879" spans="2:4">
      <c r="B879" s="16"/>
      <c r="C879" s="17"/>
      <c r="D879" s="17"/>
    </row>
    <row r="880" spans="2:4">
      <c r="B880" s="16"/>
      <c r="C880" s="17"/>
      <c r="D880" s="17"/>
    </row>
    <row r="881" spans="2:4">
      <c r="B881" s="16"/>
      <c r="C881" s="17"/>
      <c r="D881" s="17"/>
    </row>
    <row r="882" spans="2:4">
      <c r="B882" s="16"/>
      <c r="C882" s="17"/>
      <c r="D882" s="17"/>
    </row>
    <row r="883" spans="2:4">
      <c r="B883" s="16"/>
      <c r="C883" s="17"/>
      <c r="D883" s="17"/>
    </row>
    <row r="884" spans="2:4">
      <c r="B884" s="16"/>
      <c r="C884" s="17"/>
      <c r="D884" s="17"/>
    </row>
    <row r="885" spans="2:4">
      <c r="B885" s="16"/>
      <c r="C885" s="17"/>
      <c r="D885" s="17"/>
    </row>
    <row r="886" spans="2:4">
      <c r="B886" s="16"/>
      <c r="C886" s="17"/>
      <c r="D886" s="17"/>
    </row>
    <row r="887" spans="2:4">
      <c r="B887" s="16"/>
      <c r="C887" s="17"/>
      <c r="D887" s="17"/>
    </row>
    <row r="888" spans="2:4">
      <c r="B888" s="16"/>
      <c r="C888" s="17"/>
      <c r="D888" s="17"/>
    </row>
    <row r="889" spans="2:4">
      <c r="B889" s="16"/>
      <c r="C889" s="17"/>
      <c r="D889" s="17"/>
    </row>
    <row r="890" spans="2:4">
      <c r="B890" s="16"/>
      <c r="C890" s="17"/>
      <c r="D890" s="17"/>
    </row>
    <row r="891" spans="2:4">
      <c r="B891" s="16"/>
      <c r="C891" s="17"/>
      <c r="D891" s="17"/>
    </row>
    <row r="892" spans="2:4">
      <c r="B892" s="16"/>
      <c r="C892" s="17"/>
      <c r="D892" s="17"/>
    </row>
    <row r="893" spans="2:4">
      <c r="B893" s="16"/>
      <c r="C893" s="17"/>
      <c r="D893" s="17"/>
    </row>
    <row r="894" spans="2:4">
      <c r="B894" s="16"/>
      <c r="C894" s="17"/>
      <c r="D894" s="17"/>
    </row>
    <row r="895" spans="2:4">
      <c r="B895" s="16"/>
      <c r="C895" s="17"/>
      <c r="D895" s="17"/>
    </row>
    <row r="896" spans="2:4">
      <c r="B896" s="16"/>
      <c r="C896" s="17"/>
      <c r="D896" s="17"/>
    </row>
    <row r="897" spans="2:4">
      <c r="B897" s="16"/>
      <c r="C897" s="17"/>
      <c r="D897" s="17"/>
    </row>
    <row r="898" spans="2:4">
      <c r="B898" s="16"/>
      <c r="C898" s="17"/>
      <c r="D898" s="17"/>
    </row>
    <row r="899" spans="2:4">
      <c r="B899" s="16"/>
      <c r="C899" s="17"/>
      <c r="D899" s="17"/>
    </row>
    <row r="900" spans="2:4">
      <c r="B900" s="16"/>
      <c r="C900" s="17"/>
      <c r="D900" s="17"/>
    </row>
    <row r="901" spans="2:4">
      <c r="B901" s="16"/>
      <c r="C901" s="17"/>
      <c r="D901" s="17"/>
    </row>
    <row r="902" spans="2:4">
      <c r="B902" s="16"/>
      <c r="C902" s="17"/>
      <c r="D902" s="17"/>
    </row>
    <row r="903" spans="2:4">
      <c r="B903" s="16"/>
      <c r="C903" s="17"/>
      <c r="D903" s="17"/>
    </row>
    <row r="904" spans="2:4">
      <c r="B904" s="16"/>
      <c r="C904" s="17"/>
      <c r="D904" s="17"/>
    </row>
    <row r="905" spans="2:4">
      <c r="B905" s="16"/>
      <c r="C905" s="17"/>
      <c r="D905" s="17"/>
    </row>
    <row r="906" spans="2:4">
      <c r="B906" s="16"/>
      <c r="C906" s="17"/>
      <c r="D906" s="17"/>
    </row>
    <row r="907" spans="2:4">
      <c r="B907" s="16"/>
      <c r="C907" s="17"/>
      <c r="D907" s="17"/>
    </row>
    <row r="908" spans="2:4">
      <c r="B908" s="16"/>
      <c r="C908" s="17"/>
      <c r="D908" s="17"/>
    </row>
    <row r="909" spans="2:4">
      <c r="B909" s="16"/>
      <c r="C909" s="17"/>
      <c r="D909" s="17"/>
    </row>
    <row r="910" spans="2:4">
      <c r="B910" s="16"/>
      <c r="C910" s="17"/>
      <c r="D910" s="17"/>
    </row>
    <row r="911" spans="2:4">
      <c r="B911" s="16"/>
      <c r="C911" s="17"/>
      <c r="D911" s="17"/>
    </row>
    <row r="912" spans="2:4">
      <c r="B912" s="16"/>
      <c r="C912" s="17"/>
      <c r="D912" s="17"/>
    </row>
    <row r="913" spans="2:4">
      <c r="B913" s="16"/>
      <c r="C913" s="17"/>
      <c r="D913" s="17"/>
    </row>
    <row r="914" spans="2:4">
      <c r="B914" s="16"/>
      <c r="C914" s="17"/>
      <c r="D914" s="17"/>
    </row>
    <row r="915" spans="2:4">
      <c r="B915" s="16"/>
      <c r="C915" s="17"/>
      <c r="D915" s="17"/>
    </row>
    <row r="916" spans="2:4">
      <c r="B916" s="16"/>
      <c r="C916" s="17"/>
      <c r="D916" s="17"/>
    </row>
    <row r="917" spans="2:4">
      <c r="B917" s="16"/>
      <c r="C917" s="17"/>
      <c r="D917" s="17"/>
    </row>
    <row r="918" spans="2:4">
      <c r="B918" s="16"/>
      <c r="C918" s="17"/>
      <c r="D918" s="17"/>
    </row>
    <row r="919" spans="2:4">
      <c r="B919" s="16"/>
      <c r="C919" s="17"/>
      <c r="D919" s="17"/>
    </row>
    <row r="920" spans="2:4">
      <c r="B920" s="16"/>
      <c r="C920" s="17"/>
      <c r="D920" s="17"/>
    </row>
    <row r="921" spans="2:4">
      <c r="B921" s="16"/>
      <c r="C921" s="17"/>
      <c r="D921" s="17"/>
    </row>
    <row r="922" spans="2:4">
      <c r="B922" s="16"/>
      <c r="C922" s="17"/>
      <c r="D922" s="17"/>
    </row>
    <row r="923" spans="2:4">
      <c r="B923" s="16"/>
      <c r="C923" s="17"/>
      <c r="D923" s="17"/>
    </row>
    <row r="924" spans="2:4">
      <c r="B924" s="16"/>
      <c r="C924" s="17"/>
      <c r="D924" s="17"/>
    </row>
    <row r="925" spans="2:4">
      <c r="B925" s="16"/>
      <c r="C925" s="17"/>
      <c r="D925" s="17"/>
    </row>
    <row r="926" spans="2:4">
      <c r="B926" s="16"/>
      <c r="C926" s="17"/>
      <c r="D926" s="17"/>
    </row>
    <row r="927" spans="2:4">
      <c r="B927" s="16"/>
      <c r="C927" s="17"/>
      <c r="D927" s="17"/>
    </row>
    <row r="928" spans="2:4">
      <c r="B928" s="16"/>
      <c r="C928" s="17"/>
      <c r="D928" s="17"/>
    </row>
    <row r="929" spans="2:4">
      <c r="B929" s="16"/>
      <c r="C929" s="17"/>
      <c r="D929" s="17"/>
    </row>
    <row r="930" spans="2:4">
      <c r="B930" s="16"/>
      <c r="C930" s="17"/>
      <c r="D930" s="17"/>
    </row>
    <row r="931" spans="2:4">
      <c r="B931" s="16"/>
      <c r="C931" s="17"/>
      <c r="D931" s="17"/>
    </row>
    <row r="932" spans="2:4">
      <c r="B932" s="16"/>
      <c r="C932" s="17"/>
      <c r="D932" s="17"/>
    </row>
    <row r="933" spans="2:4">
      <c r="B933" s="16"/>
      <c r="C933" s="17"/>
      <c r="D933" s="17"/>
    </row>
    <row r="934" spans="2:4">
      <c r="B934" s="16"/>
      <c r="C934" s="17"/>
      <c r="D934" s="17"/>
    </row>
    <row r="935" spans="2:4">
      <c r="B935" s="16"/>
      <c r="C935" s="17"/>
      <c r="D935" s="17"/>
    </row>
    <row r="936" spans="2:4">
      <c r="B936" s="16"/>
      <c r="C936" s="17"/>
      <c r="D936" s="17"/>
    </row>
    <row r="937" spans="2:4">
      <c r="B937" s="16"/>
      <c r="C937" s="17"/>
      <c r="D937" s="17"/>
    </row>
    <row r="938" spans="2:4">
      <c r="B938" s="16"/>
      <c r="C938" s="17"/>
      <c r="D938" s="17"/>
    </row>
    <row r="939" spans="2:4">
      <c r="B939" s="16"/>
      <c r="C939" s="17"/>
      <c r="D939" s="17"/>
    </row>
    <row r="940" spans="2:4">
      <c r="B940" s="16"/>
      <c r="C940" s="17"/>
      <c r="D940" s="17"/>
    </row>
    <row r="941" spans="2:4">
      <c r="B941" s="16"/>
      <c r="C941" s="17"/>
      <c r="D941" s="17"/>
    </row>
    <row r="942" spans="2:4">
      <c r="B942" s="16"/>
      <c r="C942" s="17"/>
      <c r="D942" s="17"/>
    </row>
    <row r="943" spans="2:4">
      <c r="B943" s="16"/>
      <c r="C943" s="17"/>
      <c r="D943" s="17"/>
    </row>
    <row r="944" spans="2:4">
      <c r="B944" s="16"/>
      <c r="C944" s="17"/>
      <c r="D944" s="17"/>
    </row>
    <row r="945" spans="2:4">
      <c r="B945" s="16"/>
      <c r="C945" s="17"/>
      <c r="D945" s="17"/>
    </row>
    <row r="946" spans="2:4">
      <c r="B946" s="16"/>
      <c r="C946" s="17"/>
      <c r="D946" s="17"/>
    </row>
    <row r="947" spans="2:4">
      <c r="B947" s="16"/>
      <c r="C947" s="17"/>
      <c r="D947" s="17"/>
    </row>
    <row r="948" spans="2:4">
      <c r="B948" s="16"/>
      <c r="C948" s="17"/>
      <c r="D948" s="17"/>
    </row>
    <row r="949" spans="2:4">
      <c r="B949" s="16"/>
      <c r="C949" s="17"/>
      <c r="D949" s="17"/>
    </row>
    <row r="950" spans="2:4">
      <c r="B950" s="16"/>
      <c r="C950" s="17"/>
      <c r="D950" s="17"/>
    </row>
    <row r="951" spans="2:4">
      <c r="B951" s="16"/>
      <c r="C951" s="17"/>
      <c r="D951" s="17"/>
    </row>
    <row r="952" spans="2:4">
      <c r="B952" s="16"/>
      <c r="C952" s="17"/>
      <c r="D952" s="17"/>
    </row>
    <row r="953" spans="2:4">
      <c r="B953" s="16"/>
      <c r="C953" s="17"/>
      <c r="D953" s="17"/>
    </row>
    <row r="954" spans="2:4">
      <c r="B954" s="16"/>
      <c r="C954" s="17"/>
      <c r="D954" s="17"/>
    </row>
    <row r="955" spans="2:4">
      <c r="B955" s="16"/>
      <c r="C955" s="17"/>
      <c r="D955" s="17"/>
    </row>
    <row r="956" spans="2:4">
      <c r="B956" s="16"/>
      <c r="C956" s="17"/>
      <c r="D956" s="17"/>
    </row>
    <row r="957" spans="2:4">
      <c r="B957" s="16"/>
      <c r="C957" s="17"/>
      <c r="D957" s="17"/>
    </row>
    <row r="958" spans="2:4">
      <c r="B958" s="16"/>
      <c r="C958" s="17"/>
      <c r="D958" s="17"/>
    </row>
    <row r="959" spans="2:4">
      <c r="B959" s="16"/>
      <c r="C959" s="17"/>
      <c r="D959" s="17"/>
    </row>
    <row r="960" spans="2:4">
      <c r="B960" s="16"/>
      <c r="C960" s="17"/>
      <c r="D960" s="17"/>
    </row>
    <row r="961" spans="2:4">
      <c r="B961" s="16"/>
      <c r="C961" s="17"/>
      <c r="D961" s="17"/>
    </row>
    <row r="962" spans="2:4">
      <c r="B962" s="16"/>
      <c r="C962" s="17"/>
      <c r="D962" s="17"/>
    </row>
    <row r="963" spans="2:4">
      <c r="B963" s="16"/>
      <c r="C963" s="17"/>
      <c r="D963" s="17"/>
    </row>
    <row r="964" spans="2:4">
      <c r="B964" s="16"/>
      <c r="C964" s="17"/>
      <c r="D964" s="17"/>
    </row>
    <row r="965" spans="2:4">
      <c r="B965" s="16"/>
      <c r="C965" s="17"/>
      <c r="D965" s="17"/>
    </row>
    <row r="966" spans="2:4">
      <c r="B966" s="16"/>
      <c r="C966" s="17"/>
      <c r="D966" s="17"/>
    </row>
    <row r="967" spans="2:4">
      <c r="B967" s="16"/>
      <c r="C967" s="17"/>
      <c r="D967" s="17"/>
    </row>
    <row r="968" spans="2:4">
      <c r="B968" s="16"/>
      <c r="C968" s="17"/>
      <c r="D968" s="17"/>
    </row>
    <row r="969" spans="2:4">
      <c r="B969" s="16"/>
      <c r="C969" s="17"/>
      <c r="D969" s="17"/>
    </row>
    <row r="970" spans="2:4">
      <c r="B970" s="16"/>
      <c r="C970" s="17"/>
      <c r="D970" s="17"/>
    </row>
    <row r="971" spans="2:4">
      <c r="B971" s="16"/>
      <c r="C971" s="17"/>
      <c r="D971" s="17"/>
    </row>
    <row r="972" spans="2:4">
      <c r="B972" s="16"/>
      <c r="C972" s="17"/>
      <c r="D972" s="17"/>
    </row>
    <row r="973" spans="2:4">
      <c r="B973" s="16"/>
      <c r="C973" s="17"/>
      <c r="D973" s="17"/>
    </row>
    <row r="974" spans="2:4">
      <c r="B974" s="16"/>
      <c r="C974" s="17"/>
      <c r="D974" s="17"/>
    </row>
    <row r="975" spans="2:4">
      <c r="B975" s="16"/>
      <c r="C975" s="17"/>
      <c r="D975" s="17"/>
    </row>
    <row r="976" spans="2:4">
      <c r="B976" s="16"/>
      <c r="C976" s="17"/>
      <c r="D976" s="17"/>
    </row>
    <row r="977" spans="2:4">
      <c r="B977" s="16"/>
      <c r="C977" s="17"/>
      <c r="D977" s="17"/>
    </row>
    <row r="978" spans="2:4">
      <c r="B978" s="16"/>
      <c r="C978" s="17"/>
      <c r="D978" s="17"/>
    </row>
    <row r="979" spans="2:4">
      <c r="B979" s="16"/>
      <c r="C979" s="17"/>
      <c r="D979" s="17"/>
    </row>
    <row r="980" spans="2:4">
      <c r="B980" s="16"/>
      <c r="C980" s="17"/>
      <c r="D980" s="17"/>
    </row>
    <row r="981" spans="2:4">
      <c r="B981" s="16"/>
      <c r="C981" s="17"/>
      <c r="D981" s="17"/>
    </row>
    <row r="982" spans="2:4">
      <c r="B982" s="16"/>
      <c r="C982" s="17"/>
      <c r="D982" s="17"/>
    </row>
    <row r="983" spans="2:4">
      <c r="B983" s="16"/>
      <c r="C983" s="17"/>
      <c r="D983" s="17"/>
    </row>
    <row r="984" spans="2:4">
      <c r="B984" s="16"/>
      <c r="C984" s="17"/>
      <c r="D984" s="17"/>
    </row>
    <row r="985" spans="2:4">
      <c r="B985" s="16"/>
      <c r="C985" s="17"/>
      <c r="D985" s="17"/>
    </row>
    <row r="986" spans="2:4">
      <c r="B986" s="16"/>
      <c r="C986" s="17"/>
      <c r="D986" s="17"/>
    </row>
    <row r="987" spans="2:4">
      <c r="B987" s="16"/>
      <c r="C987" s="17"/>
      <c r="D987" s="17"/>
    </row>
    <row r="988" spans="2:4">
      <c r="B988" s="16"/>
      <c r="C988" s="17"/>
      <c r="D988" s="17"/>
    </row>
    <row r="989" spans="2:4">
      <c r="B989" s="16"/>
      <c r="C989" s="17"/>
      <c r="D989" s="17"/>
    </row>
    <row r="990" spans="2:4">
      <c r="B990" s="16"/>
      <c r="C990" s="17"/>
      <c r="D990" s="17"/>
    </row>
    <row r="991" spans="2:4">
      <c r="B991" s="16"/>
      <c r="C991" s="17"/>
      <c r="D991" s="17"/>
    </row>
    <row r="992" spans="2:4">
      <c r="B992" s="16"/>
      <c r="C992" s="17"/>
      <c r="D992" s="17"/>
    </row>
    <row r="993" spans="2:4">
      <c r="B993" s="16"/>
      <c r="C993" s="17"/>
      <c r="D993" s="17"/>
    </row>
    <row r="994" spans="2:4">
      <c r="B994" s="16"/>
      <c r="C994" s="17"/>
      <c r="D994" s="17"/>
    </row>
    <row r="995" spans="2:4">
      <c r="B995" s="16"/>
      <c r="C995" s="17"/>
      <c r="D995" s="17"/>
    </row>
    <row r="996" spans="2:4">
      <c r="B996" s="16"/>
      <c r="C996" s="17"/>
      <c r="D996" s="17"/>
    </row>
    <row r="997" spans="2:4">
      <c r="B997" s="16"/>
      <c r="C997" s="17"/>
      <c r="D997" s="17"/>
    </row>
    <row r="998" spans="2:4">
      <c r="B998" s="16"/>
      <c r="C998" s="17"/>
      <c r="D998" s="17"/>
    </row>
    <row r="999" spans="2:4">
      <c r="B999" s="16"/>
      <c r="C999" s="17"/>
      <c r="D999" s="17"/>
    </row>
    <row r="1000" spans="2:4">
      <c r="B1000" s="16"/>
      <c r="C1000" s="17"/>
      <c r="D1000" s="17"/>
    </row>
    <row r="1001" spans="2:4">
      <c r="B1001" s="16"/>
      <c r="C1001" s="17"/>
      <c r="D1001" s="17"/>
    </row>
    <row r="1002" spans="2:4">
      <c r="B1002" s="16"/>
      <c r="C1002" s="17"/>
      <c r="D1002" s="17"/>
    </row>
    <row r="1003" spans="2:4">
      <c r="B1003" s="16"/>
      <c r="C1003" s="17"/>
      <c r="D1003" s="17"/>
    </row>
    <row r="1004" spans="2:4">
      <c r="B1004" s="16"/>
      <c r="C1004" s="17"/>
      <c r="D1004" s="17"/>
    </row>
    <row r="1005" spans="2:4">
      <c r="B1005" s="16"/>
      <c r="C1005" s="17"/>
      <c r="D1005" s="17"/>
    </row>
    <row r="1006" spans="2:4">
      <c r="B1006" s="16"/>
      <c r="C1006" s="17"/>
      <c r="D1006" s="17"/>
    </row>
    <row r="1007" spans="2:4">
      <c r="B1007" s="16"/>
      <c r="C1007" s="17"/>
      <c r="D1007" s="17"/>
    </row>
    <row r="1008" spans="2:4">
      <c r="B1008" s="16"/>
      <c r="C1008" s="17"/>
      <c r="D1008" s="17"/>
    </row>
    <row r="1009" spans="2:4">
      <c r="B1009" s="16"/>
      <c r="C1009" s="17"/>
      <c r="D1009" s="17"/>
    </row>
    <row r="1010" spans="2:4">
      <c r="B1010" s="16"/>
      <c r="C1010" s="17"/>
      <c r="D1010" s="17"/>
    </row>
    <row r="1011" spans="2:4">
      <c r="B1011" s="16"/>
      <c r="C1011" s="17"/>
      <c r="D1011" s="17"/>
    </row>
    <row r="1012" spans="2:4">
      <c r="B1012" s="16"/>
      <c r="C1012" s="17"/>
      <c r="D1012" s="17"/>
    </row>
    <row r="1013" spans="2:4">
      <c r="B1013" s="16"/>
      <c r="C1013" s="17"/>
      <c r="D1013" s="17"/>
    </row>
    <row r="1014" spans="2:4">
      <c r="B1014" s="16"/>
      <c r="C1014" s="17"/>
      <c r="D1014" s="17"/>
    </row>
    <row r="1015" spans="2:4">
      <c r="B1015" s="16"/>
      <c r="C1015" s="17"/>
      <c r="D1015" s="17"/>
    </row>
    <row r="1016" spans="2:4">
      <c r="B1016" s="16"/>
      <c r="C1016" s="17"/>
      <c r="D1016" s="17"/>
    </row>
    <row r="1017" spans="2:4">
      <c r="B1017" s="16"/>
      <c r="C1017" s="17"/>
      <c r="D1017" s="17"/>
    </row>
    <row r="1018" spans="2:4">
      <c r="B1018" s="16"/>
      <c r="C1018" s="17"/>
      <c r="D1018" s="17"/>
    </row>
    <row r="1019" spans="2:4">
      <c r="B1019" s="16"/>
      <c r="C1019" s="17"/>
      <c r="D1019" s="17"/>
    </row>
    <row r="1020" spans="2:4">
      <c r="B1020" s="16"/>
      <c r="C1020" s="17"/>
      <c r="D1020" s="17"/>
    </row>
    <row r="1021" spans="2:4">
      <c r="B1021" s="16"/>
      <c r="C1021" s="17"/>
      <c r="D1021" s="17"/>
    </row>
    <row r="1022" spans="2:4">
      <c r="B1022" s="16"/>
      <c r="C1022" s="17"/>
      <c r="D1022" s="17"/>
    </row>
    <row r="1023" spans="2:4">
      <c r="B1023" s="16"/>
      <c r="C1023" s="17"/>
      <c r="D1023" s="17"/>
    </row>
    <row r="1024" spans="2:4">
      <c r="B1024" s="16"/>
      <c r="C1024" s="17"/>
      <c r="D1024" s="17"/>
    </row>
    <row r="1025" spans="2:4">
      <c r="B1025" s="16"/>
      <c r="C1025" s="17"/>
      <c r="D1025" s="17"/>
    </row>
    <row r="1026" spans="2:4">
      <c r="B1026" s="16"/>
      <c r="C1026" s="17"/>
      <c r="D1026" s="17"/>
    </row>
    <row r="1027" spans="2:4">
      <c r="B1027" s="16"/>
      <c r="C1027" s="17"/>
      <c r="D1027" s="17"/>
    </row>
    <row r="1028" spans="2:4">
      <c r="B1028" s="16"/>
      <c r="C1028" s="17"/>
      <c r="D1028" s="17"/>
    </row>
    <row r="1029" spans="2:4">
      <c r="B1029" s="16"/>
      <c r="C1029" s="17"/>
      <c r="D1029" s="17"/>
    </row>
    <row r="1030" spans="2:4">
      <c r="B1030" s="16"/>
      <c r="C1030" s="17"/>
      <c r="D1030" s="17"/>
    </row>
    <row r="1031" spans="2:4">
      <c r="B1031" s="16"/>
      <c r="C1031" s="17"/>
      <c r="D1031" s="17"/>
    </row>
    <row r="1032" spans="2:4">
      <c r="B1032" s="16"/>
      <c r="C1032" s="17"/>
      <c r="D1032" s="17"/>
    </row>
    <row r="1033" spans="2:4">
      <c r="B1033" s="16"/>
      <c r="C1033" s="17"/>
      <c r="D1033" s="17"/>
    </row>
    <row r="1034" spans="2:4">
      <c r="B1034" s="16"/>
      <c r="C1034" s="17"/>
      <c r="D1034" s="17"/>
    </row>
    <row r="1035" spans="2:4">
      <c r="B1035" s="16"/>
      <c r="C1035" s="17"/>
      <c r="D1035" s="17"/>
    </row>
    <row r="1036" spans="2:4">
      <c r="B1036" s="16"/>
      <c r="C1036" s="17"/>
      <c r="D1036" s="17"/>
    </row>
    <row r="1037" spans="2:4">
      <c r="B1037" s="16"/>
      <c r="C1037" s="17"/>
      <c r="D1037" s="17"/>
    </row>
    <row r="1038" spans="2:4">
      <c r="B1038" s="16"/>
      <c r="C1038" s="17"/>
      <c r="D1038" s="17"/>
    </row>
    <row r="1039" spans="2:4">
      <c r="B1039" s="16"/>
      <c r="C1039" s="17"/>
      <c r="D1039" s="17"/>
    </row>
    <row r="1040" spans="2:4">
      <c r="B1040" s="16"/>
      <c r="C1040" s="17"/>
      <c r="D1040" s="17"/>
    </row>
    <row r="1041" spans="2:4">
      <c r="B1041" s="16"/>
      <c r="C1041" s="17"/>
      <c r="D1041" s="17"/>
    </row>
    <row r="1042" spans="2:4">
      <c r="B1042" s="16"/>
      <c r="C1042" s="17"/>
      <c r="D1042" s="17"/>
    </row>
    <row r="1043" spans="2:4">
      <c r="B1043" s="16"/>
      <c r="C1043" s="17"/>
      <c r="D1043" s="17"/>
    </row>
    <row r="1044" spans="2:4">
      <c r="B1044" s="16"/>
      <c r="C1044" s="17"/>
      <c r="D1044" s="17"/>
    </row>
    <row r="1045" spans="2:4">
      <c r="B1045" s="16"/>
      <c r="C1045" s="17"/>
      <c r="D1045" s="17"/>
    </row>
    <row r="1046" spans="2:4">
      <c r="B1046" s="16"/>
      <c r="C1046" s="17"/>
      <c r="D1046" s="17"/>
    </row>
    <row r="1047" spans="2:4">
      <c r="B1047" s="16"/>
      <c r="C1047" s="17"/>
      <c r="D1047" s="17"/>
    </row>
    <row r="1048" spans="2:4">
      <c r="B1048" s="16"/>
      <c r="C1048" s="17"/>
      <c r="D1048" s="17"/>
    </row>
    <row r="1049" spans="2:4">
      <c r="B1049" s="16"/>
      <c r="C1049" s="17"/>
      <c r="D1049" s="17"/>
    </row>
    <row r="1050" spans="2:4">
      <c r="B1050" s="16"/>
      <c r="C1050" s="17"/>
      <c r="D1050" s="17"/>
    </row>
    <row r="1051" spans="2:4">
      <c r="B1051" s="16"/>
      <c r="C1051" s="17"/>
      <c r="D1051" s="17"/>
    </row>
    <row r="1052" spans="2:4">
      <c r="B1052" s="16"/>
      <c r="C1052" s="17"/>
      <c r="D1052" s="17"/>
    </row>
    <row r="1053" spans="2:4">
      <c r="B1053" s="16"/>
      <c r="C1053" s="17"/>
      <c r="D1053" s="17"/>
    </row>
    <row r="1054" spans="2:4">
      <c r="B1054" s="16"/>
      <c r="C1054" s="17"/>
      <c r="D1054" s="17"/>
    </row>
    <row r="1055" spans="2:4">
      <c r="B1055" s="16"/>
      <c r="C1055" s="17"/>
      <c r="D1055" s="17"/>
    </row>
    <row r="1056" spans="2:4">
      <c r="B1056" s="16"/>
      <c r="C1056" s="17"/>
      <c r="D1056" s="17"/>
    </row>
    <row r="1057" spans="2:4">
      <c r="B1057" s="16"/>
      <c r="C1057" s="17"/>
      <c r="D1057" s="17"/>
    </row>
    <row r="1058" spans="2:4">
      <c r="B1058" s="16"/>
      <c r="C1058" s="17"/>
      <c r="D1058" s="17"/>
    </row>
    <row r="1059" spans="2:4">
      <c r="B1059" s="16"/>
      <c r="C1059" s="17"/>
      <c r="D1059" s="17"/>
    </row>
    <row r="1060" spans="2:4">
      <c r="B1060" s="16"/>
      <c r="C1060" s="17"/>
      <c r="D1060" s="17"/>
    </row>
    <row r="1061" spans="2:4">
      <c r="B1061" s="16"/>
      <c r="C1061" s="17"/>
      <c r="D1061" s="17"/>
    </row>
    <row r="1062" spans="2:4">
      <c r="B1062" s="16"/>
      <c r="C1062" s="17"/>
      <c r="D1062" s="17"/>
    </row>
    <row r="1063" spans="2:4">
      <c r="B1063" s="16"/>
      <c r="C1063" s="17"/>
      <c r="D1063" s="17"/>
    </row>
    <row r="1064" spans="2:4">
      <c r="B1064" s="16"/>
      <c r="C1064" s="17"/>
      <c r="D1064" s="17"/>
    </row>
    <row r="1065" spans="2:4">
      <c r="B1065" s="16"/>
      <c r="C1065" s="17"/>
      <c r="D1065" s="17"/>
    </row>
    <row r="1066" spans="2:4">
      <c r="B1066" s="16"/>
      <c r="C1066" s="17"/>
      <c r="D1066" s="17"/>
    </row>
    <row r="1067" spans="2:4">
      <c r="B1067" s="16"/>
      <c r="C1067" s="17"/>
      <c r="D1067" s="17"/>
    </row>
    <row r="1068" spans="2:4">
      <c r="B1068" s="16"/>
      <c r="C1068" s="17"/>
      <c r="D1068" s="17"/>
    </row>
    <row r="1069" spans="2:4">
      <c r="B1069" s="16"/>
      <c r="C1069" s="17"/>
      <c r="D1069" s="17"/>
    </row>
    <row r="1070" spans="2:4">
      <c r="B1070" s="16"/>
      <c r="C1070" s="17"/>
      <c r="D1070" s="17"/>
    </row>
    <row r="1071" spans="2:4">
      <c r="B1071" s="16"/>
      <c r="C1071" s="17"/>
      <c r="D1071" s="17"/>
    </row>
    <row r="1072" spans="2:4">
      <c r="B1072" s="16"/>
      <c r="C1072" s="17"/>
      <c r="D1072" s="17"/>
    </row>
    <row r="1073" spans="2:4">
      <c r="B1073" s="16"/>
      <c r="C1073" s="17"/>
      <c r="D1073" s="17"/>
    </row>
    <row r="1074" spans="2:4">
      <c r="B1074" s="16"/>
      <c r="C1074" s="17"/>
      <c r="D1074" s="17"/>
    </row>
    <row r="1075" spans="2:4">
      <c r="B1075" s="16"/>
      <c r="C1075" s="17"/>
      <c r="D1075" s="17"/>
    </row>
    <row r="1076" spans="2:4">
      <c r="B1076" s="16"/>
      <c r="C1076" s="17"/>
      <c r="D1076" s="17"/>
    </row>
    <row r="1077" spans="2:4">
      <c r="B1077" s="16"/>
      <c r="C1077" s="17"/>
      <c r="D1077" s="17"/>
    </row>
    <row r="1078" spans="2:4">
      <c r="B1078" s="16"/>
      <c r="C1078" s="17"/>
      <c r="D1078" s="17"/>
    </row>
    <row r="1079" spans="2:4">
      <c r="B1079" s="16"/>
      <c r="C1079" s="17"/>
      <c r="D1079" s="17"/>
    </row>
    <row r="1080" spans="2:4">
      <c r="B1080" s="16"/>
      <c r="C1080" s="17"/>
      <c r="D1080" s="17"/>
    </row>
    <row r="1081" spans="2:4">
      <c r="B1081" s="16"/>
      <c r="C1081" s="17"/>
      <c r="D1081" s="17"/>
    </row>
    <row r="1082" spans="2:4">
      <c r="B1082" s="16"/>
      <c r="C1082" s="17"/>
      <c r="D1082" s="17"/>
    </row>
    <row r="1083" spans="2:4">
      <c r="B1083" s="16"/>
      <c r="C1083" s="17"/>
      <c r="D1083" s="17"/>
    </row>
    <row r="1084" spans="2:4">
      <c r="B1084" s="16"/>
      <c r="C1084" s="17"/>
      <c r="D1084" s="17"/>
    </row>
    <row r="1085" spans="2:4">
      <c r="B1085" s="16"/>
      <c r="C1085" s="17"/>
      <c r="D1085" s="17"/>
    </row>
    <row r="1086" spans="2:4">
      <c r="B1086" s="16"/>
      <c r="C1086" s="17"/>
      <c r="D1086" s="17"/>
    </row>
    <row r="1087" spans="2:4">
      <c r="B1087" s="16"/>
      <c r="C1087" s="17"/>
      <c r="D1087" s="17"/>
    </row>
    <row r="1088" spans="2:4">
      <c r="B1088" s="16"/>
      <c r="C1088" s="17"/>
      <c r="D1088" s="17"/>
    </row>
    <row r="1089" spans="2:4">
      <c r="B1089" s="16"/>
      <c r="C1089" s="17"/>
      <c r="D1089" s="17"/>
    </row>
    <row r="1090" spans="2:4">
      <c r="B1090" s="16"/>
      <c r="C1090" s="17"/>
      <c r="D1090" s="17"/>
    </row>
    <row r="1091" spans="2:4">
      <c r="B1091" s="16"/>
      <c r="C1091" s="17"/>
      <c r="D1091" s="17"/>
    </row>
    <row r="1092" spans="2:4">
      <c r="B1092" s="16"/>
      <c r="C1092" s="17"/>
      <c r="D1092" s="17"/>
    </row>
    <row r="1093" spans="2:4">
      <c r="B1093" s="16"/>
      <c r="C1093" s="17"/>
      <c r="D1093" s="17"/>
    </row>
    <row r="1094" spans="2:4">
      <c r="B1094" s="16"/>
      <c r="C1094" s="17"/>
      <c r="D1094" s="17"/>
    </row>
    <row r="1095" spans="2:4">
      <c r="B1095" s="16"/>
      <c r="C1095" s="17"/>
      <c r="D1095" s="17"/>
    </row>
    <row r="1096" spans="2:4">
      <c r="B1096" s="16"/>
      <c r="C1096" s="17"/>
      <c r="D1096" s="17"/>
    </row>
    <row r="1097" spans="2:4">
      <c r="B1097" s="16"/>
      <c r="C1097" s="17"/>
      <c r="D1097" s="17"/>
    </row>
    <row r="1098" spans="2:4">
      <c r="B1098" s="16"/>
      <c r="C1098" s="17"/>
      <c r="D1098" s="17"/>
    </row>
    <row r="1099" spans="2:4">
      <c r="B1099" s="16"/>
      <c r="C1099" s="17"/>
      <c r="D1099" s="17"/>
    </row>
    <row r="1100" spans="2:4">
      <c r="B1100" s="16"/>
      <c r="C1100" s="17"/>
      <c r="D1100" s="17"/>
    </row>
    <row r="1101" spans="2:4">
      <c r="B1101" s="16"/>
      <c r="C1101" s="17"/>
      <c r="D1101" s="17"/>
    </row>
    <row r="1102" spans="2:4">
      <c r="B1102" s="16"/>
      <c r="C1102" s="17"/>
      <c r="D1102" s="17"/>
    </row>
    <row r="1103" spans="2:4">
      <c r="B1103" s="16"/>
      <c r="C1103" s="17"/>
      <c r="D1103" s="17"/>
    </row>
    <row r="1104" spans="2:4">
      <c r="B1104" s="16"/>
      <c r="C1104" s="17"/>
      <c r="D1104" s="17"/>
    </row>
    <row r="1105" spans="2:4">
      <c r="B1105" s="16"/>
      <c r="C1105" s="17"/>
      <c r="D1105" s="17"/>
    </row>
    <row r="1106" spans="2:4">
      <c r="B1106" s="16"/>
      <c r="C1106" s="17"/>
      <c r="D1106" s="17"/>
    </row>
    <row r="1107" spans="2:4">
      <c r="B1107" s="16"/>
      <c r="C1107" s="17"/>
      <c r="D1107" s="17"/>
    </row>
    <row r="1108" spans="2:4">
      <c r="B1108" s="16"/>
      <c r="C1108" s="17"/>
      <c r="D1108" s="17"/>
    </row>
    <row r="1109" spans="2:4">
      <c r="B1109" s="16"/>
      <c r="C1109" s="17"/>
      <c r="D1109" s="17"/>
    </row>
    <row r="1110" spans="2:4">
      <c r="B1110" s="16"/>
      <c r="C1110" s="17"/>
      <c r="D1110" s="17"/>
    </row>
    <row r="1111" spans="2:4">
      <c r="B1111" s="16"/>
      <c r="C1111" s="17"/>
      <c r="D1111" s="17"/>
    </row>
    <row r="1112" spans="2:4">
      <c r="B1112" s="16"/>
      <c r="C1112" s="17"/>
      <c r="D1112" s="17"/>
    </row>
    <row r="1113" spans="2:4">
      <c r="B1113" s="16"/>
      <c r="C1113" s="17"/>
      <c r="D1113" s="17"/>
    </row>
    <row r="1114" spans="2:4">
      <c r="B1114" s="16"/>
      <c r="C1114" s="17"/>
      <c r="D1114" s="17"/>
    </row>
    <row r="1115" spans="2:4">
      <c r="B1115" s="16"/>
      <c r="C1115" s="17"/>
      <c r="D1115" s="17"/>
    </row>
    <row r="1116" spans="2:4">
      <c r="B1116" s="16"/>
      <c r="C1116" s="17"/>
      <c r="D1116" s="17"/>
    </row>
    <row r="1117" spans="2:4">
      <c r="B1117" s="16"/>
      <c r="C1117" s="17"/>
      <c r="D1117" s="17"/>
    </row>
    <row r="1118" spans="2:4">
      <c r="B1118" s="16"/>
      <c r="C1118" s="17"/>
      <c r="D1118" s="17"/>
    </row>
    <row r="1119" spans="2:4">
      <c r="B1119" s="16"/>
      <c r="C1119" s="17"/>
      <c r="D1119" s="17"/>
    </row>
    <row r="1120" spans="2:4">
      <c r="B1120" s="16"/>
      <c r="C1120" s="17"/>
      <c r="D1120" s="17"/>
    </row>
    <row r="1121" spans="2:4">
      <c r="B1121" s="16"/>
      <c r="C1121" s="17"/>
      <c r="D1121" s="17"/>
    </row>
    <row r="1122" spans="2:4">
      <c r="B1122" s="16"/>
      <c r="C1122" s="17"/>
      <c r="D1122" s="17"/>
    </row>
    <row r="1123" spans="2:4">
      <c r="B1123" s="16"/>
      <c r="C1123" s="17"/>
      <c r="D1123" s="17"/>
    </row>
    <row r="1124" spans="2:4">
      <c r="B1124" s="16"/>
      <c r="C1124" s="17"/>
      <c r="D1124" s="17"/>
    </row>
    <row r="1125" spans="2:4">
      <c r="B1125" s="16"/>
      <c r="C1125" s="17"/>
      <c r="D1125" s="17"/>
    </row>
    <row r="1126" spans="2:4">
      <c r="B1126" s="16"/>
      <c r="C1126" s="17"/>
      <c r="D1126" s="17"/>
    </row>
    <row r="1127" spans="2:4">
      <c r="B1127" s="16"/>
      <c r="C1127" s="17"/>
      <c r="D1127" s="17"/>
    </row>
    <row r="1128" spans="2:4">
      <c r="B1128" s="16"/>
      <c r="C1128" s="17"/>
      <c r="D1128" s="17"/>
    </row>
    <row r="1129" spans="2:4">
      <c r="B1129" s="16"/>
      <c r="C1129" s="17"/>
      <c r="D1129" s="17"/>
    </row>
    <row r="1130" spans="2:4">
      <c r="B1130" s="16"/>
      <c r="C1130" s="17"/>
      <c r="D1130" s="17"/>
    </row>
    <row r="1131" spans="2:4">
      <c r="B1131" s="16"/>
      <c r="C1131" s="17"/>
      <c r="D1131" s="17"/>
    </row>
    <row r="1132" spans="2:4">
      <c r="B1132" s="16"/>
      <c r="C1132" s="17"/>
      <c r="D1132" s="17"/>
    </row>
    <row r="1133" spans="2:4">
      <c r="B1133" s="16"/>
      <c r="C1133" s="17"/>
      <c r="D1133" s="17"/>
    </row>
    <row r="1134" spans="2:4">
      <c r="B1134" s="16"/>
      <c r="C1134" s="17"/>
      <c r="D1134" s="17"/>
    </row>
    <row r="1135" spans="2:4">
      <c r="B1135" s="16"/>
      <c r="C1135" s="17"/>
      <c r="D1135" s="17"/>
    </row>
    <row r="1136" spans="2:4">
      <c r="B1136" s="16"/>
      <c r="C1136" s="17"/>
      <c r="D1136" s="17"/>
    </row>
    <row r="1137" spans="2:4">
      <c r="B1137" s="16"/>
      <c r="C1137" s="17"/>
      <c r="D1137" s="17"/>
    </row>
    <row r="1138" spans="2:4">
      <c r="B1138" s="16"/>
      <c r="C1138" s="17"/>
      <c r="D1138" s="17"/>
    </row>
    <row r="1139" spans="2:4">
      <c r="B1139" s="16"/>
      <c r="C1139" s="17"/>
      <c r="D1139" s="17"/>
    </row>
    <row r="1140" spans="2:4">
      <c r="B1140" s="16"/>
      <c r="C1140" s="17"/>
      <c r="D1140" s="17"/>
    </row>
    <row r="1141" spans="2:4">
      <c r="B1141" s="16"/>
      <c r="C1141" s="17"/>
      <c r="D1141" s="17"/>
    </row>
    <row r="1142" spans="2:4">
      <c r="B1142" s="16"/>
      <c r="C1142" s="17"/>
      <c r="D1142" s="17"/>
    </row>
    <row r="1143" spans="2:4">
      <c r="B1143" s="16"/>
      <c r="C1143" s="17"/>
      <c r="D1143" s="17"/>
    </row>
    <row r="1144" spans="2:4">
      <c r="B1144" s="16"/>
      <c r="C1144" s="17"/>
      <c r="D1144" s="17"/>
    </row>
    <row r="1145" spans="2:4">
      <c r="B1145" s="16"/>
      <c r="C1145" s="17"/>
      <c r="D1145" s="17"/>
    </row>
    <row r="1146" spans="2:4">
      <c r="B1146" s="16"/>
      <c r="C1146" s="17"/>
      <c r="D1146" s="17"/>
    </row>
    <row r="1147" spans="2:4">
      <c r="B1147" s="16"/>
      <c r="C1147" s="17"/>
      <c r="D1147" s="17"/>
    </row>
    <row r="1148" spans="2:4">
      <c r="B1148" s="16"/>
      <c r="C1148" s="17"/>
      <c r="D1148" s="17"/>
    </row>
    <row r="1149" spans="2:4">
      <c r="B1149" s="16"/>
      <c r="C1149" s="17"/>
      <c r="D1149" s="17"/>
    </row>
    <row r="1150" spans="2:4">
      <c r="B1150" s="16"/>
      <c r="C1150" s="17"/>
      <c r="D1150" s="17"/>
    </row>
    <row r="1151" spans="2:4">
      <c r="B1151" s="16"/>
      <c r="C1151" s="17"/>
      <c r="D1151" s="17"/>
    </row>
    <row r="1152" spans="2:4">
      <c r="B1152" s="16"/>
      <c r="C1152" s="17"/>
      <c r="D1152" s="17"/>
    </row>
    <row r="1153" spans="2:4">
      <c r="B1153" s="16"/>
      <c r="C1153" s="17"/>
      <c r="D1153" s="17"/>
    </row>
    <row r="1154" spans="2:4">
      <c r="B1154" s="16"/>
      <c r="C1154" s="17"/>
      <c r="D1154" s="17"/>
    </row>
    <row r="1155" spans="2:4">
      <c r="B1155" s="16"/>
      <c r="C1155" s="17"/>
      <c r="D1155" s="17"/>
    </row>
    <row r="1156" spans="2:4">
      <c r="B1156" s="16"/>
      <c r="C1156" s="17"/>
      <c r="D1156" s="17"/>
    </row>
    <row r="1157" spans="2:4">
      <c r="B1157" s="16"/>
      <c r="C1157" s="17"/>
      <c r="D1157" s="17"/>
    </row>
    <row r="1158" spans="2:4">
      <c r="B1158" s="16"/>
      <c r="C1158" s="17"/>
      <c r="D1158" s="17"/>
    </row>
    <row r="1159" spans="2:4">
      <c r="B1159" s="16"/>
      <c r="C1159" s="17"/>
      <c r="D1159" s="17"/>
    </row>
    <row r="1160" spans="2:4">
      <c r="B1160" s="16"/>
      <c r="C1160" s="17"/>
      <c r="D1160" s="17"/>
    </row>
    <row r="1161" spans="2:4">
      <c r="B1161" s="16"/>
      <c r="C1161" s="17"/>
      <c r="D1161" s="17"/>
    </row>
    <row r="1162" spans="2:4">
      <c r="B1162" s="16"/>
      <c r="C1162" s="17"/>
      <c r="D1162" s="17"/>
    </row>
    <row r="1163" spans="2:4">
      <c r="B1163" s="16"/>
      <c r="C1163" s="17"/>
      <c r="D1163" s="17"/>
    </row>
    <row r="1164" spans="2:4">
      <c r="B1164" s="16"/>
      <c r="C1164" s="17"/>
      <c r="D1164" s="17"/>
    </row>
    <row r="1165" spans="2:4">
      <c r="B1165" s="16"/>
      <c r="C1165" s="17"/>
      <c r="D1165" s="17"/>
    </row>
    <row r="1166" spans="2:4">
      <c r="B1166" s="16"/>
      <c r="C1166" s="17"/>
      <c r="D1166" s="17"/>
    </row>
    <row r="1167" spans="2:4">
      <c r="B1167" s="16"/>
      <c r="C1167" s="17"/>
      <c r="D1167" s="17"/>
    </row>
    <row r="1168" spans="2:4">
      <c r="B1168" s="16"/>
      <c r="C1168" s="17"/>
      <c r="D1168" s="17"/>
    </row>
    <row r="1169" spans="2:4">
      <c r="B1169" s="16"/>
      <c r="C1169" s="17"/>
      <c r="D1169" s="17"/>
    </row>
    <row r="1170" spans="2:4">
      <c r="B1170" s="16"/>
      <c r="C1170" s="17"/>
      <c r="D1170" s="17"/>
    </row>
    <row r="1171" spans="2:4">
      <c r="B1171" s="16"/>
      <c r="C1171" s="17"/>
      <c r="D1171" s="17"/>
    </row>
    <row r="1172" spans="2:4">
      <c r="B1172" s="16"/>
      <c r="C1172" s="17"/>
      <c r="D1172" s="17"/>
    </row>
    <row r="1173" spans="2:4">
      <c r="B1173" s="16"/>
      <c r="C1173" s="17"/>
      <c r="D1173" s="17"/>
    </row>
    <row r="1174" spans="2:4">
      <c r="B1174" s="16"/>
      <c r="C1174" s="17"/>
      <c r="D1174" s="17"/>
    </row>
    <row r="1175" spans="2:4">
      <c r="B1175" s="16"/>
      <c r="C1175" s="17"/>
      <c r="D1175" s="17"/>
    </row>
    <row r="1176" spans="2:4">
      <c r="B1176" s="16"/>
      <c r="C1176" s="17"/>
      <c r="D1176" s="17"/>
    </row>
    <row r="1177" spans="2:4">
      <c r="B1177" s="16"/>
      <c r="C1177" s="17"/>
      <c r="D1177" s="17"/>
    </row>
    <row r="1178" spans="2:4">
      <c r="B1178" s="16"/>
      <c r="C1178" s="17"/>
      <c r="D1178" s="17"/>
    </row>
    <row r="1179" spans="2:4">
      <c r="B1179" s="16"/>
      <c r="C1179" s="17"/>
      <c r="D1179" s="17"/>
    </row>
    <row r="1180" spans="2:4">
      <c r="B1180" s="16"/>
      <c r="C1180" s="17"/>
      <c r="D1180" s="17"/>
    </row>
    <row r="1181" spans="2:4">
      <c r="B1181" s="16"/>
      <c r="C1181" s="17"/>
      <c r="D1181" s="17"/>
    </row>
    <row r="1182" spans="2:4">
      <c r="B1182" s="16"/>
      <c r="C1182" s="17"/>
      <c r="D1182" s="17"/>
    </row>
    <row r="1183" spans="2:4">
      <c r="B1183" s="16"/>
      <c r="C1183" s="17"/>
      <c r="D1183" s="17"/>
    </row>
    <row r="1184" spans="2:4">
      <c r="B1184" s="16"/>
      <c r="C1184" s="17"/>
      <c r="D1184" s="17"/>
    </row>
    <row r="1185" spans="2:4">
      <c r="B1185" s="16"/>
      <c r="C1185" s="17"/>
      <c r="D1185" s="17"/>
    </row>
    <row r="1186" spans="2:4">
      <c r="B1186" s="16"/>
      <c r="C1186" s="17"/>
      <c r="D1186" s="17"/>
    </row>
    <row r="1187" spans="2:4">
      <c r="B1187" s="16"/>
      <c r="C1187" s="17"/>
      <c r="D1187" s="17"/>
    </row>
    <row r="1188" spans="2:4">
      <c r="B1188" s="16"/>
      <c r="C1188" s="17"/>
      <c r="D1188" s="17"/>
    </row>
    <row r="1189" spans="2:4">
      <c r="B1189" s="16"/>
      <c r="C1189" s="17"/>
      <c r="D1189" s="17"/>
    </row>
    <row r="1190" spans="2:4">
      <c r="B1190" s="16"/>
      <c r="C1190" s="17"/>
      <c r="D1190" s="17"/>
    </row>
    <row r="1191" spans="2:4">
      <c r="B1191" s="16"/>
      <c r="C1191" s="17"/>
      <c r="D1191" s="17"/>
    </row>
    <row r="1192" spans="2:4">
      <c r="B1192" s="16"/>
      <c r="C1192" s="17"/>
      <c r="D1192" s="17"/>
    </row>
    <row r="1193" spans="2:4">
      <c r="B1193" s="16"/>
      <c r="C1193" s="17"/>
      <c r="D1193" s="17"/>
    </row>
    <row r="1194" spans="2:4">
      <c r="B1194" s="16"/>
      <c r="C1194" s="17"/>
      <c r="D1194" s="17"/>
    </row>
    <row r="1195" spans="2:4">
      <c r="B1195" s="16"/>
      <c r="C1195" s="17"/>
      <c r="D1195" s="17"/>
    </row>
    <row r="1196" spans="2:4">
      <c r="B1196" s="16"/>
      <c r="C1196" s="17"/>
      <c r="D1196" s="17"/>
    </row>
    <row r="1197" spans="2:4">
      <c r="B1197" s="16"/>
      <c r="C1197" s="17"/>
      <c r="D1197" s="17"/>
    </row>
    <row r="1198" spans="2:4">
      <c r="B1198" s="16"/>
      <c r="C1198" s="17"/>
      <c r="D1198" s="17"/>
    </row>
    <row r="1199" spans="2:4">
      <c r="B1199" s="16"/>
      <c r="C1199" s="17"/>
      <c r="D1199" s="17"/>
    </row>
    <row r="1200" spans="2:4">
      <c r="B1200" s="16"/>
      <c r="C1200" s="17"/>
      <c r="D1200" s="17"/>
    </row>
    <row r="1201" spans="2:4">
      <c r="B1201" s="16"/>
      <c r="C1201" s="17"/>
      <c r="D1201" s="17"/>
    </row>
    <row r="1202" spans="2:4">
      <c r="B1202" s="16"/>
      <c r="C1202" s="17"/>
      <c r="D1202" s="17"/>
    </row>
    <row r="1203" spans="2:4">
      <c r="B1203" s="16"/>
      <c r="C1203" s="17"/>
      <c r="D1203" s="17"/>
    </row>
    <row r="1204" spans="2:4">
      <c r="B1204" s="16"/>
      <c r="C1204" s="17"/>
      <c r="D1204" s="17"/>
    </row>
    <row r="1205" spans="2:4">
      <c r="B1205" s="16"/>
      <c r="C1205" s="17"/>
      <c r="D1205" s="17"/>
    </row>
    <row r="1206" spans="2:4">
      <c r="B1206" s="16"/>
      <c r="C1206" s="17"/>
      <c r="D1206" s="17"/>
    </row>
    <row r="1207" spans="2:4">
      <c r="B1207" s="16"/>
      <c r="C1207" s="17"/>
      <c r="D1207" s="17"/>
    </row>
    <row r="1208" spans="2:4">
      <c r="B1208" s="16"/>
      <c r="C1208" s="17"/>
      <c r="D1208" s="17"/>
    </row>
    <row r="1209" spans="2:4">
      <c r="B1209" s="16"/>
      <c r="C1209" s="17"/>
      <c r="D1209" s="17"/>
    </row>
    <row r="1210" spans="2:4">
      <c r="B1210" s="16"/>
      <c r="C1210" s="17"/>
      <c r="D1210" s="17"/>
    </row>
    <row r="1211" spans="2:4">
      <c r="B1211" s="16"/>
      <c r="C1211" s="17"/>
      <c r="D1211" s="17"/>
    </row>
    <row r="1212" spans="2:4">
      <c r="B1212" s="16"/>
      <c r="C1212" s="17"/>
      <c r="D1212" s="17"/>
    </row>
    <row r="1213" spans="2:4">
      <c r="B1213" s="16"/>
      <c r="C1213" s="17"/>
      <c r="D1213" s="17"/>
    </row>
    <row r="1214" spans="2:4">
      <c r="B1214" s="16"/>
      <c r="C1214" s="17"/>
      <c r="D1214" s="17"/>
    </row>
    <row r="1215" spans="2:4">
      <c r="B1215" s="16"/>
      <c r="C1215" s="17"/>
      <c r="D1215" s="17"/>
    </row>
    <row r="1216" spans="2:4">
      <c r="B1216" s="16"/>
      <c r="C1216" s="17"/>
      <c r="D1216" s="17"/>
    </row>
    <row r="1217" spans="2:4">
      <c r="B1217" s="16"/>
      <c r="C1217" s="17"/>
      <c r="D1217" s="17"/>
    </row>
    <row r="1218" spans="2:4">
      <c r="B1218" s="16"/>
      <c r="C1218" s="17"/>
      <c r="D1218" s="17"/>
    </row>
    <row r="1219" spans="2:4">
      <c r="B1219" s="16"/>
      <c r="C1219" s="17"/>
      <c r="D1219" s="17"/>
    </row>
    <row r="1220" spans="2:4">
      <c r="B1220" s="16"/>
      <c r="C1220" s="17"/>
      <c r="D1220" s="17"/>
    </row>
    <row r="1221" spans="2:4">
      <c r="B1221" s="16"/>
      <c r="C1221" s="17"/>
      <c r="D1221" s="17"/>
    </row>
    <row r="1222" spans="2:4">
      <c r="B1222" s="16"/>
      <c r="C1222" s="17"/>
      <c r="D1222" s="17"/>
    </row>
    <row r="1223" spans="2:4">
      <c r="B1223" s="16"/>
      <c r="C1223" s="17"/>
      <c r="D1223" s="17"/>
    </row>
    <row r="1224" spans="2:4">
      <c r="B1224" s="16"/>
      <c r="C1224" s="17"/>
      <c r="D1224" s="17"/>
    </row>
    <row r="1225" spans="2:4">
      <c r="B1225" s="16"/>
      <c r="C1225" s="17"/>
      <c r="D1225" s="17"/>
    </row>
    <row r="1226" spans="2:4">
      <c r="B1226" s="16"/>
      <c r="C1226" s="17"/>
      <c r="D1226" s="17"/>
    </row>
    <row r="1227" spans="2:4">
      <c r="B1227" s="16"/>
      <c r="C1227" s="17"/>
      <c r="D1227" s="17"/>
    </row>
    <row r="1228" spans="2:4">
      <c r="B1228" s="16"/>
      <c r="C1228" s="17"/>
      <c r="D1228" s="17"/>
    </row>
    <row r="1229" spans="2:4">
      <c r="B1229" s="16"/>
      <c r="C1229" s="17"/>
      <c r="D1229" s="17"/>
    </row>
    <row r="1230" spans="2:4">
      <c r="B1230" s="16"/>
      <c r="C1230" s="17"/>
      <c r="D1230" s="17"/>
    </row>
    <row r="1231" spans="2:4">
      <c r="B1231" s="16"/>
      <c r="C1231" s="17"/>
      <c r="D1231" s="17"/>
    </row>
    <row r="1232" spans="2:4">
      <c r="B1232" s="16"/>
      <c r="C1232" s="17"/>
      <c r="D1232" s="17"/>
    </row>
    <row r="1233" spans="2:4">
      <c r="B1233" s="16"/>
      <c r="C1233" s="17"/>
      <c r="D1233" s="17"/>
    </row>
    <row r="1234" spans="2:4">
      <c r="B1234" s="16"/>
      <c r="C1234" s="17"/>
      <c r="D1234" s="17"/>
    </row>
    <row r="1235" spans="2:4">
      <c r="B1235" s="16"/>
      <c r="C1235" s="17"/>
      <c r="D1235" s="17"/>
    </row>
    <row r="1236" spans="2:4">
      <c r="B1236" s="16"/>
      <c r="C1236" s="17"/>
      <c r="D1236" s="17"/>
    </row>
    <row r="1237" spans="2:4">
      <c r="B1237" s="16"/>
      <c r="C1237" s="17"/>
      <c r="D1237" s="17"/>
    </row>
    <row r="1238" spans="2:4">
      <c r="B1238" s="16"/>
      <c r="C1238" s="17"/>
      <c r="D1238" s="17"/>
    </row>
    <row r="1239" spans="2:4">
      <c r="B1239" s="16"/>
      <c r="C1239" s="17"/>
      <c r="D1239" s="17"/>
    </row>
    <row r="1240" spans="2:4">
      <c r="B1240" s="16"/>
      <c r="C1240" s="17"/>
      <c r="D1240" s="17"/>
    </row>
    <row r="1241" spans="2:4">
      <c r="B1241" s="16"/>
      <c r="C1241" s="17"/>
      <c r="D1241" s="17"/>
    </row>
    <row r="1242" spans="2:4">
      <c r="B1242" s="16"/>
      <c r="C1242" s="17"/>
      <c r="D1242" s="17"/>
    </row>
    <row r="1243" spans="2:4">
      <c r="B1243" s="16"/>
      <c r="C1243" s="17"/>
      <c r="D1243" s="17"/>
    </row>
    <row r="1244" spans="2:4">
      <c r="B1244" s="16"/>
      <c r="C1244" s="17"/>
      <c r="D1244" s="17"/>
    </row>
    <row r="1245" spans="2:4">
      <c r="B1245" s="16"/>
      <c r="C1245" s="17"/>
      <c r="D1245" s="17"/>
    </row>
    <row r="1246" spans="2:4">
      <c r="B1246" s="16"/>
      <c r="C1246" s="17"/>
      <c r="D1246" s="17"/>
    </row>
    <row r="1247" spans="2:4">
      <c r="B1247" s="16"/>
      <c r="C1247" s="17"/>
      <c r="D1247" s="17"/>
    </row>
    <row r="1248" spans="2:4">
      <c r="B1248" s="16"/>
      <c r="C1248" s="17"/>
      <c r="D1248" s="17"/>
    </row>
    <row r="1249" spans="2:4">
      <c r="B1249" s="16"/>
      <c r="C1249" s="17"/>
      <c r="D1249" s="17"/>
    </row>
    <row r="1250" spans="2:4">
      <c r="B1250" s="16"/>
      <c r="C1250" s="17"/>
      <c r="D1250" s="17"/>
    </row>
    <row r="1251" spans="2:4">
      <c r="B1251" s="16"/>
      <c r="C1251" s="17"/>
      <c r="D1251" s="17"/>
    </row>
    <row r="1252" spans="2:4">
      <c r="B1252" s="16"/>
      <c r="C1252" s="17"/>
      <c r="D1252" s="17"/>
    </row>
    <row r="1253" spans="2:4">
      <c r="B1253" s="16"/>
      <c r="C1253" s="17"/>
      <c r="D1253" s="17"/>
    </row>
    <row r="1254" spans="2:4">
      <c r="B1254" s="16"/>
      <c r="C1254" s="17"/>
      <c r="D1254" s="17"/>
    </row>
    <row r="1255" spans="2:4">
      <c r="B1255" s="16"/>
      <c r="C1255" s="17"/>
      <c r="D1255" s="17"/>
    </row>
    <row r="1256" spans="2:4">
      <c r="B1256" s="16"/>
      <c r="C1256" s="17"/>
      <c r="D1256" s="17"/>
    </row>
    <row r="1257" spans="2:4">
      <c r="B1257" s="16"/>
      <c r="C1257" s="17"/>
      <c r="D1257" s="17"/>
    </row>
    <row r="1258" spans="2:4">
      <c r="B1258" s="16"/>
      <c r="C1258" s="17"/>
      <c r="D1258" s="17"/>
    </row>
    <row r="1259" spans="2:4">
      <c r="B1259" s="16"/>
      <c r="C1259" s="17"/>
      <c r="D1259" s="17"/>
    </row>
    <row r="1260" spans="2:4">
      <c r="B1260" s="16"/>
      <c r="C1260" s="17"/>
      <c r="D1260" s="17"/>
    </row>
    <row r="1261" spans="2:4">
      <c r="B1261" s="16"/>
      <c r="C1261" s="17"/>
      <c r="D1261" s="17"/>
    </row>
    <row r="1262" spans="2:4">
      <c r="B1262" s="16"/>
      <c r="C1262" s="17"/>
      <c r="D1262" s="17"/>
    </row>
    <row r="1263" spans="2:4">
      <c r="B1263" s="16"/>
      <c r="C1263" s="17"/>
      <c r="D1263" s="17"/>
    </row>
    <row r="1264" spans="2:4">
      <c r="B1264" s="16"/>
      <c r="C1264" s="17"/>
      <c r="D1264" s="17"/>
    </row>
    <row r="1265" spans="2:4">
      <c r="B1265" s="16"/>
      <c r="C1265" s="17"/>
      <c r="D1265" s="17"/>
    </row>
    <row r="1266" spans="2:4">
      <c r="B1266" s="16"/>
      <c r="C1266" s="17"/>
      <c r="D1266" s="17"/>
    </row>
    <row r="1267" spans="2:4">
      <c r="B1267" s="16"/>
      <c r="C1267" s="17"/>
      <c r="D1267" s="17"/>
    </row>
    <row r="1268" spans="2:4">
      <c r="B1268" s="16"/>
      <c r="C1268" s="17"/>
      <c r="D1268" s="17"/>
    </row>
    <row r="1269" spans="2:4">
      <c r="B1269" s="16"/>
      <c r="C1269" s="17"/>
      <c r="D1269" s="17"/>
    </row>
    <row r="1270" spans="2:4">
      <c r="B1270" s="16"/>
      <c r="C1270" s="17"/>
      <c r="D1270" s="17"/>
    </row>
    <row r="1271" spans="2:4">
      <c r="B1271" s="16"/>
      <c r="C1271" s="17"/>
      <c r="D1271" s="17"/>
    </row>
    <row r="1272" spans="2:4">
      <c r="B1272" s="16"/>
      <c r="C1272" s="17"/>
      <c r="D1272" s="17"/>
    </row>
    <row r="1273" spans="2:4">
      <c r="B1273" s="16"/>
      <c r="C1273" s="17"/>
      <c r="D1273" s="17"/>
    </row>
    <row r="1274" spans="2:4">
      <c r="B1274" s="16"/>
      <c r="C1274" s="17"/>
      <c r="D1274" s="17"/>
    </row>
    <row r="1275" spans="2:4">
      <c r="B1275" s="16"/>
      <c r="C1275" s="17"/>
      <c r="D1275" s="17"/>
    </row>
    <row r="1276" spans="2:4">
      <c r="B1276" s="16"/>
      <c r="C1276" s="17"/>
      <c r="D1276" s="17"/>
    </row>
    <row r="1277" spans="2:4">
      <c r="B1277" s="16"/>
      <c r="C1277" s="17"/>
      <c r="D1277" s="17"/>
    </row>
    <row r="1278" spans="2:4">
      <c r="B1278" s="16"/>
      <c r="C1278" s="17"/>
      <c r="D1278" s="17"/>
    </row>
    <row r="1279" spans="2:4">
      <c r="B1279" s="16"/>
      <c r="C1279" s="17"/>
      <c r="D1279" s="17"/>
    </row>
    <row r="1280" spans="2:4">
      <c r="B1280" s="16"/>
      <c r="C1280" s="17"/>
      <c r="D1280" s="17"/>
    </row>
    <row r="1281" spans="2:4">
      <c r="B1281" s="16"/>
      <c r="C1281" s="17"/>
      <c r="D1281" s="17"/>
    </row>
    <row r="1282" spans="2:4">
      <c r="B1282" s="16"/>
      <c r="C1282" s="17"/>
      <c r="D1282" s="17"/>
    </row>
    <row r="1283" spans="2:4">
      <c r="B1283" s="16"/>
      <c r="C1283" s="17"/>
      <c r="D1283" s="17"/>
    </row>
    <row r="1284" spans="2:4">
      <c r="B1284" s="16"/>
      <c r="C1284" s="17"/>
      <c r="D1284" s="17"/>
    </row>
    <row r="1285" spans="2:4">
      <c r="B1285" s="16"/>
      <c r="C1285" s="17"/>
      <c r="D1285" s="17"/>
    </row>
    <row r="1286" spans="2:4">
      <c r="B1286" s="16"/>
      <c r="C1286" s="17"/>
      <c r="D1286" s="17"/>
    </row>
    <row r="1287" spans="2:4">
      <c r="B1287" s="16"/>
      <c r="C1287" s="17"/>
      <c r="D1287" s="17"/>
    </row>
    <row r="1288" spans="2:4">
      <c r="B1288" s="16"/>
      <c r="C1288" s="17"/>
      <c r="D1288" s="17"/>
    </row>
    <row r="1289" spans="2:4">
      <c r="B1289" s="16"/>
      <c r="C1289" s="17"/>
      <c r="D1289" s="17"/>
    </row>
    <row r="1290" spans="2:4">
      <c r="B1290" s="16"/>
      <c r="C1290" s="17"/>
      <c r="D1290" s="17"/>
    </row>
    <row r="1291" spans="2:4">
      <c r="B1291" s="16"/>
      <c r="C1291" s="17"/>
      <c r="D1291" s="17"/>
    </row>
    <row r="1292" spans="2:4">
      <c r="B1292" s="16"/>
      <c r="C1292" s="17"/>
      <c r="D1292" s="17"/>
    </row>
    <row r="1293" spans="2:4">
      <c r="B1293" s="16"/>
      <c r="C1293" s="17"/>
      <c r="D1293" s="17"/>
    </row>
    <row r="1294" spans="2:4">
      <c r="B1294" s="16"/>
      <c r="C1294" s="17"/>
      <c r="D1294" s="17"/>
    </row>
    <row r="1295" spans="2:4">
      <c r="B1295" s="16"/>
      <c r="C1295" s="17"/>
      <c r="D1295" s="17"/>
    </row>
    <row r="1296" spans="2:4">
      <c r="B1296" s="16"/>
      <c r="C1296" s="17"/>
      <c r="D1296" s="17"/>
    </row>
    <row r="1297" spans="2:4">
      <c r="B1297" s="16"/>
      <c r="C1297" s="17"/>
      <c r="D1297" s="17"/>
    </row>
    <row r="1298" spans="2:4">
      <c r="B1298" s="16"/>
      <c r="C1298" s="17"/>
      <c r="D1298" s="17"/>
    </row>
    <row r="1299" spans="2:4">
      <c r="B1299" s="16"/>
      <c r="C1299" s="17"/>
      <c r="D1299" s="17"/>
    </row>
    <row r="1300" spans="2:4">
      <c r="B1300" s="16"/>
      <c r="C1300" s="17"/>
      <c r="D1300" s="17"/>
    </row>
    <row r="1301" spans="2:4">
      <c r="B1301" s="16"/>
      <c r="C1301" s="17"/>
      <c r="D1301" s="17"/>
    </row>
    <row r="1302" spans="2:4">
      <c r="B1302" s="16"/>
      <c r="C1302" s="17"/>
      <c r="D1302" s="17"/>
    </row>
    <row r="1303" spans="2:4">
      <c r="B1303" s="16"/>
      <c r="C1303" s="17"/>
      <c r="D1303" s="17"/>
    </row>
    <row r="1304" spans="2:4">
      <c r="B1304" s="16"/>
      <c r="C1304" s="17"/>
      <c r="D1304" s="17"/>
    </row>
    <row r="1305" spans="2:4">
      <c r="B1305" s="16"/>
      <c r="C1305" s="17"/>
      <c r="D1305" s="17"/>
    </row>
    <row r="1306" spans="2:4">
      <c r="B1306" s="16"/>
      <c r="C1306" s="17"/>
      <c r="D1306" s="17"/>
    </row>
    <row r="1307" spans="2:4">
      <c r="B1307" s="16"/>
      <c r="C1307" s="17"/>
      <c r="D1307" s="17"/>
    </row>
    <row r="1308" spans="2:4">
      <c r="B1308" s="16"/>
      <c r="C1308" s="17"/>
      <c r="D1308" s="17"/>
    </row>
    <row r="1309" spans="2:4">
      <c r="B1309" s="16"/>
      <c r="C1309" s="17"/>
      <c r="D1309" s="17"/>
    </row>
    <row r="1310" spans="2:4">
      <c r="B1310" s="16"/>
      <c r="C1310" s="17"/>
      <c r="D1310" s="17"/>
    </row>
    <row r="1311" spans="2:4">
      <c r="B1311" s="16"/>
      <c r="C1311" s="17"/>
      <c r="D1311" s="17"/>
    </row>
    <row r="1312" spans="2:4">
      <c r="B1312" s="16"/>
      <c r="C1312" s="17"/>
      <c r="D1312" s="17"/>
    </row>
    <row r="1313" spans="2:4">
      <c r="B1313" s="16"/>
      <c r="C1313" s="17"/>
      <c r="D1313" s="17"/>
    </row>
    <row r="1314" spans="2:4">
      <c r="B1314" s="16"/>
      <c r="C1314" s="17"/>
      <c r="D1314" s="17"/>
    </row>
    <row r="1315" spans="2:4">
      <c r="B1315" s="16"/>
      <c r="C1315" s="17"/>
      <c r="D1315" s="17"/>
    </row>
    <row r="1316" spans="2:4">
      <c r="B1316" s="16"/>
      <c r="C1316" s="17"/>
      <c r="D1316" s="17"/>
    </row>
    <row r="1317" spans="2:4">
      <c r="B1317" s="16"/>
      <c r="C1317" s="17"/>
      <c r="D1317" s="17"/>
    </row>
    <row r="1318" spans="2:4">
      <c r="B1318" s="16"/>
      <c r="C1318" s="17"/>
      <c r="D1318" s="17"/>
    </row>
    <row r="1319" spans="2:4">
      <c r="B1319" s="16"/>
      <c r="C1319" s="17"/>
      <c r="D1319" s="17"/>
    </row>
    <row r="1320" spans="2:4">
      <c r="B1320" s="16"/>
      <c r="C1320" s="17"/>
      <c r="D1320" s="17"/>
    </row>
    <row r="1321" spans="2:4">
      <c r="B1321" s="16"/>
      <c r="C1321" s="17"/>
      <c r="D1321" s="17"/>
    </row>
    <row r="1322" spans="2:4">
      <c r="B1322" s="16"/>
      <c r="C1322" s="17"/>
      <c r="D1322" s="17"/>
    </row>
    <row r="1323" spans="2:4">
      <c r="B1323" s="16"/>
      <c r="C1323" s="17"/>
      <c r="D1323" s="17"/>
    </row>
    <row r="1324" spans="2:4">
      <c r="B1324" s="16"/>
      <c r="C1324" s="17"/>
      <c r="D1324" s="17"/>
    </row>
    <row r="1325" spans="2:4">
      <c r="B1325" s="16"/>
      <c r="C1325" s="17"/>
      <c r="D1325" s="17"/>
    </row>
    <row r="1326" spans="2:4">
      <c r="B1326" s="16"/>
      <c r="C1326" s="17"/>
      <c r="D1326" s="17"/>
    </row>
    <row r="1327" spans="2:4">
      <c r="B1327" s="16"/>
      <c r="C1327" s="17"/>
      <c r="D1327" s="17"/>
    </row>
    <row r="1328" spans="2:4">
      <c r="B1328" s="16"/>
      <c r="C1328" s="17"/>
      <c r="D1328" s="17"/>
    </row>
    <row r="1329" spans="2:4">
      <c r="B1329" s="16"/>
      <c r="C1329" s="17"/>
      <c r="D1329" s="17"/>
    </row>
    <row r="1330" spans="2:4">
      <c r="B1330" s="16"/>
      <c r="C1330" s="17"/>
      <c r="D1330" s="17"/>
    </row>
    <row r="1331" spans="2:4">
      <c r="B1331" s="16"/>
      <c r="C1331" s="17"/>
      <c r="D1331" s="17"/>
    </row>
    <row r="1332" spans="2:4">
      <c r="B1332" s="16"/>
      <c r="C1332" s="17"/>
      <c r="D1332" s="17"/>
    </row>
    <row r="1333" spans="2:4">
      <c r="B1333" s="16"/>
      <c r="C1333" s="17"/>
      <c r="D1333" s="17"/>
    </row>
    <row r="1334" spans="2:4">
      <c r="B1334" s="16"/>
      <c r="C1334" s="17"/>
      <c r="D1334" s="17"/>
    </row>
    <row r="1335" spans="2:4">
      <c r="B1335" s="16"/>
      <c r="C1335" s="17"/>
      <c r="D1335" s="17"/>
    </row>
    <row r="1336" spans="2:4">
      <c r="B1336" s="16"/>
      <c r="C1336" s="17"/>
      <c r="D1336" s="17"/>
    </row>
    <row r="1337" spans="2:4">
      <c r="B1337" s="16"/>
      <c r="C1337" s="17"/>
      <c r="D1337" s="17"/>
    </row>
    <row r="1338" spans="2:4">
      <c r="B1338" s="16"/>
      <c r="C1338" s="17"/>
      <c r="D1338" s="17"/>
    </row>
    <row r="1339" spans="2:4">
      <c r="B1339" s="16"/>
      <c r="C1339" s="17"/>
      <c r="D1339" s="17"/>
    </row>
    <row r="1340" spans="2:4">
      <c r="B1340" s="16"/>
      <c r="C1340" s="17"/>
      <c r="D1340" s="17"/>
    </row>
    <row r="1341" spans="2:4">
      <c r="B1341" s="16"/>
      <c r="C1341" s="17"/>
      <c r="D1341" s="17"/>
    </row>
    <row r="1342" spans="2:4">
      <c r="B1342" s="16"/>
      <c r="C1342" s="17"/>
      <c r="D1342" s="17"/>
    </row>
    <row r="1343" spans="2:4">
      <c r="B1343" s="16"/>
      <c r="C1343" s="17"/>
      <c r="D1343" s="17"/>
    </row>
    <row r="1344" spans="2:4">
      <c r="B1344" s="16"/>
      <c r="C1344" s="17"/>
      <c r="D1344" s="17"/>
    </row>
    <row r="1345" spans="2:4">
      <c r="B1345" s="16"/>
      <c r="C1345" s="17"/>
      <c r="D1345" s="17"/>
    </row>
    <row r="1346" spans="2:4">
      <c r="B1346" s="16"/>
      <c r="C1346" s="17"/>
      <c r="D1346" s="17"/>
    </row>
    <row r="1347" spans="2:4">
      <c r="B1347" s="16"/>
      <c r="C1347" s="17"/>
      <c r="D1347" s="17"/>
    </row>
    <row r="1348" spans="2:4">
      <c r="B1348" s="16"/>
      <c r="C1348" s="17"/>
      <c r="D1348" s="17"/>
    </row>
    <row r="1349" spans="2:4">
      <c r="B1349" s="16"/>
      <c r="C1349" s="17"/>
      <c r="D1349" s="17"/>
    </row>
    <row r="1350" spans="2:4">
      <c r="B1350" s="16"/>
      <c r="C1350" s="17"/>
      <c r="D1350" s="17"/>
    </row>
    <row r="1351" spans="2:4">
      <c r="B1351" s="16"/>
      <c r="C1351" s="17"/>
      <c r="D1351" s="17"/>
    </row>
    <row r="1352" spans="2:4">
      <c r="B1352" s="16"/>
      <c r="C1352" s="17"/>
      <c r="D1352" s="17"/>
    </row>
    <row r="1353" spans="2:4">
      <c r="B1353" s="16"/>
      <c r="C1353" s="17"/>
      <c r="D1353" s="17"/>
    </row>
    <row r="1354" spans="2:4">
      <c r="B1354" s="16"/>
      <c r="C1354" s="17"/>
      <c r="D1354" s="17"/>
    </row>
    <row r="1355" spans="2:4">
      <c r="B1355" s="16"/>
      <c r="C1355" s="17"/>
      <c r="D1355" s="17"/>
    </row>
    <row r="1356" spans="2:4">
      <c r="B1356" s="16"/>
      <c r="C1356" s="17"/>
      <c r="D1356" s="17"/>
    </row>
    <row r="1357" spans="2:4">
      <c r="B1357" s="16"/>
      <c r="C1357" s="17"/>
      <c r="D1357" s="17"/>
    </row>
    <row r="1358" spans="2:4">
      <c r="B1358" s="16"/>
      <c r="C1358" s="17"/>
      <c r="D1358" s="17"/>
    </row>
    <row r="1359" spans="2:4">
      <c r="B1359" s="16"/>
      <c r="C1359" s="17"/>
      <c r="D1359" s="17"/>
    </row>
    <row r="1360" spans="2:4">
      <c r="B1360" s="16"/>
      <c r="C1360" s="17"/>
      <c r="D1360" s="17"/>
    </row>
    <row r="1361" spans="2:4">
      <c r="B1361" s="16"/>
      <c r="C1361" s="17"/>
      <c r="D1361" s="17"/>
    </row>
    <row r="1362" spans="2:4">
      <c r="B1362" s="16"/>
      <c r="C1362" s="17"/>
      <c r="D1362" s="17"/>
    </row>
    <row r="1363" spans="2:4">
      <c r="B1363" s="16"/>
      <c r="C1363" s="17"/>
      <c r="D1363" s="17"/>
    </row>
    <row r="1364" spans="2:4">
      <c r="B1364" s="16"/>
      <c r="C1364" s="17"/>
      <c r="D1364" s="17"/>
    </row>
    <row r="1365" spans="2:4">
      <c r="B1365" s="16"/>
      <c r="C1365" s="17"/>
      <c r="D1365" s="17"/>
    </row>
    <row r="1366" spans="2:4">
      <c r="B1366" s="16"/>
      <c r="C1366" s="17"/>
      <c r="D1366" s="17"/>
    </row>
    <row r="1367" spans="2:4">
      <c r="B1367" s="16"/>
      <c r="C1367" s="17"/>
      <c r="D1367" s="17"/>
    </row>
    <row r="1368" spans="2:4">
      <c r="B1368" s="16"/>
      <c r="C1368" s="17"/>
      <c r="D1368" s="17"/>
    </row>
    <row r="1369" spans="2:4">
      <c r="B1369" s="16"/>
      <c r="C1369" s="17"/>
      <c r="D1369" s="17"/>
    </row>
    <row r="1370" spans="2:4">
      <c r="B1370" s="16"/>
      <c r="C1370" s="17"/>
      <c r="D1370" s="17"/>
    </row>
    <row r="1371" spans="2:4">
      <c r="B1371" s="16"/>
      <c r="C1371" s="17"/>
      <c r="D1371" s="17"/>
    </row>
    <row r="1372" spans="2:4">
      <c r="B1372" s="16"/>
      <c r="C1372" s="17"/>
      <c r="D1372" s="17"/>
    </row>
    <row r="1373" spans="2:4">
      <c r="B1373" s="16"/>
      <c r="C1373" s="17"/>
      <c r="D1373" s="17"/>
    </row>
    <row r="1374" spans="2:4">
      <c r="B1374" s="16"/>
      <c r="C1374" s="17"/>
      <c r="D1374" s="17"/>
    </row>
    <row r="1375" spans="2:4">
      <c r="B1375" s="16"/>
      <c r="C1375" s="17"/>
      <c r="D1375" s="17"/>
    </row>
    <row r="1376" spans="2:4">
      <c r="B1376" s="16"/>
      <c r="C1376" s="17"/>
      <c r="D1376" s="17"/>
    </row>
    <row r="1377" spans="2:4">
      <c r="B1377" s="16"/>
      <c r="C1377" s="17"/>
      <c r="D1377" s="17"/>
    </row>
    <row r="1378" spans="2:4">
      <c r="B1378" s="16"/>
      <c r="C1378" s="17"/>
      <c r="D1378" s="17"/>
    </row>
    <row r="1379" spans="2:4">
      <c r="B1379" s="16"/>
      <c r="C1379" s="17"/>
      <c r="D1379" s="17"/>
    </row>
    <row r="1380" spans="2:4">
      <c r="B1380" s="16"/>
      <c r="C1380" s="17"/>
      <c r="D1380" s="17"/>
    </row>
    <row r="1381" spans="2:4">
      <c r="B1381" s="16"/>
      <c r="C1381" s="17"/>
      <c r="D1381" s="17"/>
    </row>
    <row r="1382" spans="2:4">
      <c r="B1382" s="16"/>
      <c r="C1382" s="17"/>
      <c r="D1382" s="17"/>
    </row>
    <row r="1383" spans="2:4">
      <c r="B1383" s="16"/>
      <c r="C1383" s="17"/>
      <c r="D1383" s="17"/>
    </row>
    <row r="1384" spans="2:4">
      <c r="B1384" s="16"/>
      <c r="C1384" s="17"/>
      <c r="D1384" s="17"/>
    </row>
    <row r="1385" spans="2:4">
      <c r="B1385" s="16"/>
      <c r="C1385" s="17"/>
      <c r="D1385" s="17"/>
    </row>
    <row r="1386" spans="2:4">
      <c r="B1386" s="16"/>
      <c r="C1386" s="17"/>
      <c r="D1386" s="17"/>
    </row>
    <row r="1387" spans="2:4">
      <c r="B1387" s="16"/>
      <c r="C1387" s="17"/>
      <c r="D1387" s="17"/>
    </row>
    <row r="1388" spans="2:4">
      <c r="B1388" s="16"/>
      <c r="C1388" s="17"/>
      <c r="D1388" s="17"/>
    </row>
    <row r="1389" spans="2:4">
      <c r="B1389" s="16"/>
      <c r="C1389" s="17"/>
      <c r="D1389" s="17"/>
    </row>
    <row r="1390" spans="2:4">
      <c r="B1390" s="16"/>
      <c r="C1390" s="17"/>
      <c r="D1390" s="17"/>
    </row>
    <row r="1391" spans="2:4">
      <c r="B1391" s="16"/>
      <c r="C1391" s="17"/>
      <c r="D1391" s="17"/>
    </row>
    <row r="1392" spans="2:4">
      <c r="B1392" s="16"/>
      <c r="C1392" s="17"/>
      <c r="D1392" s="17"/>
    </row>
    <row r="1393" spans="2:4">
      <c r="B1393" s="16"/>
      <c r="C1393" s="17"/>
      <c r="D1393" s="17"/>
    </row>
    <row r="1394" spans="2:4">
      <c r="B1394" s="16"/>
      <c r="C1394" s="17"/>
      <c r="D1394" s="17"/>
    </row>
    <row r="1395" spans="2:4">
      <c r="B1395" s="16"/>
      <c r="C1395" s="17"/>
      <c r="D1395" s="17"/>
    </row>
    <row r="1396" spans="2:4">
      <c r="B1396" s="16"/>
      <c r="C1396" s="17"/>
      <c r="D1396" s="17"/>
    </row>
    <row r="1397" spans="2:4">
      <c r="B1397" s="16"/>
      <c r="C1397" s="17"/>
      <c r="D1397" s="17"/>
    </row>
    <row r="1398" spans="2:4">
      <c r="B1398" s="16"/>
      <c r="C1398" s="17"/>
      <c r="D1398" s="17"/>
    </row>
    <row r="1399" spans="2:4">
      <c r="B1399" s="16"/>
      <c r="C1399" s="17"/>
      <c r="D1399" s="17"/>
    </row>
    <row r="1400" spans="2:4">
      <c r="B1400" s="16"/>
      <c r="C1400" s="17"/>
      <c r="D1400" s="17"/>
    </row>
    <row r="1401" spans="2:4">
      <c r="B1401" s="16"/>
      <c r="C1401" s="17"/>
      <c r="D1401" s="17"/>
    </row>
    <row r="1402" spans="2:4">
      <c r="B1402" s="16"/>
      <c r="C1402" s="17"/>
      <c r="D1402" s="17"/>
    </row>
    <row r="1403" spans="2:4">
      <c r="B1403" s="16"/>
      <c r="C1403" s="17"/>
      <c r="D1403" s="17"/>
    </row>
    <row r="1404" spans="2:4">
      <c r="B1404" s="16"/>
      <c r="C1404" s="17"/>
      <c r="D1404" s="17"/>
    </row>
    <row r="1405" spans="2:4">
      <c r="B1405" s="16"/>
      <c r="C1405" s="17"/>
      <c r="D1405" s="17"/>
    </row>
    <row r="1406" spans="2:4">
      <c r="B1406" s="16"/>
      <c r="C1406" s="17"/>
      <c r="D1406" s="17"/>
    </row>
    <row r="1407" spans="2:4">
      <c r="B1407" s="16"/>
      <c r="C1407" s="17"/>
      <c r="D1407" s="17"/>
    </row>
    <row r="1408" spans="2:4">
      <c r="B1408" s="16"/>
      <c r="C1408" s="17"/>
      <c r="D1408" s="17"/>
    </row>
    <row r="1409" spans="2:4">
      <c r="B1409" s="16"/>
      <c r="C1409" s="17"/>
      <c r="D1409" s="17"/>
    </row>
    <row r="1410" spans="2:4">
      <c r="B1410" s="16"/>
      <c r="C1410" s="17"/>
      <c r="D1410" s="17"/>
    </row>
    <row r="1411" spans="2:4">
      <c r="B1411" s="16"/>
      <c r="C1411" s="17"/>
      <c r="D1411" s="17"/>
    </row>
    <row r="1412" spans="2:4">
      <c r="B1412" s="16"/>
      <c r="C1412" s="17"/>
      <c r="D1412" s="17"/>
    </row>
    <row r="1413" spans="2:4">
      <c r="B1413" s="16"/>
      <c r="C1413" s="17"/>
      <c r="D1413" s="17"/>
    </row>
    <row r="1414" spans="2:4">
      <c r="B1414" s="16"/>
      <c r="C1414" s="17"/>
      <c r="D1414" s="17"/>
    </row>
    <row r="1415" spans="2:4">
      <c r="B1415" s="16"/>
      <c r="C1415" s="17"/>
      <c r="D1415" s="17"/>
    </row>
    <row r="1416" spans="2:4">
      <c r="B1416" s="16"/>
      <c r="C1416" s="17"/>
      <c r="D1416" s="17"/>
    </row>
    <row r="1417" spans="2:4">
      <c r="B1417" s="16"/>
      <c r="C1417" s="17"/>
      <c r="D1417" s="17"/>
    </row>
    <row r="1418" spans="2:4">
      <c r="B1418" s="16"/>
      <c r="C1418" s="17"/>
      <c r="D1418" s="17"/>
    </row>
    <row r="1419" spans="2:4">
      <c r="B1419" s="16"/>
      <c r="C1419" s="17"/>
      <c r="D1419" s="17"/>
    </row>
    <row r="1420" spans="2:4">
      <c r="B1420" s="16"/>
      <c r="C1420" s="17"/>
      <c r="D1420" s="17"/>
    </row>
    <row r="1421" spans="2:4">
      <c r="B1421" s="16"/>
      <c r="C1421" s="17"/>
      <c r="D1421" s="17"/>
    </row>
    <row r="1422" spans="2:4">
      <c r="B1422" s="16"/>
      <c r="C1422" s="17"/>
      <c r="D1422" s="17"/>
    </row>
    <row r="1423" spans="2:4">
      <c r="B1423" s="16"/>
      <c r="C1423" s="17"/>
      <c r="D1423" s="17"/>
    </row>
    <row r="1424" spans="2:4">
      <c r="B1424" s="16"/>
      <c r="C1424" s="17"/>
      <c r="D1424" s="17"/>
    </row>
    <row r="1425" spans="2:4">
      <c r="B1425" s="16"/>
      <c r="C1425" s="17"/>
      <c r="D1425" s="17"/>
    </row>
    <row r="1426" spans="2:4">
      <c r="B1426" s="16"/>
      <c r="C1426" s="17"/>
      <c r="D1426" s="17"/>
    </row>
    <row r="1427" spans="2:4">
      <c r="B1427" s="16"/>
      <c r="C1427" s="17"/>
      <c r="D1427" s="17"/>
    </row>
    <row r="1428" spans="2:4">
      <c r="B1428" s="16"/>
      <c r="C1428" s="17"/>
      <c r="D1428" s="17"/>
    </row>
    <row r="1429" spans="2:4">
      <c r="B1429" s="16"/>
      <c r="C1429" s="17"/>
      <c r="D1429" s="17"/>
    </row>
    <row r="1430" spans="2:4">
      <c r="B1430" s="16"/>
      <c r="C1430" s="17"/>
      <c r="D1430" s="17"/>
    </row>
    <row r="1431" spans="2:4">
      <c r="B1431" s="16"/>
      <c r="C1431" s="17"/>
      <c r="D1431" s="17"/>
    </row>
    <row r="1432" spans="2:4">
      <c r="B1432" s="16"/>
      <c r="C1432" s="17"/>
      <c r="D1432" s="17"/>
    </row>
    <row r="1433" spans="2:4">
      <c r="B1433" s="16"/>
      <c r="C1433" s="17"/>
      <c r="D1433" s="17"/>
    </row>
    <row r="1434" spans="2:4">
      <c r="B1434" s="16"/>
      <c r="C1434" s="17"/>
      <c r="D1434" s="17"/>
    </row>
    <row r="1435" spans="2:4">
      <c r="B1435" s="16"/>
      <c r="C1435" s="17"/>
      <c r="D1435" s="17"/>
    </row>
    <row r="1436" spans="2:4">
      <c r="B1436" s="16"/>
      <c r="C1436" s="17"/>
      <c r="D1436" s="17"/>
    </row>
    <row r="1437" spans="2:4">
      <c r="B1437" s="16"/>
      <c r="C1437" s="17"/>
      <c r="D1437" s="17"/>
    </row>
    <row r="1438" spans="2:4">
      <c r="B1438" s="16"/>
      <c r="C1438" s="17"/>
      <c r="D1438" s="17"/>
    </row>
    <row r="1439" spans="2:4">
      <c r="B1439" s="16"/>
      <c r="C1439" s="17"/>
      <c r="D1439" s="17"/>
    </row>
    <row r="1440" spans="2:4">
      <c r="B1440" s="16"/>
      <c r="C1440" s="17"/>
      <c r="D1440" s="17"/>
    </row>
    <row r="1441" spans="2:4">
      <c r="B1441" s="16"/>
      <c r="C1441" s="17"/>
      <c r="D1441" s="17"/>
    </row>
    <row r="1442" spans="2:4">
      <c r="B1442" s="16"/>
      <c r="C1442" s="17"/>
      <c r="D1442" s="17"/>
    </row>
    <row r="1443" spans="2:4">
      <c r="B1443" s="16"/>
      <c r="C1443" s="17"/>
      <c r="D1443" s="17"/>
    </row>
    <row r="1444" spans="2:4">
      <c r="B1444" s="16"/>
      <c r="C1444" s="17"/>
      <c r="D1444" s="17"/>
    </row>
    <row r="1445" spans="2:4">
      <c r="B1445" s="16"/>
      <c r="C1445" s="17"/>
      <c r="D1445" s="17"/>
    </row>
    <row r="1446" spans="2:4">
      <c r="B1446" s="16"/>
      <c r="C1446" s="17"/>
      <c r="D1446" s="17"/>
    </row>
    <row r="1447" spans="2:4">
      <c r="B1447" s="16"/>
      <c r="C1447" s="17"/>
      <c r="D1447" s="17"/>
    </row>
    <row r="1448" spans="2:4">
      <c r="B1448" s="16"/>
      <c r="C1448" s="17"/>
      <c r="D1448" s="17"/>
    </row>
    <row r="1449" spans="2:4">
      <c r="B1449" s="16"/>
      <c r="C1449" s="17"/>
      <c r="D1449" s="17"/>
    </row>
    <row r="1450" spans="2:4">
      <c r="B1450" s="16"/>
      <c r="C1450" s="17"/>
      <c r="D1450" s="17"/>
    </row>
    <row r="1451" spans="2:4">
      <c r="B1451" s="16"/>
      <c r="C1451" s="17"/>
      <c r="D1451" s="17"/>
    </row>
    <row r="1452" spans="2:4">
      <c r="B1452" s="16"/>
      <c r="C1452" s="17"/>
      <c r="D1452" s="17"/>
    </row>
    <row r="1453" spans="2:4">
      <c r="B1453" s="16"/>
      <c r="C1453" s="17"/>
      <c r="D1453" s="17"/>
    </row>
    <row r="1454" spans="2:4">
      <c r="B1454" s="16"/>
      <c r="C1454" s="17"/>
      <c r="D1454" s="17"/>
    </row>
    <row r="1455" spans="2:4">
      <c r="B1455" s="16"/>
      <c r="C1455" s="17"/>
      <c r="D1455" s="17"/>
    </row>
    <row r="1456" spans="2:4">
      <c r="B1456" s="16"/>
      <c r="C1456" s="17"/>
      <c r="D1456" s="17"/>
    </row>
    <row r="1457" spans="2:4">
      <c r="B1457" s="16"/>
      <c r="C1457" s="17"/>
      <c r="D1457" s="17"/>
    </row>
    <row r="1458" spans="2:4">
      <c r="B1458" s="16"/>
      <c r="C1458" s="17"/>
      <c r="D1458" s="17"/>
    </row>
    <row r="1459" spans="2:4">
      <c r="B1459" s="16"/>
      <c r="C1459" s="17"/>
      <c r="D1459" s="17"/>
    </row>
    <row r="1460" spans="2:4">
      <c r="B1460" s="16"/>
      <c r="C1460" s="17"/>
      <c r="D1460" s="17"/>
    </row>
    <row r="1461" spans="2:4">
      <c r="B1461" s="16"/>
      <c r="C1461" s="17"/>
      <c r="D1461" s="17"/>
    </row>
    <row r="1462" spans="2:4">
      <c r="B1462" s="16"/>
      <c r="C1462" s="17"/>
      <c r="D1462" s="17"/>
    </row>
    <row r="1463" spans="2:4">
      <c r="B1463" s="16"/>
      <c r="C1463" s="17"/>
      <c r="D1463" s="17"/>
    </row>
    <row r="1464" spans="2:4">
      <c r="B1464" s="16"/>
      <c r="C1464" s="17"/>
      <c r="D1464" s="17"/>
    </row>
    <row r="1465" spans="2:4">
      <c r="B1465" s="16"/>
      <c r="C1465" s="17"/>
      <c r="D1465" s="17"/>
    </row>
    <row r="1466" spans="2:4">
      <c r="B1466" s="16"/>
      <c r="C1466" s="17"/>
      <c r="D1466" s="17"/>
    </row>
    <row r="1467" spans="2:4">
      <c r="B1467" s="16"/>
      <c r="C1467" s="17"/>
      <c r="D1467" s="17"/>
    </row>
    <row r="1468" spans="2:4">
      <c r="B1468" s="16"/>
      <c r="C1468" s="17"/>
      <c r="D1468" s="17"/>
    </row>
    <row r="1469" spans="2:4">
      <c r="B1469" s="16"/>
      <c r="C1469" s="17"/>
      <c r="D1469" s="17"/>
    </row>
    <row r="1470" spans="2:4">
      <c r="B1470" s="16"/>
      <c r="C1470" s="17"/>
      <c r="D1470" s="17"/>
    </row>
    <row r="1471" spans="2:4">
      <c r="B1471" s="16"/>
      <c r="C1471" s="17"/>
      <c r="D1471" s="17"/>
    </row>
    <row r="1472" spans="2:4">
      <c r="B1472" s="16"/>
      <c r="C1472" s="17"/>
      <c r="D1472" s="17"/>
    </row>
    <row r="1473" spans="2:4">
      <c r="B1473" s="16"/>
      <c r="C1473" s="17"/>
      <c r="D1473" s="17"/>
    </row>
    <row r="1474" spans="2:4">
      <c r="B1474" s="16"/>
      <c r="C1474" s="17"/>
      <c r="D1474" s="17"/>
    </row>
    <row r="1475" spans="2:4">
      <c r="B1475" s="16"/>
      <c r="C1475" s="17"/>
      <c r="D1475" s="17"/>
    </row>
    <row r="1476" spans="2:4">
      <c r="B1476" s="16"/>
      <c r="C1476" s="17"/>
      <c r="D1476" s="17"/>
    </row>
    <row r="1477" spans="2:4">
      <c r="B1477" s="16"/>
      <c r="C1477" s="17"/>
      <c r="D1477" s="17"/>
    </row>
    <row r="1478" spans="2:4">
      <c r="B1478" s="16"/>
      <c r="C1478" s="17"/>
      <c r="D1478" s="17"/>
    </row>
    <row r="1479" spans="2:4">
      <c r="B1479" s="16"/>
      <c r="C1479" s="17"/>
      <c r="D1479" s="17"/>
    </row>
    <row r="1480" spans="2:4">
      <c r="B1480" s="16"/>
      <c r="C1480" s="17"/>
      <c r="D1480" s="17"/>
    </row>
    <row r="1481" spans="2:4">
      <c r="B1481" s="16"/>
      <c r="C1481" s="17"/>
      <c r="D1481" s="17"/>
    </row>
    <row r="1482" spans="2:4">
      <c r="B1482" s="16"/>
      <c r="C1482" s="17"/>
      <c r="D1482" s="17"/>
    </row>
    <row r="1483" spans="2:4">
      <c r="B1483" s="16"/>
      <c r="C1483" s="17"/>
      <c r="D1483" s="17"/>
    </row>
    <row r="1484" spans="2:4">
      <c r="B1484" s="16"/>
      <c r="C1484" s="17"/>
      <c r="D1484" s="17"/>
    </row>
    <row r="1485" spans="2:4">
      <c r="B1485" s="16"/>
      <c r="C1485" s="17"/>
      <c r="D1485" s="17"/>
    </row>
    <row r="1486" spans="2:4">
      <c r="B1486" s="16"/>
      <c r="C1486" s="17"/>
      <c r="D1486" s="17"/>
    </row>
    <row r="1487" spans="2:4">
      <c r="B1487" s="16"/>
      <c r="C1487" s="17"/>
      <c r="D1487" s="17"/>
    </row>
    <row r="1488" spans="2:4">
      <c r="B1488" s="16"/>
      <c r="C1488" s="17"/>
      <c r="D1488" s="17"/>
    </row>
    <row r="1489" spans="2:4">
      <c r="B1489" s="16"/>
      <c r="C1489" s="17"/>
      <c r="D1489" s="17"/>
    </row>
    <row r="1490" spans="2:4">
      <c r="B1490" s="16"/>
      <c r="C1490" s="17"/>
      <c r="D1490" s="17"/>
    </row>
    <row r="1491" spans="2:4">
      <c r="B1491" s="16"/>
      <c r="C1491" s="17"/>
      <c r="D1491" s="17"/>
    </row>
    <row r="1492" spans="2:4">
      <c r="B1492" s="16"/>
      <c r="C1492" s="17"/>
      <c r="D1492" s="17"/>
    </row>
    <row r="1493" spans="2:4">
      <c r="B1493" s="16"/>
      <c r="C1493" s="17"/>
      <c r="D1493" s="17"/>
    </row>
    <row r="1494" spans="2:4">
      <c r="B1494" s="16"/>
      <c r="C1494" s="17"/>
      <c r="D1494" s="17"/>
    </row>
    <row r="1495" spans="2:4">
      <c r="B1495" s="16"/>
      <c r="C1495" s="17"/>
      <c r="D1495" s="17"/>
    </row>
    <row r="1496" spans="2:4">
      <c r="B1496" s="16"/>
      <c r="C1496" s="17"/>
      <c r="D1496" s="17"/>
    </row>
    <row r="1497" spans="2:4">
      <c r="B1497" s="16"/>
      <c r="C1497" s="17"/>
      <c r="D1497" s="17"/>
    </row>
    <row r="1498" spans="2:4">
      <c r="B1498" s="16"/>
      <c r="C1498" s="17"/>
      <c r="D1498" s="17"/>
    </row>
    <row r="1499" spans="2:4">
      <c r="B1499" s="16"/>
      <c r="C1499" s="17"/>
      <c r="D1499" s="17"/>
    </row>
    <row r="1500" spans="2:4">
      <c r="B1500" s="16"/>
      <c r="C1500" s="17"/>
      <c r="D1500" s="17"/>
    </row>
    <row r="1501" spans="2:4">
      <c r="B1501" s="16"/>
      <c r="C1501" s="17"/>
      <c r="D1501" s="17"/>
    </row>
    <row r="1502" spans="2:4">
      <c r="B1502" s="16"/>
      <c r="C1502" s="17"/>
      <c r="D1502" s="17"/>
    </row>
    <row r="1503" spans="2:4">
      <c r="B1503" s="16"/>
      <c r="C1503" s="17"/>
      <c r="D1503" s="17"/>
    </row>
    <row r="1504" spans="2:4">
      <c r="B1504" s="16"/>
      <c r="C1504" s="17"/>
      <c r="D1504" s="17"/>
    </row>
    <row r="1505" spans="2:4">
      <c r="B1505" s="16"/>
      <c r="C1505" s="17"/>
      <c r="D1505" s="17"/>
    </row>
    <row r="1506" spans="2:4">
      <c r="B1506" s="16"/>
      <c r="C1506" s="17"/>
      <c r="D1506" s="17"/>
    </row>
    <row r="1507" spans="2:4">
      <c r="B1507" s="16"/>
      <c r="C1507" s="17"/>
      <c r="D1507" s="17"/>
    </row>
    <row r="1508" spans="2:4">
      <c r="B1508" s="16"/>
      <c r="C1508" s="17"/>
      <c r="D1508" s="17"/>
    </row>
    <row r="1509" spans="2:4">
      <c r="B1509" s="16"/>
      <c r="C1509" s="17"/>
      <c r="D1509" s="17"/>
    </row>
    <row r="1510" spans="2:4">
      <c r="B1510" s="16"/>
      <c r="C1510" s="17"/>
      <c r="D1510" s="17"/>
    </row>
    <row r="1511" spans="2:4">
      <c r="B1511" s="16"/>
      <c r="C1511" s="17"/>
      <c r="D1511" s="17"/>
    </row>
    <row r="1512" spans="2:4">
      <c r="B1512" s="16"/>
      <c r="C1512" s="17"/>
      <c r="D1512" s="17"/>
    </row>
    <row r="1513" spans="2:4">
      <c r="B1513" s="16"/>
      <c r="C1513" s="17"/>
      <c r="D1513" s="17"/>
    </row>
    <row r="1514" spans="2:4">
      <c r="B1514" s="16"/>
      <c r="C1514" s="17"/>
      <c r="D1514" s="17"/>
    </row>
    <row r="1515" spans="2:4">
      <c r="B1515" s="16"/>
      <c r="C1515" s="17"/>
      <c r="D1515" s="17"/>
    </row>
    <row r="1516" spans="2:4">
      <c r="B1516" s="16"/>
      <c r="C1516" s="17"/>
      <c r="D1516" s="17"/>
    </row>
    <row r="1517" spans="2:4">
      <c r="B1517" s="16"/>
      <c r="C1517" s="17"/>
      <c r="D1517" s="17"/>
    </row>
    <row r="1518" spans="2:4">
      <c r="B1518" s="16"/>
      <c r="C1518" s="17"/>
      <c r="D1518" s="17"/>
    </row>
    <row r="1519" spans="2:4">
      <c r="B1519" s="16"/>
      <c r="C1519" s="17"/>
      <c r="D1519" s="17"/>
    </row>
    <row r="1520" spans="2:4">
      <c r="B1520" s="16"/>
      <c r="C1520" s="17"/>
      <c r="D1520" s="17"/>
    </row>
    <row r="1521" spans="2:4">
      <c r="B1521" s="16"/>
      <c r="C1521" s="17"/>
      <c r="D1521" s="17"/>
    </row>
    <row r="1522" spans="2:4">
      <c r="B1522" s="16"/>
      <c r="C1522" s="17"/>
      <c r="D1522" s="17"/>
    </row>
    <row r="1523" spans="2:4">
      <c r="B1523" s="16"/>
      <c r="C1523" s="17"/>
      <c r="D1523" s="17"/>
    </row>
    <row r="1524" spans="2:4">
      <c r="B1524" s="16"/>
      <c r="C1524" s="17"/>
      <c r="D1524" s="17"/>
    </row>
    <row r="1525" spans="2:4">
      <c r="B1525" s="16"/>
      <c r="C1525" s="17"/>
      <c r="D1525" s="17"/>
    </row>
    <row r="1526" spans="2:4">
      <c r="B1526" s="16"/>
      <c r="C1526" s="17"/>
      <c r="D1526" s="17"/>
    </row>
    <row r="1527" spans="2:4">
      <c r="B1527" s="16"/>
      <c r="C1527" s="17"/>
      <c r="D1527" s="17"/>
    </row>
    <row r="1528" spans="2:4">
      <c r="B1528" s="16"/>
      <c r="C1528" s="17"/>
      <c r="D1528" s="17"/>
    </row>
    <row r="1529" spans="2:4">
      <c r="B1529" s="16"/>
      <c r="C1529" s="17"/>
      <c r="D1529" s="17"/>
    </row>
    <row r="1530" spans="2:4">
      <c r="B1530" s="16"/>
      <c r="C1530" s="17"/>
      <c r="D1530" s="17"/>
    </row>
    <row r="1531" spans="2:4">
      <c r="B1531" s="16"/>
      <c r="C1531" s="17"/>
      <c r="D1531" s="17"/>
    </row>
    <row r="1532" spans="2:4">
      <c r="B1532" s="16"/>
      <c r="C1532" s="17"/>
      <c r="D1532" s="17"/>
    </row>
    <row r="1533" spans="2:4">
      <c r="B1533" s="16"/>
      <c r="C1533" s="17"/>
      <c r="D1533" s="17"/>
    </row>
    <row r="1534" spans="2:4">
      <c r="B1534" s="16"/>
      <c r="C1534" s="17"/>
      <c r="D1534" s="17"/>
    </row>
    <row r="1535" spans="2:4">
      <c r="B1535" s="16"/>
      <c r="C1535" s="17"/>
      <c r="D1535" s="17"/>
    </row>
    <row r="1536" spans="2:4">
      <c r="B1536" s="16"/>
      <c r="C1536" s="17"/>
      <c r="D1536" s="17"/>
    </row>
    <row r="1537" spans="2:4">
      <c r="B1537" s="16"/>
      <c r="C1537" s="17"/>
      <c r="D1537" s="17"/>
    </row>
    <row r="1538" spans="2:4">
      <c r="B1538" s="16"/>
      <c r="C1538" s="17"/>
      <c r="D1538" s="17"/>
    </row>
    <row r="1539" spans="2:4">
      <c r="B1539" s="16"/>
      <c r="C1539" s="17"/>
      <c r="D1539" s="17"/>
    </row>
    <row r="1540" spans="2:4">
      <c r="B1540" s="16"/>
      <c r="C1540" s="17"/>
      <c r="D1540" s="17"/>
    </row>
    <row r="1541" spans="2:4">
      <c r="B1541" s="16"/>
      <c r="C1541" s="17"/>
      <c r="D1541" s="17"/>
    </row>
    <row r="1542" spans="2:4">
      <c r="B1542" s="16"/>
      <c r="C1542" s="17"/>
      <c r="D1542" s="17"/>
    </row>
    <row r="1543" spans="2:4">
      <c r="B1543" s="16"/>
      <c r="C1543" s="17"/>
      <c r="D1543" s="17"/>
    </row>
    <row r="1544" spans="2:4">
      <c r="B1544" s="16"/>
      <c r="C1544" s="17"/>
      <c r="D1544" s="17"/>
    </row>
    <row r="1545" spans="2:4">
      <c r="B1545" s="16"/>
      <c r="C1545" s="17"/>
      <c r="D1545" s="17"/>
    </row>
    <row r="1546" spans="2:4">
      <c r="B1546" s="16"/>
      <c r="C1546" s="17"/>
      <c r="D1546" s="17"/>
    </row>
    <row r="1547" spans="2:4">
      <c r="B1547" s="16"/>
      <c r="C1547" s="17"/>
      <c r="D1547" s="17"/>
    </row>
    <row r="1548" spans="2:4">
      <c r="B1548" s="16"/>
      <c r="C1548" s="17"/>
      <c r="D1548" s="17"/>
    </row>
    <row r="1549" spans="2:4">
      <c r="B1549" s="16"/>
      <c r="C1549" s="17"/>
      <c r="D1549" s="17"/>
    </row>
    <row r="1550" spans="2:4">
      <c r="B1550" s="16"/>
      <c r="C1550" s="17"/>
      <c r="D1550" s="17"/>
    </row>
    <row r="1551" spans="2:4">
      <c r="B1551" s="16"/>
      <c r="C1551" s="17"/>
      <c r="D1551" s="17"/>
    </row>
    <row r="1552" spans="2:4">
      <c r="B1552" s="16"/>
      <c r="C1552" s="17"/>
      <c r="D1552" s="17"/>
    </row>
    <row r="1553" spans="2:4">
      <c r="B1553" s="16"/>
      <c r="C1553" s="17"/>
      <c r="D1553" s="17"/>
    </row>
    <row r="1554" spans="2:4">
      <c r="B1554" s="16"/>
      <c r="C1554" s="17"/>
      <c r="D1554" s="17"/>
    </row>
    <row r="1555" spans="2:4">
      <c r="B1555" s="16"/>
      <c r="C1555" s="17"/>
      <c r="D1555" s="17"/>
    </row>
    <row r="1556" spans="2:4">
      <c r="B1556" s="16"/>
      <c r="C1556" s="17"/>
      <c r="D1556" s="17"/>
    </row>
    <row r="1557" spans="2:4">
      <c r="B1557" s="16"/>
      <c r="C1557" s="17"/>
      <c r="D1557" s="17"/>
    </row>
    <row r="1558" spans="2:4">
      <c r="B1558" s="16"/>
      <c r="C1558" s="17"/>
      <c r="D1558" s="17"/>
    </row>
    <row r="1559" spans="2:4">
      <c r="B1559" s="16"/>
      <c r="C1559" s="17"/>
      <c r="D1559" s="17"/>
    </row>
    <row r="1560" spans="2:4">
      <c r="B1560" s="16"/>
      <c r="C1560" s="17"/>
      <c r="D1560" s="17"/>
    </row>
    <row r="1561" spans="2:4">
      <c r="B1561" s="16"/>
      <c r="C1561" s="17"/>
      <c r="D1561" s="17"/>
    </row>
    <row r="1562" spans="2:4">
      <c r="B1562" s="16"/>
      <c r="C1562" s="17"/>
      <c r="D1562" s="17"/>
    </row>
    <row r="1563" spans="2:4">
      <c r="B1563" s="16"/>
      <c r="C1563" s="17"/>
      <c r="D1563" s="17"/>
    </row>
    <row r="1564" spans="2:4">
      <c r="B1564" s="16"/>
      <c r="C1564" s="17"/>
      <c r="D1564" s="17"/>
    </row>
    <row r="1565" spans="2:4">
      <c r="B1565" s="16"/>
      <c r="C1565" s="17"/>
      <c r="D1565" s="17"/>
    </row>
    <row r="1566" spans="2:4">
      <c r="B1566" s="16"/>
      <c r="C1566" s="17"/>
      <c r="D1566" s="17"/>
    </row>
    <row r="1567" spans="2:4">
      <c r="B1567" s="16"/>
      <c r="C1567" s="17"/>
      <c r="D1567" s="17"/>
    </row>
    <row r="1568" spans="2:4">
      <c r="B1568" s="16"/>
      <c r="C1568" s="17"/>
      <c r="D1568" s="17"/>
    </row>
    <row r="1569" spans="2:4">
      <c r="B1569" s="16"/>
      <c r="C1569" s="17"/>
      <c r="D1569" s="17"/>
    </row>
    <row r="1570" spans="2:4">
      <c r="B1570" s="16"/>
      <c r="C1570" s="17"/>
      <c r="D1570" s="17"/>
    </row>
    <row r="1571" spans="2:4">
      <c r="B1571" s="16"/>
      <c r="C1571" s="17"/>
      <c r="D1571" s="17"/>
    </row>
    <row r="1572" spans="2:4">
      <c r="B1572" s="16"/>
      <c r="C1572" s="17"/>
      <c r="D1572" s="17"/>
    </row>
    <row r="1573" spans="2:4">
      <c r="B1573" s="16"/>
      <c r="C1573" s="17"/>
      <c r="D1573" s="17"/>
    </row>
    <row r="1574" spans="2:4">
      <c r="B1574" s="16"/>
      <c r="C1574" s="17"/>
      <c r="D1574" s="17"/>
    </row>
    <row r="1575" spans="2:4">
      <c r="B1575" s="16"/>
      <c r="C1575" s="17"/>
      <c r="D1575" s="17"/>
    </row>
    <row r="1576" spans="2:4">
      <c r="B1576" s="16"/>
      <c r="C1576" s="17"/>
      <c r="D1576" s="17"/>
    </row>
    <row r="1577" spans="2:4">
      <c r="B1577" s="16"/>
      <c r="C1577" s="17"/>
      <c r="D1577" s="17"/>
    </row>
    <row r="1578" spans="2:4">
      <c r="B1578" s="16"/>
      <c r="C1578" s="17"/>
      <c r="D1578" s="17"/>
    </row>
    <row r="1579" spans="2:4">
      <c r="B1579" s="16"/>
      <c r="C1579" s="17"/>
      <c r="D1579" s="17"/>
    </row>
    <row r="1580" spans="2:4">
      <c r="B1580" s="16"/>
      <c r="C1580" s="17"/>
      <c r="D1580" s="17"/>
    </row>
    <row r="1581" spans="2:4">
      <c r="B1581" s="16"/>
      <c r="C1581" s="17"/>
      <c r="D1581" s="17"/>
    </row>
    <row r="1582" spans="2:4">
      <c r="B1582" s="16"/>
      <c r="C1582" s="17"/>
      <c r="D1582" s="17"/>
    </row>
    <row r="1583" spans="2:4">
      <c r="B1583" s="16"/>
      <c r="C1583" s="17"/>
      <c r="D1583" s="17"/>
    </row>
    <row r="1584" spans="2:4">
      <c r="B1584" s="16"/>
      <c r="C1584" s="17"/>
      <c r="D1584" s="17"/>
    </row>
    <row r="1585" spans="2:4">
      <c r="B1585" s="16"/>
      <c r="C1585" s="17"/>
      <c r="D1585" s="17"/>
    </row>
    <row r="1586" spans="2:4">
      <c r="B1586" s="16"/>
      <c r="C1586" s="17"/>
      <c r="D1586" s="17"/>
    </row>
    <row r="1587" spans="2:4">
      <c r="B1587" s="16"/>
      <c r="C1587" s="17"/>
      <c r="D1587" s="17"/>
    </row>
    <row r="1588" spans="2:4">
      <c r="B1588" s="16"/>
      <c r="C1588" s="17"/>
      <c r="D1588" s="17"/>
    </row>
    <row r="1589" spans="2:4">
      <c r="B1589" s="16"/>
      <c r="C1589" s="17"/>
      <c r="D1589" s="17"/>
    </row>
    <row r="1590" spans="2:4">
      <c r="B1590" s="16"/>
      <c r="C1590" s="17"/>
      <c r="D1590" s="17"/>
    </row>
    <row r="1591" spans="2:4">
      <c r="B1591" s="16"/>
      <c r="C1591" s="17"/>
      <c r="D1591" s="17"/>
    </row>
    <row r="1592" spans="2:4">
      <c r="B1592" s="16"/>
      <c r="C1592" s="17"/>
      <c r="D1592" s="17"/>
    </row>
    <row r="1593" spans="2:4">
      <c r="B1593" s="16"/>
      <c r="C1593" s="17"/>
      <c r="D1593" s="17"/>
    </row>
    <row r="1594" spans="2:4">
      <c r="B1594" s="16"/>
      <c r="C1594" s="17"/>
      <c r="D1594" s="17"/>
    </row>
    <row r="1595" spans="2:4">
      <c r="B1595" s="16"/>
      <c r="C1595" s="17"/>
      <c r="D1595" s="17"/>
    </row>
    <row r="1596" spans="2:4">
      <c r="B1596" s="16"/>
      <c r="C1596" s="17"/>
      <c r="D1596" s="17"/>
    </row>
    <row r="1597" spans="2:4">
      <c r="B1597" s="16"/>
      <c r="C1597" s="17"/>
      <c r="D1597" s="17"/>
    </row>
    <row r="1598" spans="2:4">
      <c r="B1598" s="16"/>
      <c r="C1598" s="17"/>
      <c r="D1598" s="17"/>
    </row>
    <row r="1599" spans="2:4">
      <c r="B1599" s="16"/>
      <c r="C1599" s="17"/>
      <c r="D1599" s="17"/>
    </row>
    <row r="1600" spans="2:4">
      <c r="B1600" s="16"/>
      <c r="C1600" s="17"/>
      <c r="D1600" s="17"/>
    </row>
    <row r="1601" spans="2:4">
      <c r="B1601" s="16"/>
      <c r="C1601" s="17"/>
      <c r="D1601" s="17"/>
    </row>
    <row r="1602" spans="2:4">
      <c r="B1602" s="16"/>
      <c r="C1602" s="17"/>
      <c r="D1602" s="17"/>
    </row>
    <row r="1603" spans="2:4">
      <c r="B1603" s="16"/>
      <c r="C1603" s="17"/>
      <c r="D1603" s="17"/>
    </row>
    <row r="1604" spans="2:4">
      <c r="B1604" s="16"/>
      <c r="C1604" s="17"/>
      <c r="D1604" s="17"/>
    </row>
    <row r="1605" spans="2:4">
      <c r="B1605" s="16"/>
      <c r="C1605" s="17"/>
      <c r="D1605" s="17"/>
    </row>
    <row r="1606" spans="2:4">
      <c r="B1606" s="16"/>
      <c r="C1606" s="17"/>
      <c r="D1606" s="17"/>
    </row>
    <row r="1607" spans="2:4">
      <c r="B1607" s="16"/>
      <c r="C1607" s="17"/>
      <c r="D1607" s="17"/>
    </row>
    <row r="1608" spans="2:4">
      <c r="B1608" s="16"/>
      <c r="C1608" s="17"/>
      <c r="D1608" s="17"/>
    </row>
    <row r="1609" spans="2:4">
      <c r="B1609" s="16"/>
      <c r="C1609" s="17"/>
      <c r="D1609" s="17"/>
    </row>
    <row r="1610" spans="2:4">
      <c r="B1610" s="16"/>
      <c r="C1610" s="17"/>
      <c r="D1610" s="17"/>
    </row>
    <row r="1611" spans="2:4">
      <c r="B1611" s="16"/>
      <c r="C1611" s="17"/>
      <c r="D1611" s="17"/>
    </row>
    <row r="1612" spans="2:4">
      <c r="B1612" s="16"/>
      <c r="C1612" s="17"/>
      <c r="D1612" s="17"/>
    </row>
    <row r="1613" spans="2:4">
      <c r="B1613" s="16"/>
      <c r="C1613" s="17"/>
      <c r="D1613" s="17"/>
    </row>
    <row r="1614" spans="2:4">
      <c r="B1614" s="16"/>
      <c r="C1614" s="17"/>
      <c r="D1614" s="17"/>
    </row>
    <row r="1615" spans="2:4">
      <c r="B1615" s="16"/>
      <c r="C1615" s="17"/>
      <c r="D1615" s="17"/>
    </row>
    <row r="1616" spans="2:4">
      <c r="B1616" s="16"/>
      <c r="C1616" s="17"/>
      <c r="D1616" s="17"/>
    </row>
    <row r="1617" spans="2:4">
      <c r="B1617" s="16"/>
      <c r="C1617" s="17"/>
      <c r="D1617" s="17"/>
    </row>
    <row r="1618" spans="2:4">
      <c r="B1618" s="16"/>
      <c r="C1618" s="17"/>
      <c r="D1618" s="17"/>
    </row>
    <row r="1619" spans="2:4">
      <c r="B1619" s="16"/>
      <c r="C1619" s="17"/>
      <c r="D1619" s="17"/>
    </row>
    <row r="1620" spans="2:4">
      <c r="B1620" s="16"/>
      <c r="C1620" s="17"/>
      <c r="D1620" s="17"/>
    </row>
    <row r="1621" spans="2:4">
      <c r="B1621" s="16"/>
      <c r="C1621" s="17"/>
      <c r="D1621" s="17"/>
    </row>
    <row r="1622" spans="2:4">
      <c r="B1622" s="16"/>
      <c r="C1622" s="17"/>
      <c r="D1622" s="17"/>
    </row>
    <row r="1623" spans="2:4">
      <c r="B1623" s="16"/>
      <c r="C1623" s="17"/>
      <c r="D1623" s="17"/>
    </row>
    <row r="1624" spans="2:4">
      <c r="B1624" s="16"/>
      <c r="C1624" s="17"/>
      <c r="D1624" s="17"/>
    </row>
    <row r="1625" spans="2:4">
      <c r="B1625" s="16"/>
      <c r="C1625" s="17"/>
      <c r="D1625" s="17"/>
    </row>
    <row r="1626" spans="2:4">
      <c r="B1626" s="16"/>
      <c r="C1626" s="17"/>
      <c r="D1626" s="17"/>
    </row>
    <row r="1627" spans="2:4">
      <c r="B1627" s="16"/>
      <c r="C1627" s="17"/>
      <c r="D1627" s="17"/>
    </row>
    <row r="1628" spans="2:4">
      <c r="B1628" s="16"/>
      <c r="C1628" s="17"/>
      <c r="D1628" s="17"/>
    </row>
    <row r="1629" spans="2:4">
      <c r="B1629" s="16"/>
      <c r="C1629" s="17"/>
      <c r="D1629" s="17"/>
    </row>
    <row r="1630" spans="2:4">
      <c r="B1630" s="16"/>
      <c r="C1630" s="17"/>
      <c r="D1630" s="17"/>
    </row>
    <row r="1631" spans="2:4">
      <c r="B1631" s="16"/>
      <c r="C1631" s="17"/>
      <c r="D1631" s="17"/>
    </row>
    <row r="1632" spans="2:4">
      <c r="B1632" s="16"/>
      <c r="C1632" s="17"/>
      <c r="D1632" s="17"/>
    </row>
    <row r="1633" spans="2:4">
      <c r="B1633" s="16"/>
      <c r="C1633" s="17"/>
      <c r="D1633" s="17"/>
    </row>
    <row r="1634" spans="2:4">
      <c r="B1634" s="16"/>
      <c r="C1634" s="17"/>
      <c r="D1634" s="17"/>
    </row>
    <row r="1635" spans="2:4">
      <c r="B1635" s="16"/>
      <c r="C1635" s="17"/>
      <c r="D1635" s="17"/>
    </row>
    <row r="1636" spans="2:4">
      <c r="B1636" s="16"/>
      <c r="C1636" s="17"/>
      <c r="D1636" s="17"/>
    </row>
    <row r="1637" spans="2:4">
      <c r="B1637" s="16"/>
      <c r="C1637" s="17"/>
      <c r="D1637" s="17"/>
    </row>
    <row r="1638" spans="2:4">
      <c r="B1638" s="16"/>
      <c r="C1638" s="17"/>
      <c r="D1638" s="17"/>
    </row>
    <row r="1639" spans="2:4">
      <c r="B1639" s="16"/>
      <c r="C1639" s="17"/>
      <c r="D1639" s="17"/>
    </row>
    <row r="1640" spans="2:4">
      <c r="B1640" s="16"/>
      <c r="C1640" s="17"/>
      <c r="D1640" s="17"/>
    </row>
    <row r="1641" spans="2:4">
      <c r="B1641" s="16"/>
      <c r="C1641" s="17"/>
      <c r="D1641" s="17"/>
    </row>
    <row r="1642" spans="2:4">
      <c r="B1642" s="16"/>
      <c r="C1642" s="17"/>
      <c r="D1642" s="17"/>
    </row>
    <row r="1643" spans="2:4">
      <c r="B1643" s="16"/>
      <c r="C1643" s="17"/>
      <c r="D1643" s="17"/>
    </row>
    <row r="1644" spans="2:4">
      <c r="B1644" s="16"/>
      <c r="C1644" s="17"/>
      <c r="D1644" s="17"/>
    </row>
    <row r="1645" spans="2:4">
      <c r="B1645" s="16"/>
      <c r="C1645" s="17"/>
      <c r="D1645" s="17"/>
    </row>
    <row r="1646" spans="2:4">
      <c r="B1646" s="16"/>
      <c r="C1646" s="17"/>
      <c r="D1646" s="17"/>
    </row>
    <row r="1647" spans="2:4">
      <c r="B1647" s="16"/>
      <c r="C1647" s="17"/>
      <c r="D1647" s="17"/>
    </row>
    <row r="1648" spans="2:4">
      <c r="B1648" s="16"/>
      <c r="C1648" s="17"/>
      <c r="D1648" s="17"/>
    </row>
    <row r="1649" spans="2:4">
      <c r="B1649" s="16"/>
      <c r="C1649" s="17"/>
      <c r="D1649" s="17"/>
    </row>
    <row r="1650" spans="2:4">
      <c r="B1650" s="16"/>
      <c r="C1650" s="17"/>
      <c r="D1650" s="17"/>
    </row>
    <row r="1651" spans="2:4">
      <c r="B1651" s="16"/>
      <c r="C1651" s="17"/>
      <c r="D1651" s="17"/>
    </row>
    <row r="1652" spans="2:4">
      <c r="B1652" s="16"/>
      <c r="C1652" s="17"/>
      <c r="D1652" s="17"/>
    </row>
    <row r="1653" spans="2:4">
      <c r="B1653" s="16"/>
      <c r="C1653" s="17"/>
      <c r="D1653" s="17"/>
    </row>
    <row r="1654" spans="2:4">
      <c r="B1654" s="16"/>
      <c r="C1654" s="17"/>
      <c r="D1654" s="17"/>
    </row>
    <row r="1655" spans="2:4">
      <c r="B1655" s="16"/>
      <c r="C1655" s="17"/>
      <c r="D1655" s="17"/>
    </row>
    <row r="1656" spans="2:4">
      <c r="B1656" s="16"/>
      <c r="C1656" s="17"/>
      <c r="D1656" s="17"/>
    </row>
    <row r="1657" spans="2:4">
      <c r="B1657" s="16"/>
      <c r="C1657" s="17"/>
      <c r="D1657" s="17"/>
    </row>
    <row r="1658" spans="2:4">
      <c r="B1658" s="16"/>
      <c r="C1658" s="17"/>
      <c r="D1658" s="17"/>
    </row>
    <row r="1659" spans="2:4">
      <c r="B1659" s="16"/>
      <c r="C1659" s="17"/>
      <c r="D1659" s="17"/>
    </row>
    <row r="1660" spans="2:4">
      <c r="B1660" s="16"/>
      <c r="C1660" s="17"/>
      <c r="D1660" s="17"/>
    </row>
    <row r="1661" spans="2:4">
      <c r="B1661" s="16"/>
      <c r="C1661" s="17"/>
      <c r="D1661" s="17"/>
    </row>
    <row r="1662" spans="2:4">
      <c r="B1662" s="16"/>
      <c r="C1662" s="17"/>
      <c r="D1662" s="17"/>
    </row>
    <row r="1663" spans="2:4">
      <c r="B1663" s="16"/>
      <c r="C1663" s="17"/>
      <c r="D1663" s="17"/>
    </row>
    <row r="1664" spans="2:4">
      <c r="B1664" s="16"/>
      <c r="C1664" s="17"/>
      <c r="D1664" s="17"/>
    </row>
    <row r="1665" spans="2:4">
      <c r="B1665" s="16"/>
      <c r="C1665" s="17"/>
      <c r="D1665" s="17"/>
    </row>
    <row r="1666" spans="2:4">
      <c r="B1666" s="16"/>
      <c r="C1666" s="17"/>
      <c r="D1666" s="17"/>
    </row>
    <row r="1667" spans="2:4">
      <c r="B1667" s="16"/>
      <c r="C1667" s="17"/>
      <c r="D1667" s="17"/>
    </row>
    <row r="1668" spans="2:4">
      <c r="B1668" s="16"/>
      <c r="C1668" s="17"/>
      <c r="D1668" s="17"/>
    </row>
    <row r="1669" spans="2:4">
      <c r="B1669" s="16"/>
      <c r="C1669" s="17"/>
      <c r="D1669" s="17"/>
    </row>
    <row r="1670" spans="2:4">
      <c r="B1670" s="16"/>
      <c r="C1670" s="17"/>
      <c r="D1670" s="17"/>
    </row>
    <row r="1671" spans="2:4">
      <c r="B1671" s="16"/>
      <c r="C1671" s="17"/>
      <c r="D1671" s="17"/>
    </row>
    <row r="1672" spans="2:4">
      <c r="B1672" s="16"/>
      <c r="C1672" s="17"/>
      <c r="D1672" s="17"/>
    </row>
    <row r="1673" spans="2:4">
      <c r="B1673" s="16"/>
      <c r="C1673" s="17"/>
      <c r="D1673" s="17"/>
    </row>
    <row r="1674" spans="2:4">
      <c r="B1674" s="16"/>
      <c r="C1674" s="17"/>
      <c r="D1674" s="17"/>
    </row>
    <row r="1675" spans="2:4">
      <c r="B1675" s="16"/>
      <c r="C1675" s="17"/>
      <c r="D1675" s="17"/>
    </row>
    <row r="1676" spans="2:4">
      <c r="B1676" s="16"/>
      <c r="C1676" s="17"/>
      <c r="D1676" s="17"/>
    </row>
    <row r="1677" spans="2:4">
      <c r="B1677" s="16"/>
      <c r="C1677" s="17"/>
      <c r="D1677" s="17"/>
    </row>
    <row r="1678" spans="2:4">
      <c r="B1678" s="16"/>
      <c r="C1678" s="17"/>
      <c r="D1678" s="17"/>
    </row>
    <row r="1679" spans="2:4">
      <c r="B1679" s="16"/>
      <c r="C1679" s="17"/>
      <c r="D1679" s="17"/>
    </row>
    <row r="1680" spans="2:4">
      <c r="B1680" s="16"/>
      <c r="C1680" s="17"/>
      <c r="D1680" s="17"/>
    </row>
    <row r="1681" spans="2:4">
      <c r="B1681" s="16"/>
      <c r="C1681" s="17"/>
      <c r="D1681" s="17"/>
    </row>
    <row r="1682" spans="2:4">
      <c r="B1682" s="16"/>
      <c r="C1682" s="17"/>
      <c r="D1682" s="17"/>
    </row>
    <row r="1683" spans="2:4">
      <c r="B1683" s="16"/>
      <c r="C1683" s="17"/>
      <c r="D1683" s="17"/>
    </row>
    <row r="1684" spans="2:4">
      <c r="B1684" s="16"/>
      <c r="C1684" s="17"/>
      <c r="D1684" s="17"/>
    </row>
    <row r="1685" spans="2:4">
      <c r="B1685" s="16"/>
      <c r="C1685" s="17"/>
      <c r="D1685" s="17"/>
    </row>
    <row r="1686" spans="2:4">
      <c r="B1686" s="16"/>
      <c r="C1686" s="17"/>
      <c r="D1686" s="17"/>
    </row>
    <row r="1687" spans="2:4">
      <c r="B1687" s="16"/>
      <c r="C1687" s="17"/>
      <c r="D1687" s="17"/>
    </row>
    <row r="1688" spans="2:4">
      <c r="B1688" s="16"/>
      <c r="C1688" s="17"/>
      <c r="D1688" s="17"/>
    </row>
    <row r="1689" spans="2:4">
      <c r="B1689" s="16"/>
      <c r="C1689" s="17"/>
      <c r="D1689" s="17"/>
    </row>
    <row r="1690" spans="2:4">
      <c r="B1690" s="16"/>
      <c r="C1690" s="17"/>
      <c r="D1690" s="17"/>
    </row>
    <row r="1691" spans="2:4">
      <c r="B1691" s="16"/>
      <c r="C1691" s="17"/>
      <c r="D1691" s="17"/>
    </row>
    <row r="1692" spans="2:4">
      <c r="B1692" s="16"/>
      <c r="C1692" s="17"/>
      <c r="D1692" s="17"/>
    </row>
    <row r="1693" spans="2:4">
      <c r="B1693" s="16"/>
      <c r="C1693" s="17"/>
      <c r="D1693" s="17"/>
    </row>
    <row r="1694" spans="2:4">
      <c r="B1694" s="16"/>
      <c r="C1694" s="17"/>
      <c r="D1694" s="17"/>
    </row>
    <row r="1695" spans="2:4">
      <c r="B1695" s="16"/>
      <c r="C1695" s="17"/>
      <c r="D1695" s="17"/>
    </row>
    <row r="1696" spans="2:4">
      <c r="B1696" s="16"/>
      <c r="C1696" s="17"/>
      <c r="D1696" s="17"/>
    </row>
    <row r="1697" spans="2:4">
      <c r="B1697" s="16"/>
      <c r="C1697" s="17"/>
      <c r="D1697" s="17"/>
    </row>
    <row r="1698" spans="2:4">
      <c r="B1698" s="16"/>
      <c r="C1698" s="17"/>
      <c r="D1698" s="17"/>
    </row>
    <row r="1699" spans="2:4">
      <c r="B1699" s="16"/>
      <c r="C1699" s="17"/>
      <c r="D1699" s="17"/>
    </row>
    <row r="1700" spans="2:4">
      <c r="B1700" s="16"/>
      <c r="C1700" s="17"/>
      <c r="D1700" s="17"/>
    </row>
    <row r="1701" spans="2:4">
      <c r="B1701" s="16"/>
      <c r="C1701" s="17"/>
      <c r="D1701" s="17"/>
    </row>
    <row r="1702" spans="2:4">
      <c r="B1702" s="16"/>
      <c r="C1702" s="17"/>
      <c r="D1702" s="17"/>
    </row>
    <row r="1703" spans="2:4">
      <c r="B1703" s="16"/>
      <c r="C1703" s="17"/>
      <c r="D1703" s="17"/>
    </row>
    <row r="1704" spans="2:4">
      <c r="B1704" s="16"/>
      <c r="C1704" s="17"/>
      <c r="D1704" s="17"/>
    </row>
    <row r="1705" spans="2:4">
      <c r="B1705" s="16"/>
      <c r="C1705" s="17"/>
      <c r="D1705" s="17"/>
    </row>
    <row r="1706" spans="2:4">
      <c r="B1706" s="16"/>
      <c r="C1706" s="17"/>
      <c r="D1706" s="17"/>
    </row>
    <row r="1707" spans="2:4">
      <c r="B1707" s="16"/>
      <c r="C1707" s="17"/>
      <c r="D1707" s="17"/>
    </row>
    <row r="1708" spans="2:4">
      <c r="B1708" s="16"/>
      <c r="C1708" s="17"/>
      <c r="D1708" s="17"/>
    </row>
    <row r="1709" spans="2:4">
      <c r="B1709" s="16"/>
      <c r="C1709" s="17"/>
      <c r="D1709" s="17"/>
    </row>
    <row r="1710" spans="2:4">
      <c r="B1710" s="16"/>
      <c r="C1710" s="17"/>
      <c r="D1710" s="17"/>
    </row>
    <row r="1711" spans="2:4">
      <c r="B1711" s="16"/>
      <c r="C1711" s="17"/>
      <c r="D1711" s="17"/>
    </row>
    <row r="1712" spans="2:4">
      <c r="B1712" s="16"/>
      <c r="C1712" s="17"/>
      <c r="D1712" s="17"/>
    </row>
    <row r="1713" spans="2:4">
      <c r="B1713" s="16"/>
      <c r="C1713" s="17"/>
      <c r="D1713" s="17"/>
    </row>
    <row r="1714" spans="2:4">
      <c r="B1714" s="16"/>
      <c r="C1714" s="17"/>
      <c r="D1714" s="17"/>
    </row>
    <row r="1715" spans="2:4">
      <c r="B1715" s="16"/>
      <c r="C1715" s="17"/>
      <c r="D1715" s="17"/>
    </row>
    <row r="1716" spans="2:4">
      <c r="B1716" s="16"/>
      <c r="C1716" s="17"/>
      <c r="D1716" s="17"/>
    </row>
    <row r="1717" spans="2:4">
      <c r="B1717" s="16"/>
      <c r="C1717" s="17"/>
      <c r="D1717" s="17"/>
    </row>
    <row r="1718" spans="2:4">
      <c r="B1718" s="16"/>
      <c r="C1718" s="17"/>
      <c r="D1718" s="17"/>
    </row>
    <row r="1719" spans="2:4">
      <c r="B1719" s="16"/>
      <c r="C1719" s="17"/>
      <c r="D1719" s="17"/>
    </row>
    <row r="1720" spans="2:4">
      <c r="B1720" s="16"/>
      <c r="C1720" s="17"/>
      <c r="D1720" s="17"/>
    </row>
    <row r="1721" spans="2:4">
      <c r="B1721" s="16"/>
      <c r="C1721" s="17"/>
      <c r="D1721" s="17"/>
    </row>
    <row r="1722" spans="2:4">
      <c r="B1722" s="16"/>
      <c r="C1722" s="17"/>
      <c r="D1722" s="17"/>
    </row>
    <row r="1723" spans="2:4">
      <c r="B1723" s="16"/>
      <c r="C1723" s="17"/>
      <c r="D1723" s="17"/>
    </row>
    <row r="1724" spans="2:4">
      <c r="B1724" s="16"/>
      <c r="C1724" s="17"/>
      <c r="D1724" s="17"/>
    </row>
    <row r="1725" spans="2:4">
      <c r="B1725" s="16"/>
      <c r="C1725" s="17"/>
      <c r="D1725" s="17"/>
    </row>
    <row r="1726" spans="2:4">
      <c r="B1726" s="16"/>
      <c r="C1726" s="17"/>
      <c r="D1726" s="17"/>
    </row>
    <row r="1727" spans="2:4">
      <c r="B1727" s="16"/>
      <c r="C1727" s="17"/>
      <c r="D1727" s="17"/>
    </row>
    <row r="1728" spans="2:4">
      <c r="B1728" s="16"/>
      <c r="C1728" s="17"/>
      <c r="D1728" s="17"/>
    </row>
    <row r="1729" spans="2:4">
      <c r="B1729" s="16"/>
      <c r="C1729" s="17"/>
      <c r="D1729" s="17"/>
    </row>
    <row r="1730" spans="2:4">
      <c r="B1730" s="16"/>
      <c r="C1730" s="17"/>
      <c r="D1730" s="17"/>
    </row>
    <row r="1731" spans="2:4">
      <c r="B1731" s="16"/>
      <c r="C1731" s="17"/>
      <c r="D1731" s="17"/>
    </row>
    <row r="1732" spans="2:4">
      <c r="B1732" s="16"/>
      <c r="C1732" s="17"/>
      <c r="D1732" s="17"/>
    </row>
    <row r="1733" spans="2:4">
      <c r="B1733" s="16"/>
      <c r="C1733" s="17"/>
      <c r="D1733" s="17"/>
    </row>
    <row r="1734" spans="2:4">
      <c r="B1734" s="16"/>
      <c r="C1734" s="17"/>
      <c r="D1734" s="17"/>
    </row>
    <row r="1735" spans="2:4">
      <c r="B1735" s="16"/>
      <c r="C1735" s="17"/>
      <c r="D1735" s="17"/>
    </row>
    <row r="1736" spans="2:4">
      <c r="B1736" s="16"/>
      <c r="C1736" s="17"/>
      <c r="D1736" s="17"/>
    </row>
    <row r="1737" spans="2:4">
      <c r="B1737" s="16"/>
      <c r="C1737" s="17"/>
      <c r="D1737" s="17"/>
    </row>
    <row r="1738" spans="2:4">
      <c r="B1738" s="16"/>
      <c r="C1738" s="17"/>
      <c r="D1738" s="17"/>
    </row>
    <row r="1739" spans="2:4">
      <c r="B1739" s="16"/>
      <c r="C1739" s="17"/>
      <c r="D1739" s="17"/>
    </row>
    <row r="1740" spans="2:4">
      <c r="B1740" s="16"/>
      <c r="C1740" s="17"/>
      <c r="D1740" s="17"/>
    </row>
    <row r="1741" spans="2:4">
      <c r="B1741" s="16"/>
      <c r="C1741" s="17"/>
      <c r="D1741" s="17"/>
    </row>
    <row r="1742" spans="2:4">
      <c r="B1742" s="16"/>
      <c r="C1742" s="17"/>
      <c r="D1742" s="17"/>
    </row>
    <row r="1743" spans="2:4">
      <c r="B1743" s="16"/>
      <c r="C1743" s="17"/>
      <c r="D1743" s="17"/>
    </row>
    <row r="1744" spans="2:4">
      <c r="B1744" s="16"/>
      <c r="C1744" s="17"/>
      <c r="D1744" s="17"/>
    </row>
    <row r="1745" spans="2:4">
      <c r="B1745" s="16"/>
      <c r="C1745" s="17"/>
      <c r="D1745" s="17"/>
    </row>
    <row r="1746" spans="2:4">
      <c r="B1746" s="16"/>
      <c r="C1746" s="17"/>
      <c r="D1746" s="17"/>
    </row>
    <row r="1747" spans="2:4">
      <c r="B1747" s="16"/>
      <c r="C1747" s="17"/>
      <c r="D1747" s="17"/>
    </row>
    <row r="1748" spans="2:4">
      <c r="B1748" s="16"/>
      <c r="C1748" s="17"/>
      <c r="D1748" s="17"/>
    </row>
    <row r="1749" spans="2:4">
      <c r="B1749" s="16"/>
      <c r="C1749" s="17"/>
      <c r="D1749" s="17"/>
    </row>
    <row r="1750" spans="2:4">
      <c r="B1750" s="16"/>
      <c r="C1750" s="17"/>
      <c r="D1750" s="17"/>
    </row>
    <row r="1751" spans="2:4">
      <c r="B1751" s="16"/>
      <c r="C1751" s="17"/>
      <c r="D1751" s="17"/>
    </row>
    <row r="1752" spans="2:4">
      <c r="B1752" s="16"/>
      <c r="C1752" s="17"/>
      <c r="D1752" s="17"/>
    </row>
    <row r="1753" spans="2:4">
      <c r="B1753" s="16"/>
      <c r="C1753" s="17"/>
      <c r="D1753" s="17"/>
    </row>
    <row r="1754" spans="2:4">
      <c r="B1754" s="16"/>
      <c r="C1754" s="17"/>
      <c r="D1754" s="17"/>
    </row>
    <row r="1755" spans="2:4">
      <c r="B1755" s="16"/>
      <c r="C1755" s="17"/>
      <c r="D1755" s="17"/>
    </row>
    <row r="1756" spans="2:4">
      <c r="B1756" s="16"/>
      <c r="C1756" s="17"/>
      <c r="D1756" s="17"/>
    </row>
    <row r="1757" spans="2:4">
      <c r="B1757" s="16"/>
      <c r="C1757" s="17"/>
      <c r="D1757" s="17"/>
    </row>
    <row r="1758" spans="2:4">
      <c r="B1758" s="16"/>
      <c r="C1758" s="17"/>
      <c r="D1758" s="17"/>
    </row>
    <row r="1759" spans="2:4">
      <c r="B1759" s="16"/>
      <c r="C1759" s="17"/>
      <c r="D1759" s="17"/>
    </row>
    <row r="1760" spans="2:4">
      <c r="B1760" s="16"/>
      <c r="C1760" s="17"/>
      <c r="D1760" s="17"/>
    </row>
    <row r="1761" spans="2:4">
      <c r="B1761" s="16"/>
      <c r="C1761" s="17"/>
      <c r="D1761" s="17"/>
    </row>
    <row r="1762" spans="2:4">
      <c r="B1762" s="16"/>
      <c r="C1762" s="17"/>
      <c r="D1762" s="17"/>
    </row>
    <row r="1763" spans="2:4">
      <c r="B1763" s="16"/>
      <c r="C1763" s="17"/>
      <c r="D1763" s="17"/>
    </row>
    <row r="1764" spans="2:4">
      <c r="B1764" s="16"/>
      <c r="C1764" s="17"/>
      <c r="D1764" s="17"/>
    </row>
    <row r="1765" spans="2:4">
      <c r="B1765" s="16"/>
      <c r="C1765" s="17"/>
      <c r="D1765" s="17"/>
    </row>
    <row r="1766" spans="2:4">
      <c r="B1766" s="16"/>
      <c r="C1766" s="17"/>
      <c r="D1766" s="17"/>
    </row>
    <row r="1767" spans="2:4">
      <c r="B1767" s="16"/>
      <c r="C1767" s="17"/>
      <c r="D1767" s="17"/>
    </row>
    <row r="1768" spans="2:4">
      <c r="B1768" s="16"/>
      <c r="C1768" s="17"/>
      <c r="D1768" s="17"/>
    </row>
    <row r="1769" spans="2:4">
      <c r="B1769" s="16"/>
      <c r="C1769" s="17"/>
      <c r="D1769" s="17"/>
    </row>
    <row r="1770" spans="2:4">
      <c r="B1770" s="16"/>
      <c r="C1770" s="17"/>
      <c r="D1770" s="17"/>
    </row>
    <row r="1771" spans="2:4">
      <c r="B1771" s="16"/>
      <c r="C1771" s="17"/>
      <c r="D1771" s="17"/>
    </row>
    <row r="1772" spans="2:4">
      <c r="B1772" s="16"/>
      <c r="C1772" s="17"/>
      <c r="D1772" s="17"/>
    </row>
    <row r="1773" spans="2:4">
      <c r="B1773" s="16"/>
      <c r="C1773" s="17"/>
      <c r="D1773" s="17"/>
    </row>
    <row r="1774" spans="2:4">
      <c r="B1774" s="16"/>
      <c r="C1774" s="17"/>
      <c r="D1774" s="17"/>
    </row>
    <row r="1775" spans="2:4">
      <c r="B1775" s="16"/>
      <c r="C1775" s="17"/>
      <c r="D1775" s="17"/>
    </row>
    <row r="1776" spans="2:4">
      <c r="B1776" s="16"/>
      <c r="C1776" s="17"/>
      <c r="D1776" s="17"/>
    </row>
    <row r="1777" spans="2:4">
      <c r="B1777" s="16"/>
      <c r="C1777" s="17"/>
      <c r="D1777" s="17"/>
    </row>
    <row r="1778" spans="2:4">
      <c r="B1778" s="16"/>
      <c r="C1778" s="17"/>
      <c r="D1778" s="17"/>
    </row>
    <row r="1779" spans="2:4">
      <c r="B1779" s="16"/>
      <c r="C1779" s="17"/>
      <c r="D1779" s="17"/>
    </row>
    <row r="1780" spans="2:4">
      <c r="B1780" s="16"/>
      <c r="C1780" s="17"/>
      <c r="D1780" s="17"/>
    </row>
    <row r="1781" spans="2:4">
      <c r="B1781" s="16"/>
      <c r="C1781" s="17"/>
      <c r="D1781" s="17"/>
    </row>
    <row r="1782" spans="2:4">
      <c r="B1782" s="16"/>
      <c r="C1782" s="17"/>
      <c r="D1782" s="17"/>
    </row>
    <row r="1783" spans="2:4">
      <c r="B1783" s="16"/>
      <c r="C1783" s="17"/>
      <c r="D1783" s="17"/>
    </row>
    <row r="1784" spans="2:4">
      <c r="B1784" s="16"/>
      <c r="C1784" s="17"/>
      <c r="D1784" s="17"/>
    </row>
    <row r="1785" spans="2:4">
      <c r="B1785" s="16"/>
      <c r="C1785" s="17"/>
      <c r="D1785" s="17"/>
    </row>
    <row r="1786" spans="2:4">
      <c r="B1786" s="16"/>
      <c r="C1786" s="17"/>
      <c r="D1786" s="17"/>
    </row>
    <row r="1787" spans="2:4">
      <c r="B1787" s="16"/>
      <c r="C1787" s="17"/>
      <c r="D1787" s="17"/>
    </row>
    <row r="1788" spans="2:4">
      <c r="B1788" s="16"/>
      <c r="C1788" s="17"/>
      <c r="D1788" s="17"/>
    </row>
    <row r="1789" spans="2:4">
      <c r="B1789" s="16"/>
      <c r="C1789" s="17"/>
      <c r="D1789" s="17"/>
    </row>
    <row r="1790" spans="2:4">
      <c r="B1790" s="16"/>
      <c r="C1790" s="17"/>
      <c r="D1790" s="17"/>
    </row>
    <row r="1791" spans="2:4">
      <c r="B1791" s="16"/>
      <c r="C1791" s="17"/>
      <c r="D1791" s="17"/>
    </row>
    <row r="1792" spans="2:4">
      <c r="B1792" s="16"/>
      <c r="C1792" s="17"/>
      <c r="D1792" s="17"/>
    </row>
    <row r="1793" spans="2:4">
      <c r="B1793" s="16"/>
      <c r="C1793" s="17"/>
      <c r="D1793" s="17"/>
    </row>
    <row r="1794" spans="2:4">
      <c r="B1794" s="16"/>
      <c r="C1794" s="17"/>
      <c r="D1794" s="17"/>
    </row>
    <row r="1795" spans="2:4">
      <c r="B1795" s="16"/>
      <c r="C1795" s="17"/>
      <c r="D1795" s="17"/>
    </row>
    <row r="1796" spans="2:4">
      <c r="B1796" s="16"/>
      <c r="C1796" s="17"/>
      <c r="D1796" s="17"/>
    </row>
    <row r="1797" spans="2:4">
      <c r="B1797" s="16"/>
      <c r="C1797" s="17"/>
      <c r="D1797" s="17"/>
    </row>
    <row r="1798" spans="2:4">
      <c r="B1798" s="16"/>
      <c r="C1798" s="17"/>
      <c r="D1798" s="17"/>
    </row>
    <row r="1799" spans="2:4">
      <c r="B1799" s="16"/>
      <c r="C1799" s="17"/>
      <c r="D1799" s="17"/>
    </row>
    <row r="1800" spans="2:4">
      <c r="B1800" s="16"/>
      <c r="C1800" s="17"/>
      <c r="D1800" s="17"/>
    </row>
    <row r="1801" spans="2:4">
      <c r="B1801" s="16"/>
      <c r="C1801" s="17"/>
      <c r="D1801" s="17"/>
    </row>
    <row r="1802" spans="2:4">
      <c r="B1802" s="16"/>
      <c r="C1802" s="17"/>
      <c r="D1802" s="17"/>
    </row>
    <row r="1803" spans="2:4">
      <c r="B1803" s="16"/>
      <c r="C1803" s="17"/>
      <c r="D1803" s="17"/>
    </row>
    <row r="1804" spans="2:4">
      <c r="B1804" s="16"/>
      <c r="C1804" s="17"/>
      <c r="D1804" s="17"/>
    </row>
    <row r="1805" spans="2:4">
      <c r="B1805" s="16"/>
      <c r="C1805" s="17"/>
      <c r="D1805" s="17"/>
    </row>
    <row r="1806" spans="2:4">
      <c r="B1806" s="16"/>
      <c r="C1806" s="17"/>
      <c r="D1806" s="17"/>
    </row>
    <row r="1807" spans="2:4">
      <c r="B1807" s="16"/>
      <c r="C1807" s="17"/>
      <c r="D1807" s="17"/>
    </row>
    <row r="1808" spans="2:4">
      <c r="B1808" s="16"/>
      <c r="C1808" s="17"/>
      <c r="D1808" s="17"/>
    </row>
    <row r="1809" spans="2:4">
      <c r="B1809" s="16"/>
      <c r="C1809" s="17"/>
      <c r="D1809" s="17"/>
    </row>
    <row r="1810" spans="2:4">
      <c r="B1810" s="16"/>
      <c r="C1810" s="17"/>
      <c r="D1810" s="17"/>
    </row>
    <row r="1811" spans="2:4">
      <c r="B1811" s="16"/>
      <c r="C1811" s="17"/>
      <c r="D1811" s="17"/>
    </row>
    <row r="1812" spans="2:4">
      <c r="B1812" s="16"/>
      <c r="C1812" s="17"/>
      <c r="D1812" s="17"/>
    </row>
    <row r="1813" spans="2:4">
      <c r="B1813" s="16"/>
      <c r="C1813" s="17"/>
      <c r="D1813" s="17"/>
    </row>
    <row r="1814" spans="2:4">
      <c r="B1814" s="16"/>
      <c r="C1814" s="17"/>
      <c r="D1814" s="17"/>
    </row>
    <row r="1815" spans="2:4">
      <c r="B1815" s="16"/>
      <c r="C1815" s="17"/>
      <c r="D1815" s="17"/>
    </row>
    <row r="1816" spans="2:4">
      <c r="B1816" s="16"/>
      <c r="C1816" s="17"/>
      <c r="D1816" s="17"/>
    </row>
    <row r="1817" spans="2:4">
      <c r="B1817" s="16"/>
      <c r="C1817" s="17"/>
      <c r="D1817" s="17"/>
    </row>
    <row r="1818" spans="2:4">
      <c r="B1818" s="16"/>
      <c r="C1818" s="17"/>
      <c r="D1818" s="17"/>
    </row>
    <row r="1819" spans="2:4">
      <c r="B1819" s="16"/>
      <c r="C1819" s="17"/>
      <c r="D1819" s="17"/>
    </row>
    <row r="1820" spans="2:4">
      <c r="B1820" s="16"/>
      <c r="C1820" s="17"/>
      <c r="D1820" s="17"/>
    </row>
    <row r="1821" spans="2:4">
      <c r="B1821" s="16"/>
      <c r="C1821" s="17"/>
      <c r="D1821" s="17"/>
    </row>
    <row r="1822" spans="2:4">
      <c r="B1822" s="16"/>
      <c r="C1822" s="17"/>
      <c r="D1822" s="17"/>
    </row>
    <row r="1823" spans="2:4">
      <c r="B1823" s="16"/>
      <c r="C1823" s="17"/>
      <c r="D1823" s="17"/>
    </row>
    <row r="1824" spans="2:4">
      <c r="B1824" s="16"/>
      <c r="C1824" s="17"/>
      <c r="D1824" s="17"/>
    </row>
    <row r="1825" spans="2:4">
      <c r="B1825" s="16"/>
      <c r="C1825" s="17"/>
      <c r="D1825" s="17"/>
    </row>
    <row r="1826" spans="2:4">
      <c r="B1826" s="16"/>
      <c r="C1826" s="17"/>
      <c r="D1826" s="17"/>
    </row>
    <row r="1827" spans="2:4">
      <c r="B1827" s="16"/>
      <c r="C1827" s="17"/>
      <c r="D1827" s="17"/>
    </row>
    <row r="1828" spans="2:4">
      <c r="B1828" s="16"/>
      <c r="C1828" s="17"/>
      <c r="D1828" s="17"/>
    </row>
    <row r="1829" spans="2:4">
      <c r="B1829" s="16"/>
      <c r="C1829" s="17"/>
      <c r="D1829" s="17"/>
    </row>
    <row r="1830" spans="2:4">
      <c r="B1830" s="16"/>
      <c r="C1830" s="17"/>
      <c r="D1830" s="17"/>
    </row>
    <row r="1831" spans="2:4">
      <c r="B1831" s="16"/>
      <c r="C1831" s="17"/>
      <c r="D1831" s="17"/>
    </row>
    <row r="1832" spans="2:4">
      <c r="B1832" s="16"/>
      <c r="C1832" s="17"/>
      <c r="D1832" s="17"/>
    </row>
    <row r="1833" spans="2:4">
      <c r="B1833" s="16"/>
      <c r="C1833" s="17"/>
      <c r="D1833" s="17"/>
    </row>
    <row r="1834" spans="2:4">
      <c r="B1834" s="16"/>
      <c r="C1834" s="17"/>
      <c r="D1834" s="17"/>
    </row>
    <row r="1835" spans="2:4">
      <c r="B1835" s="16"/>
      <c r="C1835" s="17"/>
      <c r="D1835" s="17"/>
    </row>
    <row r="1836" spans="2:4">
      <c r="B1836" s="16"/>
      <c r="C1836" s="17"/>
      <c r="D1836" s="17"/>
    </row>
    <row r="1837" spans="2:4">
      <c r="B1837" s="16"/>
      <c r="C1837" s="17"/>
      <c r="D1837" s="17"/>
    </row>
    <row r="1838" spans="2:4">
      <c r="B1838" s="16"/>
      <c r="C1838" s="17"/>
      <c r="D1838" s="17"/>
    </row>
    <row r="1839" spans="2:4">
      <c r="B1839" s="16"/>
      <c r="C1839" s="17"/>
      <c r="D1839" s="17"/>
    </row>
    <row r="1840" spans="2:4">
      <c r="B1840" s="16"/>
      <c r="C1840" s="17"/>
      <c r="D1840" s="17"/>
    </row>
    <row r="1841" spans="2:4">
      <c r="B1841" s="16"/>
      <c r="C1841" s="17"/>
      <c r="D1841" s="17"/>
    </row>
    <row r="1842" spans="2:4">
      <c r="B1842" s="16"/>
      <c r="C1842" s="17"/>
      <c r="D1842" s="17"/>
    </row>
    <row r="1843" spans="2:4">
      <c r="B1843" s="16"/>
      <c r="C1843" s="17"/>
      <c r="D1843" s="17"/>
    </row>
    <row r="1844" spans="2:4">
      <c r="B1844" s="16"/>
      <c r="C1844" s="17"/>
      <c r="D1844" s="17"/>
    </row>
    <row r="1845" spans="2:4">
      <c r="B1845" s="16"/>
      <c r="C1845" s="17"/>
      <c r="D1845" s="17"/>
    </row>
    <row r="1846" spans="2:4">
      <c r="B1846" s="16"/>
      <c r="C1846" s="17"/>
      <c r="D1846" s="17"/>
    </row>
    <row r="1847" spans="2:4">
      <c r="B1847" s="16"/>
      <c r="C1847" s="17"/>
      <c r="D1847" s="17"/>
    </row>
    <row r="1848" spans="2:4">
      <c r="B1848" s="16"/>
      <c r="C1848" s="17"/>
      <c r="D1848" s="17"/>
    </row>
    <row r="1849" spans="2:4">
      <c r="B1849" s="16"/>
      <c r="C1849" s="17"/>
      <c r="D1849" s="17"/>
    </row>
    <row r="1850" spans="2:4">
      <c r="B1850" s="16"/>
      <c r="C1850" s="17"/>
      <c r="D1850" s="17"/>
    </row>
    <row r="1851" spans="2:4">
      <c r="B1851" s="16"/>
      <c r="C1851" s="17"/>
      <c r="D1851" s="17"/>
    </row>
    <row r="1852" spans="2:4">
      <c r="B1852" s="16"/>
      <c r="C1852" s="17"/>
      <c r="D1852" s="17"/>
    </row>
    <row r="1853" spans="2:4">
      <c r="B1853" s="16"/>
      <c r="C1853" s="17"/>
      <c r="D1853" s="17"/>
    </row>
    <row r="1854" spans="2:4">
      <c r="B1854" s="16"/>
      <c r="C1854" s="17"/>
      <c r="D1854" s="17"/>
    </row>
    <row r="1855" spans="2:4">
      <c r="B1855" s="16"/>
      <c r="C1855" s="17"/>
      <c r="D1855" s="17"/>
    </row>
    <row r="1856" spans="2:4">
      <c r="B1856" s="16"/>
      <c r="C1856" s="17"/>
      <c r="D1856" s="17"/>
    </row>
    <row r="1857" spans="2:4">
      <c r="B1857" s="16"/>
      <c r="C1857" s="17"/>
      <c r="D1857" s="17"/>
    </row>
    <row r="1858" spans="2:4">
      <c r="B1858" s="16"/>
      <c r="C1858" s="17"/>
      <c r="D1858" s="17"/>
    </row>
    <row r="1859" spans="2:4">
      <c r="B1859" s="16"/>
      <c r="C1859" s="17"/>
      <c r="D1859" s="17"/>
    </row>
    <row r="1860" spans="2:4">
      <c r="B1860" s="16"/>
      <c r="C1860" s="17"/>
      <c r="D1860" s="17"/>
    </row>
    <row r="1861" spans="2:4">
      <c r="B1861" s="16"/>
      <c r="C1861" s="17"/>
      <c r="D1861" s="17"/>
    </row>
    <row r="1862" spans="2:4">
      <c r="B1862" s="16"/>
      <c r="C1862" s="17"/>
      <c r="D1862" s="17"/>
    </row>
    <row r="1863" spans="2:4">
      <c r="B1863" s="16"/>
      <c r="C1863" s="17"/>
      <c r="D1863" s="17"/>
    </row>
    <row r="1864" spans="2:4">
      <c r="B1864" s="16"/>
      <c r="C1864" s="17"/>
      <c r="D1864" s="17"/>
    </row>
    <row r="1865" spans="2:4">
      <c r="B1865" s="16"/>
      <c r="C1865" s="17"/>
      <c r="D1865" s="17"/>
    </row>
    <row r="1866" spans="2:4">
      <c r="B1866" s="16"/>
      <c r="C1866" s="17"/>
      <c r="D1866" s="17"/>
    </row>
    <row r="1867" spans="2:4">
      <c r="B1867" s="16"/>
      <c r="C1867" s="17"/>
      <c r="D1867" s="17"/>
    </row>
    <row r="1868" spans="2:4">
      <c r="B1868" s="16"/>
      <c r="C1868" s="17"/>
      <c r="D1868" s="17"/>
    </row>
    <row r="1869" spans="2:4">
      <c r="B1869" s="16"/>
      <c r="C1869" s="17"/>
      <c r="D1869" s="17"/>
    </row>
    <row r="1870" spans="2:4">
      <c r="B1870" s="16"/>
      <c r="C1870" s="17"/>
      <c r="D1870" s="17"/>
    </row>
    <row r="1871" spans="2:4">
      <c r="B1871" s="16"/>
      <c r="C1871" s="17"/>
      <c r="D1871" s="17"/>
    </row>
    <row r="1872" spans="2:4">
      <c r="B1872" s="16"/>
      <c r="C1872" s="17"/>
      <c r="D1872" s="17"/>
    </row>
    <row r="1873" spans="2:4">
      <c r="B1873" s="16"/>
      <c r="C1873" s="17"/>
      <c r="D1873" s="17"/>
    </row>
    <row r="1874" spans="2:4">
      <c r="B1874" s="16"/>
      <c r="C1874" s="17"/>
      <c r="D1874" s="17"/>
    </row>
    <row r="1875" spans="2:4">
      <c r="B1875" s="16"/>
      <c r="C1875" s="17"/>
      <c r="D1875" s="17"/>
    </row>
    <row r="1876" spans="2:4">
      <c r="B1876" s="16"/>
      <c r="C1876" s="17"/>
      <c r="D1876" s="17"/>
    </row>
    <row r="1877" spans="2:4">
      <c r="B1877" s="16"/>
      <c r="C1877" s="17"/>
      <c r="D1877" s="17"/>
    </row>
    <row r="1878" spans="2:4">
      <c r="B1878" s="16"/>
      <c r="C1878" s="17"/>
      <c r="D1878" s="17"/>
    </row>
    <row r="1879" spans="2:4">
      <c r="B1879" s="16"/>
      <c r="C1879" s="17"/>
      <c r="D1879" s="17"/>
    </row>
    <row r="1880" spans="2:4">
      <c r="B1880" s="16"/>
      <c r="C1880" s="17"/>
      <c r="D1880" s="17"/>
    </row>
    <row r="1881" spans="2:4">
      <c r="B1881" s="16"/>
      <c r="C1881" s="17"/>
      <c r="D1881" s="17"/>
    </row>
    <row r="1882" spans="2:4">
      <c r="B1882" s="16"/>
      <c r="C1882" s="17"/>
      <c r="D1882" s="17"/>
    </row>
    <row r="1883" spans="2:4">
      <c r="B1883" s="16"/>
      <c r="C1883" s="17"/>
      <c r="D1883" s="17"/>
    </row>
    <row r="1884" spans="2:4">
      <c r="B1884" s="16"/>
      <c r="C1884" s="17"/>
      <c r="D1884" s="17"/>
    </row>
    <row r="1885" spans="2:4">
      <c r="B1885" s="16"/>
      <c r="C1885" s="17"/>
      <c r="D1885" s="17"/>
    </row>
    <row r="1886" spans="2:4">
      <c r="B1886" s="16"/>
      <c r="C1886" s="17"/>
      <c r="D1886" s="17"/>
    </row>
    <row r="1887" spans="2:4">
      <c r="B1887" s="16"/>
      <c r="C1887" s="17"/>
      <c r="D1887" s="17"/>
    </row>
    <row r="1888" spans="2:4">
      <c r="B1888" s="16"/>
      <c r="C1888" s="17"/>
      <c r="D1888" s="17"/>
    </row>
    <row r="1889" spans="2:4">
      <c r="B1889" s="16"/>
      <c r="C1889" s="17"/>
      <c r="D1889" s="17"/>
    </row>
    <row r="1890" spans="2:4">
      <c r="B1890" s="16"/>
      <c r="C1890" s="17"/>
      <c r="D1890" s="17"/>
    </row>
    <row r="1891" spans="2:4">
      <c r="B1891" s="16"/>
      <c r="C1891" s="17"/>
      <c r="D1891" s="17"/>
    </row>
    <row r="1892" spans="2:4">
      <c r="B1892" s="16"/>
      <c r="C1892" s="17"/>
      <c r="D1892" s="17"/>
    </row>
    <row r="1893" spans="2:4">
      <c r="B1893" s="16"/>
      <c r="C1893" s="17"/>
      <c r="D1893" s="17"/>
    </row>
    <row r="1894" spans="2:4">
      <c r="B1894" s="16"/>
      <c r="C1894" s="17"/>
      <c r="D1894" s="17"/>
    </row>
    <row r="1895" spans="2:4">
      <c r="B1895" s="16"/>
      <c r="C1895" s="17"/>
      <c r="D1895" s="17"/>
    </row>
    <row r="1896" spans="2:4">
      <c r="B1896" s="16"/>
      <c r="C1896" s="17"/>
      <c r="D1896" s="17"/>
    </row>
    <row r="1897" spans="2:4">
      <c r="B1897" s="16"/>
      <c r="C1897" s="17"/>
      <c r="D1897" s="17"/>
    </row>
    <row r="1898" spans="2:4">
      <c r="B1898" s="16"/>
      <c r="C1898" s="17"/>
      <c r="D1898" s="17"/>
    </row>
    <row r="1899" spans="2:4">
      <c r="B1899" s="16"/>
      <c r="C1899" s="17"/>
      <c r="D1899" s="17"/>
    </row>
    <row r="1900" spans="2:4">
      <c r="B1900" s="16"/>
      <c r="C1900" s="17"/>
      <c r="D1900" s="17"/>
    </row>
    <row r="1901" spans="2:4">
      <c r="B1901" s="16"/>
      <c r="C1901" s="17"/>
      <c r="D1901" s="17"/>
    </row>
    <row r="1902" spans="2:4">
      <c r="B1902" s="16"/>
      <c r="C1902" s="17"/>
      <c r="D1902" s="17"/>
    </row>
    <row r="1903" spans="2:4">
      <c r="B1903" s="16"/>
      <c r="C1903" s="17"/>
      <c r="D1903" s="17"/>
    </row>
    <row r="1904" spans="2:4">
      <c r="B1904" s="16"/>
      <c r="C1904" s="17"/>
      <c r="D1904" s="17"/>
    </row>
    <row r="1905" spans="2:4">
      <c r="B1905" s="16"/>
      <c r="C1905" s="17"/>
      <c r="D1905" s="17"/>
    </row>
    <row r="1906" spans="2:4">
      <c r="B1906" s="16"/>
      <c r="C1906" s="17"/>
      <c r="D1906" s="17"/>
    </row>
    <row r="1907" spans="2:4">
      <c r="B1907" s="16"/>
      <c r="C1907" s="17"/>
      <c r="D1907" s="17"/>
    </row>
    <row r="1908" spans="2:4">
      <c r="B1908" s="16"/>
      <c r="C1908" s="17"/>
      <c r="D1908" s="17"/>
    </row>
    <row r="1909" spans="2:4">
      <c r="B1909" s="16"/>
      <c r="C1909" s="17"/>
      <c r="D1909" s="17"/>
    </row>
    <row r="1910" spans="2:4">
      <c r="B1910" s="16"/>
      <c r="C1910" s="17"/>
      <c r="D1910" s="17"/>
    </row>
    <row r="1911" spans="2:4">
      <c r="B1911" s="16"/>
      <c r="C1911" s="17"/>
      <c r="D1911" s="17"/>
    </row>
    <row r="1912" spans="2:4">
      <c r="B1912" s="16"/>
      <c r="C1912" s="17"/>
      <c r="D1912" s="17"/>
    </row>
    <row r="1913" spans="2:4">
      <c r="B1913" s="16"/>
      <c r="C1913" s="17"/>
      <c r="D1913" s="17"/>
    </row>
    <row r="1914" spans="2:4">
      <c r="B1914" s="16"/>
      <c r="C1914" s="17"/>
      <c r="D1914" s="17"/>
    </row>
    <row r="1915" spans="2:4">
      <c r="B1915" s="16"/>
      <c r="C1915" s="17"/>
      <c r="D1915" s="17"/>
    </row>
    <row r="1916" spans="2:4">
      <c r="B1916" s="16"/>
      <c r="C1916" s="17"/>
      <c r="D1916" s="17"/>
    </row>
    <row r="1917" spans="2:4">
      <c r="B1917" s="16"/>
      <c r="C1917" s="17"/>
      <c r="D1917" s="17"/>
    </row>
    <row r="1918" spans="2:4">
      <c r="B1918" s="16"/>
      <c r="C1918" s="17"/>
      <c r="D1918" s="17"/>
    </row>
    <row r="1919" spans="2:4">
      <c r="B1919" s="16"/>
      <c r="C1919" s="17"/>
      <c r="D1919" s="17"/>
    </row>
    <row r="1920" spans="2:4">
      <c r="B1920" s="16"/>
      <c r="C1920" s="17"/>
      <c r="D1920" s="17"/>
    </row>
    <row r="1921" spans="2:4">
      <c r="B1921" s="16"/>
      <c r="C1921" s="17"/>
      <c r="D1921" s="17"/>
    </row>
    <row r="1922" spans="2:4">
      <c r="B1922" s="16"/>
      <c r="C1922" s="17"/>
      <c r="D1922" s="17"/>
    </row>
    <row r="1923" spans="2:4">
      <c r="B1923" s="16"/>
      <c r="C1923" s="17"/>
      <c r="D1923" s="17"/>
    </row>
    <row r="1924" spans="2:4">
      <c r="B1924" s="16"/>
      <c r="C1924" s="17"/>
      <c r="D1924" s="17"/>
    </row>
    <row r="1925" spans="2:4">
      <c r="B1925" s="16"/>
      <c r="C1925" s="17"/>
      <c r="D1925" s="17"/>
    </row>
    <row r="1926" spans="2:4">
      <c r="B1926" s="16"/>
      <c r="C1926" s="17"/>
      <c r="D1926" s="17"/>
    </row>
    <row r="1927" spans="2:4">
      <c r="B1927" s="16"/>
      <c r="C1927" s="17"/>
      <c r="D1927" s="17"/>
    </row>
    <row r="1928" spans="2:4">
      <c r="B1928" s="16"/>
      <c r="C1928" s="17"/>
      <c r="D1928" s="17"/>
    </row>
    <row r="1929" spans="2:4">
      <c r="B1929" s="16"/>
      <c r="C1929" s="17"/>
      <c r="D1929" s="17"/>
    </row>
    <row r="1930" spans="2:4">
      <c r="B1930" s="16"/>
      <c r="C1930" s="17"/>
      <c r="D1930" s="17"/>
    </row>
    <row r="1931" spans="2:4">
      <c r="B1931" s="16"/>
      <c r="C1931" s="17"/>
      <c r="D1931" s="17"/>
    </row>
    <row r="1932" spans="2:4">
      <c r="B1932" s="16"/>
      <c r="C1932" s="17"/>
      <c r="D1932" s="17"/>
    </row>
    <row r="1933" spans="2:4">
      <c r="B1933" s="16"/>
      <c r="C1933" s="17"/>
      <c r="D1933" s="17"/>
    </row>
    <row r="1934" spans="2:4">
      <c r="B1934" s="16"/>
      <c r="C1934" s="17"/>
      <c r="D1934" s="17"/>
    </row>
    <row r="1935" spans="2:4">
      <c r="B1935" s="16"/>
      <c r="C1935" s="17"/>
      <c r="D1935" s="17"/>
    </row>
    <row r="1936" spans="2:4">
      <c r="B1936" s="16"/>
      <c r="C1936" s="17"/>
      <c r="D1936" s="17"/>
    </row>
    <row r="1937" spans="2:4">
      <c r="B1937" s="16"/>
      <c r="C1937" s="17"/>
      <c r="D1937" s="17"/>
    </row>
    <row r="1938" spans="2:4">
      <c r="B1938" s="16"/>
      <c r="C1938" s="17"/>
      <c r="D1938" s="17"/>
    </row>
    <row r="1939" spans="2:4">
      <c r="B1939" s="16"/>
      <c r="C1939" s="17"/>
      <c r="D1939" s="17"/>
    </row>
    <row r="1940" spans="2:4">
      <c r="B1940" s="16"/>
      <c r="C1940" s="17"/>
      <c r="D1940" s="17"/>
    </row>
    <row r="1941" spans="2:4">
      <c r="B1941" s="16"/>
    </row>
    <row r="1942" spans="2:4">
      <c r="B1942" s="16"/>
    </row>
    <row r="1943" spans="2:4">
      <c r="B1943" s="16"/>
    </row>
    <row r="1944" spans="2:4">
      <c r="B1944" s="16"/>
    </row>
    <row r="1945" spans="2:4">
      <c r="B1945" s="16"/>
    </row>
    <row r="1946" spans="2:4">
      <c r="B1946" s="16"/>
    </row>
    <row r="1947" spans="2:4">
      <c r="B1947" s="16"/>
    </row>
    <row r="1948" spans="2:4">
      <c r="B1948" s="16"/>
    </row>
    <row r="1949" spans="2:4">
      <c r="B1949" s="16"/>
    </row>
    <row r="1950" spans="2:4">
      <c r="B1950" s="16"/>
    </row>
    <row r="1951" spans="2:4">
      <c r="B1951" s="16"/>
    </row>
    <row r="1952" spans="2:4">
      <c r="B1952" s="16"/>
    </row>
    <row r="1953" spans="2:2">
      <c r="B1953" s="16"/>
    </row>
    <row r="1954" spans="2:2">
      <c r="B1954" s="16"/>
    </row>
    <row r="1955" spans="2:2">
      <c r="B1955" s="16"/>
    </row>
    <row r="1956" spans="2:2">
      <c r="B1956" s="16"/>
    </row>
    <row r="1957" spans="2:2">
      <c r="B1957" s="16"/>
    </row>
    <row r="1958" spans="2:2">
      <c r="B1958" s="16"/>
    </row>
    <row r="1959" spans="2:2">
      <c r="B1959" s="16"/>
    </row>
    <row r="1960" spans="2:2">
      <c r="B1960" s="16"/>
    </row>
    <row r="1961" spans="2:2">
      <c r="B1961" s="16"/>
    </row>
    <row r="1962" spans="2:2">
      <c r="B1962" s="16"/>
    </row>
    <row r="1963" spans="2:2">
      <c r="B1963" s="16"/>
    </row>
    <row r="1964" spans="2:2">
      <c r="B1964" s="16"/>
    </row>
    <row r="1965" spans="2:2">
      <c r="B1965" s="16"/>
    </row>
    <row r="1966" spans="2:2">
      <c r="B1966" s="16"/>
    </row>
    <row r="1967" spans="2:2">
      <c r="B1967" s="16"/>
    </row>
    <row r="1968" spans="2:2">
      <c r="B1968" s="16"/>
    </row>
    <row r="1969" spans="2:2">
      <c r="B1969" s="16"/>
    </row>
    <row r="1970" spans="2:2">
      <c r="B1970" s="16"/>
    </row>
    <row r="1971" spans="2:2">
      <c r="B1971" s="16"/>
    </row>
    <row r="1972" spans="2:2">
      <c r="B1972" s="16"/>
    </row>
    <row r="1973" spans="2:2">
      <c r="B1973" s="16"/>
    </row>
    <row r="1974" spans="2:2">
      <c r="B1974" s="16"/>
    </row>
    <row r="1975" spans="2:2">
      <c r="B1975" s="16"/>
    </row>
    <row r="1976" spans="2:2">
      <c r="B1976" s="16"/>
    </row>
    <row r="1977" spans="2:2">
      <c r="B1977" s="16"/>
    </row>
    <row r="1978" spans="2:2">
      <c r="B1978" s="16"/>
    </row>
    <row r="1979" spans="2:2">
      <c r="B1979" s="16"/>
    </row>
    <row r="1980" spans="2:2">
      <c r="B1980" s="16"/>
    </row>
    <row r="1981" spans="2:2">
      <c r="B1981" s="16"/>
    </row>
    <row r="1982" spans="2:2">
      <c r="B1982" s="16"/>
    </row>
    <row r="1983" spans="2:2">
      <c r="B1983" s="16"/>
    </row>
    <row r="1984" spans="2:2">
      <c r="B1984" s="16"/>
    </row>
    <row r="1985" spans="2:2">
      <c r="B1985" s="16"/>
    </row>
    <row r="1986" spans="2:2">
      <c r="B1986" s="16"/>
    </row>
    <row r="1987" spans="2:2">
      <c r="B1987" s="16"/>
    </row>
    <row r="1988" spans="2:2">
      <c r="B1988" s="16"/>
    </row>
    <row r="1989" spans="2:2">
      <c r="B1989" s="16"/>
    </row>
    <row r="1990" spans="2:2">
      <c r="B1990" s="16"/>
    </row>
    <row r="1991" spans="2:2">
      <c r="B1991" s="16"/>
    </row>
    <row r="1992" spans="2:2">
      <c r="B1992" s="16"/>
    </row>
    <row r="1993" spans="2:2">
      <c r="B1993" s="16"/>
    </row>
    <row r="1994" spans="2:2">
      <c r="B1994" s="16"/>
    </row>
    <row r="1995" spans="2:2">
      <c r="B1995" s="16"/>
    </row>
    <row r="1996" spans="2:2">
      <c r="B1996" s="16"/>
    </row>
    <row r="1997" spans="2:2">
      <c r="B1997" s="16"/>
    </row>
    <row r="1998" spans="2:2">
      <c r="B1998" s="16"/>
    </row>
    <row r="1999" spans="2:2">
      <c r="B1999" s="16"/>
    </row>
    <row r="2000" spans="2:2">
      <c r="B2000" s="16"/>
    </row>
    <row r="2001" spans="2:2">
      <c r="B2001" s="16"/>
    </row>
    <row r="2002" spans="2:2">
      <c r="B2002" s="16"/>
    </row>
    <row r="2003" spans="2:2">
      <c r="B2003" s="16"/>
    </row>
    <row r="2004" spans="2:2">
      <c r="B2004" s="16"/>
    </row>
    <row r="2005" spans="2:2">
      <c r="B2005" s="16"/>
    </row>
    <row r="2006" spans="2:2">
      <c r="B2006" s="16"/>
    </row>
    <row r="2007" spans="2:2">
      <c r="B2007" s="16"/>
    </row>
    <row r="2008" spans="2:2">
      <c r="B2008" s="16"/>
    </row>
    <row r="2009" spans="2:2">
      <c r="B2009" s="16"/>
    </row>
    <row r="2010" spans="2:2">
      <c r="B2010" s="16"/>
    </row>
    <row r="2011" spans="2:2">
      <c r="B2011" s="16"/>
    </row>
    <row r="2012" spans="2:2">
      <c r="B2012" s="16"/>
    </row>
    <row r="2013" spans="2:2">
      <c r="B2013" s="16"/>
    </row>
    <row r="2014" spans="2:2">
      <c r="B2014" s="16"/>
    </row>
    <row r="2015" spans="2:2">
      <c r="B2015" s="16"/>
    </row>
    <row r="2016" spans="2:2">
      <c r="B2016" s="16"/>
    </row>
    <row r="2017" spans="2:2">
      <c r="B2017" s="16"/>
    </row>
    <row r="2018" spans="2:2">
      <c r="B2018" s="16"/>
    </row>
    <row r="2019" spans="2:2">
      <c r="B2019" s="16"/>
    </row>
    <row r="2020" spans="2:2">
      <c r="B2020" s="16"/>
    </row>
    <row r="2021" spans="2:2">
      <c r="B2021" s="16"/>
    </row>
    <row r="2022" spans="2:2">
      <c r="B2022" s="16"/>
    </row>
    <row r="2023" spans="2:2">
      <c r="B2023" s="16"/>
    </row>
    <row r="2024" spans="2:2">
      <c r="B2024" s="16"/>
    </row>
    <row r="2025" spans="2:2">
      <c r="B2025" s="16"/>
    </row>
    <row r="2026" spans="2:2">
      <c r="B2026" s="16"/>
    </row>
    <row r="2027" spans="2:2">
      <c r="B2027" s="16"/>
    </row>
    <row r="2028" spans="2:2">
      <c r="B2028" s="16"/>
    </row>
    <row r="2029" spans="2:2">
      <c r="B2029" s="16"/>
    </row>
    <row r="2030" spans="2:2">
      <c r="B2030" s="16"/>
    </row>
    <row r="2031" spans="2:2">
      <c r="B2031" s="16"/>
    </row>
    <row r="2032" spans="2:2">
      <c r="B2032" s="16"/>
    </row>
    <row r="2033" spans="2:2">
      <c r="B2033" s="16"/>
    </row>
    <row r="2034" spans="2:2">
      <c r="B2034" s="16"/>
    </row>
    <row r="2035" spans="2:2">
      <c r="B2035" s="16"/>
    </row>
    <row r="2036" spans="2:2">
      <c r="B2036" s="16"/>
    </row>
    <row r="2037" spans="2:2">
      <c r="B2037" s="16"/>
    </row>
    <row r="2038" spans="2:2">
      <c r="B2038" s="16"/>
    </row>
    <row r="2039" spans="2:2">
      <c r="B2039" s="16"/>
    </row>
    <row r="2040" spans="2:2">
      <c r="B2040" s="16"/>
    </row>
    <row r="2041" spans="2:2">
      <c r="B2041" s="16"/>
    </row>
    <row r="2042" spans="2:2">
      <c r="B2042" s="16"/>
    </row>
    <row r="2043" spans="2:2">
      <c r="B2043" s="16"/>
    </row>
    <row r="2044" spans="2:2">
      <c r="B2044" s="16"/>
    </row>
    <row r="2045" spans="2:2">
      <c r="B2045" s="16"/>
    </row>
    <row r="2046" spans="2:2">
      <c r="B2046" s="16"/>
    </row>
    <row r="2047" spans="2:2">
      <c r="B2047" s="16"/>
    </row>
    <row r="2048" spans="2:2">
      <c r="B2048" s="16"/>
    </row>
    <row r="2049" spans="2:2">
      <c r="B2049" s="16"/>
    </row>
    <row r="2050" spans="2:2">
      <c r="B2050" s="16"/>
    </row>
    <row r="2051" spans="2:2">
      <c r="B2051" s="16"/>
    </row>
    <row r="2052" spans="2:2">
      <c r="B2052" s="16"/>
    </row>
    <row r="2053" spans="2:2">
      <c r="B2053" s="16"/>
    </row>
    <row r="2054" spans="2:2">
      <c r="B2054" s="16"/>
    </row>
    <row r="2055" spans="2:2">
      <c r="B2055" s="16"/>
    </row>
    <row r="2056" spans="2:2">
      <c r="B2056" s="16"/>
    </row>
    <row r="2057" spans="2:2">
      <c r="B2057" s="16"/>
    </row>
    <row r="2058" spans="2:2">
      <c r="B2058" s="16"/>
    </row>
    <row r="2059" spans="2:2">
      <c r="B2059" s="16"/>
    </row>
    <row r="2060" spans="2:2">
      <c r="B2060" s="16"/>
    </row>
    <row r="2061" spans="2:2">
      <c r="B2061" s="16"/>
    </row>
    <row r="2062" spans="2:2">
      <c r="B2062" s="16"/>
    </row>
    <row r="2063" spans="2:2">
      <c r="B2063" s="16"/>
    </row>
    <row r="2064" spans="2:2">
      <c r="B2064" s="16"/>
    </row>
    <row r="2065" spans="2:2">
      <c r="B2065" s="16"/>
    </row>
    <row r="2066" spans="2:2">
      <c r="B2066" s="16"/>
    </row>
    <row r="2067" spans="2:2">
      <c r="B2067" s="16"/>
    </row>
    <row r="2068" spans="2:2">
      <c r="B2068" s="16"/>
    </row>
    <row r="2069" spans="2:2">
      <c r="B2069" s="16"/>
    </row>
    <row r="2070" spans="2:2">
      <c r="B2070" s="16"/>
    </row>
    <row r="2071" spans="2:2">
      <c r="B2071" s="16"/>
    </row>
    <row r="2072" spans="2:2">
      <c r="B2072" s="16"/>
    </row>
    <row r="2073" spans="2:2">
      <c r="B2073" s="16"/>
    </row>
    <row r="2074" spans="2:2">
      <c r="B2074" s="16"/>
    </row>
    <row r="2075" spans="2:2">
      <c r="B2075" s="16"/>
    </row>
    <row r="2076" spans="2:2">
      <c r="B2076" s="16"/>
    </row>
    <row r="2077" spans="2:2">
      <c r="B2077" s="16"/>
    </row>
    <row r="2078" spans="2:2">
      <c r="B2078" s="16"/>
    </row>
    <row r="2079" spans="2:2">
      <c r="B2079" s="16"/>
    </row>
    <row r="2080" spans="2:2">
      <c r="B2080" s="16"/>
    </row>
    <row r="2081" spans="2:2">
      <c r="B2081" s="16"/>
    </row>
    <row r="2082" spans="2:2">
      <c r="B2082" s="16"/>
    </row>
    <row r="2083" spans="2:2">
      <c r="B2083" s="16"/>
    </row>
    <row r="2084" spans="2:2">
      <c r="B2084" s="16"/>
    </row>
    <row r="2085" spans="2:2">
      <c r="B2085" s="16"/>
    </row>
    <row r="2086" spans="2:2">
      <c r="B2086" s="16"/>
    </row>
    <row r="2087" spans="2:2">
      <c r="B2087" s="16"/>
    </row>
    <row r="2088" spans="2:2">
      <c r="B2088" s="16"/>
    </row>
    <row r="2089" spans="2:2">
      <c r="B2089" s="16"/>
    </row>
    <row r="2090" spans="2:2">
      <c r="B2090" s="16"/>
    </row>
    <row r="2091" spans="2:2">
      <c r="B2091" s="16"/>
    </row>
    <row r="2092" spans="2:2">
      <c r="B2092" s="16"/>
    </row>
    <row r="2093" spans="2:2">
      <c r="B2093" s="16"/>
    </row>
    <row r="2094" spans="2:2">
      <c r="B2094" s="16"/>
    </row>
    <row r="2095" spans="2:2">
      <c r="B2095" s="16"/>
    </row>
    <row r="2096" spans="2:2">
      <c r="B2096" s="16"/>
    </row>
    <row r="2097" spans="2:2">
      <c r="B2097" s="16"/>
    </row>
    <row r="2098" spans="2:2">
      <c r="B2098" s="16"/>
    </row>
    <row r="2099" spans="2:2">
      <c r="B2099" s="16"/>
    </row>
    <row r="2100" spans="2:2">
      <c r="B2100" s="16"/>
    </row>
    <row r="2101" spans="2:2">
      <c r="B2101" s="16"/>
    </row>
    <row r="2102" spans="2:2">
      <c r="B2102" s="16"/>
    </row>
    <row r="2103" spans="2:2">
      <c r="B2103" s="16"/>
    </row>
    <row r="2104" spans="2:2">
      <c r="B2104" s="16"/>
    </row>
    <row r="2105" spans="2:2">
      <c r="B2105" s="16"/>
    </row>
    <row r="2106" spans="2:2">
      <c r="B2106" s="16"/>
    </row>
    <row r="2107" spans="2:2">
      <c r="B2107" s="16"/>
    </row>
    <row r="2108" spans="2:2">
      <c r="B2108" s="16"/>
    </row>
    <row r="2109" spans="2:2">
      <c r="B2109" s="16"/>
    </row>
    <row r="2110" spans="2:2">
      <c r="B2110" s="16"/>
    </row>
    <row r="2111" spans="2:2">
      <c r="B2111" s="16"/>
    </row>
    <row r="2112" spans="2:2">
      <c r="B2112" s="16"/>
    </row>
    <row r="2113" spans="2:2">
      <c r="B2113" s="16"/>
    </row>
    <row r="2114" spans="2:2">
      <c r="B2114" s="16"/>
    </row>
    <row r="2115" spans="2:2">
      <c r="B2115" s="16"/>
    </row>
    <row r="2116" spans="2:2">
      <c r="B2116" s="16"/>
    </row>
    <row r="2117" spans="2:2">
      <c r="B2117" s="16"/>
    </row>
    <row r="2118" spans="2:2">
      <c r="B2118" s="16"/>
    </row>
    <row r="2119" spans="2:2">
      <c r="B2119" s="16"/>
    </row>
    <row r="2120" spans="2:2">
      <c r="B2120" s="16"/>
    </row>
    <row r="2121" spans="2:2">
      <c r="B2121" s="16"/>
    </row>
    <row r="2122" spans="2:2">
      <c r="B2122" s="16"/>
    </row>
    <row r="2123" spans="2:2">
      <c r="B2123" s="16"/>
    </row>
    <row r="2124" spans="2:2">
      <c r="B2124" s="16"/>
    </row>
    <row r="2125" spans="2:2">
      <c r="B2125" s="16"/>
    </row>
    <row r="2126" spans="2:2">
      <c r="B2126" s="16"/>
    </row>
    <row r="2127" spans="2:2">
      <c r="B2127" s="16"/>
    </row>
    <row r="2128" spans="2:2">
      <c r="B2128" s="16"/>
    </row>
    <row r="2129" spans="2:2">
      <c r="B2129" s="16"/>
    </row>
    <row r="2130" spans="2:2">
      <c r="B2130" s="16"/>
    </row>
    <row r="2131" spans="2:2">
      <c r="B2131" s="16"/>
    </row>
    <row r="2132" spans="2:2">
      <c r="B2132" s="16"/>
    </row>
    <row r="2133" spans="2:2">
      <c r="B2133" s="16"/>
    </row>
    <row r="2134" spans="2:2">
      <c r="B2134" s="16"/>
    </row>
    <row r="2135" spans="2:2">
      <c r="B2135" s="16"/>
    </row>
    <row r="2136" spans="2:2">
      <c r="B2136" s="16"/>
    </row>
    <row r="2137" spans="2:2">
      <c r="B2137" s="16"/>
    </row>
    <row r="2138" spans="2:2">
      <c r="B2138" s="16"/>
    </row>
    <row r="2139" spans="2:2">
      <c r="B2139" s="16"/>
    </row>
    <row r="2140" spans="2:2">
      <c r="B2140" s="16"/>
    </row>
    <row r="2141" spans="2:2">
      <c r="B2141" s="16"/>
    </row>
    <row r="2142" spans="2:2">
      <c r="B2142" s="16"/>
    </row>
    <row r="2143" spans="2:2">
      <c r="B2143" s="16"/>
    </row>
    <row r="2144" spans="2:2">
      <c r="B2144" s="16"/>
    </row>
    <row r="2145" spans="2:2">
      <c r="B2145" s="16"/>
    </row>
    <row r="2146" spans="2:2">
      <c r="B2146" s="16"/>
    </row>
    <row r="2147" spans="2:2">
      <c r="B2147" s="16"/>
    </row>
    <row r="2148" spans="2:2">
      <c r="B2148" s="16"/>
    </row>
    <row r="2149" spans="2:2">
      <c r="B2149" s="16"/>
    </row>
    <row r="2150" spans="2:2">
      <c r="B2150" s="16"/>
    </row>
    <row r="2151" spans="2:2">
      <c r="B2151" s="16"/>
    </row>
    <row r="2152" spans="2:2">
      <c r="B2152" s="16"/>
    </row>
    <row r="2153" spans="2:2">
      <c r="B2153" s="16"/>
    </row>
    <row r="2154" spans="2:2">
      <c r="B2154" s="16"/>
    </row>
    <row r="2155" spans="2:2">
      <c r="B2155" s="16"/>
    </row>
    <row r="2156" spans="2:2">
      <c r="B2156" s="16"/>
    </row>
    <row r="2157" spans="2:2">
      <c r="B2157" s="16"/>
    </row>
    <row r="2158" spans="2:2">
      <c r="B2158" s="16"/>
    </row>
    <row r="2159" spans="2:2">
      <c r="B2159" s="16"/>
    </row>
    <row r="2160" spans="2:2">
      <c r="B2160" s="16"/>
    </row>
    <row r="2161" spans="2:2">
      <c r="B2161" s="16"/>
    </row>
    <row r="2162" spans="2:2">
      <c r="B2162" s="16"/>
    </row>
    <row r="2163" spans="2:2">
      <c r="B2163" s="16"/>
    </row>
    <row r="2164" spans="2:2">
      <c r="B2164" s="16"/>
    </row>
    <row r="2165" spans="2:2">
      <c r="B2165" s="16"/>
    </row>
    <row r="2166" spans="2:2">
      <c r="B2166" s="16"/>
    </row>
    <row r="2167" spans="2:2">
      <c r="B2167" s="16"/>
    </row>
    <row r="2168" spans="2:2">
      <c r="B2168" s="16"/>
    </row>
    <row r="2169" spans="2:2">
      <c r="B2169" s="16"/>
    </row>
    <row r="2170" spans="2:2">
      <c r="B2170" s="16"/>
    </row>
    <row r="2171" spans="2:2">
      <c r="B2171" s="16"/>
    </row>
    <row r="2172" spans="2:2">
      <c r="B2172" s="16"/>
    </row>
    <row r="2173" spans="2:2">
      <c r="B2173" s="16"/>
    </row>
    <row r="2174" spans="2:2">
      <c r="B2174" s="16"/>
    </row>
    <row r="2175" spans="2:2">
      <c r="B2175" s="16"/>
    </row>
    <row r="2176" spans="2:2">
      <c r="B2176" s="16"/>
    </row>
    <row r="2177" spans="2:2">
      <c r="B2177" s="16"/>
    </row>
    <row r="2178" spans="2:2">
      <c r="B2178" s="16"/>
    </row>
    <row r="2179" spans="2:2">
      <c r="B2179" s="16"/>
    </row>
    <row r="2180" spans="2:2">
      <c r="B2180" s="16"/>
    </row>
    <row r="2181" spans="2:2">
      <c r="B2181" s="16"/>
    </row>
    <row r="2182" spans="2:2">
      <c r="B2182" s="16"/>
    </row>
    <row r="2183" spans="2:2">
      <c r="B2183" s="16"/>
    </row>
    <row r="2184" spans="2:2">
      <c r="B2184" s="16"/>
    </row>
    <row r="2185" spans="2:2">
      <c r="B2185" s="16"/>
    </row>
    <row r="2186" spans="2:2">
      <c r="B2186" s="16"/>
    </row>
    <row r="2187" spans="2:2">
      <c r="B2187" s="16"/>
    </row>
    <row r="2188" spans="2:2">
      <c r="B2188" s="16"/>
    </row>
    <row r="2189" spans="2:2">
      <c r="B2189" s="16"/>
    </row>
    <row r="2190" spans="2:2">
      <c r="B2190" s="16"/>
    </row>
    <row r="2191" spans="2:2">
      <c r="B2191" s="16"/>
    </row>
    <row r="2192" spans="2:2">
      <c r="B2192" s="16"/>
    </row>
    <row r="2193" spans="2:2">
      <c r="B2193" s="16"/>
    </row>
    <row r="2194" spans="2:2">
      <c r="B2194" s="16"/>
    </row>
    <row r="2195" spans="2:2">
      <c r="B2195" s="16"/>
    </row>
    <row r="2196" spans="2:2">
      <c r="B2196" s="16"/>
    </row>
    <row r="2197" spans="2:2">
      <c r="B2197" s="16"/>
    </row>
    <row r="2198" spans="2:2">
      <c r="B2198" s="16"/>
    </row>
    <row r="2199" spans="2:2">
      <c r="B2199" s="16"/>
    </row>
    <row r="2200" spans="2:2">
      <c r="B2200" s="16"/>
    </row>
    <row r="2201" spans="2:2">
      <c r="B2201" s="16"/>
    </row>
    <row r="2202" spans="2:2">
      <c r="B2202" s="16"/>
    </row>
    <row r="2203" spans="2:2">
      <c r="B2203" s="16"/>
    </row>
    <row r="2204" spans="2:2">
      <c r="B2204" s="16"/>
    </row>
    <row r="2205" spans="2:2">
      <c r="B2205" s="16"/>
    </row>
    <row r="2206" spans="2:2">
      <c r="B2206" s="16"/>
    </row>
    <row r="2207" spans="2:2">
      <c r="B2207" s="16"/>
    </row>
    <row r="2208" spans="2:2">
      <c r="B2208" s="16"/>
    </row>
    <row r="2209" spans="2:2">
      <c r="B2209" s="16"/>
    </row>
    <row r="2210" spans="2:2">
      <c r="B2210" s="16"/>
    </row>
    <row r="2211" spans="2:2">
      <c r="B2211" s="16"/>
    </row>
    <row r="2212" spans="2:2">
      <c r="B2212" s="16"/>
    </row>
    <row r="2213" spans="2:2">
      <c r="B2213" s="16"/>
    </row>
    <row r="2214" spans="2:2">
      <c r="B2214" s="16"/>
    </row>
    <row r="2215" spans="2:2">
      <c r="B2215" s="16"/>
    </row>
    <row r="2216" spans="2:2">
      <c r="B2216" s="16"/>
    </row>
    <row r="2217" spans="2:2">
      <c r="B2217" s="16"/>
    </row>
    <row r="2218" spans="2:2">
      <c r="B2218" s="16"/>
    </row>
    <row r="2219" spans="2:2">
      <c r="B2219" s="16"/>
    </row>
    <row r="2220" spans="2:2">
      <c r="B2220" s="16"/>
    </row>
    <row r="2221" spans="2:2">
      <c r="B2221" s="16"/>
    </row>
    <row r="2222" spans="2:2">
      <c r="B2222" s="16"/>
    </row>
    <row r="2223" spans="2:2">
      <c r="B2223" s="16"/>
    </row>
    <row r="2224" spans="2:2">
      <c r="B2224" s="16"/>
    </row>
    <row r="2225" spans="2:2">
      <c r="B2225" s="16"/>
    </row>
    <row r="2226" spans="2:2">
      <c r="B2226" s="16"/>
    </row>
    <row r="2227" spans="2:2">
      <c r="B2227" s="16"/>
    </row>
    <row r="2228" spans="2:2">
      <c r="B2228" s="16"/>
    </row>
    <row r="2229" spans="2:2">
      <c r="B2229" s="16"/>
    </row>
    <row r="2230" spans="2:2">
      <c r="B2230" s="16"/>
    </row>
    <row r="2231" spans="2:2">
      <c r="B2231" s="16"/>
    </row>
    <row r="2232" spans="2:2">
      <c r="B2232" s="16"/>
    </row>
    <row r="2233" spans="2:2">
      <c r="B2233" s="16"/>
    </row>
    <row r="2234" spans="2:2">
      <c r="B2234" s="16"/>
    </row>
    <row r="2235" spans="2:2">
      <c r="B2235" s="16"/>
    </row>
    <row r="2236" spans="2:2">
      <c r="B2236" s="16"/>
    </row>
    <row r="2237" spans="2:2">
      <c r="B2237" s="16"/>
    </row>
    <row r="2238" spans="2:2">
      <c r="B2238" s="16"/>
    </row>
    <row r="2239" spans="2:2">
      <c r="B2239" s="16"/>
    </row>
    <row r="2240" spans="2:2">
      <c r="B2240" s="16"/>
    </row>
    <row r="2241" spans="2:2">
      <c r="B2241" s="16"/>
    </row>
    <row r="2242" spans="2:2">
      <c r="B2242" s="16"/>
    </row>
    <row r="2243" spans="2:2">
      <c r="B2243" s="16"/>
    </row>
    <row r="2244" spans="2:2">
      <c r="B2244" s="16"/>
    </row>
    <row r="2245" spans="2:2">
      <c r="B2245" s="16"/>
    </row>
    <row r="2246" spans="2:2">
      <c r="B2246" s="16"/>
    </row>
    <row r="2247" spans="2:2">
      <c r="B2247" s="16"/>
    </row>
    <row r="2248" spans="2:2">
      <c r="B2248" s="16"/>
    </row>
    <row r="2249" spans="2:2">
      <c r="B2249" s="16"/>
    </row>
    <row r="2250" spans="2:2">
      <c r="B2250" s="16"/>
    </row>
    <row r="2251" spans="2:2">
      <c r="B2251" s="16"/>
    </row>
    <row r="2252" spans="2:2">
      <c r="B2252" s="16"/>
    </row>
    <row r="2253" spans="2:2">
      <c r="B2253" s="16"/>
    </row>
    <row r="2254" spans="2:2">
      <c r="B2254" s="16"/>
    </row>
    <row r="2255" spans="2:2">
      <c r="B2255" s="16"/>
    </row>
    <row r="2256" spans="2:2">
      <c r="B2256" s="16"/>
    </row>
    <row r="2257" spans="2:2">
      <c r="B2257" s="16"/>
    </row>
    <row r="2258" spans="2:2">
      <c r="B2258" s="16"/>
    </row>
    <row r="2259" spans="2:2">
      <c r="B2259" s="16"/>
    </row>
    <row r="2260" spans="2:2">
      <c r="B2260" s="16"/>
    </row>
    <row r="2261" spans="2:2">
      <c r="B2261" s="16"/>
    </row>
    <row r="2262" spans="2:2">
      <c r="B2262" s="16"/>
    </row>
    <row r="2263" spans="2:2">
      <c r="B2263" s="16"/>
    </row>
    <row r="2264" spans="2:2">
      <c r="B2264" s="16"/>
    </row>
    <row r="2265" spans="2:2">
      <c r="B2265" s="16"/>
    </row>
    <row r="2266" spans="2:2">
      <c r="B2266" s="16"/>
    </row>
    <row r="2267" spans="2:2">
      <c r="B2267" s="16"/>
    </row>
    <row r="2268" spans="2:2">
      <c r="B2268" s="16"/>
    </row>
    <row r="2269" spans="2:2">
      <c r="B2269" s="16"/>
    </row>
    <row r="2270" spans="2:2">
      <c r="B2270" s="16"/>
    </row>
    <row r="2271" spans="2:2">
      <c r="B2271" s="16"/>
    </row>
    <row r="2272" spans="2:2">
      <c r="B2272" s="16"/>
    </row>
    <row r="2273" spans="2:2">
      <c r="B2273" s="16"/>
    </row>
    <row r="2274" spans="2:2">
      <c r="B2274" s="16"/>
    </row>
    <row r="2275" spans="2:2">
      <c r="B2275" s="16"/>
    </row>
    <row r="2276" spans="2:2">
      <c r="B2276" s="16"/>
    </row>
    <row r="2277" spans="2:2">
      <c r="B2277" s="16"/>
    </row>
    <row r="2278" spans="2:2">
      <c r="B2278" s="16"/>
    </row>
    <row r="2279" spans="2:2">
      <c r="B2279" s="16"/>
    </row>
    <row r="2280" spans="2:2">
      <c r="B2280" s="16"/>
    </row>
    <row r="2281" spans="2:2">
      <c r="B2281" s="16"/>
    </row>
    <row r="2282" spans="2:2">
      <c r="B2282" s="16"/>
    </row>
    <row r="2283" spans="2:2">
      <c r="B2283" s="16"/>
    </row>
    <row r="2284" spans="2:2">
      <c r="B2284" s="16"/>
    </row>
    <row r="2285" spans="2:2">
      <c r="B2285" s="16"/>
    </row>
    <row r="2286" spans="2:2">
      <c r="B2286" s="16"/>
    </row>
    <row r="2287" spans="2:2">
      <c r="B2287" s="16"/>
    </row>
    <row r="2288" spans="2:2">
      <c r="B2288" s="16"/>
    </row>
    <row r="2289" spans="2:2">
      <c r="B2289" s="16"/>
    </row>
    <row r="2290" spans="2:2">
      <c r="B2290" s="16"/>
    </row>
    <row r="2291" spans="2:2">
      <c r="B2291" s="16"/>
    </row>
    <row r="2292" spans="2:2">
      <c r="B2292" s="16"/>
    </row>
    <row r="2293" spans="2:2">
      <c r="B2293" s="16"/>
    </row>
    <row r="2294" spans="2:2">
      <c r="B2294" s="16"/>
    </row>
    <row r="2295" spans="2:2">
      <c r="B2295" s="16"/>
    </row>
    <row r="2296" spans="2:2">
      <c r="B2296" s="16"/>
    </row>
    <row r="2297" spans="2:2">
      <c r="B2297" s="16"/>
    </row>
    <row r="2298" spans="2:2">
      <c r="B2298" s="16"/>
    </row>
    <row r="2299" spans="2:2">
      <c r="B2299" s="16"/>
    </row>
    <row r="2300" spans="2:2">
      <c r="B2300" s="16"/>
    </row>
    <row r="2301" spans="2:2">
      <c r="B2301" s="16"/>
    </row>
    <row r="2302" spans="2:2">
      <c r="B2302" s="16"/>
    </row>
    <row r="2303" spans="2:2">
      <c r="B2303" s="16"/>
    </row>
    <row r="2304" spans="2:2">
      <c r="B2304" s="16"/>
    </row>
    <row r="2305" spans="2:2">
      <c r="B2305" s="16"/>
    </row>
    <row r="2306" spans="2:2">
      <c r="B2306" s="16"/>
    </row>
    <row r="2307" spans="2:2">
      <c r="B2307" s="16"/>
    </row>
    <row r="2308" spans="2:2">
      <c r="B2308" s="16"/>
    </row>
    <row r="2309" spans="2:2">
      <c r="B2309" s="16"/>
    </row>
    <row r="2310" spans="2:2">
      <c r="B2310" s="16"/>
    </row>
    <row r="2311" spans="2:2">
      <c r="B2311" s="16"/>
    </row>
    <row r="2312" spans="2:2">
      <c r="B2312" s="16"/>
    </row>
    <row r="2313" spans="2:2">
      <c r="B2313" s="16"/>
    </row>
    <row r="2314" spans="2:2">
      <c r="B2314" s="16"/>
    </row>
    <row r="2315" spans="2:2">
      <c r="B2315" s="16"/>
    </row>
    <row r="2316" spans="2:2">
      <c r="B2316" s="16"/>
    </row>
    <row r="2317" spans="2:2">
      <c r="B2317" s="16"/>
    </row>
    <row r="2318" spans="2:2">
      <c r="B2318" s="16"/>
    </row>
    <row r="2319" spans="2:2">
      <c r="B2319" s="16"/>
    </row>
    <row r="2320" spans="2:2">
      <c r="B2320" s="16"/>
    </row>
    <row r="2321" spans="2:2">
      <c r="B2321" s="16"/>
    </row>
    <row r="2322" spans="2:2">
      <c r="B2322" s="16"/>
    </row>
    <row r="2323" spans="2:2">
      <c r="B2323" s="16"/>
    </row>
    <row r="2324" spans="2:2">
      <c r="B2324" s="16"/>
    </row>
    <row r="2325" spans="2:2">
      <c r="B2325" s="16"/>
    </row>
    <row r="2326" spans="2:2">
      <c r="B2326" s="16"/>
    </row>
    <row r="2327" spans="2:2">
      <c r="B2327" s="16"/>
    </row>
    <row r="2328" spans="2:2">
      <c r="B2328" s="16"/>
    </row>
    <row r="2329" spans="2:2">
      <c r="B2329" s="16"/>
    </row>
    <row r="2330" spans="2:2">
      <c r="B2330" s="16"/>
    </row>
    <row r="2331" spans="2:2">
      <c r="B2331" s="16"/>
    </row>
    <row r="2332" spans="2:2">
      <c r="B2332" s="16"/>
    </row>
    <row r="2333" spans="2:2">
      <c r="B2333" s="16"/>
    </row>
    <row r="2334" spans="2:2">
      <c r="B2334" s="16"/>
    </row>
    <row r="2335" spans="2:2">
      <c r="B2335" s="16"/>
    </row>
    <row r="2336" spans="2:2">
      <c r="B2336" s="16"/>
    </row>
    <row r="2337" spans="2:2">
      <c r="B2337" s="16"/>
    </row>
    <row r="2338" spans="2:2">
      <c r="B2338" s="16"/>
    </row>
    <row r="2339" spans="2:2">
      <c r="B2339" s="16"/>
    </row>
    <row r="2340" spans="2:2">
      <c r="B2340" s="16"/>
    </row>
    <row r="2341" spans="2:2">
      <c r="B2341" s="16"/>
    </row>
    <row r="2342" spans="2:2">
      <c r="B2342" s="16"/>
    </row>
    <row r="2343" spans="2:2">
      <c r="B2343" s="16"/>
    </row>
    <row r="2344" spans="2:2">
      <c r="B2344" s="16"/>
    </row>
    <row r="2345" spans="2:2">
      <c r="B2345" s="16"/>
    </row>
    <row r="2346" spans="2:2">
      <c r="B2346" s="16"/>
    </row>
    <row r="2347" spans="2:2">
      <c r="B2347" s="16"/>
    </row>
    <row r="2348" spans="2:2">
      <c r="B2348" s="16"/>
    </row>
    <row r="2349" spans="2:2">
      <c r="B2349" s="16"/>
    </row>
    <row r="2350" spans="2:2">
      <c r="B2350" s="16"/>
    </row>
    <row r="2351" spans="2:2">
      <c r="B2351" s="16"/>
    </row>
    <row r="2352" spans="2:2">
      <c r="B2352" s="16"/>
    </row>
    <row r="2353" spans="2:2">
      <c r="B2353" s="16"/>
    </row>
    <row r="2354" spans="2:2">
      <c r="B2354" s="16"/>
    </row>
    <row r="2355" spans="2:2">
      <c r="B2355" s="16"/>
    </row>
    <row r="2356" spans="2:2">
      <c r="B2356" s="16"/>
    </row>
    <row r="2357" spans="2:2">
      <c r="B2357" s="16"/>
    </row>
    <row r="2358" spans="2:2">
      <c r="B2358" s="16"/>
    </row>
    <row r="2359" spans="2:2">
      <c r="B2359" s="16"/>
    </row>
    <row r="2360" spans="2:2">
      <c r="B2360" s="16"/>
    </row>
    <row r="2361" spans="2:2">
      <c r="B2361" s="16"/>
    </row>
    <row r="2362" spans="2:2">
      <c r="B2362" s="16"/>
    </row>
    <row r="2363" spans="2:2">
      <c r="B2363" s="16"/>
    </row>
    <row r="2364" spans="2:2">
      <c r="B2364" s="16"/>
    </row>
    <row r="2365" spans="2:2">
      <c r="B2365" s="16"/>
    </row>
    <row r="2366" spans="2:2">
      <c r="B2366" s="16"/>
    </row>
    <row r="2367" spans="2:2">
      <c r="B2367" s="16"/>
    </row>
    <row r="2368" spans="2:2">
      <c r="B2368" s="16"/>
    </row>
    <row r="2369" spans="2:2">
      <c r="B2369" s="16"/>
    </row>
    <row r="2370" spans="2:2">
      <c r="B2370" s="16"/>
    </row>
    <row r="2371" spans="2:2">
      <c r="B2371" s="16"/>
    </row>
    <row r="2372" spans="2:2">
      <c r="B2372" s="16"/>
    </row>
    <row r="2373" spans="2:2">
      <c r="B2373" s="16"/>
    </row>
    <row r="2374" spans="2:2">
      <c r="B2374" s="16"/>
    </row>
    <row r="2375" spans="2:2">
      <c r="B2375" s="16"/>
    </row>
    <row r="2376" spans="2:2">
      <c r="B2376" s="16"/>
    </row>
    <row r="2377" spans="2:2">
      <c r="B2377" s="16"/>
    </row>
    <row r="2378" spans="2:2">
      <c r="B2378" s="16"/>
    </row>
    <row r="2379" spans="2:2">
      <c r="B2379" s="16"/>
    </row>
    <row r="2380" spans="2:2">
      <c r="B2380" s="16"/>
    </row>
    <row r="2381" spans="2:2">
      <c r="B2381" s="16"/>
    </row>
    <row r="2382" spans="2:2">
      <c r="B2382" s="16"/>
    </row>
    <row r="2383" spans="2:2">
      <c r="B2383" s="16"/>
    </row>
    <row r="2384" spans="2:2">
      <c r="B2384" s="16"/>
    </row>
    <row r="2385" spans="2:2">
      <c r="B2385" s="16"/>
    </row>
    <row r="2386" spans="2:2">
      <c r="B2386" s="16"/>
    </row>
    <row r="2387" spans="2:2">
      <c r="B2387" s="16"/>
    </row>
    <row r="2388" spans="2:2">
      <c r="B2388" s="16"/>
    </row>
    <row r="2389" spans="2:2">
      <c r="B2389" s="16"/>
    </row>
    <row r="2390" spans="2:2">
      <c r="B2390" s="16"/>
    </row>
    <row r="2391" spans="2:2">
      <c r="B2391" s="16"/>
    </row>
    <row r="2392" spans="2:2">
      <c r="B2392" s="16"/>
    </row>
    <row r="2393" spans="2:2">
      <c r="B2393" s="16"/>
    </row>
    <row r="2394" spans="2:2">
      <c r="B2394" s="16"/>
    </row>
    <row r="2395" spans="2:2">
      <c r="B2395" s="16"/>
    </row>
    <row r="2396" spans="2:2">
      <c r="B2396" s="16"/>
    </row>
    <row r="2397" spans="2:2">
      <c r="B2397" s="16"/>
    </row>
    <row r="2398" spans="2:2">
      <c r="B2398" s="16"/>
    </row>
    <row r="2399" spans="2:2">
      <c r="B2399" s="16"/>
    </row>
    <row r="2400" spans="2:2">
      <c r="B2400" s="16"/>
    </row>
    <row r="2401" spans="2:2">
      <c r="B2401" s="16"/>
    </row>
    <row r="2402" spans="2:2">
      <c r="B2402" s="16"/>
    </row>
    <row r="2403" spans="2:2">
      <c r="B2403" s="16"/>
    </row>
    <row r="2404" spans="2:2">
      <c r="B2404" s="16"/>
    </row>
    <row r="2405" spans="2:2">
      <c r="B2405" s="16"/>
    </row>
    <row r="2406" spans="2:2">
      <c r="B2406" s="16"/>
    </row>
    <row r="2407" spans="2:2">
      <c r="B2407" s="16"/>
    </row>
    <row r="2408" spans="2:2">
      <c r="B2408" s="16"/>
    </row>
    <row r="2409" spans="2:2">
      <c r="B2409" s="16"/>
    </row>
    <row r="2410" spans="2:2">
      <c r="B2410" s="16"/>
    </row>
    <row r="2411" spans="2:2">
      <c r="B2411" s="16"/>
    </row>
    <row r="2412" spans="2:2">
      <c r="B2412" s="16"/>
    </row>
    <row r="2413" spans="2:2">
      <c r="B2413" s="16"/>
    </row>
    <row r="2414" spans="2:2">
      <c r="B2414" s="16"/>
    </row>
    <row r="2415" spans="2:2">
      <c r="B2415" s="16"/>
    </row>
    <row r="2416" spans="2:2">
      <c r="B2416" s="16"/>
    </row>
    <row r="2417" spans="2:2">
      <c r="B2417" s="16"/>
    </row>
    <row r="2418" spans="2:2">
      <c r="B2418" s="16"/>
    </row>
    <row r="2419" spans="2:2">
      <c r="B2419" s="16"/>
    </row>
    <row r="2420" spans="2:2">
      <c r="B2420" s="16"/>
    </row>
    <row r="2421" spans="2:2">
      <c r="B2421" s="16"/>
    </row>
    <row r="2422" spans="2:2">
      <c r="B2422" s="16"/>
    </row>
    <row r="2423" spans="2:2">
      <c r="B2423" s="16"/>
    </row>
    <row r="2424" spans="2:2">
      <c r="B2424" s="16"/>
    </row>
    <row r="2425" spans="2:2">
      <c r="B2425" s="16"/>
    </row>
    <row r="2426" spans="2:2">
      <c r="B2426" s="16"/>
    </row>
    <row r="2427" spans="2:2">
      <c r="B2427" s="16"/>
    </row>
    <row r="2428" spans="2:2">
      <c r="B2428" s="16"/>
    </row>
    <row r="2429" spans="2:2">
      <c r="B2429" s="16"/>
    </row>
    <row r="2430" spans="2:2">
      <c r="B2430" s="16"/>
    </row>
    <row r="2431" spans="2:2">
      <c r="B2431" s="16"/>
    </row>
    <row r="2432" spans="2:2">
      <c r="B2432" s="16"/>
    </row>
    <row r="2433" spans="2:2">
      <c r="B2433" s="16"/>
    </row>
    <row r="2434" spans="2:2">
      <c r="B2434" s="16"/>
    </row>
    <row r="2435" spans="2:2">
      <c r="B2435" s="16"/>
    </row>
    <row r="2436" spans="2:2">
      <c r="B2436" s="16"/>
    </row>
    <row r="2437" spans="2:2">
      <c r="B2437" s="16"/>
    </row>
    <row r="2438" spans="2:2">
      <c r="B2438" s="16"/>
    </row>
    <row r="2439" spans="2:2">
      <c r="B2439" s="16"/>
    </row>
    <row r="2440" spans="2:2">
      <c r="B2440" s="16"/>
    </row>
    <row r="2441" spans="2:2">
      <c r="B2441" s="16"/>
    </row>
    <row r="2442" spans="2:2">
      <c r="B2442" s="16"/>
    </row>
    <row r="2443" spans="2:2">
      <c r="B2443" s="16"/>
    </row>
    <row r="2444" spans="2:2">
      <c r="B2444" s="16"/>
    </row>
    <row r="2445" spans="2:2">
      <c r="B2445" s="16"/>
    </row>
    <row r="2446" spans="2:2">
      <c r="B2446" s="16"/>
    </row>
    <row r="2447" spans="2:2">
      <c r="B2447" s="16"/>
    </row>
    <row r="2448" spans="2:2">
      <c r="B2448" s="16"/>
    </row>
    <row r="2449" spans="2:2">
      <c r="B2449" s="16"/>
    </row>
    <row r="2450" spans="2:2">
      <c r="B2450" s="16"/>
    </row>
    <row r="2451" spans="2:2">
      <c r="B2451" s="16"/>
    </row>
    <row r="2452" spans="2:2">
      <c r="B2452" s="16"/>
    </row>
    <row r="2453" spans="2:2">
      <c r="B2453" s="16"/>
    </row>
    <row r="2454" spans="2:2">
      <c r="B2454" s="16"/>
    </row>
    <row r="2455" spans="2:2">
      <c r="B2455" s="16"/>
    </row>
    <row r="2456" spans="2:2">
      <c r="B2456" s="16"/>
    </row>
    <row r="2457" spans="2:2">
      <c r="B2457" s="16"/>
    </row>
    <row r="2458" spans="2:2">
      <c r="B2458" s="16"/>
    </row>
    <row r="2459" spans="2:2">
      <c r="B2459" s="16"/>
    </row>
    <row r="2460" spans="2:2">
      <c r="B2460" s="16"/>
    </row>
    <row r="2461" spans="2:2">
      <c r="B2461" s="16"/>
    </row>
    <row r="2462" spans="2:2">
      <c r="B2462" s="16"/>
    </row>
    <row r="2463" spans="2:2">
      <c r="B2463" s="16"/>
    </row>
    <row r="2464" spans="2:2">
      <c r="B2464" s="16"/>
    </row>
    <row r="2465" spans="2:2">
      <c r="B2465" s="16"/>
    </row>
    <row r="2466" spans="2:2">
      <c r="B2466" s="16"/>
    </row>
    <row r="2467" spans="2:2">
      <c r="B2467" s="16"/>
    </row>
    <row r="2468" spans="2:2">
      <c r="B2468" s="16"/>
    </row>
    <row r="2469" spans="2:2">
      <c r="B2469" s="16"/>
    </row>
    <row r="2470" spans="2:2">
      <c r="B2470" s="16"/>
    </row>
    <row r="2471" spans="2:2">
      <c r="B2471" s="16"/>
    </row>
    <row r="2472" spans="2:2">
      <c r="B2472" s="16"/>
    </row>
    <row r="2473" spans="2:2">
      <c r="B2473" s="16"/>
    </row>
    <row r="2474" spans="2:2">
      <c r="B2474" s="16"/>
    </row>
    <row r="2475" spans="2:2">
      <c r="B2475" s="16"/>
    </row>
    <row r="2476" spans="2:2">
      <c r="B2476" s="16"/>
    </row>
    <row r="2477" spans="2:2">
      <c r="B2477" s="16"/>
    </row>
    <row r="2478" spans="2:2">
      <c r="B2478" s="16"/>
    </row>
    <row r="2479" spans="2:2">
      <c r="B2479" s="16"/>
    </row>
    <row r="2480" spans="2:2">
      <c r="B2480" s="16"/>
    </row>
    <row r="2481" spans="2:2">
      <c r="B2481" s="16"/>
    </row>
    <row r="2482" spans="2:2">
      <c r="B2482" s="16"/>
    </row>
    <row r="2483" spans="2:2">
      <c r="B2483" s="16"/>
    </row>
    <row r="2484" spans="2:2">
      <c r="B2484" s="16"/>
    </row>
    <row r="2485" spans="2:2">
      <c r="B2485" s="16"/>
    </row>
    <row r="2486" spans="2:2">
      <c r="B2486" s="16"/>
    </row>
    <row r="2487" spans="2:2">
      <c r="B2487" s="16"/>
    </row>
    <row r="2488" spans="2:2">
      <c r="B2488" s="16"/>
    </row>
    <row r="2489" spans="2:2">
      <c r="B2489" s="16"/>
    </row>
    <row r="2490" spans="2:2">
      <c r="B2490" s="16"/>
    </row>
    <row r="2491" spans="2:2">
      <c r="B2491" s="16"/>
    </row>
    <row r="2492" spans="2:2">
      <c r="B2492" s="16"/>
    </row>
    <row r="2493" spans="2:2">
      <c r="B2493" s="16"/>
    </row>
    <row r="2494" spans="2:2">
      <c r="B2494" s="16"/>
    </row>
    <row r="2495" spans="2:2">
      <c r="B2495" s="16"/>
    </row>
    <row r="2496" spans="2:2">
      <c r="B2496" s="16"/>
    </row>
    <row r="2497" spans="2:2">
      <c r="B2497" s="16"/>
    </row>
    <row r="2498" spans="2:2">
      <c r="B2498" s="16"/>
    </row>
    <row r="2499" spans="2:2">
      <c r="B2499" s="16"/>
    </row>
    <row r="2500" spans="2:2">
      <c r="B2500" s="16"/>
    </row>
    <row r="2501" spans="2:2">
      <c r="B2501" s="16"/>
    </row>
    <row r="2502" spans="2:2">
      <c r="B2502" s="16"/>
    </row>
    <row r="2503" spans="2:2">
      <c r="B2503" s="16"/>
    </row>
    <row r="2504" spans="2:2">
      <c r="B2504" s="16"/>
    </row>
    <row r="2505" spans="2:2">
      <c r="B2505" s="16"/>
    </row>
    <row r="2506" spans="2:2">
      <c r="B2506" s="16"/>
    </row>
    <row r="2507" spans="2:2">
      <c r="B2507" s="16"/>
    </row>
    <row r="2508" spans="2:2">
      <c r="B2508" s="16"/>
    </row>
    <row r="2509" spans="2:2">
      <c r="B2509" s="16"/>
    </row>
    <row r="2510" spans="2:2">
      <c r="B2510" s="16"/>
    </row>
    <row r="2511" spans="2:2">
      <c r="B2511" s="16"/>
    </row>
    <row r="2512" spans="2:2">
      <c r="B2512" s="16"/>
    </row>
    <row r="2513" spans="2:2">
      <c r="B2513" s="16"/>
    </row>
    <row r="2514" spans="2:2">
      <c r="B2514" s="16"/>
    </row>
    <row r="2515" spans="2:2">
      <c r="B2515" s="16"/>
    </row>
    <row r="2516" spans="2:2">
      <c r="B2516" s="16"/>
    </row>
    <row r="2517" spans="2:2">
      <c r="B2517" s="16"/>
    </row>
    <row r="2518" spans="2:2">
      <c r="B2518" s="16"/>
    </row>
    <row r="2519" spans="2:2">
      <c r="B2519" s="16"/>
    </row>
    <row r="2520" spans="2:2">
      <c r="B2520" s="16"/>
    </row>
    <row r="2521" spans="2:2">
      <c r="B2521" s="16"/>
    </row>
    <row r="2522" spans="2:2">
      <c r="B2522" s="16"/>
    </row>
    <row r="2523" spans="2:2">
      <c r="B2523" s="16"/>
    </row>
    <row r="2524" spans="2:2">
      <c r="B2524" s="16"/>
    </row>
    <row r="2525" spans="2:2">
      <c r="B2525" s="16"/>
    </row>
    <row r="2526" spans="2:2">
      <c r="B2526" s="16"/>
    </row>
    <row r="2527" spans="2:2">
      <c r="B2527" s="16"/>
    </row>
    <row r="2528" spans="2:2">
      <c r="B2528" s="16"/>
    </row>
    <row r="2529" spans="2:2">
      <c r="B2529" s="16"/>
    </row>
    <row r="2530" spans="2:2">
      <c r="B2530" s="16"/>
    </row>
    <row r="2531" spans="2:2">
      <c r="B2531" s="16"/>
    </row>
    <row r="2532" spans="2:2">
      <c r="B2532" s="16"/>
    </row>
    <row r="2533" spans="2:2">
      <c r="B2533" s="16"/>
    </row>
    <row r="2534" spans="2:2">
      <c r="B2534" s="16"/>
    </row>
    <row r="2535" spans="2:2">
      <c r="B2535" s="16"/>
    </row>
    <row r="2536" spans="2:2">
      <c r="B2536" s="16"/>
    </row>
    <row r="2537" spans="2:2">
      <c r="B2537" s="16"/>
    </row>
    <row r="2538" spans="2:2">
      <c r="B2538" s="16"/>
    </row>
    <row r="2539" spans="2:2">
      <c r="B2539" s="16"/>
    </row>
    <row r="2540" spans="2:2">
      <c r="B2540" s="16"/>
    </row>
    <row r="2541" spans="2:2">
      <c r="B2541" s="16"/>
    </row>
    <row r="2542" spans="2:2">
      <c r="B2542" s="16"/>
    </row>
    <row r="2543" spans="2:2">
      <c r="B2543" s="16"/>
    </row>
    <row r="2544" spans="2:2">
      <c r="B2544" s="16"/>
    </row>
    <row r="2545" spans="2:2">
      <c r="B2545" s="16"/>
    </row>
    <row r="2546" spans="2:2">
      <c r="B2546" s="16"/>
    </row>
    <row r="2547" spans="2:2">
      <c r="B2547" s="16"/>
    </row>
    <row r="2548" spans="2:2">
      <c r="B2548" s="16"/>
    </row>
    <row r="2549" spans="2:2">
      <c r="B2549" s="16"/>
    </row>
    <row r="2550" spans="2:2">
      <c r="B2550" s="16"/>
    </row>
    <row r="2551" spans="2:2">
      <c r="B2551" s="16"/>
    </row>
    <row r="2552" spans="2:2">
      <c r="B2552" s="16"/>
    </row>
    <row r="2553" spans="2:2">
      <c r="B2553" s="16"/>
    </row>
    <row r="2554" spans="2:2">
      <c r="B2554" s="16"/>
    </row>
    <row r="2555" spans="2:2">
      <c r="B2555" s="16"/>
    </row>
    <row r="2556" spans="2:2">
      <c r="B2556" s="16"/>
    </row>
    <row r="2557" spans="2:2">
      <c r="B2557" s="16"/>
    </row>
    <row r="2558" spans="2:2">
      <c r="B2558" s="16"/>
    </row>
    <row r="2559" spans="2:2">
      <c r="B2559" s="16"/>
    </row>
    <row r="2560" spans="2:2">
      <c r="B2560" s="16"/>
    </row>
    <row r="2561" spans="2:2">
      <c r="B2561" s="16"/>
    </row>
    <row r="2562" spans="2:2">
      <c r="B2562" s="16"/>
    </row>
    <row r="2563" spans="2:2">
      <c r="B2563" s="16"/>
    </row>
    <row r="2564" spans="2:2">
      <c r="B2564" s="16"/>
    </row>
    <row r="2565" spans="2:2">
      <c r="B2565" s="16"/>
    </row>
    <row r="2566" spans="2:2">
      <c r="B2566" s="16"/>
    </row>
    <row r="2567" spans="2:2">
      <c r="B2567" s="16"/>
    </row>
    <row r="2568" spans="2:2">
      <c r="B2568" s="16"/>
    </row>
    <row r="2569" spans="2:2">
      <c r="B2569" s="16"/>
    </row>
    <row r="2570" spans="2:2">
      <c r="B2570" s="16"/>
    </row>
    <row r="2571" spans="2:2">
      <c r="B2571" s="16"/>
    </row>
    <row r="2572" spans="2:2">
      <c r="B2572" s="16"/>
    </row>
    <row r="2573" spans="2:2">
      <c r="B2573" s="16"/>
    </row>
    <row r="2574" spans="2:2">
      <c r="B2574" s="16"/>
    </row>
    <row r="2575" spans="2:2">
      <c r="B2575" s="16"/>
    </row>
    <row r="2576" spans="2:2">
      <c r="B2576" s="16"/>
    </row>
    <row r="2577" spans="2:2">
      <c r="B2577" s="16"/>
    </row>
    <row r="2578" spans="2:2">
      <c r="B2578" s="16"/>
    </row>
    <row r="2579" spans="2:2">
      <c r="B2579" s="16"/>
    </row>
    <row r="2580" spans="2:2">
      <c r="B2580" s="16"/>
    </row>
    <row r="2581" spans="2:2">
      <c r="B2581" s="16"/>
    </row>
    <row r="2582" spans="2:2">
      <c r="B2582" s="16"/>
    </row>
    <row r="2583" spans="2:2">
      <c r="B2583" s="16"/>
    </row>
    <row r="2584" spans="2:2">
      <c r="B2584" s="16"/>
    </row>
    <row r="2585" spans="2:2">
      <c r="B2585" s="16"/>
    </row>
    <row r="2586" spans="2:2">
      <c r="B2586" s="16"/>
    </row>
    <row r="2587" spans="2:2">
      <c r="B2587" s="16"/>
    </row>
    <row r="2588" spans="2:2">
      <c r="B2588" s="16"/>
    </row>
    <row r="2589" spans="2:2">
      <c r="B2589" s="16"/>
    </row>
    <row r="2590" spans="2:2">
      <c r="B2590" s="16"/>
    </row>
    <row r="2591" spans="2:2">
      <c r="B2591" s="16"/>
    </row>
    <row r="2592" spans="2:2">
      <c r="B2592" s="16"/>
    </row>
    <row r="2593" spans="2:2">
      <c r="B2593" s="16"/>
    </row>
    <row r="2594" spans="2:2">
      <c r="B2594" s="16"/>
    </row>
    <row r="2595" spans="2:2">
      <c r="B2595" s="16"/>
    </row>
    <row r="2596" spans="2:2">
      <c r="B2596" s="16"/>
    </row>
    <row r="2597" spans="2:2">
      <c r="B2597" s="16"/>
    </row>
    <row r="2598" spans="2:2">
      <c r="B2598" s="16"/>
    </row>
    <row r="2599" spans="2:2">
      <c r="B2599" s="16"/>
    </row>
    <row r="2600" spans="2:2">
      <c r="B2600" s="16"/>
    </row>
    <row r="2601" spans="2:2">
      <c r="B2601" s="16"/>
    </row>
    <row r="2602" spans="2:2">
      <c r="B2602" s="16"/>
    </row>
    <row r="2603" spans="2:2">
      <c r="B2603" s="16"/>
    </row>
    <row r="2604" spans="2:2">
      <c r="B2604" s="16"/>
    </row>
    <row r="2605" spans="2:2">
      <c r="B2605" s="16"/>
    </row>
    <row r="2606" spans="2:2">
      <c r="B2606" s="16"/>
    </row>
    <row r="2607" spans="2:2">
      <c r="B2607" s="16"/>
    </row>
    <row r="2608" spans="2:2">
      <c r="B2608" s="16"/>
    </row>
    <row r="2609" spans="2:2">
      <c r="B2609" s="16"/>
    </row>
    <row r="2610" spans="2:2">
      <c r="B2610" s="16"/>
    </row>
    <row r="2611" spans="2:2">
      <c r="B2611" s="16"/>
    </row>
    <row r="2612" spans="2:2">
      <c r="B2612" s="16"/>
    </row>
    <row r="2613" spans="2:2">
      <c r="B2613" s="16"/>
    </row>
    <row r="2614" spans="2:2">
      <c r="B2614" s="16"/>
    </row>
    <row r="2615" spans="2:2">
      <c r="B2615" s="16"/>
    </row>
    <row r="2616" spans="2:2">
      <c r="B2616" s="16"/>
    </row>
    <row r="2617" spans="2:2">
      <c r="B2617" s="16"/>
    </row>
    <row r="2618" spans="2:2">
      <c r="B2618" s="16"/>
    </row>
    <row r="2619" spans="2:2">
      <c r="B2619" s="16"/>
    </row>
    <row r="2620" spans="2:2">
      <c r="B2620" s="16"/>
    </row>
    <row r="2621" spans="2:2">
      <c r="B2621" s="16"/>
    </row>
    <row r="2622" spans="2:2">
      <c r="B2622" s="16"/>
    </row>
    <row r="2623" spans="2:2">
      <c r="B2623" s="16"/>
    </row>
    <row r="2624" spans="2:2">
      <c r="B2624" s="16"/>
    </row>
    <row r="2625" spans="2:2">
      <c r="B2625" s="16"/>
    </row>
    <row r="2626" spans="2:2">
      <c r="B2626" s="16"/>
    </row>
    <row r="2627" spans="2:2">
      <c r="B2627" s="16"/>
    </row>
    <row r="2628" spans="2:2">
      <c r="B2628" s="16"/>
    </row>
    <row r="2629" spans="2:2">
      <c r="B2629" s="16"/>
    </row>
    <row r="2630" spans="2:2">
      <c r="B2630" s="16"/>
    </row>
    <row r="2631" spans="2:2">
      <c r="B2631" s="16"/>
    </row>
    <row r="2632" spans="2:2">
      <c r="B2632" s="16"/>
    </row>
    <row r="2633" spans="2:2">
      <c r="B2633" s="16"/>
    </row>
    <row r="2634" spans="2:2">
      <c r="B2634" s="16"/>
    </row>
    <row r="2635" spans="2:2">
      <c r="B2635" s="16"/>
    </row>
    <row r="2636" spans="2:2">
      <c r="B2636" s="16"/>
    </row>
    <row r="2637" spans="2:2">
      <c r="B2637" s="16"/>
    </row>
    <row r="2638" spans="2:2">
      <c r="B2638" s="16"/>
    </row>
    <row r="2639" spans="2:2">
      <c r="B2639" s="16"/>
    </row>
    <row r="2640" spans="2:2">
      <c r="B2640" s="16"/>
    </row>
    <row r="2641" spans="2:2">
      <c r="B2641" s="16"/>
    </row>
    <row r="2642" spans="2:2">
      <c r="B2642" s="16"/>
    </row>
    <row r="2643" spans="2:2">
      <c r="B2643" s="16"/>
    </row>
    <row r="2644" spans="2:2">
      <c r="B2644" s="16"/>
    </row>
    <row r="2645" spans="2:2">
      <c r="B2645" s="16"/>
    </row>
    <row r="2646" spans="2:2">
      <c r="B2646" s="16"/>
    </row>
    <row r="2647" spans="2:2">
      <c r="B2647" s="16"/>
    </row>
    <row r="2648" spans="2:2">
      <c r="B2648" s="16"/>
    </row>
    <row r="2649" spans="2:2">
      <c r="B2649" s="16"/>
    </row>
    <row r="2650" spans="2:2">
      <c r="B2650" s="16"/>
    </row>
    <row r="2651" spans="2:2">
      <c r="B2651" s="16"/>
    </row>
    <row r="2652" spans="2:2">
      <c r="B2652" s="16"/>
    </row>
    <row r="2653" spans="2:2">
      <c r="B2653" s="16"/>
    </row>
    <row r="2654" spans="2:2">
      <c r="B2654" s="16"/>
    </row>
    <row r="2655" spans="2:2">
      <c r="B2655" s="16"/>
    </row>
    <row r="2656" spans="2:2">
      <c r="B2656" s="16"/>
    </row>
    <row r="2657" spans="2:2">
      <c r="B2657" s="16"/>
    </row>
    <row r="2658" spans="2:2">
      <c r="B2658" s="16"/>
    </row>
    <row r="2659" spans="2:2">
      <c r="B2659" s="16"/>
    </row>
    <row r="2660" spans="2:2">
      <c r="B2660" s="16"/>
    </row>
    <row r="2661" spans="2:2">
      <c r="B2661" s="16"/>
    </row>
    <row r="2662" spans="2:2">
      <c r="B2662" s="16"/>
    </row>
    <row r="2663" spans="2:2">
      <c r="B2663" s="16"/>
    </row>
    <row r="2664" spans="2:2">
      <c r="B2664" s="16"/>
    </row>
    <row r="2665" spans="2:2">
      <c r="B2665" s="16"/>
    </row>
    <row r="2666" spans="2:2">
      <c r="B2666" s="16"/>
    </row>
    <row r="2667" spans="2:2">
      <c r="B2667" s="16"/>
    </row>
    <row r="2668" spans="2:2">
      <c r="B2668" s="16"/>
    </row>
    <row r="2669" spans="2:2">
      <c r="B2669" s="16"/>
    </row>
    <row r="2670" spans="2:2">
      <c r="B2670" s="16"/>
    </row>
    <row r="2671" spans="2:2">
      <c r="B2671" s="16"/>
    </row>
    <row r="2672" spans="2:2">
      <c r="B2672" s="16"/>
    </row>
    <row r="2673" spans="2:2">
      <c r="B2673" s="16"/>
    </row>
    <row r="2674" spans="2:2">
      <c r="B2674" s="16"/>
    </row>
    <row r="2675" spans="2:2">
      <c r="B2675" s="16"/>
    </row>
    <row r="2676" spans="2:2">
      <c r="B2676" s="16"/>
    </row>
    <row r="2677" spans="2:2">
      <c r="B2677" s="16"/>
    </row>
    <row r="2678" spans="2:2">
      <c r="B2678" s="16"/>
    </row>
    <row r="2679" spans="2:2">
      <c r="B2679" s="16"/>
    </row>
    <row r="2680" spans="2:2">
      <c r="B2680" s="16"/>
    </row>
    <row r="2681" spans="2:2">
      <c r="B2681" s="16"/>
    </row>
    <row r="2682" spans="2:2">
      <c r="B2682" s="16"/>
    </row>
    <row r="2683" spans="2:2">
      <c r="B2683" s="16"/>
    </row>
    <row r="2684" spans="2:2">
      <c r="B2684" s="16"/>
    </row>
    <row r="2685" spans="2:2">
      <c r="B2685" s="16"/>
    </row>
    <row r="2686" spans="2:2">
      <c r="B2686" s="16"/>
    </row>
    <row r="2687" spans="2:2">
      <c r="B2687" s="16"/>
    </row>
    <row r="2688" spans="2:2">
      <c r="B2688" s="16"/>
    </row>
    <row r="2689" spans="2:2">
      <c r="B2689" s="16"/>
    </row>
    <row r="2690" spans="2:2">
      <c r="B2690" s="16"/>
    </row>
    <row r="2691" spans="2:2">
      <c r="B2691" s="16"/>
    </row>
    <row r="2692" spans="2:2">
      <c r="B2692" s="16"/>
    </row>
    <row r="2693" spans="2:2">
      <c r="B2693" s="16"/>
    </row>
    <row r="2694" spans="2:2">
      <c r="B2694" s="16"/>
    </row>
    <row r="2695" spans="2:2">
      <c r="B2695" s="16"/>
    </row>
    <row r="2696" spans="2:2">
      <c r="B2696" s="16"/>
    </row>
    <row r="2697" spans="2:2">
      <c r="B2697" s="16"/>
    </row>
    <row r="2698" spans="2:2">
      <c r="B2698" s="16"/>
    </row>
    <row r="2699" spans="2:2">
      <c r="B2699" s="16"/>
    </row>
    <row r="2700" spans="2:2">
      <c r="B2700" s="16"/>
    </row>
    <row r="2701" spans="2:2">
      <c r="B2701" s="16"/>
    </row>
    <row r="2702" spans="2:2">
      <c r="B2702" s="16"/>
    </row>
    <row r="2703" spans="2:2">
      <c r="B2703" s="16"/>
    </row>
    <row r="2704" spans="2:2">
      <c r="B2704" s="16"/>
    </row>
    <row r="2705" spans="2:2">
      <c r="B2705" s="16"/>
    </row>
    <row r="2706" spans="2:2">
      <c r="B2706" s="16"/>
    </row>
    <row r="2707" spans="2:2">
      <c r="B2707" s="16"/>
    </row>
    <row r="2708" spans="2:2">
      <c r="B2708" s="16"/>
    </row>
    <row r="2709" spans="2:2">
      <c r="B2709" s="16"/>
    </row>
    <row r="2710" spans="2:2">
      <c r="B2710" s="16"/>
    </row>
    <row r="2711" spans="2:2">
      <c r="B2711" s="16"/>
    </row>
    <row r="2712" spans="2:2">
      <c r="B2712" s="16"/>
    </row>
    <row r="2713" spans="2:2">
      <c r="B2713" s="16"/>
    </row>
    <row r="2714" spans="2:2">
      <c r="B2714" s="16"/>
    </row>
    <row r="2715" spans="2:2">
      <c r="B2715" s="16"/>
    </row>
    <row r="2716" spans="2:2">
      <c r="B2716" s="16"/>
    </row>
    <row r="2717" spans="2:2">
      <c r="B2717" s="16"/>
    </row>
    <row r="2718" spans="2:2">
      <c r="B2718" s="16"/>
    </row>
    <row r="2719" spans="2:2">
      <c r="B2719" s="16"/>
    </row>
    <row r="2720" spans="2:2">
      <c r="B2720" s="16"/>
    </row>
    <row r="2721" spans="2:2">
      <c r="B2721" s="16"/>
    </row>
    <row r="2722" spans="2:2">
      <c r="B2722" s="16"/>
    </row>
    <row r="2723" spans="2:2">
      <c r="B2723" s="16"/>
    </row>
    <row r="2724" spans="2:2">
      <c r="B2724" s="16"/>
    </row>
    <row r="2725" spans="2:2">
      <c r="B2725" s="16"/>
    </row>
    <row r="2726" spans="2:2">
      <c r="B2726" s="16"/>
    </row>
    <row r="2727" spans="2:2">
      <c r="B2727" s="16"/>
    </row>
    <row r="2728" spans="2:2">
      <c r="B2728" s="16"/>
    </row>
    <row r="2729" spans="2:2">
      <c r="B2729" s="16"/>
    </row>
    <row r="2730" spans="2:2">
      <c r="B2730" s="16"/>
    </row>
    <row r="2731" spans="2:2">
      <c r="B2731" s="16"/>
    </row>
    <row r="2732" spans="2:2">
      <c r="B2732" s="16"/>
    </row>
    <row r="2733" spans="2:2">
      <c r="B2733" s="16"/>
    </row>
    <row r="2734" spans="2:2">
      <c r="B2734" s="16"/>
    </row>
    <row r="2735" spans="2:2">
      <c r="B2735" s="16"/>
    </row>
    <row r="2736" spans="2:2">
      <c r="B2736" s="16"/>
    </row>
    <row r="2737" spans="2:2">
      <c r="B2737" s="16"/>
    </row>
    <row r="2738" spans="2:2">
      <c r="B2738" s="16"/>
    </row>
    <row r="2739" spans="2:2">
      <c r="B2739" s="16"/>
    </row>
    <row r="2740" spans="2:2">
      <c r="B2740" s="16"/>
    </row>
    <row r="2741" spans="2:2">
      <c r="B2741" s="16"/>
    </row>
    <row r="2742" spans="2:2">
      <c r="B2742" s="16"/>
    </row>
    <row r="2743" spans="2:2">
      <c r="B2743" s="16"/>
    </row>
    <row r="2744" spans="2:2">
      <c r="B2744" s="16"/>
    </row>
    <row r="2745" spans="2:2">
      <c r="B2745" s="16"/>
    </row>
    <row r="2746" spans="2:2">
      <c r="B2746" s="16"/>
    </row>
    <row r="2747" spans="2:2">
      <c r="B2747" s="16"/>
    </row>
    <row r="2748" spans="2:2">
      <c r="B2748" s="16"/>
    </row>
    <row r="2749" spans="2:2">
      <c r="B2749" s="16"/>
    </row>
    <row r="2750" spans="2:2">
      <c r="B2750" s="16"/>
    </row>
    <row r="2751" spans="2:2">
      <c r="B2751" s="16"/>
    </row>
    <row r="2752" spans="2:2">
      <c r="B2752" s="16"/>
    </row>
    <row r="2753" spans="2:2">
      <c r="B2753" s="16"/>
    </row>
    <row r="2754" spans="2:2">
      <c r="B2754" s="16"/>
    </row>
    <row r="2755" spans="2:2">
      <c r="B2755" s="16"/>
    </row>
    <row r="2756" spans="2:2">
      <c r="B2756" s="16"/>
    </row>
    <row r="2757" spans="2:2">
      <c r="B2757" s="16"/>
    </row>
    <row r="2758" spans="2:2">
      <c r="B2758" s="16"/>
    </row>
    <row r="2759" spans="2:2">
      <c r="B2759" s="16"/>
    </row>
    <row r="2760" spans="2:2">
      <c r="B2760" s="16"/>
    </row>
    <row r="2761" spans="2:2">
      <c r="B2761" s="16"/>
    </row>
    <row r="2762" spans="2:2">
      <c r="B2762" s="16"/>
    </row>
    <row r="2763" spans="2:2">
      <c r="B2763" s="16"/>
    </row>
    <row r="2764" spans="2:2">
      <c r="B2764" s="16"/>
    </row>
    <row r="2765" spans="2:2">
      <c r="B2765" s="16"/>
    </row>
    <row r="2766" spans="2:2">
      <c r="B2766" s="16"/>
    </row>
    <row r="2767" spans="2:2">
      <c r="B2767" s="16"/>
    </row>
    <row r="2768" spans="2:2">
      <c r="B2768" s="16"/>
    </row>
    <row r="2769" spans="2:2">
      <c r="B2769" s="16"/>
    </row>
    <row r="2770" spans="2:2">
      <c r="B2770" s="16"/>
    </row>
    <row r="2771" spans="2:2">
      <c r="B2771" s="16"/>
    </row>
    <row r="2772" spans="2:2">
      <c r="B2772" s="16"/>
    </row>
    <row r="2773" spans="2:2">
      <c r="B2773" s="16"/>
    </row>
    <row r="2774" spans="2:2">
      <c r="B2774" s="16"/>
    </row>
    <row r="2775" spans="2:2">
      <c r="B2775" s="16"/>
    </row>
    <row r="2776" spans="2:2">
      <c r="B2776" s="16"/>
    </row>
    <row r="2777" spans="2:2">
      <c r="B2777" s="16"/>
    </row>
    <row r="2778" spans="2:2">
      <c r="B2778" s="16"/>
    </row>
    <row r="2779" spans="2:2">
      <c r="B2779" s="16"/>
    </row>
    <row r="2780" spans="2:2">
      <c r="B2780" s="16"/>
    </row>
    <row r="2781" spans="2:2">
      <c r="B2781" s="16"/>
    </row>
    <row r="2782" spans="2:2">
      <c r="B2782" s="16"/>
    </row>
    <row r="2783" spans="2:2">
      <c r="B2783" s="16"/>
    </row>
    <row r="2784" spans="2:2">
      <c r="B2784" s="16"/>
    </row>
    <row r="2785" spans="2:2">
      <c r="B2785" s="16"/>
    </row>
    <row r="2786" spans="2:2">
      <c r="B2786" s="16"/>
    </row>
    <row r="2787" spans="2:2">
      <c r="B2787" s="16"/>
    </row>
    <row r="2788" spans="2:2">
      <c r="B2788" s="16"/>
    </row>
    <row r="2789" spans="2:2">
      <c r="B2789" s="16"/>
    </row>
    <row r="2790" spans="2:2">
      <c r="B2790" s="16"/>
    </row>
    <row r="2791" spans="2:2">
      <c r="B2791" s="16"/>
    </row>
    <row r="2792" spans="2:2">
      <c r="B2792" s="16"/>
    </row>
    <row r="2793" spans="2:2">
      <c r="B2793" s="16"/>
    </row>
    <row r="2794" spans="2:2">
      <c r="B2794" s="16"/>
    </row>
    <row r="2795" spans="2:2">
      <c r="B2795" s="16"/>
    </row>
    <row r="2796" spans="2:2">
      <c r="B2796" s="16"/>
    </row>
    <row r="2797" spans="2:2">
      <c r="B2797" s="16"/>
    </row>
    <row r="2798" spans="2:2">
      <c r="B2798" s="16"/>
    </row>
    <row r="2799" spans="2:2">
      <c r="B2799" s="16"/>
    </row>
    <row r="2800" spans="2:2">
      <c r="B2800" s="16"/>
    </row>
    <row r="2801" spans="2:2">
      <c r="B2801" s="16"/>
    </row>
    <row r="2802" spans="2:2">
      <c r="B2802" s="16"/>
    </row>
    <row r="2803" spans="2:2">
      <c r="B2803" s="16"/>
    </row>
    <row r="2804" spans="2:2">
      <c r="B2804" s="16"/>
    </row>
    <row r="2805" spans="2:2">
      <c r="B2805" s="16"/>
    </row>
    <row r="2806" spans="2:2">
      <c r="B2806" s="16"/>
    </row>
    <row r="2807" spans="2:2">
      <c r="B2807" s="16"/>
    </row>
    <row r="2808" spans="2:2">
      <c r="B2808" s="16"/>
    </row>
    <row r="2809" spans="2:2">
      <c r="B2809" s="16"/>
    </row>
    <row r="2810" spans="2:2">
      <c r="B2810" s="16"/>
    </row>
    <row r="2811" spans="2:2">
      <c r="B2811" s="16"/>
    </row>
    <row r="2812" spans="2:2">
      <c r="B2812" s="16"/>
    </row>
    <row r="2813" spans="2:2">
      <c r="B2813" s="16"/>
    </row>
    <row r="2814" spans="2:2">
      <c r="B2814" s="16"/>
    </row>
    <row r="2815" spans="2:2">
      <c r="B2815" s="16"/>
    </row>
    <row r="2816" spans="2:2">
      <c r="B2816" s="16"/>
    </row>
    <row r="2817" spans="2:2">
      <c r="B2817" s="16"/>
    </row>
    <row r="2818" spans="2:2">
      <c r="B2818" s="16"/>
    </row>
    <row r="2819" spans="2:2">
      <c r="B2819" s="16"/>
    </row>
    <row r="2820" spans="2:2">
      <c r="B2820" s="16"/>
    </row>
    <row r="2821" spans="2:2">
      <c r="B2821" s="16"/>
    </row>
    <row r="2822" spans="2:2">
      <c r="B2822" s="16"/>
    </row>
    <row r="2823" spans="2:2">
      <c r="B2823" s="16"/>
    </row>
    <row r="2824" spans="2:2">
      <c r="B2824" s="16"/>
    </row>
    <row r="2825" spans="2:2">
      <c r="B2825" s="16"/>
    </row>
    <row r="2826" spans="2:2">
      <c r="B2826" s="16"/>
    </row>
    <row r="2827" spans="2:2">
      <c r="B2827" s="16"/>
    </row>
    <row r="2828" spans="2:2">
      <c r="B2828" s="16"/>
    </row>
    <row r="2829" spans="2:2">
      <c r="B2829" s="16"/>
    </row>
    <row r="2830" spans="2:2">
      <c r="B2830" s="16"/>
    </row>
    <row r="2831" spans="2:2">
      <c r="B2831" s="16"/>
    </row>
    <row r="2832" spans="2:2">
      <c r="B2832" s="16"/>
    </row>
    <row r="2833" spans="2:2">
      <c r="B2833" s="16"/>
    </row>
    <row r="2834" spans="2:2">
      <c r="B2834" s="16"/>
    </row>
    <row r="2835" spans="2:2">
      <c r="B2835" s="16"/>
    </row>
    <row r="2836" spans="2:2">
      <c r="B2836" s="16"/>
    </row>
    <row r="2837" spans="2:2">
      <c r="B2837" s="16"/>
    </row>
    <row r="2838" spans="2:2">
      <c r="B2838" s="16"/>
    </row>
    <row r="2839" spans="2:2">
      <c r="B2839" s="16"/>
    </row>
    <row r="2840" spans="2:2">
      <c r="B2840" s="16"/>
    </row>
    <row r="2841" spans="2:2">
      <c r="B2841" s="16"/>
    </row>
    <row r="2842" spans="2:2">
      <c r="B2842" s="16"/>
    </row>
    <row r="2843" spans="2:2">
      <c r="B2843" s="16"/>
    </row>
    <row r="2844" spans="2:2">
      <c r="B2844" s="16"/>
    </row>
    <row r="2845" spans="2:2">
      <c r="B2845" s="16"/>
    </row>
    <row r="2846" spans="2:2">
      <c r="B2846" s="16"/>
    </row>
    <row r="2847" spans="2:2">
      <c r="B2847" s="16"/>
    </row>
    <row r="2848" spans="2:2">
      <c r="B2848" s="16"/>
    </row>
    <row r="2849" spans="2:2">
      <c r="B2849" s="16"/>
    </row>
    <row r="2850" spans="2:2">
      <c r="B2850" s="16"/>
    </row>
    <row r="2851" spans="2:2">
      <c r="B2851" s="16"/>
    </row>
    <row r="2852" spans="2:2">
      <c r="B2852" s="16"/>
    </row>
    <row r="2853" spans="2:2">
      <c r="B2853" s="16"/>
    </row>
    <row r="2854" spans="2:2">
      <c r="B2854" s="16"/>
    </row>
    <row r="2855" spans="2:2">
      <c r="B2855" s="16"/>
    </row>
    <row r="2856" spans="2:2">
      <c r="B2856" s="16"/>
    </row>
    <row r="2857" spans="2:2">
      <c r="B2857" s="16"/>
    </row>
    <row r="2858" spans="2:2">
      <c r="B2858" s="16"/>
    </row>
    <row r="2859" spans="2:2">
      <c r="B2859" s="16"/>
    </row>
    <row r="2860" spans="2:2">
      <c r="B2860" s="16"/>
    </row>
    <row r="2861" spans="2:2">
      <c r="B2861" s="16"/>
    </row>
    <row r="2862" spans="2:2">
      <c r="B2862" s="16"/>
    </row>
    <row r="2863" spans="2:2">
      <c r="B2863" s="16"/>
    </row>
    <row r="2864" spans="2:2">
      <c r="B2864" s="16"/>
    </row>
    <row r="2865" spans="2:2">
      <c r="B2865" s="16"/>
    </row>
    <row r="2866" spans="2:2">
      <c r="B2866" s="16"/>
    </row>
    <row r="2867" spans="2:2">
      <c r="B2867" s="16"/>
    </row>
    <row r="2868" spans="2:2">
      <c r="B2868" s="16"/>
    </row>
    <row r="2869" spans="2:2">
      <c r="B2869" s="16"/>
    </row>
    <row r="2870" spans="2:2">
      <c r="B2870" s="16"/>
    </row>
    <row r="2871" spans="2:2">
      <c r="B2871" s="16"/>
    </row>
    <row r="2872" spans="2:2">
      <c r="B2872" s="16"/>
    </row>
    <row r="2873" spans="2:2">
      <c r="B2873" s="16"/>
    </row>
    <row r="2874" spans="2:2">
      <c r="B2874" s="16"/>
    </row>
    <row r="2875" spans="2:2">
      <c r="B2875" s="16"/>
    </row>
    <row r="2876" spans="2:2">
      <c r="B2876" s="16"/>
    </row>
    <row r="2877" spans="2:2">
      <c r="B2877" s="16"/>
    </row>
    <row r="2878" spans="2:2">
      <c r="B2878" s="16"/>
    </row>
    <row r="2879" spans="2:2">
      <c r="B2879" s="16"/>
    </row>
    <row r="2880" spans="2:2">
      <c r="B2880" s="16"/>
    </row>
    <row r="2881" spans="2:2">
      <c r="B2881" s="16"/>
    </row>
    <row r="2882" spans="2:2">
      <c r="B2882" s="16"/>
    </row>
    <row r="2883" spans="2:2">
      <c r="B2883" s="16"/>
    </row>
    <row r="2884" spans="2:2">
      <c r="B2884" s="16"/>
    </row>
    <row r="2885" spans="2:2">
      <c r="B2885" s="16"/>
    </row>
    <row r="2886" spans="2:2">
      <c r="B2886" s="16"/>
    </row>
    <row r="2887" spans="2:2">
      <c r="B2887" s="16"/>
    </row>
    <row r="2888" spans="2:2">
      <c r="B2888" s="16"/>
    </row>
    <row r="2889" spans="2:2">
      <c r="B2889" s="16"/>
    </row>
    <row r="2890" spans="2:2">
      <c r="B2890" s="16"/>
    </row>
    <row r="2891" spans="2:2">
      <c r="B2891" s="16"/>
    </row>
    <row r="2892" spans="2:2">
      <c r="B2892" s="16"/>
    </row>
    <row r="2893" spans="2:2">
      <c r="B2893" s="16"/>
    </row>
    <row r="2894" spans="2:2">
      <c r="B2894" s="16"/>
    </row>
    <row r="2895" spans="2:2">
      <c r="B2895" s="16"/>
    </row>
    <row r="2896" spans="2:2">
      <c r="B2896" s="16"/>
    </row>
    <row r="2897" spans="2:2">
      <c r="B2897" s="16"/>
    </row>
    <row r="2898" spans="2:2">
      <c r="B2898" s="16"/>
    </row>
    <row r="2899" spans="2:2">
      <c r="B2899" s="16"/>
    </row>
    <row r="2900" spans="2:2">
      <c r="B2900" s="16"/>
    </row>
    <row r="2901" spans="2:2">
      <c r="B2901" s="16"/>
    </row>
    <row r="2902" spans="2:2">
      <c r="B2902" s="16"/>
    </row>
    <row r="2903" spans="2:2">
      <c r="B2903" s="16"/>
    </row>
    <row r="2904" spans="2:2">
      <c r="B2904" s="16"/>
    </row>
    <row r="2905" spans="2:2">
      <c r="B2905" s="16"/>
    </row>
    <row r="2906" spans="2:2">
      <c r="B2906" s="16"/>
    </row>
    <row r="2907" spans="2:2">
      <c r="B2907" s="16"/>
    </row>
    <row r="2908" spans="2:2">
      <c r="B2908" s="16"/>
    </row>
    <row r="2909" spans="2:2">
      <c r="B2909" s="16"/>
    </row>
    <row r="2910" spans="2:2">
      <c r="B2910" s="16"/>
    </row>
    <row r="2911" spans="2:2">
      <c r="B2911" s="16"/>
    </row>
    <row r="2912" spans="2:2">
      <c r="B2912" s="16"/>
    </row>
    <row r="2913" spans="2:2">
      <c r="B2913" s="16"/>
    </row>
    <row r="2914" spans="2:2">
      <c r="B2914" s="16"/>
    </row>
    <row r="2915" spans="2:2">
      <c r="B2915" s="16"/>
    </row>
    <row r="2916" spans="2:2">
      <c r="B2916" s="16"/>
    </row>
    <row r="2917" spans="2:2">
      <c r="B2917" s="16"/>
    </row>
    <row r="2918" spans="2:2">
      <c r="B2918" s="16"/>
    </row>
    <row r="2919" spans="2:2">
      <c r="B2919" s="16"/>
    </row>
    <row r="2920" spans="2:2">
      <c r="B2920" s="16"/>
    </row>
    <row r="2921" spans="2:2">
      <c r="B2921" s="16"/>
    </row>
    <row r="2922" spans="2:2">
      <c r="B2922" s="16"/>
    </row>
    <row r="2923" spans="2:2">
      <c r="B2923" s="16"/>
    </row>
    <row r="2924" spans="2:2">
      <c r="B2924" s="16"/>
    </row>
    <row r="2925" spans="2:2">
      <c r="B2925" s="16"/>
    </row>
    <row r="2926" spans="2:2">
      <c r="B2926" s="16"/>
    </row>
    <row r="2927" spans="2:2">
      <c r="B2927" s="16"/>
    </row>
    <row r="2928" spans="2:2">
      <c r="B2928" s="16"/>
    </row>
    <row r="2929" spans="2:2">
      <c r="B2929" s="16"/>
    </row>
    <row r="2930" spans="2:2">
      <c r="B2930" s="16"/>
    </row>
    <row r="2931" spans="2:2">
      <c r="B2931" s="16"/>
    </row>
    <row r="2932" spans="2:2">
      <c r="B2932" s="16"/>
    </row>
    <row r="2933" spans="2:2">
      <c r="B2933" s="16"/>
    </row>
    <row r="2934" spans="2:2">
      <c r="B2934" s="16"/>
    </row>
    <row r="2935" spans="2:2">
      <c r="B2935" s="16"/>
    </row>
    <row r="2936" spans="2:2">
      <c r="B2936" s="16"/>
    </row>
    <row r="2937" spans="2:2">
      <c r="B2937" s="16"/>
    </row>
    <row r="2938" spans="2:2">
      <c r="B2938" s="16"/>
    </row>
    <row r="2939" spans="2:2">
      <c r="B2939" s="16"/>
    </row>
    <row r="2940" spans="2:2">
      <c r="B2940" s="16"/>
    </row>
    <row r="2941" spans="2:2">
      <c r="B2941" s="16"/>
    </row>
    <row r="2942" spans="2:2">
      <c r="B2942" s="16"/>
    </row>
    <row r="2943" spans="2:2">
      <c r="B2943" s="16"/>
    </row>
    <row r="2944" spans="2:2">
      <c r="B2944" s="16"/>
    </row>
    <row r="2945" spans="2:2">
      <c r="B2945" s="16"/>
    </row>
    <row r="2946" spans="2:2">
      <c r="B2946" s="16"/>
    </row>
    <row r="2947" spans="2:2">
      <c r="B2947" s="16"/>
    </row>
    <row r="2948" spans="2:2">
      <c r="B2948" s="16"/>
    </row>
    <row r="2949" spans="2:2">
      <c r="B2949" s="16"/>
    </row>
    <row r="2950" spans="2:2">
      <c r="B2950" s="16"/>
    </row>
    <row r="2951" spans="2:2">
      <c r="B2951" s="16"/>
    </row>
    <row r="2952" spans="2:2">
      <c r="B2952" s="16"/>
    </row>
    <row r="2953" spans="2:2">
      <c r="B2953" s="16"/>
    </row>
    <row r="2954" spans="2:2">
      <c r="B2954" s="16"/>
    </row>
    <row r="2955" spans="2:2">
      <c r="B2955" s="16"/>
    </row>
    <row r="2956" spans="2:2">
      <c r="B2956" s="16"/>
    </row>
    <row r="2957" spans="2:2">
      <c r="B2957" s="16"/>
    </row>
    <row r="2958" spans="2:2">
      <c r="B2958" s="16"/>
    </row>
    <row r="2959" spans="2:2">
      <c r="B2959" s="16"/>
    </row>
    <row r="2960" spans="2:2">
      <c r="B2960" s="16"/>
    </row>
    <row r="2961" spans="2:2">
      <c r="B2961" s="16"/>
    </row>
    <row r="2962" spans="2:2">
      <c r="B2962" s="16"/>
    </row>
    <row r="2963" spans="2:2">
      <c r="B2963" s="16"/>
    </row>
    <row r="2964" spans="2:2">
      <c r="B2964" s="16"/>
    </row>
    <row r="2965" spans="2:2">
      <c r="B2965" s="16"/>
    </row>
    <row r="2966" spans="2:2">
      <c r="B2966" s="16"/>
    </row>
    <row r="2967" spans="2:2">
      <c r="B2967" s="16"/>
    </row>
    <row r="2968" spans="2:2">
      <c r="B2968" s="16"/>
    </row>
    <row r="2969" spans="2:2">
      <c r="B2969" s="16"/>
    </row>
    <row r="2970" spans="2:2">
      <c r="B2970" s="16"/>
    </row>
    <row r="2971" spans="2:2">
      <c r="B2971" s="16"/>
    </row>
    <row r="2972" spans="2:2">
      <c r="B2972" s="16"/>
    </row>
    <row r="2973" spans="2:2">
      <c r="B2973" s="16"/>
    </row>
    <row r="2974" spans="2:2">
      <c r="B2974" s="16"/>
    </row>
    <row r="2975" spans="2:2">
      <c r="B2975" s="16"/>
    </row>
    <row r="2976" spans="2:2">
      <c r="B2976" s="16"/>
    </row>
    <row r="2977" spans="2:2">
      <c r="B2977" s="16"/>
    </row>
    <row r="2978" spans="2:2">
      <c r="B2978" s="16"/>
    </row>
    <row r="2979" spans="2:2">
      <c r="B2979" s="16"/>
    </row>
    <row r="2980" spans="2:2">
      <c r="B2980" s="16"/>
    </row>
    <row r="2981" spans="2:2">
      <c r="B2981" s="16"/>
    </row>
    <row r="2982" spans="2:2">
      <c r="B2982" s="16"/>
    </row>
    <row r="2983" spans="2:2">
      <c r="B2983" s="16"/>
    </row>
    <row r="2984" spans="2:2">
      <c r="B2984" s="16"/>
    </row>
    <row r="2985" spans="2:2">
      <c r="B2985" s="16"/>
    </row>
    <row r="2986" spans="2:2">
      <c r="B2986" s="16"/>
    </row>
    <row r="2987" spans="2:2">
      <c r="B2987" s="16"/>
    </row>
    <row r="2988" spans="2:2">
      <c r="B2988" s="16"/>
    </row>
    <row r="2989" spans="2:2">
      <c r="B2989" s="16"/>
    </row>
    <row r="2990" spans="2:2">
      <c r="B2990" s="16"/>
    </row>
    <row r="2991" spans="2:2">
      <c r="B2991" s="16"/>
    </row>
    <row r="2992" spans="2:2">
      <c r="B2992" s="16"/>
    </row>
    <row r="2993" spans="2:2">
      <c r="B2993" s="16"/>
    </row>
    <row r="2994" spans="2:2">
      <c r="B2994" s="16"/>
    </row>
    <row r="2995" spans="2:2">
      <c r="B2995" s="16"/>
    </row>
    <row r="2996" spans="2:2">
      <c r="B2996" s="16"/>
    </row>
    <row r="2997" spans="2:2">
      <c r="B2997" s="16"/>
    </row>
    <row r="2998" spans="2:2">
      <c r="B2998" s="16"/>
    </row>
    <row r="2999" spans="2:2">
      <c r="B2999" s="16"/>
    </row>
    <row r="3000" spans="2:2">
      <c r="B3000" s="16"/>
    </row>
    <row r="3001" spans="2:2">
      <c r="B3001" s="16"/>
    </row>
    <row r="3002" spans="2:2">
      <c r="B3002" s="16"/>
    </row>
    <row r="3003" spans="2:2">
      <c r="B3003" s="16"/>
    </row>
    <row r="3004" spans="2:2">
      <c r="B3004" s="16"/>
    </row>
    <row r="3005" spans="2:2">
      <c r="B3005" s="16"/>
    </row>
    <row r="3006" spans="2:2">
      <c r="B3006" s="16"/>
    </row>
    <row r="3007" spans="2:2">
      <c r="B3007" s="16"/>
    </row>
    <row r="3008" spans="2:2">
      <c r="B3008" s="16"/>
    </row>
    <row r="3009" spans="2:2">
      <c r="B3009" s="16"/>
    </row>
    <row r="3010" spans="2:2">
      <c r="B3010" s="16"/>
    </row>
    <row r="3011" spans="2:2">
      <c r="B3011" s="16"/>
    </row>
    <row r="3012" spans="2:2">
      <c r="B3012" s="16"/>
    </row>
    <row r="3013" spans="2:2">
      <c r="B3013" s="16"/>
    </row>
    <row r="3014" spans="2:2">
      <c r="B3014" s="16"/>
    </row>
    <row r="3015" spans="2:2">
      <c r="B3015" s="16"/>
    </row>
    <row r="3016" spans="2:2">
      <c r="B3016" s="16"/>
    </row>
    <row r="3017" spans="2:2">
      <c r="B3017" s="16"/>
    </row>
    <row r="3018" spans="2:2">
      <c r="B3018" s="16"/>
    </row>
    <row r="3019" spans="2:2">
      <c r="B3019" s="16"/>
    </row>
    <row r="3020" spans="2:2">
      <c r="B3020" s="16"/>
    </row>
    <row r="3021" spans="2:2">
      <c r="B3021" s="16"/>
    </row>
    <row r="3022" spans="2:2">
      <c r="B3022" s="16"/>
    </row>
    <row r="3023" spans="2:2">
      <c r="B3023" s="16"/>
    </row>
    <row r="3024" spans="2:2">
      <c r="B3024" s="16"/>
    </row>
    <row r="3025" spans="2:2">
      <c r="B3025" s="16"/>
    </row>
    <row r="3026" spans="2:2">
      <c r="B3026" s="16"/>
    </row>
    <row r="3027" spans="2:2">
      <c r="B3027" s="16"/>
    </row>
    <row r="3028" spans="2:2">
      <c r="B3028" s="16"/>
    </row>
    <row r="3029" spans="2:2">
      <c r="B3029" s="16"/>
    </row>
    <row r="3030" spans="2:2">
      <c r="B3030" s="16"/>
    </row>
    <row r="3031" spans="2:2">
      <c r="B3031" s="16"/>
    </row>
    <row r="3032" spans="2:2">
      <c r="B3032" s="16"/>
    </row>
    <row r="3033" spans="2:2">
      <c r="B3033" s="16"/>
    </row>
    <row r="3034" spans="2:2">
      <c r="B3034" s="16"/>
    </row>
    <row r="3035" spans="2:2">
      <c r="B3035" s="16"/>
    </row>
    <row r="3036" spans="2:2">
      <c r="B3036" s="16"/>
    </row>
    <row r="3037" spans="2:2">
      <c r="B3037" s="16"/>
    </row>
    <row r="3038" spans="2:2">
      <c r="B3038" s="16"/>
    </row>
    <row r="3039" spans="2:2">
      <c r="B3039" s="16"/>
    </row>
    <row r="3040" spans="2:2">
      <c r="B3040" s="16"/>
    </row>
    <row r="3041" spans="2:2">
      <c r="B3041" s="16"/>
    </row>
    <row r="3042" spans="2:2">
      <c r="B3042" s="16"/>
    </row>
    <row r="3043" spans="2:2">
      <c r="B3043" s="16"/>
    </row>
    <row r="3044" spans="2:2">
      <c r="B3044" s="16"/>
    </row>
    <row r="3045" spans="2:2">
      <c r="B3045" s="16"/>
    </row>
    <row r="3046" spans="2:2">
      <c r="B3046" s="16"/>
    </row>
    <row r="3047" spans="2:2">
      <c r="B3047" s="16"/>
    </row>
    <row r="3048" spans="2:2">
      <c r="B3048" s="16"/>
    </row>
    <row r="3049" spans="2:2">
      <c r="B3049" s="16"/>
    </row>
    <row r="3050" spans="2:2">
      <c r="B3050" s="16"/>
    </row>
    <row r="3051" spans="2:2">
      <c r="B3051" s="16"/>
    </row>
    <row r="3052" spans="2:2">
      <c r="B3052" s="16"/>
    </row>
    <row r="3053" spans="2:2">
      <c r="B3053" s="16"/>
    </row>
    <row r="3054" spans="2:2">
      <c r="B3054" s="16"/>
    </row>
    <row r="3055" spans="2:2">
      <c r="B3055" s="16"/>
    </row>
    <row r="3056" spans="2:2">
      <c r="B3056" s="16"/>
    </row>
    <row r="3057" spans="2:2">
      <c r="B3057" s="16"/>
    </row>
    <row r="3058" spans="2:2">
      <c r="B3058" s="16"/>
    </row>
    <row r="3059" spans="2:2">
      <c r="B3059" s="16"/>
    </row>
    <row r="3060" spans="2:2">
      <c r="B3060" s="16"/>
    </row>
    <row r="3061" spans="2:2">
      <c r="B3061" s="16"/>
    </row>
    <row r="3062" spans="2:2">
      <c r="B3062" s="16"/>
    </row>
    <row r="3063" spans="2:2">
      <c r="B3063" s="16"/>
    </row>
    <row r="3064" spans="2:2">
      <c r="B3064" s="16"/>
    </row>
    <row r="3065" spans="2:2">
      <c r="B3065" s="16"/>
    </row>
    <row r="3066" spans="2:2">
      <c r="B3066" s="16"/>
    </row>
    <row r="3067" spans="2:2">
      <c r="B3067" s="16"/>
    </row>
    <row r="3068" spans="2:2">
      <c r="B3068" s="16"/>
    </row>
    <row r="3069" spans="2:2">
      <c r="B3069" s="16"/>
    </row>
    <row r="3070" spans="2:2">
      <c r="B3070" s="16"/>
    </row>
    <row r="3071" spans="2:2">
      <c r="B3071" s="16"/>
    </row>
    <row r="3072" spans="2:2">
      <c r="B3072" s="16"/>
    </row>
    <row r="3073" spans="2:2">
      <c r="B3073" s="16"/>
    </row>
    <row r="3074" spans="2:2">
      <c r="B3074" s="16"/>
    </row>
    <row r="3075" spans="2:2">
      <c r="B3075" s="16"/>
    </row>
    <row r="3076" spans="2:2">
      <c r="B3076" s="16"/>
    </row>
    <row r="3077" spans="2:2">
      <c r="B3077" s="16"/>
    </row>
    <row r="3078" spans="2:2">
      <c r="B3078" s="16"/>
    </row>
    <row r="3079" spans="2:2">
      <c r="B3079" s="16"/>
    </row>
    <row r="3080" spans="2:2">
      <c r="B3080" s="16"/>
    </row>
    <row r="3081" spans="2:2">
      <c r="B3081" s="16"/>
    </row>
    <row r="3082" spans="2:2">
      <c r="B3082" s="16"/>
    </row>
    <row r="3083" spans="2:2">
      <c r="B3083" s="16"/>
    </row>
    <row r="3084" spans="2:2">
      <c r="B3084" s="16"/>
    </row>
    <row r="3085" spans="2:2">
      <c r="B3085" s="16"/>
    </row>
    <row r="3086" spans="2:2">
      <c r="B3086" s="16"/>
    </row>
    <row r="3087" spans="2:2">
      <c r="B3087" s="16"/>
    </row>
    <row r="3088" spans="2:2">
      <c r="B3088" s="16"/>
    </row>
    <row r="3089" spans="2:2">
      <c r="B3089" s="16"/>
    </row>
    <row r="3090" spans="2:2">
      <c r="B3090" s="16"/>
    </row>
    <row r="3091" spans="2:2">
      <c r="B3091" s="16"/>
    </row>
    <row r="3092" spans="2:2">
      <c r="B3092" s="16"/>
    </row>
    <row r="3093" spans="2:2">
      <c r="B3093" s="16"/>
    </row>
    <row r="3094" spans="2:2">
      <c r="B3094" s="16"/>
    </row>
    <row r="3095" spans="2:2">
      <c r="B3095" s="16"/>
    </row>
    <row r="3096" spans="2:2">
      <c r="B3096" s="16"/>
    </row>
    <row r="3097" spans="2:2">
      <c r="B3097" s="16"/>
    </row>
    <row r="3098" spans="2:2">
      <c r="B3098" s="16"/>
    </row>
    <row r="3099" spans="2:2">
      <c r="B3099" s="16"/>
    </row>
    <row r="3100" spans="2:2">
      <c r="B3100" s="16"/>
    </row>
    <row r="3101" spans="2:2">
      <c r="B3101" s="16"/>
    </row>
    <row r="3102" spans="2:2">
      <c r="B3102" s="16"/>
    </row>
    <row r="3103" spans="2:2">
      <c r="B3103" s="16"/>
    </row>
    <row r="3104" spans="2:2">
      <c r="B3104" s="16"/>
    </row>
    <row r="3105" spans="2:2">
      <c r="B3105" s="16"/>
    </row>
    <row r="3106" spans="2:2">
      <c r="B3106" s="16"/>
    </row>
    <row r="3107" spans="2:2">
      <c r="B3107" s="16"/>
    </row>
    <row r="3108" spans="2:2">
      <c r="B3108" s="16"/>
    </row>
    <row r="3109" spans="2:2">
      <c r="B3109" s="16"/>
    </row>
    <row r="3110" spans="2:2">
      <c r="B3110" s="16"/>
    </row>
    <row r="3111" spans="2:2">
      <c r="B3111" s="16"/>
    </row>
    <row r="3112" spans="2:2">
      <c r="B3112" s="16"/>
    </row>
    <row r="3113" spans="2:2">
      <c r="B3113" s="16"/>
    </row>
    <row r="3114" spans="2:2">
      <c r="B3114" s="16"/>
    </row>
    <row r="3115" spans="2:2">
      <c r="B3115" s="16"/>
    </row>
    <row r="3116" spans="2:2">
      <c r="B3116" s="16"/>
    </row>
    <row r="3117" spans="2:2">
      <c r="B3117" s="16"/>
    </row>
    <row r="3118" spans="2:2">
      <c r="B3118" s="16"/>
    </row>
    <row r="3119" spans="2:2">
      <c r="B3119" s="16"/>
    </row>
    <row r="3120" spans="2:2">
      <c r="B3120" s="16"/>
    </row>
    <row r="3121" spans="2:2">
      <c r="B3121" s="16"/>
    </row>
    <row r="3122" spans="2:2">
      <c r="B3122" s="16"/>
    </row>
    <row r="3123" spans="2:2">
      <c r="B3123" s="16"/>
    </row>
    <row r="3124" spans="2:2">
      <c r="B3124" s="16"/>
    </row>
    <row r="3125" spans="2:2">
      <c r="B3125" s="16"/>
    </row>
    <row r="3126" spans="2:2">
      <c r="B3126" s="16"/>
    </row>
    <row r="3127" spans="2:2">
      <c r="B3127" s="16"/>
    </row>
    <row r="3128" spans="2:2">
      <c r="B3128" s="16"/>
    </row>
    <row r="3129" spans="2:2">
      <c r="B3129" s="16"/>
    </row>
    <row r="3130" spans="2:2">
      <c r="B3130" s="16"/>
    </row>
    <row r="3131" spans="2:2">
      <c r="B3131" s="16"/>
    </row>
    <row r="3132" spans="2:2">
      <c r="B3132" s="16"/>
    </row>
    <row r="3133" spans="2:2">
      <c r="B3133" s="16"/>
    </row>
    <row r="3134" spans="2:2">
      <c r="B3134" s="16"/>
    </row>
    <row r="3135" spans="2:2">
      <c r="B3135" s="16"/>
    </row>
    <row r="3136" spans="2:2">
      <c r="B3136" s="16"/>
    </row>
    <row r="3137" spans="2:2">
      <c r="B3137" s="16"/>
    </row>
    <row r="3138" spans="2:2">
      <c r="B3138" s="16"/>
    </row>
    <row r="3139" spans="2:2">
      <c r="B3139" s="16"/>
    </row>
    <row r="3140" spans="2:2">
      <c r="B3140" s="16"/>
    </row>
    <row r="3141" spans="2:2">
      <c r="B3141" s="16"/>
    </row>
    <row r="3142" spans="2:2">
      <c r="B3142" s="16"/>
    </row>
    <row r="3143" spans="2:2">
      <c r="B3143" s="16"/>
    </row>
    <row r="3144" spans="2:2">
      <c r="B3144" s="16"/>
    </row>
    <row r="3145" spans="2:2">
      <c r="B3145" s="16"/>
    </row>
    <row r="3146" spans="2:2">
      <c r="B3146" s="16"/>
    </row>
    <row r="3147" spans="2:2">
      <c r="B3147" s="16"/>
    </row>
    <row r="3148" spans="2:2">
      <c r="B3148" s="16"/>
    </row>
    <row r="3149" spans="2:2">
      <c r="B3149" s="16"/>
    </row>
    <row r="3150" spans="2:2">
      <c r="B3150" s="16"/>
    </row>
    <row r="3151" spans="2:2">
      <c r="B3151" s="16"/>
    </row>
    <row r="3152" spans="2:2">
      <c r="B3152" s="16"/>
    </row>
    <row r="3153" spans="2:2">
      <c r="B3153" s="16"/>
    </row>
    <row r="3154" spans="2:2">
      <c r="B3154" s="16"/>
    </row>
    <row r="3155" spans="2:2">
      <c r="B3155" s="16"/>
    </row>
    <row r="3156" spans="2:2">
      <c r="B3156" s="16"/>
    </row>
    <row r="3157" spans="2:2">
      <c r="B3157" s="16"/>
    </row>
    <row r="3158" spans="2:2">
      <c r="B3158" s="16"/>
    </row>
    <row r="3159" spans="2:2">
      <c r="B3159" s="16"/>
    </row>
    <row r="3160" spans="2:2">
      <c r="B3160" s="16"/>
    </row>
    <row r="3161" spans="2:2">
      <c r="B3161" s="16"/>
    </row>
    <row r="3162" spans="2:2">
      <c r="B3162" s="16"/>
    </row>
    <row r="3163" spans="2:2">
      <c r="B3163" s="16"/>
    </row>
    <row r="3164" spans="2:2">
      <c r="B3164" s="16"/>
    </row>
    <row r="3165" spans="2:2">
      <c r="B3165" s="16"/>
    </row>
    <row r="3166" spans="2:2">
      <c r="B3166" s="16"/>
    </row>
    <row r="3167" spans="2:2">
      <c r="B3167" s="16"/>
    </row>
    <row r="3168" spans="2:2">
      <c r="B3168" s="16"/>
    </row>
    <row r="3169" spans="2:2">
      <c r="B3169" s="16"/>
    </row>
    <row r="3170" spans="2:2">
      <c r="B3170" s="16"/>
    </row>
    <row r="3171" spans="2:2">
      <c r="B3171" s="16"/>
    </row>
    <row r="3172" spans="2:2">
      <c r="B3172" s="16"/>
    </row>
    <row r="3173" spans="2:2">
      <c r="B3173" s="16"/>
    </row>
    <row r="3174" spans="2:2">
      <c r="B3174" s="16"/>
    </row>
    <row r="3175" spans="2:2">
      <c r="B3175" s="16"/>
    </row>
    <row r="3176" spans="2:2">
      <c r="B3176" s="16"/>
    </row>
    <row r="3177" spans="2:2">
      <c r="B3177" s="16"/>
    </row>
    <row r="3178" spans="2:2">
      <c r="B3178" s="16"/>
    </row>
    <row r="3179" spans="2:2">
      <c r="B3179" s="16"/>
    </row>
    <row r="3180" spans="2:2">
      <c r="B3180" s="16"/>
    </row>
    <row r="3181" spans="2:2">
      <c r="B3181" s="16"/>
    </row>
    <row r="3182" spans="2:2">
      <c r="B3182" s="16"/>
    </row>
    <row r="3183" spans="2:2">
      <c r="B3183" s="16"/>
    </row>
    <row r="3184" spans="2:2">
      <c r="B3184" s="16"/>
    </row>
    <row r="3185" spans="2:2">
      <c r="B3185" s="16"/>
    </row>
    <row r="3186" spans="2:2">
      <c r="B3186" s="16"/>
    </row>
    <row r="3187" spans="2:2">
      <c r="B3187" s="16"/>
    </row>
    <row r="3188" spans="2:2">
      <c r="B3188" s="16"/>
    </row>
    <row r="3189" spans="2:2">
      <c r="B3189" s="16"/>
    </row>
    <row r="3190" spans="2:2">
      <c r="B3190" s="16"/>
    </row>
    <row r="3191" spans="2:2">
      <c r="B3191" s="16"/>
    </row>
    <row r="3192" spans="2:2">
      <c r="B3192" s="16"/>
    </row>
    <row r="3193" spans="2:2">
      <c r="B3193" s="16"/>
    </row>
    <row r="3194" spans="2:2">
      <c r="B3194" s="16"/>
    </row>
    <row r="3195" spans="2:2">
      <c r="B3195" s="16"/>
    </row>
    <row r="3196" spans="2:2">
      <c r="B3196" s="16"/>
    </row>
    <row r="3197" spans="2:2">
      <c r="B3197" s="16"/>
    </row>
    <row r="3198" spans="2:2">
      <c r="B3198" s="16"/>
    </row>
    <row r="3199" spans="2:2">
      <c r="B3199" s="16"/>
    </row>
    <row r="3200" spans="2:2">
      <c r="B3200" s="16"/>
    </row>
    <row r="3201" spans="2:2">
      <c r="B3201" s="16"/>
    </row>
    <row r="3202" spans="2:2">
      <c r="B3202" s="16"/>
    </row>
    <row r="3203" spans="2:2">
      <c r="B3203" s="16"/>
    </row>
    <row r="3204" spans="2:2">
      <c r="B3204" s="16"/>
    </row>
    <row r="3205" spans="2:2">
      <c r="B3205" s="16"/>
    </row>
    <row r="3206" spans="2:2">
      <c r="B3206" s="16"/>
    </row>
    <row r="3207" spans="2:2">
      <c r="B3207" s="16"/>
    </row>
    <row r="3208" spans="2:2">
      <c r="B3208" s="16"/>
    </row>
    <row r="3209" spans="2:2">
      <c r="B3209" s="16"/>
    </row>
    <row r="3210" spans="2:2">
      <c r="B3210" s="16"/>
    </row>
    <row r="3211" spans="2:2">
      <c r="B3211" s="16"/>
    </row>
    <row r="3212" spans="2:2">
      <c r="B3212" s="16"/>
    </row>
    <row r="3213" spans="2:2">
      <c r="B3213" s="16"/>
    </row>
    <row r="3214" spans="2:2">
      <c r="B3214" s="16"/>
    </row>
    <row r="3215" spans="2:2">
      <c r="B3215" s="16"/>
    </row>
    <row r="3216" spans="2:2">
      <c r="B3216" s="16"/>
    </row>
    <row r="3217" spans="2:2">
      <c r="B3217" s="16"/>
    </row>
    <row r="3218" spans="2:2">
      <c r="B3218" s="16"/>
    </row>
    <row r="3219" spans="2:2">
      <c r="B3219" s="16"/>
    </row>
    <row r="3220" spans="2:2">
      <c r="B3220" s="16"/>
    </row>
    <row r="3221" spans="2:2">
      <c r="B3221" s="16"/>
    </row>
    <row r="3222" spans="2:2">
      <c r="B3222" s="16"/>
    </row>
    <row r="3223" spans="2:2">
      <c r="B3223" s="16"/>
    </row>
    <row r="3224" spans="2:2">
      <c r="B3224" s="16"/>
    </row>
    <row r="3225" spans="2:2">
      <c r="B3225" s="16"/>
    </row>
    <row r="3226" spans="2:2">
      <c r="B3226" s="16"/>
    </row>
    <row r="3227" spans="2:2">
      <c r="B3227" s="16"/>
    </row>
    <row r="3228" spans="2:2">
      <c r="B3228" s="16"/>
    </row>
    <row r="3229" spans="2:2">
      <c r="B3229" s="16"/>
    </row>
    <row r="3230" spans="2:2">
      <c r="B3230" s="16"/>
    </row>
    <row r="3231" spans="2:2">
      <c r="B3231" s="16"/>
    </row>
    <row r="3232" spans="2:2">
      <c r="B3232" s="16"/>
    </row>
    <row r="3233" spans="2:2">
      <c r="B3233" s="16"/>
    </row>
    <row r="3234" spans="2:2">
      <c r="B3234" s="16"/>
    </row>
    <row r="3235" spans="2:2">
      <c r="B3235" s="16"/>
    </row>
    <row r="3236" spans="2:2">
      <c r="B3236" s="16"/>
    </row>
    <row r="3237" spans="2:2">
      <c r="B3237" s="16"/>
    </row>
    <row r="3238" spans="2:2">
      <c r="B3238" s="16"/>
    </row>
    <row r="3239" spans="2:2">
      <c r="B3239" s="16"/>
    </row>
    <row r="3240" spans="2:2">
      <c r="B3240" s="16"/>
    </row>
    <row r="3241" spans="2:2">
      <c r="B3241" s="16"/>
    </row>
    <row r="3242" spans="2:2">
      <c r="B3242" s="16"/>
    </row>
    <row r="3243" spans="2:2">
      <c r="B3243" s="16"/>
    </row>
    <row r="3244" spans="2:2">
      <c r="B3244" s="16"/>
    </row>
    <row r="3245" spans="2:2">
      <c r="B3245" s="16"/>
    </row>
    <row r="3246" spans="2:2">
      <c r="B3246" s="16"/>
    </row>
    <row r="3247" spans="2:2">
      <c r="B3247" s="16"/>
    </row>
    <row r="3248" spans="2:2">
      <c r="B3248" s="16"/>
    </row>
    <row r="3249" spans="2:2">
      <c r="B3249" s="16"/>
    </row>
    <row r="3250" spans="2:2">
      <c r="B3250" s="16"/>
    </row>
    <row r="3251" spans="2:2">
      <c r="B3251" s="16"/>
    </row>
    <row r="3252" spans="2:2">
      <c r="B3252" s="16"/>
    </row>
    <row r="3253" spans="2:2">
      <c r="B3253" s="16"/>
    </row>
    <row r="3254" spans="2:2">
      <c r="B3254" s="16"/>
    </row>
    <row r="3255" spans="2:2">
      <c r="B3255" s="16"/>
    </row>
    <row r="3256" spans="2:2">
      <c r="B3256" s="16"/>
    </row>
    <row r="3257" spans="2:2">
      <c r="B3257" s="16"/>
    </row>
    <row r="3258" spans="2:2">
      <c r="B3258" s="16"/>
    </row>
    <row r="3259" spans="2:2">
      <c r="B3259" s="16"/>
    </row>
    <row r="3260" spans="2:2">
      <c r="B3260" s="16"/>
    </row>
    <row r="3261" spans="2:2">
      <c r="B3261" s="16"/>
    </row>
    <row r="3262" spans="2:2">
      <c r="B3262" s="16"/>
    </row>
    <row r="3263" spans="2:2">
      <c r="B3263" s="16"/>
    </row>
    <row r="3264" spans="2:2">
      <c r="B3264" s="16"/>
    </row>
    <row r="3265" spans="2:2">
      <c r="B3265" s="16"/>
    </row>
    <row r="3266" spans="2:2">
      <c r="B3266" s="16"/>
    </row>
    <row r="3267" spans="2:2">
      <c r="B3267" s="16"/>
    </row>
    <row r="3268" spans="2:2">
      <c r="B3268" s="16"/>
    </row>
    <row r="3269" spans="2:2">
      <c r="B3269" s="16"/>
    </row>
    <row r="3270" spans="2:2">
      <c r="B3270" s="16"/>
    </row>
    <row r="3271" spans="2:2">
      <c r="B3271" s="16"/>
    </row>
    <row r="3272" spans="2:2">
      <c r="B3272" s="16"/>
    </row>
    <row r="3273" spans="2:2">
      <c r="B3273" s="16"/>
    </row>
    <row r="3274" spans="2:2">
      <c r="B3274" s="16"/>
    </row>
    <row r="3275" spans="2:2">
      <c r="B3275" s="16"/>
    </row>
    <row r="3276" spans="2:2">
      <c r="B3276" s="16"/>
    </row>
    <row r="3277" spans="2:2">
      <c r="B3277" s="16"/>
    </row>
    <row r="3278" spans="2:2">
      <c r="B3278" s="16"/>
    </row>
    <row r="3279" spans="2:2">
      <c r="B3279" s="16"/>
    </row>
    <row r="3280" spans="2:2">
      <c r="B3280" s="16"/>
    </row>
    <row r="3281" spans="2:2">
      <c r="B3281" s="16"/>
    </row>
    <row r="3282" spans="2:2">
      <c r="B3282" s="16"/>
    </row>
    <row r="3283" spans="2:2">
      <c r="B3283" s="16"/>
    </row>
    <row r="3284" spans="2:2">
      <c r="B3284" s="16"/>
    </row>
    <row r="3285" spans="2:2">
      <c r="B3285" s="16"/>
    </row>
    <row r="3286" spans="2:2">
      <c r="B3286" s="16"/>
    </row>
    <row r="3287" spans="2:2">
      <c r="B3287" s="16"/>
    </row>
    <row r="3288" spans="2:2">
      <c r="B3288" s="16"/>
    </row>
    <row r="3289" spans="2:2">
      <c r="B3289" s="16"/>
    </row>
    <row r="3290" spans="2:2">
      <c r="B3290" s="16"/>
    </row>
    <row r="3291" spans="2:2">
      <c r="B3291" s="16"/>
    </row>
    <row r="3292" spans="2:2">
      <c r="B3292" s="16"/>
    </row>
    <row r="3293" spans="2:2">
      <c r="B3293" s="16"/>
    </row>
    <row r="3294" spans="2:2">
      <c r="B3294" s="16"/>
    </row>
    <row r="3295" spans="2:2">
      <c r="B3295" s="16"/>
    </row>
    <row r="3296" spans="2:2">
      <c r="B3296" s="16"/>
    </row>
    <row r="3297" spans="2:2">
      <c r="B3297" s="16"/>
    </row>
    <row r="3298" spans="2:2">
      <c r="B3298" s="16"/>
    </row>
    <row r="3299" spans="2:2">
      <c r="B3299" s="16"/>
    </row>
    <row r="3300" spans="2:2">
      <c r="B3300" s="16"/>
    </row>
    <row r="3301" spans="2:2">
      <c r="B3301" s="16"/>
    </row>
    <row r="3302" spans="2:2">
      <c r="B3302" s="16"/>
    </row>
    <row r="3303" spans="2:2">
      <c r="B3303" s="16"/>
    </row>
    <row r="3304" spans="2:2">
      <c r="B3304" s="16"/>
    </row>
    <row r="3305" spans="2:2">
      <c r="B3305" s="16"/>
    </row>
    <row r="3306" spans="2:2">
      <c r="B3306" s="16"/>
    </row>
    <row r="3307" spans="2:2">
      <c r="B3307" s="16"/>
    </row>
    <row r="3308" spans="2:2">
      <c r="B3308" s="16"/>
    </row>
    <row r="3309" spans="2:2">
      <c r="B3309" s="16"/>
    </row>
    <row r="3310" spans="2:2">
      <c r="B3310" s="16"/>
    </row>
    <row r="3311" spans="2:2">
      <c r="B3311" s="16"/>
    </row>
    <row r="3312" spans="2:2">
      <c r="B3312" s="16"/>
    </row>
    <row r="3313" spans="2:2">
      <c r="B3313" s="16"/>
    </row>
    <row r="3314" spans="2:2">
      <c r="B3314" s="16"/>
    </row>
    <row r="3315" spans="2:2">
      <c r="B3315" s="16"/>
    </row>
    <row r="3316" spans="2:2">
      <c r="B3316" s="16"/>
    </row>
    <row r="3317" spans="2:2">
      <c r="B3317" s="16"/>
    </row>
    <row r="3318" spans="2:2">
      <c r="B3318" s="16"/>
    </row>
    <row r="3319" spans="2:2">
      <c r="B3319" s="16"/>
    </row>
    <row r="3320" spans="2:2">
      <c r="B3320" s="16"/>
    </row>
    <row r="3321" spans="2:2">
      <c r="B3321" s="16"/>
    </row>
    <row r="3322" spans="2:2">
      <c r="B3322" s="16"/>
    </row>
    <row r="3323" spans="2:2">
      <c r="B3323" s="16"/>
    </row>
    <row r="3324" spans="2:2">
      <c r="B3324" s="16"/>
    </row>
    <row r="3325" spans="2:2">
      <c r="B3325" s="16"/>
    </row>
    <row r="3326" spans="2:2">
      <c r="B3326" s="16"/>
    </row>
    <row r="3327" spans="2:2">
      <c r="B3327" s="16"/>
    </row>
    <row r="3328" spans="2:2">
      <c r="B3328" s="16"/>
    </row>
    <row r="3329" spans="2:2">
      <c r="B3329" s="16"/>
    </row>
    <row r="3330" spans="2:2">
      <c r="B3330" s="16"/>
    </row>
    <row r="3331" spans="2:2">
      <c r="B3331" s="16"/>
    </row>
    <row r="3332" spans="2:2">
      <c r="B3332" s="16"/>
    </row>
    <row r="3333" spans="2:2">
      <c r="B3333" s="16"/>
    </row>
    <row r="3334" spans="2:2">
      <c r="B3334" s="16"/>
    </row>
    <row r="3335" spans="2:2">
      <c r="B3335" s="16"/>
    </row>
    <row r="3336" spans="2:2">
      <c r="B3336" s="16"/>
    </row>
    <row r="3337" spans="2:2">
      <c r="B3337" s="16"/>
    </row>
    <row r="3338" spans="2:2">
      <c r="B3338" s="16"/>
    </row>
    <row r="3339" spans="2:2">
      <c r="B3339" s="16"/>
    </row>
    <row r="3340" spans="2:2">
      <c r="B3340" s="16"/>
    </row>
    <row r="3341" spans="2:2">
      <c r="B3341" s="16"/>
    </row>
    <row r="3342" spans="2:2">
      <c r="B3342" s="16"/>
    </row>
    <row r="3343" spans="2:2">
      <c r="B3343" s="16"/>
    </row>
    <row r="3344" spans="2:2">
      <c r="B3344" s="16"/>
    </row>
    <row r="3345" spans="2:2">
      <c r="B3345" s="16"/>
    </row>
    <row r="3346" spans="2:2">
      <c r="B3346" s="16"/>
    </row>
    <row r="3347" spans="2:2">
      <c r="B3347" s="16"/>
    </row>
    <row r="3348" spans="2:2">
      <c r="B3348" s="16"/>
    </row>
    <row r="3349" spans="2:2">
      <c r="B3349" s="16"/>
    </row>
    <row r="3350" spans="2:2">
      <c r="B3350" s="16"/>
    </row>
    <row r="3351" spans="2:2">
      <c r="B3351" s="16"/>
    </row>
    <row r="3352" spans="2:2">
      <c r="B3352" s="16"/>
    </row>
    <row r="3353" spans="2:2">
      <c r="B3353" s="16"/>
    </row>
    <row r="3354" spans="2:2">
      <c r="B3354" s="16"/>
    </row>
    <row r="3355" spans="2:2">
      <c r="B3355" s="16"/>
    </row>
    <row r="3356" spans="2:2">
      <c r="B3356" s="16"/>
    </row>
    <row r="3357" spans="2:2">
      <c r="B3357" s="16"/>
    </row>
    <row r="3358" spans="2:2">
      <c r="B3358" s="16"/>
    </row>
    <row r="3359" spans="2:2">
      <c r="B3359" s="16"/>
    </row>
    <row r="3360" spans="2:2">
      <c r="B3360" s="16"/>
    </row>
    <row r="3361" spans="2:2">
      <c r="B3361" s="16"/>
    </row>
    <row r="3362" spans="2:2">
      <c r="B3362" s="16"/>
    </row>
    <row r="3363" spans="2:2">
      <c r="B3363" s="16"/>
    </row>
    <row r="3364" spans="2:2">
      <c r="B3364" s="16"/>
    </row>
    <row r="3365" spans="2:2">
      <c r="B3365" s="16"/>
    </row>
    <row r="3366" spans="2:2">
      <c r="B3366" s="16"/>
    </row>
    <row r="3367" spans="2:2">
      <c r="B3367" s="16"/>
    </row>
    <row r="3368" spans="2:2">
      <c r="B3368" s="16"/>
    </row>
    <row r="3369" spans="2:2">
      <c r="B3369" s="16"/>
    </row>
    <row r="3370" spans="2:2">
      <c r="B3370" s="16"/>
    </row>
    <row r="3371" spans="2:2">
      <c r="B3371" s="16"/>
    </row>
    <row r="3372" spans="2:2">
      <c r="B3372" s="16"/>
    </row>
    <row r="3373" spans="2:2">
      <c r="B3373" s="16"/>
    </row>
    <row r="3374" spans="2:2">
      <c r="B3374" s="16"/>
    </row>
    <row r="3375" spans="2:2">
      <c r="B3375" s="16"/>
    </row>
    <row r="3376" spans="2:2">
      <c r="B3376" s="16"/>
    </row>
    <row r="3377" spans="2:2">
      <c r="B3377" s="16"/>
    </row>
    <row r="3378" spans="2:2">
      <c r="B3378" s="16"/>
    </row>
    <row r="3379" spans="2:2">
      <c r="B3379" s="16"/>
    </row>
    <row r="3380" spans="2:2">
      <c r="B3380" s="16"/>
    </row>
    <row r="3381" spans="2:2">
      <c r="B3381" s="16"/>
    </row>
    <row r="3382" spans="2:2">
      <c r="B3382" s="16"/>
    </row>
    <row r="3383" spans="2:2">
      <c r="B3383" s="16"/>
    </row>
    <row r="3384" spans="2:2">
      <c r="B3384" s="16"/>
    </row>
    <row r="3385" spans="2:2">
      <c r="B3385" s="16"/>
    </row>
    <row r="3386" spans="2:2">
      <c r="B3386" s="16"/>
    </row>
    <row r="3387" spans="2:2">
      <c r="B3387" s="16"/>
    </row>
    <row r="3388" spans="2:2">
      <c r="B3388" s="16"/>
    </row>
    <row r="3389" spans="2:2">
      <c r="B3389" s="16"/>
    </row>
    <row r="3390" spans="2:2">
      <c r="B3390" s="16"/>
    </row>
    <row r="3391" spans="2:2">
      <c r="B3391" s="16"/>
    </row>
    <row r="3392" spans="2:2">
      <c r="B3392" s="16"/>
    </row>
    <row r="3393" spans="2:2">
      <c r="B3393" s="16"/>
    </row>
    <row r="3394" spans="2:2">
      <c r="B3394" s="16"/>
    </row>
    <row r="3395" spans="2:2">
      <c r="B3395" s="16"/>
    </row>
    <row r="3396" spans="2:2">
      <c r="B3396" s="16"/>
    </row>
    <row r="3397" spans="2:2">
      <c r="B3397" s="16"/>
    </row>
    <row r="3398" spans="2:2">
      <c r="B3398" s="16"/>
    </row>
    <row r="3399" spans="2:2">
      <c r="B3399" s="16"/>
    </row>
    <row r="3400" spans="2:2">
      <c r="B3400" s="16"/>
    </row>
    <row r="3401" spans="2:2">
      <c r="B3401" s="16"/>
    </row>
    <row r="3402" spans="2:2">
      <c r="B3402" s="16"/>
    </row>
    <row r="3403" spans="2:2">
      <c r="B3403" s="16"/>
    </row>
    <row r="3404" spans="2:2">
      <c r="B3404" s="16"/>
    </row>
    <row r="3405" spans="2:2">
      <c r="B3405" s="16"/>
    </row>
    <row r="3406" spans="2:2">
      <c r="B3406" s="16"/>
    </row>
    <row r="3407" spans="2:2">
      <c r="B3407" s="16"/>
    </row>
    <row r="3408" spans="2:2">
      <c r="B3408" s="16"/>
    </row>
    <row r="3409" spans="2:2">
      <c r="B3409" s="16"/>
    </row>
    <row r="3410" spans="2:2">
      <c r="B3410" s="16"/>
    </row>
    <row r="3411" spans="2:2">
      <c r="B3411" s="16"/>
    </row>
    <row r="3412" spans="2:2">
      <c r="B3412" s="16"/>
    </row>
    <row r="3413" spans="2:2">
      <c r="B3413" s="16"/>
    </row>
    <row r="3414" spans="2:2">
      <c r="B3414" s="16"/>
    </row>
    <row r="3415" spans="2:2">
      <c r="B3415" s="16"/>
    </row>
    <row r="3416" spans="2:2">
      <c r="B3416" s="16"/>
    </row>
    <row r="3417" spans="2:2">
      <c r="B3417" s="16"/>
    </row>
    <row r="3418" spans="2:2">
      <c r="B3418" s="16"/>
    </row>
    <row r="3419" spans="2:2">
      <c r="B3419" s="16"/>
    </row>
    <row r="3420" spans="2:2">
      <c r="B3420" s="16"/>
    </row>
    <row r="3421" spans="2:2">
      <c r="B3421" s="16"/>
    </row>
    <row r="3422" spans="2:2">
      <c r="B3422" s="16"/>
    </row>
    <row r="3423" spans="2:2">
      <c r="B3423" s="16"/>
    </row>
    <row r="3424" spans="2:2">
      <c r="B3424" s="16"/>
    </row>
    <row r="3425" spans="2:2">
      <c r="B3425" s="16"/>
    </row>
    <row r="3426" spans="2:2">
      <c r="B3426" s="16"/>
    </row>
    <row r="3427" spans="2:2">
      <c r="B3427" s="16"/>
    </row>
    <row r="3428" spans="2:2">
      <c r="B3428" s="16"/>
    </row>
    <row r="3429" spans="2:2">
      <c r="B3429" s="16"/>
    </row>
    <row r="3430" spans="2:2">
      <c r="B3430" s="16"/>
    </row>
    <row r="3431" spans="2:2">
      <c r="B3431" s="16"/>
    </row>
    <row r="3432" spans="2:2">
      <c r="B3432" s="16"/>
    </row>
    <row r="3433" spans="2:2">
      <c r="B3433" s="16"/>
    </row>
    <row r="3434" spans="2:2">
      <c r="B3434" s="16"/>
    </row>
    <row r="3435" spans="2:2">
      <c r="B3435" s="16"/>
    </row>
    <row r="3436" spans="2:2">
      <c r="B3436" s="16"/>
    </row>
    <row r="3437" spans="2:2">
      <c r="B3437" s="16"/>
    </row>
    <row r="3438" spans="2:2">
      <c r="B3438" s="16"/>
    </row>
    <row r="3439" spans="2:2">
      <c r="B3439" s="16"/>
    </row>
    <row r="3440" spans="2:2">
      <c r="B3440" s="16"/>
    </row>
    <row r="3441" spans="2:2">
      <c r="B3441" s="16"/>
    </row>
    <row r="3442" spans="2:2">
      <c r="B3442" s="16"/>
    </row>
    <row r="3443" spans="2:2">
      <c r="B3443" s="16"/>
    </row>
    <row r="3444" spans="2:2">
      <c r="B3444" s="16"/>
    </row>
    <row r="3445" spans="2:2">
      <c r="B3445" s="16"/>
    </row>
    <row r="3446" spans="2:2">
      <c r="B3446" s="16"/>
    </row>
    <row r="3447" spans="2:2">
      <c r="B3447" s="16"/>
    </row>
    <row r="3448" spans="2:2">
      <c r="B3448" s="16"/>
    </row>
    <row r="3449" spans="2:2">
      <c r="B3449" s="16"/>
    </row>
    <row r="3450" spans="2:2">
      <c r="B3450" s="16"/>
    </row>
    <row r="3451" spans="2:2">
      <c r="B3451" s="16"/>
    </row>
    <row r="3452" spans="2:2">
      <c r="B3452" s="16"/>
    </row>
    <row r="3453" spans="2:2">
      <c r="B3453" s="16"/>
    </row>
    <row r="3454" spans="2:2">
      <c r="B3454" s="16"/>
    </row>
    <row r="3455" spans="2:2">
      <c r="B3455" s="16"/>
    </row>
    <row r="3456" spans="2:2">
      <c r="B3456" s="16"/>
    </row>
    <row r="3457" spans="2:2">
      <c r="B3457" s="16"/>
    </row>
    <row r="3458" spans="2:2">
      <c r="B3458" s="16"/>
    </row>
    <row r="3459" spans="2:2">
      <c r="B3459" s="16"/>
    </row>
    <row r="3460" spans="2:2">
      <c r="B3460" s="16"/>
    </row>
    <row r="3461" spans="2:2">
      <c r="B3461" s="16"/>
    </row>
    <row r="3462" spans="2:2">
      <c r="B3462" s="16"/>
    </row>
    <row r="3463" spans="2:2">
      <c r="B3463" s="16"/>
    </row>
    <row r="3464" spans="2:2">
      <c r="B3464" s="16"/>
    </row>
    <row r="3465" spans="2:2">
      <c r="B3465" s="16"/>
    </row>
    <row r="3466" spans="2:2">
      <c r="B3466" s="16"/>
    </row>
    <row r="3467" spans="2:2">
      <c r="B3467" s="16"/>
    </row>
    <row r="3468" spans="2:2">
      <c r="B3468" s="16"/>
    </row>
    <row r="3469" spans="2:2">
      <c r="B3469" s="16"/>
    </row>
    <row r="3470" spans="2:2">
      <c r="B3470" s="16"/>
    </row>
    <row r="3471" spans="2:2">
      <c r="B3471" s="16"/>
    </row>
    <row r="3472" spans="2:2">
      <c r="B3472" s="16"/>
    </row>
    <row r="3473" spans="2:2">
      <c r="B3473" s="16"/>
    </row>
    <row r="3474" spans="2:2">
      <c r="B3474" s="16"/>
    </row>
    <row r="3475" spans="2:2">
      <c r="B3475" s="16"/>
    </row>
    <row r="3476" spans="2:2">
      <c r="B3476" s="16"/>
    </row>
    <row r="3477" spans="2:2">
      <c r="B3477" s="16"/>
    </row>
    <row r="3478" spans="2:2">
      <c r="B3478" s="16"/>
    </row>
    <row r="3479" spans="2:2">
      <c r="B3479" s="16"/>
    </row>
    <row r="3480" spans="2:2">
      <c r="B3480" s="16"/>
    </row>
    <row r="3481" spans="2:2">
      <c r="B3481" s="16"/>
    </row>
    <row r="3482" spans="2:2">
      <c r="B3482" s="16"/>
    </row>
    <row r="3483" spans="2:2">
      <c r="B3483" s="16"/>
    </row>
    <row r="3484" spans="2:2">
      <c r="B3484" s="16"/>
    </row>
    <row r="3485" spans="2:2">
      <c r="B3485" s="16"/>
    </row>
    <row r="3486" spans="2:2">
      <c r="B3486" s="16"/>
    </row>
    <row r="3487" spans="2:2">
      <c r="B3487" s="16"/>
    </row>
    <row r="3488" spans="2:2">
      <c r="B3488" s="16"/>
    </row>
    <row r="3489" spans="2:2">
      <c r="B3489" s="16"/>
    </row>
    <row r="3490" spans="2:2">
      <c r="B3490" s="16"/>
    </row>
    <row r="3491" spans="2:2">
      <c r="B3491" s="16"/>
    </row>
    <row r="3492" spans="2:2">
      <c r="B3492" s="16"/>
    </row>
    <row r="3493" spans="2:2">
      <c r="B3493" s="16"/>
    </row>
    <row r="3494" spans="2:2">
      <c r="B3494" s="16"/>
    </row>
    <row r="3495" spans="2:2">
      <c r="B3495" s="16"/>
    </row>
    <row r="3496" spans="2:2">
      <c r="B3496" s="16"/>
    </row>
    <row r="3497" spans="2:2">
      <c r="B3497" s="16"/>
    </row>
    <row r="3498" spans="2:2">
      <c r="B3498" s="16"/>
    </row>
    <row r="3499" spans="2:2">
      <c r="B3499" s="16"/>
    </row>
    <row r="3500" spans="2:2">
      <c r="B3500" s="16"/>
    </row>
    <row r="3501" spans="2:2">
      <c r="B3501" s="16"/>
    </row>
    <row r="3502" spans="2:2">
      <c r="B3502" s="16"/>
    </row>
    <row r="3503" spans="2:2">
      <c r="B3503" s="16"/>
    </row>
    <row r="3504" spans="2:2">
      <c r="B3504" s="16"/>
    </row>
    <row r="3505" spans="2:2">
      <c r="B3505" s="16"/>
    </row>
    <row r="3506" spans="2:2">
      <c r="B3506" s="16"/>
    </row>
    <row r="3507" spans="2:2">
      <c r="B3507" s="16"/>
    </row>
    <row r="3508" spans="2:2">
      <c r="B3508" s="16"/>
    </row>
    <row r="3509" spans="2:2">
      <c r="B3509" s="16"/>
    </row>
    <row r="3510" spans="2:2">
      <c r="B3510" s="16"/>
    </row>
    <row r="3511" spans="2:2">
      <c r="B3511" s="16"/>
    </row>
    <row r="3512" spans="2:2">
      <c r="B3512" s="16"/>
    </row>
    <row r="3513" spans="2:2">
      <c r="B3513" s="16"/>
    </row>
    <row r="3514" spans="2:2">
      <c r="B3514" s="16"/>
    </row>
    <row r="3515" spans="2:2">
      <c r="B3515" s="16"/>
    </row>
    <row r="3516" spans="2:2">
      <c r="B3516" s="16"/>
    </row>
    <row r="3517" spans="2:2">
      <c r="B3517" s="16"/>
    </row>
    <row r="3518" spans="2:2">
      <c r="B3518" s="16"/>
    </row>
    <row r="3519" spans="2:2">
      <c r="B3519" s="16"/>
    </row>
    <row r="3520" spans="2:2">
      <c r="B3520" s="16"/>
    </row>
    <row r="3521" spans="2:2">
      <c r="B3521" s="16"/>
    </row>
    <row r="3522" spans="2:2">
      <c r="B3522" s="16"/>
    </row>
    <row r="3523" spans="2:2">
      <c r="B3523" s="16"/>
    </row>
    <row r="3524" spans="2:2">
      <c r="B3524" s="16"/>
    </row>
    <row r="3525" spans="2:2">
      <c r="B3525" s="16"/>
    </row>
    <row r="3526" spans="2:2">
      <c r="B3526" s="16"/>
    </row>
    <row r="3527" spans="2:2">
      <c r="B3527" s="16"/>
    </row>
    <row r="3528" spans="2:2">
      <c r="B3528" s="16"/>
    </row>
    <row r="3529" spans="2:2">
      <c r="B3529" s="16"/>
    </row>
    <row r="3530" spans="2:2">
      <c r="B3530" s="16"/>
    </row>
    <row r="3531" spans="2:2">
      <c r="B3531" s="16"/>
    </row>
    <row r="3532" spans="2:2">
      <c r="B3532" s="16"/>
    </row>
    <row r="3533" spans="2:2">
      <c r="B3533" s="16"/>
    </row>
    <row r="3534" spans="2:2">
      <c r="B3534" s="16"/>
    </row>
    <row r="3535" spans="2:2">
      <c r="B3535" s="16"/>
    </row>
    <row r="3536" spans="2:2">
      <c r="B3536" s="16"/>
    </row>
    <row r="3537" spans="2:2">
      <c r="B3537" s="16"/>
    </row>
    <row r="3538" spans="2:2">
      <c r="B3538" s="16"/>
    </row>
    <row r="3539" spans="2:2">
      <c r="B3539" s="16"/>
    </row>
    <row r="3540" spans="2:2">
      <c r="B3540" s="16"/>
    </row>
    <row r="3541" spans="2:2">
      <c r="B3541" s="16"/>
    </row>
    <row r="3542" spans="2:2">
      <c r="B3542" s="16"/>
    </row>
    <row r="3543" spans="2:2">
      <c r="B3543" s="16"/>
    </row>
    <row r="3544" spans="2:2">
      <c r="B3544" s="16"/>
    </row>
    <row r="3545" spans="2:2">
      <c r="B3545" s="16"/>
    </row>
    <row r="3546" spans="2:2">
      <c r="B3546" s="16"/>
    </row>
    <row r="3547" spans="2:2">
      <c r="B3547" s="16"/>
    </row>
    <row r="3548" spans="2:2">
      <c r="B3548" s="16"/>
    </row>
    <row r="3549" spans="2:2">
      <c r="B3549" s="16"/>
    </row>
    <row r="3550" spans="2:2">
      <c r="B3550" s="16"/>
    </row>
    <row r="3551" spans="2:2">
      <c r="B3551" s="16"/>
    </row>
    <row r="3552" spans="2:2">
      <c r="B3552" s="16"/>
    </row>
    <row r="3553" spans="2:2">
      <c r="B3553" s="16"/>
    </row>
    <row r="3554" spans="2:2">
      <c r="B3554" s="16"/>
    </row>
    <row r="3555" spans="2:2">
      <c r="B3555" s="16"/>
    </row>
    <row r="3556" spans="2:2">
      <c r="B3556" s="16"/>
    </row>
    <row r="3557" spans="2:2">
      <c r="B3557" s="16"/>
    </row>
    <row r="3558" spans="2:2">
      <c r="B3558" s="16"/>
    </row>
    <row r="3559" spans="2:2">
      <c r="B3559" s="16"/>
    </row>
    <row r="3560" spans="2:2">
      <c r="B3560" s="16"/>
    </row>
    <row r="3561" spans="2:2">
      <c r="B3561" s="16"/>
    </row>
    <row r="3562" spans="2:2">
      <c r="B3562" s="16"/>
    </row>
    <row r="3563" spans="2:2">
      <c r="B3563" s="16"/>
    </row>
    <row r="3564" spans="2:2">
      <c r="B3564" s="16"/>
    </row>
    <row r="3565" spans="2:2">
      <c r="B3565" s="16"/>
    </row>
    <row r="3566" spans="2:2">
      <c r="B3566" s="16"/>
    </row>
    <row r="3567" spans="2:2">
      <c r="B3567" s="16"/>
    </row>
    <row r="3568" spans="2:2">
      <c r="B3568" s="16"/>
    </row>
    <row r="3569" spans="2:2">
      <c r="B3569" s="16"/>
    </row>
    <row r="3570" spans="2:2">
      <c r="B3570" s="16"/>
    </row>
    <row r="3571" spans="2:2">
      <c r="B3571" s="16"/>
    </row>
    <row r="3572" spans="2:2">
      <c r="B3572" s="16"/>
    </row>
    <row r="3573" spans="2:2">
      <c r="B3573" s="16"/>
    </row>
    <row r="3574" spans="2:2">
      <c r="B3574" s="16"/>
    </row>
    <row r="3575" spans="2:2">
      <c r="B3575" s="16"/>
    </row>
    <row r="3576" spans="2:2">
      <c r="B3576" s="16"/>
    </row>
    <row r="3577" spans="2:2">
      <c r="B3577" s="16"/>
    </row>
    <row r="3578" spans="2:2">
      <c r="B3578" s="16"/>
    </row>
    <row r="3579" spans="2:2">
      <c r="B3579" s="16"/>
    </row>
    <row r="3580" spans="2:2">
      <c r="B3580" s="16"/>
    </row>
    <row r="3581" spans="2:2">
      <c r="B3581" s="16"/>
    </row>
    <row r="3582" spans="2:2">
      <c r="B3582" s="16"/>
    </row>
    <row r="3583" spans="2:2">
      <c r="B3583" s="16"/>
    </row>
    <row r="3584" spans="2:2">
      <c r="B3584" s="16"/>
    </row>
    <row r="3585" spans="2:2">
      <c r="B3585" s="16"/>
    </row>
    <row r="3586" spans="2:2">
      <c r="B3586" s="16"/>
    </row>
    <row r="3587" spans="2:2">
      <c r="B3587" s="16"/>
    </row>
    <row r="3588" spans="2:2">
      <c r="B3588" s="16"/>
    </row>
    <row r="3589" spans="2:2">
      <c r="B3589" s="16"/>
    </row>
    <row r="3590" spans="2:2">
      <c r="B3590" s="16"/>
    </row>
    <row r="3591" spans="2:2">
      <c r="B3591" s="16"/>
    </row>
    <row r="3592" spans="2:2">
      <c r="B3592" s="16"/>
    </row>
    <row r="3593" spans="2:2">
      <c r="B3593" s="16"/>
    </row>
    <row r="3594" spans="2:2">
      <c r="B3594" s="16"/>
    </row>
    <row r="3595" spans="2:2">
      <c r="B3595" s="16"/>
    </row>
    <row r="3596" spans="2:2">
      <c r="B3596" s="16"/>
    </row>
    <row r="3597" spans="2:2">
      <c r="B3597" s="16"/>
    </row>
    <row r="3598" spans="2:2">
      <c r="B3598" s="16"/>
    </row>
    <row r="3599" spans="2:2">
      <c r="B3599" s="16"/>
    </row>
    <row r="3600" spans="2:2">
      <c r="B3600" s="16"/>
    </row>
    <row r="3601" spans="2:2">
      <c r="B3601" s="16"/>
    </row>
    <row r="3602" spans="2:2">
      <c r="B3602" s="16"/>
    </row>
    <row r="3603" spans="2:2">
      <c r="B3603" s="16"/>
    </row>
    <row r="3604" spans="2:2">
      <c r="B3604" s="16"/>
    </row>
    <row r="3605" spans="2:2">
      <c r="B3605" s="16"/>
    </row>
    <row r="3606" spans="2:2">
      <c r="B3606" s="16"/>
    </row>
    <row r="3607" spans="2:2">
      <c r="B3607" s="16"/>
    </row>
    <row r="3608" spans="2:2">
      <c r="B3608" s="16"/>
    </row>
    <row r="3609" spans="2:2">
      <c r="B3609" s="16"/>
    </row>
    <row r="3610" spans="2:2">
      <c r="B3610" s="16"/>
    </row>
    <row r="3611" spans="2:2">
      <c r="B3611" s="16"/>
    </row>
    <row r="3612" spans="2:2">
      <c r="B3612" s="16"/>
    </row>
    <row r="3613" spans="2:2">
      <c r="B3613" s="16"/>
    </row>
    <row r="3614" spans="2:2">
      <c r="B3614" s="16"/>
    </row>
    <row r="3615" spans="2:2">
      <c r="B3615" s="16"/>
    </row>
    <row r="3616" spans="2:2">
      <c r="B3616" s="16"/>
    </row>
    <row r="3617" spans="2:2">
      <c r="B3617" s="16"/>
    </row>
    <row r="3618" spans="2:2">
      <c r="B3618" s="16"/>
    </row>
    <row r="3619" spans="2:2">
      <c r="B3619" s="16"/>
    </row>
    <row r="3620" spans="2:2">
      <c r="B3620" s="16"/>
    </row>
    <row r="3621" spans="2:2">
      <c r="B3621" s="16"/>
    </row>
    <row r="3622" spans="2:2">
      <c r="B3622" s="16"/>
    </row>
    <row r="3623" spans="2:2">
      <c r="B3623" s="16"/>
    </row>
    <row r="3624" spans="2:2">
      <c r="B3624" s="16"/>
    </row>
    <row r="3625" spans="2:2">
      <c r="B3625" s="16"/>
    </row>
    <row r="3626" spans="2:2">
      <c r="B3626" s="16"/>
    </row>
    <row r="3627" spans="2:2">
      <c r="B3627" s="16"/>
    </row>
    <row r="3628" spans="2:2">
      <c r="B3628" s="16"/>
    </row>
    <row r="3629" spans="2:2">
      <c r="B3629" s="16"/>
    </row>
    <row r="3630" spans="2:2">
      <c r="B3630" s="16"/>
    </row>
    <row r="3631" spans="2:2">
      <c r="B3631" s="16"/>
    </row>
    <row r="3632" spans="2:2">
      <c r="B3632" s="16"/>
    </row>
    <row r="3633" spans="2:2">
      <c r="B3633" s="16"/>
    </row>
    <row r="3634" spans="2:2">
      <c r="B3634" s="16"/>
    </row>
    <row r="3635" spans="2:2">
      <c r="B3635" s="16"/>
    </row>
    <row r="3636" spans="2:2">
      <c r="B3636" s="16"/>
    </row>
    <row r="3637" spans="2:2">
      <c r="B3637" s="16"/>
    </row>
    <row r="3638" spans="2:2">
      <c r="B3638" s="16"/>
    </row>
    <row r="3639" spans="2:2">
      <c r="B3639" s="16"/>
    </row>
    <row r="3640" spans="2:2">
      <c r="B3640" s="16"/>
    </row>
    <row r="3641" spans="2:2">
      <c r="B3641" s="16"/>
    </row>
    <row r="3642" spans="2:2">
      <c r="B3642" s="16"/>
    </row>
    <row r="3643" spans="2:2">
      <c r="B3643" s="16"/>
    </row>
    <row r="3644" spans="2:2">
      <c r="B3644" s="16"/>
    </row>
    <row r="3645" spans="2:2">
      <c r="B3645" s="16"/>
    </row>
    <row r="3646" spans="2:2">
      <c r="B3646" s="16"/>
    </row>
    <row r="3647" spans="2:2">
      <c r="B3647" s="16"/>
    </row>
    <row r="3648" spans="2:2">
      <c r="B3648" s="16"/>
    </row>
    <row r="3649" spans="2:2">
      <c r="B3649" s="16"/>
    </row>
    <row r="3650" spans="2:2">
      <c r="B3650" s="16"/>
    </row>
    <row r="3651" spans="2:2">
      <c r="B3651" s="16"/>
    </row>
    <row r="3652" spans="2:2">
      <c r="B3652" s="16"/>
    </row>
    <row r="3653" spans="2:2">
      <c r="B3653" s="16"/>
    </row>
    <row r="3654" spans="2:2">
      <c r="B3654" s="16"/>
    </row>
    <row r="3655" spans="2:2">
      <c r="B3655" s="16"/>
    </row>
    <row r="3656" spans="2:2">
      <c r="B3656" s="16"/>
    </row>
    <row r="3657" spans="2:2">
      <c r="B3657" s="16"/>
    </row>
    <row r="3658" spans="2:2">
      <c r="B3658" s="16"/>
    </row>
    <row r="3659" spans="2:2">
      <c r="B3659" s="16"/>
    </row>
    <row r="3660" spans="2:2">
      <c r="B3660" s="16"/>
    </row>
    <row r="3661" spans="2:2">
      <c r="B3661" s="16"/>
    </row>
    <row r="3662" spans="2:2">
      <c r="B3662" s="16"/>
    </row>
    <row r="3663" spans="2:2">
      <c r="B3663" s="16"/>
    </row>
    <row r="3664" spans="2:2">
      <c r="B3664" s="16"/>
    </row>
    <row r="3665" spans="2:2">
      <c r="B3665" s="16"/>
    </row>
    <row r="3666" spans="2:2">
      <c r="B3666" s="16"/>
    </row>
    <row r="3667" spans="2:2">
      <c r="B3667" s="16"/>
    </row>
    <row r="3668" spans="2:2">
      <c r="B3668" s="16"/>
    </row>
    <row r="3669" spans="2:2">
      <c r="B3669" s="16"/>
    </row>
    <row r="3670" spans="2:2">
      <c r="B3670" s="16"/>
    </row>
    <row r="3671" spans="2:2">
      <c r="B3671" s="16"/>
    </row>
    <row r="3672" spans="2:2">
      <c r="B3672" s="16"/>
    </row>
    <row r="3673" spans="2:2">
      <c r="B3673" s="16"/>
    </row>
    <row r="3674" spans="2:2">
      <c r="B3674" s="16"/>
    </row>
    <row r="3675" spans="2:2">
      <c r="B3675" s="16"/>
    </row>
    <row r="3676" spans="2:2">
      <c r="B3676" s="16"/>
    </row>
    <row r="3677" spans="2:2">
      <c r="B3677" s="16"/>
    </row>
    <row r="3678" spans="2:2">
      <c r="B3678" s="16"/>
    </row>
    <row r="3679" spans="2:2">
      <c r="B3679" s="16"/>
    </row>
    <row r="3680" spans="2:2">
      <c r="B3680" s="16"/>
    </row>
    <row r="3681" spans="2:2">
      <c r="B3681" s="16"/>
    </row>
    <row r="3682" spans="2:2">
      <c r="B3682" s="16"/>
    </row>
    <row r="3683" spans="2:2">
      <c r="B3683" s="16"/>
    </row>
    <row r="3684" spans="2:2">
      <c r="B3684" s="16"/>
    </row>
    <row r="3685" spans="2:2">
      <c r="B3685" s="16"/>
    </row>
    <row r="3686" spans="2:2">
      <c r="B3686" s="16"/>
    </row>
    <row r="3687" spans="2:2">
      <c r="B3687" s="16"/>
    </row>
    <row r="3688" spans="2:2">
      <c r="B3688" s="16"/>
    </row>
    <row r="3689" spans="2:2">
      <c r="B3689" s="16"/>
    </row>
    <row r="3690" spans="2:2">
      <c r="B3690" s="16"/>
    </row>
    <row r="3691" spans="2:2">
      <c r="B3691" s="16"/>
    </row>
    <row r="3692" spans="2:2">
      <c r="B3692" s="16"/>
    </row>
    <row r="3693" spans="2:2">
      <c r="B3693" s="16"/>
    </row>
    <row r="3694" spans="2:2">
      <c r="B3694" s="16"/>
    </row>
    <row r="3695" spans="2:2">
      <c r="B3695" s="16"/>
    </row>
    <row r="3696" spans="2:2">
      <c r="B3696" s="16"/>
    </row>
    <row r="3697" spans="2:2">
      <c r="B3697" s="16"/>
    </row>
    <row r="3698" spans="2:2">
      <c r="B3698" s="16"/>
    </row>
    <row r="3699" spans="2:2">
      <c r="B3699" s="16"/>
    </row>
    <row r="3700" spans="2:2">
      <c r="B3700" s="16"/>
    </row>
    <row r="3701" spans="2:2">
      <c r="B3701" s="16"/>
    </row>
    <row r="3702" spans="2:2">
      <c r="B3702" s="16"/>
    </row>
    <row r="3703" spans="2:2">
      <c r="B3703" s="16"/>
    </row>
    <row r="3704" spans="2:2">
      <c r="B3704" s="16"/>
    </row>
    <row r="3705" spans="2:2">
      <c r="B3705" s="16"/>
    </row>
    <row r="3706" spans="2:2">
      <c r="B3706" s="16"/>
    </row>
    <row r="3707" spans="2:2">
      <c r="B3707" s="16"/>
    </row>
    <row r="3708" spans="2:2">
      <c r="B3708" s="16"/>
    </row>
    <row r="3709" spans="2:2">
      <c r="B3709" s="16"/>
    </row>
    <row r="3710" spans="2:2">
      <c r="B3710" s="16"/>
    </row>
    <row r="3711" spans="2:2">
      <c r="B3711" s="16"/>
    </row>
    <row r="3712" spans="2:2">
      <c r="B3712" s="16"/>
    </row>
    <row r="3713" spans="2:2">
      <c r="B3713" s="16"/>
    </row>
    <row r="3714" spans="2:2">
      <c r="B3714" s="16"/>
    </row>
    <row r="3715" spans="2:2">
      <c r="B3715" s="16"/>
    </row>
    <row r="3716" spans="2:2">
      <c r="B3716" s="16"/>
    </row>
    <row r="3717" spans="2:2">
      <c r="B3717" s="16"/>
    </row>
    <row r="3718" spans="2:2">
      <c r="B3718" s="16"/>
    </row>
    <row r="3719" spans="2:2">
      <c r="B3719" s="16"/>
    </row>
    <row r="3720" spans="2:2">
      <c r="B3720" s="16"/>
    </row>
    <row r="3721" spans="2:2">
      <c r="B3721" s="16"/>
    </row>
    <row r="3722" spans="2:2">
      <c r="B3722" s="16"/>
    </row>
    <row r="3723" spans="2:2">
      <c r="B3723" s="16"/>
    </row>
    <row r="3724" spans="2:2">
      <c r="B3724" s="16"/>
    </row>
    <row r="3725" spans="2:2">
      <c r="B3725" s="16"/>
    </row>
    <row r="3726" spans="2:2">
      <c r="B3726" s="16"/>
    </row>
    <row r="3727" spans="2:2">
      <c r="B3727" s="16"/>
    </row>
    <row r="3728" spans="2:2">
      <c r="B3728" s="16"/>
    </row>
    <row r="3729" spans="2:2">
      <c r="B3729" s="16"/>
    </row>
    <row r="3730" spans="2:2">
      <c r="B3730" s="16"/>
    </row>
    <row r="3731" spans="2:2">
      <c r="B3731" s="16"/>
    </row>
    <row r="3732" spans="2:2">
      <c r="B3732" s="16"/>
    </row>
    <row r="3733" spans="2:2">
      <c r="B3733" s="16"/>
    </row>
    <row r="3734" spans="2:2">
      <c r="B3734" s="16"/>
    </row>
    <row r="3735" spans="2:2">
      <c r="B3735" s="16"/>
    </row>
    <row r="3736" spans="2:2">
      <c r="B3736" s="16"/>
    </row>
    <row r="3737" spans="2:2">
      <c r="B3737" s="16"/>
    </row>
    <row r="3738" spans="2:2">
      <c r="B3738" s="16"/>
    </row>
    <row r="3739" spans="2:2">
      <c r="B3739" s="16"/>
    </row>
    <row r="3740" spans="2:2">
      <c r="B3740" s="16"/>
    </row>
    <row r="3741" spans="2:2">
      <c r="B3741" s="16"/>
    </row>
    <row r="3742" spans="2:2">
      <c r="B3742" s="16"/>
    </row>
    <row r="3743" spans="2:2">
      <c r="B3743" s="16"/>
    </row>
    <row r="3744" spans="2:2">
      <c r="B3744" s="16"/>
    </row>
    <row r="3745" spans="2:2">
      <c r="B3745" s="16"/>
    </row>
    <row r="3746" spans="2:2">
      <c r="B3746" s="16"/>
    </row>
    <row r="3747" spans="2:2">
      <c r="B3747" s="16"/>
    </row>
    <row r="3748" spans="2:2">
      <c r="B3748" s="16"/>
    </row>
    <row r="3749" spans="2:2">
      <c r="B3749" s="16"/>
    </row>
    <row r="3750" spans="2:2">
      <c r="B3750" s="16"/>
    </row>
    <row r="3751" spans="2:2">
      <c r="B3751" s="16"/>
    </row>
    <row r="3752" spans="2:2">
      <c r="B3752" s="16"/>
    </row>
    <row r="3753" spans="2:2">
      <c r="B3753" s="16"/>
    </row>
    <row r="3754" spans="2:2">
      <c r="B3754" s="16"/>
    </row>
    <row r="3755" spans="2:2">
      <c r="B3755" s="16"/>
    </row>
    <row r="3756" spans="2:2">
      <c r="B3756" s="16"/>
    </row>
    <row r="3757" spans="2:2">
      <c r="B3757" s="16"/>
    </row>
    <row r="3758" spans="2:2">
      <c r="B3758" s="16"/>
    </row>
    <row r="3759" spans="2:2">
      <c r="B3759" s="16"/>
    </row>
    <row r="3760" spans="2:2">
      <c r="B3760" s="16"/>
    </row>
    <row r="3761" spans="2:2">
      <c r="B3761" s="16"/>
    </row>
    <row r="3762" spans="2:2">
      <c r="B3762" s="16"/>
    </row>
    <row r="3763" spans="2:2">
      <c r="B3763" s="16"/>
    </row>
    <row r="3764" spans="2:2">
      <c r="B3764" s="16"/>
    </row>
    <row r="3765" spans="2:2">
      <c r="B3765" s="16"/>
    </row>
    <row r="3766" spans="2:2">
      <c r="B3766" s="16"/>
    </row>
    <row r="3767" spans="2:2">
      <c r="B3767" s="16"/>
    </row>
    <row r="3768" spans="2:2">
      <c r="B3768" s="16"/>
    </row>
    <row r="3769" spans="2:2">
      <c r="B3769" s="16"/>
    </row>
    <row r="3770" spans="2:2">
      <c r="B3770" s="16"/>
    </row>
    <row r="3771" spans="2:2">
      <c r="B3771" s="16"/>
    </row>
    <row r="3772" spans="2:2">
      <c r="B3772" s="16"/>
    </row>
    <row r="3773" spans="2:2">
      <c r="B3773" s="16"/>
    </row>
    <row r="3774" spans="2:2">
      <c r="B3774" s="16"/>
    </row>
    <row r="3775" spans="2:2">
      <c r="B3775" s="16"/>
    </row>
    <row r="3776" spans="2:2">
      <c r="B3776" s="16"/>
    </row>
    <row r="3777" spans="2:2">
      <c r="B3777" s="16"/>
    </row>
    <row r="3778" spans="2:2">
      <c r="B3778" s="16"/>
    </row>
    <row r="3779" spans="2:2">
      <c r="B3779" s="16"/>
    </row>
    <row r="3780" spans="2:2">
      <c r="B3780" s="16"/>
    </row>
    <row r="3781" spans="2:2">
      <c r="B3781" s="16"/>
    </row>
    <row r="3782" spans="2:2">
      <c r="B3782" s="16"/>
    </row>
    <row r="3783" spans="2:2">
      <c r="B3783" s="16"/>
    </row>
    <row r="3784" spans="2:2">
      <c r="B3784" s="16"/>
    </row>
    <row r="3785" spans="2:2">
      <c r="B3785" s="16"/>
    </row>
    <row r="3786" spans="2:2">
      <c r="B3786" s="16"/>
    </row>
    <row r="3787" spans="2:2">
      <c r="B3787" s="16"/>
    </row>
    <row r="3788" spans="2:2">
      <c r="B3788" s="16"/>
    </row>
    <row r="3789" spans="2:2">
      <c r="B3789" s="16"/>
    </row>
    <row r="3790" spans="2:2">
      <c r="B3790" s="16"/>
    </row>
    <row r="3791" spans="2:2">
      <c r="B3791" s="16"/>
    </row>
    <row r="3792" spans="2:2">
      <c r="B3792" s="16"/>
    </row>
    <row r="3793" spans="2:2">
      <c r="B3793" s="16"/>
    </row>
    <row r="3794" spans="2:2">
      <c r="B3794" s="16"/>
    </row>
    <row r="3795" spans="2:2">
      <c r="B3795" s="16"/>
    </row>
    <row r="3796" spans="2:2">
      <c r="B3796" s="16"/>
    </row>
    <row r="3797" spans="2:2">
      <c r="B3797" s="16"/>
    </row>
    <row r="3798" spans="2:2">
      <c r="B3798" s="16"/>
    </row>
    <row r="3799" spans="2:2">
      <c r="B3799" s="16"/>
    </row>
    <row r="3800" spans="2:2">
      <c r="B3800" s="16"/>
    </row>
    <row r="3801" spans="2:2">
      <c r="B3801" s="16"/>
    </row>
    <row r="3802" spans="2:2">
      <c r="B3802" s="16"/>
    </row>
    <row r="3803" spans="2:2">
      <c r="B3803" s="16"/>
    </row>
    <row r="3804" spans="2:2">
      <c r="B3804" s="16"/>
    </row>
    <row r="3805" spans="2:2">
      <c r="B3805" s="16"/>
    </row>
    <row r="3806" spans="2:2">
      <c r="B3806" s="16"/>
    </row>
    <row r="3807" spans="2:2">
      <c r="B3807" s="16"/>
    </row>
    <row r="3808" spans="2:2">
      <c r="B3808" s="16"/>
    </row>
    <row r="3809" spans="2:2">
      <c r="B3809" s="16"/>
    </row>
    <row r="3810" spans="2:2">
      <c r="B3810" s="16"/>
    </row>
    <row r="3811" spans="2:2">
      <c r="B3811" s="16"/>
    </row>
    <row r="3812" spans="2:2">
      <c r="B3812" s="16"/>
    </row>
    <row r="3813" spans="2:2">
      <c r="B3813" s="16"/>
    </row>
    <row r="3814" spans="2:2">
      <c r="B3814" s="16"/>
    </row>
    <row r="3815" spans="2:2">
      <c r="B3815" s="16"/>
    </row>
    <row r="3816" spans="2:2">
      <c r="B3816" s="16"/>
    </row>
    <row r="3817" spans="2:2">
      <c r="B3817" s="16"/>
    </row>
    <row r="3818" spans="2:2">
      <c r="B3818" s="16"/>
    </row>
    <row r="3819" spans="2:2">
      <c r="B3819" s="16"/>
    </row>
    <row r="3820" spans="2:2">
      <c r="B3820" s="16"/>
    </row>
    <row r="3821" spans="2:2">
      <c r="B3821" s="16"/>
    </row>
    <row r="3822" spans="2:2">
      <c r="B3822" s="16"/>
    </row>
    <row r="3823" spans="2:2">
      <c r="B3823" s="16"/>
    </row>
    <row r="3824" spans="2:2">
      <c r="B3824" s="16"/>
    </row>
    <row r="3825" spans="2:2">
      <c r="B3825" s="16"/>
    </row>
    <row r="3826" spans="2:2">
      <c r="B3826" s="16"/>
    </row>
    <row r="3827" spans="2:2">
      <c r="B3827" s="16"/>
    </row>
    <row r="3828" spans="2:2">
      <c r="B3828" s="16"/>
    </row>
    <row r="3829" spans="2:2">
      <c r="B3829" s="16"/>
    </row>
    <row r="3830" spans="2:2">
      <c r="B3830" s="16"/>
    </row>
    <row r="3831" spans="2:2">
      <c r="B3831" s="16"/>
    </row>
    <row r="3832" spans="2:2">
      <c r="B3832" s="16"/>
    </row>
    <row r="3833" spans="2:2">
      <c r="B3833" s="16"/>
    </row>
    <row r="3834" spans="2:2">
      <c r="B3834" s="16"/>
    </row>
    <row r="3835" spans="2:2">
      <c r="B3835" s="16"/>
    </row>
    <row r="3836" spans="2:2">
      <c r="B3836" s="16"/>
    </row>
    <row r="3837" spans="2:2">
      <c r="B3837" s="16"/>
    </row>
    <row r="3838" spans="2:2">
      <c r="B3838" s="16"/>
    </row>
    <row r="3839" spans="2:2">
      <c r="B3839" s="16"/>
    </row>
    <row r="3840" spans="2:2">
      <c r="B3840" s="16"/>
    </row>
    <row r="3841" spans="2:2">
      <c r="B3841" s="16"/>
    </row>
    <row r="3842" spans="2:2">
      <c r="B3842" s="16"/>
    </row>
    <row r="3843" spans="2:2">
      <c r="B3843" s="16"/>
    </row>
    <row r="3844" spans="2:2">
      <c r="B3844" s="16"/>
    </row>
    <row r="3845" spans="2:2">
      <c r="B3845" s="16"/>
    </row>
    <row r="3846" spans="2:2">
      <c r="B3846" s="16"/>
    </row>
    <row r="3847" spans="2:2">
      <c r="B3847" s="16"/>
    </row>
    <row r="3848" spans="2:2">
      <c r="B3848" s="16"/>
    </row>
    <row r="3849" spans="2:2">
      <c r="B3849" s="16"/>
    </row>
    <row r="3850" spans="2:2">
      <c r="B3850" s="16"/>
    </row>
    <row r="3851" spans="2:2">
      <c r="B3851" s="16"/>
    </row>
    <row r="3852" spans="2:2">
      <c r="B3852" s="16"/>
    </row>
    <row r="3853" spans="2:2">
      <c r="B3853" s="16"/>
    </row>
    <row r="3854" spans="2:2">
      <c r="B3854" s="16"/>
    </row>
    <row r="3855" spans="2:2">
      <c r="B3855" s="16"/>
    </row>
    <row r="3856" spans="2:2">
      <c r="B3856" s="16"/>
    </row>
    <row r="3857" spans="2:2">
      <c r="B3857" s="16"/>
    </row>
    <row r="3858" spans="2:2">
      <c r="B3858" s="16"/>
    </row>
    <row r="3859" spans="2:2">
      <c r="B3859" s="16"/>
    </row>
    <row r="3860" spans="2:2">
      <c r="B3860" s="16"/>
    </row>
    <row r="3861" spans="2:2">
      <c r="B3861" s="16"/>
    </row>
    <row r="3862" spans="2:2">
      <c r="B3862" s="16"/>
    </row>
    <row r="3863" spans="2:2">
      <c r="B3863" s="16"/>
    </row>
    <row r="3864" spans="2:2">
      <c r="B3864" s="16"/>
    </row>
    <row r="3865" spans="2:2">
      <c r="B3865" s="16"/>
    </row>
    <row r="3866" spans="2:2">
      <c r="B3866" s="16"/>
    </row>
    <row r="3867" spans="2:2">
      <c r="B3867" s="16"/>
    </row>
    <row r="3868" spans="2:2">
      <c r="B3868" s="16"/>
    </row>
    <row r="3869" spans="2:2">
      <c r="B3869" s="16"/>
    </row>
    <row r="3870" spans="2:2">
      <c r="B3870" s="16"/>
    </row>
    <row r="3871" spans="2:2">
      <c r="B3871" s="16"/>
    </row>
    <row r="3872" spans="2:2">
      <c r="B3872" s="16"/>
    </row>
    <row r="3873" spans="2:2">
      <c r="B3873" s="16"/>
    </row>
    <row r="3874" spans="2:2">
      <c r="B3874" s="16"/>
    </row>
    <row r="3875" spans="2:2">
      <c r="B3875" s="16"/>
    </row>
    <row r="3876" spans="2:2">
      <c r="B3876" s="16"/>
    </row>
    <row r="3877" spans="2:2">
      <c r="B3877" s="16"/>
    </row>
    <row r="3878" spans="2:2">
      <c r="B3878" s="16"/>
    </row>
    <row r="3879" spans="2:2">
      <c r="B3879" s="16"/>
    </row>
    <row r="3880" spans="2:2">
      <c r="B3880" s="16"/>
    </row>
    <row r="3881" spans="2:2">
      <c r="B3881" s="16"/>
    </row>
    <row r="3882" spans="2:2">
      <c r="B3882" s="16"/>
    </row>
    <row r="3883" spans="2:2">
      <c r="B3883" s="16"/>
    </row>
    <row r="3884" spans="2:2">
      <c r="B3884" s="16"/>
    </row>
    <row r="3885" spans="2:2">
      <c r="B3885" s="16"/>
    </row>
    <row r="3886" spans="2:2">
      <c r="B3886" s="16"/>
    </row>
    <row r="3887" spans="2:2">
      <c r="B3887" s="16"/>
    </row>
    <row r="3888" spans="2:2">
      <c r="B3888" s="16"/>
    </row>
    <row r="3889" spans="2:2">
      <c r="B3889" s="16"/>
    </row>
    <row r="3890" spans="2:2">
      <c r="B3890" s="16"/>
    </row>
    <row r="3891" spans="2:2">
      <c r="B3891" s="16"/>
    </row>
    <row r="3892" spans="2:2">
      <c r="B3892" s="16"/>
    </row>
    <row r="3893" spans="2:2">
      <c r="B3893" s="16"/>
    </row>
    <row r="3894" spans="2:2">
      <c r="B3894" s="16"/>
    </row>
    <row r="3895" spans="2:2">
      <c r="B3895" s="16"/>
    </row>
    <row r="3896" spans="2:2">
      <c r="B3896" s="16"/>
    </row>
    <row r="3897" spans="2:2">
      <c r="B3897" s="16"/>
    </row>
    <row r="3898" spans="2:2">
      <c r="B3898" s="16"/>
    </row>
    <row r="3899" spans="2:2">
      <c r="B3899" s="16"/>
    </row>
    <row r="3900" spans="2:2">
      <c r="B3900" s="16"/>
    </row>
    <row r="3901" spans="2:2">
      <c r="B3901" s="16"/>
    </row>
    <row r="3902" spans="2:2">
      <c r="B3902" s="16"/>
    </row>
    <row r="3903" spans="2:2">
      <c r="B3903" s="16"/>
    </row>
    <row r="3904" spans="2:2">
      <c r="B3904" s="16"/>
    </row>
    <row r="3905" spans="2:2">
      <c r="B3905" s="16"/>
    </row>
    <row r="3906" spans="2:2">
      <c r="B3906" s="16"/>
    </row>
    <row r="3907" spans="2:2">
      <c r="B3907" s="16"/>
    </row>
    <row r="3908" spans="2:2">
      <c r="B3908" s="16"/>
    </row>
    <row r="3909" spans="2:2">
      <c r="B3909" s="16"/>
    </row>
    <row r="3910" spans="2:2">
      <c r="B3910" s="16"/>
    </row>
    <row r="3911" spans="2:2">
      <c r="B3911" s="16"/>
    </row>
    <row r="3912" spans="2:2">
      <c r="B3912" s="16"/>
    </row>
    <row r="3913" spans="2:2">
      <c r="B3913" s="16"/>
    </row>
    <row r="3914" spans="2:2">
      <c r="B3914" s="16"/>
    </row>
    <row r="3915" spans="2:2">
      <c r="B3915" s="16"/>
    </row>
    <row r="3916" spans="2:2">
      <c r="B3916" s="16"/>
    </row>
    <row r="3917" spans="2:2">
      <c r="B3917" s="16"/>
    </row>
    <row r="3918" spans="2:2">
      <c r="B3918" s="16"/>
    </row>
    <row r="3919" spans="2:2">
      <c r="B3919" s="16"/>
    </row>
    <row r="3920" spans="2:2">
      <c r="B3920" s="16"/>
    </row>
    <row r="3921" spans="2:2">
      <c r="B3921" s="16"/>
    </row>
    <row r="3922" spans="2:2">
      <c r="B3922" s="16"/>
    </row>
    <row r="3923" spans="2:2">
      <c r="B3923" s="16"/>
    </row>
    <row r="3924" spans="2:2">
      <c r="B3924" s="16"/>
    </row>
    <row r="3925" spans="2:2">
      <c r="B3925" s="16"/>
    </row>
    <row r="3926" spans="2:2">
      <c r="B3926" s="16"/>
    </row>
    <row r="3927" spans="2:2">
      <c r="B3927" s="16"/>
    </row>
    <row r="3928" spans="2:2">
      <c r="B3928" s="16"/>
    </row>
    <row r="3929" spans="2:2">
      <c r="B3929" s="16"/>
    </row>
    <row r="3930" spans="2:2">
      <c r="B3930" s="16"/>
    </row>
    <row r="3931" spans="2:2">
      <c r="B3931" s="16"/>
    </row>
    <row r="3932" spans="2:2">
      <c r="B3932" s="16"/>
    </row>
    <row r="3933" spans="2:2">
      <c r="B3933" s="16"/>
    </row>
    <row r="3934" spans="2:2">
      <c r="B3934" s="16"/>
    </row>
    <row r="3935" spans="2:2">
      <c r="B3935" s="16"/>
    </row>
    <row r="3936" spans="2:2">
      <c r="B3936" s="16"/>
    </row>
    <row r="3937" spans="2:2">
      <c r="B3937" s="16"/>
    </row>
    <row r="3938" spans="2:2">
      <c r="B3938" s="16"/>
    </row>
    <row r="3939" spans="2:2">
      <c r="B3939" s="16"/>
    </row>
    <row r="3940" spans="2:2">
      <c r="B3940" s="16"/>
    </row>
    <row r="3941" spans="2:2">
      <c r="B3941" s="16"/>
    </row>
    <row r="3942" spans="2:2">
      <c r="B3942" s="16"/>
    </row>
    <row r="3943" spans="2:2">
      <c r="B3943" s="16"/>
    </row>
    <row r="3944" spans="2:2">
      <c r="B3944" s="16"/>
    </row>
    <row r="3945" spans="2:2">
      <c r="B3945" s="16"/>
    </row>
    <row r="3946" spans="2:2">
      <c r="B3946" s="16"/>
    </row>
    <row r="3947" spans="2:2">
      <c r="B3947" s="16"/>
    </row>
    <row r="3948" spans="2:2">
      <c r="B3948" s="16"/>
    </row>
    <row r="3949" spans="2:2">
      <c r="B3949" s="16"/>
    </row>
    <row r="3950" spans="2:2">
      <c r="B3950" s="16"/>
    </row>
    <row r="3951" spans="2:2">
      <c r="B3951" s="16"/>
    </row>
    <row r="3952" spans="2:2">
      <c r="B3952" s="16"/>
    </row>
    <row r="3953" spans="2:2">
      <c r="B3953" s="16"/>
    </row>
    <row r="3954" spans="2:2">
      <c r="B3954" s="16"/>
    </row>
    <row r="3955" spans="2:2">
      <c r="B3955" s="16"/>
    </row>
    <row r="3956" spans="2:2">
      <c r="B3956" s="16"/>
    </row>
    <row r="3957" spans="2:2">
      <c r="B3957" s="16"/>
    </row>
    <row r="3958" spans="2:2">
      <c r="B3958" s="16"/>
    </row>
    <row r="3959" spans="2:2">
      <c r="B3959" s="16"/>
    </row>
    <row r="3960" spans="2:2">
      <c r="B3960" s="16"/>
    </row>
    <row r="3961" spans="2:2">
      <c r="B3961" s="16"/>
    </row>
    <row r="3962" spans="2:2">
      <c r="B3962" s="16"/>
    </row>
    <row r="3963" spans="2:2">
      <c r="B3963" s="16"/>
    </row>
    <row r="3964" spans="2:2">
      <c r="B3964" s="16"/>
    </row>
    <row r="3965" spans="2:2">
      <c r="B3965" s="16"/>
    </row>
    <row r="3966" spans="2:2">
      <c r="B3966" s="16"/>
    </row>
    <row r="3967" spans="2:2">
      <c r="B3967" s="16"/>
    </row>
    <row r="3968" spans="2:2">
      <c r="B3968" s="16"/>
    </row>
    <row r="3969" spans="2:2">
      <c r="B3969" s="16"/>
    </row>
    <row r="3970" spans="2:2">
      <c r="B3970" s="16"/>
    </row>
    <row r="3971" spans="2:2">
      <c r="B3971" s="16"/>
    </row>
    <row r="3972" spans="2:2">
      <c r="B3972" s="16"/>
    </row>
    <row r="3973" spans="2:2">
      <c r="B3973" s="16"/>
    </row>
    <row r="3974" spans="2:2">
      <c r="B3974" s="16"/>
    </row>
    <row r="3975" spans="2:2">
      <c r="B3975" s="16"/>
    </row>
    <row r="3976" spans="2:2">
      <c r="B3976" s="16"/>
    </row>
    <row r="3977" spans="2:2">
      <c r="B3977" s="16"/>
    </row>
    <row r="3978" spans="2:2">
      <c r="B3978" s="16"/>
    </row>
    <row r="3979" spans="2:2">
      <c r="B3979" s="16"/>
    </row>
    <row r="3980" spans="2:2">
      <c r="B3980" s="16"/>
    </row>
    <row r="3981" spans="2:2">
      <c r="B3981" s="16"/>
    </row>
    <row r="3982" spans="2:2">
      <c r="B3982" s="16"/>
    </row>
    <row r="3983" spans="2:2">
      <c r="B3983" s="16"/>
    </row>
    <row r="3984" spans="2:2">
      <c r="B3984" s="16"/>
    </row>
    <row r="3985" spans="2:2">
      <c r="B3985" s="16"/>
    </row>
    <row r="3986" spans="2:2">
      <c r="B3986" s="16"/>
    </row>
    <row r="3987" spans="2:2">
      <c r="B3987" s="16"/>
    </row>
    <row r="3988" spans="2:2">
      <c r="B3988" s="16"/>
    </row>
    <row r="3989" spans="2:2">
      <c r="B3989" s="16"/>
    </row>
    <row r="3990" spans="2:2">
      <c r="B3990" s="16"/>
    </row>
    <row r="3991" spans="2:2">
      <c r="B3991" s="16"/>
    </row>
    <row r="3992" spans="2:2">
      <c r="B3992" s="16"/>
    </row>
    <row r="3993" spans="2:2">
      <c r="B3993" s="16"/>
    </row>
    <row r="3994" spans="2:2">
      <c r="B3994" s="16"/>
    </row>
    <row r="3995" spans="2:2">
      <c r="B3995" s="16"/>
    </row>
    <row r="3996" spans="2:2">
      <c r="B3996" s="16"/>
    </row>
    <row r="3997" spans="2:2">
      <c r="B3997" s="16"/>
    </row>
    <row r="3998" spans="2:2">
      <c r="B3998" s="16"/>
    </row>
    <row r="3999" spans="2:2">
      <c r="B3999" s="16"/>
    </row>
    <row r="4000" spans="2:2">
      <c r="B4000" s="16"/>
    </row>
    <row r="4001" spans="2:2">
      <c r="B4001" s="16"/>
    </row>
    <row r="4002" spans="2:2">
      <c r="B4002" s="16"/>
    </row>
    <row r="4003" spans="2:2">
      <c r="B4003" s="16"/>
    </row>
    <row r="4004" spans="2:2">
      <c r="B4004" s="16"/>
    </row>
    <row r="4005" spans="2:2">
      <c r="B4005" s="16"/>
    </row>
    <row r="4006" spans="2:2">
      <c r="B4006" s="16"/>
    </row>
    <row r="4007" spans="2:2">
      <c r="B4007" s="16"/>
    </row>
    <row r="4008" spans="2:2">
      <c r="B4008" s="16"/>
    </row>
    <row r="4009" spans="2:2">
      <c r="B4009" s="16"/>
    </row>
    <row r="4010" spans="2:2">
      <c r="B4010" s="16"/>
    </row>
    <row r="4011" spans="2:2">
      <c r="B4011" s="16"/>
    </row>
    <row r="4012" spans="2:2">
      <c r="B4012" s="16"/>
    </row>
    <row r="4013" spans="2:2">
      <c r="B4013" s="16"/>
    </row>
    <row r="4014" spans="2:2">
      <c r="B4014" s="16"/>
    </row>
    <row r="4015" spans="2:2">
      <c r="B4015" s="16"/>
    </row>
    <row r="4016" spans="2:2">
      <c r="B4016" s="16"/>
    </row>
    <row r="4017" spans="2:2">
      <c r="B4017" s="16"/>
    </row>
    <row r="4018" spans="2:2">
      <c r="B4018" s="16"/>
    </row>
    <row r="4019" spans="2:2">
      <c r="B4019" s="16"/>
    </row>
    <row r="4020" spans="2:2">
      <c r="B4020" s="16"/>
    </row>
    <row r="4021" spans="2:2">
      <c r="B4021" s="16"/>
    </row>
    <row r="4022" spans="2:2">
      <c r="B4022" s="16"/>
    </row>
    <row r="4023" spans="2:2">
      <c r="B4023" s="16"/>
    </row>
    <row r="4024" spans="2:2">
      <c r="B4024" s="16"/>
    </row>
    <row r="4025" spans="2:2">
      <c r="B4025" s="16"/>
    </row>
    <row r="4026" spans="2:2">
      <c r="B4026" s="16"/>
    </row>
    <row r="4027" spans="2:2">
      <c r="B4027" s="16"/>
    </row>
    <row r="4028" spans="2:2">
      <c r="B4028" s="16"/>
    </row>
    <row r="4029" spans="2:2">
      <c r="B4029" s="16"/>
    </row>
    <row r="4030" spans="2:2">
      <c r="B4030" s="16"/>
    </row>
    <row r="4031" spans="2:2">
      <c r="B4031" s="16"/>
    </row>
    <row r="4032" spans="2:2">
      <c r="B4032" s="16"/>
    </row>
    <row r="4033" spans="2:2">
      <c r="B4033" s="16"/>
    </row>
    <row r="4034" spans="2:2">
      <c r="B4034" s="16"/>
    </row>
    <row r="4035" spans="2:2">
      <c r="B4035" s="16"/>
    </row>
    <row r="4036" spans="2:2">
      <c r="B4036" s="16"/>
    </row>
    <row r="4037" spans="2:2">
      <c r="B4037" s="16"/>
    </row>
    <row r="4038" spans="2:2">
      <c r="B4038" s="16"/>
    </row>
    <row r="4039" spans="2:2">
      <c r="B4039" s="16"/>
    </row>
    <row r="4040" spans="2:2">
      <c r="B4040" s="16"/>
    </row>
    <row r="4041" spans="2:2">
      <c r="B4041" s="16"/>
    </row>
    <row r="4042" spans="2:2">
      <c r="B4042" s="16"/>
    </row>
    <row r="4043" spans="2:2">
      <c r="B4043" s="16"/>
    </row>
    <row r="4044" spans="2:2">
      <c r="B4044" s="16"/>
    </row>
    <row r="4045" spans="2:2">
      <c r="B4045" s="16"/>
    </row>
    <row r="4046" spans="2:2">
      <c r="B4046" s="16"/>
    </row>
    <row r="4047" spans="2:2">
      <c r="B4047" s="16"/>
    </row>
    <row r="4048" spans="2:2">
      <c r="B4048" s="16"/>
    </row>
    <row r="4049" spans="2:2">
      <c r="B4049" s="16"/>
    </row>
    <row r="4050" spans="2:2">
      <c r="B4050" s="16"/>
    </row>
    <row r="4051" spans="2:2">
      <c r="B4051" s="16"/>
    </row>
    <row r="4052" spans="2:2">
      <c r="B4052" s="16"/>
    </row>
    <row r="4053" spans="2:2">
      <c r="B4053" s="16"/>
    </row>
    <row r="4054" spans="2:2">
      <c r="B4054" s="16"/>
    </row>
    <row r="4055" spans="2:2">
      <c r="B4055" s="16"/>
    </row>
    <row r="4056" spans="2:2">
      <c r="B4056" s="16"/>
    </row>
    <row r="4057" spans="2:2">
      <c r="B4057" s="16"/>
    </row>
    <row r="4058" spans="2:2">
      <c r="B4058" s="16"/>
    </row>
    <row r="4059" spans="2:2">
      <c r="B4059" s="16"/>
    </row>
    <row r="4060" spans="2:2">
      <c r="B4060" s="16"/>
    </row>
    <row r="4061" spans="2:2">
      <c r="B4061" s="16"/>
    </row>
    <row r="4062" spans="2:2">
      <c r="B4062" s="16"/>
    </row>
    <row r="4063" spans="2:2">
      <c r="B4063" s="16"/>
    </row>
    <row r="4064" spans="2:2">
      <c r="B4064" s="16"/>
    </row>
    <row r="4065" spans="2:2">
      <c r="B4065" s="16"/>
    </row>
    <row r="4066" spans="2:2">
      <c r="B4066" s="16"/>
    </row>
    <row r="4067" spans="2:2">
      <c r="B4067" s="16"/>
    </row>
    <row r="4068" spans="2:2">
      <c r="B4068" s="16"/>
    </row>
    <row r="4069" spans="2:2">
      <c r="B4069" s="16"/>
    </row>
    <row r="4070" spans="2:2">
      <c r="B4070" s="16"/>
    </row>
    <row r="4071" spans="2:2">
      <c r="B4071" s="16"/>
    </row>
    <row r="4072" spans="2:2">
      <c r="B4072" s="16"/>
    </row>
    <row r="4073" spans="2:2">
      <c r="B4073" s="16"/>
    </row>
    <row r="4074" spans="2:2">
      <c r="B4074" s="16"/>
    </row>
    <row r="4075" spans="2:2">
      <c r="B4075" s="16"/>
    </row>
    <row r="4076" spans="2:2">
      <c r="B4076" s="16"/>
    </row>
    <row r="4077" spans="2:2">
      <c r="B4077" s="16"/>
    </row>
    <row r="4078" spans="2:2">
      <c r="B4078" s="16"/>
    </row>
    <row r="4079" spans="2:2">
      <c r="B4079" s="16"/>
    </row>
    <row r="4080" spans="2:2">
      <c r="B4080" s="16"/>
    </row>
    <row r="4081" spans="2:2">
      <c r="B4081" s="16"/>
    </row>
    <row r="4082" spans="2:2">
      <c r="B4082" s="16"/>
    </row>
    <row r="4083" spans="2:2">
      <c r="B4083" s="16"/>
    </row>
    <row r="4084" spans="2:2">
      <c r="B4084" s="16"/>
    </row>
    <row r="4085" spans="2:2">
      <c r="B4085" s="16"/>
    </row>
    <row r="4086" spans="2:2">
      <c r="B4086" s="16"/>
    </row>
    <row r="4087" spans="2:2">
      <c r="B4087" s="16"/>
    </row>
    <row r="4088" spans="2:2">
      <c r="B4088" s="16"/>
    </row>
    <row r="4089" spans="2:2">
      <c r="B4089" s="16"/>
    </row>
    <row r="4090" spans="2:2">
      <c r="B4090" s="16"/>
    </row>
    <row r="4091" spans="2:2">
      <c r="B4091" s="16"/>
    </row>
    <row r="4092" spans="2:2">
      <c r="B4092" s="16"/>
    </row>
    <row r="4093" spans="2:2">
      <c r="B4093" s="16"/>
    </row>
    <row r="4094" spans="2:2">
      <c r="B4094" s="16"/>
    </row>
    <row r="4095" spans="2:2">
      <c r="B4095" s="16"/>
    </row>
    <row r="4096" spans="2:2">
      <c r="B4096" s="16"/>
    </row>
    <row r="4097" spans="2:2">
      <c r="B4097" s="16"/>
    </row>
    <row r="4098" spans="2:2">
      <c r="B4098" s="16"/>
    </row>
    <row r="4099" spans="2:2">
      <c r="B4099" s="16"/>
    </row>
    <row r="4100" spans="2:2">
      <c r="B4100" s="16"/>
    </row>
    <row r="4101" spans="2:2">
      <c r="B4101" s="16"/>
    </row>
    <row r="4102" spans="2:2">
      <c r="B4102" s="16"/>
    </row>
    <row r="4103" spans="2:2">
      <c r="B4103" s="16"/>
    </row>
    <row r="4104" spans="2:2">
      <c r="B4104" s="16"/>
    </row>
    <row r="4105" spans="2:2">
      <c r="B4105" s="16"/>
    </row>
    <row r="4106" spans="2:2">
      <c r="B4106" s="16"/>
    </row>
    <row r="4107" spans="2:2">
      <c r="B4107" s="16"/>
    </row>
    <row r="4108" spans="2:2">
      <c r="B4108" s="16"/>
    </row>
    <row r="4109" spans="2:2">
      <c r="B4109" s="16"/>
    </row>
    <row r="4110" spans="2:2">
      <c r="B4110" s="16"/>
    </row>
    <row r="4111" spans="2:2">
      <c r="B4111" s="16"/>
    </row>
    <row r="4112" spans="2:2">
      <c r="B4112" s="16"/>
    </row>
    <row r="4113" spans="2:2">
      <c r="B4113" s="16"/>
    </row>
    <row r="4114" spans="2:2">
      <c r="B4114" s="16"/>
    </row>
    <row r="4115" spans="2:2">
      <c r="B4115" s="1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Flow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Govea Alvarez</dc:creator>
  <cp:lastModifiedBy>Paulina Govea Alvarez</cp:lastModifiedBy>
  <dcterms:created xsi:type="dcterms:W3CDTF">2024-05-17T15:35:51Z</dcterms:created>
  <dcterms:modified xsi:type="dcterms:W3CDTF">2026-08-13T10:54:52Z</dcterms:modified>
</cp:coreProperties>
</file>