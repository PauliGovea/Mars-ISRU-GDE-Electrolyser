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toresearch-my.sharepoint.com/personal/paulina_goveaalvarez_vito_be/Documents/Documents/Experiments/2024/20240425 - Ag60 GDE_0.3 M Na2SO4_pH3/"/>
    </mc:Choice>
  </mc:AlternateContent>
  <xr:revisionPtr revIDLastSave="129" documentId="8_{99172C6E-3916-40BE-A50D-EF70DFCC63BC}" xr6:coauthVersionLast="47" xr6:coauthVersionMax="47" xr10:uidLastSave="{C61E8073-AEB4-45DA-9816-87972FA8D986}"/>
  <bookViews>
    <workbookView xWindow="-96" yWindow="0" windowWidth="11712" windowHeight="12336" xr2:uid="{15374DF8-AA4F-49FF-8BB1-7BFD50C5D9E4}"/>
  </bookViews>
  <sheets>
    <sheet name="Acidic catholyte_Cs2SO4" sheetId="1" r:id="rId1"/>
    <sheet name="Flow rat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Q3" i="1"/>
  <c r="U3" i="1" s="1"/>
  <c r="P4" i="1"/>
  <c r="T4" i="1" s="1"/>
  <c r="P5" i="1"/>
  <c r="P6" i="1"/>
  <c r="T6" i="1" s="1"/>
  <c r="P7" i="1"/>
  <c r="T7" i="1" s="1"/>
  <c r="P8" i="1"/>
  <c r="T8" i="1" s="1"/>
  <c r="P9" i="1"/>
  <c r="T9" i="1" s="1"/>
  <c r="P10" i="1"/>
  <c r="T10" i="1" s="1"/>
  <c r="P11" i="1"/>
  <c r="T11" i="1" s="1"/>
  <c r="P12" i="1"/>
  <c r="T12" i="1" s="1"/>
  <c r="P13" i="1"/>
  <c r="T13" i="1" s="1"/>
  <c r="P14" i="1"/>
  <c r="P15" i="1"/>
  <c r="T15" i="1" s="1"/>
  <c r="P16" i="1"/>
  <c r="T16" i="1" s="1"/>
  <c r="P17" i="1"/>
  <c r="P18" i="1"/>
  <c r="T18" i="1" s="1"/>
  <c r="P19" i="1"/>
  <c r="T19" i="1" s="1"/>
  <c r="P20" i="1"/>
  <c r="T20" i="1" s="1"/>
  <c r="P21" i="1"/>
  <c r="T21" i="1" s="1"/>
  <c r="P22" i="1"/>
  <c r="T22" i="1" s="1"/>
  <c r="P23" i="1"/>
  <c r="T23" i="1" s="1"/>
  <c r="P24" i="1"/>
  <c r="T24" i="1" s="1"/>
  <c r="P25" i="1"/>
  <c r="T25" i="1" s="1"/>
  <c r="P26" i="1"/>
  <c r="T26" i="1" s="1"/>
  <c r="P27" i="1"/>
  <c r="T27" i="1" s="1"/>
  <c r="P28" i="1"/>
  <c r="T28" i="1" s="1"/>
  <c r="P29" i="1"/>
  <c r="T29" i="1" s="1"/>
  <c r="P30" i="1"/>
  <c r="T30" i="1" s="1"/>
  <c r="P31" i="1"/>
  <c r="T31" i="1" s="1"/>
  <c r="P32" i="1"/>
  <c r="T32" i="1" s="1"/>
  <c r="P33" i="1"/>
  <c r="T33" i="1" s="1"/>
  <c r="P34" i="1"/>
  <c r="T34" i="1" s="1"/>
  <c r="P35" i="1"/>
  <c r="T35" i="1" s="1"/>
  <c r="P36" i="1"/>
  <c r="T36" i="1" s="1"/>
  <c r="P37" i="1"/>
  <c r="T37" i="1" s="1"/>
  <c r="P38" i="1"/>
  <c r="P39" i="1"/>
  <c r="T39" i="1" s="1"/>
  <c r="P40" i="1"/>
  <c r="T40" i="1" s="1"/>
  <c r="P41" i="1"/>
  <c r="P42" i="1"/>
  <c r="T42" i="1" s="1"/>
  <c r="P43" i="1"/>
  <c r="T43" i="1" s="1"/>
  <c r="P44" i="1"/>
  <c r="P45" i="1"/>
  <c r="T45" i="1" s="1"/>
  <c r="P3" i="1"/>
  <c r="T3" i="1" s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Q4" i="1"/>
  <c r="U4" i="1" s="1"/>
  <c r="Q5" i="1"/>
  <c r="U5" i="1" s="1"/>
  <c r="Q6" i="1"/>
  <c r="Q7" i="1"/>
  <c r="U7" i="1" s="1"/>
  <c r="Q8" i="1"/>
  <c r="Q9" i="1"/>
  <c r="U9" i="1" s="1"/>
  <c r="Q10" i="1"/>
  <c r="U10" i="1" s="1"/>
  <c r="Q11" i="1"/>
  <c r="U11" i="1" s="1"/>
  <c r="Q12" i="1"/>
  <c r="U12" i="1" s="1"/>
  <c r="Q13" i="1"/>
  <c r="U13" i="1" s="1"/>
  <c r="Q14" i="1"/>
  <c r="U14" i="1" s="1"/>
  <c r="Q15" i="1"/>
  <c r="U15" i="1" s="1"/>
  <c r="Q16" i="1"/>
  <c r="U16" i="1" s="1"/>
  <c r="Q17" i="1"/>
  <c r="U17" i="1" s="1"/>
  <c r="Q18" i="1"/>
  <c r="Q19" i="1"/>
  <c r="Q20" i="1"/>
  <c r="Q21" i="1"/>
  <c r="U21" i="1" s="1"/>
  <c r="Q22" i="1"/>
  <c r="U22" i="1" s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U31" i="1" s="1"/>
  <c r="Q32" i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2" i="1"/>
  <c r="U42" i="1" s="1"/>
  <c r="Q43" i="1"/>
  <c r="U43" i="1" s="1"/>
  <c r="Q44" i="1"/>
  <c r="Q45" i="1"/>
  <c r="T14" i="1"/>
  <c r="U6" i="1"/>
  <c r="U8" i="1"/>
  <c r="U18" i="1"/>
  <c r="U19" i="1"/>
  <c r="U20" i="1"/>
  <c r="U32" i="1"/>
  <c r="U44" i="1"/>
  <c r="U45" i="1"/>
  <c r="T5" i="1"/>
  <c r="T17" i="1"/>
  <c r="T38" i="1"/>
  <c r="T41" i="1"/>
  <c r="T44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2" i="1"/>
  <c r="C3" i="2"/>
  <c r="D3" i="2" s="1"/>
  <c r="E3" i="2" s="1" a="1"/>
  <c r="E3" i="2" s="1"/>
  <c r="C4" i="2"/>
  <c r="D4" i="2" s="1"/>
  <c r="E4" i="2" s="1" a="1"/>
  <c r="E4" i="2" s="1"/>
  <c r="C5" i="2"/>
  <c r="D5" i="2"/>
  <c r="E5" i="2" a="1"/>
  <c r="E5" i="2" s="1"/>
  <c r="C6" i="2"/>
  <c r="D6" i="2" s="1"/>
  <c r="E6" i="2" s="1" a="1"/>
  <c r="E6" i="2" s="1"/>
  <c r="C7" i="2"/>
  <c r="D7" i="2" s="1"/>
  <c r="E7" i="2" s="1" a="1"/>
  <c r="E7" i="2" s="1"/>
  <c r="C8" i="2"/>
  <c r="D8" i="2"/>
  <c r="E8" i="2" a="1"/>
  <c r="E8" i="2" s="1"/>
  <c r="C9" i="2"/>
  <c r="D9" i="2" s="1"/>
  <c r="E9" i="2" s="1" a="1"/>
  <c r="E9" i="2" s="1"/>
  <c r="C10" i="2"/>
  <c r="D10" i="2" s="1"/>
  <c r="E10" i="2" s="1" a="1"/>
  <c r="E10" i="2" s="1"/>
  <c r="C11" i="2"/>
  <c r="D11" i="2"/>
  <c r="E11" i="2" a="1"/>
  <c r="E11" i="2" s="1"/>
  <c r="C12" i="2"/>
  <c r="D12" i="2" s="1"/>
  <c r="E12" i="2" s="1" a="1"/>
  <c r="E12" i="2" s="1"/>
  <c r="C13" i="2"/>
  <c r="D13" i="2" s="1"/>
  <c r="E13" i="2" s="1" a="1"/>
  <c r="E13" i="2" s="1"/>
  <c r="C14" i="2"/>
  <c r="D14" i="2"/>
  <c r="E14" i="2" a="1"/>
  <c r="E14" i="2"/>
  <c r="C15" i="2"/>
  <c r="D15" i="2" s="1"/>
  <c r="E15" i="2" s="1" a="1"/>
  <c r="E15" i="2" s="1"/>
  <c r="C16" i="2"/>
  <c r="D16" i="2" s="1"/>
  <c r="E16" i="2" s="1" a="1"/>
  <c r="E16" i="2" s="1"/>
  <c r="C17" i="2"/>
  <c r="D17" i="2"/>
  <c r="E17" i="2" a="1"/>
  <c r="E17" i="2" s="1"/>
  <c r="C18" i="2"/>
  <c r="D18" i="2" s="1"/>
  <c r="E18" i="2" s="1" a="1"/>
  <c r="E18" i="2" s="1"/>
  <c r="C19" i="2"/>
  <c r="D19" i="2" s="1"/>
  <c r="E19" i="2" s="1" a="1"/>
  <c r="E19" i="2" s="1"/>
  <c r="C20" i="2"/>
  <c r="D20" i="2"/>
  <c r="E20" i="2" a="1"/>
  <c r="E20" i="2"/>
  <c r="C21" i="2"/>
  <c r="D21" i="2" s="1"/>
  <c r="E21" i="2" s="1" a="1"/>
  <c r="E21" i="2" s="1"/>
  <c r="C22" i="2"/>
  <c r="D22" i="2" s="1"/>
  <c r="E22" i="2" s="1" a="1"/>
  <c r="E22" i="2" s="1"/>
  <c r="C23" i="2"/>
  <c r="D23" i="2"/>
  <c r="E23" i="2" a="1"/>
  <c r="E23" i="2" s="1"/>
  <c r="C24" i="2"/>
  <c r="D24" i="2" s="1"/>
  <c r="E24" i="2" s="1" a="1"/>
  <c r="E24" i="2" s="1"/>
  <c r="C25" i="2"/>
  <c r="D25" i="2" s="1"/>
  <c r="E25" i="2" s="1" a="1"/>
  <c r="E25" i="2" s="1"/>
  <c r="C26" i="2"/>
  <c r="D26" i="2"/>
  <c r="E26" i="2" a="1"/>
  <c r="E26" i="2" s="1"/>
  <c r="C27" i="2"/>
  <c r="D27" i="2" s="1"/>
  <c r="E27" i="2" s="1" a="1"/>
  <c r="E27" i="2" s="1"/>
  <c r="C28" i="2"/>
  <c r="D28" i="2" s="1"/>
  <c r="E28" i="2" s="1" a="1"/>
  <c r="E28" i="2" s="1"/>
  <c r="C29" i="2"/>
  <c r="D29" i="2"/>
  <c r="E29" i="2" a="1"/>
  <c r="E29" i="2" s="1"/>
  <c r="C30" i="2"/>
  <c r="D30" i="2" s="1"/>
  <c r="E30" i="2" s="1" a="1"/>
  <c r="E30" i="2" s="1"/>
  <c r="C31" i="2"/>
  <c r="D31" i="2" s="1"/>
  <c r="E31" i="2" s="1" a="1"/>
  <c r="E31" i="2" s="1"/>
  <c r="C32" i="2"/>
  <c r="D32" i="2"/>
  <c r="E32" i="2" a="1"/>
  <c r="E32" i="2" s="1"/>
  <c r="C33" i="2"/>
  <c r="D33" i="2" s="1"/>
  <c r="E33" i="2" s="1" a="1"/>
  <c r="E33" i="2" s="1"/>
  <c r="C34" i="2"/>
  <c r="D34" i="2" s="1"/>
  <c r="E34" i="2" s="1" a="1"/>
  <c r="E34" i="2" s="1"/>
  <c r="C35" i="2"/>
  <c r="D35" i="2"/>
  <c r="E35" i="2" a="1"/>
  <c r="E35" i="2" s="1"/>
  <c r="C36" i="2"/>
  <c r="D36" i="2" s="1"/>
  <c r="E36" i="2" s="1" a="1"/>
  <c r="E36" i="2" s="1"/>
  <c r="C37" i="2"/>
  <c r="D37" i="2" s="1"/>
  <c r="E37" i="2" s="1" a="1"/>
  <c r="E37" i="2" s="1"/>
  <c r="C38" i="2"/>
  <c r="D38" i="2"/>
  <c r="E38" i="2" a="1"/>
  <c r="E38" i="2" s="1"/>
  <c r="C39" i="2"/>
  <c r="D39" i="2" s="1"/>
  <c r="E39" i="2" s="1" a="1"/>
  <c r="E39" i="2" s="1"/>
  <c r="C40" i="2"/>
  <c r="D40" i="2" s="1"/>
  <c r="E40" i="2" s="1" a="1"/>
  <c r="E40" i="2" s="1"/>
  <c r="C41" i="2"/>
  <c r="D41" i="2"/>
  <c r="E41" i="2" a="1"/>
  <c r="E41" i="2" s="1"/>
  <c r="C42" i="2"/>
  <c r="D42" i="2"/>
  <c r="E42" i="2" s="1" a="1"/>
  <c r="E42" i="2" s="1"/>
  <c r="C43" i="2"/>
  <c r="D43" i="2" s="1"/>
  <c r="E43" i="2" s="1" a="1"/>
  <c r="E43" i="2" s="1"/>
  <c r="C44" i="2"/>
  <c r="D44" i="2"/>
  <c r="E44" i="2" a="1"/>
  <c r="E44" i="2" s="1"/>
  <c r="C2" i="2"/>
  <c r="C1" i="2"/>
  <c r="D2" i="2"/>
  <c r="E2" i="2" s="1" a="1"/>
  <c r="E2" i="2" s="1"/>
  <c r="D1" i="2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3" i="1"/>
  <c r="Y45" i="1"/>
  <c r="X45" i="1"/>
  <c r="X44" i="1"/>
  <c r="Y43" i="1"/>
  <c r="X43" i="1"/>
  <c r="X42" i="1"/>
  <c r="Y41" i="1"/>
  <c r="X41" i="1"/>
  <c r="X40" i="1"/>
  <c r="Y39" i="1"/>
  <c r="X39" i="1"/>
  <c r="X38" i="1"/>
  <c r="Y37" i="1"/>
  <c r="X37" i="1"/>
  <c r="X36" i="1"/>
  <c r="Y35" i="1"/>
  <c r="X35" i="1"/>
  <c r="X34" i="1"/>
  <c r="Y33" i="1"/>
  <c r="X33" i="1"/>
  <c r="X32" i="1"/>
  <c r="Y31" i="1"/>
  <c r="X31" i="1"/>
  <c r="X30" i="1"/>
  <c r="Y29" i="1"/>
  <c r="X29" i="1"/>
  <c r="X28" i="1"/>
  <c r="Y27" i="1"/>
  <c r="X27" i="1"/>
  <c r="X26" i="1"/>
  <c r="Y25" i="1"/>
  <c r="X25" i="1"/>
  <c r="X24" i="1"/>
  <c r="Y23" i="1"/>
  <c r="X23" i="1"/>
  <c r="X22" i="1"/>
  <c r="Y21" i="1"/>
  <c r="X21" i="1"/>
  <c r="X20" i="1"/>
  <c r="Y19" i="1"/>
  <c r="X19" i="1"/>
  <c r="X18" i="1"/>
  <c r="Y17" i="1"/>
  <c r="X17" i="1"/>
  <c r="X16" i="1"/>
  <c r="Y15" i="1"/>
  <c r="X15" i="1"/>
  <c r="X14" i="1"/>
  <c r="Y13" i="1"/>
  <c r="X13" i="1"/>
  <c r="X12" i="1"/>
  <c r="Y11" i="1"/>
  <c r="X11" i="1"/>
  <c r="X10" i="1"/>
  <c r="Y9" i="1"/>
  <c r="X9" i="1"/>
  <c r="X8" i="1"/>
  <c r="Y7" i="1"/>
  <c r="X7" i="1"/>
  <c r="X6" i="1"/>
  <c r="Y5" i="1"/>
  <c r="X5" i="1"/>
  <c r="X4" i="1"/>
  <c r="Y3" i="1"/>
  <c r="X3" i="1"/>
  <c r="S2" i="1"/>
  <c r="R2" i="1"/>
  <c r="Q2" i="1"/>
  <c r="P2" i="1"/>
  <c r="W18" i="1" l="1"/>
  <c r="W42" i="1"/>
  <c r="W9" i="1"/>
  <c r="W19" i="1"/>
  <c r="W27" i="1"/>
  <c r="W25" i="1"/>
  <c r="W7" i="1"/>
  <c r="W6" i="1"/>
  <c r="W3" i="1"/>
  <c r="W10" i="1"/>
  <c r="W17" i="1"/>
  <c r="W26" i="1"/>
  <c r="W22" i="1"/>
  <c r="W33" i="1"/>
  <c r="W41" i="1"/>
  <c r="W24" i="1"/>
  <c r="W32" i="1"/>
  <c r="W35" i="1"/>
  <c r="W43" i="1"/>
  <c r="W12" i="1"/>
  <c r="W34" i="1"/>
  <c r="W8" i="1"/>
  <c r="W15" i="1"/>
  <c r="W37" i="1"/>
  <c r="W5" i="1"/>
  <c r="W23" i="1"/>
  <c r="W31" i="1"/>
  <c r="W39" i="1"/>
  <c r="W11" i="1"/>
  <c r="W30" i="1"/>
  <c r="W28" i="1"/>
  <c r="W21" i="1"/>
  <c r="W4" i="1"/>
  <c r="W13" i="1"/>
  <c r="W36" i="1"/>
  <c r="W40" i="1"/>
  <c r="W29" i="1"/>
  <c r="W45" i="1"/>
  <c r="W16" i="1"/>
  <c r="W20" i="1"/>
  <c r="W44" i="1"/>
  <c r="W38" i="1" l="1"/>
  <c r="W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<sst xmlns="http://schemas.openxmlformats.org/spreadsheetml/2006/main" count="201" uniqueCount="29">
  <si>
    <t>Electrode</t>
  </si>
  <si>
    <t>Inlet flow rate</t>
  </si>
  <si>
    <t>Flow rate (ml min-1)</t>
  </si>
  <si>
    <t>Catholyte</t>
  </si>
  <si>
    <t>Anolyte</t>
  </si>
  <si>
    <t>Membrane</t>
  </si>
  <si>
    <t>Applied current / A</t>
  </si>
  <si>
    <t>Duration / h</t>
  </si>
  <si>
    <t>area(H2)</t>
  </si>
  <si>
    <t>area(CO)</t>
  </si>
  <si>
    <t>area(CO2)</t>
  </si>
  <si>
    <t>area(CH4)</t>
  </si>
  <si>
    <t>area(O2)</t>
  </si>
  <si>
    <t>area(N2)</t>
  </si>
  <si>
    <t>c(H2)</t>
  </si>
  <si>
    <t>c(CO)</t>
  </si>
  <si>
    <t>c(CO2)</t>
  </si>
  <si>
    <t>c(O2)</t>
  </si>
  <si>
    <t>FE(H2)</t>
  </si>
  <si>
    <t>FE(CO)</t>
  </si>
  <si>
    <t>FE(CH4)</t>
  </si>
  <si>
    <t>Total FE</t>
  </si>
  <si>
    <t>Carbon efficiency</t>
  </si>
  <si>
    <t>Ag60 GDE in PTFE holder</t>
  </si>
  <si>
    <t>CCM-CEM</t>
  </si>
  <si>
    <r>
      <t>0.3 M Na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</si>
  <si>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0.05 M H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SO</t>
    </r>
    <r>
      <rPr>
        <vertAlign val="subscript"/>
        <sz val="11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</si>
  <si>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t>Time</t>
  </si>
  <si>
    <t>0.3MNaSo4ph3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</si>
</sst>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[$-409]m/d/yy\ h:mm\ AM/PM;@"/>
    <numFmt numFmtId="165" formatCode="0.000"/>
    <numFmt numFmtId="166" formatCode="m/d/yy\ h:mm;@"/>
    <numFmt numFmtId="167" formatCode="0.0"/>
    <numFmt numFmtId="168" formatCode="d/mm/yy\ h:mm;@"/>
    <numFmt numFmtId="169" formatCode="0.0000"/>
  </numFmts>
  <fonts count="9">
    <font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9"/>
      <color indexed="72"/>
      <name val="SansSerif"/>
    </font>
    <font>
      <sz val="9"/>
      <color rgb="FF000000"/>
      <name val="SansSerif"/>
    </font>
    <font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14999847407452621"/>
        <bgColor rgb="FF000000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10" fontId="3" fillId="5" borderId="0" xfId="0" applyNumberFormat="1" applyFont="1" applyFill="1" applyAlignment="1">
      <alignment horizontal="center"/>
    </xf>
    <xf numFmtId="10" fontId="2" fillId="6" borderId="0" xfId="0" applyNumberFormat="1" applyFont="1" applyFill="1" applyAlignment="1">
      <alignment horizontal="center" vertical="center"/>
    </xf>
    <xf numFmtId="22" fontId="4" fillId="2" borderId="0" xfId="0" applyNumberFormat="1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3" borderId="0" xfId="0" applyFont="1" applyFill="1" applyAlignment="1">
      <alignment horizontal="center" vertical="center" wrapText="1"/>
    </xf>
    <xf numFmtId="164" fontId="6" fillId="4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7" fillId="0" borderId="0" xfId="0" applyFont="1"/>
    <xf numFmtId="0" fontId="0" fillId="0" borderId="0" xfId="0" applyAlignment="1">
      <alignment horizontal="center"/>
    </xf>
    <xf numFmtId="164" fontId="8" fillId="0" borderId="0" xfId="0" applyNumberFormat="1" applyFont="1"/>
    <xf numFmtId="165" fontId="0" fillId="0" borderId="0" xfId="0" applyNumberFormat="1" applyAlignment="1">
      <alignment horizontal="center" vertical="center"/>
    </xf>
    <xf numFmtId="166" fontId="0" fillId="0" borderId="0" xfId="0" applyNumberFormat="1"/>
    <xf numFmtId="167" fontId="0" fillId="0" borderId="0" xfId="0" applyNumberFormat="1"/>
    <xf numFmtId="22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68" fontId="0" fillId="0" borderId="0" xfId="0" applyNumberFormat="1"/>
    <xf numFmtId="169" fontId="0" fillId="7" borderId="1" xfId="0" applyNumberFormat="1" applyFill="1" applyBorder="1" applyAlignment="1">
      <alignment horizontal="center" vertical="center"/>
    </xf>
    <xf numFmtId="169" fontId="0" fillId="7" borderId="1" xfId="0" applyNumberForma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EDDA-4846-4EA0-B855-5F628FF13338}">
  <dimension ref="A1:Y45"/>
  <sheetViews>
    <sheetView tabSelected="1" topLeftCell="M1" zoomScale="85" zoomScaleNormal="85" workbookViewId="0">
      <selection activeCell="V10" sqref="V10"/>
    </sheetView>
  </sheetViews>
  <sheetFormatPr defaultRowHeight="14.4"/>
  <cols>
    <col min="1" max="1" width="21" bestFit="1" customWidth="1"/>
    <col min="2" max="2" width="5.21875" bestFit="1" customWidth="1"/>
    <col min="3" max="3" width="10.33203125" customWidth="1"/>
    <col min="4" max="4" width="12" bestFit="1" customWidth="1"/>
    <col min="5" max="5" width="11.88671875" bestFit="1" customWidth="1"/>
    <col min="6" max="6" width="13.5546875" customWidth="1"/>
    <col min="7" max="7" width="14.88671875" customWidth="1"/>
    <col min="8" max="8" width="24.77734375" customWidth="1"/>
    <col min="9" max="9" width="9.5546875" bestFit="1" customWidth="1"/>
  </cols>
  <sheetData>
    <row r="1" spans="1:25" s="11" customFormat="1" ht="34.200000000000003">
      <c r="A1" s="6" t="s">
        <v>0</v>
      </c>
      <c r="B1" s="7" t="s">
        <v>1</v>
      </c>
      <c r="C1" s="8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9" t="s">
        <v>27</v>
      </c>
      <c r="I1" s="7" t="s">
        <v>7</v>
      </c>
      <c r="J1" s="10" t="s">
        <v>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0" t="s">
        <v>14</v>
      </c>
      <c r="Q1" s="10" t="s">
        <v>15</v>
      </c>
      <c r="R1" s="10" t="s">
        <v>16</v>
      </c>
      <c r="S1" s="10" t="s">
        <v>17</v>
      </c>
      <c r="T1" s="10" t="s">
        <v>18</v>
      </c>
      <c r="U1" s="10" t="s">
        <v>19</v>
      </c>
      <c r="V1" s="10" t="s">
        <v>20</v>
      </c>
      <c r="W1" s="7" t="s">
        <v>21</v>
      </c>
      <c r="X1" s="7" t="s">
        <v>22</v>
      </c>
      <c r="Y1" s="7"/>
    </row>
    <row r="2" spans="1:25" ht="15.6">
      <c r="A2" s="1" t="s">
        <v>23</v>
      </c>
      <c r="B2" s="1">
        <v>60</v>
      </c>
      <c r="C2" s="2">
        <f>+'Flow rate'!E1</f>
        <v>0</v>
      </c>
      <c r="D2" s="1" t="s">
        <v>25</v>
      </c>
      <c r="E2" s="1" t="s">
        <v>26</v>
      </c>
      <c r="F2" s="1" t="s">
        <v>24</v>
      </c>
      <c r="G2" s="1">
        <v>-0.13</v>
      </c>
      <c r="H2" s="13">
        <v>45407.564583333333</v>
      </c>
      <c r="I2" s="14">
        <v>0</v>
      </c>
      <c r="J2" s="12">
        <v>0</v>
      </c>
      <c r="K2" s="12">
        <v>0</v>
      </c>
      <c r="L2">
        <v>0</v>
      </c>
      <c r="N2">
        <v>0</v>
      </c>
      <c r="O2">
        <v>0</v>
      </c>
      <c r="P2" s="3">
        <f t="shared" ref="P2:R2" si="0">+J2/100</f>
        <v>0</v>
      </c>
      <c r="Q2" s="3">
        <f t="shared" si="0"/>
        <v>0</v>
      </c>
      <c r="R2" s="3">
        <f t="shared" si="0"/>
        <v>0</v>
      </c>
      <c r="S2" s="3">
        <f t="shared" ref="S2" si="1">+N2/100</f>
        <v>0</v>
      </c>
      <c r="T2" s="4">
        <v>0</v>
      </c>
      <c r="U2" s="5">
        <v>0</v>
      </c>
      <c r="V2" s="5"/>
      <c r="W2" s="3">
        <v>0</v>
      </c>
      <c r="X2" s="3">
        <v>0</v>
      </c>
    </row>
    <row r="3" spans="1:25" ht="15.6">
      <c r="A3" s="1" t="s">
        <v>23</v>
      </c>
      <c r="B3" s="1">
        <v>60</v>
      </c>
      <c r="C3" s="2">
        <f>+'Flow rate'!E2</f>
        <v>47.458790999999998</v>
      </c>
      <c r="D3" s="1" t="s">
        <v>25</v>
      </c>
      <c r="E3" s="1" t="s">
        <v>26</v>
      </c>
      <c r="F3" s="1" t="s">
        <v>24</v>
      </c>
      <c r="G3" s="1">
        <v>-0.13</v>
      </c>
      <c r="H3" s="13">
        <v>45407.591666666667</v>
      </c>
      <c r="I3" s="14">
        <f>+(H3-H$2)*24</f>
        <v>0.65000000002328306</v>
      </c>
      <c r="J3" s="20">
        <v>7.5531310885574188E-2</v>
      </c>
      <c r="K3" s="20">
        <v>1.990071840517472</v>
      </c>
      <c r="L3" s="20">
        <v>95.573682451570235</v>
      </c>
      <c r="N3" s="20">
        <v>1.0432016216345048</v>
      </c>
      <c r="O3" s="20">
        <v>3.6093638290438261</v>
      </c>
      <c r="P3" s="3">
        <f>+J3/SUM($J3:$O3)</f>
        <v>7.3839030291824865E-4</v>
      </c>
      <c r="Q3" s="3">
        <f>+K3/SUM($J3:$O3)</f>
        <v>1.9454842394764058E-2</v>
      </c>
      <c r="R3" s="3">
        <f>+L3/SUM($J3:$O3)</f>
        <v>0.93432352105391336</v>
      </c>
      <c r="S3" s="3">
        <f>+N3/SUM($J3:$O3)</f>
        <v>1.01982866757133E-2</v>
      </c>
      <c r="T3" s="4">
        <f>+P3*C3/1000/60/24.3*2*96485/-1/G3</f>
        <v>3.5677266760338312E-2</v>
      </c>
      <c r="U3" s="5">
        <f>+Q3*C3/1000/60/24.3*2*96485/-1/G3</f>
        <v>0.94001180561980335</v>
      </c>
      <c r="V3" s="5"/>
      <c r="W3" s="3">
        <f t="shared" ref="W3:W45" si="2">+T3+U3</f>
        <v>0.97568907238014169</v>
      </c>
      <c r="X3" s="3">
        <f t="shared" ref="X3:X45" si="3">+K3/(K3+L3)</f>
        <v>2.0397655409605985E-2</v>
      </c>
      <c r="Y3">
        <f t="shared" ref="Y3" si="4">+SUM(J3:L3)</f>
        <v>97.639285602973274</v>
      </c>
    </row>
    <row r="4" spans="1:25" ht="15.6">
      <c r="A4" s="1" t="s">
        <v>23</v>
      </c>
      <c r="B4" s="1">
        <v>60</v>
      </c>
      <c r="C4" s="2">
        <f>+'Flow rate'!E3</f>
        <v>54.029097</v>
      </c>
      <c r="D4" s="1" t="s">
        <v>25</v>
      </c>
      <c r="E4" s="1" t="s">
        <v>26</v>
      </c>
      <c r="F4" s="1" t="s">
        <v>24</v>
      </c>
      <c r="G4" s="1">
        <v>-0.13</v>
      </c>
      <c r="H4" s="13">
        <v>45407.634722222225</v>
      </c>
      <c r="I4" s="14">
        <f t="shared" ref="I4:I45" si="5">+(H4-H$2)*24</f>
        <v>1.683333333407063</v>
      </c>
      <c r="J4" s="20">
        <v>0.10476343111833927</v>
      </c>
      <c r="K4" s="20">
        <v>1.8190984700048332</v>
      </c>
      <c r="L4" s="20">
        <v>99.571281400900844</v>
      </c>
      <c r="N4" s="20">
        <v>0.12122492890064876</v>
      </c>
      <c r="O4" s="20">
        <v>0.26450052952612702</v>
      </c>
      <c r="P4" s="3">
        <f t="shared" ref="P4:P45" si="6">+J4/SUM($J4:$O4)</f>
        <v>1.0282934607150451E-3</v>
      </c>
      <c r="Q4" s="3">
        <f t="shared" ref="Q4:Q45" si="7">+K4/SUM($J4:$L4)</f>
        <v>1.7923010016268993E-2</v>
      </c>
      <c r="R4" s="3">
        <f t="shared" ref="R4:R45" si="8">+L4/SUM($J4:$L4)</f>
        <v>0.98104478856295374</v>
      </c>
      <c r="S4" s="3">
        <f t="shared" ref="S4:S45" si="9">+N4/SUM($J4:$O4)</f>
        <v>1.1898694070393238E-3</v>
      </c>
      <c r="T4" s="4">
        <f t="shared" ref="T4:T45" si="10">+P4*C4/1000/60/24.3*2*96485/-1/G4</f>
        <v>5.6563165156377007E-2</v>
      </c>
      <c r="U4" s="5">
        <f t="shared" ref="U4:U45" si="11">+Q4*C4/1000/60/24.3*2*96485/-1/G4</f>
        <v>0.98588799246536862</v>
      </c>
      <c r="V4" s="5"/>
      <c r="W4" s="3">
        <f t="shared" si="2"/>
        <v>1.0424511576217457</v>
      </c>
      <c r="X4" s="3">
        <f t="shared" si="3"/>
        <v>1.7941529288291284E-2</v>
      </c>
    </row>
    <row r="5" spans="1:25" ht="15.6">
      <c r="A5" s="1" t="s">
        <v>23</v>
      </c>
      <c r="B5" s="1">
        <v>60</v>
      </c>
      <c r="C5" s="2">
        <f>+'Flow rate'!E4</f>
        <v>58.318013999999998</v>
      </c>
      <c r="D5" s="1" t="s">
        <v>25</v>
      </c>
      <c r="E5" s="1" t="s">
        <v>26</v>
      </c>
      <c r="F5" s="1" t="s">
        <v>24</v>
      </c>
      <c r="G5" s="1">
        <v>-0.27500000000000002</v>
      </c>
      <c r="H5" s="13">
        <v>45407.664583333331</v>
      </c>
      <c r="I5" s="14">
        <f t="shared" si="5"/>
        <v>2.3999999999650754</v>
      </c>
      <c r="J5" s="20">
        <v>0.15654585821216854</v>
      </c>
      <c r="K5" s="20">
        <v>3.0571104944951522</v>
      </c>
      <c r="L5" s="20">
        <v>98.758860809841011</v>
      </c>
      <c r="N5" s="20">
        <v>7.6311253435665444E-2</v>
      </c>
      <c r="O5" s="20">
        <v>0.16310186474275196</v>
      </c>
      <c r="P5" s="3">
        <f t="shared" si="6"/>
        <v>1.5315810765163399E-3</v>
      </c>
      <c r="Q5" s="3">
        <f t="shared" si="7"/>
        <v>2.9979749245789371E-2</v>
      </c>
      <c r="R5" s="3">
        <f t="shared" si="8"/>
        <v>0.96848507380096716</v>
      </c>
      <c r="S5" s="3">
        <f t="shared" si="9"/>
        <v>7.4659830047309867E-4</v>
      </c>
      <c r="T5" s="4">
        <f t="shared" si="10"/>
        <v>4.2987510669276009E-2</v>
      </c>
      <c r="U5" s="5">
        <f t="shared" si="11"/>
        <v>0.84145384813511093</v>
      </c>
      <c r="V5" s="5"/>
      <c r="W5" s="3">
        <f t="shared" si="2"/>
        <v>0.8844413588043869</v>
      </c>
      <c r="X5" s="3">
        <f t="shared" si="3"/>
        <v>3.0025844229852723E-2</v>
      </c>
      <c r="Y5">
        <f t="shared" ref="Y5" si="12">+SUM(J5:L5)</f>
        <v>101.97251716254833</v>
      </c>
    </row>
    <row r="6" spans="1:25" ht="15.6">
      <c r="A6" s="1" t="s">
        <v>23</v>
      </c>
      <c r="B6" s="1">
        <v>60</v>
      </c>
      <c r="C6" s="2">
        <f>+'Flow rate'!E5</f>
        <v>59.15305</v>
      </c>
      <c r="D6" s="1" t="s">
        <v>25</v>
      </c>
      <c r="E6" s="1" t="s">
        <v>26</v>
      </c>
      <c r="F6" s="1" t="s">
        <v>24</v>
      </c>
      <c r="G6" s="1">
        <v>-0.27500000000000002</v>
      </c>
      <c r="H6" s="13">
        <v>45407.700694444444</v>
      </c>
      <c r="I6" s="14">
        <f t="shared" si="5"/>
        <v>3.2666666666627862</v>
      </c>
      <c r="J6" s="20">
        <v>0.15113997263458828</v>
      </c>
      <c r="K6" s="20">
        <v>3.4474477911973587</v>
      </c>
      <c r="L6" s="20">
        <v>98.10320360833596</v>
      </c>
      <c r="N6" s="20">
        <v>5.6155265391509911E-2</v>
      </c>
      <c r="O6" s="20">
        <v>0.12120010291210248</v>
      </c>
      <c r="P6" s="3">
        <f t="shared" si="6"/>
        <v>1.4835221678839198E-3</v>
      </c>
      <c r="Q6" s="3">
        <f t="shared" si="7"/>
        <v>3.3897611287708351E-2</v>
      </c>
      <c r="R6" s="3">
        <f t="shared" si="8"/>
        <v>0.96461627946489892</v>
      </c>
      <c r="S6" s="3">
        <f t="shared" si="9"/>
        <v>5.5119489304872847E-4</v>
      </c>
      <c r="T6" s="4">
        <f t="shared" si="10"/>
        <v>4.2234831081055912E-2</v>
      </c>
      <c r="U6" s="5">
        <f t="shared" si="11"/>
        <v>0.96504111484209298</v>
      </c>
      <c r="V6" s="5"/>
      <c r="W6" s="3">
        <f t="shared" si="2"/>
        <v>1.0072759459231488</v>
      </c>
      <c r="X6" s="3">
        <f t="shared" si="3"/>
        <v>3.3948061816304623E-2</v>
      </c>
    </row>
    <row r="7" spans="1:25" ht="15.6">
      <c r="A7" s="1" t="s">
        <v>23</v>
      </c>
      <c r="B7" s="1">
        <v>60</v>
      </c>
      <c r="C7" s="2">
        <f>+'Flow rate'!E6</f>
        <v>59.324401000000002</v>
      </c>
      <c r="D7" s="1" t="s">
        <v>25</v>
      </c>
      <c r="E7" s="1" t="s">
        <v>26</v>
      </c>
      <c r="F7" s="1" t="s">
        <v>24</v>
      </c>
      <c r="G7" s="1">
        <v>-0.27500000000000002</v>
      </c>
      <c r="H7" s="13">
        <v>45407.71875</v>
      </c>
      <c r="I7" s="14">
        <f t="shared" si="5"/>
        <v>3.7000000000116415</v>
      </c>
      <c r="J7" s="20">
        <v>0.14774593241170253</v>
      </c>
      <c r="K7" s="20">
        <v>3.4456330675735964</v>
      </c>
      <c r="L7" s="20">
        <v>98.253842808110335</v>
      </c>
      <c r="N7" s="20">
        <v>4.8936784857334423E-2</v>
      </c>
      <c r="O7" s="20">
        <v>0.10125806057614131</v>
      </c>
      <c r="P7" s="3">
        <f t="shared" si="6"/>
        <v>1.4485262201647195E-3</v>
      </c>
      <c r="Q7" s="3">
        <f t="shared" si="7"/>
        <v>3.3831389864182923E-2</v>
      </c>
      <c r="R7" s="3">
        <f t="shared" si="8"/>
        <v>0.96471794776340503</v>
      </c>
      <c r="S7" s="3">
        <f t="shared" si="9"/>
        <v>4.7978455203003624E-4</v>
      </c>
      <c r="T7" s="4">
        <f t="shared" si="10"/>
        <v>4.1357978371104713E-2</v>
      </c>
      <c r="U7" s="5">
        <f t="shared" si="11"/>
        <v>0.96594584950500828</v>
      </c>
      <c r="V7" s="5"/>
      <c r="W7" s="3">
        <f t="shared" si="2"/>
        <v>1.0073038278761131</v>
      </c>
      <c r="X7" s="3">
        <f t="shared" si="3"/>
        <v>3.3880539087394038E-2</v>
      </c>
      <c r="Y7">
        <f t="shared" ref="Y7" si="13">+SUM(J7:L7)</f>
        <v>101.84722180809564</v>
      </c>
    </row>
    <row r="8" spans="1:25" ht="15.6">
      <c r="A8" s="1" t="s">
        <v>23</v>
      </c>
      <c r="B8" s="1">
        <v>60</v>
      </c>
      <c r="C8" s="2">
        <f>+'Flow rate'!E7</f>
        <v>59.241427999999999</v>
      </c>
      <c r="D8" s="1" t="s">
        <v>25</v>
      </c>
      <c r="E8" s="1" t="s">
        <v>26</v>
      </c>
      <c r="F8" s="1" t="s">
        <v>24</v>
      </c>
      <c r="G8" s="1">
        <v>-0.52</v>
      </c>
      <c r="H8" s="13">
        <v>45407.736111111109</v>
      </c>
      <c r="I8" s="14">
        <f t="shared" si="5"/>
        <v>4.1166666666395031</v>
      </c>
      <c r="J8" s="20">
        <v>0.14601240558433717</v>
      </c>
      <c r="K8" s="20">
        <v>3.4314060716460495</v>
      </c>
      <c r="L8" s="20">
        <v>98.228926186409709</v>
      </c>
      <c r="N8" s="20">
        <v>4.3069581389511169E-2</v>
      </c>
      <c r="O8" s="20">
        <v>8.4468241892287618E-2</v>
      </c>
      <c r="P8" s="3">
        <f t="shared" si="6"/>
        <v>1.4324226844108538E-3</v>
      </c>
      <c r="Q8" s="3">
        <f t="shared" si="7"/>
        <v>3.3705228126823895E-2</v>
      </c>
      <c r="R8" s="3">
        <f t="shared" si="8"/>
        <v>0.96486055472230259</v>
      </c>
      <c r="S8" s="3">
        <f t="shared" si="9"/>
        <v>4.2252468304674842E-4</v>
      </c>
      <c r="T8" s="4">
        <f t="shared" si="10"/>
        <v>2.1598601805146795E-2</v>
      </c>
      <c r="U8" s="5">
        <f t="shared" si="11"/>
        <v>0.50821996117879065</v>
      </c>
      <c r="V8" s="5"/>
      <c r="W8" s="3">
        <f t="shared" si="2"/>
        <v>0.52981856298393748</v>
      </c>
      <c r="X8" s="3">
        <f t="shared" si="3"/>
        <v>3.3753638173596841E-2</v>
      </c>
    </row>
    <row r="9" spans="1:25" ht="15.6">
      <c r="A9" s="1" t="s">
        <v>23</v>
      </c>
      <c r="B9" s="1">
        <v>60</v>
      </c>
      <c r="C9" s="2">
        <f>+'Flow rate'!E8</f>
        <v>60.264926000000003</v>
      </c>
      <c r="D9" s="1" t="s">
        <v>25</v>
      </c>
      <c r="E9" s="1" t="s">
        <v>26</v>
      </c>
      <c r="F9" s="1" t="s">
        <v>24</v>
      </c>
      <c r="G9" s="1">
        <v>-0.52</v>
      </c>
      <c r="H9" s="13">
        <v>45407.754166666666</v>
      </c>
      <c r="I9" s="14">
        <f t="shared" si="5"/>
        <v>4.5499999999883585</v>
      </c>
      <c r="J9" s="20">
        <v>0.30893067371444671</v>
      </c>
      <c r="K9" s="20">
        <v>5.8001952593600699</v>
      </c>
      <c r="L9" s="20">
        <v>95.500504132469629</v>
      </c>
      <c r="N9" s="20">
        <v>4.3693900175111496E-2</v>
      </c>
      <c r="O9" s="20">
        <v>8.5466865409028883E-2</v>
      </c>
      <c r="P9" s="3">
        <f t="shared" si="6"/>
        <v>3.0365082107888133E-3</v>
      </c>
      <c r="Q9" s="3">
        <f t="shared" si="7"/>
        <v>5.7083125444100179E-2</v>
      </c>
      <c r="R9" s="3">
        <f t="shared" si="8"/>
        <v>0.93987650649713239</v>
      </c>
      <c r="S9" s="3">
        <f t="shared" si="9"/>
        <v>4.2947139255504875E-4</v>
      </c>
      <c r="T9" s="4">
        <f t="shared" si="10"/>
        <v>4.6576625089277117E-2</v>
      </c>
      <c r="U9" s="5">
        <f t="shared" si="11"/>
        <v>0.87559102369209518</v>
      </c>
      <c r="V9" s="5"/>
      <c r="W9" s="3">
        <f t="shared" si="2"/>
        <v>0.92216764878137225</v>
      </c>
      <c r="X9" s="3">
        <f t="shared" si="3"/>
        <v>5.7257208431750264E-2</v>
      </c>
      <c r="Y9">
        <f t="shared" ref="Y9" si="14">+SUM(J9:L9)</f>
        <v>101.60963006554415</v>
      </c>
    </row>
    <row r="10" spans="1:25" ht="15.6">
      <c r="A10" s="1" t="s">
        <v>23</v>
      </c>
      <c r="B10" s="1">
        <v>60</v>
      </c>
      <c r="C10" s="2">
        <f>+'Flow rate'!E9</f>
        <v>61.217196000000001</v>
      </c>
      <c r="D10" s="1" t="s">
        <v>25</v>
      </c>
      <c r="E10" s="1" t="s">
        <v>26</v>
      </c>
      <c r="F10" s="1" t="s">
        <v>24</v>
      </c>
      <c r="G10" s="1">
        <v>-0.52</v>
      </c>
      <c r="H10" s="13">
        <v>45407.771527777775</v>
      </c>
      <c r="I10" s="14">
        <f t="shared" si="5"/>
        <v>4.96666666661622</v>
      </c>
      <c r="J10" s="20">
        <v>0.35466744407047135</v>
      </c>
      <c r="K10" s="20">
        <v>5.9797292816289502</v>
      </c>
      <c r="L10" s="20">
        <v>95.075287846308356</v>
      </c>
      <c r="N10" s="20">
        <v>4.2556240504137803E-2</v>
      </c>
      <c r="O10" s="20">
        <v>7.9915394046066623E-2</v>
      </c>
      <c r="P10" s="3">
        <f t="shared" si="6"/>
        <v>3.4931538669279566E-3</v>
      </c>
      <c r="Q10" s="3">
        <f t="shared" si="7"/>
        <v>5.8966057402367086E-2</v>
      </c>
      <c r="R10" s="3">
        <f t="shared" si="8"/>
        <v>0.93753657007776636</v>
      </c>
      <c r="S10" s="3">
        <f t="shared" si="9"/>
        <v>4.1914051758697E-4</v>
      </c>
      <c r="T10" s="4">
        <f t="shared" si="10"/>
        <v>5.4427712038250795E-2</v>
      </c>
      <c r="U10" s="5">
        <f t="shared" si="11"/>
        <v>0.91876502283865569</v>
      </c>
      <c r="V10" s="5"/>
      <c r="W10" s="3">
        <f t="shared" si="2"/>
        <v>0.9731927348769065</v>
      </c>
      <c r="X10" s="3">
        <f t="shared" si="3"/>
        <v>5.9173007452549491E-2</v>
      </c>
    </row>
    <row r="11" spans="1:25" ht="15.6">
      <c r="A11" s="1" t="s">
        <v>23</v>
      </c>
      <c r="B11" s="1">
        <v>60</v>
      </c>
      <c r="C11" s="2">
        <f>+'Flow rate'!E10</f>
        <v>60.448118999999998</v>
      </c>
      <c r="D11" s="1" t="s">
        <v>25</v>
      </c>
      <c r="E11" s="1" t="s">
        <v>26</v>
      </c>
      <c r="F11" s="1" t="s">
        <v>24</v>
      </c>
      <c r="G11" s="1">
        <v>-0.52</v>
      </c>
      <c r="H11" s="13">
        <v>45407.789583333331</v>
      </c>
      <c r="I11" s="14">
        <f t="shared" si="5"/>
        <v>5.3999999999650754</v>
      </c>
      <c r="J11" s="20">
        <v>0.34706537229542</v>
      </c>
      <c r="K11" s="20">
        <v>5.996477212903728</v>
      </c>
      <c r="L11" s="20">
        <v>95.051446227090537</v>
      </c>
      <c r="N11" s="20">
        <v>4.1954380540975042E-2</v>
      </c>
      <c r="O11" s="20">
        <v>7.7378167063416547E-2</v>
      </c>
      <c r="P11" s="3">
        <f t="shared" si="6"/>
        <v>3.4188808795262006E-3</v>
      </c>
      <c r="Q11" s="3">
        <f t="shared" si="7"/>
        <v>5.9139778830735658E-2</v>
      </c>
      <c r="R11" s="3">
        <f t="shared" si="8"/>
        <v>0.93743731658235296</v>
      </c>
      <c r="S11" s="3">
        <f t="shared" si="9"/>
        <v>4.132853372701582E-4</v>
      </c>
      <c r="T11" s="4">
        <f t="shared" si="10"/>
        <v>5.2601204594241772E-2</v>
      </c>
      <c r="U11" s="5">
        <f t="shared" si="11"/>
        <v>0.90989528900019545</v>
      </c>
      <c r="V11" s="5"/>
      <c r="W11" s="3">
        <f t="shared" si="2"/>
        <v>0.96249649359443723</v>
      </c>
      <c r="X11" s="3">
        <f t="shared" si="3"/>
        <v>5.9342903928794169E-2</v>
      </c>
      <c r="Y11">
        <f t="shared" ref="Y11" si="15">+SUM(J11:L11)</f>
        <v>101.39498881228968</v>
      </c>
    </row>
    <row r="12" spans="1:25" ht="15.6">
      <c r="A12" s="1" t="s">
        <v>23</v>
      </c>
      <c r="B12" s="1">
        <v>60</v>
      </c>
      <c r="C12" s="2">
        <f>+'Flow rate'!E11</f>
        <v>61.607709</v>
      </c>
      <c r="D12" s="1" t="s">
        <v>25</v>
      </c>
      <c r="E12" s="1" t="s">
        <v>26</v>
      </c>
      <c r="F12" s="1" t="s">
        <v>24</v>
      </c>
      <c r="G12" s="1">
        <v>-0.52</v>
      </c>
      <c r="H12" s="13">
        <v>45407.806944444441</v>
      </c>
      <c r="I12" s="14">
        <f t="shared" si="5"/>
        <v>5.816666666592937</v>
      </c>
      <c r="J12" s="20">
        <v>0.31683925732219342</v>
      </c>
      <c r="K12" s="20">
        <v>6.0192157503652366</v>
      </c>
      <c r="L12" s="20">
        <v>95.010774656993021</v>
      </c>
      <c r="N12" s="20">
        <v>4.011948798189028E-2</v>
      </c>
      <c r="O12" s="20">
        <v>7.280273227957397E-2</v>
      </c>
      <c r="P12" s="3">
        <f t="shared" si="6"/>
        <v>3.1228073342964373E-3</v>
      </c>
      <c r="Q12" s="3">
        <f t="shared" si="7"/>
        <v>5.9392245127752069E-2</v>
      </c>
      <c r="R12" s="3">
        <f t="shared" si="8"/>
        <v>0.9374814680572533</v>
      </c>
      <c r="S12" s="3">
        <f t="shared" si="9"/>
        <v>3.9542268965320215E-4</v>
      </c>
      <c r="T12" s="4">
        <f t="shared" si="10"/>
        <v>4.8967640595802851E-2</v>
      </c>
      <c r="U12" s="5">
        <f t="shared" si="11"/>
        <v>0.93130885202330949</v>
      </c>
      <c r="V12" s="5"/>
      <c r="W12" s="3">
        <f t="shared" si="2"/>
        <v>0.98027649261911232</v>
      </c>
      <c r="X12" s="3">
        <f t="shared" si="3"/>
        <v>5.9578504621206445E-2</v>
      </c>
    </row>
    <row r="13" spans="1:25" ht="15.6">
      <c r="A13" s="1" t="s">
        <v>23</v>
      </c>
      <c r="B13" s="1">
        <v>60</v>
      </c>
      <c r="C13" s="2">
        <f>+'Flow rate'!E12</f>
        <v>62.709324000000002</v>
      </c>
      <c r="D13" s="1" t="s">
        <v>25</v>
      </c>
      <c r="E13" s="1" t="s">
        <v>26</v>
      </c>
      <c r="F13" s="1" t="s">
        <v>24</v>
      </c>
      <c r="G13" s="1">
        <v>-0.76</v>
      </c>
      <c r="H13" s="13">
        <v>45407.824999999997</v>
      </c>
      <c r="I13" s="14">
        <f t="shared" si="5"/>
        <v>6.2499999999417923</v>
      </c>
      <c r="J13" s="20">
        <v>0.50362641151817011</v>
      </c>
      <c r="K13" s="20">
        <v>6.53672665856993</v>
      </c>
      <c r="L13" s="20">
        <v>94.372526783666714</v>
      </c>
      <c r="N13" s="20">
        <v>4.0560586764608088E-2</v>
      </c>
      <c r="O13" s="20">
        <v>7.2434319431724237E-2</v>
      </c>
      <c r="P13" s="3">
        <f t="shared" si="6"/>
        <v>4.9605719990982568E-3</v>
      </c>
      <c r="Q13" s="3">
        <f t="shared" si="7"/>
        <v>6.445657265621875E-2</v>
      </c>
      <c r="R13" s="3">
        <f t="shared" si="8"/>
        <v>0.93057732824232153</v>
      </c>
      <c r="S13" s="3">
        <f t="shared" si="9"/>
        <v>3.9950984771625921E-4</v>
      </c>
      <c r="T13" s="4">
        <f t="shared" si="10"/>
        <v>5.4172958904444707E-2</v>
      </c>
      <c r="U13" s="5">
        <f t="shared" si="11"/>
        <v>0.70391141631679588</v>
      </c>
      <c r="V13" s="5"/>
      <c r="W13" s="3">
        <f t="shared" si="2"/>
        <v>0.75808437522124061</v>
      </c>
      <c r="X13" s="3">
        <f t="shared" si="3"/>
        <v>6.4778267954501714E-2</v>
      </c>
      <c r="Y13">
        <f t="shared" ref="Y13" si="16">+SUM(J13:L13)</f>
        <v>101.41287985375482</v>
      </c>
    </row>
    <row r="14" spans="1:25" ht="15.6">
      <c r="A14" s="1" t="s">
        <v>23</v>
      </c>
      <c r="B14" s="1">
        <v>60</v>
      </c>
      <c r="C14" s="2">
        <f>+'Flow rate'!E13</f>
        <v>61.959667000000003</v>
      </c>
      <c r="D14" s="1" t="s">
        <v>25</v>
      </c>
      <c r="E14" s="1" t="s">
        <v>26</v>
      </c>
      <c r="F14" s="1" t="s">
        <v>24</v>
      </c>
      <c r="G14" s="1">
        <v>-0.76</v>
      </c>
      <c r="H14" s="13">
        <v>45407.842361111114</v>
      </c>
      <c r="I14" s="14">
        <f t="shared" si="5"/>
        <v>6.6666666667442769</v>
      </c>
      <c r="J14" s="20">
        <v>1.0464241677684565</v>
      </c>
      <c r="K14" s="20">
        <v>7.7795925221503417</v>
      </c>
      <c r="L14" s="20">
        <v>92.637022792578179</v>
      </c>
      <c r="N14" s="20">
        <v>4.1282088460427378E-2</v>
      </c>
      <c r="O14" s="20">
        <v>7.2667678776899586E-2</v>
      </c>
      <c r="P14" s="3">
        <f t="shared" si="6"/>
        <v>1.0301783656884608E-2</v>
      </c>
      <c r="Q14" s="3">
        <f t="shared" si="7"/>
        <v>7.6674152103361454E-2</v>
      </c>
      <c r="R14" s="3">
        <f t="shared" si="8"/>
        <v>0.91301249464893719</v>
      </c>
      <c r="S14" s="3">
        <f t="shared" si="9"/>
        <v>4.0641181398803233E-4</v>
      </c>
      <c r="T14" s="4">
        <f t="shared" si="10"/>
        <v>0.11115786092210818</v>
      </c>
      <c r="U14" s="5">
        <f t="shared" si="11"/>
        <v>0.82732612329032995</v>
      </c>
      <c r="V14" s="5"/>
      <c r="W14" s="3">
        <f t="shared" si="2"/>
        <v>0.93848398421243817</v>
      </c>
      <c r="X14" s="3">
        <f t="shared" si="3"/>
        <v>7.7473160171425109E-2</v>
      </c>
    </row>
    <row r="15" spans="1:25" ht="15.6">
      <c r="A15" s="1" t="s">
        <v>23</v>
      </c>
      <c r="B15" s="1">
        <v>60</v>
      </c>
      <c r="C15" s="2">
        <f>+'Flow rate'!E14</f>
        <v>61.918174999999998</v>
      </c>
      <c r="D15" s="1" t="s">
        <v>25</v>
      </c>
      <c r="E15" s="1" t="s">
        <v>26</v>
      </c>
      <c r="F15" s="1" t="s">
        <v>24</v>
      </c>
      <c r="G15" s="1">
        <v>-0.76</v>
      </c>
      <c r="H15" s="13">
        <v>45407.86041666667</v>
      </c>
      <c r="I15" s="14">
        <f t="shared" si="5"/>
        <v>7.1000000000931323</v>
      </c>
      <c r="J15" s="20">
        <v>1.1037079039349507</v>
      </c>
      <c r="K15" s="20">
        <v>7.8776937230058444</v>
      </c>
      <c r="L15" s="20">
        <v>92.521315755318412</v>
      </c>
      <c r="N15" s="20">
        <v>4.0369530895560113E-2</v>
      </c>
      <c r="O15" s="20">
        <v>6.8548195853039298E-2</v>
      </c>
      <c r="P15" s="3">
        <f t="shared" si="6"/>
        <v>1.0862022865303815E-2</v>
      </c>
      <c r="Q15" s="3">
        <f t="shared" si="7"/>
        <v>7.7610668228107152E-2</v>
      </c>
      <c r="R15" s="3">
        <f t="shared" si="8"/>
        <v>0.91151565338771334</v>
      </c>
      <c r="S15" s="3">
        <f t="shared" si="9"/>
        <v>3.9729240507007036E-4</v>
      </c>
      <c r="T15" s="4">
        <f t="shared" si="10"/>
        <v>0.11712444354036043</v>
      </c>
      <c r="U15" s="5">
        <f t="shared" si="11"/>
        <v>0.83687048367839423</v>
      </c>
      <c r="V15" s="5"/>
      <c r="W15" s="3">
        <f t="shared" si="2"/>
        <v>0.95399492721875467</v>
      </c>
      <c r="X15" s="3">
        <f t="shared" si="3"/>
        <v>7.8463858995606983E-2</v>
      </c>
      <c r="Y15">
        <f t="shared" ref="Y15" si="17">+SUM(J15:L15)</f>
        <v>101.50271738225921</v>
      </c>
    </row>
    <row r="16" spans="1:25" ht="15.6">
      <c r="A16" s="1" t="s">
        <v>23</v>
      </c>
      <c r="B16" s="1">
        <v>60</v>
      </c>
      <c r="C16" s="2">
        <f>+'Flow rate'!E15</f>
        <v>61.697015999999998</v>
      </c>
      <c r="D16" s="1" t="s">
        <v>25</v>
      </c>
      <c r="E16" s="1" t="s">
        <v>26</v>
      </c>
      <c r="F16" s="1" t="s">
        <v>24</v>
      </c>
      <c r="G16" s="1">
        <v>-0.76</v>
      </c>
      <c r="H16" s="13">
        <v>45407.87777777778</v>
      </c>
      <c r="I16" s="14">
        <f t="shared" si="5"/>
        <v>7.5166666667209938</v>
      </c>
      <c r="J16" s="20">
        <v>1.1217827042955066</v>
      </c>
      <c r="K16" s="20">
        <v>7.9095376656820955</v>
      </c>
      <c r="L16" s="20">
        <v>92.465203307256488</v>
      </c>
      <c r="N16" s="20">
        <v>3.9120660920553108E-2</v>
      </c>
      <c r="O16" s="20">
        <v>6.3623424236022921E-2</v>
      </c>
      <c r="P16" s="3">
        <f t="shared" si="6"/>
        <v>1.1041247924335537E-2</v>
      </c>
      <c r="Q16" s="3">
        <f t="shared" si="7"/>
        <v>7.7929148498080261E-2</v>
      </c>
      <c r="R16" s="3">
        <f t="shared" si="8"/>
        <v>0.91101842661431609</v>
      </c>
      <c r="S16" s="3">
        <f t="shared" si="9"/>
        <v>3.8504865027220721E-4</v>
      </c>
      <c r="T16" s="4">
        <f t="shared" si="10"/>
        <v>0.11863176779574576</v>
      </c>
      <c r="U16" s="5">
        <f t="shared" si="11"/>
        <v>0.83730323895437786</v>
      </c>
      <c r="V16" s="5"/>
      <c r="W16" s="3">
        <f t="shared" si="2"/>
        <v>0.95593500675012366</v>
      </c>
      <c r="X16" s="3">
        <f t="shared" si="3"/>
        <v>7.8800080468596545E-2</v>
      </c>
    </row>
    <row r="17" spans="1:25" ht="15.6">
      <c r="A17" s="1" t="s">
        <v>23</v>
      </c>
      <c r="B17" s="1">
        <v>60</v>
      </c>
      <c r="C17" s="2">
        <f>+'Flow rate'!E16</f>
        <v>61.367142000000001</v>
      </c>
      <c r="D17" s="1" t="s">
        <v>25</v>
      </c>
      <c r="E17" s="1" t="s">
        <v>26</v>
      </c>
      <c r="F17" s="1" t="s">
        <v>24</v>
      </c>
      <c r="G17" s="1">
        <v>-0.76</v>
      </c>
      <c r="H17" s="13">
        <v>45407.895833333336</v>
      </c>
      <c r="I17" s="14">
        <f t="shared" si="5"/>
        <v>7.9500000000698492</v>
      </c>
      <c r="J17" s="20">
        <v>1.1026401728573776</v>
      </c>
      <c r="K17" s="20">
        <v>7.9606163332847384</v>
      </c>
      <c r="L17" s="20">
        <v>92.43354702792675</v>
      </c>
      <c r="N17" s="20">
        <v>3.9270447559030829E-2</v>
      </c>
      <c r="O17" s="20">
        <v>6.3864624642445592E-2</v>
      </c>
      <c r="P17" s="3">
        <f t="shared" si="6"/>
        <v>1.0852764164852823E-2</v>
      </c>
      <c r="Q17" s="3">
        <f t="shared" si="7"/>
        <v>7.8432187577342202E-2</v>
      </c>
      <c r="R17" s="3">
        <f t="shared" si="8"/>
        <v>0.91070402031823694</v>
      </c>
      <c r="S17" s="3">
        <f t="shared" si="9"/>
        <v>3.8652038670235195E-4</v>
      </c>
      <c r="T17" s="4">
        <f t="shared" si="10"/>
        <v>0.1159831618553171</v>
      </c>
      <c r="U17" s="5">
        <f t="shared" si="11"/>
        <v>0.83820241260838591</v>
      </c>
      <c r="V17" s="5"/>
      <c r="W17" s="3">
        <f t="shared" si="2"/>
        <v>0.954185574463703</v>
      </c>
      <c r="X17" s="3">
        <f t="shared" si="3"/>
        <v>7.9293616947062689E-2</v>
      </c>
      <c r="Y17">
        <f t="shared" ref="Y17" si="18">+SUM(J17:L17)</f>
        <v>101.49680353406886</v>
      </c>
    </row>
    <row r="18" spans="1:25" ht="15.6">
      <c r="A18" s="1" t="s">
        <v>23</v>
      </c>
      <c r="B18" s="1">
        <v>60</v>
      </c>
      <c r="C18" s="2">
        <f>+'Flow rate'!E17</f>
        <v>62.711154000000001</v>
      </c>
      <c r="D18" s="1" t="s">
        <v>25</v>
      </c>
      <c r="E18" s="1" t="s">
        <v>26</v>
      </c>
      <c r="F18" s="1" t="s">
        <v>24</v>
      </c>
      <c r="G18" s="1">
        <v>-1.1000000000000001</v>
      </c>
      <c r="H18" s="13">
        <v>45407.919444444444</v>
      </c>
      <c r="I18" s="14">
        <f t="shared" si="5"/>
        <v>8.5166666666627862</v>
      </c>
      <c r="J18" s="20">
        <v>2.2826138594279484</v>
      </c>
      <c r="K18" s="20">
        <v>8.9850797882805029</v>
      </c>
      <c r="L18" s="20">
        <v>90.23682619768806</v>
      </c>
      <c r="N18" s="20">
        <v>4.0813824885701962E-2</v>
      </c>
      <c r="O18" s="20">
        <v>6.620617618621269E-2</v>
      </c>
      <c r="P18" s="3">
        <f t="shared" si="6"/>
        <v>2.2464120343780834E-2</v>
      </c>
      <c r="Q18" s="3">
        <f t="shared" si="7"/>
        <v>8.8519011783572299E-2</v>
      </c>
      <c r="R18" s="3">
        <f t="shared" si="8"/>
        <v>0.88899318311272746</v>
      </c>
      <c r="S18" s="3">
        <f t="shared" si="9"/>
        <v>4.0166525325145409E-4</v>
      </c>
      <c r="T18" s="4">
        <f t="shared" si="10"/>
        <v>0.16950159818611443</v>
      </c>
      <c r="U18" s="5">
        <f t="shared" si="11"/>
        <v>0.66791460059662966</v>
      </c>
      <c r="V18" s="5"/>
      <c r="W18" s="3">
        <f t="shared" si="2"/>
        <v>0.83741619878274409</v>
      </c>
      <c r="X18" s="3">
        <f t="shared" si="3"/>
        <v>9.0555404061187103E-2</v>
      </c>
    </row>
    <row r="19" spans="1:25" ht="15.6">
      <c r="A19" s="1" t="s">
        <v>23</v>
      </c>
      <c r="B19" s="1">
        <v>60</v>
      </c>
      <c r="C19" s="2">
        <f>+'Flow rate'!E18</f>
        <v>62.404390999999997</v>
      </c>
      <c r="D19" s="1" t="s">
        <v>25</v>
      </c>
      <c r="E19" s="1" t="s">
        <v>26</v>
      </c>
      <c r="F19" s="1" t="s">
        <v>24</v>
      </c>
      <c r="G19" s="1">
        <v>-1.1000000000000001</v>
      </c>
      <c r="H19" s="13">
        <v>45407.943055555559</v>
      </c>
      <c r="I19" s="14">
        <f t="shared" si="5"/>
        <v>9.0833333334303461</v>
      </c>
      <c r="J19" s="20">
        <v>2.4614215853001302</v>
      </c>
      <c r="K19" s="20">
        <v>9.1204302517885836</v>
      </c>
      <c r="L19" s="20">
        <v>89.918132500785021</v>
      </c>
      <c r="N19" s="20">
        <v>3.9628252744219272E-2</v>
      </c>
      <c r="O19" s="20">
        <v>6.3908862271571096E-2</v>
      </c>
      <c r="P19" s="3">
        <f t="shared" si="6"/>
        <v>2.422575074271827E-2</v>
      </c>
      <c r="Q19" s="3">
        <f t="shared" si="7"/>
        <v>8.9856469548098075E-2</v>
      </c>
      <c r="R19" s="3">
        <f t="shared" si="8"/>
        <v>0.88589306774141974</v>
      </c>
      <c r="S19" s="3">
        <f t="shared" si="9"/>
        <v>3.9002833934839243E-4</v>
      </c>
      <c r="T19" s="4">
        <f t="shared" si="10"/>
        <v>0.18189969944847101</v>
      </c>
      <c r="U19" s="5">
        <f t="shared" si="11"/>
        <v>0.67468971252470422</v>
      </c>
      <c r="V19" s="5"/>
      <c r="W19" s="3">
        <f t="shared" si="2"/>
        <v>0.85658941197317517</v>
      </c>
      <c r="X19" s="3">
        <f t="shared" si="3"/>
        <v>9.2089687070419257E-2</v>
      </c>
      <c r="Y19">
        <f t="shared" ref="Y19" si="19">+SUM(J19:L19)</f>
        <v>101.49998433787374</v>
      </c>
    </row>
    <row r="20" spans="1:25" ht="15.6">
      <c r="A20" s="1" t="s">
        <v>23</v>
      </c>
      <c r="B20" s="1">
        <v>60</v>
      </c>
      <c r="C20" s="2">
        <f>+'Flow rate'!E19</f>
        <v>63.703207999999997</v>
      </c>
      <c r="D20" s="1" t="s">
        <v>25</v>
      </c>
      <c r="E20" s="1" t="s">
        <v>26</v>
      </c>
      <c r="F20" s="1" t="s">
        <v>24</v>
      </c>
      <c r="G20" s="1">
        <v>-1.1000000000000001</v>
      </c>
      <c r="H20" s="13">
        <v>45407.960416666669</v>
      </c>
      <c r="I20" s="14">
        <f t="shared" si="5"/>
        <v>9.5000000000582077</v>
      </c>
      <c r="J20" s="20">
        <v>2.465237802198236</v>
      </c>
      <c r="K20" s="20">
        <v>9.1548745134590277</v>
      </c>
      <c r="L20" s="20">
        <v>89.815663624117875</v>
      </c>
      <c r="N20" s="20">
        <v>4.0116078327344526E-2</v>
      </c>
      <c r="O20" s="20">
        <v>6.392290596335698E-2</v>
      </c>
      <c r="P20" s="3">
        <f t="shared" si="6"/>
        <v>2.4278533539201407E-2</v>
      </c>
      <c r="Q20" s="3">
        <f t="shared" si="7"/>
        <v>9.0252915489052871E-2</v>
      </c>
      <c r="R20" s="3">
        <f t="shared" si="8"/>
        <v>0.88544364936335274</v>
      </c>
      <c r="S20" s="3">
        <f t="shared" si="9"/>
        <v>3.9507732368179309E-4</v>
      </c>
      <c r="T20" s="4">
        <f t="shared" si="10"/>
        <v>0.1860901312373775</v>
      </c>
      <c r="U20" s="5">
        <f t="shared" si="11"/>
        <v>0.69177064837113855</v>
      </c>
      <c r="V20" s="5"/>
      <c r="W20" s="3">
        <f t="shared" si="2"/>
        <v>0.87786077960851605</v>
      </c>
      <c r="X20" s="3">
        <f t="shared" si="3"/>
        <v>9.2501007731543558E-2</v>
      </c>
    </row>
    <row r="21" spans="1:25" ht="15.6">
      <c r="A21" s="1" t="s">
        <v>23</v>
      </c>
      <c r="B21" s="1">
        <v>60</v>
      </c>
      <c r="C21" s="2">
        <f>+'Flow rate'!E20</f>
        <v>63.903598000000002</v>
      </c>
      <c r="D21" s="1" t="s">
        <v>25</v>
      </c>
      <c r="E21" s="1" t="s">
        <v>26</v>
      </c>
      <c r="F21" s="1" t="s">
        <v>24</v>
      </c>
      <c r="G21" s="1">
        <v>-1.5</v>
      </c>
      <c r="H21" s="13">
        <v>45407.98541666667</v>
      </c>
      <c r="I21" s="14">
        <f t="shared" si="5"/>
        <v>10.100000000093132</v>
      </c>
      <c r="J21" s="20">
        <v>2.506706539865037</v>
      </c>
      <c r="K21" s="20">
        <v>9.142036226795744</v>
      </c>
      <c r="L21" s="20">
        <v>89.788895823530979</v>
      </c>
      <c r="N21" s="20">
        <v>4.0846053535182648E-2</v>
      </c>
      <c r="O21" s="20">
        <v>6.6883082130292482E-2</v>
      </c>
      <c r="P21" s="3">
        <f t="shared" si="6"/>
        <v>2.4685582375676762E-2</v>
      </c>
      <c r="Q21" s="3">
        <f t="shared" si="7"/>
        <v>9.0124694875139855E-2</v>
      </c>
      <c r="R21" s="3">
        <f t="shared" si="8"/>
        <v>0.88516350608552974</v>
      </c>
      <c r="S21" s="3">
        <f t="shared" si="9"/>
        <v>4.0224438051625393E-4</v>
      </c>
      <c r="T21" s="4">
        <f t="shared" si="10"/>
        <v>0.13919053445474747</v>
      </c>
      <c r="U21" s="5">
        <f t="shared" si="11"/>
        <v>0.50817129838517106</v>
      </c>
      <c r="V21" s="5"/>
      <c r="W21" s="3">
        <f t="shared" si="2"/>
        <v>0.64736183283991855</v>
      </c>
      <c r="X21" s="3">
        <f t="shared" si="3"/>
        <v>9.2408269459597722E-2</v>
      </c>
      <c r="Y21">
        <f t="shared" ref="Y21" si="20">+SUM(J21:L21)</f>
        <v>101.43763859019177</v>
      </c>
    </row>
    <row r="22" spans="1:25" ht="15.6">
      <c r="A22" s="1" t="s">
        <v>23</v>
      </c>
      <c r="B22" s="1">
        <v>60</v>
      </c>
      <c r="C22" s="2">
        <f>+'Flow rate'!E21</f>
        <v>65.542066000000005</v>
      </c>
      <c r="D22" s="1" t="s">
        <v>25</v>
      </c>
      <c r="E22" s="1" t="s">
        <v>26</v>
      </c>
      <c r="F22" s="1" t="s">
        <v>24</v>
      </c>
      <c r="G22" s="1">
        <v>-1.5</v>
      </c>
      <c r="H22" s="13">
        <v>45408.003472222219</v>
      </c>
      <c r="I22" s="14">
        <f t="shared" si="5"/>
        <v>10.533333333267365</v>
      </c>
      <c r="J22" s="20">
        <v>5.6726065357305284</v>
      </c>
      <c r="K22" s="20">
        <v>10.179257239322293</v>
      </c>
      <c r="L22" s="20">
        <v>85.697752097675206</v>
      </c>
      <c r="N22" s="20">
        <v>4.0915812151031072E-2</v>
      </c>
      <c r="O22" s="20">
        <v>6.3496211794595706E-2</v>
      </c>
      <c r="P22" s="3">
        <f t="shared" si="6"/>
        <v>5.5803067060918192E-2</v>
      </c>
      <c r="Q22" s="3">
        <f t="shared" si="7"/>
        <v>0.10023924907879456</v>
      </c>
      <c r="R22" s="3">
        <f t="shared" si="8"/>
        <v>0.84390030785621151</v>
      </c>
      <c r="S22" s="3">
        <f t="shared" si="9"/>
        <v>4.0250064849983117E-4</v>
      </c>
      <c r="T22" s="4">
        <f t="shared" si="10"/>
        <v>0.32271504311043991</v>
      </c>
      <c r="U22" s="5">
        <f t="shared" si="11"/>
        <v>0.57969418692537789</v>
      </c>
      <c r="V22" s="5"/>
      <c r="W22" s="3">
        <f t="shared" si="2"/>
        <v>0.90240923003581774</v>
      </c>
      <c r="X22" s="3">
        <f t="shared" si="3"/>
        <v>0.10616994949793736</v>
      </c>
    </row>
    <row r="23" spans="1:25" ht="15.6">
      <c r="A23" s="1" t="s">
        <v>23</v>
      </c>
      <c r="B23" s="1">
        <v>60</v>
      </c>
      <c r="C23" s="2">
        <f>+'Flow rate'!E22</f>
        <v>65.654752999999999</v>
      </c>
      <c r="D23" s="1" t="s">
        <v>25</v>
      </c>
      <c r="E23" s="1" t="s">
        <v>26</v>
      </c>
      <c r="F23" s="1" t="s">
        <v>24</v>
      </c>
      <c r="G23" s="1">
        <v>-1.5</v>
      </c>
      <c r="H23" s="13">
        <v>45408.020833333336</v>
      </c>
      <c r="I23" s="14">
        <f t="shared" si="5"/>
        <v>10.950000000069849</v>
      </c>
      <c r="J23" s="20">
        <v>5.9572259053564514</v>
      </c>
      <c r="K23" s="20">
        <v>10.365628009997669</v>
      </c>
      <c r="L23" s="20">
        <v>85.191250526398164</v>
      </c>
      <c r="N23" s="20">
        <v>4.1754652156824876E-2</v>
      </c>
      <c r="O23" s="20">
        <v>6.6126361204562847E-2</v>
      </c>
      <c r="P23" s="3">
        <f t="shared" si="6"/>
        <v>5.8621428017540084E-2</v>
      </c>
      <c r="Q23" s="3">
        <f t="shared" si="7"/>
        <v>0.10211022465302205</v>
      </c>
      <c r="R23" s="3">
        <f t="shared" si="8"/>
        <v>0.83920604919762654</v>
      </c>
      <c r="S23" s="3">
        <f t="shared" si="9"/>
        <v>4.108820740888581E-4</v>
      </c>
      <c r="T23" s="4">
        <f t="shared" si="10"/>
        <v>0.33959679218082889</v>
      </c>
      <c r="U23" s="5">
        <f t="shared" si="11"/>
        <v>0.5915295125641532</v>
      </c>
      <c r="V23" s="5"/>
      <c r="W23" s="3">
        <f t="shared" si="2"/>
        <v>0.93112630474498204</v>
      </c>
      <c r="X23" s="3">
        <f t="shared" si="3"/>
        <v>0.10847600056389028</v>
      </c>
      <c r="Y23">
        <f t="shared" ref="Y23" si="21">+SUM(J23:L23)</f>
        <v>101.51410444175228</v>
      </c>
    </row>
    <row r="24" spans="1:25" ht="15.6">
      <c r="A24" s="1" t="s">
        <v>23</v>
      </c>
      <c r="B24" s="1">
        <v>60</v>
      </c>
      <c r="C24" s="2">
        <f>+'Flow rate'!E23</f>
        <v>64.707893999999996</v>
      </c>
      <c r="D24" s="1" t="s">
        <v>25</v>
      </c>
      <c r="E24" s="1" t="s">
        <v>26</v>
      </c>
      <c r="F24" s="1" t="s">
        <v>24</v>
      </c>
      <c r="G24" s="1">
        <v>-1.5</v>
      </c>
      <c r="H24" s="13">
        <v>45408.038888888892</v>
      </c>
      <c r="I24" s="14">
        <f t="shared" si="5"/>
        <v>11.383333333418705</v>
      </c>
      <c r="J24" s="20">
        <v>6.040422180775197</v>
      </c>
      <c r="K24" s="20">
        <v>10.365551990064601</v>
      </c>
      <c r="L24" s="20">
        <v>85.109112475773046</v>
      </c>
      <c r="N24" s="20">
        <v>4.1602331178563004E-2</v>
      </c>
      <c r="O24" s="20">
        <v>6.3786448091504119E-2</v>
      </c>
      <c r="P24" s="3">
        <f t="shared" si="6"/>
        <v>5.9440995089427524E-2</v>
      </c>
      <c r="Q24" s="3">
        <f t="shared" si="7"/>
        <v>0.10210848783637874</v>
      </c>
      <c r="R24" s="3">
        <f t="shared" si="8"/>
        <v>0.83838880788280157</v>
      </c>
      <c r="S24" s="3">
        <f t="shared" si="9"/>
        <v>4.0938925944019759E-4</v>
      </c>
      <c r="T24" s="4">
        <f t="shared" si="10"/>
        <v>0.33937851924345952</v>
      </c>
      <c r="U24" s="5">
        <f t="shared" si="11"/>
        <v>0.58298868233891066</v>
      </c>
      <c r="V24" s="5"/>
      <c r="W24" s="3">
        <f t="shared" si="2"/>
        <v>0.92236720158237018</v>
      </c>
      <c r="X24" s="3">
        <f t="shared" si="3"/>
        <v>0.10856861396746317</v>
      </c>
    </row>
    <row r="25" spans="1:25" ht="15.6">
      <c r="A25" s="1" t="s">
        <v>23</v>
      </c>
      <c r="B25" s="1">
        <v>60</v>
      </c>
      <c r="C25" s="2">
        <f>+'Flow rate'!E24</f>
        <v>65.474711999999997</v>
      </c>
      <c r="D25" s="1" t="s">
        <v>25</v>
      </c>
      <c r="E25" s="1" t="s">
        <v>26</v>
      </c>
      <c r="F25" s="1" t="s">
        <v>24</v>
      </c>
      <c r="G25" s="1">
        <v>-1.5</v>
      </c>
      <c r="H25" s="13">
        <v>45408.056250000001</v>
      </c>
      <c r="I25" s="14">
        <f t="shared" si="5"/>
        <v>11.800000000046566</v>
      </c>
      <c r="J25" s="20">
        <v>6.1082234656536745</v>
      </c>
      <c r="K25" s="20">
        <v>10.358812116617068</v>
      </c>
      <c r="L25" s="20">
        <v>84.98846020669248</v>
      </c>
      <c r="N25" s="20">
        <v>4.2656464321487612E-2</v>
      </c>
      <c r="O25" s="20">
        <v>6.7834893341081032E-2</v>
      </c>
      <c r="P25" s="3">
        <f t="shared" si="6"/>
        <v>6.0140443048473845E-2</v>
      </c>
      <c r="Q25" s="3">
        <f t="shared" si="7"/>
        <v>0.10210203041306261</v>
      </c>
      <c r="R25" s="3">
        <f t="shared" si="8"/>
        <v>0.8376920298480065</v>
      </c>
      <c r="S25" s="3">
        <f t="shared" si="9"/>
        <v>4.1998768997249627E-4</v>
      </c>
      <c r="T25" s="4">
        <f t="shared" si="10"/>
        <v>0.34744113395863835</v>
      </c>
      <c r="U25" s="5">
        <f t="shared" si="11"/>
        <v>0.58986005802453223</v>
      </c>
      <c r="V25" s="5"/>
      <c r="W25" s="3">
        <f t="shared" si="2"/>
        <v>0.93730119198317063</v>
      </c>
      <c r="X25" s="3">
        <f t="shared" si="3"/>
        <v>0.10864298331987678</v>
      </c>
      <c r="Y25">
        <f t="shared" ref="Y25" si="22">+SUM(J25:L25)</f>
        <v>101.45549578896322</v>
      </c>
    </row>
    <row r="26" spans="1:25" ht="15.6">
      <c r="A26" s="1" t="s">
        <v>23</v>
      </c>
      <c r="B26" s="1">
        <v>60</v>
      </c>
      <c r="C26" s="2">
        <f>+'Flow rate'!E25</f>
        <v>69.056556999999998</v>
      </c>
      <c r="D26" s="1" t="s">
        <v>25</v>
      </c>
      <c r="E26" s="1" t="s">
        <v>26</v>
      </c>
      <c r="F26" s="1" t="s">
        <v>24</v>
      </c>
      <c r="G26" s="1">
        <v>-2.1</v>
      </c>
      <c r="H26" s="13">
        <v>45408.074305555558</v>
      </c>
      <c r="I26" s="14">
        <f t="shared" si="5"/>
        <v>12.233333333395422</v>
      </c>
      <c r="J26" s="20">
        <v>7.1004015451824891</v>
      </c>
      <c r="K26" s="20">
        <v>10.501594705883614</v>
      </c>
      <c r="L26" s="20">
        <v>83.83536649841345</v>
      </c>
      <c r="N26" s="20">
        <v>4.0463094607309069E-2</v>
      </c>
      <c r="O26" s="20">
        <v>6.118497121893314E-2</v>
      </c>
      <c r="P26" s="3">
        <f t="shared" si="6"/>
        <v>6.992781875822833E-2</v>
      </c>
      <c r="Q26" s="3">
        <f t="shared" si="7"/>
        <v>0.10352787593482161</v>
      </c>
      <c r="R26" s="3">
        <f t="shared" si="8"/>
        <v>0.8264742322359282</v>
      </c>
      <c r="S26" s="3">
        <f t="shared" si="9"/>
        <v>3.9849801847005725E-4</v>
      </c>
      <c r="T26" s="4">
        <f t="shared" si="10"/>
        <v>0.3043461984280002</v>
      </c>
      <c r="U26" s="5">
        <f t="shared" si="11"/>
        <v>0.45058341632286436</v>
      </c>
      <c r="V26" s="5"/>
      <c r="W26" s="3">
        <f t="shared" si="2"/>
        <v>0.75492961475086462</v>
      </c>
      <c r="X26" s="3">
        <f t="shared" si="3"/>
        <v>0.11132004435823679</v>
      </c>
    </row>
    <row r="27" spans="1:25" ht="15.6">
      <c r="A27" s="1" t="s">
        <v>23</v>
      </c>
      <c r="B27" s="1">
        <v>60</v>
      </c>
      <c r="C27" s="2">
        <f>+'Flow rate'!E26</f>
        <v>68.090823999999998</v>
      </c>
      <c r="D27" s="1" t="s">
        <v>25</v>
      </c>
      <c r="E27" s="1" t="s">
        <v>26</v>
      </c>
      <c r="F27" s="1" t="s">
        <v>24</v>
      </c>
      <c r="G27" s="1">
        <v>-2.1</v>
      </c>
      <c r="H27" s="13">
        <v>45408.091666666667</v>
      </c>
      <c r="I27" s="14">
        <f t="shared" si="5"/>
        <v>12.650000000023283</v>
      </c>
      <c r="J27" s="20">
        <v>9.9653741515310887</v>
      </c>
      <c r="K27" s="20">
        <v>10.68280890322214</v>
      </c>
      <c r="L27" s="20">
        <v>80.826438130742147</v>
      </c>
      <c r="N27" s="20">
        <v>4.2212739405554638E-2</v>
      </c>
      <c r="O27" s="20">
        <v>6.206937270914948E-2</v>
      </c>
      <c r="P27" s="3">
        <f t="shared" si="6"/>
        <v>9.8104762189980751E-2</v>
      </c>
      <c r="Q27" s="3">
        <f t="shared" si="7"/>
        <v>0.10527567167453614</v>
      </c>
      <c r="R27" s="3">
        <f t="shared" si="8"/>
        <v>0.79651874711600645</v>
      </c>
      <c r="S27" s="3">
        <f t="shared" si="9"/>
        <v>4.1556600864136131E-4</v>
      </c>
      <c r="T27" s="4">
        <f t="shared" si="10"/>
        <v>0.42100926888569229</v>
      </c>
      <c r="U27" s="5">
        <f t="shared" si="11"/>
        <v>0.4517826920299407</v>
      </c>
      <c r="V27" s="5"/>
      <c r="W27" s="3">
        <f t="shared" si="2"/>
        <v>0.87279196091563294</v>
      </c>
      <c r="X27" s="3">
        <f t="shared" si="3"/>
        <v>0.11674021204935871</v>
      </c>
      <c r="Y27">
        <f t="shared" ref="Y27" si="23">+SUM(J27:L27)</f>
        <v>101.47462118549538</v>
      </c>
    </row>
    <row r="28" spans="1:25" ht="15.6">
      <c r="A28" s="1" t="s">
        <v>23</v>
      </c>
      <c r="B28" s="1">
        <v>60</v>
      </c>
      <c r="C28" s="2">
        <f>+'Flow rate'!E27</f>
        <v>68.142066</v>
      </c>
      <c r="D28" s="1" t="s">
        <v>25</v>
      </c>
      <c r="E28" s="1" t="s">
        <v>26</v>
      </c>
      <c r="F28" s="1" t="s">
        <v>24</v>
      </c>
      <c r="G28" s="1">
        <v>-2.1</v>
      </c>
      <c r="H28" s="13">
        <v>45408.109722222223</v>
      </c>
      <c r="I28" s="14">
        <f t="shared" si="5"/>
        <v>13.083333333372138</v>
      </c>
      <c r="J28" s="20">
        <v>10.230984727193057</v>
      </c>
      <c r="K28" s="20">
        <v>10.649073712431964</v>
      </c>
      <c r="L28" s="20">
        <v>80.619030792001169</v>
      </c>
      <c r="N28" s="20">
        <v>4.2270668777454973E-2</v>
      </c>
      <c r="O28" s="20">
        <v>6.137561433492663E-2</v>
      </c>
      <c r="P28" s="3">
        <f t="shared" si="6"/>
        <v>0.10069595740076255</v>
      </c>
      <c r="Q28" s="3">
        <f t="shared" si="7"/>
        <v>0.10491792382619537</v>
      </c>
      <c r="R28" s="3">
        <f t="shared" si="8"/>
        <v>0.79428329261186137</v>
      </c>
      <c r="S28" s="3">
        <f t="shared" si="9"/>
        <v>4.1603868796744319E-4</v>
      </c>
      <c r="T28" s="4">
        <f t="shared" si="10"/>
        <v>0.43245439025540022</v>
      </c>
      <c r="U28" s="5">
        <f t="shared" si="11"/>
        <v>0.45058627919432492</v>
      </c>
      <c r="V28" s="5"/>
      <c r="W28" s="3">
        <f t="shared" si="2"/>
        <v>0.88304066944972515</v>
      </c>
      <c r="X28" s="3">
        <f t="shared" si="3"/>
        <v>0.11667902790634499</v>
      </c>
    </row>
    <row r="29" spans="1:25" ht="15.6">
      <c r="A29" s="1" t="s">
        <v>23</v>
      </c>
      <c r="B29" s="1">
        <v>60</v>
      </c>
      <c r="C29" s="2">
        <f>+'Flow rate'!E28</f>
        <v>67.941401999999997</v>
      </c>
      <c r="D29" s="1" t="s">
        <v>25</v>
      </c>
      <c r="E29" s="1" t="s">
        <v>26</v>
      </c>
      <c r="F29" s="1" t="s">
        <v>24</v>
      </c>
      <c r="G29" s="1">
        <v>-2.1</v>
      </c>
      <c r="H29" s="13">
        <v>45408.133333333331</v>
      </c>
      <c r="I29" s="14">
        <f t="shared" si="5"/>
        <v>13.649999999965075</v>
      </c>
      <c r="J29" s="20">
        <v>10.488541415288847</v>
      </c>
      <c r="K29" s="20">
        <v>10.543066943093113</v>
      </c>
      <c r="L29" s="20">
        <v>80.467005917148981</v>
      </c>
      <c r="N29" s="20">
        <v>4.0964044007982849E-2</v>
      </c>
      <c r="O29" s="20">
        <v>6.1393051918894041E-2</v>
      </c>
      <c r="P29" s="3">
        <f t="shared" si="6"/>
        <v>0.10323268836615998</v>
      </c>
      <c r="Q29" s="3">
        <f t="shared" si="7"/>
        <v>0.1038739988555175</v>
      </c>
      <c r="R29" s="3">
        <f t="shared" si="8"/>
        <v>0.79278920694139754</v>
      </c>
      <c r="S29" s="3">
        <f t="shared" si="9"/>
        <v>4.031855547740427E-4</v>
      </c>
      <c r="T29" s="4">
        <f t="shared" si="10"/>
        <v>0.44204320585897933</v>
      </c>
      <c r="U29" s="5">
        <f t="shared" si="11"/>
        <v>0.44478930255715954</v>
      </c>
      <c r="V29" s="5"/>
      <c r="W29" s="3">
        <f t="shared" si="2"/>
        <v>0.88683250841613881</v>
      </c>
      <c r="X29" s="3">
        <f t="shared" si="3"/>
        <v>0.11584505551691378</v>
      </c>
      <c r="Y29">
        <f t="shared" ref="Y29" si="24">+SUM(J29:L29)</f>
        <v>101.49861427553094</v>
      </c>
    </row>
    <row r="30" spans="1:25" ht="15.6">
      <c r="A30" s="1" t="s">
        <v>23</v>
      </c>
      <c r="B30" s="1">
        <v>60</v>
      </c>
      <c r="C30" s="2">
        <f>+'Flow rate'!E29</f>
        <v>68.330241000000001</v>
      </c>
      <c r="D30" s="1" t="s">
        <v>25</v>
      </c>
      <c r="E30" s="1" t="s">
        <v>26</v>
      </c>
      <c r="F30" s="1" t="s">
        <v>24</v>
      </c>
      <c r="G30" s="1">
        <v>-3.1</v>
      </c>
      <c r="H30" s="13">
        <v>45408.150694444441</v>
      </c>
      <c r="I30" s="14">
        <f t="shared" si="5"/>
        <v>14.066666666592937</v>
      </c>
      <c r="J30" s="20">
        <v>10.559142512261724</v>
      </c>
      <c r="K30" s="20">
        <v>10.511468551528106</v>
      </c>
      <c r="L30" s="20">
        <v>80.421468183839536</v>
      </c>
      <c r="N30" s="20">
        <v>4.3338863067969843E-2</v>
      </c>
      <c r="O30" s="20">
        <v>6.3363264845689285E-2</v>
      </c>
      <c r="P30" s="3">
        <f t="shared" si="6"/>
        <v>0.10392981460310638</v>
      </c>
      <c r="Q30" s="3">
        <f t="shared" si="7"/>
        <v>0.10356934875559395</v>
      </c>
      <c r="R30" s="3">
        <f t="shared" si="8"/>
        <v>0.79239157163802032</v>
      </c>
      <c r="S30" s="3">
        <f t="shared" si="9"/>
        <v>4.2656872928204654E-4</v>
      </c>
      <c r="T30" s="4">
        <f t="shared" si="10"/>
        <v>0.30319615123508536</v>
      </c>
      <c r="U30" s="5">
        <f t="shared" si="11"/>
        <v>0.30214455831119896</v>
      </c>
      <c r="V30" s="5"/>
      <c r="W30" s="3">
        <f t="shared" si="2"/>
        <v>0.60534070954628438</v>
      </c>
      <c r="X30" s="3">
        <f t="shared" si="3"/>
        <v>0.11559583280718738</v>
      </c>
    </row>
    <row r="31" spans="1:25" ht="15.6">
      <c r="A31" s="1" t="s">
        <v>23</v>
      </c>
      <c r="B31" s="1">
        <v>60</v>
      </c>
      <c r="C31" s="2">
        <f>+'Flow rate'!E30</f>
        <v>77.831242000000003</v>
      </c>
      <c r="D31" s="1" t="s">
        <v>25</v>
      </c>
      <c r="E31" s="1" t="s">
        <v>26</v>
      </c>
      <c r="F31" s="1" t="s">
        <v>24</v>
      </c>
      <c r="G31" s="1">
        <v>-3.1</v>
      </c>
      <c r="H31" s="13">
        <v>45408.168749999997</v>
      </c>
      <c r="I31" s="14">
        <f t="shared" si="5"/>
        <v>14.499999999941792</v>
      </c>
      <c r="J31" s="20">
        <v>17.691794307161661</v>
      </c>
      <c r="K31" s="20">
        <v>9.9921457788564663</v>
      </c>
      <c r="L31" s="20">
        <v>73.941596943912771</v>
      </c>
      <c r="N31" s="20">
        <v>4.267253558728136E-2</v>
      </c>
      <c r="O31" s="20">
        <v>6.0165750287572317E-2</v>
      </c>
      <c r="P31" s="3">
        <f t="shared" si="6"/>
        <v>0.17391208944642264</v>
      </c>
      <c r="Q31" s="3">
        <f t="shared" si="7"/>
        <v>9.8323178119231636E-2</v>
      </c>
      <c r="R31" s="3">
        <f t="shared" si="8"/>
        <v>0.7275887449641264</v>
      </c>
      <c r="S31" s="3">
        <f t="shared" si="9"/>
        <v>4.1947524920956091E-4</v>
      </c>
      <c r="T31" s="4">
        <f t="shared" si="10"/>
        <v>0.57790215337523987</v>
      </c>
      <c r="U31" s="5">
        <f t="shared" si="11"/>
        <v>0.32672355638223877</v>
      </c>
      <c r="V31" s="5"/>
      <c r="W31" s="3">
        <f t="shared" si="2"/>
        <v>0.90462570975747858</v>
      </c>
      <c r="X31" s="3">
        <f t="shared" si="3"/>
        <v>0.1190480187671392</v>
      </c>
      <c r="Y31">
        <f t="shared" ref="Y31" si="25">+SUM(J31:L31)</f>
        <v>101.6255370299309</v>
      </c>
    </row>
    <row r="32" spans="1:25" ht="15.6">
      <c r="A32" s="1" t="s">
        <v>23</v>
      </c>
      <c r="B32" s="1">
        <v>60</v>
      </c>
      <c r="C32" s="2">
        <f>+'Flow rate'!E31</f>
        <v>76.879108000000002</v>
      </c>
      <c r="D32" s="1" t="s">
        <v>25</v>
      </c>
      <c r="E32" s="1" t="s">
        <v>26</v>
      </c>
      <c r="F32" s="1" t="s">
        <v>24</v>
      </c>
      <c r="G32" s="1">
        <v>-3.1</v>
      </c>
      <c r="H32" s="13">
        <v>45408.186111111114</v>
      </c>
      <c r="I32" s="14">
        <f t="shared" si="5"/>
        <v>14.916666666744277</v>
      </c>
      <c r="J32" s="20">
        <v>18.52988802090832</v>
      </c>
      <c r="K32" s="20">
        <v>9.7811860917289373</v>
      </c>
      <c r="L32" s="20">
        <v>73.284897708136995</v>
      </c>
      <c r="N32" s="20">
        <v>4.2979513573176975E-2</v>
      </c>
      <c r="O32" s="20">
        <v>5.9196384462051409E-2</v>
      </c>
      <c r="P32" s="3">
        <f t="shared" si="6"/>
        <v>0.1822047739959097</v>
      </c>
      <c r="Q32" s="3">
        <f t="shared" si="7"/>
        <v>9.6275333720749839E-2</v>
      </c>
      <c r="R32" s="3">
        <f t="shared" si="8"/>
        <v>0.72133664745506931</v>
      </c>
      <c r="S32" s="3">
        <f t="shared" si="9"/>
        <v>4.2261845016109122E-4</v>
      </c>
      <c r="T32" s="4">
        <f t="shared" si="10"/>
        <v>0.59805161377216953</v>
      </c>
      <c r="U32" s="5">
        <f t="shared" si="11"/>
        <v>0.31600499501424245</v>
      </c>
      <c r="V32" s="5"/>
      <c r="W32" s="3">
        <f t="shared" si="2"/>
        <v>0.91405660878641193</v>
      </c>
      <c r="X32" s="3">
        <f t="shared" si="3"/>
        <v>0.1177518626650932</v>
      </c>
    </row>
    <row r="33" spans="1:25" ht="15.6">
      <c r="A33" s="1" t="s">
        <v>23</v>
      </c>
      <c r="B33" s="1">
        <v>60</v>
      </c>
      <c r="C33" s="2">
        <f>+'Flow rate'!E32</f>
        <v>75.181330000000003</v>
      </c>
      <c r="D33" s="1" t="s">
        <v>25</v>
      </c>
      <c r="E33" s="1" t="s">
        <v>26</v>
      </c>
      <c r="F33" s="1" t="s">
        <v>24</v>
      </c>
      <c r="G33" s="1">
        <v>-3.1</v>
      </c>
      <c r="H33" s="13">
        <v>45408.20416666667</v>
      </c>
      <c r="I33" s="14">
        <f t="shared" si="5"/>
        <v>15.350000000093132</v>
      </c>
      <c r="J33" s="20">
        <v>18.90069287922703</v>
      </c>
      <c r="K33" s="20">
        <v>9.7135478608273154</v>
      </c>
      <c r="L33" s="20">
        <v>72.99436437440859</v>
      </c>
      <c r="N33" s="20">
        <v>4.332982110286468E-2</v>
      </c>
      <c r="O33" s="20">
        <v>6.0388576863908396E-2</v>
      </c>
      <c r="P33" s="3">
        <f t="shared" si="6"/>
        <v>0.18582500356426604</v>
      </c>
      <c r="Q33" s="3">
        <f t="shared" si="7"/>
        <v>9.5597689289060941E-2</v>
      </c>
      <c r="R33" s="3">
        <f t="shared" si="8"/>
        <v>0.71838762368777564</v>
      </c>
      <c r="S33" s="3">
        <f t="shared" si="9"/>
        <v>4.2600365035972836E-4</v>
      </c>
      <c r="T33" s="4">
        <f t="shared" si="10"/>
        <v>0.59646468195700741</v>
      </c>
      <c r="U33" s="5">
        <f t="shared" si="11"/>
        <v>0.30685130764926594</v>
      </c>
      <c r="V33" s="5"/>
      <c r="W33" s="3">
        <f t="shared" si="2"/>
        <v>0.90331598960627335</v>
      </c>
      <c r="X33" s="3">
        <f t="shared" si="3"/>
        <v>0.11744399777859547</v>
      </c>
      <c r="Y33">
        <f t="shared" ref="Y33" si="26">+SUM(J33:L33)</f>
        <v>101.60860511446293</v>
      </c>
    </row>
    <row r="34" spans="1:25" ht="15.6">
      <c r="A34" s="1" t="s">
        <v>23</v>
      </c>
      <c r="B34" s="1">
        <v>60</v>
      </c>
      <c r="C34" s="2">
        <f>+'Flow rate'!E33</f>
        <v>76.228549000000001</v>
      </c>
      <c r="D34" s="1" t="s">
        <v>25</v>
      </c>
      <c r="E34" s="1" t="s">
        <v>26</v>
      </c>
      <c r="F34" s="1" t="s">
        <v>24</v>
      </c>
      <c r="G34" s="1">
        <v>-3.1</v>
      </c>
      <c r="H34" s="13">
        <v>45408.229166666664</v>
      </c>
      <c r="I34" s="14">
        <f t="shared" si="5"/>
        <v>15.949999999953434</v>
      </c>
      <c r="J34" s="20">
        <v>19.281394310634415</v>
      </c>
      <c r="K34" s="20">
        <v>9.5408709374337572</v>
      </c>
      <c r="L34" s="20">
        <v>72.844735893695088</v>
      </c>
      <c r="N34" s="20">
        <v>4.3683101335219743E-2</v>
      </c>
      <c r="O34" s="20">
        <v>6.212823918388527E-2</v>
      </c>
      <c r="P34" s="3">
        <f t="shared" si="6"/>
        <v>0.18945525666779736</v>
      </c>
      <c r="Q34" s="3">
        <f t="shared" si="7"/>
        <v>9.3844323431258495E-2</v>
      </c>
      <c r="R34" s="3">
        <f t="shared" si="8"/>
        <v>0.71650324171676172</v>
      </c>
      <c r="S34" s="3">
        <f t="shared" si="9"/>
        <v>4.2922171717347927E-4</v>
      </c>
      <c r="T34" s="4">
        <f t="shared" si="10"/>
        <v>0.61658774968998764</v>
      </c>
      <c r="U34" s="5">
        <f t="shared" si="11"/>
        <v>0.3054191328516162</v>
      </c>
      <c r="V34" s="5"/>
      <c r="W34" s="3">
        <f t="shared" si="2"/>
        <v>0.9220068825416039</v>
      </c>
      <c r="X34" s="3">
        <f t="shared" si="3"/>
        <v>0.11580749726090267</v>
      </c>
    </row>
    <row r="35" spans="1:25" ht="15.6">
      <c r="A35" s="1" t="s">
        <v>23</v>
      </c>
      <c r="B35" s="1">
        <v>60</v>
      </c>
      <c r="C35" s="2">
        <f>+'Flow rate'!E34</f>
        <v>56.135306</v>
      </c>
      <c r="D35" s="1" t="s">
        <v>25</v>
      </c>
      <c r="E35" s="1" t="s">
        <v>26</v>
      </c>
      <c r="F35" s="1" t="s">
        <v>24</v>
      </c>
      <c r="G35" s="1">
        <v>-0.5</v>
      </c>
      <c r="H35" s="13">
        <v>45408.246527777781</v>
      </c>
      <c r="I35" s="14">
        <f t="shared" si="5"/>
        <v>16.366666666755918</v>
      </c>
      <c r="J35" s="20">
        <v>5.9860040410822952</v>
      </c>
      <c r="K35" s="20">
        <v>7.3376635914828539</v>
      </c>
      <c r="L35" s="20">
        <v>88.069590887451568</v>
      </c>
      <c r="N35" s="20">
        <v>4.0362201458648841E-2</v>
      </c>
      <c r="O35" s="20">
        <v>6.5340148526082789E-2</v>
      </c>
      <c r="P35" s="3">
        <f t="shared" si="6"/>
        <v>5.8976013052479348E-2</v>
      </c>
      <c r="Q35" s="3">
        <f t="shared" si="7"/>
        <v>7.2368357606677342E-2</v>
      </c>
      <c r="R35" s="3">
        <f t="shared" si="8"/>
        <v>0.86859414691821124</v>
      </c>
      <c r="S35" s="3">
        <f t="shared" si="9"/>
        <v>3.9766122837793608E-4</v>
      </c>
      <c r="T35" s="4">
        <f t="shared" si="10"/>
        <v>0.87634229492520865</v>
      </c>
      <c r="U35" s="5">
        <f t="shared" si="11"/>
        <v>1.0753431658489783</v>
      </c>
      <c r="V35" s="5"/>
      <c r="W35" s="3">
        <f t="shared" si="2"/>
        <v>1.9516854607741869</v>
      </c>
      <c r="X35" s="3">
        <f t="shared" si="3"/>
        <v>7.6908864336966989E-2</v>
      </c>
      <c r="Y35">
        <f t="shared" ref="Y35" si="27">+SUM(J35:L35)</f>
        <v>101.39325852001672</v>
      </c>
    </row>
    <row r="36" spans="1:25" ht="15.6">
      <c r="A36" s="1" t="s">
        <v>23</v>
      </c>
      <c r="B36" s="1">
        <v>60</v>
      </c>
      <c r="C36" s="2">
        <f>+'Flow rate'!E35</f>
        <v>56.400998999999999</v>
      </c>
      <c r="D36" s="1" t="s">
        <v>25</v>
      </c>
      <c r="E36" s="1" t="s">
        <v>26</v>
      </c>
      <c r="F36" s="1" t="s">
        <v>24</v>
      </c>
      <c r="G36" s="1">
        <v>-0.5</v>
      </c>
      <c r="H36" s="13">
        <v>45408.26458333333</v>
      </c>
      <c r="I36" s="14">
        <f t="shared" si="5"/>
        <v>16.799999999930151</v>
      </c>
      <c r="J36" s="20">
        <v>0.85574850614779374</v>
      </c>
      <c r="K36" s="20">
        <v>6.4295839630628855</v>
      </c>
      <c r="L36" s="20">
        <v>94.400279773612937</v>
      </c>
      <c r="N36" s="20">
        <v>3.8383610211776914E-2</v>
      </c>
      <c r="O36" s="20">
        <v>6.6222560493296112E-2</v>
      </c>
      <c r="P36" s="3">
        <f t="shared" si="6"/>
        <v>8.4069817265865904E-3</v>
      </c>
      <c r="Q36" s="3">
        <f t="shared" si="7"/>
        <v>6.3230026561763145E-2</v>
      </c>
      <c r="R36" s="3">
        <f t="shared" si="8"/>
        <v>0.92835434326919886</v>
      </c>
      <c r="S36" s="3">
        <f t="shared" si="9"/>
        <v>3.7708544897547283E-4</v>
      </c>
      <c r="T36" s="4">
        <f t="shared" si="10"/>
        <v>0.12551313244187584</v>
      </c>
      <c r="U36" s="5">
        <f t="shared" si="11"/>
        <v>0.94400094543469004</v>
      </c>
      <c r="V36" s="5"/>
      <c r="W36" s="3">
        <f t="shared" si="2"/>
        <v>1.0695140778765659</v>
      </c>
      <c r="X36" s="3">
        <f t="shared" si="3"/>
        <v>6.3766663216506869E-2</v>
      </c>
    </row>
    <row r="37" spans="1:25" ht="15.6">
      <c r="A37" s="1" t="s">
        <v>23</v>
      </c>
      <c r="B37" s="1">
        <v>60</v>
      </c>
      <c r="C37" s="2">
        <f>+'Flow rate'!E36</f>
        <v>57.339427999999998</v>
      </c>
      <c r="D37" s="1" t="s">
        <v>25</v>
      </c>
      <c r="E37" s="1" t="s">
        <v>26</v>
      </c>
      <c r="F37" s="1" t="s">
        <v>24</v>
      </c>
      <c r="G37" s="1">
        <v>-0.5</v>
      </c>
      <c r="H37" s="13">
        <v>45408.281944444447</v>
      </c>
      <c r="I37" s="14">
        <f t="shared" si="5"/>
        <v>17.216666666732635</v>
      </c>
      <c r="J37" s="20">
        <v>0.64490667923264333</v>
      </c>
      <c r="K37" s="20">
        <v>6.3480794945444421</v>
      </c>
      <c r="L37" s="20">
        <v>94.745577072876429</v>
      </c>
      <c r="N37" s="20">
        <v>3.792055066847045E-2</v>
      </c>
      <c r="O37" s="20">
        <v>6.5281399082111904E-2</v>
      </c>
      <c r="P37" s="3">
        <f t="shared" si="6"/>
        <v>6.332438150388758E-3</v>
      </c>
      <c r="Q37" s="3">
        <f t="shared" si="7"/>
        <v>6.239600100459694E-2</v>
      </c>
      <c r="R37" s="3">
        <f t="shared" si="8"/>
        <v>0.93126513732238003</v>
      </c>
      <c r="S37" s="3">
        <f t="shared" si="9"/>
        <v>3.7234773567936327E-4</v>
      </c>
      <c r="T37" s="4">
        <f t="shared" si="10"/>
        <v>9.6113984439741465E-2</v>
      </c>
      <c r="U37" s="5">
        <f t="shared" si="11"/>
        <v>0.9470488502583716</v>
      </c>
      <c r="V37" s="5"/>
      <c r="W37" s="3">
        <f t="shared" si="2"/>
        <v>1.043162834698113</v>
      </c>
      <c r="X37" s="3">
        <f t="shared" si="3"/>
        <v>6.2794043761893348E-2</v>
      </c>
      <c r="Y37">
        <f t="shared" ref="Y37" si="28">+SUM(J37:L37)</f>
        <v>101.73856324665351</v>
      </c>
    </row>
    <row r="38" spans="1:25" ht="15.6">
      <c r="A38" s="1" t="s">
        <v>23</v>
      </c>
      <c r="B38" s="1">
        <v>60</v>
      </c>
      <c r="C38" s="2">
        <f>+'Flow rate'!E37</f>
        <v>58.053172000000004</v>
      </c>
      <c r="D38" s="1" t="s">
        <v>25</v>
      </c>
      <c r="E38" s="1" t="s">
        <v>26</v>
      </c>
      <c r="F38" s="1" t="s">
        <v>24</v>
      </c>
      <c r="G38" s="1">
        <v>-0.5</v>
      </c>
      <c r="H38" s="13">
        <v>45408.311805555553</v>
      </c>
      <c r="I38" s="14">
        <f t="shared" si="5"/>
        <v>17.933333333290648</v>
      </c>
      <c r="J38" s="20">
        <v>0.57960447785800284</v>
      </c>
      <c r="K38" s="20">
        <v>6.26631299271682</v>
      </c>
      <c r="L38" s="20">
        <v>95.031061953975041</v>
      </c>
      <c r="N38" s="20">
        <v>3.7691565673454323E-2</v>
      </c>
      <c r="O38" s="20">
        <v>6.4437139144249811E-2</v>
      </c>
      <c r="P38" s="3">
        <f t="shared" si="6"/>
        <v>5.6835609615523844E-3</v>
      </c>
      <c r="Q38" s="3">
        <f t="shared" si="7"/>
        <v>6.1508625678852742E-2</v>
      </c>
      <c r="R38" s="3">
        <f t="shared" si="8"/>
        <v>0.9328021157552584</v>
      </c>
      <c r="S38" s="3">
        <f t="shared" si="9"/>
        <v>3.6960085614437776E-4</v>
      </c>
      <c r="T38" s="4">
        <f t="shared" si="10"/>
        <v>8.7339106663814239E-2</v>
      </c>
      <c r="U38" s="5">
        <f t="shared" si="11"/>
        <v>0.94520116090082851</v>
      </c>
      <c r="V38" s="5"/>
      <c r="W38" s="3">
        <f t="shared" si="2"/>
        <v>1.0325402675646427</v>
      </c>
      <c r="X38" s="3">
        <f t="shared" si="3"/>
        <v>6.1860566436341434E-2</v>
      </c>
    </row>
    <row r="39" spans="1:25" ht="15.6">
      <c r="A39" s="1" t="s">
        <v>23</v>
      </c>
      <c r="B39" s="1">
        <v>60</v>
      </c>
      <c r="C39" s="2">
        <f>+'Flow rate'!E38</f>
        <v>59.164735999999998</v>
      </c>
      <c r="D39" s="1" t="s">
        <v>25</v>
      </c>
      <c r="E39" s="1" t="s">
        <v>26</v>
      </c>
      <c r="F39" s="1" t="s">
        <v>24</v>
      </c>
      <c r="G39" s="1">
        <v>-0.5</v>
      </c>
      <c r="H39" s="13">
        <v>45408.32916666667</v>
      </c>
      <c r="I39" s="14">
        <f t="shared" si="5"/>
        <v>18.350000000093132</v>
      </c>
      <c r="J39" s="20">
        <v>0.56451599915042638</v>
      </c>
      <c r="K39" s="20">
        <v>6.1862996585494896</v>
      </c>
      <c r="L39" s="20">
        <v>95.01016065847989</v>
      </c>
      <c r="N39" s="20">
        <v>3.7139293939272858E-2</v>
      </c>
      <c r="O39" s="20">
        <v>6.251198306193434E-2</v>
      </c>
      <c r="P39" s="3">
        <f t="shared" si="6"/>
        <v>5.5420432063803373E-3</v>
      </c>
      <c r="Q39" s="3">
        <f t="shared" si="7"/>
        <v>6.0792455836195428E-2</v>
      </c>
      <c r="R39" s="3">
        <f t="shared" si="8"/>
        <v>0.93366007381135407</v>
      </c>
      <c r="S39" s="3">
        <f t="shared" si="9"/>
        <v>3.6460892512465846E-4</v>
      </c>
      <c r="T39" s="4">
        <f t="shared" si="10"/>
        <v>8.6795079798461516E-2</v>
      </c>
      <c r="U39" s="5">
        <f t="shared" si="11"/>
        <v>0.95208316841926066</v>
      </c>
      <c r="V39" s="5"/>
      <c r="W39" s="3">
        <f t="shared" si="2"/>
        <v>1.0388782482177221</v>
      </c>
      <c r="X39" s="3">
        <f t="shared" si="3"/>
        <v>6.1131581472009817E-2</v>
      </c>
      <c r="Y39">
        <f t="shared" ref="Y39" si="29">+SUM(J39:L39)</f>
        <v>101.76097631617981</v>
      </c>
    </row>
    <row r="40" spans="1:25" ht="15.6">
      <c r="A40" s="1" t="s">
        <v>23</v>
      </c>
      <c r="B40" s="1">
        <v>60</v>
      </c>
      <c r="C40" s="2">
        <f>+'Flow rate'!E39</f>
        <v>59.029060000000001</v>
      </c>
      <c r="D40" s="1" t="s">
        <v>25</v>
      </c>
      <c r="E40" s="1" t="s">
        <v>26</v>
      </c>
      <c r="F40" s="1" t="s">
        <v>24</v>
      </c>
      <c r="G40" s="1">
        <v>-0.5</v>
      </c>
      <c r="H40" s="13">
        <v>45408.347222222219</v>
      </c>
      <c r="I40" s="14">
        <f t="shared" si="5"/>
        <v>18.783333333267365</v>
      </c>
      <c r="J40" s="20">
        <v>0.54950270259049205</v>
      </c>
      <c r="K40" s="20">
        <v>6.1322124852765851</v>
      </c>
      <c r="L40" s="20">
        <v>95.146354638663126</v>
      </c>
      <c r="N40" s="20">
        <v>3.7310932776284743E-2</v>
      </c>
      <c r="O40" s="20">
        <v>6.3534129762417235E-2</v>
      </c>
      <c r="P40" s="3">
        <f t="shared" si="6"/>
        <v>5.3910384819511317E-3</v>
      </c>
      <c r="Q40" s="3">
        <f t="shared" si="7"/>
        <v>6.0221238561461013E-2</v>
      </c>
      <c r="R40" s="3">
        <f t="shared" si="8"/>
        <v>0.93438238396102624</v>
      </c>
      <c r="S40" s="3">
        <f t="shared" si="9"/>
        <v>3.660485625388136E-4</v>
      </c>
      <c r="T40" s="4">
        <f t="shared" si="10"/>
        <v>8.4236549281983861E-2</v>
      </c>
      <c r="U40" s="5">
        <f t="shared" si="11"/>
        <v>0.94097442392372843</v>
      </c>
      <c r="V40" s="5"/>
      <c r="W40" s="3">
        <f t="shared" si="2"/>
        <v>1.0252109732057122</v>
      </c>
      <c r="X40" s="3">
        <f t="shared" si="3"/>
        <v>6.0547978307910755E-2</v>
      </c>
    </row>
    <row r="41" spans="1:25" ht="15.6">
      <c r="A41" s="1" t="s">
        <v>23</v>
      </c>
      <c r="B41" s="1">
        <v>60</v>
      </c>
      <c r="C41" s="2">
        <f>+'Flow rate'!E40</f>
        <v>59.625523999999999</v>
      </c>
      <c r="D41" s="1" t="s">
        <v>25</v>
      </c>
      <c r="E41" s="1" t="s">
        <v>26</v>
      </c>
      <c r="F41" s="1" t="s">
        <v>24</v>
      </c>
      <c r="G41" s="1">
        <v>-0.5</v>
      </c>
      <c r="H41" s="13">
        <v>45408.359027777777</v>
      </c>
      <c r="I41" s="14">
        <f t="shared" si="5"/>
        <v>19.066666666651145</v>
      </c>
      <c r="J41" s="20">
        <v>0.55538504888642237</v>
      </c>
      <c r="K41" s="20">
        <v>6.1206699011895465</v>
      </c>
      <c r="L41" s="20">
        <v>95.231703738050669</v>
      </c>
      <c r="N41" s="20">
        <v>2.9747292328092478E-2</v>
      </c>
      <c r="O41" s="20">
        <v>3.8544199444783607E-2</v>
      </c>
      <c r="P41" s="3">
        <f t="shared" si="6"/>
        <v>5.4462302462847719E-3</v>
      </c>
      <c r="Q41" s="3">
        <f t="shared" si="7"/>
        <v>6.0060882311433576E-2</v>
      </c>
      <c r="R41" s="3">
        <f t="shared" si="8"/>
        <v>0.93448923775757808</v>
      </c>
      <c r="S41" s="3">
        <f t="shared" si="9"/>
        <v>2.9170861467584045E-4</v>
      </c>
      <c r="T41" s="4">
        <f t="shared" si="10"/>
        <v>8.5958825920565543E-2</v>
      </c>
      <c r="U41" s="5">
        <f t="shared" si="11"/>
        <v>0.94795164614385341</v>
      </c>
      <c r="V41" s="5"/>
      <c r="W41" s="3">
        <f t="shared" si="2"/>
        <v>1.033910472064419</v>
      </c>
      <c r="X41" s="3">
        <f t="shared" si="3"/>
        <v>6.0390000563537174E-2</v>
      </c>
      <c r="Y41">
        <f t="shared" ref="Y41" si="30">+SUM(J41:L41)</f>
        <v>101.90775868812663</v>
      </c>
    </row>
    <row r="42" spans="1:25" ht="15.6">
      <c r="A42" s="1" t="s">
        <v>23</v>
      </c>
      <c r="B42" s="1">
        <v>60</v>
      </c>
      <c r="C42" s="2">
        <f>+'Flow rate'!E41</f>
        <v>59.701971</v>
      </c>
      <c r="D42" s="1" t="s">
        <v>25</v>
      </c>
      <c r="E42" s="1" t="s">
        <v>26</v>
      </c>
      <c r="F42" s="1" t="s">
        <v>24</v>
      </c>
      <c r="G42" s="1">
        <v>-0.5</v>
      </c>
      <c r="H42" s="13">
        <v>45408.370833333334</v>
      </c>
      <c r="I42" s="14">
        <f t="shared" si="5"/>
        <v>19.350000000034925</v>
      </c>
      <c r="J42" s="20">
        <v>5.8237389037772572E-3</v>
      </c>
      <c r="K42" s="20">
        <v>6.0974010742390989</v>
      </c>
      <c r="L42" s="20">
        <v>95.178670649569639</v>
      </c>
      <c r="N42" s="20">
        <v>3.0623119893477126E-2</v>
      </c>
      <c r="O42" s="20">
        <v>3.9761202368795774E-2</v>
      </c>
      <c r="P42" s="3">
        <f t="shared" si="6"/>
        <v>5.7460364149012575E-5</v>
      </c>
      <c r="Q42" s="3">
        <f t="shared" si="7"/>
        <v>6.0202280440968751E-2</v>
      </c>
      <c r="R42" s="3">
        <f t="shared" si="8"/>
        <v>0.9397402192636708</v>
      </c>
      <c r="S42" s="3">
        <f t="shared" si="9"/>
        <v>3.0214534846622097E-4</v>
      </c>
      <c r="T42" s="4">
        <f t="shared" si="10"/>
        <v>9.080699656329478E-4</v>
      </c>
      <c r="U42" s="5">
        <f t="shared" si="11"/>
        <v>0.95140160597111378</v>
      </c>
      <c r="V42" s="5"/>
      <c r="W42" s="3">
        <f t="shared" si="2"/>
        <v>0.95230967593674676</v>
      </c>
      <c r="X42" s="3">
        <f t="shared" si="3"/>
        <v>6.0205742288932759E-2</v>
      </c>
    </row>
    <row r="43" spans="1:25" ht="15.6">
      <c r="A43" s="1" t="s">
        <v>23</v>
      </c>
      <c r="B43" s="1">
        <v>60</v>
      </c>
      <c r="C43" s="2">
        <f>+'Flow rate'!E42</f>
        <v>59.285477</v>
      </c>
      <c r="D43" s="1" t="s">
        <v>25</v>
      </c>
      <c r="E43" s="1" t="s">
        <v>26</v>
      </c>
      <c r="F43" s="1" t="s">
        <v>24</v>
      </c>
      <c r="G43" s="1">
        <v>-0.5</v>
      </c>
      <c r="H43" s="13">
        <v>45408.382638888892</v>
      </c>
      <c r="I43" s="14">
        <f t="shared" si="5"/>
        <v>19.633333333418705</v>
      </c>
      <c r="J43" s="20">
        <v>0.53335950510012764</v>
      </c>
      <c r="K43" s="20">
        <v>6.0676073151563052</v>
      </c>
      <c r="L43" s="20">
        <v>95.185307637390494</v>
      </c>
      <c r="N43" s="20">
        <v>3.7194628279927353E-2</v>
      </c>
      <c r="O43" s="20">
        <v>6.2167210428590886E-2</v>
      </c>
      <c r="P43" s="3">
        <f t="shared" si="6"/>
        <v>5.2348841749266907E-3</v>
      </c>
      <c r="Q43" s="3">
        <f t="shared" si="7"/>
        <v>5.9611252572968718E-2</v>
      </c>
      <c r="R43" s="3">
        <f t="shared" si="8"/>
        <v>0.93514875305704326</v>
      </c>
      <c r="S43" s="3">
        <f t="shared" si="9"/>
        <v>3.6506253120645072E-4</v>
      </c>
      <c r="T43" s="4">
        <f t="shared" si="10"/>
        <v>8.2151909814051571E-2</v>
      </c>
      <c r="U43" s="5">
        <f t="shared" si="11"/>
        <v>0.9354893215656972</v>
      </c>
      <c r="V43" s="5"/>
      <c r="W43" s="3">
        <f t="shared" si="2"/>
        <v>1.0176412313797487</v>
      </c>
      <c r="X43" s="3">
        <f t="shared" si="3"/>
        <v>5.9925260601138744E-2</v>
      </c>
      <c r="Y43">
        <f t="shared" ref="Y43" si="31">+SUM(J43:L43)</f>
        <v>101.78627445764693</v>
      </c>
    </row>
    <row r="44" spans="1:25" ht="15.6">
      <c r="A44" s="1" t="s">
        <v>23</v>
      </c>
      <c r="B44" s="1">
        <v>60</v>
      </c>
      <c r="C44" s="2">
        <f>+'Flow rate'!E43</f>
        <v>59.948436999999998</v>
      </c>
      <c r="D44" s="1" t="s">
        <v>25</v>
      </c>
      <c r="E44" s="1" t="s">
        <v>26</v>
      </c>
      <c r="F44" s="1" t="s">
        <v>24</v>
      </c>
      <c r="G44" s="1">
        <v>-0.5</v>
      </c>
      <c r="H44" s="13">
        <v>45408.418055555558</v>
      </c>
      <c r="I44" s="14">
        <f t="shared" si="5"/>
        <v>20.483333333395422</v>
      </c>
      <c r="J44" s="20">
        <v>0.54084229750632329</v>
      </c>
      <c r="K44" s="20">
        <v>6.016047300101258</v>
      </c>
      <c r="L44" s="20">
        <v>95.230183159620211</v>
      </c>
      <c r="N44" s="20">
        <v>3.6812086809558497E-2</v>
      </c>
      <c r="O44" s="20">
        <v>6.6196579663491711E-2</v>
      </c>
      <c r="P44" s="3">
        <f t="shared" si="6"/>
        <v>5.3080956453187885E-3</v>
      </c>
      <c r="Q44" s="3">
        <f t="shared" si="7"/>
        <v>5.9104237278245778E-2</v>
      </c>
      <c r="R44" s="3">
        <f t="shared" si="8"/>
        <v>0.93558229527588044</v>
      </c>
      <c r="S44" s="3">
        <f t="shared" si="9"/>
        <v>3.6129215224079276E-4</v>
      </c>
      <c r="T44" s="4">
        <f t="shared" si="10"/>
        <v>8.4232341363331242E-2</v>
      </c>
      <c r="U44" s="5">
        <f t="shared" si="11"/>
        <v>0.93790478226048102</v>
      </c>
      <c r="V44" s="5"/>
      <c r="W44" s="3">
        <f t="shared" si="2"/>
        <v>1.0221371236238124</v>
      </c>
      <c r="X44" s="3">
        <f t="shared" si="3"/>
        <v>5.9419963318976171E-2</v>
      </c>
    </row>
    <row r="45" spans="1:25" ht="15.6">
      <c r="A45" s="1" t="s">
        <v>23</v>
      </c>
      <c r="B45" s="1">
        <v>60</v>
      </c>
      <c r="C45" s="2">
        <f>+'Flow rate'!E44</f>
        <v>13.779826999999999</v>
      </c>
      <c r="D45" s="1" t="s">
        <v>25</v>
      </c>
      <c r="E45" s="1" t="s">
        <v>26</v>
      </c>
      <c r="F45" s="1" t="s">
        <v>24</v>
      </c>
      <c r="G45" s="1">
        <v>-0.5</v>
      </c>
      <c r="H45" s="13">
        <v>45408.454861111109</v>
      </c>
      <c r="I45" s="14">
        <f t="shared" si="5"/>
        <v>21.366666666639503</v>
      </c>
      <c r="J45" s="21">
        <v>0.54133531889759257</v>
      </c>
      <c r="K45" s="21">
        <v>5.9878802330378686</v>
      </c>
      <c r="L45" s="21">
        <v>95.367428541087079</v>
      </c>
      <c r="N45" s="21">
        <v>3.9245488079277878E-2</v>
      </c>
      <c r="O45" s="21">
        <v>6.8361531783051349E-2</v>
      </c>
      <c r="P45" s="3">
        <f t="shared" si="6"/>
        <v>5.3069878264045481E-3</v>
      </c>
      <c r="Q45" s="3">
        <f t="shared" si="7"/>
        <v>5.8764253585932312E-2</v>
      </c>
      <c r="R45" s="3">
        <f t="shared" si="8"/>
        <v>0.93592315419166427</v>
      </c>
      <c r="S45" s="3">
        <f t="shared" si="9"/>
        <v>3.8474365186845142E-4</v>
      </c>
      <c r="T45" s="4">
        <f t="shared" si="10"/>
        <v>1.935771649875891E-2</v>
      </c>
      <c r="U45" s="5">
        <f t="shared" si="11"/>
        <v>0.21434791229742317</v>
      </c>
      <c r="V45" s="5"/>
      <c r="W45" s="3">
        <f t="shared" si="2"/>
        <v>0.23370562879618209</v>
      </c>
      <c r="X45" s="3">
        <f t="shared" si="3"/>
        <v>5.9078111501610048E-2</v>
      </c>
      <c r="Y45">
        <f t="shared" ref="Y45" si="32">+SUM(J45:L45)</f>
        <v>101.89664409302254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B94F7A-837D-4889-85B1-7C17DB05780E}">
  <dimension ref="A1:E1270"/>
  <sheetViews>
    <sheetView zoomScale="70" zoomScaleNormal="70" workbookViewId="0">
      <selection activeCell="E2" sqref="E2"/>
    </sheetView>
  </sheetViews>
  <sheetFormatPr defaultRowHeight="14.4"/>
  <cols>
    <col min="1" max="1" width="14.5546875" bestFit="1" customWidth="1"/>
    <col min="3" max="4" width="14.5546875" bestFit="1" customWidth="1"/>
  </cols>
  <sheetData>
    <row r="1" spans="1:5">
      <c r="A1" s="15"/>
      <c r="B1" s="16" t="s">
        <v>28</v>
      </c>
      <c r="C1" s="17">
        <f>+'Acidic catholyte_Cs2SO4'!H2</f>
        <v>45407.564583333333</v>
      </c>
      <c r="D1" s="18">
        <f t="shared" ref="D1:D2" si="0">+C1-2/24</f>
        <v>45407.481249999997</v>
      </c>
      <c r="E1">
        <v>0</v>
      </c>
    </row>
    <row r="2" spans="1:5">
      <c r="A2" s="19">
        <v>45407.484722000001</v>
      </c>
      <c r="B2" s="16">
        <v>0</v>
      </c>
      <c r="C2" s="17">
        <f>+'Acidic catholyte_Cs2SO4'!H3</f>
        <v>45407.591666666667</v>
      </c>
      <c r="D2" s="18">
        <f t="shared" si="0"/>
        <v>45407.508333333331</v>
      </c>
      <c r="E2" cm="1">
        <f t="array" ref="E2">INDEX(B$1:B$224233, MATCH(D2,A$1:A$224233,1) +0)</f>
        <v>47.458790999999998</v>
      </c>
    </row>
    <row r="3" spans="1:5">
      <c r="A3" s="19">
        <v>45407.485417000004</v>
      </c>
      <c r="B3" s="16">
        <v>22.918413999999999</v>
      </c>
      <c r="C3" s="17">
        <f>+'Acidic catholyte_Cs2SO4'!H4</f>
        <v>45407.634722222225</v>
      </c>
      <c r="D3" s="18">
        <f t="shared" ref="D3:D44" si="1">+C3-2/24</f>
        <v>45407.551388888889</v>
      </c>
      <c r="E3" cm="1">
        <f t="array" ref="E3">INDEX(B$1:B$224233, MATCH(D3,A$1:A$224233,1) +0)</f>
        <v>54.029097</v>
      </c>
    </row>
    <row r="4" spans="1:5">
      <c r="A4" s="19">
        <v>45407.486110999998</v>
      </c>
      <c r="B4" s="16">
        <v>47.730443000000001</v>
      </c>
      <c r="C4" s="17">
        <f>+'Acidic catholyte_Cs2SO4'!H5</f>
        <v>45407.664583333331</v>
      </c>
      <c r="D4" s="18">
        <f t="shared" si="1"/>
        <v>45407.581249999996</v>
      </c>
      <c r="E4" cm="1">
        <f t="array" ref="E4">INDEX(B$1:B$224233, MATCH(D4,A$1:A$224233,1) +0)</f>
        <v>58.318013999999998</v>
      </c>
    </row>
    <row r="5" spans="1:5">
      <c r="A5" s="19">
        <v>45407.486806000001</v>
      </c>
      <c r="B5" s="16">
        <v>47.602198000000001</v>
      </c>
      <c r="C5" s="17">
        <f>+'Acidic catholyte_Cs2SO4'!H6</f>
        <v>45407.700694444444</v>
      </c>
      <c r="D5" s="18">
        <f t="shared" si="1"/>
        <v>45407.617361111108</v>
      </c>
      <c r="E5" cm="1">
        <f t="array" ref="E5">INDEX(B$1:B$224233, MATCH(D5,A$1:A$224233,1) +0)</f>
        <v>59.15305</v>
      </c>
    </row>
    <row r="6" spans="1:5">
      <c r="A6" s="19">
        <v>45407.487500000003</v>
      </c>
      <c r="B6" s="16">
        <v>46.481746999999999</v>
      </c>
      <c r="C6" s="17">
        <f>+'Acidic catholyte_Cs2SO4'!H7</f>
        <v>45407.71875</v>
      </c>
      <c r="D6" s="18">
        <f t="shared" si="1"/>
        <v>45407.635416666664</v>
      </c>
      <c r="E6" cm="1">
        <f t="array" ref="E6">INDEX(B$1:B$224233, MATCH(D6,A$1:A$224233,1) +0)</f>
        <v>59.324401000000002</v>
      </c>
    </row>
    <row r="7" spans="1:5">
      <c r="A7" s="19">
        <v>45407.488193999998</v>
      </c>
      <c r="B7" s="16">
        <v>45.346311999999998</v>
      </c>
      <c r="C7" s="17">
        <f>+'Acidic catholyte_Cs2SO4'!H8</f>
        <v>45407.736111111109</v>
      </c>
      <c r="D7" s="18">
        <f t="shared" si="1"/>
        <v>45407.652777777774</v>
      </c>
      <c r="E7" cm="1">
        <f t="array" ref="E7">INDEX(B$1:B$224233, MATCH(D7,A$1:A$224233,1) +0)</f>
        <v>59.241427999999999</v>
      </c>
    </row>
    <row r="8" spans="1:5">
      <c r="A8" s="19">
        <v>45407.488889</v>
      </c>
      <c r="B8" s="16">
        <v>43.913690000000003</v>
      </c>
      <c r="C8" s="17">
        <f>+'Acidic catholyte_Cs2SO4'!H9</f>
        <v>45407.754166666666</v>
      </c>
      <c r="D8" s="18">
        <f t="shared" si="1"/>
        <v>45407.67083333333</v>
      </c>
      <c r="E8" cm="1">
        <f t="array" ref="E8">INDEX(B$1:B$224233, MATCH(D8,A$1:A$224233,1) +0)</f>
        <v>60.264926000000003</v>
      </c>
    </row>
    <row r="9" spans="1:5">
      <c r="A9" s="19">
        <v>45407.489583000002</v>
      </c>
      <c r="B9" s="16">
        <v>43.756410000000002</v>
      </c>
      <c r="C9" s="17">
        <f>+'Acidic catholyte_Cs2SO4'!H10</f>
        <v>45407.771527777775</v>
      </c>
      <c r="D9" s="18">
        <f t="shared" si="1"/>
        <v>45407.688194444439</v>
      </c>
      <c r="E9" cm="1">
        <f t="array" ref="E9">INDEX(B$1:B$224233, MATCH(D9,A$1:A$224233,1) +0)</f>
        <v>61.217196000000001</v>
      </c>
    </row>
    <row r="10" spans="1:5">
      <c r="A10" s="19">
        <v>45407.490277999997</v>
      </c>
      <c r="B10" s="16">
        <v>43.811953000000003</v>
      </c>
      <c r="C10" s="17">
        <f>+'Acidic catholyte_Cs2SO4'!H11</f>
        <v>45407.789583333331</v>
      </c>
      <c r="D10" s="18">
        <f t="shared" si="1"/>
        <v>45407.706249999996</v>
      </c>
      <c r="E10" cm="1">
        <f t="array" ref="E10">INDEX(B$1:B$224233, MATCH(D10,A$1:A$224233,1) +0)</f>
        <v>60.448118999999998</v>
      </c>
    </row>
    <row r="11" spans="1:5">
      <c r="A11" s="19">
        <v>45407.490972</v>
      </c>
      <c r="B11" s="16">
        <v>43.173603</v>
      </c>
      <c r="C11" s="17">
        <f>+'Acidic catholyte_Cs2SO4'!H12</f>
        <v>45407.806944444441</v>
      </c>
      <c r="D11" s="18">
        <f t="shared" si="1"/>
        <v>45407.723611111105</v>
      </c>
      <c r="E11" cm="1">
        <f t="array" ref="E11">INDEX(B$1:B$224233, MATCH(D11,A$1:A$224233,1) +0)</f>
        <v>61.607709</v>
      </c>
    </row>
    <row r="12" spans="1:5">
      <c r="A12" s="19">
        <v>45407.491667000002</v>
      </c>
      <c r="B12" s="16">
        <v>43.350470999999999</v>
      </c>
      <c r="C12" s="17">
        <f>+'Acidic catholyte_Cs2SO4'!H13</f>
        <v>45407.824999999997</v>
      </c>
      <c r="D12" s="18">
        <f t="shared" si="1"/>
        <v>45407.741666666661</v>
      </c>
      <c r="E12" cm="1">
        <f t="array" ref="E12">INDEX(B$1:B$224233, MATCH(D12,A$1:A$224233,1) +0)</f>
        <v>62.709324000000002</v>
      </c>
    </row>
    <row r="13" spans="1:5">
      <c r="A13" s="19">
        <v>45407.492360999997</v>
      </c>
      <c r="B13" s="16">
        <v>43.243313999999998</v>
      </c>
      <c r="C13" s="17">
        <f>+'Acidic catholyte_Cs2SO4'!H14</f>
        <v>45407.842361111114</v>
      </c>
      <c r="D13" s="18">
        <f t="shared" si="1"/>
        <v>45407.759027777778</v>
      </c>
      <c r="E13" cm="1">
        <f t="array" ref="E13">INDEX(B$1:B$224233, MATCH(D13,A$1:A$224233,1) +0)</f>
        <v>61.959667000000003</v>
      </c>
    </row>
    <row r="14" spans="1:5">
      <c r="A14" s="19">
        <v>45407.493055999999</v>
      </c>
      <c r="B14" s="16">
        <v>43.568707000000003</v>
      </c>
      <c r="C14" s="17">
        <f>+'Acidic catholyte_Cs2SO4'!H15</f>
        <v>45407.86041666667</v>
      </c>
      <c r="D14" s="18">
        <f t="shared" si="1"/>
        <v>45407.777083333334</v>
      </c>
      <c r="E14" cm="1">
        <f t="array" ref="E14">INDEX(B$1:B$224233, MATCH(D14,A$1:A$224233,1) +0)</f>
        <v>61.918174999999998</v>
      </c>
    </row>
    <row r="15" spans="1:5">
      <c r="A15" s="19">
        <v>45407.493750000001</v>
      </c>
      <c r="B15" s="16">
        <v>43.710870999999997</v>
      </c>
      <c r="C15" s="17">
        <f>+'Acidic catholyte_Cs2SO4'!H16</f>
        <v>45407.87777777778</v>
      </c>
      <c r="D15" s="18">
        <f t="shared" si="1"/>
        <v>45407.794444444444</v>
      </c>
      <c r="E15" cm="1">
        <f t="array" ref="E15">INDEX(B$1:B$224233, MATCH(D15,A$1:A$224233,1) +0)</f>
        <v>61.697015999999998</v>
      </c>
    </row>
    <row r="16" spans="1:5">
      <c r="A16" s="19">
        <v>45407.494444000004</v>
      </c>
      <c r="B16" s="16">
        <v>43.557695000000002</v>
      </c>
      <c r="C16" s="17">
        <f>+'Acidic catholyte_Cs2SO4'!H17</f>
        <v>45407.895833333336</v>
      </c>
      <c r="D16" s="18">
        <f t="shared" si="1"/>
        <v>45407.8125</v>
      </c>
      <c r="E16" cm="1">
        <f t="array" ref="E16">INDEX(B$1:B$224233, MATCH(D16,A$1:A$224233,1) +0)</f>
        <v>61.367142000000001</v>
      </c>
    </row>
    <row r="17" spans="1:5">
      <c r="A17" s="19">
        <v>45407.495138999999</v>
      </c>
      <c r="B17" s="16">
        <v>42.977333000000002</v>
      </c>
      <c r="C17" s="17">
        <f>+'Acidic catholyte_Cs2SO4'!H18</f>
        <v>45407.919444444444</v>
      </c>
      <c r="D17" s="18">
        <f t="shared" si="1"/>
        <v>45407.836111111108</v>
      </c>
      <c r="E17" cm="1">
        <f t="array" ref="E17">INDEX(B$1:B$224233, MATCH(D17,A$1:A$224233,1) +0)</f>
        <v>62.711154000000001</v>
      </c>
    </row>
    <row r="18" spans="1:5">
      <c r="A18" s="19">
        <v>45407.495833000001</v>
      </c>
      <c r="B18" s="16">
        <v>43.565983000000003</v>
      </c>
      <c r="C18" s="17">
        <f>+'Acidic catholyte_Cs2SO4'!H19</f>
        <v>45407.943055555559</v>
      </c>
      <c r="D18" s="18">
        <f t="shared" si="1"/>
        <v>45407.859722222223</v>
      </c>
      <c r="E18" cm="1">
        <f t="array" ref="E18">INDEX(B$1:B$224233, MATCH(D18,A$1:A$224233,1) +0)</f>
        <v>62.404390999999997</v>
      </c>
    </row>
    <row r="19" spans="1:5">
      <c r="A19" s="19">
        <v>45407.496528000003</v>
      </c>
      <c r="B19" s="16">
        <v>43.621727999999997</v>
      </c>
      <c r="C19" s="17">
        <f>+'Acidic catholyte_Cs2SO4'!H20</f>
        <v>45407.960416666669</v>
      </c>
      <c r="D19" s="18">
        <f t="shared" si="1"/>
        <v>45407.877083333333</v>
      </c>
      <c r="E19" cm="1">
        <f t="array" ref="E19">INDEX(B$1:B$224233, MATCH(D19,A$1:A$224233,1) +0)</f>
        <v>63.703207999999997</v>
      </c>
    </row>
    <row r="20" spans="1:5">
      <c r="A20" s="19">
        <v>45407.497221999998</v>
      </c>
      <c r="B20" s="16">
        <v>43.718125000000001</v>
      </c>
      <c r="C20" s="17">
        <f>+'Acidic catholyte_Cs2SO4'!H21</f>
        <v>45407.98541666667</v>
      </c>
      <c r="D20" s="18">
        <f t="shared" si="1"/>
        <v>45407.902083333334</v>
      </c>
      <c r="E20" cm="1">
        <f t="array" ref="E20">INDEX(B$1:B$224233, MATCH(D20,A$1:A$224233,1) +0)</f>
        <v>63.903598000000002</v>
      </c>
    </row>
    <row r="21" spans="1:5">
      <c r="A21" s="19">
        <v>45407.497917000001</v>
      </c>
      <c r="B21" s="16">
        <v>43.550187999999999</v>
      </c>
      <c r="C21" s="17">
        <f>+'Acidic catholyte_Cs2SO4'!H22</f>
        <v>45408.003472222219</v>
      </c>
      <c r="D21" s="18">
        <f t="shared" si="1"/>
        <v>45407.920138888883</v>
      </c>
      <c r="E21" cm="1">
        <f t="array" ref="E21">INDEX(B$1:B$224233, MATCH(D21,A$1:A$224233,1) +0)</f>
        <v>65.542066000000005</v>
      </c>
    </row>
    <row r="22" spans="1:5">
      <c r="A22" s="19">
        <v>45407.498611000003</v>
      </c>
      <c r="B22" s="16">
        <v>43.237496</v>
      </c>
      <c r="C22" s="17">
        <f>+'Acidic catholyte_Cs2SO4'!H23</f>
        <v>45408.020833333336</v>
      </c>
      <c r="D22" s="18">
        <f t="shared" si="1"/>
        <v>45407.9375</v>
      </c>
      <c r="E22" cm="1">
        <f t="array" ref="E22">INDEX(B$1:B$224233, MATCH(D22,A$1:A$224233,1) +0)</f>
        <v>65.654752999999999</v>
      </c>
    </row>
    <row r="23" spans="1:5">
      <c r="A23" s="19">
        <v>45407.499305999998</v>
      </c>
      <c r="B23" s="16">
        <v>43.594935999999997</v>
      </c>
      <c r="C23" s="17">
        <f>+'Acidic catholyte_Cs2SO4'!H24</f>
        <v>45408.038888888892</v>
      </c>
      <c r="D23" s="18">
        <f t="shared" si="1"/>
        <v>45407.955555555556</v>
      </c>
      <c r="E23" cm="1">
        <f t="array" ref="E23">INDEX(B$1:B$224233, MATCH(D23,A$1:A$224233,1) +0)</f>
        <v>64.707893999999996</v>
      </c>
    </row>
    <row r="24" spans="1:5">
      <c r="A24" s="19">
        <v>45407.5</v>
      </c>
      <c r="B24" s="16">
        <v>44.340774000000003</v>
      </c>
      <c r="C24" s="17">
        <f>+'Acidic catholyte_Cs2SO4'!H25</f>
        <v>45408.056250000001</v>
      </c>
      <c r="D24" s="18">
        <f t="shared" si="1"/>
        <v>45407.972916666666</v>
      </c>
      <c r="E24" cm="1">
        <f t="array" ref="E24">INDEX(B$1:B$224233, MATCH(D24,A$1:A$224233,1) +0)</f>
        <v>65.474711999999997</v>
      </c>
    </row>
    <row r="25" spans="1:5">
      <c r="A25" s="19">
        <v>45407.500694000002</v>
      </c>
      <c r="B25" s="16">
        <v>43.906745000000001</v>
      </c>
      <c r="C25" s="17">
        <f>+'Acidic catholyte_Cs2SO4'!H26</f>
        <v>45408.074305555558</v>
      </c>
      <c r="D25" s="18">
        <f t="shared" si="1"/>
        <v>45407.990972222222</v>
      </c>
      <c r="E25" cm="1">
        <f t="array" ref="E25">INDEX(B$1:B$224233, MATCH(D25,A$1:A$224233,1) +0)</f>
        <v>69.056556999999998</v>
      </c>
    </row>
    <row r="26" spans="1:5">
      <c r="A26" s="19">
        <v>45407.501388999997</v>
      </c>
      <c r="B26" s="16">
        <v>44.878582000000002</v>
      </c>
      <c r="C26" s="17">
        <f>+'Acidic catholyte_Cs2SO4'!H27</f>
        <v>45408.091666666667</v>
      </c>
      <c r="D26" s="18">
        <f t="shared" si="1"/>
        <v>45408.008333333331</v>
      </c>
      <c r="E26" cm="1">
        <f t="array" ref="E26">INDEX(B$1:B$224233, MATCH(D26,A$1:A$224233,1) +0)</f>
        <v>68.090823999999998</v>
      </c>
    </row>
    <row r="27" spans="1:5">
      <c r="A27" s="19">
        <v>45407.502082999999</v>
      </c>
      <c r="B27" s="16">
        <v>44.754821</v>
      </c>
      <c r="C27" s="17">
        <f>+'Acidic catholyte_Cs2SO4'!H28</f>
        <v>45408.109722222223</v>
      </c>
      <c r="D27" s="18">
        <f t="shared" si="1"/>
        <v>45408.026388888888</v>
      </c>
      <c r="E27" cm="1">
        <f t="array" ref="E27">INDEX(B$1:B$224233, MATCH(D27,A$1:A$224233,1) +0)</f>
        <v>68.142066</v>
      </c>
    </row>
    <row r="28" spans="1:5">
      <c r="A28" s="19">
        <v>45407.502778000002</v>
      </c>
      <c r="B28" s="16">
        <v>44.168591999999997</v>
      </c>
      <c r="C28" s="17">
        <f>+'Acidic catholyte_Cs2SO4'!H29</f>
        <v>45408.133333333331</v>
      </c>
      <c r="D28" s="18">
        <f t="shared" si="1"/>
        <v>45408.049999999996</v>
      </c>
      <c r="E28" cm="1">
        <f t="array" ref="E28">INDEX(B$1:B$224233, MATCH(D28,A$1:A$224233,1) +0)</f>
        <v>67.941401999999997</v>
      </c>
    </row>
    <row r="29" spans="1:5">
      <c r="A29" s="19">
        <v>45407.503471999997</v>
      </c>
      <c r="B29" s="16">
        <v>45.555287999999997</v>
      </c>
      <c r="C29" s="17">
        <f>+'Acidic catholyte_Cs2SO4'!H30</f>
        <v>45408.150694444441</v>
      </c>
      <c r="D29" s="18">
        <f t="shared" si="1"/>
        <v>45408.067361111105</v>
      </c>
      <c r="E29" cm="1">
        <f t="array" ref="E29">INDEX(B$1:B$224233, MATCH(D29,A$1:A$224233,1) +0)</f>
        <v>68.330241000000001</v>
      </c>
    </row>
    <row r="30" spans="1:5">
      <c r="A30" s="19">
        <v>45407.504166999999</v>
      </c>
      <c r="B30" s="16">
        <v>45.687474000000002</v>
      </c>
      <c r="C30" s="17">
        <f>+'Acidic catholyte_Cs2SO4'!H31</f>
        <v>45408.168749999997</v>
      </c>
      <c r="D30" s="18">
        <f t="shared" si="1"/>
        <v>45408.085416666661</v>
      </c>
      <c r="E30" cm="1">
        <f t="array" ref="E30">INDEX(B$1:B$224233, MATCH(D30,A$1:A$224233,1) +0)</f>
        <v>77.831242000000003</v>
      </c>
    </row>
    <row r="31" spans="1:5">
      <c r="A31" s="19">
        <v>45407.504861000001</v>
      </c>
      <c r="B31" s="16">
        <v>44.780380999999998</v>
      </c>
      <c r="C31" s="17">
        <f>+'Acidic catholyte_Cs2SO4'!H32</f>
        <v>45408.186111111114</v>
      </c>
      <c r="D31" s="18">
        <f t="shared" si="1"/>
        <v>45408.102777777778</v>
      </c>
      <c r="E31" cm="1">
        <f t="array" ref="E31">INDEX(B$1:B$224233, MATCH(D31,A$1:A$224233,1) +0)</f>
        <v>76.879108000000002</v>
      </c>
    </row>
    <row r="32" spans="1:5">
      <c r="A32" s="19">
        <v>45407.505555999996</v>
      </c>
      <c r="B32" s="16">
        <v>45.898249</v>
      </c>
      <c r="C32" s="17">
        <f>+'Acidic catholyte_Cs2SO4'!H33</f>
        <v>45408.20416666667</v>
      </c>
      <c r="D32" s="18">
        <f t="shared" si="1"/>
        <v>45408.120833333334</v>
      </c>
      <c r="E32" cm="1">
        <f t="array" ref="E32">INDEX(B$1:B$224233, MATCH(D32,A$1:A$224233,1) +0)</f>
        <v>75.181330000000003</v>
      </c>
    </row>
    <row r="33" spans="1:5">
      <c r="A33" s="19">
        <v>45407.506249999999</v>
      </c>
      <c r="B33" s="16">
        <v>45.884687999999997</v>
      </c>
      <c r="C33" s="17">
        <f>+'Acidic catholyte_Cs2SO4'!H34</f>
        <v>45408.229166666664</v>
      </c>
      <c r="D33" s="18">
        <f t="shared" si="1"/>
        <v>45408.145833333328</v>
      </c>
      <c r="E33" cm="1">
        <f t="array" ref="E33">INDEX(B$1:B$224233, MATCH(D33,A$1:A$224233,1) +0)</f>
        <v>76.228549000000001</v>
      </c>
    </row>
    <row r="34" spans="1:5">
      <c r="A34" s="19">
        <v>45407.506944000001</v>
      </c>
      <c r="B34" s="16">
        <v>46.530245999999998</v>
      </c>
      <c r="C34" s="17">
        <f>+'Acidic catholyte_Cs2SO4'!H35</f>
        <v>45408.246527777781</v>
      </c>
      <c r="D34" s="18">
        <f t="shared" si="1"/>
        <v>45408.163194444445</v>
      </c>
      <c r="E34" cm="1">
        <f t="array" ref="E34">INDEX(B$1:B$224233, MATCH(D34,A$1:A$224233,1) +0)</f>
        <v>56.135306</v>
      </c>
    </row>
    <row r="35" spans="1:5">
      <c r="A35" s="19">
        <v>45407.507639000003</v>
      </c>
      <c r="B35" s="16">
        <v>46.461022999999997</v>
      </c>
      <c r="C35" s="17">
        <f>+'Acidic catholyte_Cs2SO4'!H36</f>
        <v>45408.26458333333</v>
      </c>
      <c r="D35" s="18">
        <f t="shared" si="1"/>
        <v>45408.181249999994</v>
      </c>
      <c r="E35" cm="1">
        <f t="array" ref="E35">INDEX(B$1:B$224233, MATCH(D35,A$1:A$224233,1) +0)</f>
        <v>56.400998999999999</v>
      </c>
    </row>
    <row r="36" spans="1:5">
      <c r="A36" s="19">
        <v>45407.508332999998</v>
      </c>
      <c r="B36" s="16">
        <v>47.458790999999998</v>
      </c>
      <c r="C36" s="17">
        <f>+'Acidic catholyte_Cs2SO4'!H37</f>
        <v>45408.281944444447</v>
      </c>
      <c r="D36" s="18">
        <f t="shared" si="1"/>
        <v>45408.198611111111</v>
      </c>
      <c r="E36" cm="1">
        <f t="array" ref="E36">INDEX(B$1:B$224233, MATCH(D36,A$1:A$224233,1) +0)</f>
        <v>57.339427999999998</v>
      </c>
    </row>
    <row r="37" spans="1:5">
      <c r="A37" s="19">
        <v>45407.509028</v>
      </c>
      <c r="B37" s="16">
        <v>46.454827000000002</v>
      </c>
      <c r="C37" s="17">
        <f>+'Acidic catholyte_Cs2SO4'!H38</f>
        <v>45408.311805555553</v>
      </c>
      <c r="D37" s="18">
        <f t="shared" si="1"/>
        <v>45408.228472222218</v>
      </c>
      <c r="E37" cm="1">
        <f t="array" ref="E37">INDEX(B$1:B$224233, MATCH(D37,A$1:A$224233,1) +0)</f>
        <v>58.053172000000004</v>
      </c>
    </row>
    <row r="38" spans="1:5">
      <c r="A38" s="19">
        <v>45407.509722000003</v>
      </c>
      <c r="B38" s="16">
        <v>47.111944000000001</v>
      </c>
      <c r="C38" s="17">
        <f>+'Acidic catholyte_Cs2SO4'!H39</f>
        <v>45408.32916666667</v>
      </c>
      <c r="D38" s="18">
        <f t="shared" si="1"/>
        <v>45408.245833333334</v>
      </c>
      <c r="E38" cm="1">
        <f t="array" ref="E38">INDEX(B$1:B$224233, MATCH(D38,A$1:A$224233,1) +0)</f>
        <v>59.164735999999998</v>
      </c>
    </row>
    <row r="39" spans="1:5">
      <c r="A39" s="19">
        <v>45407.510416999998</v>
      </c>
      <c r="B39" s="16">
        <v>46.993273000000002</v>
      </c>
      <c r="C39" s="17">
        <f>+'Acidic catholyte_Cs2SO4'!H40</f>
        <v>45408.347222222219</v>
      </c>
      <c r="D39" s="18">
        <f t="shared" si="1"/>
        <v>45408.263888888883</v>
      </c>
      <c r="E39" cm="1">
        <f t="array" ref="E39">INDEX(B$1:B$224233, MATCH(D39,A$1:A$224233,1) +0)</f>
        <v>59.029060000000001</v>
      </c>
    </row>
    <row r="40" spans="1:5">
      <c r="A40" s="19">
        <v>45407.511111</v>
      </c>
      <c r="B40" s="16">
        <v>47.171429000000003</v>
      </c>
      <c r="C40" s="17">
        <f>+'Acidic catholyte_Cs2SO4'!H41</f>
        <v>45408.359027777777</v>
      </c>
      <c r="D40" s="18">
        <f t="shared" si="1"/>
        <v>45408.275694444441</v>
      </c>
      <c r="E40" cm="1">
        <f t="array" ref="E40">INDEX(B$1:B$224233, MATCH(D40,A$1:A$224233,1) +0)</f>
        <v>59.625523999999999</v>
      </c>
    </row>
    <row r="41" spans="1:5">
      <c r="A41" s="19">
        <v>45407.511806000002</v>
      </c>
      <c r="B41" s="16">
        <v>47.733168999999997</v>
      </c>
      <c r="C41" s="17">
        <f>+'Acidic catholyte_Cs2SO4'!H42</f>
        <v>45408.370833333334</v>
      </c>
      <c r="D41" s="18">
        <f t="shared" si="1"/>
        <v>45408.287499999999</v>
      </c>
      <c r="E41" cm="1">
        <f t="array" ref="E41">INDEX(B$1:B$224233, MATCH(D41,A$1:A$224233,1) +0)</f>
        <v>59.701971</v>
      </c>
    </row>
    <row r="42" spans="1:5">
      <c r="A42" s="19">
        <v>45407.512499999997</v>
      </c>
      <c r="B42" s="16">
        <v>47.428258</v>
      </c>
      <c r="C42" s="17">
        <f>+'Acidic catholyte_Cs2SO4'!H43</f>
        <v>45408.382638888892</v>
      </c>
      <c r="D42" s="18">
        <f t="shared" si="1"/>
        <v>45408.299305555556</v>
      </c>
      <c r="E42" cm="1">
        <f t="array" ref="E42">INDEX(B$1:B$224233, MATCH(D42,A$1:A$224233,1) +0)</f>
        <v>59.285477</v>
      </c>
    </row>
    <row r="43" spans="1:5">
      <c r="A43" s="19">
        <v>45407.513193999999</v>
      </c>
      <c r="B43" s="16">
        <v>47.954858000000002</v>
      </c>
      <c r="C43" s="17">
        <f>+'Acidic catholyte_Cs2SO4'!H44</f>
        <v>45408.418055555558</v>
      </c>
      <c r="D43" s="18">
        <f t="shared" si="1"/>
        <v>45408.334722222222</v>
      </c>
      <c r="E43" cm="1">
        <f t="array" ref="E43">INDEX(B$1:B$224233, MATCH(D43,A$1:A$224233,1) +0)</f>
        <v>59.948436999999998</v>
      </c>
    </row>
    <row r="44" spans="1:5">
      <c r="A44" s="19">
        <v>45407.513889000002</v>
      </c>
      <c r="B44" s="16">
        <v>48.022193000000001</v>
      </c>
      <c r="C44" s="17">
        <f>+'Acidic catholyte_Cs2SO4'!H45</f>
        <v>45408.454861111109</v>
      </c>
      <c r="D44" s="18">
        <f t="shared" si="1"/>
        <v>45408.371527777774</v>
      </c>
      <c r="E44" cm="1">
        <f t="array" ref="E44">INDEX(B$1:B$224233, MATCH(D44,A$1:A$224233,1) +0)</f>
        <v>13.779826999999999</v>
      </c>
    </row>
    <row r="45" spans="1:5">
      <c r="A45" s="19">
        <v>45407.514582999996</v>
      </c>
      <c r="B45" s="16">
        <v>48.116728999999999</v>
      </c>
      <c r="C45" s="17"/>
      <c r="D45" s="18"/>
    </row>
    <row r="46" spans="1:5">
      <c r="A46" s="19">
        <v>45407.515277999999</v>
      </c>
      <c r="B46" s="16">
        <v>48.301293000000001</v>
      </c>
      <c r="C46" s="17"/>
      <c r="D46" s="18"/>
    </row>
    <row r="47" spans="1:5">
      <c r="A47" s="19">
        <v>45407.515972000001</v>
      </c>
      <c r="B47" s="16">
        <v>48.816932999999999</v>
      </c>
      <c r="C47" s="17"/>
      <c r="D47" s="18"/>
    </row>
    <row r="48" spans="1:5">
      <c r="A48" s="19">
        <v>45407.516667000004</v>
      </c>
      <c r="B48" s="16">
        <v>48.576718999999997</v>
      </c>
      <c r="C48" s="17"/>
      <c r="D48" s="18"/>
    </row>
    <row r="49" spans="1:4">
      <c r="A49" s="19">
        <v>45407.517360999998</v>
      </c>
      <c r="B49" s="16">
        <v>49.190016999999997</v>
      </c>
      <c r="C49" s="17"/>
      <c r="D49" s="18"/>
    </row>
    <row r="50" spans="1:4">
      <c r="A50" s="19">
        <v>45407.518056000001</v>
      </c>
      <c r="B50" s="16">
        <v>48.786023999999998</v>
      </c>
      <c r="C50" s="17"/>
      <c r="D50" s="18"/>
    </row>
    <row r="51" spans="1:4">
      <c r="A51" s="19">
        <v>45407.518750000003</v>
      </c>
      <c r="B51" s="16">
        <v>49.407375000000002</v>
      </c>
      <c r="C51" s="17"/>
      <c r="D51" s="18"/>
    </row>
    <row r="52" spans="1:4">
      <c r="A52" s="19">
        <v>45407.519443999998</v>
      </c>
      <c r="B52" s="16">
        <v>49.268400999999997</v>
      </c>
      <c r="C52" s="17"/>
      <c r="D52" s="18"/>
    </row>
    <row r="53" spans="1:4">
      <c r="A53" s="19">
        <v>45407.520139</v>
      </c>
      <c r="B53" s="16">
        <v>50.351570000000002</v>
      </c>
      <c r="C53" s="17"/>
      <c r="D53" s="18"/>
    </row>
    <row r="54" spans="1:4">
      <c r="A54" s="19">
        <v>45407.520833000002</v>
      </c>
      <c r="B54" s="16">
        <v>50.272511000000002</v>
      </c>
      <c r="C54" s="17"/>
      <c r="D54" s="18"/>
    </row>
    <row r="55" spans="1:4">
      <c r="A55" s="19">
        <v>45407.521527999997</v>
      </c>
      <c r="B55" s="16">
        <v>50.225873999999997</v>
      </c>
      <c r="C55" s="17"/>
      <c r="D55" s="18"/>
    </row>
    <row r="56" spans="1:4">
      <c r="A56" s="19">
        <v>45407.522222</v>
      </c>
      <c r="B56" s="16">
        <v>49.719228000000001</v>
      </c>
      <c r="C56" s="17"/>
      <c r="D56" s="18"/>
    </row>
    <row r="57" spans="1:4">
      <c r="A57" s="19">
        <v>45407.522917000002</v>
      </c>
      <c r="B57" s="16">
        <v>50.481014999999999</v>
      </c>
      <c r="C57" s="17"/>
      <c r="D57" s="18"/>
    </row>
    <row r="58" spans="1:4">
      <c r="A58" s="19">
        <v>45407.523610999997</v>
      </c>
      <c r="B58" s="16">
        <v>50.634265999999997</v>
      </c>
      <c r="C58" s="17"/>
      <c r="D58" s="18"/>
    </row>
    <row r="59" spans="1:4">
      <c r="A59" s="19">
        <v>45407.524305999999</v>
      </c>
      <c r="B59" s="16">
        <v>50.167940999999999</v>
      </c>
      <c r="C59" s="17"/>
      <c r="D59" s="18"/>
    </row>
    <row r="60" spans="1:4">
      <c r="A60" s="19">
        <v>45407.525000000001</v>
      </c>
      <c r="B60" s="16">
        <v>51.465305000000001</v>
      </c>
      <c r="C60" s="17"/>
      <c r="D60" s="18"/>
    </row>
    <row r="61" spans="1:4">
      <c r="A61" s="19">
        <v>45407.525694000004</v>
      </c>
      <c r="B61" s="16">
        <v>51.192692000000001</v>
      </c>
      <c r="C61" s="17"/>
      <c r="D61" s="18"/>
    </row>
    <row r="62" spans="1:4">
      <c r="A62" s="19">
        <v>45407.526388999999</v>
      </c>
      <c r="B62" s="16">
        <v>52.270395999999998</v>
      </c>
      <c r="C62" s="17"/>
      <c r="D62" s="18"/>
    </row>
    <row r="63" spans="1:4">
      <c r="A63" s="19">
        <v>45407.527083000001</v>
      </c>
      <c r="B63" s="16">
        <v>51.384531000000003</v>
      </c>
      <c r="C63" s="17"/>
      <c r="D63" s="18"/>
    </row>
    <row r="64" spans="1:4">
      <c r="A64" s="19">
        <v>45407.527778000003</v>
      </c>
      <c r="B64" s="16">
        <v>51.283513999999997</v>
      </c>
      <c r="C64" s="17"/>
      <c r="D64" s="18"/>
    </row>
    <row r="65" spans="1:4">
      <c r="A65" s="19">
        <v>45407.528471999998</v>
      </c>
      <c r="B65" s="16">
        <v>51.738033000000001</v>
      </c>
      <c r="C65" s="17"/>
      <c r="D65" s="18"/>
    </row>
    <row r="66" spans="1:4">
      <c r="A66" s="19">
        <v>45407.529167000001</v>
      </c>
      <c r="B66" s="16">
        <v>51.802245999999997</v>
      </c>
      <c r="C66" s="17"/>
      <c r="D66" s="18"/>
    </row>
    <row r="67" spans="1:4">
      <c r="A67" s="19">
        <v>45407.529861000003</v>
      </c>
      <c r="B67" s="16">
        <v>50.941549999999999</v>
      </c>
      <c r="C67" s="17"/>
      <c r="D67" s="18"/>
    </row>
    <row r="68" spans="1:4">
      <c r="A68" s="19">
        <v>45407.530555999998</v>
      </c>
      <c r="B68" s="16">
        <v>51.604365000000001</v>
      </c>
      <c r="C68" s="17"/>
      <c r="D68" s="18"/>
    </row>
    <row r="69" spans="1:4">
      <c r="A69" s="19">
        <v>45407.53125</v>
      </c>
      <c r="B69" s="16">
        <v>52.211575000000003</v>
      </c>
      <c r="C69" s="17"/>
      <c r="D69" s="18"/>
    </row>
    <row r="70" spans="1:4">
      <c r="A70" s="19">
        <v>45407.531944000002</v>
      </c>
      <c r="B70" s="16">
        <v>51.803229999999999</v>
      </c>
      <c r="C70" s="17"/>
      <c r="D70" s="18"/>
    </row>
    <row r="71" spans="1:4">
      <c r="A71" s="19">
        <v>45407.532638999997</v>
      </c>
      <c r="B71" s="16">
        <v>52.104832000000002</v>
      </c>
      <c r="C71" s="17"/>
      <c r="D71" s="18"/>
    </row>
    <row r="72" spans="1:4">
      <c r="A72" s="19">
        <v>45407.533332999999</v>
      </c>
      <c r="B72" s="16">
        <v>53.165632000000002</v>
      </c>
      <c r="C72" s="17"/>
      <c r="D72" s="18"/>
    </row>
    <row r="73" spans="1:4">
      <c r="A73" s="19">
        <v>45407.534028000002</v>
      </c>
      <c r="B73" s="16">
        <v>51.887027000000003</v>
      </c>
      <c r="C73" s="17"/>
      <c r="D73" s="18"/>
    </row>
    <row r="74" spans="1:4">
      <c r="A74" s="19">
        <v>45407.534721999997</v>
      </c>
      <c r="B74" s="16">
        <v>52.119585000000001</v>
      </c>
      <c r="C74" s="17"/>
      <c r="D74" s="18"/>
    </row>
    <row r="75" spans="1:4">
      <c r="A75" s="19">
        <v>45407.535416999999</v>
      </c>
      <c r="B75" s="16">
        <v>52.84666</v>
      </c>
      <c r="C75" s="17"/>
      <c r="D75" s="18"/>
    </row>
    <row r="76" spans="1:4">
      <c r="A76" s="19">
        <v>45407.536111000001</v>
      </c>
      <c r="B76" s="16">
        <v>52.580745</v>
      </c>
      <c r="C76" s="17"/>
      <c r="D76" s="18"/>
    </row>
    <row r="77" spans="1:4">
      <c r="A77" s="19">
        <v>45407.536805999996</v>
      </c>
      <c r="B77" s="16">
        <v>52.135038000000002</v>
      </c>
      <c r="C77" s="17"/>
      <c r="D77" s="18"/>
    </row>
    <row r="78" spans="1:4">
      <c r="A78" s="19">
        <v>45407.537499999999</v>
      </c>
      <c r="B78" s="16">
        <v>53.753692999999998</v>
      </c>
      <c r="C78" s="17"/>
      <c r="D78" s="18"/>
    </row>
    <row r="79" spans="1:4">
      <c r="A79" s="19">
        <v>45407.538194000001</v>
      </c>
      <c r="B79" s="16">
        <v>53.220934999999997</v>
      </c>
      <c r="C79" s="17"/>
      <c r="D79" s="18"/>
    </row>
    <row r="80" spans="1:4">
      <c r="A80" s="19">
        <v>45407.538889000003</v>
      </c>
      <c r="B80" s="16">
        <v>53.115792999999996</v>
      </c>
      <c r="C80" s="17"/>
      <c r="D80" s="18"/>
    </row>
    <row r="81" spans="1:4">
      <c r="A81" s="19">
        <v>45407.539582999998</v>
      </c>
      <c r="B81" s="16">
        <v>53.154733999999998</v>
      </c>
      <c r="C81" s="17"/>
      <c r="D81" s="18"/>
    </row>
    <row r="82" spans="1:4">
      <c r="A82" s="19">
        <v>45407.540278</v>
      </c>
      <c r="B82" s="16">
        <v>53.325969999999998</v>
      </c>
      <c r="C82" s="17"/>
      <c r="D82" s="18"/>
    </row>
    <row r="83" spans="1:4">
      <c r="A83" s="19">
        <v>45407.540972000003</v>
      </c>
      <c r="B83" s="16">
        <v>53.430062999999997</v>
      </c>
      <c r="C83" s="17"/>
      <c r="D83" s="18"/>
    </row>
    <row r="84" spans="1:4">
      <c r="A84" s="19">
        <v>45407.541666999998</v>
      </c>
      <c r="B84" s="16">
        <v>53.626922999999998</v>
      </c>
      <c r="C84" s="17"/>
      <c r="D84" s="18"/>
    </row>
    <row r="85" spans="1:4">
      <c r="A85" s="19">
        <v>45407.542361</v>
      </c>
      <c r="B85" s="16">
        <v>54.482430000000001</v>
      </c>
      <c r="C85" s="17"/>
      <c r="D85" s="18"/>
    </row>
    <row r="86" spans="1:4">
      <c r="A86" s="19">
        <v>45407.543056000002</v>
      </c>
      <c r="B86" s="16">
        <v>53.438617000000001</v>
      </c>
      <c r="C86" s="17"/>
      <c r="D86" s="18"/>
    </row>
    <row r="87" spans="1:4">
      <c r="A87" s="19">
        <v>45407.543749999997</v>
      </c>
      <c r="B87" s="16">
        <v>54.284072000000002</v>
      </c>
      <c r="C87" s="17"/>
      <c r="D87" s="18"/>
    </row>
    <row r="88" spans="1:4">
      <c r="A88" s="19">
        <v>45407.544443999999</v>
      </c>
      <c r="B88" s="16">
        <v>54.160130000000002</v>
      </c>
      <c r="C88" s="17"/>
      <c r="D88" s="18"/>
    </row>
    <row r="89" spans="1:4">
      <c r="A89" s="19">
        <v>45407.545139000002</v>
      </c>
      <c r="B89" s="16">
        <v>55.217224999999999</v>
      </c>
      <c r="C89" s="17"/>
      <c r="D89" s="18"/>
    </row>
    <row r="90" spans="1:4">
      <c r="A90" s="19">
        <v>45407.545832999996</v>
      </c>
      <c r="B90" s="16">
        <v>54.351497000000002</v>
      </c>
      <c r="C90" s="17"/>
      <c r="D90" s="18"/>
    </row>
    <row r="91" spans="1:4">
      <c r="A91" s="19">
        <v>45407.546527999999</v>
      </c>
      <c r="B91" s="16">
        <v>53.726678999999997</v>
      </c>
      <c r="C91" s="17"/>
      <c r="D91" s="18"/>
    </row>
    <row r="92" spans="1:4">
      <c r="A92" s="19">
        <v>45407.547222000001</v>
      </c>
      <c r="B92" s="16">
        <v>54.626465000000003</v>
      </c>
      <c r="C92" s="17"/>
      <c r="D92" s="18"/>
    </row>
    <row r="93" spans="1:4">
      <c r="A93" s="19">
        <v>45407.547917000004</v>
      </c>
      <c r="B93" s="16">
        <v>54.979787000000002</v>
      </c>
      <c r="C93" s="17"/>
      <c r="D93" s="18"/>
    </row>
    <row r="94" spans="1:4">
      <c r="A94" s="19">
        <v>45407.548610999998</v>
      </c>
      <c r="B94" s="16">
        <v>54.058075000000002</v>
      </c>
      <c r="C94" s="17"/>
      <c r="D94" s="18"/>
    </row>
    <row r="95" spans="1:4">
      <c r="A95" s="19">
        <v>45407.549306000001</v>
      </c>
      <c r="B95" s="16">
        <v>54.370759</v>
      </c>
      <c r="C95" s="17"/>
      <c r="D95" s="18"/>
    </row>
    <row r="96" spans="1:4">
      <c r="A96" s="19">
        <v>45407.55</v>
      </c>
      <c r="B96" s="16">
        <v>55.451436000000001</v>
      </c>
      <c r="C96" s="17"/>
      <c r="D96" s="18"/>
    </row>
    <row r="97" spans="1:4">
      <c r="A97" s="19">
        <v>45407.550693999998</v>
      </c>
      <c r="B97" s="16">
        <v>54.029097</v>
      </c>
      <c r="C97" s="17"/>
      <c r="D97" s="18"/>
    </row>
    <row r="98" spans="1:4">
      <c r="A98" s="19">
        <v>45407.551389</v>
      </c>
      <c r="B98" s="16">
        <v>54.564884999999997</v>
      </c>
      <c r="C98" s="17"/>
      <c r="D98" s="18"/>
    </row>
    <row r="99" spans="1:4">
      <c r="A99" s="19">
        <v>45407.552083000002</v>
      </c>
      <c r="B99" s="16">
        <v>55.698332999999998</v>
      </c>
      <c r="C99" s="17"/>
      <c r="D99" s="18"/>
    </row>
    <row r="100" spans="1:4">
      <c r="A100" s="19">
        <v>45407.552777999997</v>
      </c>
      <c r="B100" s="16">
        <v>54.991067000000001</v>
      </c>
      <c r="C100" s="17"/>
      <c r="D100" s="18"/>
    </row>
    <row r="101" spans="1:4">
      <c r="A101" s="19">
        <v>45407.553472</v>
      </c>
      <c r="B101" s="16">
        <v>55.070979000000001</v>
      </c>
      <c r="C101" s="17"/>
      <c r="D101" s="18"/>
    </row>
    <row r="102" spans="1:4">
      <c r="A102" s="19">
        <v>45407.554167000002</v>
      </c>
      <c r="B102" s="16">
        <v>55.057037999999999</v>
      </c>
      <c r="C102" s="17"/>
      <c r="D102" s="18"/>
    </row>
    <row r="103" spans="1:4">
      <c r="A103" s="19">
        <v>45407.554860999997</v>
      </c>
      <c r="B103" s="16">
        <v>55.801619000000002</v>
      </c>
      <c r="C103" s="17"/>
      <c r="D103" s="18"/>
    </row>
    <row r="104" spans="1:4">
      <c r="A104" s="19">
        <v>45407.555555999999</v>
      </c>
      <c r="B104" s="16">
        <v>55.321164000000003</v>
      </c>
      <c r="C104" s="17"/>
      <c r="D104" s="18"/>
    </row>
    <row r="105" spans="1:4">
      <c r="A105" s="19">
        <v>45407.556250000001</v>
      </c>
      <c r="B105" s="16">
        <v>55.164667000000001</v>
      </c>
      <c r="C105" s="17"/>
      <c r="D105" s="18"/>
    </row>
    <row r="106" spans="1:4">
      <c r="A106" s="19">
        <v>45407.556944000004</v>
      </c>
      <c r="B106" s="16">
        <v>55.245786000000003</v>
      </c>
      <c r="C106" s="17"/>
      <c r="D106" s="18"/>
    </row>
    <row r="107" spans="1:4">
      <c r="A107" s="19">
        <v>45407.557638999999</v>
      </c>
      <c r="B107" s="16">
        <v>55.337736</v>
      </c>
      <c r="C107" s="17"/>
      <c r="D107" s="18"/>
    </row>
    <row r="108" spans="1:4">
      <c r="A108" s="19">
        <v>45407.558333000001</v>
      </c>
      <c r="B108" s="16">
        <v>54.978327</v>
      </c>
      <c r="C108" s="17"/>
      <c r="D108" s="18"/>
    </row>
    <row r="109" spans="1:4">
      <c r="A109" s="19">
        <v>45407.559028000003</v>
      </c>
      <c r="B109" s="16">
        <v>55.972042999999999</v>
      </c>
      <c r="C109" s="17"/>
      <c r="D109" s="18"/>
    </row>
    <row r="110" spans="1:4">
      <c r="A110" s="19">
        <v>45407.559721999998</v>
      </c>
      <c r="B110" s="16">
        <v>55.740822999999999</v>
      </c>
      <c r="C110" s="17"/>
      <c r="D110" s="18"/>
    </row>
    <row r="111" spans="1:4">
      <c r="A111" s="19">
        <v>45407.560417000001</v>
      </c>
      <c r="B111" s="16">
        <v>55.082155</v>
      </c>
      <c r="C111" s="17"/>
      <c r="D111" s="18"/>
    </row>
    <row r="112" spans="1:4">
      <c r="A112" s="19">
        <v>45407.561111000003</v>
      </c>
      <c r="B112" s="16">
        <v>55.844696999999996</v>
      </c>
      <c r="C112" s="17"/>
      <c r="D112" s="18"/>
    </row>
    <row r="113" spans="1:4">
      <c r="A113" s="19">
        <v>45407.561805999998</v>
      </c>
      <c r="B113" s="16">
        <v>55.803137999999997</v>
      </c>
      <c r="C113" s="17"/>
      <c r="D113" s="18"/>
    </row>
    <row r="114" spans="1:4">
      <c r="A114" s="19">
        <v>45407.5625</v>
      </c>
      <c r="B114" s="16">
        <v>55.811689000000001</v>
      </c>
      <c r="C114" s="17"/>
      <c r="D114" s="18"/>
    </row>
    <row r="115" spans="1:4">
      <c r="A115" s="19">
        <v>45407.563194000002</v>
      </c>
      <c r="B115" s="16">
        <v>56.120244999999997</v>
      </c>
      <c r="C115" s="17"/>
      <c r="D115" s="18"/>
    </row>
    <row r="116" spans="1:4">
      <c r="A116" s="19">
        <v>45407.563888999997</v>
      </c>
      <c r="B116" s="16">
        <v>56.646099</v>
      </c>
      <c r="C116" s="17"/>
      <c r="D116" s="18"/>
    </row>
    <row r="117" spans="1:4">
      <c r="A117" s="19">
        <v>45407.564582999999</v>
      </c>
      <c r="B117" s="16">
        <v>56.569473000000002</v>
      </c>
      <c r="C117" s="17"/>
      <c r="D117" s="18"/>
    </row>
    <row r="118" spans="1:4">
      <c r="A118" s="19">
        <v>45407.565278000002</v>
      </c>
      <c r="B118" s="16">
        <v>54.873306999999997</v>
      </c>
      <c r="C118" s="17"/>
      <c r="D118" s="18"/>
    </row>
    <row r="119" spans="1:4">
      <c r="A119" s="19">
        <v>45407.565971999997</v>
      </c>
      <c r="B119" s="16">
        <v>55.889031000000003</v>
      </c>
      <c r="C119" s="17"/>
      <c r="D119" s="18"/>
    </row>
    <row r="120" spans="1:4">
      <c r="A120" s="19">
        <v>45407.566666999999</v>
      </c>
      <c r="B120" s="16">
        <v>56.727874999999997</v>
      </c>
      <c r="C120" s="17"/>
      <c r="D120" s="18"/>
    </row>
    <row r="121" spans="1:4">
      <c r="A121" s="19">
        <v>45407.567361000001</v>
      </c>
      <c r="B121" s="16">
        <v>56.835394999999998</v>
      </c>
      <c r="C121" s="17"/>
      <c r="D121" s="18"/>
    </row>
    <row r="122" spans="1:4">
      <c r="A122" s="19">
        <v>45407.568055999996</v>
      </c>
      <c r="B122" s="16">
        <v>56.238891000000002</v>
      </c>
      <c r="C122" s="17"/>
      <c r="D122" s="18"/>
    </row>
    <row r="123" spans="1:4">
      <c r="A123" s="19">
        <v>45407.568749999999</v>
      </c>
      <c r="B123" s="16">
        <v>56.062696000000003</v>
      </c>
      <c r="C123" s="17"/>
      <c r="D123" s="18"/>
    </row>
    <row r="124" spans="1:4">
      <c r="A124" s="19">
        <v>45407.569444000001</v>
      </c>
      <c r="B124" s="16">
        <v>56.414904</v>
      </c>
      <c r="C124" s="17"/>
      <c r="D124" s="18"/>
    </row>
    <row r="125" spans="1:4">
      <c r="A125" s="19">
        <v>45407.570139000003</v>
      </c>
      <c r="B125" s="16">
        <v>57.679659999999998</v>
      </c>
      <c r="C125" s="17"/>
      <c r="D125" s="18"/>
    </row>
    <row r="126" spans="1:4">
      <c r="A126" s="19">
        <v>45407.570832999998</v>
      </c>
      <c r="B126" s="16">
        <v>57.448737000000001</v>
      </c>
      <c r="C126" s="17"/>
      <c r="D126" s="18"/>
    </row>
    <row r="127" spans="1:4">
      <c r="A127" s="19">
        <v>45407.571528</v>
      </c>
      <c r="B127" s="16">
        <v>57.217438999999999</v>
      </c>
      <c r="C127" s="17"/>
      <c r="D127" s="18"/>
    </row>
    <row r="128" spans="1:4">
      <c r="A128" s="19">
        <v>45407.572222000003</v>
      </c>
      <c r="B128" s="16">
        <v>56.710805000000001</v>
      </c>
      <c r="C128" s="17"/>
      <c r="D128" s="18"/>
    </row>
    <row r="129" spans="1:4">
      <c r="A129" s="19">
        <v>45407.572916999998</v>
      </c>
      <c r="B129" s="16">
        <v>56.543413000000001</v>
      </c>
      <c r="C129" s="17"/>
      <c r="D129" s="18"/>
    </row>
    <row r="130" spans="1:4">
      <c r="A130" s="19">
        <v>45407.573611</v>
      </c>
      <c r="B130" s="16">
        <v>56.290571</v>
      </c>
      <c r="C130" s="17"/>
      <c r="D130" s="18"/>
    </row>
    <row r="131" spans="1:4">
      <c r="A131" s="19">
        <v>45407.574306000002</v>
      </c>
      <c r="B131" s="16">
        <v>55.94453</v>
      </c>
      <c r="C131" s="17"/>
      <c r="D131" s="18"/>
    </row>
    <row r="132" spans="1:4">
      <c r="A132" s="19">
        <v>45407.574999999997</v>
      </c>
      <c r="B132" s="16">
        <v>56.402237999999997</v>
      </c>
      <c r="C132" s="17"/>
      <c r="D132" s="18"/>
    </row>
    <row r="133" spans="1:4">
      <c r="A133" s="19">
        <v>45407.575693999999</v>
      </c>
      <c r="B133" s="16">
        <v>57.667192999999997</v>
      </c>
      <c r="C133" s="17"/>
      <c r="D133" s="18"/>
    </row>
    <row r="134" spans="1:4">
      <c r="A134" s="19">
        <v>45407.576389000002</v>
      </c>
      <c r="B134" s="16">
        <v>56.182167999999997</v>
      </c>
      <c r="C134" s="17"/>
      <c r="D134" s="18"/>
    </row>
    <row r="135" spans="1:4">
      <c r="A135" s="19">
        <v>45407.577082999996</v>
      </c>
      <c r="B135" s="16">
        <v>57.462671999999998</v>
      </c>
      <c r="C135" s="17"/>
      <c r="D135" s="18"/>
    </row>
    <row r="136" spans="1:4">
      <c r="A136" s="19">
        <v>45407.577777999999</v>
      </c>
      <c r="B136" s="16">
        <v>57.107429000000003</v>
      </c>
      <c r="C136" s="17"/>
      <c r="D136" s="18"/>
    </row>
    <row r="137" spans="1:4">
      <c r="A137" s="19">
        <v>45407.578472000001</v>
      </c>
      <c r="B137" s="16">
        <v>56.549390000000002</v>
      </c>
      <c r="C137" s="17"/>
      <c r="D137" s="18"/>
    </row>
    <row r="138" spans="1:4">
      <c r="A138" s="19">
        <v>45407.579167000004</v>
      </c>
      <c r="B138" s="16">
        <v>57.820247000000002</v>
      </c>
      <c r="C138" s="17"/>
      <c r="D138" s="18"/>
    </row>
    <row r="139" spans="1:4">
      <c r="A139" s="19">
        <v>45407.579860999998</v>
      </c>
      <c r="B139" s="16">
        <v>57.164102999999997</v>
      </c>
      <c r="C139" s="17"/>
      <c r="D139" s="18"/>
    </row>
    <row r="140" spans="1:4">
      <c r="A140" s="19">
        <v>45407.580556000001</v>
      </c>
      <c r="B140" s="16">
        <v>58.318013999999998</v>
      </c>
      <c r="C140" s="17"/>
      <c r="D140" s="18"/>
    </row>
    <row r="141" spans="1:4">
      <c r="A141" s="19">
        <v>45407.581250000003</v>
      </c>
      <c r="B141" s="16">
        <v>57.471967999999997</v>
      </c>
      <c r="C141" s="17"/>
      <c r="D141" s="18"/>
    </row>
    <row r="142" spans="1:4">
      <c r="A142" s="19">
        <v>45407.581943999998</v>
      </c>
      <c r="B142" s="16">
        <v>57.477628000000003</v>
      </c>
      <c r="C142" s="17"/>
      <c r="D142" s="18"/>
    </row>
    <row r="143" spans="1:4">
      <c r="A143" s="19">
        <v>45407.582639</v>
      </c>
      <c r="B143" s="16">
        <v>58.417603999999997</v>
      </c>
      <c r="C143" s="17"/>
      <c r="D143" s="18"/>
    </row>
    <row r="144" spans="1:4">
      <c r="A144" s="19">
        <v>45407.583333000002</v>
      </c>
      <c r="B144" s="16">
        <v>56.947229999999998</v>
      </c>
      <c r="C144" s="17"/>
      <c r="D144" s="18"/>
    </row>
    <row r="145" spans="1:4">
      <c r="A145" s="19">
        <v>45407.584027999997</v>
      </c>
      <c r="B145" s="16">
        <v>58.223095999999998</v>
      </c>
      <c r="C145" s="17"/>
      <c r="D145" s="18"/>
    </row>
    <row r="146" spans="1:4">
      <c r="A146" s="19">
        <v>45407.584722</v>
      </c>
      <c r="B146" s="16">
        <v>57.959904999999999</v>
      </c>
      <c r="C146" s="17"/>
      <c r="D146" s="18"/>
    </row>
    <row r="147" spans="1:4">
      <c r="A147" s="19">
        <v>45407.585417000002</v>
      </c>
      <c r="B147" s="16">
        <v>57.859893</v>
      </c>
      <c r="C147" s="17"/>
      <c r="D147" s="18"/>
    </row>
    <row r="148" spans="1:4">
      <c r="A148" s="19">
        <v>45407.586110999997</v>
      </c>
      <c r="B148" s="16">
        <v>58.136167</v>
      </c>
      <c r="C148" s="17"/>
      <c r="D148" s="18"/>
    </row>
    <row r="149" spans="1:4">
      <c r="A149" s="19">
        <v>45407.586805999999</v>
      </c>
      <c r="B149" s="16">
        <v>57.441614000000001</v>
      </c>
      <c r="C149" s="17"/>
      <c r="D149" s="18"/>
    </row>
    <row r="150" spans="1:4">
      <c r="A150" s="19">
        <v>45407.587500000001</v>
      </c>
      <c r="B150" s="16">
        <v>57.663373999999997</v>
      </c>
      <c r="C150" s="17"/>
      <c r="D150" s="18"/>
    </row>
    <row r="151" spans="1:4">
      <c r="A151" s="19">
        <v>45407.588194000004</v>
      </c>
      <c r="B151" s="16">
        <v>57.639529000000003</v>
      </c>
      <c r="C151" s="17"/>
      <c r="D151" s="18"/>
    </row>
    <row r="152" spans="1:4">
      <c r="A152" s="19">
        <v>45407.588888999999</v>
      </c>
      <c r="B152" s="16">
        <v>58.013826999999999</v>
      </c>
      <c r="C152" s="17"/>
      <c r="D152" s="18"/>
    </row>
    <row r="153" spans="1:4">
      <c r="A153" s="19">
        <v>45407.589583000001</v>
      </c>
      <c r="B153" s="16">
        <v>57.464609000000003</v>
      </c>
      <c r="C153" s="17"/>
      <c r="D153" s="18"/>
    </row>
    <row r="154" spans="1:4">
      <c r="A154" s="19">
        <v>45407.590278000003</v>
      </c>
      <c r="B154" s="16">
        <v>58.027200999999998</v>
      </c>
      <c r="C154" s="17"/>
      <c r="D154" s="18"/>
    </row>
    <row r="155" spans="1:4">
      <c r="A155" s="19">
        <v>45407.590971999998</v>
      </c>
      <c r="B155" s="16">
        <v>58.415706</v>
      </c>
      <c r="C155" s="17"/>
      <c r="D155" s="18"/>
    </row>
    <row r="156" spans="1:4">
      <c r="A156" s="19">
        <v>45407.591667000001</v>
      </c>
      <c r="B156" s="16">
        <v>58.895207999999997</v>
      </c>
      <c r="C156" s="17"/>
      <c r="D156" s="18"/>
    </row>
    <row r="157" spans="1:4">
      <c r="A157" s="19">
        <v>45407.592361000003</v>
      </c>
      <c r="B157" s="16">
        <v>57.162222</v>
      </c>
      <c r="C157" s="17"/>
      <c r="D157" s="18"/>
    </row>
    <row r="158" spans="1:4">
      <c r="A158" s="19">
        <v>45407.593055999998</v>
      </c>
      <c r="B158" s="16">
        <v>58.394077000000003</v>
      </c>
      <c r="C158" s="17"/>
      <c r="D158" s="18"/>
    </row>
    <row r="159" spans="1:4">
      <c r="A159" s="19">
        <v>45407.59375</v>
      </c>
      <c r="B159" s="16">
        <v>56.932428999999999</v>
      </c>
      <c r="C159" s="17"/>
      <c r="D159" s="18"/>
    </row>
    <row r="160" spans="1:4">
      <c r="A160" s="19">
        <v>45407.594444000002</v>
      </c>
      <c r="B160" s="16">
        <v>57.478185000000003</v>
      </c>
      <c r="C160" s="17"/>
      <c r="D160" s="18"/>
    </row>
    <row r="161" spans="1:4">
      <c r="A161" s="19">
        <v>45407.595138999997</v>
      </c>
      <c r="B161" s="16">
        <v>58.379931999999997</v>
      </c>
      <c r="C161" s="17"/>
      <c r="D161" s="18"/>
    </row>
    <row r="162" spans="1:4">
      <c r="A162" s="19">
        <v>45407.595832999999</v>
      </c>
      <c r="B162" s="16">
        <v>57.474646999999997</v>
      </c>
      <c r="C162" s="17"/>
      <c r="D162" s="18"/>
    </row>
    <row r="163" spans="1:4">
      <c r="A163" s="19">
        <v>45407.596528000002</v>
      </c>
      <c r="B163" s="16">
        <v>57.863849000000002</v>
      </c>
      <c r="C163" s="17"/>
      <c r="D163" s="18"/>
    </row>
    <row r="164" spans="1:4">
      <c r="A164" s="19">
        <v>45407.597221999997</v>
      </c>
      <c r="B164" s="16">
        <v>58.832323000000002</v>
      </c>
      <c r="C164" s="17"/>
      <c r="D164" s="18"/>
    </row>
    <row r="165" spans="1:4">
      <c r="A165" s="19">
        <v>45407.597916999999</v>
      </c>
      <c r="B165" s="16">
        <v>57.385106999999998</v>
      </c>
      <c r="C165" s="17"/>
      <c r="D165" s="18"/>
    </row>
    <row r="166" spans="1:4">
      <c r="A166" s="19">
        <v>45407.598611000001</v>
      </c>
      <c r="B166" s="16">
        <v>58.669131</v>
      </c>
      <c r="C166" s="17"/>
      <c r="D166" s="18"/>
    </row>
    <row r="167" spans="1:4">
      <c r="A167" s="19">
        <v>45407.599305999996</v>
      </c>
      <c r="B167" s="16">
        <v>57.860908000000002</v>
      </c>
      <c r="C167" s="17"/>
      <c r="D167" s="18"/>
    </row>
    <row r="168" spans="1:4">
      <c r="A168" s="19">
        <v>45407.6</v>
      </c>
      <c r="B168" s="16">
        <v>58.174686999999999</v>
      </c>
      <c r="C168" s="17"/>
      <c r="D168" s="18"/>
    </row>
    <row r="169" spans="1:4">
      <c r="A169" s="19">
        <v>45407.600694000001</v>
      </c>
      <c r="B169" s="16">
        <v>57.978371000000003</v>
      </c>
      <c r="C169" s="17"/>
      <c r="D169" s="18"/>
    </row>
    <row r="170" spans="1:4">
      <c r="A170" s="19">
        <v>45407.601389000003</v>
      </c>
      <c r="B170" s="16">
        <v>57.586213000000001</v>
      </c>
      <c r="C170" s="17"/>
      <c r="D170" s="18"/>
    </row>
    <row r="171" spans="1:4">
      <c r="A171" s="19">
        <v>45407.602082999998</v>
      </c>
      <c r="B171" s="16">
        <v>58.905864999999999</v>
      </c>
      <c r="C171" s="17"/>
      <c r="D171" s="18"/>
    </row>
    <row r="172" spans="1:4">
      <c r="A172" s="19">
        <v>45407.602778</v>
      </c>
      <c r="B172" s="16">
        <v>57.440426000000002</v>
      </c>
      <c r="C172" s="17"/>
      <c r="D172" s="18"/>
    </row>
    <row r="173" spans="1:4">
      <c r="A173" s="19">
        <v>45407.603472000003</v>
      </c>
      <c r="B173" s="16">
        <v>58.606723000000002</v>
      </c>
      <c r="C173" s="17"/>
      <c r="D173" s="18"/>
    </row>
    <row r="174" spans="1:4">
      <c r="A174" s="19">
        <v>45407.604166999998</v>
      </c>
      <c r="B174" s="16">
        <v>58.189385000000001</v>
      </c>
      <c r="C174" s="17"/>
      <c r="D174" s="18"/>
    </row>
    <row r="175" spans="1:4">
      <c r="A175" s="19">
        <v>45407.604861</v>
      </c>
      <c r="B175" s="16">
        <v>58.408408000000001</v>
      </c>
      <c r="C175" s="17"/>
      <c r="D175" s="18"/>
    </row>
    <row r="176" spans="1:4">
      <c r="A176" s="19">
        <v>45407.605556000002</v>
      </c>
      <c r="B176" s="16">
        <v>58.025350000000003</v>
      </c>
      <c r="C176" s="17"/>
      <c r="D176" s="18"/>
    </row>
    <row r="177" spans="1:4">
      <c r="A177" s="19">
        <v>45407.606249999997</v>
      </c>
      <c r="B177" s="16">
        <v>58.521664999999999</v>
      </c>
      <c r="C177" s="17"/>
      <c r="D177" s="18"/>
    </row>
    <row r="178" spans="1:4">
      <c r="A178" s="19">
        <v>45407.606943999999</v>
      </c>
      <c r="B178" s="16">
        <v>58.331905999999996</v>
      </c>
      <c r="C178" s="17"/>
      <c r="D178" s="18"/>
    </row>
    <row r="179" spans="1:4">
      <c r="A179" s="19">
        <v>45407.607639000002</v>
      </c>
      <c r="B179" s="16">
        <v>58.269626000000002</v>
      </c>
      <c r="C179" s="17"/>
      <c r="D179" s="18"/>
    </row>
    <row r="180" spans="1:4">
      <c r="A180" s="19">
        <v>45407.608332999996</v>
      </c>
      <c r="B180" s="16">
        <v>57.952427999999998</v>
      </c>
      <c r="C180" s="17"/>
      <c r="D180" s="18"/>
    </row>
    <row r="181" spans="1:4">
      <c r="A181" s="19">
        <v>45407.609027999999</v>
      </c>
      <c r="B181" s="16">
        <v>58.771158999999997</v>
      </c>
      <c r="C181" s="17"/>
      <c r="D181" s="18"/>
    </row>
    <row r="182" spans="1:4">
      <c r="A182" s="19">
        <v>45407.609722000001</v>
      </c>
      <c r="B182" s="16">
        <v>58.794722999999998</v>
      </c>
      <c r="C182" s="17"/>
      <c r="D182" s="18"/>
    </row>
    <row r="183" spans="1:4">
      <c r="A183" s="19">
        <v>45407.610417000004</v>
      </c>
      <c r="B183" s="16">
        <v>58.355001000000001</v>
      </c>
      <c r="C183" s="17"/>
      <c r="D183" s="18"/>
    </row>
    <row r="184" spans="1:4">
      <c r="A184" s="19">
        <v>45407.611110999998</v>
      </c>
      <c r="B184" s="16">
        <v>57.950366000000002</v>
      </c>
      <c r="C184" s="17"/>
      <c r="D184" s="18"/>
    </row>
    <row r="185" spans="1:4">
      <c r="A185" s="19">
        <v>45407.611806000001</v>
      </c>
      <c r="B185" s="16">
        <v>58.619540999999998</v>
      </c>
      <c r="C185" s="17"/>
      <c r="D185" s="18"/>
    </row>
    <row r="186" spans="1:4">
      <c r="A186" s="19">
        <v>45407.612500000003</v>
      </c>
      <c r="B186" s="16">
        <v>58.421283000000003</v>
      </c>
      <c r="C186" s="17"/>
      <c r="D186" s="18"/>
    </row>
    <row r="187" spans="1:4">
      <c r="A187" s="19">
        <v>45407.613193999998</v>
      </c>
      <c r="B187" s="16">
        <v>58.900117999999999</v>
      </c>
      <c r="C187" s="17"/>
      <c r="D187" s="18"/>
    </row>
    <row r="188" spans="1:4">
      <c r="A188" s="19">
        <v>45407.613889</v>
      </c>
      <c r="B188" s="16">
        <v>58.904617000000002</v>
      </c>
      <c r="C188" s="17"/>
      <c r="D188" s="18"/>
    </row>
    <row r="189" spans="1:4">
      <c r="A189" s="19">
        <v>45407.614583000002</v>
      </c>
      <c r="B189" s="16">
        <v>59.599426000000001</v>
      </c>
      <c r="C189" s="17"/>
      <c r="D189" s="18"/>
    </row>
    <row r="190" spans="1:4">
      <c r="A190" s="19">
        <v>45407.615277999997</v>
      </c>
      <c r="B190" s="16">
        <v>59.265543999999998</v>
      </c>
      <c r="C190" s="17"/>
      <c r="D190" s="18"/>
    </row>
    <row r="191" spans="1:4">
      <c r="A191" s="19">
        <v>45407.615972</v>
      </c>
      <c r="B191" s="16">
        <v>59.030386999999997</v>
      </c>
      <c r="C191" s="17"/>
      <c r="D191" s="18"/>
    </row>
    <row r="192" spans="1:4">
      <c r="A192" s="19">
        <v>45407.616667000002</v>
      </c>
      <c r="B192" s="16">
        <v>58.009456</v>
      </c>
      <c r="C192" s="17"/>
      <c r="D192" s="18"/>
    </row>
    <row r="193" spans="1:4">
      <c r="A193" s="19">
        <v>45407.617360999997</v>
      </c>
      <c r="B193" s="16">
        <v>59.15305</v>
      </c>
      <c r="C193" s="17"/>
      <c r="D193" s="18"/>
    </row>
    <row r="194" spans="1:4">
      <c r="A194" s="19">
        <v>45407.618055999999</v>
      </c>
      <c r="B194" s="16">
        <v>58.980876000000002</v>
      </c>
      <c r="C194" s="17"/>
      <c r="D194" s="18"/>
    </row>
    <row r="195" spans="1:4">
      <c r="A195" s="19">
        <v>45407.618750000001</v>
      </c>
      <c r="B195" s="16">
        <v>58.593409999999999</v>
      </c>
      <c r="C195" s="17"/>
      <c r="D195" s="18"/>
    </row>
    <row r="196" spans="1:4">
      <c r="A196" s="19">
        <v>45407.619444000004</v>
      </c>
      <c r="B196" s="16">
        <v>58.457478000000002</v>
      </c>
      <c r="C196" s="17"/>
      <c r="D196" s="18"/>
    </row>
    <row r="197" spans="1:4">
      <c r="A197" s="19">
        <v>45407.620138999999</v>
      </c>
      <c r="B197" s="16">
        <v>59.082861000000001</v>
      </c>
      <c r="C197" s="17"/>
      <c r="D197" s="18"/>
    </row>
    <row r="198" spans="1:4">
      <c r="A198" s="19">
        <v>45407.620833000001</v>
      </c>
      <c r="B198" s="16">
        <v>58.842837000000003</v>
      </c>
      <c r="C198" s="17"/>
      <c r="D198" s="18"/>
    </row>
    <row r="199" spans="1:4">
      <c r="A199" s="19">
        <v>45407.621528000003</v>
      </c>
      <c r="B199" s="16">
        <v>59.410752000000002</v>
      </c>
      <c r="C199" s="17"/>
      <c r="D199" s="18"/>
    </row>
    <row r="200" spans="1:4">
      <c r="A200" s="19">
        <v>45407.622221999998</v>
      </c>
      <c r="B200" s="16">
        <v>58.440125000000002</v>
      </c>
      <c r="C200" s="17"/>
      <c r="D200" s="18"/>
    </row>
    <row r="201" spans="1:4">
      <c r="A201" s="19">
        <v>45407.622917000001</v>
      </c>
      <c r="B201" s="16">
        <v>58.459010999999997</v>
      </c>
      <c r="C201" s="17"/>
      <c r="D201" s="18"/>
    </row>
    <row r="202" spans="1:4">
      <c r="A202" s="19">
        <v>45407.623611000003</v>
      </c>
      <c r="B202" s="16">
        <v>59.566225000000003</v>
      </c>
      <c r="C202" s="17"/>
      <c r="D202" s="18"/>
    </row>
    <row r="203" spans="1:4">
      <c r="A203" s="19">
        <v>45407.624305999998</v>
      </c>
      <c r="B203" s="16">
        <v>59.221052</v>
      </c>
      <c r="C203" s="17"/>
      <c r="D203" s="18"/>
    </row>
    <row r="204" spans="1:4">
      <c r="A204" s="19">
        <v>45407.625</v>
      </c>
      <c r="B204" s="16">
        <v>59.232607999999999</v>
      </c>
      <c r="C204" s="17"/>
      <c r="D204" s="18"/>
    </row>
    <row r="205" spans="1:4">
      <c r="A205" s="19">
        <v>45407.625694000002</v>
      </c>
      <c r="B205" s="16">
        <v>59.443686</v>
      </c>
      <c r="C205" s="17"/>
      <c r="D205" s="18"/>
    </row>
    <row r="206" spans="1:4">
      <c r="A206" s="19">
        <v>45407.626388999997</v>
      </c>
      <c r="B206" s="16">
        <v>58.755861000000003</v>
      </c>
      <c r="C206" s="17"/>
      <c r="D206" s="18"/>
    </row>
    <row r="207" spans="1:4">
      <c r="A207" s="19">
        <v>45407.627082999999</v>
      </c>
      <c r="B207" s="16">
        <v>58.887079999999997</v>
      </c>
      <c r="C207" s="17"/>
      <c r="D207" s="18"/>
    </row>
    <row r="208" spans="1:4">
      <c r="A208" s="19">
        <v>45407.627778000002</v>
      </c>
      <c r="B208" s="16">
        <v>59.784646000000002</v>
      </c>
      <c r="C208" s="17"/>
      <c r="D208" s="18"/>
    </row>
    <row r="209" spans="1:4">
      <c r="A209" s="19">
        <v>45407.628471999997</v>
      </c>
      <c r="B209" s="16">
        <v>58.766539999999999</v>
      </c>
      <c r="C209" s="17"/>
      <c r="D209" s="18"/>
    </row>
    <row r="210" spans="1:4">
      <c r="A210" s="19">
        <v>45407.629166999999</v>
      </c>
      <c r="B210" s="16">
        <v>59.399748000000002</v>
      </c>
      <c r="C210" s="17"/>
      <c r="D210" s="18"/>
    </row>
    <row r="211" spans="1:4">
      <c r="A211" s="19">
        <v>45407.629861000001</v>
      </c>
      <c r="B211" s="16">
        <v>58.943649999999998</v>
      </c>
      <c r="C211" s="17"/>
      <c r="D211" s="18"/>
    </row>
    <row r="212" spans="1:4">
      <c r="A212" s="19">
        <v>45407.630555999996</v>
      </c>
      <c r="B212" s="16">
        <v>58.362423</v>
      </c>
      <c r="C212" s="17"/>
      <c r="D212" s="18"/>
    </row>
    <row r="213" spans="1:4">
      <c r="A213" s="19">
        <v>45407.631249999999</v>
      </c>
      <c r="B213" s="16">
        <v>58.662782</v>
      </c>
      <c r="C213" s="17"/>
      <c r="D213" s="18"/>
    </row>
    <row r="214" spans="1:4">
      <c r="A214" s="19">
        <v>45407.631944000001</v>
      </c>
      <c r="B214" s="16">
        <v>58.940913000000002</v>
      </c>
      <c r="C214" s="17"/>
      <c r="D214" s="18"/>
    </row>
    <row r="215" spans="1:4">
      <c r="A215" s="19">
        <v>45407.632639000003</v>
      </c>
      <c r="B215" s="16">
        <v>58.796987000000001</v>
      </c>
      <c r="C215" s="17"/>
      <c r="D215" s="18"/>
    </row>
    <row r="216" spans="1:4">
      <c r="A216" s="19">
        <v>45407.633332999998</v>
      </c>
      <c r="B216" s="16">
        <v>58.810744</v>
      </c>
      <c r="C216" s="17"/>
      <c r="D216" s="18"/>
    </row>
    <row r="217" spans="1:4">
      <c r="A217" s="19">
        <v>45407.634028</v>
      </c>
      <c r="B217" s="16">
        <v>59.547629000000001</v>
      </c>
      <c r="C217" s="17"/>
      <c r="D217" s="18"/>
    </row>
    <row r="218" spans="1:4">
      <c r="A218" s="19">
        <v>45407.634722000003</v>
      </c>
      <c r="B218" s="16">
        <v>59.324401000000002</v>
      </c>
      <c r="C218" s="17"/>
      <c r="D218" s="18"/>
    </row>
    <row r="219" spans="1:4">
      <c r="A219" s="19">
        <v>45407.635416999998</v>
      </c>
      <c r="B219" s="16">
        <v>59.117876000000003</v>
      </c>
      <c r="C219" s="17"/>
      <c r="D219" s="18"/>
    </row>
    <row r="220" spans="1:4">
      <c r="A220" s="19">
        <v>45407.636111</v>
      </c>
      <c r="B220" s="16">
        <v>59.572450000000003</v>
      </c>
      <c r="C220" s="17"/>
      <c r="D220" s="18"/>
    </row>
    <row r="221" spans="1:4">
      <c r="A221" s="19">
        <v>45407.636806000002</v>
      </c>
      <c r="B221" s="16">
        <v>59.339675999999997</v>
      </c>
      <c r="C221" s="17"/>
      <c r="D221" s="18"/>
    </row>
    <row r="222" spans="1:4">
      <c r="A222" s="19">
        <v>45407.637499999997</v>
      </c>
      <c r="B222" s="16">
        <v>59.676352000000001</v>
      </c>
      <c r="C222" s="17"/>
      <c r="D222" s="18"/>
    </row>
    <row r="223" spans="1:4">
      <c r="A223" s="19">
        <v>45407.638193999999</v>
      </c>
      <c r="B223" s="16">
        <v>58.940443000000002</v>
      </c>
      <c r="C223" s="17"/>
      <c r="D223" s="18"/>
    </row>
    <row r="224" spans="1:4">
      <c r="A224" s="19">
        <v>45407.638889000002</v>
      </c>
      <c r="B224" s="16">
        <v>58.318337</v>
      </c>
      <c r="C224" s="17"/>
      <c r="D224" s="18"/>
    </row>
    <row r="225" spans="1:4">
      <c r="A225" s="19">
        <v>45407.639582999996</v>
      </c>
      <c r="B225" s="16">
        <v>59.409545999999999</v>
      </c>
      <c r="C225" s="17"/>
      <c r="D225" s="18"/>
    </row>
    <row r="226" spans="1:4">
      <c r="A226" s="19">
        <v>45407.640277999999</v>
      </c>
      <c r="B226" s="16">
        <v>58.139812999999997</v>
      </c>
      <c r="C226" s="17"/>
      <c r="D226" s="18"/>
    </row>
    <row r="227" spans="1:4">
      <c r="A227" s="19">
        <v>45407.640972000001</v>
      </c>
      <c r="B227" s="16">
        <v>59.799706</v>
      </c>
      <c r="C227" s="17"/>
      <c r="D227" s="18"/>
    </row>
    <row r="228" spans="1:4">
      <c r="A228" s="19">
        <v>45407.641667000004</v>
      </c>
      <c r="B228" s="16">
        <v>59.276103999999997</v>
      </c>
      <c r="C228" s="17"/>
      <c r="D228" s="18"/>
    </row>
    <row r="229" spans="1:4">
      <c r="A229" s="19">
        <v>45407.642360999998</v>
      </c>
      <c r="B229" s="16">
        <v>60.140543999999998</v>
      </c>
      <c r="C229" s="17"/>
      <c r="D229" s="18"/>
    </row>
    <row r="230" spans="1:4">
      <c r="A230" s="19">
        <v>45407.643056000001</v>
      </c>
      <c r="B230" s="16">
        <v>60.001483999999998</v>
      </c>
      <c r="C230" s="17"/>
      <c r="D230" s="18"/>
    </row>
    <row r="231" spans="1:4">
      <c r="A231" s="19">
        <v>45407.643750000003</v>
      </c>
      <c r="B231" s="16">
        <v>58.50103</v>
      </c>
      <c r="C231" s="17"/>
      <c r="D231" s="18"/>
    </row>
    <row r="232" spans="1:4">
      <c r="A232" s="19">
        <v>45407.644443999998</v>
      </c>
      <c r="B232" s="16">
        <v>58.665028999999997</v>
      </c>
      <c r="C232" s="17"/>
      <c r="D232" s="18"/>
    </row>
    <row r="233" spans="1:4">
      <c r="A233" s="19">
        <v>45407.645139</v>
      </c>
      <c r="B233" s="16">
        <v>58.872281999999998</v>
      </c>
      <c r="C233" s="17"/>
      <c r="D233" s="18"/>
    </row>
    <row r="234" spans="1:4">
      <c r="A234" s="19">
        <v>45407.645833000002</v>
      </c>
      <c r="B234" s="16">
        <v>59.788204999999998</v>
      </c>
      <c r="C234" s="17"/>
      <c r="D234" s="18"/>
    </row>
    <row r="235" spans="1:4">
      <c r="A235" s="19">
        <v>45407.646527999997</v>
      </c>
      <c r="B235" s="16">
        <v>58.674093999999997</v>
      </c>
      <c r="C235" s="17"/>
      <c r="D235" s="18"/>
    </row>
    <row r="236" spans="1:4">
      <c r="A236" s="19">
        <v>45407.647222</v>
      </c>
      <c r="B236" s="16">
        <v>59.590007999999997</v>
      </c>
      <c r="C236" s="17"/>
      <c r="D236" s="18"/>
    </row>
    <row r="237" spans="1:4">
      <c r="A237" s="19">
        <v>45407.647917000002</v>
      </c>
      <c r="B237" s="16">
        <v>59.445188999999999</v>
      </c>
      <c r="C237" s="17"/>
      <c r="D237" s="18"/>
    </row>
    <row r="238" spans="1:4">
      <c r="A238" s="19">
        <v>45407.648610999997</v>
      </c>
      <c r="B238" s="16">
        <v>59.712395999999998</v>
      </c>
      <c r="C238" s="17"/>
      <c r="D238" s="18"/>
    </row>
    <row r="239" spans="1:4">
      <c r="A239" s="19">
        <v>45407.649305999999</v>
      </c>
      <c r="B239" s="16">
        <v>59.341836000000001</v>
      </c>
      <c r="C239" s="17"/>
      <c r="D239" s="18"/>
    </row>
    <row r="240" spans="1:4">
      <c r="A240" s="19">
        <v>45407.65</v>
      </c>
      <c r="B240" s="16">
        <v>59.386311999999997</v>
      </c>
      <c r="C240" s="17"/>
      <c r="D240" s="18"/>
    </row>
    <row r="241" spans="1:4">
      <c r="A241" s="19">
        <v>45407.650694000004</v>
      </c>
      <c r="B241" s="16">
        <v>59.844524999999997</v>
      </c>
      <c r="C241" s="17"/>
      <c r="D241" s="18"/>
    </row>
    <row r="242" spans="1:4">
      <c r="A242" s="19">
        <v>45407.651388999999</v>
      </c>
      <c r="B242" s="16">
        <v>59.613366999999997</v>
      </c>
      <c r="C242" s="17"/>
      <c r="D242" s="18"/>
    </row>
    <row r="243" spans="1:4">
      <c r="A243" s="19">
        <v>45407.652083000001</v>
      </c>
      <c r="B243" s="16">
        <v>59.241427999999999</v>
      </c>
      <c r="C243" s="17"/>
      <c r="D243" s="18"/>
    </row>
    <row r="244" spans="1:4">
      <c r="A244" s="19">
        <v>45407.652778000003</v>
      </c>
      <c r="B244" s="16">
        <v>60.495722000000001</v>
      </c>
      <c r="C244" s="17"/>
      <c r="D244" s="18"/>
    </row>
    <row r="245" spans="1:4">
      <c r="A245" s="19">
        <v>45407.653471999998</v>
      </c>
      <c r="B245" s="16">
        <v>60.383080999999997</v>
      </c>
      <c r="C245" s="17"/>
      <c r="D245" s="18"/>
    </row>
    <row r="246" spans="1:4">
      <c r="A246" s="19">
        <v>45407.654167000001</v>
      </c>
      <c r="B246" s="16">
        <v>59.323697000000003</v>
      </c>
      <c r="C246" s="17"/>
      <c r="D246" s="18"/>
    </row>
    <row r="247" spans="1:4">
      <c r="A247" s="19">
        <v>45407.654861000003</v>
      </c>
      <c r="B247" s="16">
        <v>60.213732999999998</v>
      </c>
      <c r="C247" s="17"/>
      <c r="D247" s="18"/>
    </row>
    <row r="248" spans="1:4">
      <c r="A248" s="19">
        <v>45407.655555999998</v>
      </c>
      <c r="B248" s="16">
        <v>59.301893</v>
      </c>
      <c r="C248" s="17"/>
      <c r="D248" s="18"/>
    </row>
    <row r="249" spans="1:4">
      <c r="A249" s="19">
        <v>45407.65625</v>
      </c>
      <c r="B249" s="16">
        <v>60.014544999999998</v>
      </c>
      <c r="C249" s="17"/>
      <c r="D249" s="18"/>
    </row>
    <row r="250" spans="1:4">
      <c r="A250" s="19">
        <v>45407.656944000002</v>
      </c>
      <c r="B250" s="16">
        <v>59.847270000000002</v>
      </c>
      <c r="C250" s="17"/>
      <c r="D250" s="18"/>
    </row>
    <row r="251" spans="1:4">
      <c r="A251" s="19">
        <v>45407.657638999997</v>
      </c>
      <c r="B251" s="16">
        <v>60.043629000000003</v>
      </c>
      <c r="C251" s="17"/>
      <c r="D251" s="18"/>
    </row>
    <row r="252" spans="1:4">
      <c r="A252" s="19">
        <v>45407.658332999999</v>
      </c>
      <c r="B252" s="16">
        <v>60.132159999999999</v>
      </c>
      <c r="C252" s="17"/>
      <c r="D252" s="18"/>
    </row>
    <row r="253" spans="1:4">
      <c r="A253" s="19">
        <v>45407.659028000002</v>
      </c>
      <c r="B253" s="16">
        <v>58.838200000000001</v>
      </c>
      <c r="C253" s="17"/>
      <c r="D253" s="18"/>
    </row>
    <row r="254" spans="1:4">
      <c r="A254" s="19">
        <v>45407.659721999997</v>
      </c>
      <c r="B254" s="16">
        <v>59.908928000000003</v>
      </c>
      <c r="C254" s="17"/>
      <c r="D254" s="18"/>
    </row>
    <row r="255" spans="1:4">
      <c r="A255" s="19">
        <v>45407.660416999999</v>
      </c>
      <c r="B255" s="16">
        <v>59.732545000000002</v>
      </c>
      <c r="C255" s="17"/>
      <c r="D255" s="18"/>
    </row>
    <row r="256" spans="1:4">
      <c r="A256" s="19">
        <v>45407.661111000001</v>
      </c>
      <c r="B256" s="16">
        <v>59.885800000000003</v>
      </c>
      <c r="C256" s="17"/>
      <c r="D256" s="18"/>
    </row>
    <row r="257" spans="1:4">
      <c r="A257" s="19">
        <v>45407.661805999996</v>
      </c>
      <c r="B257" s="16">
        <v>59.797527000000002</v>
      </c>
      <c r="C257" s="17"/>
      <c r="D257" s="18"/>
    </row>
    <row r="258" spans="1:4">
      <c r="A258" s="19">
        <v>45407.662499999999</v>
      </c>
      <c r="B258" s="16">
        <v>59.831859000000001</v>
      </c>
      <c r="C258" s="17"/>
      <c r="D258" s="18"/>
    </row>
    <row r="259" spans="1:4">
      <c r="A259" s="19">
        <v>45407.663194000001</v>
      </c>
      <c r="B259" s="16">
        <v>59.273985000000003</v>
      </c>
      <c r="C259" s="17"/>
      <c r="D259" s="18"/>
    </row>
    <row r="260" spans="1:4">
      <c r="A260" s="19">
        <v>45407.663889000003</v>
      </c>
      <c r="B260" s="16">
        <v>59.174823000000004</v>
      </c>
      <c r="C260" s="17"/>
      <c r="D260" s="18"/>
    </row>
    <row r="261" spans="1:4">
      <c r="A261" s="19">
        <v>45407.664582999998</v>
      </c>
      <c r="B261" s="16">
        <v>60.246088</v>
      </c>
      <c r="C261" s="17"/>
      <c r="D261" s="18"/>
    </row>
    <row r="262" spans="1:4">
      <c r="A262" s="19">
        <v>45407.665278</v>
      </c>
      <c r="B262" s="16">
        <v>59.388143999999997</v>
      </c>
      <c r="C262" s="17"/>
      <c r="D262" s="18"/>
    </row>
    <row r="263" spans="1:4">
      <c r="A263" s="19">
        <v>45407.665972000003</v>
      </c>
      <c r="B263" s="16">
        <v>59.601857000000003</v>
      </c>
      <c r="C263" s="17"/>
      <c r="D263" s="18"/>
    </row>
    <row r="264" spans="1:4">
      <c r="A264" s="19">
        <v>45407.666666999998</v>
      </c>
      <c r="B264" s="16">
        <v>61.069228000000003</v>
      </c>
      <c r="C264" s="17"/>
      <c r="D264" s="18"/>
    </row>
    <row r="265" spans="1:4">
      <c r="A265" s="19">
        <v>45407.667361</v>
      </c>
      <c r="B265" s="16">
        <v>59.268645999999997</v>
      </c>
      <c r="C265" s="17"/>
      <c r="D265" s="18"/>
    </row>
    <row r="266" spans="1:4">
      <c r="A266" s="19">
        <v>45407.668056000002</v>
      </c>
      <c r="B266" s="16">
        <v>60.507126</v>
      </c>
      <c r="C266" s="17"/>
      <c r="D266" s="18"/>
    </row>
    <row r="267" spans="1:4">
      <c r="A267" s="19">
        <v>45407.668749999997</v>
      </c>
      <c r="B267" s="16">
        <v>60.032902999999997</v>
      </c>
      <c r="C267" s="17"/>
      <c r="D267" s="18"/>
    </row>
    <row r="268" spans="1:4">
      <c r="A268" s="19">
        <v>45407.669443999999</v>
      </c>
      <c r="B268" s="16">
        <v>59.57535</v>
      </c>
      <c r="C268" s="17"/>
      <c r="D268" s="18"/>
    </row>
    <row r="269" spans="1:4">
      <c r="A269" s="19">
        <v>45407.670139000002</v>
      </c>
      <c r="B269" s="16">
        <v>60.617525999999998</v>
      </c>
      <c r="C269" s="17"/>
      <c r="D269" s="18"/>
    </row>
    <row r="270" spans="1:4">
      <c r="A270" s="19">
        <v>45407.670832999996</v>
      </c>
      <c r="B270" s="16">
        <v>60.264926000000003</v>
      </c>
      <c r="C270" s="17"/>
      <c r="D270" s="18"/>
    </row>
    <row r="271" spans="1:4">
      <c r="A271" s="19">
        <v>45407.671527999999</v>
      </c>
      <c r="B271" s="16">
        <v>60.222630000000002</v>
      </c>
      <c r="C271" s="17"/>
      <c r="D271" s="18"/>
    </row>
    <row r="272" spans="1:4">
      <c r="A272" s="19">
        <v>45407.672222000001</v>
      </c>
      <c r="B272" s="16">
        <v>60.431609000000002</v>
      </c>
      <c r="C272" s="17"/>
      <c r="D272" s="18"/>
    </row>
    <row r="273" spans="1:4">
      <c r="A273" s="19">
        <v>45407.672917000004</v>
      </c>
      <c r="B273" s="16">
        <v>60.960652000000003</v>
      </c>
      <c r="C273" s="17"/>
      <c r="D273" s="18"/>
    </row>
    <row r="274" spans="1:4">
      <c r="A274" s="19">
        <v>45407.673610999998</v>
      </c>
      <c r="B274" s="16">
        <v>61.106720000000003</v>
      </c>
      <c r="C274" s="17"/>
      <c r="D274" s="18"/>
    </row>
    <row r="275" spans="1:4">
      <c r="A275" s="19">
        <v>45407.674306000001</v>
      </c>
      <c r="B275" s="16">
        <v>60.535257000000001</v>
      </c>
      <c r="C275" s="17"/>
      <c r="D275" s="18"/>
    </row>
    <row r="276" spans="1:4">
      <c r="A276" s="19">
        <v>45407.675000000003</v>
      </c>
      <c r="B276" s="16">
        <v>59.908273000000001</v>
      </c>
      <c r="C276" s="17"/>
      <c r="D276" s="18"/>
    </row>
    <row r="277" spans="1:4">
      <c r="A277" s="19">
        <v>45407.675693999998</v>
      </c>
      <c r="B277" s="16">
        <v>60.621727999999997</v>
      </c>
      <c r="C277" s="17"/>
      <c r="D277" s="18"/>
    </row>
    <row r="278" spans="1:4">
      <c r="A278" s="19">
        <v>45407.676389</v>
      </c>
      <c r="B278" s="16">
        <v>60.884186</v>
      </c>
      <c r="C278" s="17"/>
      <c r="D278" s="18"/>
    </row>
    <row r="279" spans="1:4">
      <c r="A279" s="19">
        <v>45407.677083000002</v>
      </c>
      <c r="B279" s="16">
        <v>60.342269999999999</v>
      </c>
      <c r="C279" s="17"/>
      <c r="D279" s="18"/>
    </row>
    <row r="280" spans="1:4">
      <c r="A280" s="19">
        <v>45407.677777999997</v>
      </c>
      <c r="B280" s="16">
        <v>60.314715999999997</v>
      </c>
      <c r="C280" s="17"/>
      <c r="D280" s="18"/>
    </row>
    <row r="281" spans="1:4">
      <c r="A281" s="19">
        <v>45407.678472</v>
      </c>
      <c r="B281" s="16">
        <v>59.288961</v>
      </c>
      <c r="C281" s="17"/>
      <c r="D281" s="18"/>
    </row>
    <row r="282" spans="1:4">
      <c r="A282" s="19">
        <v>45407.679167000002</v>
      </c>
      <c r="B282" s="16">
        <v>60.463661999999999</v>
      </c>
      <c r="C282" s="17"/>
      <c r="D282" s="18"/>
    </row>
    <row r="283" spans="1:4">
      <c r="A283" s="19">
        <v>45407.679860999997</v>
      </c>
      <c r="B283" s="16">
        <v>59.724766000000002</v>
      </c>
      <c r="C283" s="17"/>
      <c r="D283" s="18"/>
    </row>
    <row r="284" spans="1:4">
      <c r="A284" s="19">
        <v>45407.680555999999</v>
      </c>
      <c r="B284" s="16">
        <v>59.748238000000001</v>
      </c>
      <c r="C284" s="17"/>
      <c r="D284" s="18"/>
    </row>
    <row r="285" spans="1:4">
      <c r="A285" s="19">
        <v>45407.681250000001</v>
      </c>
      <c r="B285" s="16">
        <v>59.301837999999996</v>
      </c>
      <c r="C285" s="17"/>
      <c r="D285" s="18"/>
    </row>
    <row r="286" spans="1:4">
      <c r="A286" s="19">
        <v>45407.681944000004</v>
      </c>
      <c r="B286" s="16">
        <v>62.006188999999999</v>
      </c>
      <c r="C286" s="17"/>
      <c r="D286" s="18"/>
    </row>
    <row r="287" spans="1:4">
      <c r="A287" s="19">
        <v>45407.682638999999</v>
      </c>
      <c r="B287" s="16">
        <v>60.170684000000001</v>
      </c>
      <c r="C287" s="17"/>
      <c r="D287" s="18"/>
    </row>
    <row r="288" spans="1:4">
      <c r="A288" s="19">
        <v>45407.683333000001</v>
      </c>
      <c r="B288" s="16">
        <v>60.625044000000003</v>
      </c>
      <c r="C288" s="17"/>
      <c r="D288" s="18"/>
    </row>
    <row r="289" spans="1:4">
      <c r="A289" s="19">
        <v>45407.684028000003</v>
      </c>
      <c r="B289" s="16">
        <v>60.453265999999999</v>
      </c>
      <c r="C289" s="17"/>
      <c r="D289" s="18"/>
    </row>
    <row r="290" spans="1:4">
      <c r="A290" s="19">
        <v>45407.684721999998</v>
      </c>
      <c r="B290" s="16">
        <v>60.363396999999999</v>
      </c>
      <c r="C290" s="17"/>
      <c r="D290" s="18"/>
    </row>
    <row r="291" spans="1:4">
      <c r="A291" s="19">
        <v>45407.685417000001</v>
      </c>
      <c r="B291" s="16">
        <v>60.955579</v>
      </c>
      <c r="C291" s="17"/>
      <c r="D291" s="18"/>
    </row>
    <row r="292" spans="1:4">
      <c r="A292" s="19">
        <v>45407.686111000003</v>
      </c>
      <c r="B292" s="16">
        <v>61.340694999999997</v>
      </c>
      <c r="C292" s="17"/>
      <c r="D292" s="18"/>
    </row>
    <row r="293" spans="1:4">
      <c r="A293" s="19">
        <v>45407.686805999998</v>
      </c>
      <c r="B293" s="16">
        <v>60.636657999999997</v>
      </c>
      <c r="C293" s="17"/>
      <c r="D293" s="18"/>
    </row>
    <row r="294" spans="1:4">
      <c r="A294" s="19">
        <v>45407.6875</v>
      </c>
      <c r="B294" s="16">
        <v>61.385238999999999</v>
      </c>
      <c r="C294" s="17"/>
      <c r="D294" s="18"/>
    </row>
    <row r="295" spans="1:4">
      <c r="A295" s="19">
        <v>45407.688194000002</v>
      </c>
      <c r="B295" s="16">
        <v>61.217196000000001</v>
      </c>
      <c r="C295" s="17"/>
      <c r="D295" s="18"/>
    </row>
    <row r="296" spans="1:4">
      <c r="A296" s="19">
        <v>45407.688888999997</v>
      </c>
      <c r="B296" s="16">
        <v>59.890555999999997</v>
      </c>
      <c r="C296" s="17"/>
      <c r="D296" s="18"/>
    </row>
    <row r="297" spans="1:4">
      <c r="A297" s="19">
        <v>45407.689582999999</v>
      </c>
      <c r="B297" s="16">
        <v>60.549128000000003</v>
      </c>
      <c r="C297" s="17"/>
      <c r="D297" s="18"/>
    </row>
    <row r="298" spans="1:4">
      <c r="A298" s="19">
        <v>45407.690278000002</v>
      </c>
      <c r="B298" s="16">
        <v>60.205435000000001</v>
      </c>
      <c r="C298" s="17"/>
      <c r="D298" s="18"/>
    </row>
    <row r="299" spans="1:4">
      <c r="A299" s="19">
        <v>45407.690971999997</v>
      </c>
      <c r="B299" s="16">
        <v>60.249423999999998</v>
      </c>
      <c r="C299" s="17"/>
      <c r="D299" s="18"/>
    </row>
    <row r="300" spans="1:4">
      <c r="A300" s="19">
        <v>45407.691666999999</v>
      </c>
      <c r="B300" s="16">
        <v>60.204757999999998</v>
      </c>
      <c r="C300" s="17"/>
      <c r="D300" s="18"/>
    </row>
    <row r="301" spans="1:4">
      <c r="A301" s="19">
        <v>45407.692361000001</v>
      </c>
      <c r="B301" s="16">
        <v>59.893374000000001</v>
      </c>
      <c r="C301" s="17"/>
      <c r="D301" s="18"/>
    </row>
    <row r="302" spans="1:4">
      <c r="A302" s="19">
        <v>45407.693055999996</v>
      </c>
      <c r="B302" s="16">
        <v>60.411034999999998</v>
      </c>
      <c r="C302" s="17"/>
      <c r="D302" s="18"/>
    </row>
    <row r="303" spans="1:4">
      <c r="A303" s="19">
        <v>45407.693749999999</v>
      </c>
      <c r="B303" s="16">
        <v>61.018852000000003</v>
      </c>
      <c r="C303" s="17"/>
      <c r="D303" s="18"/>
    </row>
    <row r="304" spans="1:4">
      <c r="A304" s="19">
        <v>45407.694444000001</v>
      </c>
      <c r="B304" s="16">
        <v>61.784025</v>
      </c>
      <c r="C304" s="17"/>
      <c r="D304" s="18"/>
    </row>
    <row r="305" spans="1:4">
      <c r="A305" s="19">
        <v>45407.695139000003</v>
      </c>
      <c r="B305" s="16">
        <v>60.808287999999997</v>
      </c>
      <c r="C305" s="17"/>
      <c r="D305" s="18"/>
    </row>
    <row r="306" spans="1:4">
      <c r="A306" s="19">
        <v>45407.695832999998</v>
      </c>
      <c r="B306" s="16">
        <v>60.964551999999998</v>
      </c>
      <c r="C306" s="17"/>
      <c r="D306" s="18"/>
    </row>
    <row r="307" spans="1:4">
      <c r="A307" s="19">
        <v>45407.696528</v>
      </c>
      <c r="B307" s="16">
        <v>60.418748999999998</v>
      </c>
      <c r="C307" s="17"/>
      <c r="D307" s="18"/>
    </row>
    <row r="308" spans="1:4">
      <c r="A308" s="19">
        <v>45407.697222000003</v>
      </c>
      <c r="B308" s="16">
        <v>60.165087999999997</v>
      </c>
      <c r="C308" s="17"/>
      <c r="D308" s="18"/>
    </row>
    <row r="309" spans="1:4">
      <c r="A309" s="19">
        <v>45407.697916999998</v>
      </c>
      <c r="B309" s="16">
        <v>60.558771</v>
      </c>
      <c r="C309" s="17"/>
      <c r="D309" s="18"/>
    </row>
    <row r="310" spans="1:4">
      <c r="A310" s="19">
        <v>45407.698611</v>
      </c>
      <c r="B310" s="16">
        <v>59.962564999999998</v>
      </c>
      <c r="C310" s="17"/>
      <c r="D310" s="18"/>
    </row>
    <row r="311" spans="1:4">
      <c r="A311" s="19">
        <v>45407.699306000002</v>
      </c>
      <c r="B311" s="16">
        <v>60.829540000000001</v>
      </c>
      <c r="C311" s="17"/>
      <c r="D311" s="18"/>
    </row>
    <row r="312" spans="1:4">
      <c r="A312" s="19">
        <v>45407.7</v>
      </c>
      <c r="B312" s="16">
        <v>60.293531999999999</v>
      </c>
      <c r="C312" s="17"/>
      <c r="D312" s="18"/>
    </row>
    <row r="313" spans="1:4">
      <c r="A313" s="19">
        <v>45407.700693999999</v>
      </c>
      <c r="B313" s="16">
        <v>61.469751000000002</v>
      </c>
      <c r="C313" s="17"/>
      <c r="D313" s="18"/>
    </row>
    <row r="314" spans="1:4">
      <c r="A314" s="19">
        <v>45407.701389000002</v>
      </c>
      <c r="B314" s="16">
        <v>60.462147999999999</v>
      </c>
      <c r="C314" s="17"/>
      <c r="D314" s="18"/>
    </row>
    <row r="315" spans="1:4">
      <c r="A315" s="19">
        <v>45407.702082999996</v>
      </c>
      <c r="B315" s="16">
        <v>60.959826</v>
      </c>
      <c r="C315" s="17"/>
      <c r="D315" s="18"/>
    </row>
    <row r="316" spans="1:4">
      <c r="A316" s="19">
        <v>45407.702777999999</v>
      </c>
      <c r="B316" s="16">
        <v>62.267198</v>
      </c>
      <c r="C316" s="17"/>
      <c r="D316" s="18"/>
    </row>
    <row r="317" spans="1:4">
      <c r="A317" s="19">
        <v>45407.703472000001</v>
      </c>
      <c r="B317" s="16">
        <v>62.210275000000003</v>
      </c>
      <c r="C317" s="17"/>
      <c r="D317" s="18"/>
    </row>
    <row r="318" spans="1:4">
      <c r="A318" s="19">
        <v>45407.704167000004</v>
      </c>
      <c r="B318" s="16">
        <v>60.156283000000002</v>
      </c>
      <c r="C318" s="17"/>
      <c r="D318" s="18"/>
    </row>
    <row r="319" spans="1:4">
      <c r="A319" s="19">
        <v>45407.704860999998</v>
      </c>
      <c r="B319" s="16">
        <v>60.759745000000002</v>
      </c>
      <c r="C319" s="17"/>
      <c r="D319" s="18"/>
    </row>
    <row r="320" spans="1:4">
      <c r="A320" s="19">
        <v>45407.705556000001</v>
      </c>
      <c r="B320" s="16">
        <v>60.448118999999998</v>
      </c>
      <c r="C320" s="17"/>
      <c r="D320" s="18"/>
    </row>
    <row r="321" spans="1:2">
      <c r="A321" s="19">
        <v>45407.706250000003</v>
      </c>
      <c r="B321" s="16">
        <v>61.428370999999999</v>
      </c>
    </row>
    <row r="322" spans="1:2">
      <c r="A322" s="19">
        <v>45407.706943999998</v>
      </c>
      <c r="B322" s="16">
        <v>60.547637999999999</v>
      </c>
    </row>
    <row r="323" spans="1:2">
      <c r="A323" s="19">
        <v>45407.707639</v>
      </c>
      <c r="B323" s="16">
        <v>61.376897999999997</v>
      </c>
    </row>
    <row r="324" spans="1:2">
      <c r="A324" s="19">
        <v>45407.708333000002</v>
      </c>
      <c r="B324" s="16">
        <v>61.230614000000003</v>
      </c>
    </row>
    <row r="325" spans="1:2">
      <c r="A325" s="19">
        <v>45407.709027999997</v>
      </c>
      <c r="B325" s="16">
        <v>61.053314</v>
      </c>
    </row>
    <row r="326" spans="1:2">
      <c r="A326" s="19">
        <v>45407.709722</v>
      </c>
      <c r="B326" s="16">
        <v>60.255105</v>
      </c>
    </row>
    <row r="327" spans="1:2">
      <c r="A327" s="19">
        <v>45407.710417000002</v>
      </c>
      <c r="B327" s="16">
        <v>61.295344999999998</v>
      </c>
    </row>
    <row r="328" spans="1:2">
      <c r="A328" s="19">
        <v>45407.711110999997</v>
      </c>
      <c r="B328" s="16">
        <v>60.778837000000003</v>
      </c>
    </row>
    <row r="329" spans="1:2">
      <c r="A329" s="19">
        <v>45407.711805999999</v>
      </c>
      <c r="B329" s="16">
        <v>60.554622999999999</v>
      </c>
    </row>
    <row r="330" spans="1:2">
      <c r="A330" s="19">
        <v>45407.712500000001</v>
      </c>
      <c r="B330" s="16">
        <v>61.359022000000003</v>
      </c>
    </row>
    <row r="331" spans="1:2">
      <c r="A331" s="19">
        <v>45407.713194000004</v>
      </c>
      <c r="B331" s="16">
        <v>60.406962999999998</v>
      </c>
    </row>
    <row r="332" spans="1:2">
      <c r="A332" s="19">
        <v>45407.713888999999</v>
      </c>
      <c r="B332" s="16">
        <v>61.184739</v>
      </c>
    </row>
    <row r="333" spans="1:2">
      <c r="A333" s="19">
        <v>45407.714583000001</v>
      </c>
      <c r="B333" s="16">
        <v>61.306007999999999</v>
      </c>
    </row>
    <row r="334" spans="1:2">
      <c r="A334" s="19">
        <v>45407.715278000003</v>
      </c>
      <c r="B334" s="16">
        <v>60.028494000000002</v>
      </c>
    </row>
    <row r="335" spans="1:2">
      <c r="A335" s="19">
        <v>45407.715971999998</v>
      </c>
      <c r="B335" s="16">
        <v>60.180008999999998</v>
      </c>
    </row>
    <row r="336" spans="1:2">
      <c r="A336" s="19">
        <v>45407.716667000001</v>
      </c>
      <c r="B336" s="16">
        <v>59.909002999999998</v>
      </c>
    </row>
    <row r="337" spans="1:2">
      <c r="A337" s="19">
        <v>45407.717361000003</v>
      </c>
      <c r="B337" s="16">
        <v>60.465015000000001</v>
      </c>
    </row>
    <row r="338" spans="1:2">
      <c r="A338" s="19">
        <v>45407.718055999998</v>
      </c>
      <c r="B338" s="16">
        <v>61.439518999999997</v>
      </c>
    </row>
    <row r="339" spans="1:2">
      <c r="A339" s="19">
        <v>45407.71875</v>
      </c>
      <c r="B339" s="16">
        <v>60.096195000000002</v>
      </c>
    </row>
    <row r="340" spans="1:2">
      <c r="A340" s="19">
        <v>45407.719444000002</v>
      </c>
      <c r="B340" s="16">
        <v>60.563516999999997</v>
      </c>
    </row>
    <row r="341" spans="1:2">
      <c r="A341" s="19">
        <v>45407.720138999997</v>
      </c>
      <c r="B341" s="16">
        <v>61.820853999999997</v>
      </c>
    </row>
    <row r="342" spans="1:2">
      <c r="A342" s="19">
        <v>45407.720832999999</v>
      </c>
      <c r="B342" s="16">
        <v>60.099733000000001</v>
      </c>
    </row>
    <row r="343" spans="1:2">
      <c r="A343" s="19">
        <v>45407.721528000002</v>
      </c>
      <c r="B343" s="16">
        <v>61.82329</v>
      </c>
    </row>
    <row r="344" spans="1:2">
      <c r="A344" s="19">
        <v>45407.722221999997</v>
      </c>
      <c r="B344" s="16">
        <v>60.960667000000001</v>
      </c>
    </row>
    <row r="345" spans="1:2">
      <c r="A345" s="19">
        <v>45407.722916999999</v>
      </c>
      <c r="B345" s="16">
        <v>60.781193999999999</v>
      </c>
    </row>
    <row r="346" spans="1:2">
      <c r="A346" s="19">
        <v>45407.723611000001</v>
      </c>
      <c r="B346" s="16">
        <v>61.607709</v>
      </c>
    </row>
    <row r="347" spans="1:2">
      <c r="A347" s="19">
        <v>45407.724305999996</v>
      </c>
      <c r="B347" s="16">
        <v>61.236257999999999</v>
      </c>
    </row>
    <row r="348" spans="1:2">
      <c r="A348" s="19">
        <v>45407.724999999999</v>
      </c>
      <c r="B348" s="16">
        <v>60.452261</v>
      </c>
    </row>
    <row r="349" spans="1:2">
      <c r="A349" s="19">
        <v>45407.725694000001</v>
      </c>
      <c r="B349" s="16">
        <v>61.741764000000003</v>
      </c>
    </row>
    <row r="350" spans="1:2">
      <c r="A350" s="19">
        <v>45407.726389000003</v>
      </c>
      <c r="B350" s="16">
        <v>61.236507000000003</v>
      </c>
    </row>
    <row r="351" spans="1:2">
      <c r="A351" s="19">
        <v>45407.727082999998</v>
      </c>
      <c r="B351" s="16">
        <v>60.954529000000001</v>
      </c>
    </row>
    <row r="352" spans="1:2">
      <c r="A352" s="19">
        <v>45407.727778</v>
      </c>
      <c r="B352" s="16">
        <v>61.088129000000002</v>
      </c>
    </row>
    <row r="353" spans="1:2">
      <c r="A353" s="19">
        <v>45407.728472000003</v>
      </c>
      <c r="B353" s="16">
        <v>60.238877000000002</v>
      </c>
    </row>
    <row r="354" spans="1:2">
      <c r="A354" s="19">
        <v>45407.729166999998</v>
      </c>
      <c r="B354" s="16">
        <v>60.781210000000002</v>
      </c>
    </row>
    <row r="355" spans="1:2">
      <c r="A355" s="19">
        <v>45407.729861</v>
      </c>
      <c r="B355" s="16">
        <v>61.840127000000003</v>
      </c>
    </row>
    <row r="356" spans="1:2">
      <c r="A356" s="19">
        <v>45407.730556000002</v>
      </c>
      <c r="B356" s="16">
        <v>61.668667999999997</v>
      </c>
    </row>
    <row r="357" spans="1:2">
      <c r="A357" s="19">
        <v>45407.731249999997</v>
      </c>
      <c r="B357" s="16">
        <v>61.482007000000003</v>
      </c>
    </row>
    <row r="358" spans="1:2">
      <c r="A358" s="19">
        <v>45407.731943999999</v>
      </c>
      <c r="B358" s="16">
        <v>61.770637000000001</v>
      </c>
    </row>
    <row r="359" spans="1:2">
      <c r="A359" s="19">
        <v>45407.732639000002</v>
      </c>
      <c r="B359" s="16">
        <v>61.002395</v>
      </c>
    </row>
    <row r="360" spans="1:2">
      <c r="A360" s="19">
        <v>45407.733332999996</v>
      </c>
      <c r="B360" s="16">
        <v>62.230474999999998</v>
      </c>
    </row>
    <row r="361" spans="1:2">
      <c r="A361" s="19">
        <v>45407.734027999999</v>
      </c>
      <c r="B361" s="16">
        <v>60.737997999999997</v>
      </c>
    </row>
    <row r="362" spans="1:2">
      <c r="A362" s="19">
        <v>45407.734722000001</v>
      </c>
      <c r="B362" s="16">
        <v>60.143425000000001</v>
      </c>
    </row>
    <row r="363" spans="1:2">
      <c r="A363" s="19">
        <v>45407.735417000004</v>
      </c>
      <c r="B363" s="16">
        <v>61.917592999999997</v>
      </c>
    </row>
    <row r="364" spans="1:2">
      <c r="A364" s="19">
        <v>45407.736110999998</v>
      </c>
      <c r="B364" s="16">
        <v>61.473764000000003</v>
      </c>
    </row>
    <row r="365" spans="1:2">
      <c r="A365" s="19">
        <v>45407.736806000001</v>
      </c>
      <c r="B365" s="16">
        <v>61.293835000000001</v>
      </c>
    </row>
    <row r="366" spans="1:2">
      <c r="A366" s="19">
        <v>45407.737500000003</v>
      </c>
      <c r="B366" s="16">
        <v>61.355474999999998</v>
      </c>
    </row>
    <row r="367" spans="1:2">
      <c r="A367" s="19">
        <v>45407.738193999998</v>
      </c>
      <c r="B367" s="16">
        <v>61.664067000000003</v>
      </c>
    </row>
    <row r="368" spans="1:2">
      <c r="A368" s="19">
        <v>45407.738889</v>
      </c>
      <c r="B368" s="16">
        <v>61.374907999999998</v>
      </c>
    </row>
    <row r="369" spans="1:2">
      <c r="A369" s="19">
        <v>45407.739583000002</v>
      </c>
      <c r="B369" s="16">
        <v>62.307803999999997</v>
      </c>
    </row>
    <row r="370" spans="1:2">
      <c r="A370" s="19">
        <v>45407.740277999997</v>
      </c>
      <c r="B370" s="16">
        <v>61.373080999999999</v>
      </c>
    </row>
    <row r="371" spans="1:2">
      <c r="A371" s="19">
        <v>45407.740972</v>
      </c>
      <c r="B371" s="16">
        <v>62.709324000000002</v>
      </c>
    </row>
    <row r="372" spans="1:2">
      <c r="A372" s="19">
        <v>45407.741667000002</v>
      </c>
      <c r="B372" s="16">
        <v>61.717235000000002</v>
      </c>
    </row>
    <row r="373" spans="1:2">
      <c r="A373" s="19">
        <v>45407.742360999997</v>
      </c>
      <c r="B373" s="16">
        <v>62.028387000000002</v>
      </c>
    </row>
    <row r="374" spans="1:2">
      <c r="A374" s="19">
        <v>45407.743055999999</v>
      </c>
      <c r="B374" s="16">
        <v>61.443410999999998</v>
      </c>
    </row>
    <row r="375" spans="1:2">
      <c r="A375" s="19">
        <v>45407.743750000001</v>
      </c>
      <c r="B375" s="16">
        <v>62.698388999999999</v>
      </c>
    </row>
    <row r="376" spans="1:2">
      <c r="A376" s="19">
        <v>45407.744444000004</v>
      </c>
      <c r="B376" s="16">
        <v>62.166527000000002</v>
      </c>
    </row>
    <row r="377" spans="1:2">
      <c r="A377" s="19">
        <v>45407.745138999999</v>
      </c>
      <c r="B377" s="16">
        <v>61.486145</v>
      </c>
    </row>
    <row r="378" spans="1:2">
      <c r="A378" s="19">
        <v>45407.745833000001</v>
      </c>
      <c r="B378" s="16">
        <v>61.456088000000001</v>
      </c>
    </row>
    <row r="379" spans="1:2">
      <c r="A379" s="19">
        <v>45407.746528000003</v>
      </c>
      <c r="B379" s="16">
        <v>62.315454000000003</v>
      </c>
    </row>
    <row r="380" spans="1:2">
      <c r="A380" s="19">
        <v>45407.747221999998</v>
      </c>
      <c r="B380" s="16">
        <v>62.114375000000003</v>
      </c>
    </row>
    <row r="381" spans="1:2">
      <c r="A381" s="19">
        <v>45407.747917000001</v>
      </c>
      <c r="B381" s="16">
        <v>62.202451000000003</v>
      </c>
    </row>
    <row r="382" spans="1:2">
      <c r="A382" s="19">
        <v>45407.748611000003</v>
      </c>
      <c r="B382" s="16">
        <v>62.373995999999998</v>
      </c>
    </row>
    <row r="383" spans="1:2">
      <c r="A383" s="19">
        <v>45407.749305999998</v>
      </c>
      <c r="B383" s="16">
        <v>62.979984000000002</v>
      </c>
    </row>
    <row r="384" spans="1:2">
      <c r="A384" s="19">
        <v>45407.75</v>
      </c>
      <c r="B384" s="16">
        <v>62.269291000000003</v>
      </c>
    </row>
    <row r="385" spans="1:2">
      <c r="A385" s="19">
        <v>45407.750694000002</v>
      </c>
      <c r="B385" s="16">
        <v>61.297908999999997</v>
      </c>
    </row>
    <row r="386" spans="1:2">
      <c r="A386" s="19">
        <v>45407.751388999997</v>
      </c>
      <c r="B386" s="16">
        <v>62.371205000000003</v>
      </c>
    </row>
    <row r="387" spans="1:2">
      <c r="A387" s="19">
        <v>45407.752082999999</v>
      </c>
      <c r="B387" s="16">
        <v>61.667163000000002</v>
      </c>
    </row>
    <row r="388" spans="1:2">
      <c r="A388" s="19">
        <v>45407.752778000002</v>
      </c>
      <c r="B388" s="16">
        <v>60.414949</v>
      </c>
    </row>
    <row r="389" spans="1:2">
      <c r="A389" s="19">
        <v>45407.753471999997</v>
      </c>
      <c r="B389" s="16">
        <v>61.663744999999999</v>
      </c>
    </row>
    <row r="390" spans="1:2">
      <c r="A390" s="19">
        <v>45407.754166999999</v>
      </c>
      <c r="B390" s="16">
        <v>61.855656000000003</v>
      </c>
    </row>
    <row r="391" spans="1:2">
      <c r="A391" s="19">
        <v>45407.754861000001</v>
      </c>
      <c r="B391" s="16">
        <v>61.945092000000002</v>
      </c>
    </row>
    <row r="392" spans="1:2">
      <c r="A392" s="19">
        <v>45407.755555999996</v>
      </c>
      <c r="B392" s="16">
        <v>61.392937000000003</v>
      </c>
    </row>
    <row r="393" spans="1:2">
      <c r="A393" s="19">
        <v>45407.756249999999</v>
      </c>
      <c r="B393" s="16">
        <v>61.292789999999997</v>
      </c>
    </row>
    <row r="394" spans="1:2">
      <c r="A394" s="19">
        <v>45407.756944000001</v>
      </c>
      <c r="B394" s="16">
        <v>62.640658999999999</v>
      </c>
    </row>
    <row r="395" spans="1:2">
      <c r="A395" s="19">
        <v>45407.757639000003</v>
      </c>
      <c r="B395" s="16">
        <v>61.481597999999998</v>
      </c>
    </row>
    <row r="396" spans="1:2">
      <c r="A396" s="19">
        <v>45407.758332999998</v>
      </c>
      <c r="B396" s="16">
        <v>61.959667000000003</v>
      </c>
    </row>
    <row r="397" spans="1:2">
      <c r="A397" s="19">
        <v>45407.759028</v>
      </c>
      <c r="B397" s="16">
        <v>61.564385999999999</v>
      </c>
    </row>
    <row r="398" spans="1:2">
      <c r="A398" s="19">
        <v>45407.759722000003</v>
      </c>
      <c r="B398" s="16">
        <v>61.980210999999997</v>
      </c>
    </row>
    <row r="399" spans="1:2">
      <c r="A399" s="19">
        <v>45407.760416999998</v>
      </c>
      <c r="B399" s="16">
        <v>62.437131000000001</v>
      </c>
    </row>
    <row r="400" spans="1:2">
      <c r="A400" s="19">
        <v>45407.761111</v>
      </c>
      <c r="B400" s="16">
        <v>62.158822999999998</v>
      </c>
    </row>
    <row r="401" spans="1:2">
      <c r="A401" s="19">
        <v>45407.761806000002</v>
      </c>
      <c r="B401" s="16">
        <v>61.623806000000002</v>
      </c>
    </row>
    <row r="402" spans="1:2">
      <c r="A402" s="19">
        <v>45407.762499999997</v>
      </c>
      <c r="B402" s="16">
        <v>62.500148000000003</v>
      </c>
    </row>
    <row r="403" spans="1:2">
      <c r="A403" s="19">
        <v>45407.763193999999</v>
      </c>
      <c r="B403" s="16">
        <v>62.320971999999998</v>
      </c>
    </row>
    <row r="404" spans="1:2">
      <c r="A404" s="19">
        <v>45407.763889000002</v>
      </c>
      <c r="B404" s="16">
        <v>61.109884999999998</v>
      </c>
    </row>
    <row r="405" spans="1:2">
      <c r="A405" s="19">
        <v>45407.764582999996</v>
      </c>
      <c r="B405" s="16">
        <v>62.091351000000003</v>
      </c>
    </row>
    <row r="406" spans="1:2">
      <c r="A406" s="19">
        <v>45407.765277999999</v>
      </c>
      <c r="B406" s="16">
        <v>61.233040000000003</v>
      </c>
    </row>
    <row r="407" spans="1:2">
      <c r="A407" s="19">
        <v>45407.765972000001</v>
      </c>
      <c r="B407" s="16">
        <v>62.555624999999999</v>
      </c>
    </row>
    <row r="408" spans="1:2">
      <c r="A408" s="19">
        <v>45407.766667000004</v>
      </c>
      <c r="B408" s="16">
        <v>60.950567999999997</v>
      </c>
    </row>
    <row r="409" spans="1:2">
      <c r="A409" s="19">
        <v>45407.767360999998</v>
      </c>
      <c r="B409" s="16">
        <v>62.456803000000001</v>
      </c>
    </row>
    <row r="410" spans="1:2">
      <c r="A410" s="19">
        <v>45407.768056000001</v>
      </c>
      <c r="B410" s="16">
        <v>61.783304000000001</v>
      </c>
    </row>
    <row r="411" spans="1:2">
      <c r="A411" s="19">
        <v>45407.768750000003</v>
      </c>
      <c r="B411" s="16">
        <v>61.541249999999998</v>
      </c>
    </row>
    <row r="412" spans="1:2">
      <c r="A412" s="19">
        <v>45407.769443999998</v>
      </c>
      <c r="B412" s="16">
        <v>61.774996999999999</v>
      </c>
    </row>
    <row r="413" spans="1:2">
      <c r="A413" s="19">
        <v>45407.770139</v>
      </c>
      <c r="B413" s="16">
        <v>62.559376</v>
      </c>
    </row>
    <row r="414" spans="1:2">
      <c r="A414" s="19">
        <v>45407.770833000002</v>
      </c>
      <c r="B414" s="16">
        <v>61.569392999999998</v>
      </c>
    </row>
    <row r="415" spans="1:2">
      <c r="A415" s="19">
        <v>45407.771527999997</v>
      </c>
      <c r="B415" s="16">
        <v>61.722898999999998</v>
      </c>
    </row>
    <row r="416" spans="1:2">
      <c r="A416" s="19">
        <v>45407.772222</v>
      </c>
      <c r="B416" s="16">
        <v>61.378543999999998</v>
      </c>
    </row>
    <row r="417" spans="1:2">
      <c r="A417" s="19">
        <v>45407.772917000002</v>
      </c>
      <c r="B417" s="16">
        <v>61.547587999999998</v>
      </c>
    </row>
    <row r="418" spans="1:2">
      <c r="A418" s="19">
        <v>45407.773610999997</v>
      </c>
      <c r="B418" s="16">
        <v>61.820870999999997</v>
      </c>
    </row>
    <row r="419" spans="1:2">
      <c r="A419" s="19">
        <v>45407.774305999999</v>
      </c>
      <c r="B419" s="16">
        <v>61.418574</v>
      </c>
    </row>
    <row r="420" spans="1:2">
      <c r="A420" s="19">
        <v>45407.775000000001</v>
      </c>
      <c r="B420" s="16">
        <v>61.903143</v>
      </c>
    </row>
    <row r="421" spans="1:2">
      <c r="A421" s="19">
        <v>45407.775694000004</v>
      </c>
      <c r="B421" s="16">
        <v>60.497492000000001</v>
      </c>
    </row>
    <row r="422" spans="1:2">
      <c r="A422" s="19">
        <v>45407.776388999999</v>
      </c>
      <c r="B422" s="16">
        <v>62.013506999999997</v>
      </c>
    </row>
    <row r="423" spans="1:2">
      <c r="A423" s="19">
        <v>45407.777083000001</v>
      </c>
      <c r="B423" s="16">
        <v>61.918174999999998</v>
      </c>
    </row>
    <row r="424" spans="1:2">
      <c r="A424" s="19">
        <v>45407.777778000003</v>
      </c>
      <c r="B424" s="16">
        <v>60.786335000000001</v>
      </c>
    </row>
    <row r="425" spans="1:2">
      <c r="A425" s="19">
        <v>45407.778471999998</v>
      </c>
      <c r="B425" s="16">
        <v>60.959788000000003</v>
      </c>
    </row>
    <row r="426" spans="1:2">
      <c r="A426" s="19">
        <v>45407.779167000001</v>
      </c>
      <c r="B426" s="16">
        <v>60.655751000000002</v>
      </c>
    </row>
    <row r="427" spans="1:2">
      <c r="A427" s="19">
        <v>45407.779861000003</v>
      </c>
      <c r="B427" s="16">
        <v>62.028165999999999</v>
      </c>
    </row>
    <row r="428" spans="1:2">
      <c r="A428" s="19">
        <v>45407.780555999998</v>
      </c>
      <c r="B428" s="16">
        <v>61.681570999999998</v>
      </c>
    </row>
    <row r="429" spans="1:2">
      <c r="A429" s="19">
        <v>45407.78125</v>
      </c>
      <c r="B429" s="16">
        <v>61.119715999999997</v>
      </c>
    </row>
    <row r="430" spans="1:2">
      <c r="A430" s="19">
        <v>45407.781944000002</v>
      </c>
      <c r="B430" s="16">
        <v>60.728053000000003</v>
      </c>
    </row>
    <row r="431" spans="1:2">
      <c r="A431" s="19">
        <v>45407.782638999997</v>
      </c>
      <c r="B431" s="16">
        <v>61.527227000000003</v>
      </c>
    </row>
    <row r="432" spans="1:2">
      <c r="A432" s="19">
        <v>45407.783332999999</v>
      </c>
      <c r="B432" s="16">
        <v>61.040953000000002</v>
      </c>
    </row>
    <row r="433" spans="1:2">
      <c r="A433" s="19">
        <v>45407.784028000002</v>
      </c>
      <c r="B433" s="16">
        <v>60.986006000000003</v>
      </c>
    </row>
    <row r="434" spans="1:2">
      <c r="A434" s="19">
        <v>45407.784721999997</v>
      </c>
      <c r="B434" s="16">
        <v>60.874181999999998</v>
      </c>
    </row>
    <row r="435" spans="1:2">
      <c r="A435" s="19">
        <v>45407.785416999999</v>
      </c>
      <c r="B435" s="16">
        <v>61.353569</v>
      </c>
    </row>
    <row r="436" spans="1:2">
      <c r="A436" s="19">
        <v>45407.786111000001</v>
      </c>
      <c r="B436" s="16">
        <v>61.399067000000002</v>
      </c>
    </row>
    <row r="437" spans="1:2">
      <c r="A437" s="19">
        <v>45407.786805999996</v>
      </c>
      <c r="B437" s="16">
        <v>61.181936</v>
      </c>
    </row>
    <row r="438" spans="1:2">
      <c r="A438" s="19">
        <v>45407.787499999999</v>
      </c>
      <c r="B438" s="16">
        <v>61.812123999999997</v>
      </c>
    </row>
    <row r="439" spans="1:2">
      <c r="A439" s="19">
        <v>45407.788194000001</v>
      </c>
      <c r="B439" s="16">
        <v>62.444474</v>
      </c>
    </row>
    <row r="440" spans="1:2">
      <c r="A440" s="19">
        <v>45407.788889000003</v>
      </c>
      <c r="B440" s="16">
        <v>61.876434000000003</v>
      </c>
    </row>
    <row r="441" spans="1:2">
      <c r="A441" s="19">
        <v>45407.789582999998</v>
      </c>
      <c r="B441" s="16">
        <v>61.356974000000001</v>
      </c>
    </row>
    <row r="442" spans="1:2">
      <c r="A442" s="19">
        <v>45407.790278</v>
      </c>
      <c r="B442" s="16">
        <v>60.968125000000001</v>
      </c>
    </row>
    <row r="443" spans="1:2">
      <c r="A443" s="19">
        <v>45407.790972000003</v>
      </c>
      <c r="B443" s="16">
        <v>61.377181999999998</v>
      </c>
    </row>
    <row r="444" spans="1:2">
      <c r="A444" s="19">
        <v>45407.791666999998</v>
      </c>
      <c r="B444" s="16">
        <v>61.690423000000003</v>
      </c>
    </row>
    <row r="445" spans="1:2">
      <c r="A445" s="19">
        <v>45407.792361</v>
      </c>
      <c r="B445" s="16">
        <v>62.075285999999998</v>
      </c>
    </row>
    <row r="446" spans="1:2">
      <c r="A446" s="19">
        <v>45407.793056000002</v>
      </c>
      <c r="B446" s="16">
        <v>62.369968</v>
      </c>
    </row>
    <row r="447" spans="1:2">
      <c r="A447" s="19">
        <v>45407.793749999997</v>
      </c>
      <c r="B447" s="16">
        <v>60.747998000000003</v>
      </c>
    </row>
    <row r="448" spans="1:2">
      <c r="A448" s="19">
        <v>45407.794443999999</v>
      </c>
      <c r="B448" s="16">
        <v>61.697015999999998</v>
      </c>
    </row>
    <row r="449" spans="1:2">
      <c r="A449" s="19">
        <v>45407.795139000002</v>
      </c>
      <c r="B449" s="16">
        <v>60.212963000000002</v>
      </c>
    </row>
    <row r="450" spans="1:2">
      <c r="A450" s="19">
        <v>45407.795832999996</v>
      </c>
      <c r="B450" s="16">
        <v>61.278815999999999</v>
      </c>
    </row>
    <row r="451" spans="1:2">
      <c r="A451" s="19">
        <v>45407.796527999999</v>
      </c>
      <c r="B451" s="16">
        <v>60.203902999999997</v>
      </c>
    </row>
    <row r="452" spans="1:2">
      <c r="A452" s="19">
        <v>45407.797222000001</v>
      </c>
      <c r="B452" s="16">
        <v>60.776224999999997</v>
      </c>
    </row>
    <row r="453" spans="1:2">
      <c r="A453" s="19">
        <v>45407.797917000004</v>
      </c>
      <c r="B453" s="16">
        <v>62.074773999999998</v>
      </c>
    </row>
    <row r="454" spans="1:2">
      <c r="A454" s="19">
        <v>45407.798610999998</v>
      </c>
      <c r="B454" s="16">
        <v>62.303328999999998</v>
      </c>
    </row>
    <row r="455" spans="1:2">
      <c r="A455" s="19">
        <v>45407.799306000001</v>
      </c>
      <c r="B455" s="16">
        <v>61.284587000000002</v>
      </c>
    </row>
    <row r="456" spans="1:2">
      <c r="A456" s="19">
        <v>45407.8</v>
      </c>
      <c r="B456" s="16">
        <v>62.208520999999998</v>
      </c>
    </row>
    <row r="457" spans="1:2">
      <c r="A457" s="19">
        <v>45407.800693999998</v>
      </c>
      <c r="B457" s="16">
        <v>61.336824999999997</v>
      </c>
    </row>
    <row r="458" spans="1:2">
      <c r="A458" s="19">
        <v>45407.801389</v>
      </c>
      <c r="B458" s="16">
        <v>60.937092999999997</v>
      </c>
    </row>
    <row r="459" spans="1:2">
      <c r="A459" s="19">
        <v>45407.802083000002</v>
      </c>
      <c r="B459" s="16">
        <v>61.213495999999999</v>
      </c>
    </row>
    <row r="460" spans="1:2">
      <c r="A460" s="19">
        <v>45407.802777999997</v>
      </c>
      <c r="B460" s="16">
        <v>60.351626000000003</v>
      </c>
    </row>
    <row r="461" spans="1:2">
      <c r="A461" s="19">
        <v>45407.803472</v>
      </c>
      <c r="B461" s="16">
        <v>60.870466999999998</v>
      </c>
    </row>
    <row r="462" spans="1:2">
      <c r="A462" s="19">
        <v>45407.804167000002</v>
      </c>
      <c r="B462" s="16">
        <v>61.244889999999998</v>
      </c>
    </row>
    <row r="463" spans="1:2">
      <c r="A463" s="19">
        <v>45407.804860999997</v>
      </c>
      <c r="B463" s="16">
        <v>61.571801000000001</v>
      </c>
    </row>
    <row r="464" spans="1:2">
      <c r="A464" s="19">
        <v>45407.805555999999</v>
      </c>
      <c r="B464" s="16">
        <v>61.870666</v>
      </c>
    </row>
    <row r="465" spans="1:2">
      <c r="A465" s="19">
        <v>45407.806250000001</v>
      </c>
      <c r="B465" s="16">
        <v>62.561985999999997</v>
      </c>
    </row>
    <row r="466" spans="1:2">
      <c r="A466" s="19">
        <v>45407.806944000004</v>
      </c>
      <c r="B466" s="16">
        <v>62.748280000000001</v>
      </c>
    </row>
    <row r="467" spans="1:2">
      <c r="A467" s="19">
        <v>45407.807638999999</v>
      </c>
      <c r="B467" s="16">
        <v>61.783757999999999</v>
      </c>
    </row>
    <row r="468" spans="1:2">
      <c r="A468" s="19">
        <v>45407.808333000001</v>
      </c>
      <c r="B468" s="16">
        <v>62.510475</v>
      </c>
    </row>
    <row r="469" spans="1:2">
      <c r="A469" s="19">
        <v>45407.809028000003</v>
      </c>
      <c r="B469" s="16">
        <v>61.708573999999999</v>
      </c>
    </row>
    <row r="470" spans="1:2">
      <c r="A470" s="19">
        <v>45407.809721999998</v>
      </c>
      <c r="B470" s="16">
        <v>61.487174000000003</v>
      </c>
    </row>
    <row r="471" spans="1:2">
      <c r="A471" s="19">
        <v>45407.810417000001</v>
      </c>
      <c r="B471" s="16">
        <v>62.169941000000001</v>
      </c>
    </row>
    <row r="472" spans="1:2">
      <c r="A472" s="19">
        <v>45407.811111000003</v>
      </c>
      <c r="B472" s="16">
        <v>62.277177999999999</v>
      </c>
    </row>
    <row r="473" spans="1:2">
      <c r="A473" s="19">
        <v>45407.811805999998</v>
      </c>
      <c r="B473" s="16">
        <v>61.321899000000002</v>
      </c>
    </row>
    <row r="474" spans="1:2">
      <c r="A474" s="19">
        <v>45407.8125</v>
      </c>
      <c r="B474" s="16">
        <v>61.367142000000001</v>
      </c>
    </row>
    <row r="475" spans="1:2">
      <c r="A475" s="19">
        <v>45407.813194000002</v>
      </c>
      <c r="B475" s="16">
        <v>61.799112000000001</v>
      </c>
    </row>
    <row r="476" spans="1:2">
      <c r="A476" s="19">
        <v>45407.813888999997</v>
      </c>
      <c r="B476" s="16">
        <v>61.136665999999998</v>
      </c>
    </row>
    <row r="477" spans="1:2">
      <c r="A477" s="19">
        <v>45407.814582999999</v>
      </c>
      <c r="B477" s="16">
        <v>62.673746000000001</v>
      </c>
    </row>
    <row r="478" spans="1:2">
      <c r="A478" s="19">
        <v>45407.815278000002</v>
      </c>
      <c r="B478" s="16">
        <v>62.357115999999998</v>
      </c>
    </row>
    <row r="479" spans="1:2">
      <c r="A479" s="19">
        <v>45407.815971999997</v>
      </c>
      <c r="B479" s="16">
        <v>61.561646000000003</v>
      </c>
    </row>
    <row r="480" spans="1:2">
      <c r="A480" s="19">
        <v>45407.816666999999</v>
      </c>
      <c r="B480" s="16">
        <v>61.553051000000004</v>
      </c>
    </row>
    <row r="481" spans="1:2">
      <c r="A481" s="19">
        <v>45407.817361000001</v>
      </c>
      <c r="B481" s="16">
        <v>62.813184999999997</v>
      </c>
    </row>
    <row r="482" spans="1:2">
      <c r="A482" s="19">
        <v>45407.818055999996</v>
      </c>
      <c r="B482" s="16">
        <v>61.950805000000003</v>
      </c>
    </row>
    <row r="483" spans="1:2">
      <c r="A483" s="19">
        <v>45407.818749999999</v>
      </c>
      <c r="B483" s="16">
        <v>61.287750000000003</v>
      </c>
    </row>
    <row r="484" spans="1:2">
      <c r="A484" s="19">
        <v>45407.819444000001</v>
      </c>
      <c r="B484" s="16">
        <v>61.932952</v>
      </c>
    </row>
    <row r="485" spans="1:2">
      <c r="A485" s="19">
        <v>45407.820139000003</v>
      </c>
      <c r="B485" s="16">
        <v>62.251385999999997</v>
      </c>
    </row>
    <row r="486" spans="1:2">
      <c r="A486" s="19">
        <v>45407.820832999998</v>
      </c>
      <c r="B486" s="16">
        <v>60.479258999999999</v>
      </c>
    </row>
    <row r="487" spans="1:2">
      <c r="A487" s="19">
        <v>45407.821528</v>
      </c>
      <c r="B487" s="16">
        <v>61.707208000000001</v>
      </c>
    </row>
    <row r="488" spans="1:2">
      <c r="A488" s="19">
        <v>45407.822222000003</v>
      </c>
      <c r="B488" s="16">
        <v>62.531970000000001</v>
      </c>
    </row>
    <row r="489" spans="1:2">
      <c r="A489" s="19">
        <v>45407.822916999998</v>
      </c>
      <c r="B489" s="16">
        <v>62.913746000000003</v>
      </c>
    </row>
    <row r="490" spans="1:2">
      <c r="A490" s="19">
        <v>45407.823611</v>
      </c>
      <c r="B490" s="16">
        <v>62.625388000000001</v>
      </c>
    </row>
    <row r="491" spans="1:2">
      <c r="A491" s="19">
        <v>45407.824306000002</v>
      </c>
      <c r="B491" s="16">
        <v>63.062694999999998</v>
      </c>
    </row>
    <row r="492" spans="1:2">
      <c r="A492" s="19">
        <v>45407.824999999997</v>
      </c>
      <c r="B492" s="16">
        <v>62.542833999999999</v>
      </c>
    </row>
    <row r="493" spans="1:2">
      <c r="A493" s="19">
        <v>45407.825693999999</v>
      </c>
      <c r="B493" s="16">
        <v>62.401159</v>
      </c>
    </row>
    <row r="494" spans="1:2">
      <c r="A494" s="19">
        <v>45407.826389000002</v>
      </c>
      <c r="B494" s="16">
        <v>62.792254999999997</v>
      </c>
    </row>
    <row r="495" spans="1:2">
      <c r="A495" s="19">
        <v>45407.827082999996</v>
      </c>
      <c r="B495" s="16">
        <v>63.141472999999998</v>
      </c>
    </row>
    <row r="496" spans="1:2">
      <c r="A496" s="19">
        <v>45407.827777999999</v>
      </c>
      <c r="B496" s="16">
        <v>63.117257000000002</v>
      </c>
    </row>
    <row r="497" spans="1:2">
      <c r="A497" s="19">
        <v>45407.828472000001</v>
      </c>
      <c r="B497" s="16">
        <v>62.711168999999998</v>
      </c>
    </row>
    <row r="498" spans="1:2">
      <c r="A498" s="19">
        <v>45407.829167000004</v>
      </c>
      <c r="B498" s="16">
        <v>62.784827999999997</v>
      </c>
    </row>
    <row r="499" spans="1:2">
      <c r="A499" s="19">
        <v>45407.829860999998</v>
      </c>
      <c r="B499" s="16">
        <v>62.281250999999997</v>
      </c>
    </row>
    <row r="500" spans="1:2">
      <c r="A500" s="19">
        <v>45407.830556000001</v>
      </c>
      <c r="B500" s="16">
        <v>63.115803</v>
      </c>
    </row>
    <row r="501" spans="1:2">
      <c r="A501" s="19">
        <v>45407.831250000003</v>
      </c>
      <c r="B501" s="16">
        <v>63.148524999999999</v>
      </c>
    </row>
    <row r="502" spans="1:2">
      <c r="A502" s="19">
        <v>45407.831943999998</v>
      </c>
      <c r="B502" s="16">
        <v>63.055349</v>
      </c>
    </row>
    <row r="503" spans="1:2">
      <c r="A503" s="19">
        <v>45407.832639</v>
      </c>
      <c r="B503" s="16">
        <v>62.594841000000002</v>
      </c>
    </row>
    <row r="504" spans="1:2">
      <c r="A504" s="19">
        <v>45407.833333000002</v>
      </c>
      <c r="B504" s="16">
        <v>63.570870999999997</v>
      </c>
    </row>
    <row r="505" spans="1:2">
      <c r="A505" s="19">
        <v>45407.834027999997</v>
      </c>
      <c r="B505" s="16">
        <v>62.959679999999999</v>
      </c>
    </row>
    <row r="506" spans="1:2">
      <c r="A506" s="19">
        <v>45407.834722</v>
      </c>
      <c r="B506" s="16">
        <v>62.133206000000001</v>
      </c>
    </row>
    <row r="507" spans="1:2">
      <c r="A507" s="19">
        <v>45407.835417000002</v>
      </c>
      <c r="B507" s="16">
        <v>63.463571999999999</v>
      </c>
    </row>
    <row r="508" spans="1:2">
      <c r="A508" s="19">
        <v>45407.836110999997</v>
      </c>
      <c r="B508" s="16">
        <v>62.711154000000001</v>
      </c>
    </row>
    <row r="509" spans="1:2">
      <c r="A509" s="19">
        <v>45407.836805999999</v>
      </c>
      <c r="B509" s="16">
        <v>62.851123000000001</v>
      </c>
    </row>
    <row r="510" spans="1:2">
      <c r="A510" s="19">
        <v>45407.837500000001</v>
      </c>
      <c r="B510" s="16">
        <v>62.187170000000002</v>
      </c>
    </row>
    <row r="511" spans="1:2">
      <c r="A511" s="19">
        <v>45407.838194000004</v>
      </c>
      <c r="B511" s="16">
        <v>62.207572999999996</v>
      </c>
    </row>
    <row r="512" spans="1:2">
      <c r="A512" s="19">
        <v>45407.838888999999</v>
      </c>
      <c r="B512" s="16">
        <v>63.767268999999999</v>
      </c>
    </row>
    <row r="513" spans="1:2">
      <c r="A513" s="19">
        <v>45407.839583000001</v>
      </c>
      <c r="B513" s="16">
        <v>63.102960000000003</v>
      </c>
    </row>
    <row r="514" spans="1:2">
      <c r="A514" s="19">
        <v>45407.840278000003</v>
      </c>
      <c r="B514" s="16">
        <v>61.400243000000003</v>
      </c>
    </row>
    <row r="515" spans="1:2">
      <c r="A515" s="19">
        <v>45407.840971999998</v>
      </c>
      <c r="B515" s="16">
        <v>62.800156000000001</v>
      </c>
    </row>
    <row r="516" spans="1:2">
      <c r="A516" s="19">
        <v>45407.841667000001</v>
      </c>
      <c r="B516" s="16">
        <v>62.423941999999997</v>
      </c>
    </row>
    <row r="517" spans="1:2">
      <c r="A517" s="19">
        <v>45407.842361000003</v>
      </c>
      <c r="B517" s="16">
        <v>62.769219</v>
      </c>
    </row>
    <row r="518" spans="1:2">
      <c r="A518" s="19">
        <v>45407.843055999998</v>
      </c>
      <c r="B518" s="16">
        <v>62.815756</v>
      </c>
    </row>
    <row r="519" spans="1:2">
      <c r="A519" s="19">
        <v>45407.84375</v>
      </c>
      <c r="B519" s="16">
        <v>61.528601000000002</v>
      </c>
    </row>
    <row r="520" spans="1:2">
      <c r="A520" s="19">
        <v>45407.844444000002</v>
      </c>
      <c r="B520" s="16">
        <v>61.820995000000003</v>
      </c>
    </row>
    <row r="521" spans="1:2">
      <c r="A521" s="19">
        <v>45407.845138999997</v>
      </c>
      <c r="B521" s="16">
        <v>61.841560999999999</v>
      </c>
    </row>
    <row r="522" spans="1:2">
      <c r="A522" s="19">
        <v>45407.845832999999</v>
      </c>
      <c r="B522" s="16">
        <v>62.747126999999999</v>
      </c>
    </row>
    <row r="523" spans="1:2">
      <c r="A523" s="19">
        <v>45407.846528000002</v>
      </c>
      <c r="B523" s="16">
        <v>63.013575000000003</v>
      </c>
    </row>
    <row r="524" spans="1:2">
      <c r="A524" s="19">
        <v>45407.847221999997</v>
      </c>
      <c r="B524" s="16">
        <v>62.519050999999997</v>
      </c>
    </row>
    <row r="525" spans="1:2">
      <c r="A525" s="19">
        <v>45407.847916999999</v>
      </c>
      <c r="B525" s="16">
        <v>62.789237</v>
      </c>
    </row>
    <row r="526" spans="1:2">
      <c r="A526" s="19">
        <v>45407.848611000001</v>
      </c>
      <c r="B526" s="16">
        <v>62.585681999999998</v>
      </c>
    </row>
    <row r="527" spans="1:2">
      <c r="A527" s="19">
        <v>45407.849305999996</v>
      </c>
      <c r="B527" s="16">
        <v>62.687646000000001</v>
      </c>
    </row>
    <row r="528" spans="1:2">
      <c r="A528" s="19">
        <v>45407.85</v>
      </c>
      <c r="B528" s="16">
        <v>62.350482999999997</v>
      </c>
    </row>
    <row r="529" spans="1:2">
      <c r="A529" s="19">
        <v>45407.850694000001</v>
      </c>
      <c r="B529" s="16">
        <v>62.50761</v>
      </c>
    </row>
    <row r="530" spans="1:2">
      <c r="A530" s="19">
        <v>45407.851389000003</v>
      </c>
      <c r="B530" s="16">
        <v>62.279842000000002</v>
      </c>
    </row>
    <row r="531" spans="1:2">
      <c r="A531" s="19">
        <v>45407.852082999998</v>
      </c>
      <c r="B531" s="16">
        <v>61.773107000000003</v>
      </c>
    </row>
    <row r="532" spans="1:2">
      <c r="A532" s="19">
        <v>45407.852778</v>
      </c>
      <c r="B532" s="16">
        <v>62.504956999999997</v>
      </c>
    </row>
    <row r="533" spans="1:2">
      <c r="A533" s="19">
        <v>45407.853472000003</v>
      </c>
      <c r="B533" s="16">
        <v>63.033712999999999</v>
      </c>
    </row>
    <row r="534" spans="1:2">
      <c r="A534" s="19">
        <v>45407.854166999998</v>
      </c>
      <c r="B534" s="16">
        <v>62.565016999999997</v>
      </c>
    </row>
    <row r="535" spans="1:2">
      <c r="A535" s="19">
        <v>45407.854861</v>
      </c>
      <c r="B535" s="16">
        <v>62.246757000000002</v>
      </c>
    </row>
    <row r="536" spans="1:2">
      <c r="A536" s="19">
        <v>45407.855556000002</v>
      </c>
      <c r="B536" s="16">
        <v>63.138832000000001</v>
      </c>
    </row>
    <row r="537" spans="1:2">
      <c r="A537" s="19">
        <v>45407.856249999997</v>
      </c>
      <c r="B537" s="16">
        <v>61.892046999999998</v>
      </c>
    </row>
    <row r="538" spans="1:2">
      <c r="A538" s="19">
        <v>45407.856943999999</v>
      </c>
      <c r="B538" s="16">
        <v>63.001283000000001</v>
      </c>
    </row>
    <row r="539" spans="1:2">
      <c r="A539" s="19">
        <v>45407.857639000002</v>
      </c>
      <c r="B539" s="16">
        <v>62.427667</v>
      </c>
    </row>
    <row r="540" spans="1:2">
      <c r="A540" s="19">
        <v>45407.858332999996</v>
      </c>
      <c r="B540" s="16">
        <v>62.817995000000003</v>
      </c>
    </row>
    <row r="541" spans="1:2">
      <c r="A541" s="19">
        <v>45407.859027999999</v>
      </c>
      <c r="B541" s="16">
        <v>62.250343000000001</v>
      </c>
    </row>
    <row r="542" spans="1:2">
      <c r="A542" s="19">
        <v>45407.859722000001</v>
      </c>
      <c r="B542" s="16">
        <v>62.404390999999997</v>
      </c>
    </row>
    <row r="543" spans="1:2">
      <c r="A543" s="19">
        <v>45407.860417000004</v>
      </c>
      <c r="B543" s="16">
        <v>62.761788000000003</v>
      </c>
    </row>
    <row r="544" spans="1:2">
      <c r="A544" s="19">
        <v>45407.861110999998</v>
      </c>
      <c r="B544" s="16">
        <v>62.001305000000002</v>
      </c>
    </row>
    <row r="545" spans="1:2">
      <c r="A545" s="19">
        <v>45407.861806000001</v>
      </c>
      <c r="B545" s="16">
        <v>62.903191</v>
      </c>
    </row>
    <row r="546" spans="1:2">
      <c r="A546" s="19">
        <v>45407.862500000003</v>
      </c>
      <c r="B546" s="16">
        <v>62.140777</v>
      </c>
    </row>
    <row r="547" spans="1:2">
      <c r="A547" s="19">
        <v>45407.863193999998</v>
      </c>
      <c r="B547" s="16">
        <v>62.024047000000003</v>
      </c>
    </row>
    <row r="548" spans="1:2">
      <c r="A548" s="19">
        <v>45407.863889</v>
      </c>
      <c r="B548" s="16">
        <v>62.922075999999997</v>
      </c>
    </row>
    <row r="549" spans="1:2">
      <c r="A549" s="19">
        <v>45407.864583000002</v>
      </c>
      <c r="B549" s="16">
        <v>62.56691</v>
      </c>
    </row>
    <row r="550" spans="1:2">
      <c r="A550" s="19">
        <v>45407.865277999997</v>
      </c>
      <c r="B550" s="16">
        <v>62.605631000000002</v>
      </c>
    </row>
    <row r="551" spans="1:2">
      <c r="A551" s="19">
        <v>45407.865972</v>
      </c>
      <c r="B551" s="16">
        <v>61.704636000000001</v>
      </c>
    </row>
    <row r="552" spans="1:2">
      <c r="A552" s="19">
        <v>45407.866667000002</v>
      </c>
      <c r="B552" s="16">
        <v>62.867001000000002</v>
      </c>
    </row>
    <row r="553" spans="1:2">
      <c r="A553" s="19">
        <v>45407.867360999997</v>
      </c>
      <c r="B553" s="16">
        <v>62.717568</v>
      </c>
    </row>
    <row r="554" spans="1:2">
      <c r="A554" s="19">
        <v>45407.868055999999</v>
      </c>
      <c r="B554" s="16">
        <v>62.928097000000001</v>
      </c>
    </row>
    <row r="555" spans="1:2">
      <c r="A555" s="19">
        <v>45407.868750000001</v>
      </c>
      <c r="B555" s="16">
        <v>61.67295</v>
      </c>
    </row>
    <row r="556" spans="1:2">
      <c r="A556" s="19">
        <v>45407.869444000004</v>
      </c>
      <c r="B556" s="16">
        <v>62.274357000000002</v>
      </c>
    </row>
    <row r="557" spans="1:2">
      <c r="A557" s="19">
        <v>45407.870138999999</v>
      </c>
      <c r="B557" s="16">
        <v>62.362088</v>
      </c>
    </row>
    <row r="558" spans="1:2">
      <c r="A558" s="19">
        <v>45407.870833000001</v>
      </c>
      <c r="B558" s="16">
        <v>61.708072999999999</v>
      </c>
    </row>
    <row r="559" spans="1:2">
      <c r="A559" s="19">
        <v>45407.871528000003</v>
      </c>
      <c r="B559" s="16">
        <v>62.178688000000001</v>
      </c>
    </row>
    <row r="560" spans="1:2">
      <c r="A560" s="19">
        <v>45407.872221999998</v>
      </c>
      <c r="B560" s="16">
        <v>62.984310999999998</v>
      </c>
    </row>
    <row r="561" spans="1:2">
      <c r="A561" s="19">
        <v>45407.872917000001</v>
      </c>
      <c r="B561" s="16">
        <v>62.63232</v>
      </c>
    </row>
    <row r="562" spans="1:2">
      <c r="A562" s="19">
        <v>45407.873611000003</v>
      </c>
      <c r="B562" s="16">
        <v>62.091672000000003</v>
      </c>
    </row>
    <row r="563" spans="1:2">
      <c r="A563" s="19">
        <v>45407.874305999998</v>
      </c>
      <c r="B563" s="16">
        <v>62.771529000000001</v>
      </c>
    </row>
    <row r="564" spans="1:2">
      <c r="A564" s="19">
        <v>45407.875</v>
      </c>
      <c r="B564" s="16">
        <v>61.912937999999997</v>
      </c>
    </row>
    <row r="565" spans="1:2">
      <c r="A565" s="19">
        <v>45407.875694000002</v>
      </c>
      <c r="B565" s="16">
        <v>62.536484000000002</v>
      </c>
    </row>
    <row r="566" spans="1:2">
      <c r="A566" s="19">
        <v>45407.876388999997</v>
      </c>
      <c r="B566" s="16">
        <v>61.231454999999997</v>
      </c>
    </row>
    <row r="567" spans="1:2">
      <c r="A567" s="19">
        <v>45407.877082999999</v>
      </c>
      <c r="B567" s="16">
        <v>63.703207999999997</v>
      </c>
    </row>
    <row r="568" spans="1:2">
      <c r="A568" s="19">
        <v>45407.877778000002</v>
      </c>
      <c r="B568" s="16">
        <v>61.669885000000001</v>
      </c>
    </row>
    <row r="569" spans="1:2">
      <c r="A569" s="19">
        <v>45407.878471999997</v>
      </c>
      <c r="B569" s="16">
        <v>61.525658999999997</v>
      </c>
    </row>
    <row r="570" spans="1:2">
      <c r="A570" s="19">
        <v>45407.879166999999</v>
      </c>
      <c r="B570" s="16">
        <v>63.042228999999999</v>
      </c>
    </row>
    <row r="571" spans="1:2">
      <c r="A571" s="19">
        <v>45407.879861000001</v>
      </c>
      <c r="B571" s="16">
        <v>61.771887</v>
      </c>
    </row>
    <row r="572" spans="1:2">
      <c r="A572" s="19">
        <v>45407.880555999996</v>
      </c>
      <c r="B572" s="16">
        <v>62.432203999999999</v>
      </c>
    </row>
    <row r="573" spans="1:2">
      <c r="A573" s="19">
        <v>45407.881249999999</v>
      </c>
      <c r="B573" s="16">
        <v>61.983252</v>
      </c>
    </row>
    <row r="574" spans="1:2">
      <c r="A574" s="19">
        <v>45407.881944000001</v>
      </c>
      <c r="B574" s="16">
        <v>62.163561999999999</v>
      </c>
    </row>
    <row r="575" spans="1:2">
      <c r="A575" s="19">
        <v>45407.882639000003</v>
      </c>
      <c r="B575" s="16">
        <v>61.472180999999999</v>
      </c>
    </row>
    <row r="576" spans="1:2">
      <c r="A576" s="19">
        <v>45407.883332999998</v>
      </c>
      <c r="B576" s="16">
        <v>62.130316999999998</v>
      </c>
    </row>
    <row r="577" spans="1:2">
      <c r="A577" s="19">
        <v>45407.884028</v>
      </c>
      <c r="B577" s="16">
        <v>62.083885000000002</v>
      </c>
    </row>
    <row r="578" spans="1:2">
      <c r="A578" s="19">
        <v>45407.884722000003</v>
      </c>
      <c r="B578" s="16">
        <v>62.571401000000002</v>
      </c>
    </row>
    <row r="579" spans="1:2">
      <c r="A579" s="19">
        <v>45407.885416999998</v>
      </c>
      <c r="B579" s="16">
        <v>62.703355000000002</v>
      </c>
    </row>
    <row r="580" spans="1:2">
      <c r="A580" s="19">
        <v>45407.886111</v>
      </c>
      <c r="B580" s="16">
        <v>61.635320999999998</v>
      </c>
    </row>
    <row r="581" spans="1:2">
      <c r="A581" s="19">
        <v>45407.886806000002</v>
      </c>
      <c r="B581" s="16">
        <v>62.438602000000003</v>
      </c>
    </row>
    <row r="582" spans="1:2">
      <c r="A582" s="19">
        <v>45407.887499999997</v>
      </c>
      <c r="B582" s="16">
        <v>61.868828000000001</v>
      </c>
    </row>
    <row r="583" spans="1:2">
      <c r="A583" s="19">
        <v>45407.888193999999</v>
      </c>
      <c r="B583" s="16">
        <v>62.602437999999999</v>
      </c>
    </row>
    <row r="584" spans="1:2">
      <c r="A584" s="19">
        <v>45407.888889000002</v>
      </c>
      <c r="B584" s="16">
        <v>62.169746000000004</v>
      </c>
    </row>
    <row r="585" spans="1:2">
      <c r="A585" s="19">
        <v>45407.889582999996</v>
      </c>
      <c r="B585" s="16">
        <v>62.629657999999999</v>
      </c>
    </row>
    <row r="586" spans="1:2">
      <c r="A586" s="19">
        <v>45407.890277999999</v>
      </c>
      <c r="B586" s="16">
        <v>61.842868000000003</v>
      </c>
    </row>
    <row r="587" spans="1:2">
      <c r="A587" s="19">
        <v>45407.890972000001</v>
      </c>
      <c r="B587" s="16">
        <v>62.523169000000003</v>
      </c>
    </row>
    <row r="588" spans="1:2">
      <c r="A588" s="19">
        <v>45407.891667000004</v>
      </c>
      <c r="B588" s="16">
        <v>62.330339000000002</v>
      </c>
    </row>
    <row r="589" spans="1:2">
      <c r="A589" s="19">
        <v>45407.892360999998</v>
      </c>
      <c r="B589" s="16">
        <v>63.184193999999998</v>
      </c>
    </row>
    <row r="590" spans="1:2">
      <c r="A590" s="19">
        <v>45407.893056000001</v>
      </c>
      <c r="B590" s="16">
        <v>61.914355999999998</v>
      </c>
    </row>
    <row r="591" spans="1:2">
      <c r="A591" s="19">
        <v>45407.893750000003</v>
      </c>
      <c r="B591" s="16">
        <v>62.746810000000004</v>
      </c>
    </row>
    <row r="592" spans="1:2">
      <c r="A592" s="19">
        <v>45407.894443999998</v>
      </c>
      <c r="B592" s="16">
        <v>62.110002000000001</v>
      </c>
    </row>
    <row r="593" spans="1:2">
      <c r="A593" s="19">
        <v>45407.895139</v>
      </c>
      <c r="B593" s="16">
        <v>62.477480999999997</v>
      </c>
    </row>
    <row r="594" spans="1:2">
      <c r="A594" s="19">
        <v>45407.895833000002</v>
      </c>
      <c r="B594" s="16">
        <v>62.154933999999997</v>
      </c>
    </row>
    <row r="595" spans="1:2">
      <c r="A595" s="19">
        <v>45407.896527999997</v>
      </c>
      <c r="B595" s="16">
        <v>61.965274999999998</v>
      </c>
    </row>
    <row r="596" spans="1:2">
      <c r="A596" s="19">
        <v>45407.897222</v>
      </c>
      <c r="B596" s="16">
        <v>63.051861000000002</v>
      </c>
    </row>
    <row r="597" spans="1:2">
      <c r="A597" s="19">
        <v>45407.897917000002</v>
      </c>
      <c r="B597" s="16">
        <v>61.641275</v>
      </c>
    </row>
    <row r="598" spans="1:2">
      <c r="A598" s="19">
        <v>45407.898610999997</v>
      </c>
      <c r="B598" s="16">
        <v>63.060701999999999</v>
      </c>
    </row>
    <row r="599" spans="1:2">
      <c r="A599" s="19">
        <v>45407.899305999999</v>
      </c>
      <c r="B599" s="16">
        <v>61.290776000000001</v>
      </c>
    </row>
    <row r="600" spans="1:2">
      <c r="A600" s="19">
        <v>45407.9</v>
      </c>
      <c r="B600" s="16">
        <v>63.287421000000002</v>
      </c>
    </row>
    <row r="601" spans="1:2">
      <c r="A601" s="19">
        <v>45407.900694000004</v>
      </c>
      <c r="B601" s="16">
        <v>61.664928000000003</v>
      </c>
    </row>
    <row r="602" spans="1:2">
      <c r="A602" s="19">
        <v>45407.901388999999</v>
      </c>
      <c r="B602" s="16">
        <v>62.931030999999997</v>
      </c>
    </row>
    <row r="603" spans="1:2">
      <c r="A603" s="19">
        <v>45407.902083000001</v>
      </c>
      <c r="B603" s="16">
        <v>63.903598000000002</v>
      </c>
    </row>
    <row r="604" spans="1:2">
      <c r="A604" s="19">
        <v>45407.902778000003</v>
      </c>
      <c r="B604" s="16">
        <v>61.764619000000003</v>
      </c>
    </row>
    <row r="605" spans="1:2">
      <c r="A605" s="19">
        <v>45407.903471999998</v>
      </c>
      <c r="B605" s="16">
        <v>61.165238000000002</v>
      </c>
    </row>
    <row r="606" spans="1:2">
      <c r="A606" s="19">
        <v>45407.904167000001</v>
      </c>
      <c r="B606" s="16">
        <v>61.900165999999999</v>
      </c>
    </row>
    <row r="607" spans="1:2">
      <c r="A607" s="19">
        <v>45407.904861000003</v>
      </c>
      <c r="B607" s="16">
        <v>64.248368999999997</v>
      </c>
    </row>
    <row r="608" spans="1:2">
      <c r="A608" s="19">
        <v>45407.905555999998</v>
      </c>
      <c r="B608" s="16">
        <v>65.528627999999998</v>
      </c>
    </row>
    <row r="609" spans="1:2">
      <c r="A609" s="19">
        <v>45407.90625</v>
      </c>
      <c r="B609" s="16">
        <v>65.915239</v>
      </c>
    </row>
    <row r="610" spans="1:2">
      <c r="A610" s="19">
        <v>45407.906944000002</v>
      </c>
      <c r="B610" s="16">
        <v>65.603728000000004</v>
      </c>
    </row>
    <row r="611" spans="1:2">
      <c r="A611" s="19">
        <v>45407.907638999997</v>
      </c>
      <c r="B611" s="16">
        <v>65.510272000000001</v>
      </c>
    </row>
    <row r="612" spans="1:2">
      <c r="A612" s="19">
        <v>45407.908332999999</v>
      </c>
      <c r="B612" s="16">
        <v>64.524946999999997</v>
      </c>
    </row>
    <row r="613" spans="1:2">
      <c r="A613" s="19">
        <v>45407.909028000002</v>
      </c>
      <c r="B613" s="16">
        <v>66.25009</v>
      </c>
    </row>
    <row r="614" spans="1:2">
      <c r="A614" s="19">
        <v>45407.909721999997</v>
      </c>
      <c r="B614" s="16">
        <v>65.906467000000006</v>
      </c>
    </row>
    <row r="615" spans="1:2">
      <c r="A615" s="19">
        <v>45407.910416999999</v>
      </c>
      <c r="B615" s="16">
        <v>66.092768000000007</v>
      </c>
    </row>
    <row r="616" spans="1:2">
      <c r="A616" s="19">
        <v>45407.911111000001</v>
      </c>
      <c r="B616" s="16">
        <v>65.555333000000005</v>
      </c>
    </row>
    <row r="617" spans="1:2">
      <c r="A617" s="19">
        <v>45407.911805999996</v>
      </c>
      <c r="B617" s="16">
        <v>65.631006999999997</v>
      </c>
    </row>
    <row r="618" spans="1:2">
      <c r="A618" s="19">
        <v>45407.912499999999</v>
      </c>
      <c r="B618" s="16">
        <v>66.393957</v>
      </c>
    </row>
    <row r="619" spans="1:2">
      <c r="A619" s="19">
        <v>45407.913194000001</v>
      </c>
      <c r="B619" s="16">
        <v>66.579877999999994</v>
      </c>
    </row>
    <row r="620" spans="1:2">
      <c r="A620" s="19">
        <v>45407.913889000003</v>
      </c>
      <c r="B620" s="16">
        <v>65.412802999999997</v>
      </c>
    </row>
    <row r="621" spans="1:2">
      <c r="A621" s="19">
        <v>45407.914582999998</v>
      </c>
      <c r="B621" s="16">
        <v>65.825130000000001</v>
      </c>
    </row>
    <row r="622" spans="1:2">
      <c r="A622" s="19">
        <v>45407.915278</v>
      </c>
      <c r="B622" s="16">
        <v>66.761374000000004</v>
      </c>
    </row>
    <row r="623" spans="1:2">
      <c r="A623" s="19">
        <v>45407.915972000003</v>
      </c>
      <c r="B623" s="16">
        <v>65.618275999999994</v>
      </c>
    </row>
    <row r="624" spans="1:2">
      <c r="A624" s="19">
        <v>45407.916666999998</v>
      </c>
      <c r="B624" s="16">
        <v>65.242514999999997</v>
      </c>
    </row>
    <row r="625" spans="1:2">
      <c r="A625" s="19">
        <v>45407.917361</v>
      </c>
      <c r="B625" s="16">
        <v>66.211591999999996</v>
      </c>
    </row>
    <row r="626" spans="1:2">
      <c r="A626" s="19">
        <v>45407.918056000002</v>
      </c>
      <c r="B626" s="16">
        <v>66.090085999999999</v>
      </c>
    </row>
    <row r="627" spans="1:2">
      <c r="A627" s="19">
        <v>45407.918749999997</v>
      </c>
      <c r="B627" s="16">
        <v>64.889437999999998</v>
      </c>
    </row>
    <row r="628" spans="1:2">
      <c r="A628" s="19">
        <v>45407.919443999999</v>
      </c>
      <c r="B628" s="16">
        <v>65.542066000000005</v>
      </c>
    </row>
    <row r="629" spans="1:2">
      <c r="A629" s="19">
        <v>45407.920139000002</v>
      </c>
      <c r="B629" s="16">
        <v>66.151043999999999</v>
      </c>
    </row>
    <row r="630" spans="1:2">
      <c r="A630" s="19">
        <v>45407.920832999996</v>
      </c>
      <c r="B630" s="16">
        <v>66.311336999999995</v>
      </c>
    </row>
    <row r="631" spans="1:2">
      <c r="A631" s="19">
        <v>45407.921527999999</v>
      </c>
      <c r="B631" s="16">
        <v>65.263808999999995</v>
      </c>
    </row>
    <row r="632" spans="1:2">
      <c r="A632" s="19">
        <v>45407.922222000001</v>
      </c>
      <c r="B632" s="16">
        <v>65.882701999999995</v>
      </c>
    </row>
    <row r="633" spans="1:2">
      <c r="A633" s="19">
        <v>45407.922917000004</v>
      </c>
      <c r="B633" s="16">
        <v>65.854133000000004</v>
      </c>
    </row>
    <row r="634" spans="1:2">
      <c r="A634" s="19">
        <v>45407.923610999998</v>
      </c>
      <c r="B634" s="16">
        <v>66.507368</v>
      </c>
    </row>
    <row r="635" spans="1:2">
      <c r="A635" s="19">
        <v>45407.924306000001</v>
      </c>
      <c r="B635" s="16">
        <v>65.126632999999998</v>
      </c>
    </row>
    <row r="636" spans="1:2">
      <c r="A636" s="19">
        <v>45407.925000000003</v>
      </c>
      <c r="B636" s="16">
        <v>64.497862999999995</v>
      </c>
    </row>
    <row r="637" spans="1:2">
      <c r="A637" s="19">
        <v>45407.925693999998</v>
      </c>
      <c r="B637" s="16">
        <v>65.697183999999993</v>
      </c>
    </row>
    <row r="638" spans="1:2">
      <c r="A638" s="19">
        <v>45407.926389</v>
      </c>
      <c r="B638" s="16">
        <v>65.346470999999994</v>
      </c>
    </row>
    <row r="639" spans="1:2">
      <c r="A639" s="19">
        <v>45407.927083000002</v>
      </c>
      <c r="B639" s="16">
        <v>64.924712999999997</v>
      </c>
    </row>
    <row r="640" spans="1:2">
      <c r="A640" s="19">
        <v>45407.927777999997</v>
      </c>
      <c r="B640" s="16">
        <v>65.498135000000005</v>
      </c>
    </row>
    <row r="641" spans="1:2">
      <c r="A641" s="19">
        <v>45407.928472</v>
      </c>
      <c r="B641" s="16">
        <v>64.992949999999993</v>
      </c>
    </row>
    <row r="642" spans="1:2">
      <c r="A642" s="19">
        <v>45407.929167000002</v>
      </c>
      <c r="B642" s="16">
        <v>64.508904000000001</v>
      </c>
    </row>
    <row r="643" spans="1:2">
      <c r="A643" s="19">
        <v>45407.929860999997</v>
      </c>
      <c r="B643" s="16">
        <v>65.177340000000001</v>
      </c>
    </row>
    <row r="644" spans="1:2">
      <c r="A644" s="19">
        <v>45407.930555999999</v>
      </c>
      <c r="B644" s="16">
        <v>65.470410000000001</v>
      </c>
    </row>
    <row r="645" spans="1:2">
      <c r="A645" s="19">
        <v>45407.931250000001</v>
      </c>
      <c r="B645" s="16">
        <v>66.020022999999995</v>
      </c>
    </row>
    <row r="646" spans="1:2">
      <c r="A646" s="19">
        <v>45407.931944000004</v>
      </c>
      <c r="B646" s="16">
        <v>66.093795</v>
      </c>
    </row>
    <row r="647" spans="1:2">
      <c r="A647" s="19">
        <v>45407.932638999999</v>
      </c>
      <c r="B647" s="16">
        <v>64.980037999999993</v>
      </c>
    </row>
    <row r="648" spans="1:2">
      <c r="A648" s="19">
        <v>45407.933333000001</v>
      </c>
      <c r="B648" s="16">
        <v>65.425151</v>
      </c>
    </row>
    <row r="649" spans="1:2">
      <c r="A649" s="19">
        <v>45407.934028000003</v>
      </c>
      <c r="B649" s="16">
        <v>65.384517000000002</v>
      </c>
    </row>
    <row r="650" spans="1:2">
      <c r="A650" s="19">
        <v>45407.934721999998</v>
      </c>
      <c r="B650" s="16">
        <v>64.866122000000004</v>
      </c>
    </row>
    <row r="651" spans="1:2">
      <c r="A651" s="19">
        <v>45407.935417000001</v>
      </c>
      <c r="B651" s="16">
        <v>65.070404999999994</v>
      </c>
    </row>
    <row r="652" spans="1:2">
      <c r="A652" s="19">
        <v>45407.936111000003</v>
      </c>
      <c r="B652" s="16">
        <v>65.707283000000004</v>
      </c>
    </row>
    <row r="653" spans="1:2">
      <c r="A653" s="19">
        <v>45407.936805999998</v>
      </c>
      <c r="B653" s="16">
        <v>64.914015000000006</v>
      </c>
    </row>
    <row r="654" spans="1:2">
      <c r="A654" s="19">
        <v>45407.9375</v>
      </c>
      <c r="B654" s="16">
        <v>65.654752999999999</v>
      </c>
    </row>
    <row r="655" spans="1:2">
      <c r="A655" s="19">
        <v>45407.938194000002</v>
      </c>
      <c r="B655" s="16">
        <v>64.582170000000005</v>
      </c>
    </row>
    <row r="656" spans="1:2">
      <c r="A656" s="19">
        <v>45407.938888999997</v>
      </c>
      <c r="B656" s="16">
        <v>65.134680000000003</v>
      </c>
    </row>
    <row r="657" spans="1:2">
      <c r="A657" s="19">
        <v>45407.939582999999</v>
      </c>
      <c r="B657" s="16">
        <v>64.046238000000002</v>
      </c>
    </row>
    <row r="658" spans="1:2">
      <c r="A658" s="19">
        <v>45407.940278000002</v>
      </c>
      <c r="B658" s="16">
        <v>65.927232000000004</v>
      </c>
    </row>
    <row r="659" spans="1:2">
      <c r="A659" s="19">
        <v>45407.940971999997</v>
      </c>
      <c r="B659" s="16">
        <v>65.797088000000002</v>
      </c>
    </row>
    <row r="660" spans="1:2">
      <c r="A660" s="19">
        <v>45407.941666999999</v>
      </c>
      <c r="B660" s="16">
        <v>66.264994999999999</v>
      </c>
    </row>
    <row r="661" spans="1:2">
      <c r="A661" s="19">
        <v>45407.942361000001</v>
      </c>
      <c r="B661" s="16">
        <v>64.459027000000006</v>
      </c>
    </row>
    <row r="662" spans="1:2">
      <c r="A662" s="19">
        <v>45407.943055999996</v>
      </c>
      <c r="B662" s="16">
        <v>65.778993</v>
      </c>
    </row>
    <row r="663" spans="1:2">
      <c r="A663" s="19">
        <v>45407.943749999999</v>
      </c>
      <c r="B663" s="16">
        <v>64.707048999999998</v>
      </c>
    </row>
    <row r="664" spans="1:2">
      <c r="A664" s="19">
        <v>45407.944444000001</v>
      </c>
      <c r="B664" s="16">
        <v>65.465299999999999</v>
      </c>
    </row>
    <row r="665" spans="1:2">
      <c r="A665" s="19">
        <v>45407.945139000003</v>
      </c>
      <c r="B665" s="16">
        <v>65.044100999999998</v>
      </c>
    </row>
    <row r="666" spans="1:2">
      <c r="A666" s="19">
        <v>45407.945832999998</v>
      </c>
      <c r="B666" s="16">
        <v>65.043795000000003</v>
      </c>
    </row>
    <row r="667" spans="1:2">
      <c r="A667" s="19">
        <v>45407.946528</v>
      </c>
      <c r="B667" s="16">
        <v>66.263909999999996</v>
      </c>
    </row>
    <row r="668" spans="1:2">
      <c r="A668" s="19">
        <v>45407.947222000003</v>
      </c>
      <c r="B668" s="16">
        <v>64.004847999999996</v>
      </c>
    </row>
    <row r="669" spans="1:2">
      <c r="A669" s="19">
        <v>45407.947916999998</v>
      </c>
      <c r="B669" s="16">
        <v>64.195373000000004</v>
      </c>
    </row>
    <row r="670" spans="1:2">
      <c r="A670" s="19">
        <v>45407.948611</v>
      </c>
      <c r="B670" s="16">
        <v>65.026019000000005</v>
      </c>
    </row>
    <row r="671" spans="1:2">
      <c r="A671" s="19">
        <v>45407.949306000002</v>
      </c>
      <c r="B671" s="16">
        <v>65.688721000000001</v>
      </c>
    </row>
    <row r="672" spans="1:2">
      <c r="A672" s="19">
        <v>45407.95</v>
      </c>
      <c r="B672" s="16">
        <v>65.876969000000003</v>
      </c>
    </row>
    <row r="673" spans="1:2">
      <c r="A673" s="19">
        <v>45407.950693999999</v>
      </c>
      <c r="B673" s="16">
        <v>64.567115000000001</v>
      </c>
    </row>
    <row r="674" spans="1:2">
      <c r="A674" s="19">
        <v>45407.951389000002</v>
      </c>
      <c r="B674" s="16">
        <v>65.168253000000007</v>
      </c>
    </row>
    <row r="675" spans="1:2">
      <c r="A675" s="19">
        <v>45407.952082999996</v>
      </c>
      <c r="B675" s="16">
        <v>65.072273999999993</v>
      </c>
    </row>
    <row r="676" spans="1:2">
      <c r="A676" s="19">
        <v>45407.952777999999</v>
      </c>
      <c r="B676" s="16">
        <v>64.592273000000006</v>
      </c>
    </row>
    <row r="677" spans="1:2">
      <c r="A677" s="19">
        <v>45407.953472000001</v>
      </c>
      <c r="B677" s="16">
        <v>65.600480000000005</v>
      </c>
    </row>
    <row r="678" spans="1:2">
      <c r="A678" s="19">
        <v>45407.954167000004</v>
      </c>
      <c r="B678" s="16">
        <v>64.600313999999997</v>
      </c>
    </row>
    <row r="679" spans="1:2">
      <c r="A679" s="19">
        <v>45407.954860999998</v>
      </c>
      <c r="B679" s="16">
        <v>64.707893999999996</v>
      </c>
    </row>
    <row r="680" spans="1:2">
      <c r="A680" s="19">
        <v>45407.955556000001</v>
      </c>
      <c r="B680" s="16">
        <v>64.812607999999997</v>
      </c>
    </row>
    <row r="681" spans="1:2">
      <c r="A681" s="19">
        <v>45407.956250000003</v>
      </c>
      <c r="B681" s="16">
        <v>64.369107</v>
      </c>
    </row>
    <row r="682" spans="1:2">
      <c r="A682" s="19">
        <v>45407.956943999998</v>
      </c>
      <c r="B682" s="16">
        <v>64.483497</v>
      </c>
    </row>
    <row r="683" spans="1:2">
      <c r="A683" s="19">
        <v>45407.957639</v>
      </c>
      <c r="B683" s="16">
        <v>65.071369000000004</v>
      </c>
    </row>
    <row r="684" spans="1:2">
      <c r="A684" s="19">
        <v>45407.958333000002</v>
      </c>
      <c r="B684" s="16">
        <v>65.543345000000002</v>
      </c>
    </row>
    <row r="685" spans="1:2">
      <c r="A685" s="19">
        <v>45407.959027999997</v>
      </c>
      <c r="B685" s="16">
        <v>65.178781999999998</v>
      </c>
    </row>
    <row r="686" spans="1:2">
      <c r="A686" s="19">
        <v>45407.959722</v>
      </c>
      <c r="B686" s="16">
        <v>64.152412999999996</v>
      </c>
    </row>
    <row r="687" spans="1:2">
      <c r="A687" s="19">
        <v>45407.960417000002</v>
      </c>
      <c r="B687" s="16">
        <v>65.631696000000005</v>
      </c>
    </row>
    <row r="688" spans="1:2">
      <c r="A688" s="19">
        <v>45407.961110999997</v>
      </c>
      <c r="B688" s="16">
        <v>65.329205999999999</v>
      </c>
    </row>
    <row r="689" spans="1:2">
      <c r="A689" s="19">
        <v>45407.961805999999</v>
      </c>
      <c r="B689" s="16">
        <v>65.661469999999994</v>
      </c>
    </row>
    <row r="690" spans="1:2">
      <c r="A690" s="19">
        <v>45407.962500000001</v>
      </c>
      <c r="B690" s="16">
        <v>65.569592999999998</v>
      </c>
    </row>
    <row r="691" spans="1:2">
      <c r="A691" s="19">
        <v>45407.963194000004</v>
      </c>
      <c r="B691" s="16">
        <v>64.613619</v>
      </c>
    </row>
    <row r="692" spans="1:2">
      <c r="A692" s="19">
        <v>45407.963888999999</v>
      </c>
      <c r="B692" s="16">
        <v>65.129597000000004</v>
      </c>
    </row>
    <row r="693" spans="1:2">
      <c r="A693" s="19">
        <v>45407.964583000001</v>
      </c>
      <c r="B693" s="16">
        <v>64.634724000000006</v>
      </c>
    </row>
    <row r="694" spans="1:2">
      <c r="A694" s="19">
        <v>45407.965278000003</v>
      </c>
      <c r="B694" s="16">
        <v>64.582678000000001</v>
      </c>
    </row>
    <row r="695" spans="1:2">
      <c r="A695" s="19">
        <v>45407.965971999998</v>
      </c>
      <c r="B695" s="16">
        <v>65.171957000000006</v>
      </c>
    </row>
    <row r="696" spans="1:2">
      <c r="A696" s="19">
        <v>45407.966667000001</v>
      </c>
      <c r="B696" s="16">
        <v>64.961043000000004</v>
      </c>
    </row>
    <row r="697" spans="1:2">
      <c r="A697" s="19">
        <v>45407.967361000003</v>
      </c>
      <c r="B697" s="16">
        <v>64.789225999999999</v>
      </c>
    </row>
    <row r="698" spans="1:2">
      <c r="A698" s="19">
        <v>45407.968055999998</v>
      </c>
      <c r="B698" s="16">
        <v>65.070381999999995</v>
      </c>
    </row>
    <row r="699" spans="1:2">
      <c r="A699" s="19">
        <v>45407.96875</v>
      </c>
      <c r="B699" s="16">
        <v>65.049222</v>
      </c>
    </row>
    <row r="700" spans="1:2">
      <c r="A700" s="19">
        <v>45407.969444000002</v>
      </c>
      <c r="B700" s="16">
        <v>65.220387000000002</v>
      </c>
    </row>
    <row r="701" spans="1:2">
      <c r="A701" s="19">
        <v>45407.970138999997</v>
      </c>
      <c r="B701" s="16">
        <v>64.976335000000006</v>
      </c>
    </row>
    <row r="702" spans="1:2">
      <c r="A702" s="19">
        <v>45407.970832999999</v>
      </c>
      <c r="B702" s="16">
        <v>64.504327000000004</v>
      </c>
    </row>
    <row r="703" spans="1:2">
      <c r="A703" s="19">
        <v>45407.971528000002</v>
      </c>
      <c r="B703" s="16">
        <v>64.826549</v>
      </c>
    </row>
    <row r="704" spans="1:2">
      <c r="A704" s="19">
        <v>45407.972221999997</v>
      </c>
      <c r="B704" s="16">
        <v>65.474711999999997</v>
      </c>
    </row>
    <row r="705" spans="1:2">
      <c r="A705" s="19">
        <v>45407.972916999999</v>
      </c>
      <c r="B705" s="16">
        <v>65.881994000000006</v>
      </c>
    </row>
    <row r="706" spans="1:2">
      <c r="A706" s="19">
        <v>45407.973611000001</v>
      </c>
      <c r="B706" s="16">
        <v>63.937390999999998</v>
      </c>
    </row>
    <row r="707" spans="1:2">
      <c r="A707" s="19">
        <v>45407.974305999996</v>
      </c>
      <c r="B707" s="16">
        <v>64.931466</v>
      </c>
    </row>
    <row r="708" spans="1:2">
      <c r="A708" s="19">
        <v>45407.974999999999</v>
      </c>
      <c r="B708" s="16">
        <v>64.533331000000004</v>
      </c>
    </row>
    <row r="709" spans="1:2">
      <c r="A709" s="19">
        <v>45407.975694000001</v>
      </c>
      <c r="B709" s="16">
        <v>64.559101999999996</v>
      </c>
    </row>
    <row r="710" spans="1:2">
      <c r="A710" s="19">
        <v>45407.976389000003</v>
      </c>
      <c r="B710" s="16">
        <v>65.372144000000006</v>
      </c>
    </row>
    <row r="711" spans="1:2">
      <c r="A711" s="19">
        <v>45407.977082999998</v>
      </c>
      <c r="B711" s="16">
        <v>64.046539999999993</v>
      </c>
    </row>
    <row r="712" spans="1:2">
      <c r="A712" s="19">
        <v>45407.977778</v>
      </c>
      <c r="B712" s="16">
        <v>65.043724999999995</v>
      </c>
    </row>
    <row r="713" spans="1:2">
      <c r="A713" s="19">
        <v>45407.978472000003</v>
      </c>
      <c r="B713" s="16">
        <v>63.939024000000003</v>
      </c>
    </row>
    <row r="714" spans="1:2">
      <c r="A714" s="19">
        <v>45407.979166999998</v>
      </c>
      <c r="B714" s="16">
        <v>63.948369</v>
      </c>
    </row>
    <row r="715" spans="1:2">
      <c r="A715" s="19">
        <v>45407.979861</v>
      </c>
      <c r="B715" s="16">
        <v>64.135879000000003</v>
      </c>
    </row>
    <row r="716" spans="1:2">
      <c r="A716" s="19">
        <v>45407.980556000002</v>
      </c>
      <c r="B716" s="16">
        <v>65.505066999999997</v>
      </c>
    </row>
    <row r="717" spans="1:2">
      <c r="A717" s="19">
        <v>45407.981249999997</v>
      </c>
      <c r="B717" s="16">
        <v>64.570851000000005</v>
      </c>
    </row>
    <row r="718" spans="1:2">
      <c r="A718" s="19">
        <v>45407.981943999999</v>
      </c>
      <c r="B718" s="16">
        <v>65.344408000000001</v>
      </c>
    </row>
    <row r="719" spans="1:2">
      <c r="A719" s="19">
        <v>45407.982639000002</v>
      </c>
      <c r="B719" s="16">
        <v>65.413363000000004</v>
      </c>
    </row>
    <row r="720" spans="1:2">
      <c r="A720" s="19">
        <v>45407.983332999996</v>
      </c>
      <c r="B720" s="16">
        <v>63.173743000000002</v>
      </c>
    </row>
    <row r="721" spans="1:2">
      <c r="A721" s="19">
        <v>45407.984027999999</v>
      </c>
      <c r="B721" s="16">
        <v>64.902771000000001</v>
      </c>
    </row>
    <row r="722" spans="1:2">
      <c r="A722" s="19">
        <v>45407.984722000001</v>
      </c>
      <c r="B722" s="16">
        <v>65.499679999999998</v>
      </c>
    </row>
    <row r="723" spans="1:2">
      <c r="A723" s="19">
        <v>45407.985417000004</v>
      </c>
      <c r="B723" s="16">
        <v>65.347362000000004</v>
      </c>
    </row>
    <row r="724" spans="1:2">
      <c r="A724" s="19">
        <v>45407.986110999998</v>
      </c>
      <c r="B724" s="16">
        <v>64.878817999999995</v>
      </c>
    </row>
    <row r="725" spans="1:2">
      <c r="A725" s="19">
        <v>45407.986806000001</v>
      </c>
      <c r="B725" s="16">
        <v>64.600730999999996</v>
      </c>
    </row>
    <row r="726" spans="1:2">
      <c r="A726" s="19">
        <v>45407.987500000003</v>
      </c>
      <c r="B726" s="16">
        <v>64.139865</v>
      </c>
    </row>
    <row r="727" spans="1:2">
      <c r="A727" s="19">
        <v>45407.988193999998</v>
      </c>
      <c r="B727" s="16">
        <v>67.343020999999993</v>
      </c>
    </row>
    <row r="728" spans="1:2">
      <c r="A728" s="19">
        <v>45407.988889</v>
      </c>
      <c r="B728" s="16">
        <v>68.989358999999993</v>
      </c>
    </row>
    <row r="729" spans="1:2">
      <c r="A729" s="19">
        <v>45407.989583000002</v>
      </c>
      <c r="B729" s="16">
        <v>69.426744999999997</v>
      </c>
    </row>
    <row r="730" spans="1:2">
      <c r="A730" s="19">
        <v>45407.990277999997</v>
      </c>
      <c r="B730" s="16">
        <v>68.578787000000005</v>
      </c>
    </row>
    <row r="731" spans="1:2">
      <c r="A731" s="19">
        <v>45407.990972</v>
      </c>
      <c r="B731" s="16">
        <v>69.056556999999998</v>
      </c>
    </row>
    <row r="732" spans="1:2">
      <c r="A732" s="19">
        <v>45407.991667000002</v>
      </c>
      <c r="B732" s="16">
        <v>69.254056000000006</v>
      </c>
    </row>
    <row r="733" spans="1:2">
      <c r="A733" s="19">
        <v>45407.992360999997</v>
      </c>
      <c r="B733" s="16">
        <v>68.369669999999999</v>
      </c>
    </row>
    <row r="734" spans="1:2">
      <c r="A734" s="19">
        <v>45407.993055999999</v>
      </c>
      <c r="B734" s="16">
        <v>68.913820999999999</v>
      </c>
    </row>
    <row r="735" spans="1:2">
      <c r="A735" s="19">
        <v>45407.993750000001</v>
      </c>
      <c r="B735" s="16">
        <v>68.628733999999994</v>
      </c>
    </row>
    <row r="736" spans="1:2">
      <c r="A736" s="19">
        <v>45407.994444000004</v>
      </c>
      <c r="B736" s="16">
        <v>68.570340999999999</v>
      </c>
    </row>
    <row r="737" spans="1:2">
      <c r="A737" s="19">
        <v>45407.995138999999</v>
      </c>
      <c r="B737" s="16">
        <v>69.303123999999997</v>
      </c>
    </row>
    <row r="738" spans="1:2">
      <c r="A738" s="19">
        <v>45407.995833000001</v>
      </c>
      <c r="B738" s="16">
        <v>67.804840999999996</v>
      </c>
    </row>
    <row r="739" spans="1:2">
      <c r="A739" s="19">
        <v>45407.996528000003</v>
      </c>
      <c r="B739" s="16">
        <v>69.566265999999999</v>
      </c>
    </row>
    <row r="740" spans="1:2">
      <c r="A740" s="19">
        <v>45407.997221999998</v>
      </c>
      <c r="B740" s="16">
        <v>68.192357000000001</v>
      </c>
    </row>
    <row r="741" spans="1:2">
      <c r="A741" s="19">
        <v>45407.997917000001</v>
      </c>
      <c r="B741" s="16">
        <v>69.158161000000007</v>
      </c>
    </row>
    <row r="742" spans="1:2">
      <c r="A742" s="19">
        <v>45407.998611000003</v>
      </c>
      <c r="B742" s="16">
        <v>69.402253999999999</v>
      </c>
    </row>
    <row r="743" spans="1:2">
      <c r="A743" s="19">
        <v>45407.999305999998</v>
      </c>
      <c r="B743" s="16">
        <v>69.692052000000004</v>
      </c>
    </row>
    <row r="744" spans="1:2">
      <c r="A744" s="19">
        <v>45408</v>
      </c>
      <c r="B744" s="16">
        <v>67.326432999999994</v>
      </c>
    </row>
    <row r="745" spans="1:2">
      <c r="A745" s="19">
        <v>45408.000694000002</v>
      </c>
      <c r="B745" s="16">
        <v>68.101791000000006</v>
      </c>
    </row>
    <row r="746" spans="1:2">
      <c r="A746" s="19">
        <v>45408.001388999997</v>
      </c>
      <c r="B746" s="16">
        <v>68.282842000000002</v>
      </c>
    </row>
    <row r="747" spans="1:2">
      <c r="A747" s="19">
        <v>45408.002082999999</v>
      </c>
      <c r="B747" s="16">
        <v>68.920682999999997</v>
      </c>
    </row>
    <row r="748" spans="1:2">
      <c r="A748" s="19">
        <v>45408.002778000002</v>
      </c>
      <c r="B748" s="16">
        <v>69.418885000000003</v>
      </c>
    </row>
    <row r="749" spans="1:2">
      <c r="A749" s="19">
        <v>45408.003471999997</v>
      </c>
      <c r="B749" s="16">
        <v>69.937323000000006</v>
      </c>
    </row>
    <row r="750" spans="1:2">
      <c r="A750" s="19">
        <v>45408.004166999999</v>
      </c>
      <c r="B750" s="16">
        <v>68.918312</v>
      </c>
    </row>
    <row r="751" spans="1:2">
      <c r="A751" s="19">
        <v>45408.004861000001</v>
      </c>
      <c r="B751" s="16">
        <v>68.817008999999999</v>
      </c>
    </row>
    <row r="752" spans="1:2">
      <c r="A752" s="19">
        <v>45408.005555999996</v>
      </c>
      <c r="B752" s="16">
        <v>68.768833999999998</v>
      </c>
    </row>
    <row r="753" spans="1:2">
      <c r="A753" s="19">
        <v>45408.006249999999</v>
      </c>
      <c r="B753" s="16">
        <v>68.257330999999994</v>
      </c>
    </row>
    <row r="754" spans="1:2">
      <c r="A754" s="19">
        <v>45408.006944000001</v>
      </c>
      <c r="B754" s="16">
        <v>67.673089000000004</v>
      </c>
    </row>
    <row r="755" spans="1:2">
      <c r="A755" s="19">
        <v>45408.007639000003</v>
      </c>
      <c r="B755" s="16">
        <v>68.759636999999998</v>
      </c>
    </row>
    <row r="756" spans="1:2">
      <c r="A756" s="19">
        <v>45408.008332999998</v>
      </c>
      <c r="B756" s="16">
        <v>68.090823999999998</v>
      </c>
    </row>
    <row r="757" spans="1:2">
      <c r="A757" s="19">
        <v>45408.009028</v>
      </c>
      <c r="B757" s="16">
        <v>68.721401</v>
      </c>
    </row>
    <row r="758" spans="1:2">
      <c r="A758" s="19">
        <v>45408.009722000003</v>
      </c>
      <c r="B758" s="16">
        <v>69.484260000000006</v>
      </c>
    </row>
    <row r="759" spans="1:2">
      <c r="A759" s="19">
        <v>45408.010416999998</v>
      </c>
      <c r="B759" s="16">
        <v>67.777911000000003</v>
      </c>
    </row>
    <row r="760" spans="1:2">
      <c r="A760" s="19">
        <v>45408.011111</v>
      </c>
      <c r="B760" s="16">
        <v>67.514386999999999</v>
      </c>
    </row>
    <row r="761" spans="1:2">
      <c r="A761" s="19">
        <v>45408.011806000002</v>
      </c>
      <c r="B761" s="16">
        <v>67.697541999999999</v>
      </c>
    </row>
    <row r="762" spans="1:2">
      <c r="A762" s="19">
        <v>45408.012499999997</v>
      </c>
      <c r="B762" s="16">
        <v>68.258146999999994</v>
      </c>
    </row>
    <row r="763" spans="1:2">
      <c r="A763" s="19">
        <v>45408.013193999999</v>
      </c>
      <c r="B763" s="16">
        <v>68.091092000000003</v>
      </c>
    </row>
    <row r="764" spans="1:2">
      <c r="A764" s="19">
        <v>45408.013889000002</v>
      </c>
      <c r="B764" s="16">
        <v>68.130390000000006</v>
      </c>
    </row>
    <row r="765" spans="1:2">
      <c r="A765" s="19">
        <v>45408.014582999996</v>
      </c>
      <c r="B765" s="16">
        <v>67.202420000000004</v>
      </c>
    </row>
    <row r="766" spans="1:2">
      <c r="A766" s="19">
        <v>45408.015277999999</v>
      </c>
      <c r="B766" s="16">
        <v>69.322948999999994</v>
      </c>
    </row>
    <row r="767" spans="1:2">
      <c r="A767" s="19">
        <v>45408.015972000001</v>
      </c>
      <c r="B767" s="16">
        <v>67.921100999999993</v>
      </c>
    </row>
    <row r="768" spans="1:2">
      <c r="A768" s="19">
        <v>45408.016667000004</v>
      </c>
      <c r="B768" s="16">
        <v>70.562931000000006</v>
      </c>
    </row>
    <row r="769" spans="1:2">
      <c r="A769" s="19">
        <v>45408.017360999998</v>
      </c>
      <c r="B769" s="16">
        <v>68.688372999999999</v>
      </c>
    </row>
    <row r="770" spans="1:2">
      <c r="A770" s="19">
        <v>45408.018056000001</v>
      </c>
      <c r="B770" s="16">
        <v>68.082762000000002</v>
      </c>
    </row>
    <row r="771" spans="1:2">
      <c r="A771" s="19">
        <v>45408.018750000003</v>
      </c>
      <c r="B771" s="16">
        <v>68.069186000000002</v>
      </c>
    </row>
    <row r="772" spans="1:2">
      <c r="A772" s="19">
        <v>45408.019443999998</v>
      </c>
      <c r="B772" s="16">
        <v>69.199861999999996</v>
      </c>
    </row>
    <row r="773" spans="1:2">
      <c r="A773" s="19">
        <v>45408.020139</v>
      </c>
      <c r="B773" s="16">
        <v>69.136578</v>
      </c>
    </row>
    <row r="774" spans="1:2">
      <c r="A774" s="19">
        <v>45408.020833000002</v>
      </c>
      <c r="B774" s="16">
        <v>67.475219999999993</v>
      </c>
    </row>
    <row r="775" spans="1:2">
      <c r="A775" s="19">
        <v>45408.021527999997</v>
      </c>
      <c r="B775" s="16">
        <v>68.814924000000005</v>
      </c>
    </row>
    <row r="776" spans="1:2">
      <c r="A776" s="19">
        <v>45408.022222</v>
      </c>
      <c r="B776" s="16">
        <v>69.475337999999994</v>
      </c>
    </row>
    <row r="777" spans="1:2">
      <c r="A777" s="19">
        <v>45408.022917000002</v>
      </c>
      <c r="B777" s="16">
        <v>68.763748000000007</v>
      </c>
    </row>
    <row r="778" spans="1:2">
      <c r="A778" s="19">
        <v>45408.023610999997</v>
      </c>
      <c r="B778" s="16">
        <v>69.658778999999996</v>
      </c>
    </row>
    <row r="779" spans="1:2">
      <c r="A779" s="19">
        <v>45408.024305999999</v>
      </c>
      <c r="B779" s="16">
        <v>68.436881999999997</v>
      </c>
    </row>
    <row r="780" spans="1:2">
      <c r="A780" s="19">
        <v>45408.025000000001</v>
      </c>
      <c r="B780" s="16">
        <v>68.961849000000001</v>
      </c>
    </row>
    <row r="781" spans="1:2">
      <c r="A781" s="19">
        <v>45408.025694000004</v>
      </c>
      <c r="B781" s="16">
        <v>68.142066</v>
      </c>
    </row>
    <row r="782" spans="1:2">
      <c r="A782" s="19">
        <v>45408.026388999999</v>
      </c>
      <c r="B782" s="16">
        <v>68.140523000000002</v>
      </c>
    </row>
    <row r="783" spans="1:2">
      <c r="A783" s="19">
        <v>45408.027083000001</v>
      </c>
      <c r="B783" s="16">
        <v>68.358641000000006</v>
      </c>
    </row>
    <row r="784" spans="1:2">
      <c r="A784" s="19">
        <v>45408.027778000003</v>
      </c>
      <c r="B784" s="16">
        <v>67.489549999999994</v>
      </c>
    </row>
    <row r="785" spans="1:2">
      <c r="A785" s="19">
        <v>45408.028471999998</v>
      </c>
      <c r="B785" s="16">
        <v>68.620878000000005</v>
      </c>
    </row>
    <row r="786" spans="1:2">
      <c r="A786" s="19">
        <v>45408.029167000001</v>
      </c>
      <c r="B786" s="16">
        <v>69.056991999999994</v>
      </c>
    </row>
    <row r="787" spans="1:2">
      <c r="A787" s="19">
        <v>45408.029861000003</v>
      </c>
      <c r="B787" s="16">
        <v>68.584247000000005</v>
      </c>
    </row>
    <row r="788" spans="1:2">
      <c r="A788" s="19">
        <v>45408.030555999998</v>
      </c>
      <c r="B788" s="16">
        <v>68.546989999999994</v>
      </c>
    </row>
    <row r="789" spans="1:2">
      <c r="A789" s="19">
        <v>45408.03125</v>
      </c>
      <c r="B789" s="16">
        <v>68.415023000000005</v>
      </c>
    </row>
    <row r="790" spans="1:2">
      <c r="A790" s="19">
        <v>45408.031944000002</v>
      </c>
      <c r="B790" s="16">
        <v>67.847736999999995</v>
      </c>
    </row>
    <row r="791" spans="1:2">
      <c r="A791" s="19">
        <v>45408.032638999997</v>
      </c>
      <c r="B791" s="16">
        <v>68.952309999999997</v>
      </c>
    </row>
    <row r="792" spans="1:2">
      <c r="A792" s="19">
        <v>45408.033332999999</v>
      </c>
      <c r="B792" s="16">
        <v>68.673271999999997</v>
      </c>
    </row>
    <row r="793" spans="1:2">
      <c r="A793" s="19">
        <v>45408.034028000002</v>
      </c>
      <c r="B793" s="16">
        <v>68.595900999999998</v>
      </c>
    </row>
    <row r="794" spans="1:2">
      <c r="A794" s="19">
        <v>45408.034721999997</v>
      </c>
      <c r="B794" s="16">
        <v>67.909495000000007</v>
      </c>
    </row>
    <row r="795" spans="1:2">
      <c r="A795" s="19">
        <v>45408.035416999999</v>
      </c>
      <c r="B795" s="16">
        <v>68.665960999999996</v>
      </c>
    </row>
    <row r="796" spans="1:2">
      <c r="A796" s="19">
        <v>45408.036111000001</v>
      </c>
      <c r="B796" s="16">
        <v>67.497004000000004</v>
      </c>
    </row>
    <row r="797" spans="1:2">
      <c r="A797" s="19">
        <v>45408.036805999996</v>
      </c>
      <c r="B797" s="16">
        <v>67.753962000000001</v>
      </c>
    </row>
    <row r="798" spans="1:2">
      <c r="A798" s="19">
        <v>45408.037499999999</v>
      </c>
      <c r="B798" s="16">
        <v>68.726968999999997</v>
      </c>
    </row>
    <row r="799" spans="1:2">
      <c r="A799" s="19">
        <v>45408.038194000001</v>
      </c>
      <c r="B799" s="16">
        <v>68.783547999999996</v>
      </c>
    </row>
    <row r="800" spans="1:2">
      <c r="A800" s="19">
        <v>45408.038889000003</v>
      </c>
      <c r="B800" s="16">
        <v>69.058147000000005</v>
      </c>
    </row>
    <row r="801" spans="1:2">
      <c r="A801" s="19">
        <v>45408.039582999998</v>
      </c>
      <c r="B801" s="16">
        <v>67.947689999999994</v>
      </c>
    </row>
    <row r="802" spans="1:2">
      <c r="A802" s="19">
        <v>45408.040278</v>
      </c>
      <c r="B802" s="16">
        <v>67.526234000000002</v>
      </c>
    </row>
    <row r="803" spans="1:2">
      <c r="A803" s="19">
        <v>45408.040972000003</v>
      </c>
      <c r="B803" s="16">
        <v>68.615358999999998</v>
      </c>
    </row>
    <row r="804" spans="1:2">
      <c r="A804" s="19">
        <v>45408.041666999998</v>
      </c>
      <c r="B804" s="16">
        <v>68.176623000000006</v>
      </c>
    </row>
    <row r="805" spans="1:2">
      <c r="A805" s="19">
        <v>45408.042361</v>
      </c>
      <c r="B805" s="16">
        <v>68.252117999999996</v>
      </c>
    </row>
    <row r="806" spans="1:2">
      <c r="A806" s="19">
        <v>45408.043056000002</v>
      </c>
      <c r="B806" s="16">
        <v>67.422810999999996</v>
      </c>
    </row>
    <row r="807" spans="1:2">
      <c r="A807" s="19">
        <v>45408.043749999997</v>
      </c>
      <c r="B807" s="16">
        <v>68.521456000000001</v>
      </c>
    </row>
    <row r="808" spans="1:2">
      <c r="A808" s="19">
        <v>45408.044443999999</v>
      </c>
      <c r="B808" s="16">
        <v>67.381319000000005</v>
      </c>
    </row>
    <row r="809" spans="1:2">
      <c r="A809" s="19">
        <v>45408.045139000002</v>
      </c>
      <c r="B809" s="16">
        <v>68.677644000000001</v>
      </c>
    </row>
    <row r="810" spans="1:2">
      <c r="A810" s="19">
        <v>45408.045832999996</v>
      </c>
      <c r="B810" s="16">
        <v>68.376896000000002</v>
      </c>
    </row>
    <row r="811" spans="1:2">
      <c r="A811" s="19">
        <v>45408.046527999999</v>
      </c>
      <c r="B811" s="16">
        <v>69.306093000000004</v>
      </c>
    </row>
    <row r="812" spans="1:2">
      <c r="A812" s="19">
        <v>45408.047222000001</v>
      </c>
      <c r="B812" s="16">
        <v>68.266086000000001</v>
      </c>
    </row>
    <row r="813" spans="1:2">
      <c r="A813" s="19">
        <v>45408.047917000004</v>
      </c>
      <c r="B813" s="16">
        <v>68.665127999999996</v>
      </c>
    </row>
    <row r="814" spans="1:2">
      <c r="A814" s="19">
        <v>45408.048610999998</v>
      </c>
      <c r="B814" s="16">
        <v>68.243851000000006</v>
      </c>
    </row>
    <row r="815" spans="1:2">
      <c r="A815" s="19">
        <v>45408.049306000001</v>
      </c>
      <c r="B815" s="16">
        <v>67.941401999999997</v>
      </c>
    </row>
    <row r="816" spans="1:2">
      <c r="A816" s="19">
        <v>45408.05</v>
      </c>
      <c r="B816" s="16">
        <v>68.400597000000005</v>
      </c>
    </row>
    <row r="817" spans="1:2">
      <c r="A817" s="19">
        <v>45408.050693999998</v>
      </c>
      <c r="B817" s="16">
        <v>68.413492000000005</v>
      </c>
    </row>
    <row r="818" spans="1:2">
      <c r="A818" s="19">
        <v>45408.051389</v>
      </c>
      <c r="B818" s="16">
        <v>68.172545999999997</v>
      </c>
    </row>
    <row r="819" spans="1:2">
      <c r="A819" s="19">
        <v>45408.052083000002</v>
      </c>
      <c r="B819" s="16">
        <v>69.034976</v>
      </c>
    </row>
    <row r="820" spans="1:2">
      <c r="A820" s="19">
        <v>45408.052777999997</v>
      </c>
      <c r="B820" s="16">
        <v>68.066929999999999</v>
      </c>
    </row>
    <row r="821" spans="1:2">
      <c r="A821" s="19">
        <v>45408.053472</v>
      </c>
      <c r="B821" s="16">
        <v>68.414175999999998</v>
      </c>
    </row>
    <row r="822" spans="1:2">
      <c r="A822" s="19">
        <v>45408.054167000002</v>
      </c>
      <c r="B822" s="16">
        <v>67.954910999999996</v>
      </c>
    </row>
    <row r="823" spans="1:2">
      <c r="A823" s="19">
        <v>45408.054860999997</v>
      </c>
      <c r="B823" s="16">
        <v>68.122786000000005</v>
      </c>
    </row>
    <row r="824" spans="1:2">
      <c r="A824" s="19">
        <v>45408.055555999999</v>
      </c>
      <c r="B824" s="16">
        <v>68.358782000000005</v>
      </c>
    </row>
    <row r="825" spans="1:2">
      <c r="A825" s="19">
        <v>45408.056250000001</v>
      </c>
      <c r="B825" s="16">
        <v>68.430430999999999</v>
      </c>
    </row>
    <row r="826" spans="1:2">
      <c r="A826" s="19">
        <v>45408.056944000004</v>
      </c>
      <c r="B826" s="16">
        <v>68.388099999999994</v>
      </c>
    </row>
    <row r="827" spans="1:2">
      <c r="A827" s="19">
        <v>45408.057638999999</v>
      </c>
      <c r="B827" s="16">
        <v>68.002347999999998</v>
      </c>
    </row>
    <row r="828" spans="1:2">
      <c r="A828" s="19">
        <v>45408.058333000001</v>
      </c>
      <c r="B828" s="16">
        <v>67.778217999999995</v>
      </c>
    </row>
    <row r="829" spans="1:2">
      <c r="A829" s="19">
        <v>45408.059028000003</v>
      </c>
      <c r="B829" s="16">
        <v>68.704538999999997</v>
      </c>
    </row>
    <row r="830" spans="1:2">
      <c r="A830" s="19">
        <v>45408.059721999998</v>
      </c>
      <c r="B830" s="16">
        <v>67.780724000000006</v>
      </c>
    </row>
    <row r="831" spans="1:2">
      <c r="A831" s="19">
        <v>45408.060417000001</v>
      </c>
      <c r="B831" s="16">
        <v>68.048963999999998</v>
      </c>
    </row>
    <row r="832" spans="1:2">
      <c r="A832" s="19">
        <v>45408.061111000003</v>
      </c>
      <c r="B832" s="16">
        <v>67.359498000000002</v>
      </c>
    </row>
    <row r="833" spans="1:2">
      <c r="A833" s="19">
        <v>45408.061805999998</v>
      </c>
      <c r="B833" s="16">
        <v>68.603769999999997</v>
      </c>
    </row>
    <row r="834" spans="1:2">
      <c r="A834" s="19">
        <v>45408.0625</v>
      </c>
      <c r="B834" s="16">
        <v>68.839534</v>
      </c>
    </row>
    <row r="835" spans="1:2">
      <c r="A835" s="19">
        <v>45408.063194000002</v>
      </c>
      <c r="B835" s="16">
        <v>67.339405999999997</v>
      </c>
    </row>
    <row r="836" spans="1:2">
      <c r="A836" s="19">
        <v>45408.063888999997</v>
      </c>
      <c r="B836" s="16">
        <v>68.484461999999994</v>
      </c>
    </row>
    <row r="837" spans="1:2">
      <c r="A837" s="19">
        <v>45408.064582999999</v>
      </c>
      <c r="B837" s="16">
        <v>68.934737999999996</v>
      </c>
    </row>
    <row r="838" spans="1:2">
      <c r="A838" s="19">
        <v>45408.065278000002</v>
      </c>
      <c r="B838" s="16">
        <v>68.148149000000004</v>
      </c>
    </row>
    <row r="839" spans="1:2">
      <c r="A839" s="19">
        <v>45408.065971999997</v>
      </c>
      <c r="B839" s="16">
        <v>68.661024999999995</v>
      </c>
    </row>
    <row r="840" spans="1:2">
      <c r="A840" s="19">
        <v>45408.066666999999</v>
      </c>
      <c r="B840" s="16">
        <v>67.988811999999996</v>
      </c>
    </row>
    <row r="841" spans="1:2">
      <c r="A841" s="19">
        <v>45408.067361000001</v>
      </c>
      <c r="B841" s="16">
        <v>68.330241000000001</v>
      </c>
    </row>
    <row r="842" spans="1:2">
      <c r="A842" s="19">
        <v>45408.068055999996</v>
      </c>
      <c r="B842" s="16">
        <v>67.867278999999996</v>
      </c>
    </row>
    <row r="843" spans="1:2">
      <c r="A843" s="19">
        <v>45408.068749999999</v>
      </c>
      <c r="B843" s="16">
        <v>68.084626999999998</v>
      </c>
    </row>
    <row r="844" spans="1:2">
      <c r="A844" s="19">
        <v>45408.069444000001</v>
      </c>
      <c r="B844" s="16">
        <v>68.198387999999994</v>
      </c>
    </row>
    <row r="845" spans="1:2">
      <c r="A845" s="19">
        <v>45408.070139000003</v>
      </c>
      <c r="B845" s="16">
        <v>67.534617999999995</v>
      </c>
    </row>
    <row r="846" spans="1:2">
      <c r="A846" s="19">
        <v>45408.070832999998</v>
      </c>
      <c r="B846" s="16">
        <v>67.671094999999994</v>
      </c>
    </row>
    <row r="847" spans="1:2">
      <c r="A847" s="19">
        <v>45408.071528</v>
      </c>
      <c r="B847" s="16">
        <v>72.426751999999993</v>
      </c>
    </row>
    <row r="848" spans="1:2">
      <c r="A848" s="19">
        <v>45408.072222000003</v>
      </c>
      <c r="B848" s="16">
        <v>78.523723000000004</v>
      </c>
    </row>
    <row r="849" spans="1:2">
      <c r="A849" s="19">
        <v>45408.072916999998</v>
      </c>
      <c r="B849" s="16">
        <v>77.326685999999995</v>
      </c>
    </row>
    <row r="850" spans="1:2">
      <c r="A850" s="19">
        <v>45408.073611</v>
      </c>
      <c r="B850" s="16">
        <v>78.425651999999999</v>
      </c>
    </row>
    <row r="851" spans="1:2">
      <c r="A851" s="19">
        <v>45408.074306000002</v>
      </c>
      <c r="B851" s="16">
        <v>78.192147000000006</v>
      </c>
    </row>
    <row r="852" spans="1:2">
      <c r="A852" s="19">
        <v>45408.074999999997</v>
      </c>
      <c r="B852" s="16">
        <v>77.273837</v>
      </c>
    </row>
    <row r="853" spans="1:2">
      <c r="A853" s="19">
        <v>45408.075693999999</v>
      </c>
      <c r="B853" s="16">
        <v>77.565430000000006</v>
      </c>
    </row>
    <row r="854" spans="1:2">
      <c r="A854" s="19">
        <v>45408.076389000002</v>
      </c>
      <c r="B854" s="16">
        <v>79.616067000000001</v>
      </c>
    </row>
    <row r="855" spans="1:2">
      <c r="A855" s="19">
        <v>45408.077082999996</v>
      </c>
      <c r="B855" s="16">
        <v>79.527725000000004</v>
      </c>
    </row>
    <row r="856" spans="1:2">
      <c r="A856" s="19">
        <v>45408.077777999999</v>
      </c>
      <c r="B856" s="16">
        <v>79.068095999999997</v>
      </c>
    </row>
    <row r="857" spans="1:2">
      <c r="A857" s="19">
        <v>45408.078472000001</v>
      </c>
      <c r="B857" s="16">
        <v>79.124319</v>
      </c>
    </row>
    <row r="858" spans="1:2">
      <c r="A858" s="19">
        <v>45408.079167000004</v>
      </c>
      <c r="B858" s="16">
        <v>78.089628000000005</v>
      </c>
    </row>
    <row r="859" spans="1:2">
      <c r="A859" s="19">
        <v>45408.079860999998</v>
      </c>
      <c r="B859" s="16">
        <v>78.377972999999997</v>
      </c>
    </row>
    <row r="860" spans="1:2">
      <c r="A860" s="19">
        <v>45408.080556000001</v>
      </c>
      <c r="B860" s="16">
        <v>77.760665000000003</v>
      </c>
    </row>
    <row r="861" spans="1:2">
      <c r="A861" s="19">
        <v>45408.081250000003</v>
      </c>
      <c r="B861" s="16">
        <v>78.296113000000005</v>
      </c>
    </row>
    <row r="862" spans="1:2">
      <c r="A862" s="19">
        <v>45408.081943999998</v>
      </c>
      <c r="B862" s="16">
        <v>79.552282000000005</v>
      </c>
    </row>
    <row r="863" spans="1:2">
      <c r="A863" s="19">
        <v>45408.082639</v>
      </c>
      <c r="B863" s="16">
        <v>78.365098000000003</v>
      </c>
    </row>
    <row r="864" spans="1:2">
      <c r="A864" s="19">
        <v>45408.083333000002</v>
      </c>
      <c r="B864" s="16">
        <v>77.138632000000001</v>
      </c>
    </row>
    <row r="865" spans="1:2">
      <c r="A865" s="19">
        <v>45408.084027999997</v>
      </c>
      <c r="B865" s="16">
        <v>77.026865000000001</v>
      </c>
    </row>
    <row r="866" spans="1:2">
      <c r="A866" s="19">
        <v>45408.084722</v>
      </c>
      <c r="B866" s="16">
        <v>77.831242000000003</v>
      </c>
    </row>
    <row r="867" spans="1:2">
      <c r="A867" s="19">
        <v>45408.085417000002</v>
      </c>
      <c r="B867" s="16">
        <v>78.676074999999997</v>
      </c>
    </row>
    <row r="868" spans="1:2">
      <c r="A868" s="19">
        <v>45408.086110999997</v>
      </c>
      <c r="B868" s="16">
        <v>77.836318000000006</v>
      </c>
    </row>
    <row r="869" spans="1:2">
      <c r="A869" s="19">
        <v>45408.086805999999</v>
      </c>
      <c r="B869" s="16">
        <v>78.821513999999993</v>
      </c>
    </row>
    <row r="870" spans="1:2">
      <c r="A870" s="19">
        <v>45408.087500000001</v>
      </c>
      <c r="B870" s="16">
        <v>78.428900999999996</v>
      </c>
    </row>
    <row r="871" spans="1:2">
      <c r="A871" s="19">
        <v>45408.088194000004</v>
      </c>
      <c r="B871" s="16">
        <v>78.274681999999999</v>
      </c>
    </row>
    <row r="872" spans="1:2">
      <c r="A872" s="19">
        <v>45408.088888999999</v>
      </c>
      <c r="B872" s="16">
        <v>77.773537000000005</v>
      </c>
    </row>
    <row r="873" spans="1:2">
      <c r="A873" s="19">
        <v>45408.089583000001</v>
      </c>
      <c r="B873" s="16">
        <v>78.991826000000003</v>
      </c>
    </row>
    <row r="874" spans="1:2">
      <c r="A874" s="19">
        <v>45408.090278000003</v>
      </c>
      <c r="B874" s="16">
        <v>77.892674999999997</v>
      </c>
    </row>
    <row r="875" spans="1:2">
      <c r="A875" s="19">
        <v>45408.090971999998</v>
      </c>
      <c r="B875" s="16">
        <v>76.987555</v>
      </c>
    </row>
    <row r="876" spans="1:2">
      <c r="A876" s="19">
        <v>45408.091667000001</v>
      </c>
      <c r="B876" s="16">
        <v>76.944032000000007</v>
      </c>
    </row>
    <row r="877" spans="1:2">
      <c r="A877" s="19">
        <v>45408.092361000003</v>
      </c>
      <c r="B877" s="16">
        <v>76.268888000000004</v>
      </c>
    </row>
    <row r="878" spans="1:2">
      <c r="A878" s="19">
        <v>45408.093055999998</v>
      </c>
      <c r="B878" s="16">
        <v>79.479179000000002</v>
      </c>
    </row>
    <row r="879" spans="1:2">
      <c r="A879" s="19">
        <v>45408.09375</v>
      </c>
      <c r="B879" s="16">
        <v>77.141373000000002</v>
      </c>
    </row>
    <row r="880" spans="1:2">
      <c r="A880" s="19">
        <v>45408.094444000002</v>
      </c>
      <c r="B880" s="16">
        <v>77.417835999999994</v>
      </c>
    </row>
    <row r="881" spans="1:2">
      <c r="A881" s="19">
        <v>45408.095138999997</v>
      </c>
      <c r="B881" s="16">
        <v>76.966189</v>
      </c>
    </row>
    <row r="882" spans="1:2">
      <c r="A882" s="19">
        <v>45408.095832999999</v>
      </c>
      <c r="B882" s="16">
        <v>76.094853999999998</v>
      </c>
    </row>
    <row r="883" spans="1:2">
      <c r="A883" s="19">
        <v>45408.096528000002</v>
      </c>
      <c r="B883" s="16">
        <v>78.167514999999995</v>
      </c>
    </row>
    <row r="884" spans="1:2">
      <c r="A884" s="19">
        <v>45408.097221999997</v>
      </c>
      <c r="B884" s="16">
        <v>77.668171000000001</v>
      </c>
    </row>
    <row r="885" spans="1:2">
      <c r="A885" s="19">
        <v>45408.097916999999</v>
      </c>
      <c r="B885" s="16">
        <v>77.307457999999997</v>
      </c>
    </row>
    <row r="886" spans="1:2">
      <c r="A886" s="19">
        <v>45408.098611000001</v>
      </c>
      <c r="B886" s="16">
        <v>78.685963999999998</v>
      </c>
    </row>
    <row r="887" spans="1:2">
      <c r="A887" s="19">
        <v>45408.099305999996</v>
      </c>
      <c r="B887" s="16">
        <v>78.029726999999994</v>
      </c>
    </row>
    <row r="888" spans="1:2">
      <c r="A888" s="19">
        <v>45408.1</v>
      </c>
      <c r="B888" s="16">
        <v>77.148240999999999</v>
      </c>
    </row>
    <row r="889" spans="1:2">
      <c r="A889" s="19">
        <v>45408.100694000001</v>
      </c>
      <c r="B889" s="16">
        <v>77.618173999999996</v>
      </c>
    </row>
    <row r="890" spans="1:2">
      <c r="A890" s="19">
        <v>45408.101389000003</v>
      </c>
      <c r="B890" s="16">
        <v>76.757823999999999</v>
      </c>
    </row>
    <row r="891" spans="1:2">
      <c r="A891" s="19">
        <v>45408.102082999998</v>
      </c>
      <c r="B891" s="16">
        <v>76.879108000000002</v>
      </c>
    </row>
    <row r="892" spans="1:2">
      <c r="A892" s="19">
        <v>45408.102778</v>
      </c>
      <c r="B892" s="16">
        <v>77.977227999999997</v>
      </c>
    </row>
    <row r="893" spans="1:2">
      <c r="A893" s="19">
        <v>45408.103472000003</v>
      </c>
      <c r="B893" s="16">
        <v>77.137777</v>
      </c>
    </row>
    <row r="894" spans="1:2">
      <c r="A894" s="19">
        <v>45408.104166999998</v>
      </c>
      <c r="B894" s="16">
        <v>77.582125000000005</v>
      </c>
    </row>
    <row r="895" spans="1:2">
      <c r="A895" s="19">
        <v>45408.104861</v>
      </c>
      <c r="B895" s="16">
        <v>76.128192999999996</v>
      </c>
    </row>
    <row r="896" spans="1:2">
      <c r="A896" s="19">
        <v>45408.105556000002</v>
      </c>
      <c r="B896" s="16">
        <v>78.308013000000003</v>
      </c>
    </row>
    <row r="897" spans="1:2">
      <c r="A897" s="19">
        <v>45408.106249999997</v>
      </c>
      <c r="B897" s="16">
        <v>78.242350000000002</v>
      </c>
    </row>
    <row r="898" spans="1:2">
      <c r="A898" s="19">
        <v>45408.106943999999</v>
      </c>
      <c r="B898" s="16">
        <v>77.304316999999998</v>
      </c>
    </row>
    <row r="899" spans="1:2">
      <c r="A899" s="19">
        <v>45408.107639000002</v>
      </c>
      <c r="B899" s="16">
        <v>76.593073000000004</v>
      </c>
    </row>
    <row r="900" spans="1:2">
      <c r="A900" s="19">
        <v>45408.108332999996</v>
      </c>
      <c r="B900" s="16">
        <v>78.397070999999997</v>
      </c>
    </row>
    <row r="901" spans="1:2">
      <c r="A901" s="19">
        <v>45408.109027999999</v>
      </c>
      <c r="B901" s="16">
        <v>77.068344999999994</v>
      </c>
    </row>
    <row r="902" spans="1:2">
      <c r="A902" s="19">
        <v>45408.109722000001</v>
      </c>
      <c r="B902" s="16">
        <v>78.532661000000004</v>
      </c>
    </row>
    <row r="903" spans="1:2">
      <c r="A903" s="19">
        <v>45408.110417000004</v>
      </c>
      <c r="B903" s="16">
        <v>75.983199999999997</v>
      </c>
    </row>
    <row r="904" spans="1:2">
      <c r="A904" s="19">
        <v>45408.111110999998</v>
      </c>
      <c r="B904" s="16">
        <v>77.424524000000005</v>
      </c>
    </row>
    <row r="905" spans="1:2">
      <c r="A905" s="19">
        <v>45408.111806000001</v>
      </c>
      <c r="B905" s="16">
        <v>77.671609000000004</v>
      </c>
    </row>
    <row r="906" spans="1:2">
      <c r="A906" s="19">
        <v>45408.112500000003</v>
      </c>
      <c r="B906" s="16">
        <v>77.429186000000001</v>
      </c>
    </row>
    <row r="907" spans="1:2">
      <c r="A907" s="19">
        <v>45408.113193999998</v>
      </c>
      <c r="B907" s="16">
        <v>76.218535000000003</v>
      </c>
    </row>
    <row r="908" spans="1:2">
      <c r="A908" s="19">
        <v>45408.113889</v>
      </c>
      <c r="B908" s="16">
        <v>76.877094</v>
      </c>
    </row>
    <row r="909" spans="1:2">
      <c r="A909" s="19">
        <v>45408.114583000002</v>
      </c>
      <c r="B909" s="16">
        <v>76.286741000000006</v>
      </c>
    </row>
    <row r="910" spans="1:2">
      <c r="A910" s="19">
        <v>45408.115277999997</v>
      </c>
      <c r="B910" s="16">
        <v>77.544465000000002</v>
      </c>
    </row>
    <row r="911" spans="1:2">
      <c r="A911" s="19">
        <v>45408.115972</v>
      </c>
      <c r="B911" s="16">
        <v>76.533683999999994</v>
      </c>
    </row>
    <row r="912" spans="1:2">
      <c r="A912" s="19">
        <v>45408.116667000002</v>
      </c>
      <c r="B912" s="16">
        <v>77.330917999999997</v>
      </c>
    </row>
    <row r="913" spans="1:2">
      <c r="A913" s="19">
        <v>45408.117360999997</v>
      </c>
      <c r="B913" s="16">
        <v>76.305008999999998</v>
      </c>
    </row>
    <row r="914" spans="1:2">
      <c r="A914" s="19">
        <v>45408.118055999999</v>
      </c>
      <c r="B914" s="16">
        <v>76.254486</v>
      </c>
    </row>
    <row r="915" spans="1:2">
      <c r="A915" s="19">
        <v>45408.118750000001</v>
      </c>
      <c r="B915" s="16">
        <v>77.635294000000002</v>
      </c>
    </row>
    <row r="916" spans="1:2">
      <c r="A916" s="19">
        <v>45408.119444000004</v>
      </c>
      <c r="B916" s="16">
        <v>76.380785000000003</v>
      </c>
    </row>
    <row r="917" spans="1:2">
      <c r="A917" s="19">
        <v>45408.120138999999</v>
      </c>
      <c r="B917" s="16">
        <v>77.786063999999996</v>
      </c>
    </row>
    <row r="918" spans="1:2">
      <c r="A918" s="19">
        <v>45408.120833000001</v>
      </c>
      <c r="B918" s="16">
        <v>75.181330000000003</v>
      </c>
    </row>
    <row r="919" spans="1:2">
      <c r="A919" s="19">
        <v>45408.121528000003</v>
      </c>
      <c r="B919" s="16">
        <v>77.460425000000001</v>
      </c>
    </row>
    <row r="920" spans="1:2">
      <c r="A920" s="19">
        <v>45408.122221999998</v>
      </c>
      <c r="B920" s="16">
        <v>75.947411000000002</v>
      </c>
    </row>
    <row r="921" spans="1:2">
      <c r="A921" s="19">
        <v>45408.122917000001</v>
      </c>
      <c r="B921" s="16">
        <v>76.297820000000002</v>
      </c>
    </row>
    <row r="922" spans="1:2">
      <c r="A922" s="19">
        <v>45408.123611000003</v>
      </c>
      <c r="B922" s="16">
        <v>76.723843000000002</v>
      </c>
    </row>
    <row r="923" spans="1:2">
      <c r="A923" s="19">
        <v>45408.124305999998</v>
      </c>
      <c r="B923" s="16">
        <v>77.473741000000004</v>
      </c>
    </row>
    <row r="924" spans="1:2">
      <c r="A924" s="19">
        <v>45408.125</v>
      </c>
      <c r="B924" s="16">
        <v>77.066896999999997</v>
      </c>
    </row>
    <row r="925" spans="1:2">
      <c r="A925" s="19">
        <v>45408.125694000002</v>
      </c>
      <c r="B925" s="16">
        <v>76.533253000000002</v>
      </c>
    </row>
    <row r="926" spans="1:2">
      <c r="A926" s="19">
        <v>45408.126388999997</v>
      </c>
      <c r="B926" s="16">
        <v>76.343380999999994</v>
      </c>
    </row>
    <row r="927" spans="1:2">
      <c r="A927" s="19">
        <v>45408.127082999999</v>
      </c>
      <c r="B927" s="16">
        <v>75.362172999999999</v>
      </c>
    </row>
    <row r="928" spans="1:2">
      <c r="A928" s="19">
        <v>45408.127778000002</v>
      </c>
      <c r="B928" s="16">
        <v>76.706001999999998</v>
      </c>
    </row>
    <row r="929" spans="1:2">
      <c r="A929" s="19">
        <v>45408.128471999997</v>
      </c>
      <c r="B929" s="16">
        <v>76.581153</v>
      </c>
    </row>
    <row r="930" spans="1:2">
      <c r="A930" s="19">
        <v>45408.129166999999</v>
      </c>
      <c r="B930" s="16">
        <v>75.918403999999995</v>
      </c>
    </row>
    <row r="931" spans="1:2">
      <c r="A931" s="19">
        <v>45408.129861000001</v>
      </c>
      <c r="B931" s="16">
        <v>77.519062000000005</v>
      </c>
    </row>
    <row r="932" spans="1:2">
      <c r="A932" s="19">
        <v>45408.130555999996</v>
      </c>
      <c r="B932" s="16">
        <v>75.690284000000005</v>
      </c>
    </row>
    <row r="933" spans="1:2">
      <c r="A933" s="19">
        <v>45408.131249999999</v>
      </c>
      <c r="B933" s="16">
        <v>76.290469999999999</v>
      </c>
    </row>
    <row r="934" spans="1:2">
      <c r="A934" s="19">
        <v>45408.131944000001</v>
      </c>
      <c r="B934" s="16">
        <v>76.423445000000001</v>
      </c>
    </row>
    <row r="935" spans="1:2">
      <c r="A935" s="19">
        <v>45408.132639000003</v>
      </c>
      <c r="B935" s="16">
        <v>77.242081999999996</v>
      </c>
    </row>
    <row r="936" spans="1:2">
      <c r="A936" s="19">
        <v>45408.133332999998</v>
      </c>
      <c r="B936" s="16">
        <v>76.501125999999999</v>
      </c>
    </row>
    <row r="937" spans="1:2">
      <c r="A937" s="19">
        <v>45408.134028</v>
      </c>
      <c r="B937" s="16">
        <v>75.912199000000001</v>
      </c>
    </row>
    <row r="938" spans="1:2">
      <c r="A938" s="19">
        <v>45408.134722000003</v>
      </c>
      <c r="B938" s="16">
        <v>76.556368000000006</v>
      </c>
    </row>
    <row r="939" spans="1:2">
      <c r="A939" s="19">
        <v>45408.135416999998</v>
      </c>
      <c r="B939" s="16">
        <v>75.701472999999993</v>
      </c>
    </row>
    <row r="940" spans="1:2">
      <c r="A940" s="19">
        <v>45408.136111</v>
      </c>
      <c r="B940" s="16">
        <v>77.064599999999999</v>
      </c>
    </row>
    <row r="941" spans="1:2">
      <c r="A941" s="19">
        <v>45408.136806000002</v>
      </c>
      <c r="B941" s="16">
        <v>76.461181999999994</v>
      </c>
    </row>
    <row r="942" spans="1:2">
      <c r="A942" s="19">
        <v>45408.137499999997</v>
      </c>
      <c r="B942" s="16">
        <v>75.096349000000004</v>
      </c>
    </row>
    <row r="943" spans="1:2">
      <c r="A943" s="19">
        <v>45408.138193999999</v>
      </c>
      <c r="B943" s="16">
        <v>77.601973000000001</v>
      </c>
    </row>
    <row r="944" spans="1:2">
      <c r="A944" s="19">
        <v>45408.138889000002</v>
      </c>
      <c r="B944" s="16">
        <v>77.412304000000006</v>
      </c>
    </row>
    <row r="945" spans="1:2">
      <c r="A945" s="19">
        <v>45408.139582999996</v>
      </c>
      <c r="B945" s="16">
        <v>76.265488000000005</v>
      </c>
    </row>
    <row r="946" spans="1:2">
      <c r="A946" s="19">
        <v>45408.140277999999</v>
      </c>
      <c r="B946" s="16">
        <v>76.151942000000005</v>
      </c>
    </row>
    <row r="947" spans="1:2">
      <c r="A947" s="19">
        <v>45408.140972000001</v>
      </c>
      <c r="B947" s="16">
        <v>76.371702999999997</v>
      </c>
    </row>
    <row r="948" spans="1:2">
      <c r="A948" s="19">
        <v>45408.141667000004</v>
      </c>
      <c r="B948" s="16">
        <v>77.766733000000002</v>
      </c>
    </row>
    <row r="949" spans="1:2">
      <c r="A949" s="19">
        <v>45408.142360999998</v>
      </c>
      <c r="B949" s="16">
        <v>76.495125000000002</v>
      </c>
    </row>
    <row r="950" spans="1:2">
      <c r="A950" s="19">
        <v>45408.143056000001</v>
      </c>
      <c r="B950" s="16">
        <v>76.802718999999996</v>
      </c>
    </row>
    <row r="951" spans="1:2">
      <c r="A951" s="19">
        <v>45408.143750000003</v>
      </c>
      <c r="B951" s="16">
        <v>76.526010999999997</v>
      </c>
    </row>
    <row r="952" spans="1:2">
      <c r="A952" s="19">
        <v>45408.144443999998</v>
      </c>
      <c r="B952" s="16">
        <v>76.992034000000004</v>
      </c>
    </row>
    <row r="953" spans="1:2">
      <c r="A953" s="19">
        <v>45408.145139</v>
      </c>
      <c r="B953" s="16">
        <v>76.643063999999995</v>
      </c>
    </row>
    <row r="954" spans="1:2">
      <c r="A954" s="19">
        <v>45408.145833000002</v>
      </c>
      <c r="B954" s="16">
        <v>76.228549000000001</v>
      </c>
    </row>
    <row r="955" spans="1:2">
      <c r="A955" s="19">
        <v>45408.146527999997</v>
      </c>
      <c r="B955" s="16">
        <v>77.531362999999999</v>
      </c>
    </row>
    <row r="956" spans="1:2">
      <c r="A956" s="19">
        <v>45408.147222</v>
      </c>
      <c r="B956" s="16">
        <v>76.822232</v>
      </c>
    </row>
    <row r="957" spans="1:2">
      <c r="A957" s="19">
        <v>45408.147917000002</v>
      </c>
      <c r="B957" s="16">
        <v>76.437451999999993</v>
      </c>
    </row>
    <row r="958" spans="1:2">
      <c r="A958" s="19">
        <v>45408.148610999997</v>
      </c>
      <c r="B958" s="16">
        <v>76.223797000000005</v>
      </c>
    </row>
    <row r="959" spans="1:2">
      <c r="A959" s="19">
        <v>45408.149305999999</v>
      </c>
      <c r="B959" s="16">
        <v>76.491203999999996</v>
      </c>
    </row>
    <row r="960" spans="1:2">
      <c r="A960" s="19">
        <v>45408.15</v>
      </c>
      <c r="B960" s="16">
        <v>76.550890999999993</v>
      </c>
    </row>
    <row r="961" spans="1:2">
      <c r="A961" s="19">
        <v>45408.150694000004</v>
      </c>
      <c r="B961" s="16">
        <v>77.371435000000005</v>
      </c>
    </row>
    <row r="962" spans="1:2">
      <c r="A962" s="19">
        <v>45408.151388999999</v>
      </c>
      <c r="B962" s="16">
        <v>77.186317000000003</v>
      </c>
    </row>
    <row r="963" spans="1:2">
      <c r="A963" s="19">
        <v>45408.152083000001</v>
      </c>
      <c r="B963" s="16">
        <v>75.438582999999994</v>
      </c>
    </row>
    <row r="964" spans="1:2">
      <c r="A964" s="19">
        <v>45408.152778000003</v>
      </c>
      <c r="B964" s="16">
        <v>75.914270999999999</v>
      </c>
    </row>
    <row r="965" spans="1:2">
      <c r="A965" s="19">
        <v>45408.153471999998</v>
      </c>
      <c r="B965" s="16">
        <v>76.446128000000002</v>
      </c>
    </row>
    <row r="966" spans="1:2">
      <c r="A966" s="19">
        <v>45408.154167000001</v>
      </c>
      <c r="B966" s="16">
        <v>76.614571999999995</v>
      </c>
    </row>
    <row r="967" spans="1:2">
      <c r="A967" s="19">
        <v>45408.154861000003</v>
      </c>
      <c r="B967" s="16">
        <v>67.611960999999994</v>
      </c>
    </row>
    <row r="968" spans="1:2">
      <c r="A968" s="19">
        <v>45408.155555999998</v>
      </c>
      <c r="B968" s="16">
        <v>56.772064</v>
      </c>
    </row>
    <row r="969" spans="1:2">
      <c r="A969" s="19">
        <v>45408.15625</v>
      </c>
      <c r="B969" s="16">
        <v>56.716425000000001</v>
      </c>
    </row>
    <row r="970" spans="1:2">
      <c r="A970" s="19">
        <v>45408.156944000002</v>
      </c>
      <c r="B970" s="16">
        <v>57.309204000000001</v>
      </c>
    </row>
    <row r="971" spans="1:2">
      <c r="A971" s="19">
        <v>45408.157638999997</v>
      </c>
      <c r="B971" s="16">
        <v>55.922229999999999</v>
      </c>
    </row>
    <row r="972" spans="1:2">
      <c r="A972" s="19">
        <v>45408.158332999999</v>
      </c>
      <c r="B972" s="16">
        <v>57.063360000000003</v>
      </c>
    </row>
    <row r="973" spans="1:2">
      <c r="A973" s="19">
        <v>45408.159028000002</v>
      </c>
      <c r="B973" s="16">
        <v>54.779460999999998</v>
      </c>
    </row>
    <row r="974" spans="1:2">
      <c r="A974" s="19">
        <v>45408.159721999997</v>
      </c>
      <c r="B974" s="16">
        <v>56.816890999999998</v>
      </c>
    </row>
    <row r="975" spans="1:2">
      <c r="A975" s="19">
        <v>45408.160416999999</v>
      </c>
      <c r="B975" s="16">
        <v>55.953533</v>
      </c>
    </row>
    <row r="976" spans="1:2">
      <c r="A976" s="19">
        <v>45408.161111000001</v>
      </c>
      <c r="B976" s="16">
        <v>56.387934000000001</v>
      </c>
    </row>
    <row r="977" spans="1:2">
      <c r="A977" s="19">
        <v>45408.161805999996</v>
      </c>
      <c r="B977" s="16">
        <v>56.492319000000002</v>
      </c>
    </row>
    <row r="978" spans="1:2">
      <c r="A978" s="19">
        <v>45408.162499999999</v>
      </c>
      <c r="B978" s="16">
        <v>55.916421999999997</v>
      </c>
    </row>
    <row r="979" spans="1:2">
      <c r="A979" s="19">
        <v>45408.163194000001</v>
      </c>
      <c r="B979" s="16">
        <v>56.135306</v>
      </c>
    </row>
    <row r="980" spans="1:2">
      <c r="A980" s="19">
        <v>45408.163889000003</v>
      </c>
      <c r="B980" s="16">
        <v>56.196803000000003</v>
      </c>
    </row>
    <row r="981" spans="1:2">
      <c r="A981" s="19">
        <v>45408.164582999998</v>
      </c>
      <c r="B981" s="16">
        <v>55.694164000000001</v>
      </c>
    </row>
    <row r="982" spans="1:2">
      <c r="A982" s="19">
        <v>45408.165278</v>
      </c>
      <c r="B982" s="16">
        <v>55.657124000000003</v>
      </c>
    </row>
    <row r="983" spans="1:2">
      <c r="A983" s="19">
        <v>45408.165972000003</v>
      </c>
      <c r="B983" s="16">
        <v>56.809182</v>
      </c>
    </row>
    <row r="984" spans="1:2">
      <c r="A984" s="19">
        <v>45408.166666999998</v>
      </c>
      <c r="B984" s="16">
        <v>55.817816000000001</v>
      </c>
    </row>
    <row r="985" spans="1:2">
      <c r="A985" s="19">
        <v>45408.167361</v>
      </c>
      <c r="B985" s="16">
        <v>55.563012999999998</v>
      </c>
    </row>
    <row r="986" spans="1:2">
      <c r="A986" s="19">
        <v>45408.168056000002</v>
      </c>
      <c r="B986" s="16">
        <v>55.811290999999997</v>
      </c>
    </row>
    <row r="987" spans="1:2">
      <c r="A987" s="19">
        <v>45408.168749999997</v>
      </c>
      <c r="B987" s="16">
        <v>55.654530000000001</v>
      </c>
    </row>
    <row r="988" spans="1:2">
      <c r="A988" s="19">
        <v>45408.169443999999</v>
      </c>
      <c r="B988" s="16">
        <v>56.623581999999999</v>
      </c>
    </row>
    <row r="989" spans="1:2">
      <c r="A989" s="19">
        <v>45408.170139000002</v>
      </c>
      <c r="B989" s="16">
        <v>57.338991</v>
      </c>
    </row>
    <row r="990" spans="1:2">
      <c r="A990" s="19">
        <v>45408.170832999996</v>
      </c>
      <c r="B990" s="16">
        <v>56.948126000000002</v>
      </c>
    </row>
    <row r="991" spans="1:2">
      <c r="A991" s="19">
        <v>45408.171527999999</v>
      </c>
      <c r="B991" s="16">
        <v>57.193838999999997</v>
      </c>
    </row>
    <row r="992" spans="1:2">
      <c r="A992" s="19">
        <v>45408.172222000001</v>
      </c>
      <c r="B992" s="16">
        <v>57.204650999999998</v>
      </c>
    </row>
    <row r="993" spans="1:2">
      <c r="A993" s="19">
        <v>45408.172917000004</v>
      </c>
      <c r="B993" s="16">
        <v>55.77825</v>
      </c>
    </row>
    <row r="994" spans="1:2">
      <c r="A994" s="19">
        <v>45408.173610999998</v>
      </c>
      <c r="B994" s="16">
        <v>57.017474</v>
      </c>
    </row>
    <row r="995" spans="1:2">
      <c r="A995" s="19">
        <v>45408.174306000001</v>
      </c>
      <c r="B995" s="16">
        <v>57.265044000000003</v>
      </c>
    </row>
    <row r="996" spans="1:2">
      <c r="A996" s="19">
        <v>45408.175000000003</v>
      </c>
      <c r="B996" s="16">
        <v>55.773254000000001</v>
      </c>
    </row>
    <row r="997" spans="1:2">
      <c r="A997" s="19">
        <v>45408.175693999998</v>
      </c>
      <c r="B997" s="16">
        <v>55.906377999999997</v>
      </c>
    </row>
    <row r="998" spans="1:2">
      <c r="A998" s="19">
        <v>45408.176389</v>
      </c>
      <c r="B998" s="16">
        <v>56.758208000000003</v>
      </c>
    </row>
    <row r="999" spans="1:2">
      <c r="A999" s="19">
        <v>45408.177083000002</v>
      </c>
      <c r="B999" s="16">
        <v>56.632187999999999</v>
      </c>
    </row>
    <row r="1000" spans="1:2">
      <c r="A1000" s="19">
        <v>45408.177777999997</v>
      </c>
      <c r="B1000" s="16">
        <v>57.811056999999998</v>
      </c>
    </row>
    <row r="1001" spans="1:2">
      <c r="A1001" s="19">
        <v>45408.178472</v>
      </c>
      <c r="B1001" s="16">
        <v>56.853098000000003</v>
      </c>
    </row>
    <row r="1002" spans="1:2">
      <c r="A1002" s="19">
        <v>45408.179167000002</v>
      </c>
      <c r="B1002" s="16">
        <v>57.915607999999999</v>
      </c>
    </row>
    <row r="1003" spans="1:2">
      <c r="A1003" s="19">
        <v>45408.179860999997</v>
      </c>
      <c r="B1003" s="16">
        <v>57.203690999999999</v>
      </c>
    </row>
    <row r="1004" spans="1:2">
      <c r="A1004" s="19">
        <v>45408.180555999999</v>
      </c>
      <c r="B1004" s="16">
        <v>56.400998999999999</v>
      </c>
    </row>
    <row r="1005" spans="1:2">
      <c r="A1005" s="19">
        <v>45408.181250000001</v>
      </c>
      <c r="B1005" s="16">
        <v>57.444313000000001</v>
      </c>
    </row>
    <row r="1006" spans="1:2">
      <c r="A1006" s="19">
        <v>45408.181944000004</v>
      </c>
      <c r="B1006" s="16">
        <v>57.825313999999999</v>
      </c>
    </row>
    <row r="1007" spans="1:2">
      <c r="A1007" s="19">
        <v>45408.182638999999</v>
      </c>
      <c r="B1007" s="16">
        <v>56.646191999999999</v>
      </c>
    </row>
    <row r="1008" spans="1:2">
      <c r="A1008" s="19">
        <v>45408.183333000001</v>
      </c>
      <c r="B1008" s="16">
        <v>57.620472999999997</v>
      </c>
    </row>
    <row r="1009" spans="1:2">
      <c r="A1009" s="19">
        <v>45408.184028000003</v>
      </c>
      <c r="B1009" s="16">
        <v>58.144243000000003</v>
      </c>
    </row>
    <row r="1010" spans="1:2">
      <c r="A1010" s="19">
        <v>45408.184721999998</v>
      </c>
      <c r="B1010" s="16">
        <v>56.944761</v>
      </c>
    </row>
    <row r="1011" spans="1:2">
      <c r="A1011" s="19">
        <v>45408.185417000001</v>
      </c>
      <c r="B1011" s="16">
        <v>56.635818999999998</v>
      </c>
    </row>
    <row r="1012" spans="1:2">
      <c r="A1012" s="19">
        <v>45408.186111000003</v>
      </c>
      <c r="B1012" s="16">
        <v>57.598399000000001</v>
      </c>
    </row>
    <row r="1013" spans="1:2">
      <c r="A1013" s="19">
        <v>45408.186805999998</v>
      </c>
      <c r="B1013" s="16">
        <v>57.571714</v>
      </c>
    </row>
    <row r="1014" spans="1:2">
      <c r="A1014" s="19">
        <v>45408.1875</v>
      </c>
      <c r="B1014" s="16">
        <v>57.945790000000002</v>
      </c>
    </row>
    <row r="1015" spans="1:2">
      <c r="A1015" s="19">
        <v>45408.188194000002</v>
      </c>
      <c r="B1015" s="16">
        <v>56.817923999999998</v>
      </c>
    </row>
    <row r="1016" spans="1:2">
      <c r="A1016" s="19">
        <v>45408.188888999997</v>
      </c>
      <c r="B1016" s="16">
        <v>57.824362999999998</v>
      </c>
    </row>
    <row r="1017" spans="1:2">
      <c r="A1017" s="19">
        <v>45408.189582999999</v>
      </c>
      <c r="B1017" s="16">
        <v>57.069490000000002</v>
      </c>
    </row>
    <row r="1018" spans="1:2">
      <c r="A1018" s="19">
        <v>45408.190278000002</v>
      </c>
      <c r="B1018" s="16">
        <v>57.454413000000002</v>
      </c>
    </row>
    <row r="1019" spans="1:2">
      <c r="A1019" s="19">
        <v>45408.190971999997</v>
      </c>
      <c r="B1019" s="16">
        <v>57.272559999999999</v>
      </c>
    </row>
    <row r="1020" spans="1:2">
      <c r="A1020" s="19">
        <v>45408.191666999999</v>
      </c>
      <c r="B1020" s="16">
        <v>57.366126000000001</v>
      </c>
    </row>
    <row r="1021" spans="1:2">
      <c r="A1021" s="19">
        <v>45408.192361000001</v>
      </c>
      <c r="B1021" s="16">
        <v>57.695082999999997</v>
      </c>
    </row>
    <row r="1022" spans="1:2">
      <c r="A1022" s="19">
        <v>45408.193055999996</v>
      </c>
      <c r="B1022" s="16">
        <v>56.570712999999998</v>
      </c>
    </row>
    <row r="1023" spans="1:2">
      <c r="A1023" s="19">
        <v>45408.193749999999</v>
      </c>
      <c r="B1023" s="16">
        <v>57.607111000000003</v>
      </c>
    </row>
    <row r="1024" spans="1:2">
      <c r="A1024" s="19">
        <v>45408.194444000001</v>
      </c>
      <c r="B1024" s="16">
        <v>57.397751999999997</v>
      </c>
    </row>
    <row r="1025" spans="1:2">
      <c r="A1025" s="19">
        <v>45408.195139000003</v>
      </c>
      <c r="B1025" s="16">
        <v>57.072319</v>
      </c>
    </row>
    <row r="1026" spans="1:2">
      <c r="A1026" s="19">
        <v>45408.195832999998</v>
      </c>
      <c r="B1026" s="16">
        <v>56.711337999999998</v>
      </c>
    </row>
    <row r="1027" spans="1:2">
      <c r="A1027" s="19">
        <v>45408.196528</v>
      </c>
      <c r="B1027" s="16">
        <v>57.290044999999999</v>
      </c>
    </row>
    <row r="1028" spans="1:2">
      <c r="A1028" s="19">
        <v>45408.197222000003</v>
      </c>
      <c r="B1028" s="16">
        <v>57.682223999999998</v>
      </c>
    </row>
    <row r="1029" spans="1:2">
      <c r="A1029" s="19">
        <v>45408.197916999998</v>
      </c>
      <c r="B1029" s="16">
        <v>56.950468999999998</v>
      </c>
    </row>
    <row r="1030" spans="1:2">
      <c r="A1030" s="19">
        <v>45408.198611</v>
      </c>
      <c r="B1030" s="16">
        <v>57.339427999999998</v>
      </c>
    </row>
    <row r="1031" spans="1:2">
      <c r="A1031" s="19">
        <v>45408.199306000002</v>
      </c>
      <c r="B1031" s="16">
        <v>56.821434000000004</v>
      </c>
    </row>
    <row r="1032" spans="1:2">
      <c r="A1032" s="19">
        <v>45408.2</v>
      </c>
      <c r="B1032" s="16">
        <v>56.895681000000003</v>
      </c>
    </row>
    <row r="1033" spans="1:2">
      <c r="A1033" s="19">
        <v>45408.200693999999</v>
      </c>
      <c r="B1033" s="16">
        <v>58.904176999999997</v>
      </c>
    </row>
    <row r="1034" spans="1:2">
      <c r="A1034" s="19">
        <v>45408.201389000002</v>
      </c>
      <c r="B1034" s="16">
        <v>57.347650000000002</v>
      </c>
    </row>
    <row r="1035" spans="1:2">
      <c r="A1035" s="19">
        <v>45408.202082999996</v>
      </c>
      <c r="B1035" s="16">
        <v>58.052683999999999</v>
      </c>
    </row>
    <row r="1036" spans="1:2">
      <c r="A1036" s="19">
        <v>45408.202777999999</v>
      </c>
      <c r="B1036" s="16">
        <v>57.546033000000001</v>
      </c>
    </row>
    <row r="1037" spans="1:2">
      <c r="A1037" s="19">
        <v>45408.203472000001</v>
      </c>
      <c r="B1037" s="16">
        <v>57.03246</v>
      </c>
    </row>
    <row r="1038" spans="1:2">
      <c r="A1038" s="19">
        <v>45408.204167000004</v>
      </c>
      <c r="B1038" s="16">
        <v>57.798169000000001</v>
      </c>
    </row>
    <row r="1039" spans="1:2">
      <c r="A1039" s="19">
        <v>45408.204860999998</v>
      </c>
      <c r="B1039" s="16">
        <v>58.094580999999998</v>
      </c>
    </row>
    <row r="1040" spans="1:2">
      <c r="A1040" s="19">
        <v>45408.205556000001</v>
      </c>
      <c r="B1040" s="16">
        <v>57.438954000000003</v>
      </c>
    </row>
    <row r="1041" spans="1:2">
      <c r="A1041" s="19">
        <v>45408.206250000003</v>
      </c>
      <c r="B1041" s="16">
        <v>57.531821000000001</v>
      </c>
    </row>
    <row r="1042" spans="1:2">
      <c r="A1042" s="19">
        <v>45408.206943999998</v>
      </c>
      <c r="B1042" s="16">
        <v>58.783403999999997</v>
      </c>
    </row>
    <row r="1043" spans="1:2">
      <c r="A1043" s="19">
        <v>45408.207639</v>
      </c>
      <c r="B1043" s="16">
        <v>57.320047000000002</v>
      </c>
    </row>
    <row r="1044" spans="1:2">
      <c r="A1044" s="19">
        <v>45408.208333000002</v>
      </c>
      <c r="B1044" s="16">
        <v>58.122005000000001</v>
      </c>
    </row>
    <row r="1045" spans="1:2">
      <c r="A1045" s="19">
        <v>45408.209027999997</v>
      </c>
      <c r="B1045" s="16">
        <v>58.256757999999998</v>
      </c>
    </row>
    <row r="1046" spans="1:2">
      <c r="A1046" s="19">
        <v>45408.209722</v>
      </c>
      <c r="B1046" s="16">
        <v>58.351801000000002</v>
      </c>
    </row>
    <row r="1047" spans="1:2">
      <c r="A1047" s="19">
        <v>45408.210417000002</v>
      </c>
      <c r="B1047" s="16">
        <v>57.463493999999997</v>
      </c>
    </row>
    <row r="1048" spans="1:2">
      <c r="A1048" s="19">
        <v>45408.211110999997</v>
      </c>
      <c r="B1048" s="16">
        <v>57.984927999999996</v>
      </c>
    </row>
    <row r="1049" spans="1:2">
      <c r="A1049" s="19">
        <v>45408.211805999999</v>
      </c>
      <c r="B1049" s="16">
        <v>58.443204999999999</v>
      </c>
    </row>
    <row r="1050" spans="1:2">
      <c r="A1050" s="19">
        <v>45408.212500000001</v>
      </c>
      <c r="B1050" s="16">
        <v>58.244064999999999</v>
      </c>
    </row>
    <row r="1051" spans="1:2">
      <c r="A1051" s="19">
        <v>45408.213194000004</v>
      </c>
      <c r="B1051" s="16">
        <v>58.492637999999999</v>
      </c>
    </row>
    <row r="1052" spans="1:2">
      <c r="A1052" s="19">
        <v>45408.213888999999</v>
      </c>
      <c r="B1052" s="16">
        <v>57.671805999999997</v>
      </c>
    </row>
    <row r="1053" spans="1:2">
      <c r="A1053" s="19">
        <v>45408.214583000001</v>
      </c>
      <c r="B1053" s="16">
        <v>58.588990000000003</v>
      </c>
    </row>
    <row r="1054" spans="1:2">
      <c r="A1054" s="19">
        <v>45408.215278000003</v>
      </c>
      <c r="B1054" s="16">
        <v>57.947854999999997</v>
      </c>
    </row>
    <row r="1055" spans="1:2">
      <c r="A1055" s="19">
        <v>45408.215971999998</v>
      </c>
      <c r="B1055" s="16">
        <v>57.790878999999997</v>
      </c>
    </row>
    <row r="1056" spans="1:2">
      <c r="A1056" s="19">
        <v>45408.216667000001</v>
      </c>
      <c r="B1056" s="16">
        <v>58.645356</v>
      </c>
    </row>
    <row r="1057" spans="1:2">
      <c r="A1057" s="19">
        <v>45408.217361000003</v>
      </c>
      <c r="B1057" s="16">
        <v>57.98686</v>
      </c>
    </row>
    <row r="1058" spans="1:2">
      <c r="A1058" s="19">
        <v>45408.218055999998</v>
      </c>
      <c r="B1058" s="16">
        <v>57.652459999999998</v>
      </c>
    </row>
    <row r="1059" spans="1:2">
      <c r="A1059" s="19">
        <v>45408.21875</v>
      </c>
      <c r="B1059" s="16">
        <v>58.624150999999998</v>
      </c>
    </row>
    <row r="1060" spans="1:2">
      <c r="A1060" s="19">
        <v>45408.219444000002</v>
      </c>
      <c r="B1060" s="16">
        <v>58.469087000000002</v>
      </c>
    </row>
    <row r="1061" spans="1:2">
      <c r="A1061" s="19">
        <v>45408.220138999997</v>
      </c>
      <c r="B1061" s="16">
        <v>58.194332000000003</v>
      </c>
    </row>
    <row r="1062" spans="1:2">
      <c r="A1062" s="19">
        <v>45408.220832999999</v>
      </c>
      <c r="B1062" s="16">
        <v>58.098793999999998</v>
      </c>
    </row>
    <row r="1063" spans="1:2">
      <c r="A1063" s="19">
        <v>45408.221528000002</v>
      </c>
      <c r="B1063" s="16">
        <v>59.058019000000002</v>
      </c>
    </row>
    <row r="1064" spans="1:2">
      <c r="A1064" s="19">
        <v>45408.222221999997</v>
      </c>
      <c r="B1064" s="16">
        <v>57.450609</v>
      </c>
    </row>
    <row r="1065" spans="1:2">
      <c r="A1065" s="19">
        <v>45408.222916999999</v>
      </c>
      <c r="B1065" s="16">
        <v>58.236514999999997</v>
      </c>
    </row>
    <row r="1066" spans="1:2">
      <c r="A1066" s="19">
        <v>45408.223611000001</v>
      </c>
      <c r="B1066" s="16">
        <v>58.979233000000001</v>
      </c>
    </row>
    <row r="1067" spans="1:2">
      <c r="A1067" s="19">
        <v>45408.224305999996</v>
      </c>
      <c r="B1067" s="16">
        <v>58.652903999999999</v>
      </c>
    </row>
    <row r="1068" spans="1:2">
      <c r="A1068" s="19">
        <v>45408.224999999999</v>
      </c>
      <c r="B1068" s="16">
        <v>57.243965000000003</v>
      </c>
    </row>
    <row r="1069" spans="1:2">
      <c r="A1069" s="19">
        <v>45408.225694000001</v>
      </c>
      <c r="B1069" s="16">
        <v>58.099020000000003</v>
      </c>
    </row>
    <row r="1070" spans="1:2">
      <c r="A1070" s="19">
        <v>45408.226389000003</v>
      </c>
      <c r="B1070" s="16">
        <v>58.793284</v>
      </c>
    </row>
    <row r="1071" spans="1:2">
      <c r="A1071" s="19">
        <v>45408.227082999998</v>
      </c>
      <c r="B1071" s="16">
        <v>58.745144000000003</v>
      </c>
    </row>
    <row r="1072" spans="1:2">
      <c r="A1072" s="19">
        <v>45408.227778</v>
      </c>
      <c r="B1072" s="16">
        <v>58.202953000000001</v>
      </c>
    </row>
    <row r="1073" spans="1:2">
      <c r="A1073" s="19">
        <v>45408.228472000003</v>
      </c>
      <c r="B1073" s="16">
        <v>58.053172000000004</v>
      </c>
    </row>
    <row r="1074" spans="1:2">
      <c r="A1074" s="19">
        <v>45408.229166999998</v>
      </c>
      <c r="B1074" s="16">
        <v>58.002527999999998</v>
      </c>
    </row>
    <row r="1075" spans="1:2">
      <c r="A1075" s="19">
        <v>45408.229861</v>
      </c>
      <c r="B1075" s="16">
        <v>58.425578999999999</v>
      </c>
    </row>
    <row r="1076" spans="1:2">
      <c r="A1076" s="19">
        <v>45408.230556000002</v>
      </c>
      <c r="B1076" s="16">
        <v>59.054794999999999</v>
      </c>
    </row>
    <row r="1077" spans="1:2">
      <c r="A1077" s="19">
        <v>45408.231249999997</v>
      </c>
      <c r="B1077" s="16">
        <v>59.344535</v>
      </c>
    </row>
    <row r="1078" spans="1:2">
      <c r="A1078" s="19">
        <v>45408.231943999999</v>
      </c>
      <c r="B1078" s="16">
        <v>58.216399000000003</v>
      </c>
    </row>
    <row r="1079" spans="1:2">
      <c r="A1079" s="19">
        <v>45408.232639000002</v>
      </c>
      <c r="B1079" s="16">
        <v>58.982554999999998</v>
      </c>
    </row>
    <row r="1080" spans="1:2">
      <c r="A1080" s="19">
        <v>45408.233332999996</v>
      </c>
      <c r="B1080" s="16">
        <v>58.644317999999998</v>
      </c>
    </row>
    <row r="1081" spans="1:2">
      <c r="A1081" s="19">
        <v>45408.234027999999</v>
      </c>
      <c r="B1081" s="16">
        <v>58.128134000000003</v>
      </c>
    </row>
    <row r="1082" spans="1:2">
      <c r="A1082" s="19">
        <v>45408.234722000001</v>
      </c>
      <c r="B1082" s="16">
        <v>58.302967000000002</v>
      </c>
    </row>
    <row r="1083" spans="1:2">
      <c r="A1083" s="19">
        <v>45408.235417000004</v>
      </c>
      <c r="B1083" s="16">
        <v>58.174742000000002</v>
      </c>
    </row>
    <row r="1084" spans="1:2">
      <c r="A1084" s="19">
        <v>45408.236110999998</v>
      </c>
      <c r="B1084" s="16">
        <v>58.603149999999999</v>
      </c>
    </row>
    <row r="1085" spans="1:2">
      <c r="A1085" s="19">
        <v>45408.236806000001</v>
      </c>
      <c r="B1085" s="16">
        <v>57.584294999999997</v>
      </c>
    </row>
    <row r="1086" spans="1:2">
      <c r="A1086" s="19">
        <v>45408.237500000003</v>
      </c>
      <c r="B1086" s="16">
        <v>58.988835000000002</v>
      </c>
    </row>
    <row r="1087" spans="1:2">
      <c r="A1087" s="19">
        <v>45408.238193999998</v>
      </c>
      <c r="B1087" s="16">
        <v>57.663490000000003</v>
      </c>
    </row>
    <row r="1088" spans="1:2">
      <c r="A1088" s="19">
        <v>45408.238889</v>
      </c>
      <c r="B1088" s="16">
        <v>58.439762999999999</v>
      </c>
    </row>
    <row r="1089" spans="1:2">
      <c r="A1089" s="19">
        <v>45408.239583000002</v>
      </c>
      <c r="B1089" s="16">
        <v>58.625946999999996</v>
      </c>
    </row>
    <row r="1090" spans="1:2">
      <c r="A1090" s="19">
        <v>45408.240277999997</v>
      </c>
      <c r="B1090" s="16">
        <v>58.500554000000001</v>
      </c>
    </row>
    <row r="1091" spans="1:2">
      <c r="A1091" s="19">
        <v>45408.240972</v>
      </c>
      <c r="B1091" s="16">
        <v>59.337843999999997</v>
      </c>
    </row>
    <row r="1092" spans="1:2">
      <c r="A1092" s="19">
        <v>45408.241667000002</v>
      </c>
      <c r="B1092" s="16">
        <v>58.037381000000003</v>
      </c>
    </row>
    <row r="1093" spans="1:2">
      <c r="A1093" s="19">
        <v>45408.242360999997</v>
      </c>
      <c r="B1093" s="16">
        <v>59.191963000000001</v>
      </c>
    </row>
    <row r="1094" spans="1:2">
      <c r="A1094" s="19">
        <v>45408.243055999999</v>
      </c>
      <c r="B1094" s="16">
        <v>58.309868000000002</v>
      </c>
    </row>
    <row r="1095" spans="1:2">
      <c r="A1095" s="19">
        <v>45408.243750000001</v>
      </c>
      <c r="B1095" s="16">
        <v>58.882949000000004</v>
      </c>
    </row>
    <row r="1096" spans="1:2">
      <c r="A1096" s="19">
        <v>45408.244444000004</v>
      </c>
      <c r="B1096" s="16">
        <v>59.354604000000002</v>
      </c>
    </row>
    <row r="1097" spans="1:2">
      <c r="A1097" s="19">
        <v>45408.245138999999</v>
      </c>
      <c r="B1097" s="16">
        <v>58.306714999999997</v>
      </c>
    </row>
    <row r="1098" spans="1:2">
      <c r="A1098" s="19">
        <v>45408.245833000001</v>
      </c>
      <c r="B1098" s="16">
        <v>59.164735999999998</v>
      </c>
    </row>
    <row r="1099" spans="1:2">
      <c r="A1099" s="19">
        <v>45408.246528000003</v>
      </c>
      <c r="B1099" s="16">
        <v>58.472360000000002</v>
      </c>
    </row>
    <row r="1100" spans="1:2">
      <c r="A1100" s="19">
        <v>45408.247221999998</v>
      </c>
      <c r="B1100" s="16">
        <v>59.544027999999997</v>
      </c>
    </row>
    <row r="1101" spans="1:2">
      <c r="A1101" s="19">
        <v>45408.247917000001</v>
      </c>
      <c r="B1101" s="16">
        <v>58.492491999999999</v>
      </c>
    </row>
    <row r="1102" spans="1:2">
      <c r="A1102" s="19">
        <v>45408.248611000003</v>
      </c>
      <c r="B1102" s="16">
        <v>58.365591000000002</v>
      </c>
    </row>
    <row r="1103" spans="1:2">
      <c r="A1103" s="19">
        <v>45408.249305999998</v>
      </c>
      <c r="B1103" s="16">
        <v>58.314982000000001</v>
      </c>
    </row>
    <row r="1104" spans="1:2">
      <c r="A1104" s="19">
        <v>45408.25</v>
      </c>
      <c r="B1104" s="16">
        <v>58.370441999999997</v>
      </c>
    </row>
    <row r="1105" spans="1:2">
      <c r="A1105" s="19">
        <v>45408.250694000002</v>
      </c>
      <c r="B1105" s="16">
        <v>59.171984999999999</v>
      </c>
    </row>
    <row r="1106" spans="1:2">
      <c r="A1106" s="19">
        <v>45408.251388999997</v>
      </c>
      <c r="B1106" s="16">
        <v>58.401021</v>
      </c>
    </row>
    <row r="1107" spans="1:2">
      <c r="A1107" s="19">
        <v>45408.252082999999</v>
      </c>
      <c r="B1107" s="16">
        <v>58.641393999999998</v>
      </c>
    </row>
    <row r="1108" spans="1:2">
      <c r="A1108" s="19">
        <v>45408.252778000002</v>
      </c>
      <c r="B1108" s="16">
        <v>58.371122999999997</v>
      </c>
    </row>
    <row r="1109" spans="1:2">
      <c r="A1109" s="19">
        <v>45408.253471999997</v>
      </c>
      <c r="B1109" s="16">
        <v>58.704304</v>
      </c>
    </row>
    <row r="1110" spans="1:2">
      <c r="A1110" s="19">
        <v>45408.254166999999</v>
      </c>
      <c r="B1110" s="16">
        <v>59.630012999999998</v>
      </c>
    </row>
    <row r="1111" spans="1:2">
      <c r="A1111" s="19">
        <v>45408.254861000001</v>
      </c>
      <c r="B1111" s="16">
        <v>59.070757</v>
      </c>
    </row>
    <row r="1112" spans="1:2">
      <c r="A1112" s="19">
        <v>45408.255555999996</v>
      </c>
      <c r="B1112" s="16">
        <v>59.059424999999997</v>
      </c>
    </row>
    <row r="1113" spans="1:2">
      <c r="A1113" s="19">
        <v>45408.256249999999</v>
      </c>
      <c r="B1113" s="16">
        <v>58.675932000000003</v>
      </c>
    </row>
    <row r="1114" spans="1:2">
      <c r="A1114" s="19">
        <v>45408.256944000001</v>
      </c>
      <c r="B1114" s="16">
        <v>59.420082000000001</v>
      </c>
    </row>
    <row r="1115" spans="1:2">
      <c r="A1115" s="19">
        <v>45408.257639000003</v>
      </c>
      <c r="B1115" s="16">
        <v>59.018895999999998</v>
      </c>
    </row>
    <row r="1116" spans="1:2">
      <c r="A1116" s="19">
        <v>45408.258332999998</v>
      </c>
      <c r="B1116" s="16">
        <v>59.263043000000003</v>
      </c>
    </row>
    <row r="1117" spans="1:2">
      <c r="A1117" s="19">
        <v>45408.259028</v>
      </c>
      <c r="B1117" s="16">
        <v>59.424039999999998</v>
      </c>
    </row>
    <row r="1118" spans="1:2">
      <c r="A1118" s="19">
        <v>45408.259722000003</v>
      </c>
      <c r="B1118" s="16">
        <v>58.450454000000001</v>
      </c>
    </row>
    <row r="1119" spans="1:2">
      <c r="A1119" s="19">
        <v>45408.260416999998</v>
      </c>
      <c r="B1119" s="16">
        <v>59.133454</v>
      </c>
    </row>
    <row r="1120" spans="1:2">
      <c r="A1120" s="19">
        <v>45408.261111</v>
      </c>
      <c r="B1120" s="16">
        <v>59.822467000000003</v>
      </c>
    </row>
    <row r="1121" spans="1:2">
      <c r="A1121" s="19">
        <v>45408.261806000002</v>
      </c>
      <c r="B1121" s="16">
        <v>58.459333999999998</v>
      </c>
    </row>
    <row r="1122" spans="1:2">
      <c r="A1122" s="19">
        <v>45408.262499999997</v>
      </c>
      <c r="B1122" s="16">
        <v>59.821778000000002</v>
      </c>
    </row>
    <row r="1123" spans="1:2">
      <c r="A1123" s="19">
        <v>45408.263193999999</v>
      </c>
      <c r="B1123" s="16">
        <v>59.029060000000001</v>
      </c>
    </row>
    <row r="1124" spans="1:2">
      <c r="A1124" s="19">
        <v>45408.263889000002</v>
      </c>
      <c r="B1124" s="16">
        <v>59.911563999999998</v>
      </c>
    </row>
    <row r="1125" spans="1:2">
      <c r="A1125" s="19">
        <v>45408.264582999996</v>
      </c>
      <c r="B1125" s="16">
        <v>59.240957999999999</v>
      </c>
    </row>
    <row r="1126" spans="1:2">
      <c r="A1126" s="19">
        <v>45408.265277999999</v>
      </c>
      <c r="B1126" s="16">
        <v>59.450991000000002</v>
      </c>
    </row>
    <row r="1127" spans="1:2">
      <c r="A1127" s="19">
        <v>45408.265972000001</v>
      </c>
      <c r="B1127" s="16">
        <v>59.437359000000001</v>
      </c>
    </row>
    <row r="1128" spans="1:2">
      <c r="A1128" s="19">
        <v>45408.266667000004</v>
      </c>
      <c r="B1128" s="16">
        <v>59.978782000000002</v>
      </c>
    </row>
    <row r="1129" spans="1:2">
      <c r="A1129" s="19">
        <v>45408.267360999998</v>
      </c>
      <c r="B1129" s="16">
        <v>59.772083000000002</v>
      </c>
    </row>
    <row r="1130" spans="1:2">
      <c r="A1130" s="19">
        <v>45408.268056000001</v>
      </c>
      <c r="B1130" s="16">
        <v>59.420357000000003</v>
      </c>
    </row>
    <row r="1131" spans="1:2">
      <c r="A1131" s="19">
        <v>45408.268750000003</v>
      </c>
      <c r="B1131" s="16">
        <v>58.951354000000002</v>
      </c>
    </row>
    <row r="1132" spans="1:2">
      <c r="A1132" s="19">
        <v>45408.269443999998</v>
      </c>
      <c r="B1132" s="16">
        <v>59.797804999999997</v>
      </c>
    </row>
    <row r="1133" spans="1:2">
      <c r="A1133" s="19">
        <v>45408.270139</v>
      </c>
      <c r="B1133" s="16">
        <v>58.588127</v>
      </c>
    </row>
    <row r="1134" spans="1:2">
      <c r="A1134" s="19">
        <v>45408.270833000002</v>
      </c>
      <c r="B1134" s="16">
        <v>59.168035000000003</v>
      </c>
    </row>
    <row r="1135" spans="1:2">
      <c r="A1135" s="19">
        <v>45408.271527999997</v>
      </c>
      <c r="B1135" s="16">
        <v>59.351388999999998</v>
      </c>
    </row>
    <row r="1136" spans="1:2">
      <c r="A1136" s="19">
        <v>45408.272222</v>
      </c>
      <c r="B1136" s="16">
        <v>58.651761</v>
      </c>
    </row>
    <row r="1137" spans="1:2">
      <c r="A1137" s="19">
        <v>45408.272917000002</v>
      </c>
      <c r="B1137" s="16">
        <v>58.867871999999998</v>
      </c>
    </row>
    <row r="1138" spans="1:2">
      <c r="A1138" s="19">
        <v>45408.273610999997</v>
      </c>
      <c r="B1138" s="16">
        <v>58.911011000000002</v>
      </c>
    </row>
    <row r="1139" spans="1:2">
      <c r="A1139" s="19">
        <v>45408.274305999999</v>
      </c>
      <c r="B1139" s="16">
        <v>58.918441000000001</v>
      </c>
    </row>
    <row r="1140" spans="1:2">
      <c r="A1140" s="19">
        <v>45408.275000000001</v>
      </c>
      <c r="B1140" s="16">
        <v>59.126075999999998</v>
      </c>
    </row>
    <row r="1141" spans="1:2">
      <c r="A1141" s="19">
        <v>45408.275694000004</v>
      </c>
      <c r="B1141" s="16">
        <v>59.625523999999999</v>
      </c>
    </row>
    <row r="1142" spans="1:2">
      <c r="A1142" s="19">
        <v>45408.276388999999</v>
      </c>
      <c r="B1142" s="16">
        <v>58.442999</v>
      </c>
    </row>
    <row r="1143" spans="1:2">
      <c r="A1143" s="19">
        <v>45408.277083000001</v>
      </c>
      <c r="B1143" s="16">
        <v>59.656179000000002</v>
      </c>
    </row>
    <row r="1144" spans="1:2">
      <c r="A1144" s="19">
        <v>45408.277778000003</v>
      </c>
      <c r="B1144" s="16">
        <v>59.526600999999999</v>
      </c>
    </row>
    <row r="1145" spans="1:2">
      <c r="A1145" s="19">
        <v>45408.278471999998</v>
      </c>
      <c r="B1145" s="16">
        <v>59.349932000000003</v>
      </c>
    </row>
    <row r="1146" spans="1:2">
      <c r="A1146" s="19">
        <v>45408.279167000001</v>
      </c>
      <c r="B1146" s="16">
        <v>59.738501999999997</v>
      </c>
    </row>
    <row r="1147" spans="1:2">
      <c r="A1147" s="19">
        <v>45408.279861000003</v>
      </c>
      <c r="B1147" s="16">
        <v>60.215327000000002</v>
      </c>
    </row>
    <row r="1148" spans="1:2">
      <c r="A1148" s="19">
        <v>45408.280555999998</v>
      </c>
      <c r="B1148" s="16">
        <v>58.818640000000002</v>
      </c>
    </row>
    <row r="1149" spans="1:2">
      <c r="A1149" s="19">
        <v>45408.28125</v>
      </c>
      <c r="B1149" s="16">
        <v>58.851824000000001</v>
      </c>
    </row>
    <row r="1150" spans="1:2">
      <c r="A1150" s="19">
        <v>45408.281944000002</v>
      </c>
      <c r="B1150" s="16">
        <v>57.408253000000002</v>
      </c>
    </row>
    <row r="1151" spans="1:2">
      <c r="A1151" s="19">
        <v>45408.282638999997</v>
      </c>
      <c r="B1151" s="16">
        <v>59.168714999999999</v>
      </c>
    </row>
    <row r="1152" spans="1:2">
      <c r="A1152" s="19">
        <v>45408.283332999999</v>
      </c>
      <c r="B1152" s="16">
        <v>59.330598000000002</v>
      </c>
    </row>
    <row r="1153" spans="1:2">
      <c r="A1153" s="19">
        <v>45408.284028000002</v>
      </c>
      <c r="B1153" s="16">
        <v>58.774220999999997</v>
      </c>
    </row>
    <row r="1154" spans="1:2">
      <c r="A1154" s="19">
        <v>45408.284721999997</v>
      </c>
      <c r="B1154" s="16">
        <v>59.219467999999999</v>
      </c>
    </row>
    <row r="1155" spans="1:2">
      <c r="A1155" s="19">
        <v>45408.285416999999</v>
      </c>
      <c r="B1155" s="16">
        <v>60.053784999999998</v>
      </c>
    </row>
    <row r="1156" spans="1:2">
      <c r="A1156" s="19">
        <v>45408.286111000001</v>
      </c>
      <c r="B1156" s="16">
        <v>59.201017</v>
      </c>
    </row>
    <row r="1157" spans="1:2">
      <c r="A1157" s="19">
        <v>45408.286805999996</v>
      </c>
      <c r="B1157" s="16">
        <v>59.632458999999997</v>
      </c>
    </row>
    <row r="1158" spans="1:2">
      <c r="A1158" s="19">
        <v>45408.287499999999</v>
      </c>
      <c r="B1158" s="16">
        <v>59.701971</v>
      </c>
    </row>
    <row r="1159" spans="1:2">
      <c r="A1159" s="19">
        <v>45408.288194000001</v>
      </c>
      <c r="B1159" s="16">
        <v>59.115395999999997</v>
      </c>
    </row>
    <row r="1160" spans="1:2">
      <c r="A1160" s="19">
        <v>45408.288889000003</v>
      </c>
      <c r="B1160" s="16">
        <v>59.857304999999997</v>
      </c>
    </row>
    <row r="1161" spans="1:2">
      <c r="A1161" s="19">
        <v>45408.289582999998</v>
      </c>
      <c r="B1161" s="16">
        <v>59.541727999999999</v>
      </c>
    </row>
    <row r="1162" spans="1:2">
      <c r="A1162" s="19">
        <v>45408.290278</v>
      </c>
      <c r="B1162" s="16">
        <v>59.282032000000001</v>
      </c>
    </row>
    <row r="1163" spans="1:2">
      <c r="A1163" s="19">
        <v>45408.290972000003</v>
      </c>
      <c r="B1163" s="16">
        <v>59.784877999999999</v>
      </c>
    </row>
    <row r="1164" spans="1:2">
      <c r="A1164" s="19">
        <v>45408.291666999998</v>
      </c>
      <c r="B1164" s="16">
        <v>60.191851999999997</v>
      </c>
    </row>
    <row r="1165" spans="1:2">
      <c r="A1165" s="19">
        <v>45408.292361</v>
      </c>
      <c r="B1165" s="16">
        <v>59.964655</v>
      </c>
    </row>
    <row r="1166" spans="1:2">
      <c r="A1166" s="19">
        <v>45408.293056000002</v>
      </c>
      <c r="B1166" s="16">
        <v>59.556840000000001</v>
      </c>
    </row>
    <row r="1167" spans="1:2">
      <c r="A1167" s="19">
        <v>45408.293749999997</v>
      </c>
      <c r="B1167" s="16">
        <v>59.437745</v>
      </c>
    </row>
    <row r="1168" spans="1:2">
      <c r="A1168" s="19">
        <v>45408.294443999999</v>
      </c>
      <c r="B1168" s="16">
        <v>60.291176999999998</v>
      </c>
    </row>
    <row r="1169" spans="1:2">
      <c r="A1169" s="19">
        <v>45408.295139000002</v>
      </c>
      <c r="B1169" s="16">
        <v>59.768219999999999</v>
      </c>
    </row>
    <row r="1170" spans="1:2">
      <c r="A1170" s="19">
        <v>45408.295832999996</v>
      </c>
      <c r="B1170" s="16">
        <v>58.548206999999998</v>
      </c>
    </row>
    <row r="1171" spans="1:2">
      <c r="A1171" s="19">
        <v>45408.296527999999</v>
      </c>
      <c r="B1171" s="16">
        <v>59.826255000000003</v>
      </c>
    </row>
    <row r="1172" spans="1:2">
      <c r="A1172" s="19">
        <v>45408.297222000001</v>
      </c>
      <c r="B1172" s="16">
        <v>59.440941000000002</v>
      </c>
    </row>
    <row r="1173" spans="1:2">
      <c r="A1173" s="19">
        <v>45408.297917000004</v>
      </c>
      <c r="B1173" s="16">
        <v>58.856515000000002</v>
      </c>
    </row>
    <row r="1174" spans="1:2">
      <c r="A1174" s="19">
        <v>45408.298610999998</v>
      </c>
      <c r="B1174" s="16">
        <v>59.285477</v>
      </c>
    </row>
    <row r="1175" spans="1:2">
      <c r="A1175" s="19">
        <v>45408.299306000001</v>
      </c>
      <c r="B1175" s="16">
        <v>59.228064000000003</v>
      </c>
    </row>
    <row r="1176" spans="1:2">
      <c r="A1176" s="19">
        <v>45408.3</v>
      </c>
      <c r="B1176" s="16">
        <v>60.178342000000001</v>
      </c>
    </row>
    <row r="1177" spans="1:2">
      <c r="A1177" s="19">
        <v>45408.300693999998</v>
      </c>
      <c r="B1177" s="16">
        <v>59.649389999999997</v>
      </c>
    </row>
    <row r="1178" spans="1:2">
      <c r="A1178" s="19">
        <v>45408.301389</v>
      </c>
      <c r="B1178" s="16">
        <v>59.029173</v>
      </c>
    </row>
    <row r="1179" spans="1:2">
      <c r="A1179" s="19">
        <v>45408.302083000002</v>
      </c>
      <c r="B1179" s="16">
        <v>59.266992999999999</v>
      </c>
    </row>
    <row r="1180" spans="1:2">
      <c r="A1180" s="19">
        <v>45408.302777999997</v>
      </c>
      <c r="B1180" s="16">
        <v>60.237825999999998</v>
      </c>
    </row>
    <row r="1181" spans="1:2">
      <c r="A1181" s="19">
        <v>45408.303472</v>
      </c>
      <c r="B1181" s="16">
        <v>59.711609000000003</v>
      </c>
    </row>
    <row r="1182" spans="1:2">
      <c r="A1182" s="19">
        <v>45408.304167000002</v>
      </c>
      <c r="B1182" s="16">
        <v>59.055847</v>
      </c>
    </row>
    <row r="1183" spans="1:2">
      <c r="A1183" s="19">
        <v>45408.304860999997</v>
      </c>
      <c r="B1183" s="16">
        <v>60.524693999999997</v>
      </c>
    </row>
    <row r="1184" spans="1:2">
      <c r="A1184" s="19">
        <v>45408.305555999999</v>
      </c>
      <c r="B1184" s="16">
        <v>59.757944000000002</v>
      </c>
    </row>
    <row r="1185" spans="1:2">
      <c r="A1185" s="19">
        <v>45408.306250000001</v>
      </c>
      <c r="B1185" s="16">
        <v>60.285103999999997</v>
      </c>
    </row>
    <row r="1186" spans="1:2">
      <c r="A1186" s="19">
        <v>45408.306944000004</v>
      </c>
      <c r="B1186" s="16">
        <v>59.296081999999998</v>
      </c>
    </row>
    <row r="1187" spans="1:2">
      <c r="A1187" s="19">
        <v>45408.307638999999</v>
      </c>
      <c r="B1187" s="16">
        <v>58.672612999999998</v>
      </c>
    </row>
    <row r="1188" spans="1:2">
      <c r="A1188" s="19">
        <v>45408.308333000001</v>
      </c>
      <c r="B1188" s="16">
        <v>59.868358999999998</v>
      </c>
    </row>
    <row r="1189" spans="1:2">
      <c r="A1189" s="19">
        <v>45408.309028000003</v>
      </c>
      <c r="B1189" s="16">
        <v>59.259047000000002</v>
      </c>
    </row>
    <row r="1190" spans="1:2">
      <c r="A1190" s="19">
        <v>45408.309721999998</v>
      </c>
      <c r="B1190" s="16">
        <v>59.379502000000002</v>
      </c>
    </row>
    <row r="1191" spans="1:2">
      <c r="A1191" s="19">
        <v>45408.310417000001</v>
      </c>
      <c r="B1191" s="16">
        <v>60.189894000000002</v>
      </c>
    </row>
    <row r="1192" spans="1:2">
      <c r="A1192" s="19">
        <v>45408.311111000003</v>
      </c>
      <c r="B1192" s="16">
        <v>59.911310999999998</v>
      </c>
    </row>
    <row r="1193" spans="1:2">
      <c r="A1193" s="19">
        <v>45408.311805999998</v>
      </c>
      <c r="B1193" s="16">
        <v>60.343041999999997</v>
      </c>
    </row>
    <row r="1194" spans="1:2">
      <c r="A1194" s="19">
        <v>45408.3125</v>
      </c>
      <c r="B1194" s="16">
        <v>59.767583000000002</v>
      </c>
    </row>
    <row r="1195" spans="1:2">
      <c r="A1195" s="19">
        <v>45408.313194000002</v>
      </c>
      <c r="B1195" s="16">
        <v>59.485104999999997</v>
      </c>
    </row>
    <row r="1196" spans="1:2">
      <c r="A1196" s="19">
        <v>45408.313888999997</v>
      </c>
      <c r="B1196" s="16">
        <v>59.421515999999997</v>
      </c>
    </row>
    <row r="1197" spans="1:2">
      <c r="A1197" s="19">
        <v>45408.314582999999</v>
      </c>
      <c r="B1197" s="16">
        <v>59.575220000000002</v>
      </c>
    </row>
    <row r="1198" spans="1:2">
      <c r="A1198" s="19">
        <v>45408.315278000002</v>
      </c>
      <c r="B1198" s="16">
        <v>59.662512999999997</v>
      </c>
    </row>
    <row r="1199" spans="1:2">
      <c r="A1199" s="19">
        <v>45408.315971999997</v>
      </c>
      <c r="B1199" s="16">
        <v>58.907412000000001</v>
      </c>
    </row>
    <row r="1200" spans="1:2">
      <c r="A1200" s="19">
        <v>45408.316666999999</v>
      </c>
      <c r="B1200" s="16">
        <v>59.604632000000002</v>
      </c>
    </row>
    <row r="1201" spans="1:2">
      <c r="A1201" s="19">
        <v>45408.317361000001</v>
      </c>
      <c r="B1201" s="16">
        <v>59.963712999999998</v>
      </c>
    </row>
    <row r="1202" spans="1:2">
      <c r="A1202" s="19">
        <v>45408.318055999996</v>
      </c>
      <c r="B1202" s="16">
        <v>60.347757999999999</v>
      </c>
    </row>
    <row r="1203" spans="1:2">
      <c r="A1203" s="19">
        <v>45408.318749999999</v>
      </c>
      <c r="B1203" s="16">
        <v>59.424284</v>
      </c>
    </row>
    <row r="1204" spans="1:2">
      <c r="A1204" s="19">
        <v>45408.319444000001</v>
      </c>
      <c r="B1204" s="16">
        <v>60.354018000000003</v>
      </c>
    </row>
    <row r="1205" spans="1:2">
      <c r="A1205" s="19">
        <v>45408.320139000003</v>
      </c>
      <c r="B1205" s="16">
        <v>60.277563000000001</v>
      </c>
    </row>
    <row r="1206" spans="1:2">
      <c r="A1206" s="19">
        <v>45408.320832999998</v>
      </c>
      <c r="B1206" s="16">
        <v>60.498050999999997</v>
      </c>
    </row>
    <row r="1207" spans="1:2">
      <c r="A1207" s="19">
        <v>45408.321528</v>
      </c>
      <c r="B1207" s="16">
        <v>60.076914000000002</v>
      </c>
    </row>
    <row r="1208" spans="1:2">
      <c r="A1208" s="19">
        <v>45408.322222000003</v>
      </c>
      <c r="B1208" s="16">
        <v>59.544235</v>
      </c>
    </row>
    <row r="1209" spans="1:2">
      <c r="A1209" s="19">
        <v>45408.322916999998</v>
      </c>
      <c r="B1209" s="16">
        <v>59.482469000000002</v>
      </c>
    </row>
    <row r="1210" spans="1:2">
      <c r="A1210" s="19">
        <v>45408.323611</v>
      </c>
      <c r="B1210" s="16">
        <v>60.113143999999998</v>
      </c>
    </row>
    <row r="1211" spans="1:2">
      <c r="A1211" s="19">
        <v>45408.324306000002</v>
      </c>
      <c r="B1211" s="16">
        <v>59.599862000000002</v>
      </c>
    </row>
    <row r="1212" spans="1:2">
      <c r="A1212" s="19">
        <v>45408.324999999997</v>
      </c>
      <c r="B1212" s="16">
        <v>59.615650000000002</v>
      </c>
    </row>
    <row r="1213" spans="1:2">
      <c r="A1213" s="19">
        <v>45408.325693999999</v>
      </c>
      <c r="B1213" s="16">
        <v>60.585977999999997</v>
      </c>
    </row>
    <row r="1214" spans="1:2">
      <c r="A1214" s="19">
        <v>45408.326389000002</v>
      </c>
      <c r="B1214" s="16">
        <v>59.613295000000001</v>
      </c>
    </row>
    <row r="1215" spans="1:2">
      <c r="A1215" s="19">
        <v>45408.327082999996</v>
      </c>
      <c r="B1215" s="16">
        <v>60.24991</v>
      </c>
    </row>
    <row r="1216" spans="1:2">
      <c r="A1216" s="19">
        <v>45408.327777999999</v>
      </c>
      <c r="B1216" s="16">
        <v>59.257382999999997</v>
      </c>
    </row>
    <row r="1217" spans="1:2">
      <c r="A1217" s="19">
        <v>45408.328472000001</v>
      </c>
      <c r="B1217" s="16">
        <v>60.080202</v>
      </c>
    </row>
    <row r="1218" spans="1:2">
      <c r="A1218" s="19">
        <v>45408.329167000004</v>
      </c>
      <c r="B1218" s="16">
        <v>59.372118999999998</v>
      </c>
    </row>
    <row r="1219" spans="1:2">
      <c r="A1219" s="19">
        <v>45408.329860999998</v>
      </c>
      <c r="B1219" s="16">
        <v>61.057808000000001</v>
      </c>
    </row>
    <row r="1220" spans="1:2">
      <c r="A1220" s="19">
        <v>45408.330556000001</v>
      </c>
      <c r="B1220" s="16">
        <v>59.816392999999998</v>
      </c>
    </row>
    <row r="1221" spans="1:2">
      <c r="A1221" s="19">
        <v>45408.331250000003</v>
      </c>
      <c r="B1221" s="16">
        <v>59.918540999999998</v>
      </c>
    </row>
    <row r="1222" spans="1:2">
      <c r="A1222" s="19">
        <v>45408.331943999998</v>
      </c>
      <c r="B1222" s="16">
        <v>59.749080999999997</v>
      </c>
    </row>
    <row r="1223" spans="1:2">
      <c r="A1223" s="19">
        <v>45408.332639</v>
      </c>
      <c r="B1223" s="16">
        <v>59.608488000000001</v>
      </c>
    </row>
    <row r="1224" spans="1:2">
      <c r="A1224" s="19">
        <v>45408.333333000002</v>
      </c>
      <c r="B1224" s="16">
        <v>60.005960000000002</v>
      </c>
    </row>
    <row r="1225" spans="1:2">
      <c r="A1225" s="19">
        <v>45408.334027999997</v>
      </c>
      <c r="B1225" s="16">
        <v>60.071010000000001</v>
      </c>
    </row>
    <row r="1226" spans="1:2">
      <c r="A1226" s="19">
        <v>45408.334722</v>
      </c>
      <c r="B1226" s="16">
        <v>59.948436999999998</v>
      </c>
    </row>
    <row r="1227" spans="1:2">
      <c r="A1227" s="19">
        <v>45408.335417000002</v>
      </c>
      <c r="B1227" s="16">
        <v>60.496512000000003</v>
      </c>
    </row>
    <row r="1228" spans="1:2">
      <c r="A1228" s="19">
        <v>45408.336110999997</v>
      </c>
      <c r="B1228" s="16">
        <v>59.334249999999997</v>
      </c>
    </row>
    <row r="1229" spans="1:2">
      <c r="A1229" s="19">
        <v>45408.336805999999</v>
      </c>
      <c r="B1229" s="16">
        <v>59.907200000000003</v>
      </c>
    </row>
    <row r="1230" spans="1:2">
      <c r="A1230" s="19">
        <v>45408.337500000001</v>
      </c>
      <c r="B1230" s="16">
        <v>59.810375000000001</v>
      </c>
    </row>
    <row r="1231" spans="1:2">
      <c r="A1231" s="19">
        <v>45408.338194000004</v>
      </c>
      <c r="B1231" s="16">
        <v>60.493015999999997</v>
      </c>
    </row>
    <row r="1232" spans="1:2">
      <c r="A1232" s="19">
        <v>45408.338888999999</v>
      </c>
      <c r="B1232" s="16">
        <v>60.361308999999999</v>
      </c>
    </row>
    <row r="1233" spans="1:2">
      <c r="A1233" s="19">
        <v>45408.339583000001</v>
      </c>
      <c r="B1233" s="16">
        <v>60.405667000000001</v>
      </c>
    </row>
    <row r="1234" spans="1:2">
      <c r="A1234" s="19">
        <v>45408.340278000003</v>
      </c>
      <c r="B1234" s="16">
        <v>59.380020999999999</v>
      </c>
    </row>
    <row r="1235" spans="1:2">
      <c r="A1235" s="19">
        <v>45408.340971999998</v>
      </c>
      <c r="B1235" s="16">
        <v>60.197507000000002</v>
      </c>
    </row>
    <row r="1236" spans="1:2">
      <c r="A1236" s="19">
        <v>45408.341667000001</v>
      </c>
      <c r="B1236" s="16">
        <v>60.067219000000001</v>
      </c>
    </row>
    <row r="1237" spans="1:2">
      <c r="A1237" s="19">
        <v>45408.342361000003</v>
      </c>
      <c r="B1237" s="16">
        <v>60.135441999999998</v>
      </c>
    </row>
    <row r="1238" spans="1:2">
      <c r="A1238" s="19">
        <v>45408.343055999998</v>
      </c>
      <c r="B1238" s="16">
        <v>60.114072999999998</v>
      </c>
    </row>
    <row r="1239" spans="1:2">
      <c r="A1239" s="19">
        <v>45408.34375</v>
      </c>
      <c r="B1239" s="16">
        <v>60.180509999999998</v>
      </c>
    </row>
    <row r="1240" spans="1:2">
      <c r="A1240" s="19">
        <v>45408.344444000002</v>
      </c>
      <c r="B1240" s="16">
        <v>60.428544000000002</v>
      </c>
    </row>
    <row r="1241" spans="1:2">
      <c r="A1241" s="19">
        <v>45408.345138999997</v>
      </c>
      <c r="B1241" s="16">
        <v>61.524800999999997</v>
      </c>
    </row>
    <row r="1242" spans="1:2">
      <c r="A1242" s="19">
        <v>45408.345832999999</v>
      </c>
      <c r="B1242" s="16">
        <v>60.313949999999998</v>
      </c>
    </row>
    <row r="1243" spans="1:2">
      <c r="A1243" s="19">
        <v>45408.346528000002</v>
      </c>
      <c r="B1243" s="16">
        <v>61.001221000000001</v>
      </c>
    </row>
    <row r="1244" spans="1:2">
      <c r="A1244" s="19">
        <v>45408.347221999997</v>
      </c>
      <c r="B1244" s="16">
        <v>59.919750999999998</v>
      </c>
    </row>
    <row r="1245" spans="1:2">
      <c r="A1245" s="19">
        <v>45408.347916999999</v>
      </c>
      <c r="B1245" s="16">
        <v>60.414892000000002</v>
      </c>
    </row>
    <row r="1246" spans="1:2">
      <c r="A1246" s="19">
        <v>45408.348611000001</v>
      </c>
      <c r="B1246" s="16">
        <v>59.772548999999998</v>
      </c>
    </row>
    <row r="1247" spans="1:2">
      <c r="A1247" s="19">
        <v>45408.349305999996</v>
      </c>
      <c r="B1247" s="16">
        <v>59.843297</v>
      </c>
    </row>
    <row r="1248" spans="1:2">
      <c r="A1248" s="19">
        <v>45408.35</v>
      </c>
      <c r="B1248" s="16">
        <v>60.1768</v>
      </c>
    </row>
    <row r="1249" spans="1:2">
      <c r="A1249" s="19">
        <v>45408.350694000001</v>
      </c>
      <c r="B1249" s="16">
        <v>59.841425999999998</v>
      </c>
    </row>
    <row r="1250" spans="1:2">
      <c r="A1250" s="19">
        <v>45408.351389000003</v>
      </c>
      <c r="B1250" s="16">
        <v>59.366540000000001</v>
      </c>
    </row>
    <row r="1251" spans="1:2">
      <c r="A1251" s="19">
        <v>45408.352082999998</v>
      </c>
      <c r="B1251" s="16">
        <v>59.834001999999998</v>
      </c>
    </row>
    <row r="1252" spans="1:2">
      <c r="A1252" s="19">
        <v>45408.352778</v>
      </c>
      <c r="B1252" s="16">
        <v>60.929090000000002</v>
      </c>
    </row>
    <row r="1253" spans="1:2">
      <c r="A1253" s="19">
        <v>45408.353472000003</v>
      </c>
      <c r="B1253" s="16">
        <v>60.212206000000002</v>
      </c>
    </row>
    <row r="1254" spans="1:2">
      <c r="A1254" s="19">
        <v>45408.354166999998</v>
      </c>
      <c r="B1254" s="16">
        <v>59.760930000000002</v>
      </c>
    </row>
    <row r="1255" spans="1:2">
      <c r="A1255" s="19">
        <v>45408.354861</v>
      </c>
      <c r="B1255" s="16">
        <v>60.208610999999998</v>
      </c>
    </row>
    <row r="1256" spans="1:2">
      <c r="A1256" s="19">
        <v>45408.355556000002</v>
      </c>
      <c r="B1256" s="16">
        <v>60.237411000000002</v>
      </c>
    </row>
    <row r="1257" spans="1:2">
      <c r="A1257" s="19">
        <v>45408.356249999997</v>
      </c>
      <c r="B1257" s="16">
        <v>59.861631000000003</v>
      </c>
    </row>
    <row r="1258" spans="1:2">
      <c r="A1258" s="19">
        <v>45408.356943999999</v>
      </c>
      <c r="B1258" s="16">
        <v>59.893431999999997</v>
      </c>
    </row>
    <row r="1259" spans="1:2">
      <c r="A1259" s="19">
        <v>45408.357639000002</v>
      </c>
      <c r="B1259" s="16">
        <v>60.601281</v>
      </c>
    </row>
    <row r="1260" spans="1:2">
      <c r="A1260" s="19">
        <v>45408.358332999996</v>
      </c>
      <c r="B1260" s="16">
        <v>59.789605999999999</v>
      </c>
    </row>
    <row r="1261" spans="1:2">
      <c r="A1261" s="19">
        <v>45408.359027999999</v>
      </c>
      <c r="B1261" s="16">
        <v>59.897137999999998</v>
      </c>
    </row>
    <row r="1262" spans="1:2">
      <c r="A1262" s="19">
        <v>45408.359722000001</v>
      </c>
      <c r="B1262" s="16">
        <v>61.364854000000001</v>
      </c>
    </row>
    <row r="1263" spans="1:2">
      <c r="A1263" s="19">
        <v>45408.360417000004</v>
      </c>
      <c r="B1263" s="16">
        <v>60.057651999999997</v>
      </c>
    </row>
    <row r="1264" spans="1:2">
      <c r="A1264" s="19">
        <v>45408.361110999998</v>
      </c>
      <c r="B1264" s="16">
        <v>59.552520999999999</v>
      </c>
    </row>
    <row r="1265" spans="1:2">
      <c r="A1265" s="19">
        <v>45408.361806000001</v>
      </c>
      <c r="B1265" s="16">
        <v>59.162602999999997</v>
      </c>
    </row>
    <row r="1266" spans="1:2">
      <c r="A1266" s="19">
        <v>45408.362500000003</v>
      </c>
      <c r="B1266" s="16">
        <v>60.953096000000002</v>
      </c>
    </row>
    <row r="1267" spans="1:2">
      <c r="A1267" s="19">
        <v>45408.363193999998</v>
      </c>
      <c r="B1267" s="16">
        <v>59.381982000000001</v>
      </c>
    </row>
    <row r="1268" spans="1:2">
      <c r="A1268" s="19">
        <v>45408.363889</v>
      </c>
      <c r="B1268" s="16">
        <v>60.922530999999999</v>
      </c>
    </row>
    <row r="1269" spans="1:2">
      <c r="A1269" s="19">
        <v>45408.364583000002</v>
      </c>
      <c r="B1269" s="16">
        <v>60.133755999999998</v>
      </c>
    </row>
    <row r="1270" spans="1:2">
      <c r="A1270" s="19">
        <v>45408.365277999997</v>
      </c>
      <c r="B1270" s="16">
        <v>13.779826999999999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e2777ed-8237-4ab9-9278-2c144d6f6da3}" enabled="0" method="" siteId="{9e2777ed-8237-4ab9-9278-2c144d6f6da3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Acidic catholyte_Cs2SO4</vt:lpstr>
      <vt:lpstr>Flow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Paulina Govea Alvarez</dc:creator>
  <cp:lastModifiedBy>Paulina Govea Alvarez</cp:lastModifiedBy>
  <dcterms:created xsi:type="dcterms:W3CDTF">2024-05-17T15:35:51Z</dcterms:created>
  <dcterms:modified xsi:type="dcterms:W3CDTF">2026-08-10T14:18:01Z</dcterms:modified>
</cp:coreProperties>
</file>