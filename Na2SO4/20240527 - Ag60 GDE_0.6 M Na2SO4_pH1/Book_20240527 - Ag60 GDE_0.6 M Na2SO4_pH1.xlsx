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527 - Ag60 GDE_0.6 M Na2SO4_pH1/"/>
    </mc:Choice>
  </mc:AlternateContent>
  <xr:revisionPtr revIDLastSave="186" documentId="8_{99172C6E-3916-40BE-A50D-EF70DFCC63BC}" xr6:coauthVersionLast="47" xr6:coauthVersionMax="47" xr10:uidLastSave="{8393255C-1D08-4BA2-A831-7AB084627A18}"/>
  <bookViews>
    <workbookView xWindow="-108" yWindow="-108" windowWidth="23256" windowHeight="12456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C44" i="1"/>
  <c r="C45" i="1"/>
  <c r="P4" i="1"/>
  <c r="Q4" i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P15" i="1"/>
  <c r="Q15" i="1"/>
  <c r="R15" i="1"/>
  <c r="S15" i="1"/>
  <c r="P16" i="1"/>
  <c r="Q16" i="1"/>
  <c r="R16" i="1"/>
  <c r="S16" i="1"/>
  <c r="P17" i="1"/>
  <c r="Q17" i="1"/>
  <c r="R17" i="1"/>
  <c r="S17" i="1"/>
  <c r="P18" i="1"/>
  <c r="Q18" i="1"/>
  <c r="R18" i="1"/>
  <c r="S18" i="1"/>
  <c r="P19" i="1"/>
  <c r="Q19" i="1"/>
  <c r="R19" i="1"/>
  <c r="S19" i="1"/>
  <c r="P20" i="1"/>
  <c r="Q20" i="1"/>
  <c r="R20" i="1"/>
  <c r="S20" i="1"/>
  <c r="P21" i="1"/>
  <c r="Q21" i="1"/>
  <c r="R21" i="1"/>
  <c r="S21" i="1"/>
  <c r="P22" i="1"/>
  <c r="Q22" i="1"/>
  <c r="R22" i="1"/>
  <c r="S22" i="1"/>
  <c r="P23" i="1"/>
  <c r="Q23" i="1"/>
  <c r="R23" i="1"/>
  <c r="S23" i="1"/>
  <c r="P24" i="1"/>
  <c r="Q24" i="1"/>
  <c r="R24" i="1"/>
  <c r="S24" i="1"/>
  <c r="P25" i="1"/>
  <c r="Q25" i="1"/>
  <c r="R25" i="1"/>
  <c r="S25" i="1"/>
  <c r="P26" i="1"/>
  <c r="Q26" i="1"/>
  <c r="R26" i="1"/>
  <c r="S26" i="1"/>
  <c r="P27" i="1"/>
  <c r="Q27" i="1"/>
  <c r="R27" i="1"/>
  <c r="S27" i="1"/>
  <c r="P28" i="1"/>
  <c r="Q28" i="1"/>
  <c r="R28" i="1"/>
  <c r="S28" i="1"/>
  <c r="P29" i="1"/>
  <c r="Q29" i="1"/>
  <c r="R29" i="1"/>
  <c r="S29" i="1"/>
  <c r="P30" i="1"/>
  <c r="Q30" i="1"/>
  <c r="R30" i="1"/>
  <c r="S30" i="1"/>
  <c r="P31" i="1"/>
  <c r="Q31" i="1"/>
  <c r="R31" i="1"/>
  <c r="S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S3" i="1"/>
  <c r="Q3" i="1"/>
  <c r="R3" i="1"/>
  <c r="P3" i="1"/>
  <c r="C30" i="2"/>
  <c r="D30" i="2" s="1"/>
  <c r="E30" i="2" s="1" a="1"/>
  <c r="E30" i="2" s="1"/>
  <c r="C31" i="1" s="1"/>
  <c r="C31" i="2"/>
  <c r="D31" i="2" s="1"/>
  <c r="E31" i="2" s="1" a="1"/>
  <c r="E31" i="2" s="1"/>
  <c r="C32" i="1" s="1"/>
  <c r="C32" i="2"/>
  <c r="D32" i="2" s="1"/>
  <c r="E32" i="2" s="1" a="1"/>
  <c r="E32" i="2" s="1"/>
  <c r="C33" i="1" s="1"/>
  <c r="C33" i="2"/>
  <c r="D33" i="2" s="1"/>
  <c r="E33" i="2" s="1" a="1"/>
  <c r="E33" i="2" s="1"/>
  <c r="C34" i="1" s="1"/>
  <c r="C34" i="2"/>
  <c r="D34" i="2" s="1"/>
  <c r="E34" i="2" s="1" a="1"/>
  <c r="E34" i="2" s="1"/>
  <c r="C35" i="1" s="1"/>
  <c r="C35" i="2"/>
  <c r="D35" i="2" s="1"/>
  <c r="E35" i="2" s="1" a="1"/>
  <c r="E35" i="2" s="1"/>
  <c r="C36" i="1" s="1"/>
  <c r="C36" i="2"/>
  <c r="D36" i="2"/>
  <c r="E36" i="2" s="1" a="1"/>
  <c r="E36" i="2" s="1"/>
  <c r="C37" i="1" s="1"/>
  <c r="C37" i="2"/>
  <c r="D37" i="2" s="1"/>
  <c r="E37" i="2" s="1" a="1"/>
  <c r="E37" i="2" s="1"/>
  <c r="C38" i="1" s="1"/>
  <c r="C38" i="2"/>
  <c r="D38" i="2" s="1"/>
  <c r="E38" i="2" s="1" a="1"/>
  <c r="E38" i="2" s="1"/>
  <c r="C39" i="1" s="1"/>
  <c r="C39" i="2"/>
  <c r="D39" i="2" s="1"/>
  <c r="E39" i="2" s="1" a="1"/>
  <c r="E39" i="2" s="1"/>
  <c r="C40" i="1" s="1"/>
  <c r="C40" i="2"/>
  <c r="D40" i="2"/>
  <c r="E40" i="2" s="1" a="1"/>
  <c r="E40" i="2" s="1"/>
  <c r="C41" i="1" s="1"/>
  <c r="C41" i="2"/>
  <c r="D41" i="2" s="1"/>
  <c r="E41" i="2" s="1" a="1"/>
  <c r="E41" i="2" s="1"/>
  <c r="C42" i="1" s="1"/>
  <c r="C42" i="2"/>
  <c r="D42" i="2" s="1"/>
  <c r="E42" i="2" s="1" a="1"/>
  <c r="E42" i="2" s="1"/>
  <c r="C43" i="2"/>
  <c r="D43" i="2" s="1"/>
  <c r="E43" i="2" s="1" a="1"/>
  <c r="E43" i="2" s="1"/>
  <c r="C44" i="2"/>
  <c r="D44" i="2" s="1"/>
  <c r="E44" i="2" s="1" a="1"/>
  <c r="E44" i="2" s="1"/>
  <c r="C3" i="2"/>
  <c r="D3" i="2" s="1"/>
  <c r="E3" i="2" s="1" a="1"/>
  <c r="E3" i="2" s="1"/>
  <c r="C4" i="1" s="1"/>
  <c r="C4" i="2"/>
  <c r="D4" i="2" s="1"/>
  <c r="E4" i="2" s="1" a="1"/>
  <c r="E4" i="2" s="1"/>
  <c r="C5" i="1" s="1"/>
  <c r="C5" i="2"/>
  <c r="D5" i="2"/>
  <c r="E5" i="2" s="1" a="1"/>
  <c r="E5" i="2" s="1"/>
  <c r="C6" i="1" s="1"/>
  <c r="C6" i="2"/>
  <c r="D6" i="2" s="1"/>
  <c r="E6" i="2" s="1" a="1"/>
  <c r="E6" i="2" s="1"/>
  <c r="C7" i="1" s="1"/>
  <c r="C7" i="2"/>
  <c r="D7" i="2" s="1"/>
  <c r="E7" i="2" s="1" a="1"/>
  <c r="E7" i="2" s="1"/>
  <c r="C8" i="1" s="1"/>
  <c r="C8" i="2"/>
  <c r="D8" i="2"/>
  <c r="E8" i="2" s="1" a="1"/>
  <c r="E8" i="2" s="1"/>
  <c r="C9" i="1" s="1"/>
  <c r="C9" i="2"/>
  <c r="D9" i="2" s="1"/>
  <c r="E9" i="2" s="1" a="1"/>
  <c r="E9" i="2" s="1"/>
  <c r="C10" i="1" s="1"/>
  <c r="C10" i="2"/>
  <c r="D10" i="2" s="1"/>
  <c r="E10" i="2" s="1" a="1"/>
  <c r="E10" i="2" s="1"/>
  <c r="C11" i="1" s="1"/>
  <c r="C11" i="2"/>
  <c r="D11" i="2" s="1"/>
  <c r="E11" i="2" s="1" a="1"/>
  <c r="E11" i="2" s="1"/>
  <c r="C12" i="1" s="1"/>
  <c r="C12" i="2"/>
  <c r="D12" i="2" s="1"/>
  <c r="E12" i="2" s="1" a="1"/>
  <c r="E12" i="2" s="1"/>
  <c r="C13" i="1" s="1"/>
  <c r="C13" i="2"/>
  <c r="D13" i="2"/>
  <c r="E13" i="2" s="1" a="1"/>
  <c r="E13" i="2" s="1"/>
  <c r="C14" i="1" s="1"/>
  <c r="C14" i="2"/>
  <c r="D14" i="2" s="1"/>
  <c r="E14" i="2" s="1" a="1"/>
  <c r="E14" i="2" s="1"/>
  <c r="C15" i="1" s="1"/>
  <c r="C15" i="2"/>
  <c r="D15" i="2" s="1"/>
  <c r="E15" i="2" s="1" a="1"/>
  <c r="E15" i="2" s="1"/>
  <c r="C16" i="1" s="1"/>
  <c r="C16" i="2"/>
  <c r="D16" i="2"/>
  <c r="E16" i="2" s="1" a="1"/>
  <c r="E16" i="2" s="1"/>
  <c r="C17" i="1" s="1"/>
  <c r="C17" i="2"/>
  <c r="D17" i="2" s="1"/>
  <c r="E17" i="2" s="1" a="1"/>
  <c r="E17" i="2" s="1"/>
  <c r="C18" i="1" s="1"/>
  <c r="C18" i="2"/>
  <c r="D18" i="2" s="1"/>
  <c r="E18" i="2" s="1" a="1"/>
  <c r="E18" i="2" s="1"/>
  <c r="C19" i="1" s="1"/>
  <c r="C19" i="2"/>
  <c r="D19" i="2" s="1"/>
  <c r="E19" i="2" s="1" a="1"/>
  <c r="E19" i="2" s="1"/>
  <c r="C20" i="1" s="1"/>
  <c r="T20" i="1" s="1"/>
  <c r="C20" i="2"/>
  <c r="D20" i="2"/>
  <c r="E20" i="2" a="1"/>
  <c r="E20" i="2" s="1"/>
  <c r="C21" i="1" s="1"/>
  <c r="C21" i="2"/>
  <c r="D21" i="2" s="1"/>
  <c r="E21" i="2" s="1" a="1"/>
  <c r="E21" i="2" s="1"/>
  <c r="C22" i="1" s="1"/>
  <c r="C22" i="2"/>
  <c r="D22" i="2" s="1"/>
  <c r="E22" i="2" s="1" a="1"/>
  <c r="E22" i="2" s="1"/>
  <c r="C23" i="1" s="1"/>
  <c r="C23" i="2"/>
  <c r="D23" i="2" s="1"/>
  <c r="E23" i="2" s="1" a="1"/>
  <c r="E23" i="2" s="1"/>
  <c r="C24" i="1" s="1"/>
  <c r="C24" i="2"/>
  <c r="D24" i="2" s="1"/>
  <c r="E24" i="2" s="1" a="1"/>
  <c r="E24" i="2" s="1"/>
  <c r="C25" i="1" s="1"/>
  <c r="C25" i="2"/>
  <c r="D25" i="2"/>
  <c r="E25" i="2" s="1" a="1"/>
  <c r="E25" i="2" s="1"/>
  <c r="C26" i="1" s="1"/>
  <c r="C26" i="2"/>
  <c r="D26" i="2" s="1"/>
  <c r="E26" i="2" s="1" a="1"/>
  <c r="E26" i="2" s="1"/>
  <c r="C27" i="1" s="1"/>
  <c r="C27" i="2"/>
  <c r="D27" i="2" s="1"/>
  <c r="E27" i="2" s="1" a="1"/>
  <c r="E27" i="2" s="1"/>
  <c r="C28" i="1" s="1"/>
  <c r="C28" i="2"/>
  <c r="D28" i="2"/>
  <c r="E28" i="2" s="1" a="1"/>
  <c r="E28" i="2" s="1"/>
  <c r="C29" i="1" s="1"/>
  <c r="C29" i="2"/>
  <c r="D29" i="2" s="1"/>
  <c r="E29" i="2" s="1" a="1"/>
  <c r="E29" i="2" s="1"/>
  <c r="C30" i="1" s="1"/>
  <c r="C2" i="2"/>
  <c r="D2" i="2" s="1"/>
  <c r="E2" i="2" s="1" a="1"/>
  <c r="E2" i="2" s="1"/>
  <c r="C3" i="1" s="1"/>
  <c r="C1" i="2"/>
  <c r="D1" i="2" s="1"/>
  <c r="E1" i="2" s="1" a="1"/>
  <c r="E1" i="2" s="1"/>
  <c r="C2" i="1" s="1"/>
  <c r="T23" i="1" l="1"/>
  <c r="U38" i="1"/>
  <c r="T38" i="1"/>
  <c r="U29" i="1"/>
  <c r="T29" i="1"/>
  <c r="T21" i="1"/>
  <c r="U21" i="1"/>
  <c r="T36" i="1"/>
  <c r="U36" i="1"/>
  <c r="T35" i="1"/>
  <c r="U35" i="1"/>
  <c r="T34" i="1"/>
  <c r="U34" i="1"/>
  <c r="U26" i="1"/>
  <c r="T26" i="1"/>
  <c r="T19" i="1"/>
  <c r="U19" i="1"/>
  <c r="U10" i="1"/>
  <c r="T10" i="1"/>
  <c r="U18" i="1"/>
  <c r="T18" i="1"/>
  <c r="T42" i="1"/>
  <c r="U42" i="1"/>
  <c r="T31" i="1"/>
  <c r="U31" i="1"/>
  <c r="U30" i="1"/>
  <c r="T30" i="1"/>
  <c r="U14" i="1"/>
  <c r="T14" i="1"/>
  <c r="T12" i="1"/>
  <c r="U12" i="1"/>
  <c r="U4" i="1"/>
  <c r="T4" i="1"/>
  <c r="T44" i="1"/>
  <c r="U44" i="1"/>
  <c r="T24" i="1"/>
  <c r="U24" i="1"/>
  <c r="T8" i="1"/>
  <c r="U8" i="1"/>
  <c r="T6" i="1"/>
  <c r="U6" i="1"/>
  <c r="U37" i="1"/>
  <c r="T37" i="1"/>
  <c r="W37" i="1" s="1"/>
  <c r="U13" i="1"/>
  <c r="T13" i="1"/>
  <c r="U28" i="1"/>
  <c r="T28" i="1"/>
  <c r="W28" i="1" s="1"/>
  <c r="U27" i="1"/>
  <c r="T27" i="1"/>
  <c r="T11" i="1"/>
  <c r="U11" i="1"/>
  <c r="T43" i="1"/>
  <c r="U43" i="1"/>
  <c r="T9" i="1"/>
  <c r="U9" i="1"/>
  <c r="W9" i="1" s="1"/>
  <c r="U41" i="1"/>
  <c r="T41" i="1"/>
  <c r="T16" i="1"/>
  <c r="U16" i="1"/>
  <c r="W16" i="1" s="1"/>
  <c r="U40" i="1"/>
  <c r="T40" i="1"/>
  <c r="T22" i="1"/>
  <c r="U22" i="1"/>
  <c r="U5" i="1"/>
  <c r="T5" i="1"/>
  <c r="T45" i="1"/>
  <c r="U45" i="1"/>
  <c r="T33" i="1"/>
  <c r="U33" i="1"/>
  <c r="T32" i="1"/>
  <c r="U32" i="1"/>
  <c r="U25" i="1"/>
  <c r="T25" i="1"/>
  <c r="U17" i="1"/>
  <c r="T17" i="1"/>
  <c r="U3" i="1"/>
  <c r="T3" i="1"/>
  <c r="U15" i="1"/>
  <c r="T15" i="1"/>
  <c r="W15" i="1" s="1"/>
  <c r="T7" i="1"/>
  <c r="U7" i="1"/>
  <c r="U39" i="1"/>
  <c r="T39" i="1"/>
  <c r="W39" i="1" s="1"/>
  <c r="U23" i="1"/>
  <c r="U20" i="1"/>
  <c r="W20" i="1" s="1"/>
  <c r="W41" i="1" l="1"/>
  <c r="W13" i="1"/>
  <c r="W4" i="1"/>
  <c r="W18" i="1"/>
  <c r="W21" i="1"/>
  <c r="W23" i="1"/>
  <c r="W10" i="1"/>
  <c r="W40" i="1"/>
  <c r="W5" i="1"/>
  <c r="W6" i="1"/>
  <c r="W8" i="1"/>
  <c r="W30" i="1"/>
  <c r="W26" i="1"/>
  <c r="W38" i="1"/>
  <c r="W36" i="1"/>
  <c r="W3" i="1"/>
  <c r="W35" i="1"/>
  <c r="W43" i="1"/>
  <c r="W29" i="1"/>
  <c r="W17" i="1"/>
  <c r="W22" i="1"/>
  <c r="W34" i="1"/>
  <c r="W32" i="1"/>
  <c r="W42" i="1"/>
  <c r="W31" i="1"/>
  <c r="W44" i="1"/>
  <c r="W14" i="1"/>
  <c r="W27" i="1"/>
  <c r="W33" i="1"/>
  <c r="W19" i="1"/>
  <c r="W24" i="1"/>
  <c r="W7" i="1"/>
  <c r="W45" i="1"/>
  <c r="W12" i="1"/>
  <c r="W25" i="1"/>
  <c r="W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<sst xmlns="http://schemas.openxmlformats.org/spreadsheetml/2006/main" count="201" uniqueCount="29">
  <si>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</si>
  <si>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</si>
  <si>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</si>
  <si>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</si>
  <si>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</si>
  <si>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</si>
  <si>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</si>
  <si>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</si>
  <si>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</si>
  <si>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</si>
  <si>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</si>
  <si>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</si>
  <si>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</si>
  <si>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</si>
  <si>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</si>
  <si>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</si>
  <si>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</si>
  <si>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</si>
  <si>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</si>
  <si>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</si>
  <si>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</si>
  <si>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</si>
  <si>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</si>
  <si>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</si>
  <si>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</si>
  <si>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r>
      <t>0.3 M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</si>
  <si>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0.05 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</si>
  <si>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Time</t>
  </si>
  <si>
    <t>0.6mna2so4ph1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</si>
</sst>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/d/yy\ h:mm\ AM/PM;@"/>
    <numFmt numFmtId="165" formatCode="0.0"/>
    <numFmt numFmtId="166" formatCode="m/d/yy\ h:mm;@"/>
    <numFmt numFmtId="167" formatCode="d/mm/yy\ h:mm;@"/>
    <numFmt numFmtId="168" formatCode="yyyy\-mm\-dd\ hh:mm:ss"/>
    <numFmt numFmtId="169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164" fontId="0" fillId="0" borderId="0" xfId="0" applyNumberFormat="1"/>
    <xf numFmtId="22" fontId="0" fillId="0" borderId="0" xfId="0" applyNumberFormat="1"/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/>
    <xf numFmtId="169" fontId="0" fillId="7" borderId="1" xfId="0" applyNumberFormat="1" applyFill="1" applyBorder="1" applyAlignment="1">
      <alignment horizontal="center" vertical="center"/>
    </xf>
    <xf numFmtId="169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AB63"/>
  <sheetViews>
    <sheetView tabSelected="1" topLeftCell="A25" zoomScale="70" zoomScaleNormal="85" workbookViewId="0">
      <selection activeCell="C43" sqref="C43"/>
    </sheetView>
  </sheetViews>
  <sheetFormatPr defaultRowHeight="14.4" x14ac:dyDescent="0.3"/>
  <cols>
    <col min="1" max="1" width="25.6640625" customWidth="1"/>
    <col min="2" max="2" width="6.5546875" customWidth="1"/>
    <col min="3" max="3" width="18.88671875" customWidth="1"/>
    <col min="4" max="4" width="13.77734375" customWidth="1"/>
    <col min="5" max="5" width="15.77734375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20" max="20" width="15.5546875" customWidth="1"/>
  </cols>
  <sheetData>
    <row r="1" spans="1:28" s="11" customFormat="1" ht="34.200000000000003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27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8" ht="15.6" x14ac:dyDescent="0.3">
      <c r="A2" s="1" t="s">
        <v>23</v>
      </c>
      <c r="B2" s="1">
        <v>60</v>
      </c>
      <c r="C2" s="12">
        <f>+'Flow rate'!E1</f>
        <v>59.502912999999999</v>
      </c>
      <c r="D2" s="1" t="s">
        <v>25</v>
      </c>
      <c r="E2" s="1" t="s">
        <v>26</v>
      </c>
      <c r="F2" s="1" t="s">
        <v>24</v>
      </c>
      <c r="G2" s="1">
        <v>0</v>
      </c>
      <c r="H2" s="15">
        <v>45439.760581064817</v>
      </c>
      <c r="I2">
        <v>0</v>
      </c>
      <c r="J2" s="13">
        <v>0</v>
      </c>
      <c r="K2" s="13">
        <v>0</v>
      </c>
      <c r="L2">
        <v>0</v>
      </c>
      <c r="N2">
        <v>0</v>
      </c>
      <c r="O2">
        <v>0</v>
      </c>
      <c r="P2" s="3">
        <v>0</v>
      </c>
      <c r="Q2" s="3">
        <v>0</v>
      </c>
      <c r="R2" s="3">
        <v>0</v>
      </c>
      <c r="S2" s="3">
        <v>0</v>
      </c>
      <c r="T2" s="4">
        <v>0</v>
      </c>
      <c r="U2" s="5">
        <v>0</v>
      </c>
      <c r="V2" s="14"/>
      <c r="W2" s="3">
        <v>0</v>
      </c>
      <c r="X2" s="3">
        <v>0</v>
      </c>
      <c r="Y2">
        <v>0</v>
      </c>
    </row>
    <row r="3" spans="1:28" ht="15.6" x14ac:dyDescent="0.3">
      <c r="A3" s="1" t="s">
        <v>23</v>
      </c>
      <c r="B3" s="1">
        <v>60</v>
      </c>
      <c r="C3" s="12">
        <f>+'Flow rate'!E2</f>
        <v>62.083824999999997</v>
      </c>
      <c r="D3" s="1" t="s">
        <v>25</v>
      </c>
      <c r="E3" s="1" t="s">
        <v>26</v>
      </c>
      <c r="F3" s="1" t="s">
        <v>24</v>
      </c>
      <c r="G3" s="1">
        <v>-0.125</v>
      </c>
      <c r="H3" s="15">
        <v>45439.78670138889</v>
      </c>
      <c r="I3" s="2">
        <v>0.62688777776202187</v>
      </c>
      <c r="J3" s="22">
        <v>1.5627093906177743</v>
      </c>
      <c r="K3" s="22">
        <v>0</v>
      </c>
      <c r="L3" s="22">
        <v>105.61947590705996</v>
      </c>
      <c r="N3" s="22">
        <v>2.2933131493663043E-2</v>
      </c>
      <c r="O3" s="22">
        <v>6.2159400844940663E-2</v>
      </c>
      <c r="P3" s="3">
        <f>+J3/SUM($J3:$O3)</f>
        <v>1.4568369984126557E-2</v>
      </c>
      <c r="Q3" s="3">
        <f t="shared" ref="Q3:R3" si="0">+K3/SUM($J3:$O3)</f>
        <v>0</v>
      </c>
      <c r="R3" s="3">
        <f t="shared" si="0"/>
        <v>0.98463835424659885</v>
      </c>
      <c r="S3" s="3">
        <f>+N3/SUM($J3:$O3)</f>
        <v>2.137942899045558E-4</v>
      </c>
      <c r="T3" s="4">
        <f>+P3*C3/1000/60/24.3*2*96485/-1/G3</f>
        <v>0.9576607505819803</v>
      </c>
      <c r="U3" s="5">
        <f>+Q3*C3/1000/60/24.3*2*96485/-1/G3</f>
        <v>0</v>
      </c>
      <c r="V3" s="14"/>
      <c r="W3" s="3">
        <f>T3+U3</f>
        <v>0.9576607505819803</v>
      </c>
      <c r="X3" s="3">
        <v>0</v>
      </c>
      <c r="Y3">
        <v>105.6195</v>
      </c>
    </row>
    <row r="4" spans="1:28" ht="15.6" x14ac:dyDescent="0.3">
      <c r="A4" s="1" t="s">
        <v>23</v>
      </c>
      <c r="B4" s="1">
        <v>60</v>
      </c>
      <c r="C4" s="12">
        <f>+'Flow rate'!E3</f>
        <v>62.859212999999997</v>
      </c>
      <c r="D4" s="1" t="s">
        <v>25</v>
      </c>
      <c r="E4" s="1" t="s">
        <v>26</v>
      </c>
      <c r="F4" s="1" t="s">
        <v>24</v>
      </c>
      <c r="G4" s="1">
        <v>-0.125</v>
      </c>
      <c r="H4" s="15">
        <v>45439.808252314811</v>
      </c>
      <c r="I4" s="2">
        <v>1.1441099998774007</v>
      </c>
      <c r="J4" s="22">
        <v>1.5784212133384992</v>
      </c>
      <c r="K4" s="22">
        <v>0</v>
      </c>
      <c r="L4" s="22">
        <v>105.44654965003856</v>
      </c>
      <c r="N4" s="22">
        <v>1.4570728990989004E-2</v>
      </c>
      <c r="O4" s="22">
        <v>4.1238940190249013E-2</v>
      </c>
      <c r="P4" s="3">
        <f t="shared" ref="P4:P45" si="1">+J4/SUM($J4:$O4)</f>
        <v>1.4740471683978568E-2</v>
      </c>
      <c r="Q4" s="3">
        <f t="shared" ref="Q4:Q45" si="2">+K4/SUM($J4:$O4)</f>
        <v>0</v>
      </c>
      <c r="R4" s="3">
        <f t="shared" ref="R4:R45" si="3">+L4/SUM($J4:$O4)</f>
        <v>0.98473833610110029</v>
      </c>
      <c r="S4" s="3">
        <f t="shared" ref="S4:S45" si="4">+N4/SUM($J4:$O4)</f>
        <v>1.3607230838739282E-4</v>
      </c>
      <c r="T4" s="4">
        <f t="shared" ref="T4:T45" si="5">+P4*C4/1000/60/24.3*2*96485/-1/G4</f>
        <v>0.98107583803638199</v>
      </c>
      <c r="U4" s="5">
        <f t="shared" ref="U4:U45" si="6">+Q4*C4/1000/60/24.3*2*96485/-1/G4</f>
        <v>0</v>
      </c>
      <c r="V4" s="14"/>
      <c r="W4" s="3">
        <f t="shared" ref="W4:W45" si="7">T4+U4</f>
        <v>0.98107583803638199</v>
      </c>
      <c r="X4" s="3">
        <v>0</v>
      </c>
    </row>
    <row r="5" spans="1:28" ht="15.6" x14ac:dyDescent="0.3">
      <c r="A5" s="1" t="s">
        <v>23</v>
      </c>
      <c r="B5" s="1">
        <v>60</v>
      </c>
      <c r="C5" s="12">
        <f>+'Flow rate'!E4</f>
        <v>63.194194000000003</v>
      </c>
      <c r="D5" s="1" t="s">
        <v>25</v>
      </c>
      <c r="E5" s="1" t="s">
        <v>26</v>
      </c>
      <c r="F5" s="1" t="s">
        <v>24</v>
      </c>
      <c r="G5" s="1">
        <v>-0.125</v>
      </c>
      <c r="H5" s="15">
        <v>45439.829085648147</v>
      </c>
      <c r="I5" s="2">
        <v>1.6441099999356084</v>
      </c>
      <c r="J5" s="22">
        <v>1.5770971825363358</v>
      </c>
      <c r="K5" s="22">
        <v>0</v>
      </c>
      <c r="L5" s="22">
        <v>105.62315081253494</v>
      </c>
      <c r="N5" s="22">
        <v>4.9682969505958144E-3</v>
      </c>
      <c r="O5" s="22">
        <v>1.1728698838845997E-2</v>
      </c>
      <c r="P5" s="3">
        <f t="shared" si="1"/>
        <v>1.4709402349327983E-2</v>
      </c>
      <c r="Q5" s="3">
        <f t="shared" si="2"/>
        <v>0</v>
      </c>
      <c r="R5" s="3">
        <f t="shared" si="3"/>
        <v>0.98513486670916028</v>
      </c>
      <c r="S5" s="3">
        <f t="shared" si="4"/>
        <v>4.6338728929641828E-5</v>
      </c>
      <c r="T5" s="4">
        <f t="shared" si="5"/>
        <v>0.9842251681367058</v>
      </c>
      <c r="U5" s="5">
        <f t="shared" si="6"/>
        <v>0</v>
      </c>
      <c r="V5" s="14"/>
      <c r="W5" s="3">
        <f t="shared" si="7"/>
        <v>0.9842251681367058</v>
      </c>
      <c r="X5" s="3">
        <v>0</v>
      </c>
      <c r="Y5">
        <v>105.6232</v>
      </c>
    </row>
    <row r="6" spans="1:28" ht="15.6" x14ac:dyDescent="0.3">
      <c r="A6" s="1" t="s">
        <v>23</v>
      </c>
      <c r="B6" s="1">
        <v>60</v>
      </c>
      <c r="C6" s="12">
        <f>+'Flow rate'!E5</f>
        <v>64.742743000000004</v>
      </c>
      <c r="D6" s="1" t="s">
        <v>25</v>
      </c>
      <c r="E6" s="1" t="s">
        <v>26</v>
      </c>
      <c r="F6" s="1" t="s">
        <v>24</v>
      </c>
      <c r="G6" s="1">
        <v>-0.27</v>
      </c>
      <c r="H6" s="15">
        <v>45439.849930555552</v>
      </c>
      <c r="I6" s="2">
        <v>2.1443877776619047</v>
      </c>
      <c r="J6" s="22">
        <v>2.4890111708122613</v>
      </c>
      <c r="K6" s="22">
        <v>0</v>
      </c>
      <c r="L6" s="22">
        <v>104.49565685586039</v>
      </c>
      <c r="N6" s="22">
        <v>4.5104453636076944E-3</v>
      </c>
      <c r="O6" s="22">
        <v>1.3995779464723197E-2</v>
      </c>
      <c r="P6" s="3">
        <f t="shared" si="1"/>
        <v>2.3261096581696471E-2</v>
      </c>
      <c r="Q6" s="3">
        <f t="shared" si="2"/>
        <v>0</v>
      </c>
      <c r="R6" s="3">
        <f t="shared" si="3"/>
        <v>0.97656595317680106</v>
      </c>
      <c r="S6" s="3">
        <f t="shared" si="4"/>
        <v>4.2152444496705426E-5</v>
      </c>
      <c r="T6" s="4">
        <f t="shared" si="5"/>
        <v>0.7382267682168504</v>
      </c>
      <c r="U6" s="5">
        <f t="shared" si="6"/>
        <v>0</v>
      </c>
      <c r="V6" s="14"/>
      <c r="W6" s="3">
        <f t="shared" si="7"/>
        <v>0.7382267682168504</v>
      </c>
      <c r="X6" s="3">
        <v>0</v>
      </c>
    </row>
    <row r="7" spans="1:28" ht="15.6" x14ac:dyDescent="0.3">
      <c r="A7" s="1" t="s">
        <v>23</v>
      </c>
      <c r="B7" s="1">
        <v>60</v>
      </c>
      <c r="C7" s="12">
        <f>+'Flow rate'!E6</f>
        <v>64.631876000000005</v>
      </c>
      <c r="D7" s="1" t="s">
        <v>25</v>
      </c>
      <c r="E7" s="1" t="s">
        <v>26</v>
      </c>
      <c r="F7" s="1" t="s">
        <v>24</v>
      </c>
      <c r="G7" s="1">
        <v>-0.27</v>
      </c>
      <c r="H7" s="15">
        <v>45439.870763888888</v>
      </c>
      <c r="I7" s="2">
        <v>2.6443877777201124</v>
      </c>
      <c r="J7" s="22">
        <v>3.2964436243478348</v>
      </c>
      <c r="K7" s="22">
        <v>0</v>
      </c>
      <c r="L7" s="22">
        <v>103.23629599828107</v>
      </c>
      <c r="N7" s="22">
        <v>2.7307414999661814E-3</v>
      </c>
      <c r="O7" s="22">
        <v>6.5007734546487072E-3</v>
      </c>
      <c r="P7" s="3">
        <f t="shared" si="1"/>
        <v>3.094032885960929E-2</v>
      </c>
      <c r="Q7" s="3">
        <f t="shared" si="2"/>
        <v>0</v>
      </c>
      <c r="R7" s="3">
        <f t="shared" si="3"/>
        <v>0.9689730243958633</v>
      </c>
      <c r="S7" s="3">
        <f t="shared" si="4"/>
        <v>2.5630664336403397E-5</v>
      </c>
      <c r="T7" s="4">
        <f t="shared" si="5"/>
        <v>0.9802575502158607</v>
      </c>
      <c r="U7" s="5">
        <f t="shared" si="6"/>
        <v>0</v>
      </c>
      <c r="V7" s="14"/>
      <c r="W7" s="3">
        <f t="shared" si="7"/>
        <v>0.9802575502158607</v>
      </c>
      <c r="X7" s="3">
        <v>0</v>
      </c>
      <c r="Y7">
        <v>103.2363</v>
      </c>
      <c r="AB7" s="16"/>
    </row>
    <row r="8" spans="1:28" ht="15.6" x14ac:dyDescent="0.3">
      <c r="A8" s="1" t="s">
        <v>23</v>
      </c>
      <c r="B8" s="1">
        <v>60</v>
      </c>
      <c r="C8" s="12">
        <f>+'Flow rate'!E7</f>
        <v>64.659403999999995</v>
      </c>
      <c r="D8" s="1" t="s">
        <v>25</v>
      </c>
      <c r="E8" s="1" t="s">
        <v>26</v>
      </c>
      <c r="F8" s="1" t="s">
        <v>24</v>
      </c>
      <c r="G8" s="1">
        <v>-0.27</v>
      </c>
      <c r="H8" s="15">
        <v>45439.891597222224</v>
      </c>
      <c r="I8" s="2">
        <v>3.14438777777832</v>
      </c>
      <c r="J8" s="22">
        <v>3.3184940954028668</v>
      </c>
      <c r="K8" s="22">
        <v>0</v>
      </c>
      <c r="L8" s="22">
        <v>103.35467395635759</v>
      </c>
      <c r="N8" s="22">
        <v>0</v>
      </c>
      <c r="O8" s="22">
        <v>0</v>
      </c>
      <c r="P8" s="3">
        <f t="shared" si="1"/>
        <v>3.1108986036607177E-2</v>
      </c>
      <c r="Q8" s="3">
        <f t="shared" si="2"/>
        <v>0</v>
      </c>
      <c r="R8" s="3">
        <f t="shared" si="3"/>
        <v>0.96889101396339283</v>
      </c>
      <c r="S8" s="3">
        <f t="shared" si="4"/>
        <v>0</v>
      </c>
      <c r="T8" s="4">
        <f t="shared" si="5"/>
        <v>0.98602076692116003</v>
      </c>
      <c r="U8" s="5">
        <f t="shared" si="6"/>
        <v>0</v>
      </c>
      <c r="V8" s="14"/>
      <c r="W8" s="3">
        <f t="shared" si="7"/>
        <v>0.98602076692116003</v>
      </c>
      <c r="X8" s="3">
        <v>0</v>
      </c>
      <c r="AB8" s="16"/>
    </row>
    <row r="9" spans="1:28" ht="15.6" x14ac:dyDescent="0.3">
      <c r="A9" s="1" t="s">
        <v>23</v>
      </c>
      <c r="B9" s="1">
        <v>60</v>
      </c>
      <c r="C9" s="12">
        <f>+'Flow rate'!E8</f>
        <v>64.951008000000002</v>
      </c>
      <c r="D9" s="1" t="s">
        <v>25</v>
      </c>
      <c r="E9" s="1" t="s">
        <v>26</v>
      </c>
      <c r="F9" s="1" t="s">
        <v>24</v>
      </c>
      <c r="G9" s="1">
        <v>-0.27</v>
      </c>
      <c r="H9" s="15">
        <v>45439.913495370369</v>
      </c>
      <c r="I9" s="2">
        <v>3.6699433332541957</v>
      </c>
      <c r="J9" s="22">
        <v>3.3261442043250802</v>
      </c>
      <c r="K9" s="22">
        <v>0</v>
      </c>
      <c r="L9" s="22">
        <v>103.13509744258076</v>
      </c>
      <c r="N9" s="22">
        <v>0</v>
      </c>
      <c r="O9" s="22">
        <v>0</v>
      </c>
      <c r="P9" s="3">
        <f t="shared" si="1"/>
        <v>3.1242771104969078E-2</v>
      </c>
      <c r="Q9" s="3">
        <f t="shared" si="2"/>
        <v>0</v>
      </c>
      <c r="R9" s="3">
        <f t="shared" si="3"/>
        <v>0.96875722889503102</v>
      </c>
      <c r="S9" s="3">
        <f t="shared" si="4"/>
        <v>0</v>
      </c>
      <c r="T9" s="4">
        <f t="shared" si="5"/>
        <v>0.9947271030332181</v>
      </c>
      <c r="U9" s="5">
        <f t="shared" si="6"/>
        <v>0</v>
      </c>
      <c r="V9" s="14"/>
      <c r="W9" s="3">
        <f t="shared" si="7"/>
        <v>0.9947271030332181</v>
      </c>
      <c r="X9" s="3">
        <v>0</v>
      </c>
      <c r="Y9">
        <v>103.13509999999999</v>
      </c>
      <c r="AB9" s="16"/>
    </row>
    <row r="10" spans="1:28" ht="15.6" x14ac:dyDescent="0.3">
      <c r="A10" s="1" t="s">
        <v>23</v>
      </c>
      <c r="B10" s="1">
        <v>60</v>
      </c>
      <c r="C10" s="12">
        <f>+'Flow rate'!E9</f>
        <v>67.758291999999997</v>
      </c>
      <c r="D10" s="1" t="s">
        <v>25</v>
      </c>
      <c r="E10" s="1" t="s">
        <v>26</v>
      </c>
      <c r="F10" s="1" t="s">
        <v>24</v>
      </c>
      <c r="G10" s="1">
        <v>-0.52</v>
      </c>
      <c r="H10" s="15">
        <v>45439.935370370367</v>
      </c>
      <c r="I10" s="2">
        <v>4.1949433332192712</v>
      </c>
      <c r="J10" s="22">
        <v>5.2169692705382964</v>
      </c>
      <c r="K10" s="22">
        <v>0</v>
      </c>
      <c r="L10" s="22">
        <v>100.70649402398746</v>
      </c>
      <c r="N10" s="22">
        <v>0</v>
      </c>
      <c r="O10" s="22">
        <v>0</v>
      </c>
      <c r="P10" s="3">
        <f t="shared" si="1"/>
        <v>4.9252253544922707E-2</v>
      </c>
      <c r="Q10" s="3">
        <f t="shared" si="2"/>
        <v>0</v>
      </c>
      <c r="R10" s="3">
        <f t="shared" si="3"/>
        <v>0.95074774645507731</v>
      </c>
      <c r="S10" s="3">
        <f t="shared" si="4"/>
        <v>0</v>
      </c>
      <c r="T10" s="4">
        <f t="shared" si="5"/>
        <v>0.84941022735593597</v>
      </c>
      <c r="U10" s="5">
        <f t="shared" si="6"/>
        <v>0</v>
      </c>
      <c r="V10" s="14"/>
      <c r="W10" s="3">
        <f t="shared" si="7"/>
        <v>0.84941022735593597</v>
      </c>
      <c r="X10" s="3">
        <v>0</v>
      </c>
      <c r="AA10" s="16"/>
      <c r="AB10" s="16"/>
    </row>
    <row r="11" spans="1:28" ht="15.6" x14ac:dyDescent="0.3">
      <c r="A11" s="1" t="s">
        <v>23</v>
      </c>
      <c r="B11" s="1">
        <v>60</v>
      </c>
      <c r="C11" s="12">
        <f>+'Flow rate'!E10</f>
        <v>66.941896999999997</v>
      </c>
      <c r="D11" s="1" t="s">
        <v>25</v>
      </c>
      <c r="E11" s="1" t="s">
        <v>26</v>
      </c>
      <c r="F11" s="1" t="s">
        <v>24</v>
      </c>
      <c r="G11" s="1">
        <v>-0.52</v>
      </c>
      <c r="H11" s="15">
        <v>45439.957256944443</v>
      </c>
      <c r="I11" s="2">
        <v>4.7202211110270582</v>
      </c>
      <c r="J11" s="22">
        <v>5.991550649924628</v>
      </c>
      <c r="K11" s="22">
        <v>0</v>
      </c>
      <c r="L11" s="22">
        <v>99.121899341629216</v>
      </c>
      <c r="N11" s="22">
        <v>0</v>
      </c>
      <c r="O11" s="22">
        <v>0</v>
      </c>
      <c r="P11" s="3">
        <f t="shared" si="1"/>
        <v>5.7000799140415101E-2</v>
      </c>
      <c r="Q11" s="3">
        <f t="shared" si="2"/>
        <v>0</v>
      </c>
      <c r="R11" s="3">
        <f t="shared" si="3"/>
        <v>0.94299920085958489</v>
      </c>
      <c r="S11" s="3">
        <f t="shared" si="4"/>
        <v>0</v>
      </c>
      <c r="T11" s="4">
        <f t="shared" si="5"/>
        <v>0.97119824492388718</v>
      </c>
      <c r="U11" s="5">
        <f t="shared" si="6"/>
        <v>0</v>
      </c>
      <c r="V11" s="14"/>
      <c r="W11" s="3">
        <f t="shared" si="7"/>
        <v>0.97119824492388718</v>
      </c>
      <c r="X11" s="3">
        <v>0</v>
      </c>
      <c r="Y11">
        <v>99.121899999999997</v>
      </c>
      <c r="AA11" s="16"/>
      <c r="AB11" s="16"/>
    </row>
    <row r="12" spans="1:28" ht="15.6" x14ac:dyDescent="0.3">
      <c r="A12" s="1" t="s">
        <v>23</v>
      </c>
      <c r="B12" s="1">
        <v>60</v>
      </c>
      <c r="C12" s="12">
        <f>+'Flow rate'!E11</f>
        <v>66.749848</v>
      </c>
      <c r="D12" s="1" t="s">
        <v>25</v>
      </c>
      <c r="E12" s="1" t="s">
        <v>26</v>
      </c>
      <c r="F12" s="1" t="s">
        <v>24</v>
      </c>
      <c r="G12" s="1">
        <v>-0.52</v>
      </c>
      <c r="H12" s="15">
        <v>45439.979143518518</v>
      </c>
      <c r="I12" s="2">
        <v>5.2454988888348453</v>
      </c>
      <c r="J12" s="22">
        <v>6.0773453362680918</v>
      </c>
      <c r="K12" s="22">
        <v>0</v>
      </c>
      <c r="L12" s="22">
        <v>99.891265794355348</v>
      </c>
      <c r="N12" s="22">
        <v>0</v>
      </c>
      <c r="O12" s="22">
        <v>0</v>
      </c>
      <c r="P12" s="3">
        <f t="shared" si="1"/>
        <v>5.7350429258497891E-2</v>
      </c>
      <c r="Q12" s="3">
        <f t="shared" si="2"/>
        <v>0</v>
      </c>
      <c r="R12" s="3">
        <f t="shared" si="3"/>
        <v>0.94264957074150213</v>
      </c>
      <c r="S12" s="3">
        <f t="shared" si="4"/>
        <v>0</v>
      </c>
      <c r="T12" s="4">
        <f t="shared" si="5"/>
        <v>0.97435200501826646</v>
      </c>
      <c r="U12" s="5">
        <f t="shared" si="6"/>
        <v>0</v>
      </c>
      <c r="V12" s="14"/>
      <c r="W12" s="3">
        <f t="shared" si="7"/>
        <v>0.97435200501826646</v>
      </c>
      <c r="X12" s="3">
        <v>0</v>
      </c>
      <c r="AA12" s="16"/>
      <c r="AB12" s="16"/>
    </row>
    <row r="13" spans="1:28" ht="15.6" x14ac:dyDescent="0.3">
      <c r="A13" s="1" t="s">
        <v>23</v>
      </c>
      <c r="B13" s="1">
        <v>60</v>
      </c>
      <c r="C13" s="12">
        <f>+'Flow rate'!E12</f>
        <v>66.238387000000003</v>
      </c>
      <c r="D13" s="1" t="s">
        <v>25</v>
      </c>
      <c r="E13" s="1" t="s">
        <v>26</v>
      </c>
      <c r="F13" s="1" t="s">
        <v>24</v>
      </c>
      <c r="G13" s="1">
        <v>-0.52</v>
      </c>
      <c r="H13" s="15">
        <v>45439.994768518518</v>
      </c>
      <c r="I13" s="2">
        <v>5.6204988888348453</v>
      </c>
      <c r="J13" s="22">
        <v>6.1041472375604267</v>
      </c>
      <c r="K13" s="22">
        <v>0</v>
      </c>
      <c r="L13" s="22">
        <v>99.810751009938329</v>
      </c>
      <c r="N13" s="22">
        <v>0</v>
      </c>
      <c r="O13" s="22">
        <v>0</v>
      </c>
      <c r="P13" s="3">
        <f t="shared" si="1"/>
        <v>5.7632564809687481E-2</v>
      </c>
      <c r="Q13" s="3">
        <f t="shared" si="2"/>
        <v>0</v>
      </c>
      <c r="R13" s="3">
        <f t="shared" si="3"/>
        <v>0.94236743519031252</v>
      </c>
      <c r="S13" s="3">
        <f t="shared" si="4"/>
        <v>0</v>
      </c>
      <c r="T13" s="4">
        <f t="shared" si="5"/>
        <v>0.97164277298685686</v>
      </c>
      <c r="U13" s="5">
        <f t="shared" si="6"/>
        <v>0</v>
      </c>
      <c r="V13" s="14"/>
      <c r="W13" s="3">
        <f t="shared" si="7"/>
        <v>0.97164277298685686</v>
      </c>
      <c r="X13" s="3">
        <v>0</v>
      </c>
      <c r="Y13">
        <v>99.8108</v>
      </c>
      <c r="AA13" s="16"/>
      <c r="AB13" s="16"/>
    </row>
    <row r="14" spans="1:28" ht="15.6" x14ac:dyDescent="0.3">
      <c r="A14" s="1" t="s">
        <v>23</v>
      </c>
      <c r="B14" s="1">
        <v>60</v>
      </c>
      <c r="C14" s="12">
        <f>+'Flow rate'!E13</f>
        <v>66.474160999999995</v>
      </c>
      <c r="D14" s="1" t="s">
        <v>25</v>
      </c>
      <c r="E14" s="1" t="s">
        <v>26</v>
      </c>
      <c r="F14" s="1" t="s">
        <v>24</v>
      </c>
      <c r="G14" s="1">
        <v>-0.77</v>
      </c>
      <c r="H14" s="15">
        <v>45440.010393518518</v>
      </c>
      <c r="I14" s="2">
        <v>5.9954988888348453</v>
      </c>
      <c r="J14" s="22">
        <v>6.112471022080884</v>
      </c>
      <c r="K14" s="22">
        <v>0</v>
      </c>
      <c r="L14" s="22">
        <v>99.65904780819892</v>
      </c>
      <c r="N14" s="22">
        <v>0</v>
      </c>
      <c r="O14" s="22">
        <v>0</v>
      </c>
      <c r="P14" s="3">
        <f t="shared" si="1"/>
        <v>5.7789384984524142E-2</v>
      </c>
      <c r="Q14" s="3">
        <f t="shared" si="2"/>
        <v>0</v>
      </c>
      <c r="R14" s="3">
        <f t="shared" si="3"/>
        <v>0.94221061501547587</v>
      </c>
      <c r="S14" s="3">
        <f t="shared" si="4"/>
        <v>0</v>
      </c>
      <c r="T14" s="4">
        <f t="shared" si="5"/>
        <v>0.66030180563406171</v>
      </c>
      <c r="U14" s="5">
        <f t="shared" si="6"/>
        <v>0</v>
      </c>
      <c r="V14" s="14"/>
      <c r="W14" s="3">
        <f t="shared" si="7"/>
        <v>0.66030180563406171</v>
      </c>
      <c r="X14" s="3">
        <v>0</v>
      </c>
      <c r="AA14" s="16"/>
      <c r="AB14" s="16"/>
    </row>
    <row r="15" spans="1:28" ht="15.6" x14ac:dyDescent="0.3">
      <c r="A15" s="1" t="s">
        <v>23</v>
      </c>
      <c r="B15" s="1">
        <v>60</v>
      </c>
      <c r="C15" s="12">
        <f>+'Flow rate'!E14</f>
        <v>68.884945000000002</v>
      </c>
      <c r="D15" s="1" t="s">
        <v>25</v>
      </c>
      <c r="E15" s="1" t="s">
        <v>26</v>
      </c>
      <c r="F15" s="1" t="s">
        <v>24</v>
      </c>
      <c r="G15" s="1">
        <v>-0.77</v>
      </c>
      <c r="H15" s="15">
        <v>45440.026041666664</v>
      </c>
      <c r="I15" s="2">
        <v>6.3710544443456456</v>
      </c>
      <c r="J15" s="22">
        <v>8.509633874712982</v>
      </c>
      <c r="K15" s="22">
        <v>0</v>
      </c>
      <c r="L15" s="22">
        <v>96.860433831922165</v>
      </c>
      <c r="N15" s="22">
        <v>0</v>
      </c>
      <c r="O15" s="22">
        <v>0</v>
      </c>
      <c r="P15" s="3">
        <f t="shared" si="1"/>
        <v>8.0759498972753627E-2</v>
      </c>
      <c r="Q15" s="3">
        <f t="shared" si="2"/>
        <v>0</v>
      </c>
      <c r="R15" s="3">
        <f t="shared" si="3"/>
        <v>0.9192405010272463</v>
      </c>
      <c r="S15" s="3">
        <f t="shared" si="4"/>
        <v>0</v>
      </c>
      <c r="T15" s="4">
        <f t="shared" si="5"/>
        <v>0.95622364747031963</v>
      </c>
      <c r="U15" s="5">
        <f t="shared" si="6"/>
        <v>0</v>
      </c>
      <c r="V15" s="14"/>
      <c r="W15" s="3">
        <f t="shared" si="7"/>
        <v>0.95622364747031963</v>
      </c>
      <c r="X15" s="3">
        <v>0</v>
      </c>
      <c r="Y15">
        <v>96.860399999999998</v>
      </c>
      <c r="AA15" s="16"/>
      <c r="AB15" s="16"/>
    </row>
    <row r="16" spans="1:28" ht="15.6" x14ac:dyDescent="0.3">
      <c r="A16" s="1" t="s">
        <v>23</v>
      </c>
      <c r="B16" s="1">
        <v>60</v>
      </c>
      <c r="C16" s="12">
        <f>+'Flow rate'!E15</f>
        <v>68.749906999999993</v>
      </c>
      <c r="D16" s="1" t="s">
        <v>25</v>
      </c>
      <c r="E16" s="1" t="s">
        <v>26</v>
      </c>
      <c r="F16" s="1" t="s">
        <v>24</v>
      </c>
      <c r="G16" s="1">
        <v>-0.77</v>
      </c>
      <c r="H16" s="15">
        <v>45440.041666666664</v>
      </c>
      <c r="I16" s="2">
        <v>6.7460544443456456</v>
      </c>
      <c r="J16" s="22">
        <v>8.6750134185238768</v>
      </c>
      <c r="K16" s="22">
        <v>0</v>
      </c>
      <c r="L16" s="22">
        <v>96.216390622171275</v>
      </c>
      <c r="N16" s="22">
        <v>1.1395544193217727E-4</v>
      </c>
      <c r="O16" s="22">
        <v>0</v>
      </c>
      <c r="P16" s="3">
        <f t="shared" si="1"/>
        <v>8.2704622683059628E-2</v>
      </c>
      <c r="Q16" s="3">
        <f t="shared" si="2"/>
        <v>0</v>
      </c>
      <c r="R16" s="3">
        <f t="shared" si="3"/>
        <v>0.91729429090457726</v>
      </c>
      <c r="S16" s="3">
        <f t="shared" si="4"/>
        <v>1.0864123630699481E-6</v>
      </c>
      <c r="T16" s="4">
        <f t="shared" si="5"/>
        <v>0.97733498985181333</v>
      </c>
      <c r="U16" s="5">
        <f t="shared" si="6"/>
        <v>0</v>
      </c>
      <c r="V16" s="14"/>
      <c r="W16" s="3">
        <f t="shared" si="7"/>
        <v>0.97733498985181333</v>
      </c>
      <c r="X16" s="3">
        <v>0</v>
      </c>
      <c r="AA16" s="16"/>
      <c r="AB16" s="16"/>
    </row>
    <row r="17" spans="1:28" ht="15.6" x14ac:dyDescent="0.3">
      <c r="A17" s="1" t="s">
        <v>23</v>
      </c>
      <c r="B17" s="1">
        <v>60</v>
      </c>
      <c r="C17" s="12">
        <f>+'Flow rate'!E16</f>
        <v>67.932079999999999</v>
      </c>
      <c r="D17" s="1" t="s">
        <v>25</v>
      </c>
      <c r="E17" s="1" t="s">
        <v>26</v>
      </c>
      <c r="F17" s="1" t="s">
        <v>24</v>
      </c>
      <c r="G17" s="1">
        <v>-0.77</v>
      </c>
      <c r="H17" s="15">
        <v>45440.057291666664</v>
      </c>
      <c r="I17" s="2">
        <v>7.1210544443456456</v>
      </c>
      <c r="J17" s="22">
        <v>8.6946238195804479</v>
      </c>
      <c r="K17" s="22">
        <v>0</v>
      </c>
      <c r="L17" s="22">
        <v>96.477359910211348</v>
      </c>
      <c r="N17" s="22">
        <v>0</v>
      </c>
      <c r="O17" s="22">
        <v>0</v>
      </c>
      <c r="P17" s="3">
        <f t="shared" si="1"/>
        <v>8.2670531744639369E-2</v>
      </c>
      <c r="Q17" s="3">
        <f t="shared" si="2"/>
        <v>0</v>
      </c>
      <c r="R17" s="3">
        <f t="shared" si="3"/>
        <v>0.91732946825536066</v>
      </c>
      <c r="S17" s="3">
        <f t="shared" si="4"/>
        <v>0</v>
      </c>
      <c r="T17" s="4">
        <f t="shared" si="5"/>
        <v>0.96531085774478198</v>
      </c>
      <c r="U17" s="5">
        <f t="shared" si="6"/>
        <v>0</v>
      </c>
      <c r="V17" s="14"/>
      <c r="W17" s="3">
        <f t="shared" si="7"/>
        <v>0.96531085774478198</v>
      </c>
      <c r="X17" s="3">
        <v>0</v>
      </c>
      <c r="Y17">
        <v>96.477400000000003</v>
      </c>
      <c r="AA17" s="16"/>
      <c r="AB17" s="16"/>
    </row>
    <row r="18" spans="1:28" ht="15.6" x14ac:dyDescent="0.3">
      <c r="A18" s="1" t="s">
        <v>23</v>
      </c>
      <c r="B18" s="1">
        <v>60</v>
      </c>
      <c r="C18" s="12">
        <f>+'Flow rate'!E17</f>
        <v>68.157514000000006</v>
      </c>
      <c r="D18" s="1" t="s">
        <v>25</v>
      </c>
      <c r="E18" s="1" t="s">
        <v>26</v>
      </c>
      <c r="F18" s="1" t="s">
        <v>24</v>
      </c>
      <c r="G18" s="1">
        <v>-0.77</v>
      </c>
      <c r="H18" s="15">
        <v>45440.072928240741</v>
      </c>
      <c r="I18" s="2">
        <v>7.4963322221883573</v>
      </c>
      <c r="J18" s="22">
        <v>8.7117307337807262</v>
      </c>
      <c r="K18" s="22">
        <v>0</v>
      </c>
      <c r="L18" s="22">
        <v>96.122943907690455</v>
      </c>
      <c r="N18" s="22">
        <v>1.8028242069895797E-3</v>
      </c>
      <c r="O18" s="22">
        <v>0</v>
      </c>
      <c r="P18" s="3">
        <f t="shared" si="1"/>
        <v>8.3098277854984318E-2</v>
      </c>
      <c r="Q18" s="3">
        <f t="shared" si="2"/>
        <v>0</v>
      </c>
      <c r="R18" s="3">
        <f t="shared" si="3"/>
        <v>0.91688452560951039</v>
      </c>
      <c r="S18" s="3">
        <f t="shared" si="4"/>
        <v>1.7196535505304402E-5</v>
      </c>
      <c r="T18" s="4">
        <f t="shared" si="5"/>
        <v>0.97352545725363826</v>
      </c>
      <c r="U18" s="5">
        <f t="shared" si="6"/>
        <v>0</v>
      </c>
      <c r="V18" s="14"/>
      <c r="W18" s="3">
        <f t="shared" si="7"/>
        <v>0.97352545725363826</v>
      </c>
      <c r="X18" s="3">
        <v>0</v>
      </c>
      <c r="AA18" s="16"/>
      <c r="AB18" s="16"/>
    </row>
    <row r="19" spans="1:28" ht="15.6" x14ac:dyDescent="0.3">
      <c r="A19" s="1" t="s">
        <v>23</v>
      </c>
      <c r="B19" s="1">
        <v>60</v>
      </c>
      <c r="C19" s="12">
        <f>+'Flow rate'!E18</f>
        <v>68.109057000000007</v>
      </c>
      <c r="D19" s="1" t="s">
        <v>25</v>
      </c>
      <c r="E19" s="1" t="s">
        <v>26</v>
      </c>
      <c r="F19" s="1" t="s">
        <v>24</v>
      </c>
      <c r="G19" s="1">
        <v>-0.77</v>
      </c>
      <c r="H19" s="15">
        <v>45440.088553240741</v>
      </c>
      <c r="I19" s="2">
        <v>7.8713322221883573</v>
      </c>
      <c r="J19" s="22">
        <v>8.7220745019855972</v>
      </c>
      <c r="K19" s="22">
        <v>0</v>
      </c>
      <c r="L19" s="22">
        <v>96.516725793719388</v>
      </c>
      <c r="N19" s="22">
        <v>1.4800394310812773E-3</v>
      </c>
      <c r="O19" s="22">
        <v>0</v>
      </c>
      <c r="P19" s="3">
        <f t="shared" si="1"/>
        <v>8.2877720148694808E-2</v>
      </c>
      <c r="Q19" s="3">
        <f t="shared" si="2"/>
        <v>0</v>
      </c>
      <c r="R19" s="3">
        <f t="shared" si="3"/>
        <v>0.91710821642020846</v>
      </c>
      <c r="S19" s="3">
        <f t="shared" si="4"/>
        <v>1.4063431096611622E-5</v>
      </c>
      <c r="T19" s="4">
        <f t="shared" si="5"/>
        <v>0.97025124959210185</v>
      </c>
      <c r="U19" s="5">
        <f t="shared" si="6"/>
        <v>0</v>
      </c>
      <c r="V19" s="14"/>
      <c r="W19" s="3">
        <f t="shared" si="7"/>
        <v>0.97025124959210185</v>
      </c>
      <c r="X19" s="3">
        <v>0</v>
      </c>
      <c r="Y19">
        <v>96.5167</v>
      </c>
      <c r="AA19" s="16"/>
      <c r="AB19" s="16"/>
    </row>
    <row r="20" spans="1:28" ht="15.6" x14ac:dyDescent="0.3">
      <c r="A20" s="1" t="s">
        <v>23</v>
      </c>
      <c r="B20" s="1">
        <v>60</v>
      </c>
      <c r="C20" s="12">
        <f>+'Flow rate'!E19</f>
        <v>70.763435000000001</v>
      </c>
      <c r="D20" s="1" t="s">
        <v>25</v>
      </c>
      <c r="E20" s="1" t="s">
        <v>26</v>
      </c>
      <c r="F20" s="1" t="s">
        <v>24</v>
      </c>
      <c r="G20" s="1">
        <v>-1.1000000000000001</v>
      </c>
      <c r="H20" s="15">
        <v>45440.104189814818</v>
      </c>
      <c r="I20" s="2">
        <v>8.2466100000310689</v>
      </c>
      <c r="J20" s="22">
        <v>10.741238306154695</v>
      </c>
      <c r="K20" s="22">
        <v>2.24454634912201E-3</v>
      </c>
      <c r="L20" s="22">
        <v>94.001390774277695</v>
      </c>
      <c r="N20" s="22">
        <v>3.0368932931403719E-4</v>
      </c>
      <c r="O20" s="22">
        <v>0</v>
      </c>
      <c r="P20" s="3">
        <f t="shared" si="1"/>
        <v>0.1025463757031856</v>
      </c>
      <c r="Q20" s="3">
        <f t="shared" si="2"/>
        <v>2.1428636684132826E-5</v>
      </c>
      <c r="R20" s="3">
        <f t="shared" si="3"/>
        <v>0.89742929634450452</v>
      </c>
      <c r="S20" s="3">
        <f t="shared" si="4"/>
        <v>2.8993156257450605E-6</v>
      </c>
      <c r="T20" s="4">
        <f t="shared" si="5"/>
        <v>0.87310969307702857</v>
      </c>
      <c r="U20" s="5">
        <f t="shared" si="6"/>
        <v>1.8244965041471623E-4</v>
      </c>
      <c r="V20" s="14"/>
      <c r="W20" s="3">
        <f t="shared" si="7"/>
        <v>0.87329214272744327</v>
      </c>
      <c r="X20" s="3">
        <v>0</v>
      </c>
      <c r="AA20" s="16"/>
      <c r="AB20" s="16"/>
    </row>
    <row r="21" spans="1:28" ht="15.6" x14ac:dyDescent="0.3">
      <c r="A21" s="1" t="s">
        <v>23</v>
      </c>
      <c r="B21" s="1">
        <v>60</v>
      </c>
      <c r="C21" s="12">
        <f>+'Flow rate'!E20</f>
        <v>70.354363000000006</v>
      </c>
      <c r="D21" s="1" t="s">
        <v>25</v>
      </c>
      <c r="E21" s="1" t="s">
        <v>26</v>
      </c>
      <c r="F21" s="1" t="s">
        <v>24</v>
      </c>
      <c r="G21" s="1">
        <v>-1.1000000000000001</v>
      </c>
      <c r="H21" s="15">
        <v>45440.119826388887</v>
      </c>
      <c r="I21" s="2">
        <v>8.6218877776991576</v>
      </c>
      <c r="J21" s="22">
        <v>11.108237065206303</v>
      </c>
      <c r="K21" s="22">
        <v>3.5223484023494426E-3</v>
      </c>
      <c r="L21" s="22">
        <v>93.582549067668452</v>
      </c>
      <c r="N21" s="22">
        <v>1.4354519675465055E-3</v>
      </c>
      <c r="O21" s="22">
        <v>0</v>
      </c>
      <c r="P21" s="3">
        <f t="shared" si="1"/>
        <v>0.10610017798134237</v>
      </c>
      <c r="Q21" s="3">
        <f t="shared" si="2"/>
        <v>3.3643663725197243E-5</v>
      </c>
      <c r="R21" s="3">
        <f t="shared" si="3"/>
        <v>0.89385246765463433</v>
      </c>
      <c r="S21" s="3">
        <f t="shared" si="4"/>
        <v>1.3710700298015629E-5</v>
      </c>
      <c r="T21" s="4">
        <f t="shared" si="5"/>
        <v>0.89814557665997274</v>
      </c>
      <c r="U21" s="5">
        <f t="shared" si="6"/>
        <v>2.8479601384584952E-4</v>
      </c>
      <c r="V21" s="14"/>
      <c r="W21" s="3">
        <f t="shared" si="7"/>
        <v>0.89843037267381864</v>
      </c>
      <c r="X21" s="3">
        <v>0</v>
      </c>
      <c r="Y21">
        <v>93.582499999999996</v>
      </c>
      <c r="AA21" s="16"/>
      <c r="AB21" s="16"/>
    </row>
    <row r="22" spans="1:28" ht="15.6" x14ac:dyDescent="0.3">
      <c r="A22" s="1" t="s">
        <v>23</v>
      </c>
      <c r="B22" s="1">
        <v>60</v>
      </c>
      <c r="C22" s="12">
        <f>+'Flow rate'!E21</f>
        <v>70.101861999999997</v>
      </c>
      <c r="D22" s="1" t="s">
        <v>25</v>
      </c>
      <c r="E22" s="1" t="s">
        <v>26</v>
      </c>
      <c r="F22" s="1" t="s">
        <v>24</v>
      </c>
      <c r="G22" s="1">
        <v>-1.1000000000000001</v>
      </c>
      <c r="H22" s="15">
        <v>45440.135451388887</v>
      </c>
      <c r="I22" s="2">
        <v>8.9968877776991576</v>
      </c>
      <c r="J22" s="22">
        <v>11.155672454307282</v>
      </c>
      <c r="K22" s="22">
        <v>2.5344157451476115E-3</v>
      </c>
      <c r="L22" s="22">
        <v>93.462250452062904</v>
      </c>
      <c r="N22" s="22">
        <v>1.6254230222875268E-3</v>
      </c>
      <c r="O22" s="22">
        <v>0</v>
      </c>
      <c r="P22" s="3">
        <f t="shared" si="1"/>
        <v>0.10662827733493721</v>
      </c>
      <c r="Q22" s="3">
        <f t="shared" si="2"/>
        <v>2.4224481855532553E-5</v>
      </c>
      <c r="R22" s="3">
        <f t="shared" si="3"/>
        <v>0.89333196204609699</v>
      </c>
      <c r="S22" s="3">
        <f t="shared" si="4"/>
        <v>1.5536137110241856E-5</v>
      </c>
      <c r="T22" s="4">
        <f t="shared" si="5"/>
        <v>0.89937649700809819</v>
      </c>
      <c r="U22" s="5">
        <f t="shared" si="6"/>
        <v>2.0432600223511743E-4</v>
      </c>
      <c r="V22" s="14"/>
      <c r="W22" s="3">
        <f t="shared" si="7"/>
        <v>0.89958082301033326</v>
      </c>
      <c r="X22" s="3">
        <v>0</v>
      </c>
      <c r="AA22" s="16"/>
      <c r="AB22" s="16"/>
    </row>
    <row r="23" spans="1:28" ht="15.6" x14ac:dyDescent="0.3">
      <c r="A23" s="1" t="s">
        <v>23</v>
      </c>
      <c r="B23" s="1">
        <v>60</v>
      </c>
      <c r="C23" s="12">
        <f>+'Flow rate'!E22</f>
        <v>70.355517000000006</v>
      </c>
      <c r="D23" s="1" t="s">
        <v>25</v>
      </c>
      <c r="E23" s="1" t="s">
        <v>26</v>
      </c>
      <c r="F23" s="1" t="s">
        <v>24</v>
      </c>
      <c r="G23" s="1">
        <v>-1.1000000000000001</v>
      </c>
      <c r="H23" s="15">
        <v>45440.151099537034</v>
      </c>
      <c r="I23" s="2">
        <v>9.3724433332099579</v>
      </c>
      <c r="J23" s="22">
        <v>11.182749872192337</v>
      </c>
      <c r="K23" s="22">
        <v>3.0330307947902787E-3</v>
      </c>
      <c r="L23" s="22">
        <v>92.952423752350555</v>
      </c>
      <c r="N23" s="22">
        <v>1.653883105394674E-3</v>
      </c>
      <c r="O23" s="22">
        <v>0</v>
      </c>
      <c r="P23" s="3">
        <f t="shared" si="1"/>
        <v>0.1073820323397134</v>
      </c>
      <c r="Q23" s="3">
        <f t="shared" si="2"/>
        <v>2.9124590518062388E-5</v>
      </c>
      <c r="R23" s="3">
        <f t="shared" si="3"/>
        <v>0.89257296170506495</v>
      </c>
      <c r="S23" s="3">
        <f t="shared" si="4"/>
        <v>1.5881364703615533E-5</v>
      </c>
      <c r="T23" s="4">
        <f t="shared" si="5"/>
        <v>0.90901147523992964</v>
      </c>
      <c r="U23" s="5">
        <f t="shared" si="6"/>
        <v>2.4654578066494272E-4</v>
      </c>
      <c r="V23" s="14"/>
      <c r="W23" s="3">
        <f t="shared" si="7"/>
        <v>0.90925802102059461</v>
      </c>
      <c r="X23" s="3">
        <v>3.2273541935164605E-5</v>
      </c>
      <c r="Y23">
        <v>92.955399999999997</v>
      </c>
      <c r="AA23" s="16"/>
      <c r="AB23" s="16"/>
    </row>
    <row r="24" spans="1:28" ht="15.6" x14ac:dyDescent="0.3">
      <c r="A24" s="1" t="s">
        <v>23</v>
      </c>
      <c r="B24" s="1">
        <v>60</v>
      </c>
      <c r="C24" s="12">
        <f>+'Flow rate'!E23</f>
        <v>70.136964000000006</v>
      </c>
      <c r="D24" s="1" t="s">
        <v>25</v>
      </c>
      <c r="E24" s="1" t="s">
        <v>26</v>
      </c>
      <c r="F24" s="1" t="s">
        <v>24</v>
      </c>
      <c r="G24" s="1">
        <v>-1.1000000000000001</v>
      </c>
      <c r="H24" s="15">
        <v>45440.166747685187</v>
      </c>
      <c r="I24" s="2">
        <v>9.7479988888953812</v>
      </c>
      <c r="J24" s="22">
        <v>11.221366044799348</v>
      </c>
      <c r="K24" s="22">
        <v>2.6059212177379286E-3</v>
      </c>
      <c r="L24" s="22">
        <v>93.16999086759489</v>
      </c>
      <c r="N24" s="22">
        <v>1.4806323494787887E-3</v>
      </c>
      <c r="O24" s="22">
        <v>0</v>
      </c>
      <c r="P24" s="3">
        <f t="shared" si="1"/>
        <v>0.10748904044320783</v>
      </c>
      <c r="Q24" s="3">
        <f t="shared" si="2"/>
        <v>2.4962020670831284E-5</v>
      </c>
      <c r="R24" s="3">
        <f t="shared" si="3"/>
        <v>0.8924718146149101</v>
      </c>
      <c r="S24" s="3">
        <f t="shared" si="4"/>
        <v>1.4182921211130777E-5</v>
      </c>
      <c r="T24" s="4">
        <f t="shared" si="5"/>
        <v>0.90709074611762364</v>
      </c>
      <c r="U24" s="5">
        <f t="shared" si="6"/>
        <v>2.1065234056928155E-4</v>
      </c>
      <c r="V24" s="14"/>
      <c r="W24" s="3">
        <f t="shared" si="7"/>
        <v>0.90730139845819291</v>
      </c>
      <c r="X24" s="3">
        <v>2.7905199597306502E-5</v>
      </c>
      <c r="AA24" s="16"/>
      <c r="AB24" s="16"/>
    </row>
    <row r="25" spans="1:28" ht="15.6" x14ac:dyDescent="0.3">
      <c r="A25" s="1" t="s">
        <v>23</v>
      </c>
      <c r="B25" s="1">
        <v>60</v>
      </c>
      <c r="C25" s="12">
        <f>+'Flow rate'!E24</f>
        <v>75.042359000000005</v>
      </c>
      <c r="D25" s="1" t="s">
        <v>25</v>
      </c>
      <c r="E25" s="1" t="s">
        <v>26</v>
      </c>
      <c r="F25" s="1" t="s">
        <v>24</v>
      </c>
      <c r="G25" s="1">
        <v>-1.52</v>
      </c>
      <c r="H25" s="15">
        <v>45440.182384259257</v>
      </c>
      <c r="I25" s="2">
        <v>10.12327666656347</v>
      </c>
      <c r="J25" s="22">
        <v>13.424066851252558</v>
      </c>
      <c r="K25" s="22">
        <v>8.2498482656903876E-2</v>
      </c>
      <c r="L25" s="22">
        <v>90.555622101063207</v>
      </c>
      <c r="N25" s="22">
        <v>0</v>
      </c>
      <c r="O25" s="22">
        <v>0</v>
      </c>
      <c r="P25" s="3">
        <f t="shared" si="1"/>
        <v>0.12900042928312563</v>
      </c>
      <c r="Q25" s="3">
        <f t="shared" si="2"/>
        <v>7.9278059293589503E-4</v>
      </c>
      <c r="R25" s="3">
        <f t="shared" si="3"/>
        <v>0.87020679012393842</v>
      </c>
      <c r="S25" s="3">
        <f t="shared" si="4"/>
        <v>0</v>
      </c>
      <c r="T25" s="4">
        <f t="shared" si="5"/>
        <v>0.84291992207692301</v>
      </c>
      <c r="U25" s="5">
        <f t="shared" si="6"/>
        <v>5.1802196266724715E-3</v>
      </c>
      <c r="V25" s="14"/>
      <c r="W25" s="3">
        <f t="shared" si="7"/>
        <v>0.84810014170359549</v>
      </c>
      <c r="X25" s="3">
        <v>9.0139490033352716E-4</v>
      </c>
      <c r="Y25">
        <v>90.637299999999996</v>
      </c>
      <c r="AA25" s="16"/>
      <c r="AB25" s="16"/>
    </row>
    <row r="26" spans="1:28" ht="15.6" x14ac:dyDescent="0.3">
      <c r="A26" s="1" t="s">
        <v>23</v>
      </c>
      <c r="B26" s="1">
        <v>60</v>
      </c>
      <c r="C26" s="12">
        <f>+'Flow rate'!E25</f>
        <v>74.757031999999995</v>
      </c>
      <c r="D26" s="1" t="s">
        <v>25</v>
      </c>
      <c r="E26" s="1" t="s">
        <v>26</v>
      </c>
      <c r="F26" s="1" t="s">
        <v>24</v>
      </c>
      <c r="G26" s="1">
        <v>-1.52</v>
      </c>
      <c r="H26" s="15">
        <v>45440.19803240741</v>
      </c>
      <c r="I26" s="2">
        <v>10.498832222248893</v>
      </c>
      <c r="J26" s="22">
        <v>15.39711206071923</v>
      </c>
      <c r="K26" s="22">
        <v>0.16573606511004782</v>
      </c>
      <c r="L26" s="22">
        <v>88.118516963845821</v>
      </c>
      <c r="N26" s="22">
        <v>1.5872390774520073E-3</v>
      </c>
      <c r="O26" s="22">
        <v>0</v>
      </c>
      <c r="P26" s="3">
        <f t="shared" si="1"/>
        <v>0.14850186761560244</v>
      </c>
      <c r="Q26" s="3">
        <f t="shared" si="2"/>
        <v>1.5984890610033988E-3</v>
      </c>
      <c r="R26" s="3">
        <f t="shared" si="3"/>
        <v>0.84988433474043235</v>
      </c>
      <c r="S26" s="3">
        <f t="shared" si="4"/>
        <v>1.5308582961828397E-5</v>
      </c>
      <c r="T26" s="4">
        <f t="shared" si="5"/>
        <v>0.96665755858240998</v>
      </c>
      <c r="U26" s="5">
        <f t="shared" si="6"/>
        <v>1.0405199328064798E-2</v>
      </c>
      <c r="V26" s="14"/>
      <c r="W26" s="3">
        <f t="shared" si="7"/>
        <v>0.97706275791047481</v>
      </c>
      <c r="X26" s="3">
        <v>1.8316678031993587E-3</v>
      </c>
      <c r="AA26" s="16"/>
      <c r="AB26" s="16"/>
    </row>
    <row r="27" spans="1:28" ht="15.6" x14ac:dyDescent="0.3">
      <c r="A27" s="1" t="s">
        <v>23</v>
      </c>
      <c r="B27" s="1">
        <v>60</v>
      </c>
      <c r="C27" s="12">
        <f>+'Flow rate'!E26</f>
        <v>74.356098000000003</v>
      </c>
      <c r="D27" s="1" t="s">
        <v>25</v>
      </c>
      <c r="E27" s="1" t="s">
        <v>26</v>
      </c>
      <c r="F27" s="1" t="s">
        <v>24</v>
      </c>
      <c r="G27" s="1">
        <v>-1.52</v>
      </c>
      <c r="H27" s="15">
        <v>45440.21365740741</v>
      </c>
      <c r="I27" s="2">
        <v>10.873832222248893</v>
      </c>
      <c r="J27" s="22">
        <v>15.503845565349167</v>
      </c>
      <c r="K27" s="22">
        <v>0.166507369338948</v>
      </c>
      <c r="L27" s="22">
        <v>87.987114701665362</v>
      </c>
      <c r="N27" s="22">
        <v>1.4871544518580346E-3</v>
      </c>
      <c r="O27" s="22">
        <v>0</v>
      </c>
      <c r="P27" s="3">
        <f t="shared" si="1"/>
        <v>0.1495659067432964</v>
      </c>
      <c r="Q27" s="3">
        <f t="shared" si="2"/>
        <v>1.6062999060233376E-3</v>
      </c>
      <c r="R27" s="3">
        <f t="shared" si="3"/>
        <v>0.84881344674208437</v>
      </c>
      <c r="S27" s="3">
        <f t="shared" si="4"/>
        <v>1.4346608596037542E-5</v>
      </c>
      <c r="T27" s="4">
        <f t="shared" si="5"/>
        <v>0.96836232456197213</v>
      </c>
      <c r="U27" s="5">
        <f t="shared" si="6"/>
        <v>1.0399965773016341E-2</v>
      </c>
      <c r="V27" s="14"/>
      <c r="W27" s="3">
        <f t="shared" si="7"/>
        <v>0.97876229033498852</v>
      </c>
      <c r="X27" s="3">
        <v>1.8751616518665403E-3</v>
      </c>
      <c r="Y27">
        <v>88.1524</v>
      </c>
      <c r="AA27" s="16"/>
      <c r="AB27" s="16"/>
    </row>
    <row r="28" spans="1:28" ht="15.6" x14ac:dyDescent="0.3">
      <c r="A28" s="1" t="s">
        <v>23</v>
      </c>
      <c r="B28" s="1">
        <v>60</v>
      </c>
      <c r="C28" s="12">
        <f>+'Flow rate'!E27</f>
        <v>74.274862999999996</v>
      </c>
      <c r="D28" s="1" t="s">
        <v>25</v>
      </c>
      <c r="E28" s="1" t="s">
        <v>26</v>
      </c>
      <c r="F28" s="1" t="s">
        <v>24</v>
      </c>
      <c r="G28" s="1">
        <v>-1.52</v>
      </c>
      <c r="H28" s="15">
        <v>45440.22929398148</v>
      </c>
      <c r="I28" s="2">
        <v>11.249109999916982</v>
      </c>
      <c r="J28" s="22">
        <v>15.573091053100272</v>
      </c>
      <c r="K28" s="22">
        <v>0.17309249235668531</v>
      </c>
      <c r="L28" s="22">
        <v>87.856789303395459</v>
      </c>
      <c r="N28" s="22">
        <v>1.7757871280372137E-3</v>
      </c>
      <c r="O28" s="22">
        <v>0</v>
      </c>
      <c r="P28" s="3">
        <f t="shared" si="1"/>
        <v>0.15031252194643094</v>
      </c>
      <c r="Q28" s="3">
        <f t="shared" si="2"/>
        <v>1.6707003746020649E-3</v>
      </c>
      <c r="R28" s="3">
        <f t="shared" si="3"/>
        <v>0.84799963766220698</v>
      </c>
      <c r="S28" s="3">
        <f t="shared" si="4"/>
        <v>1.7140016760008893E-5</v>
      </c>
      <c r="T28" s="4">
        <f t="shared" si="5"/>
        <v>0.97213304448622728</v>
      </c>
      <c r="U28" s="5">
        <f t="shared" si="6"/>
        <v>1.08051080545705E-2</v>
      </c>
      <c r="V28" s="14"/>
      <c r="W28" s="3">
        <f t="shared" si="7"/>
        <v>0.98293815254079775</v>
      </c>
      <c r="X28" s="3">
        <v>1.9221593620066795E-3</v>
      </c>
      <c r="AA28" s="16"/>
      <c r="AB28" s="16"/>
    </row>
    <row r="29" spans="1:28" ht="15.6" x14ac:dyDescent="0.3">
      <c r="A29" s="1" t="s">
        <v>23</v>
      </c>
      <c r="B29" s="1">
        <v>60</v>
      </c>
      <c r="C29" s="12">
        <f>+'Flow rate'!E28</f>
        <v>73.981725999999995</v>
      </c>
      <c r="D29" s="1" t="s">
        <v>25</v>
      </c>
      <c r="E29" s="1" t="s">
        <v>26</v>
      </c>
      <c r="F29" s="1" t="s">
        <v>24</v>
      </c>
      <c r="G29" s="1">
        <v>-1.52</v>
      </c>
      <c r="H29" s="15">
        <v>45440.24491898148</v>
      </c>
      <c r="I29" s="2">
        <v>11.624109999916982</v>
      </c>
      <c r="J29" s="22">
        <v>15.599457627078451</v>
      </c>
      <c r="K29" s="22">
        <v>0.1768665683231895</v>
      </c>
      <c r="L29" s="22">
        <v>87.863671712891502</v>
      </c>
      <c r="N29" s="22">
        <v>1.7964206882907091E-3</v>
      </c>
      <c r="O29" s="22">
        <v>0</v>
      </c>
      <c r="P29" s="3">
        <f t="shared" si="1"/>
        <v>0.15051319816587505</v>
      </c>
      <c r="Q29" s="3">
        <f t="shared" si="2"/>
        <v>1.7065178471805738E-3</v>
      </c>
      <c r="R29" s="3">
        <f t="shared" si="3"/>
        <v>0.84776295101104804</v>
      </c>
      <c r="S29" s="3">
        <f t="shared" si="4"/>
        <v>1.7332975896330332E-5</v>
      </c>
      <c r="T29" s="4">
        <f t="shared" si="5"/>
        <v>0.96958910779459551</v>
      </c>
      <c r="U29" s="5">
        <f t="shared" si="6"/>
        <v>1.0993196191737744E-2</v>
      </c>
      <c r="V29" s="14"/>
      <c r="W29" s="3">
        <f t="shared" si="7"/>
        <v>0.98058230398633328</v>
      </c>
      <c r="X29" s="3">
        <v>1.9605549074643075E-3</v>
      </c>
      <c r="Y29">
        <v>88.036299999999997</v>
      </c>
      <c r="AA29" s="16"/>
      <c r="AB29" s="16"/>
    </row>
    <row r="30" spans="1:28" ht="15.6" x14ac:dyDescent="0.3">
      <c r="A30" s="1" t="s">
        <v>23</v>
      </c>
      <c r="B30" s="1">
        <v>60</v>
      </c>
      <c r="C30" s="12">
        <f>+'Flow rate'!E29</f>
        <v>74.270645000000002</v>
      </c>
      <c r="D30" s="1" t="s">
        <v>25</v>
      </c>
      <c r="E30" s="1" t="s">
        <v>26</v>
      </c>
      <c r="F30" s="1" t="s">
        <v>24</v>
      </c>
      <c r="G30" s="1">
        <v>-2.1</v>
      </c>
      <c r="H30" s="15">
        <v>45440.26054398148</v>
      </c>
      <c r="I30" s="2">
        <v>11.999109999916982</v>
      </c>
      <c r="J30" s="22">
        <v>15.683904874483366</v>
      </c>
      <c r="K30" s="22">
        <v>0.17429460185901235</v>
      </c>
      <c r="L30" s="22">
        <v>88.25884807941425</v>
      </c>
      <c r="N30" s="22">
        <v>2.7982156136661732E-3</v>
      </c>
      <c r="O30" s="22">
        <v>0</v>
      </c>
      <c r="P30" s="3">
        <f t="shared" si="1"/>
        <v>0.15063319349245474</v>
      </c>
      <c r="Q30" s="3">
        <f t="shared" si="2"/>
        <v>1.6739805996422051E-3</v>
      </c>
      <c r="R30" s="3">
        <f t="shared" si="3"/>
        <v>0.84766595095824349</v>
      </c>
      <c r="S30" s="3">
        <f t="shared" si="4"/>
        <v>2.6874949659554673E-5</v>
      </c>
      <c r="T30" s="4">
        <f t="shared" si="5"/>
        <v>0.70510023124046295</v>
      </c>
      <c r="U30" s="5">
        <f t="shared" si="6"/>
        <v>7.8357504115378791E-3</v>
      </c>
      <c r="V30" s="14"/>
      <c r="W30" s="3">
        <f t="shared" si="7"/>
        <v>0.71293598165200078</v>
      </c>
      <c r="X30" s="3">
        <v>1.9427664179593944E-3</v>
      </c>
      <c r="AA30" s="16"/>
      <c r="AB30" s="16"/>
    </row>
    <row r="31" spans="1:28" ht="15.6" x14ac:dyDescent="0.3">
      <c r="A31" s="1" t="s">
        <v>23</v>
      </c>
      <c r="B31" s="1">
        <v>60</v>
      </c>
      <c r="C31" s="12">
        <f>+'Flow rate'!E30</f>
        <v>79.041095999999996</v>
      </c>
      <c r="D31" s="1" t="s">
        <v>25</v>
      </c>
      <c r="E31" s="1" t="s">
        <v>26</v>
      </c>
      <c r="F31" s="1" t="s">
        <v>24</v>
      </c>
      <c r="G31" s="1">
        <v>-2.1</v>
      </c>
      <c r="H31" s="15">
        <v>45440.27616898148</v>
      </c>
      <c r="I31" s="2">
        <v>12.374109999916982</v>
      </c>
      <c r="J31" s="22">
        <v>19.221084991797522</v>
      </c>
      <c r="K31" s="22">
        <v>0.51487421101282549</v>
      </c>
      <c r="L31" s="22">
        <v>83.600282123463032</v>
      </c>
      <c r="N31" s="22">
        <v>8.0877592265119341E-3</v>
      </c>
      <c r="O31" s="22">
        <v>0</v>
      </c>
      <c r="P31" s="3">
        <f t="shared" si="1"/>
        <v>0.18599070855542868</v>
      </c>
      <c r="Q31" s="3">
        <f t="shared" si="2"/>
        <v>4.9821235046855301E-3</v>
      </c>
      <c r="R31" s="3">
        <f t="shared" si="3"/>
        <v>0.80894890762992899</v>
      </c>
      <c r="S31" s="3">
        <f t="shared" si="4"/>
        <v>7.8260309956830682E-5</v>
      </c>
      <c r="T31" s="4">
        <f t="shared" si="5"/>
        <v>0.9265250821653167</v>
      </c>
      <c r="U31" s="5">
        <f t="shared" si="6"/>
        <v>2.4818779526079634E-2</v>
      </c>
      <c r="V31" s="14"/>
      <c r="W31" s="3">
        <f t="shared" si="7"/>
        <v>0.95134386169139629</v>
      </c>
      <c r="X31" s="3">
        <v>5.6142153836638226E-3</v>
      </c>
      <c r="Y31">
        <v>84.072299999999998</v>
      </c>
      <c r="AA31" s="16"/>
      <c r="AB31" s="16"/>
    </row>
    <row r="32" spans="1:28" ht="15.6" x14ac:dyDescent="0.3">
      <c r="A32" s="1" t="s">
        <v>23</v>
      </c>
      <c r="B32" s="1">
        <v>60</v>
      </c>
      <c r="C32" s="12">
        <f>+'Flow rate'!E31</f>
        <v>78.209889000000004</v>
      </c>
      <c r="D32" s="1" t="s">
        <v>25</v>
      </c>
      <c r="E32" s="1" t="s">
        <v>26</v>
      </c>
      <c r="F32" s="1" t="s">
        <v>24</v>
      </c>
      <c r="G32" s="1">
        <v>-2.1</v>
      </c>
      <c r="H32" s="15">
        <v>45440.29179398148</v>
      </c>
      <c r="I32" s="2">
        <v>12.749109999916982</v>
      </c>
      <c r="J32" s="22">
        <v>19.441860428536806</v>
      </c>
      <c r="K32" s="22">
        <v>0.5171923201474008</v>
      </c>
      <c r="L32" s="22">
        <v>82.545092387695277</v>
      </c>
      <c r="N32" s="22">
        <v>8.5438320583059585E-3</v>
      </c>
      <c r="O32" s="22">
        <v>0</v>
      </c>
      <c r="P32" s="3">
        <f t="shared" si="1"/>
        <v>0.18965320902393534</v>
      </c>
      <c r="Q32" s="3">
        <f t="shared" si="2"/>
        <v>5.0451541692232557E-3</v>
      </c>
      <c r="R32" s="3">
        <f t="shared" si="3"/>
        <v>0.80521829266530842</v>
      </c>
      <c r="S32" s="3">
        <f t="shared" si="4"/>
        <v>8.334414153292265E-5</v>
      </c>
      <c r="T32" s="4">
        <f t="shared" si="5"/>
        <v>0.93483474020986934</v>
      </c>
      <c r="U32" s="5">
        <f t="shared" si="6"/>
        <v>2.4868471308119686E-2</v>
      </c>
      <c r="V32" s="14"/>
      <c r="W32" s="3">
        <f t="shared" si="7"/>
        <v>0.95970321151798899</v>
      </c>
      <c r="X32" s="3">
        <v>5.6101133828369322E-3</v>
      </c>
      <c r="Y32">
        <v>83.010800000000003</v>
      </c>
      <c r="AA32" s="16"/>
      <c r="AB32" s="16"/>
    </row>
    <row r="33" spans="1:28" ht="15.6" x14ac:dyDescent="0.3">
      <c r="A33" s="1" t="s">
        <v>23</v>
      </c>
      <c r="B33" s="1">
        <v>60</v>
      </c>
      <c r="C33" s="12">
        <f>+'Flow rate'!E32</f>
        <v>78.463407000000004</v>
      </c>
      <c r="D33" s="1" t="s">
        <v>25</v>
      </c>
      <c r="E33" s="1" t="s">
        <v>26</v>
      </c>
      <c r="F33" s="1" t="s">
        <v>24</v>
      </c>
      <c r="G33" s="1">
        <v>-2.1</v>
      </c>
      <c r="H33" s="15">
        <v>45440.307430555556</v>
      </c>
      <c r="I33" s="2">
        <v>13.124387777759694</v>
      </c>
      <c r="J33" s="22">
        <v>19.496592171026379</v>
      </c>
      <c r="K33" s="22">
        <v>0.51653080404070717</v>
      </c>
      <c r="L33" s="22">
        <v>83.251170440511089</v>
      </c>
      <c r="N33" s="22">
        <v>6.869430502161461E-3</v>
      </c>
      <c r="O33" s="22">
        <v>0</v>
      </c>
      <c r="P33" s="3">
        <f t="shared" si="1"/>
        <v>0.1887902840804157</v>
      </c>
      <c r="Q33" s="3">
        <f t="shared" si="2"/>
        <v>5.0016944692543672E-3</v>
      </c>
      <c r="R33" s="3">
        <f t="shared" si="3"/>
        <v>0.8061415030698561</v>
      </c>
      <c r="S33" s="3">
        <f t="shared" si="4"/>
        <v>6.6518380473743158E-5</v>
      </c>
      <c r="T33" s="4">
        <f t="shared" si="5"/>
        <v>0.93359771485413845</v>
      </c>
      <c r="U33" s="5">
        <f t="shared" si="6"/>
        <v>2.4734167595751089E-2</v>
      </c>
      <c r="V33" s="14"/>
      <c r="W33" s="3">
        <f t="shared" si="7"/>
        <v>0.95833188244988954</v>
      </c>
      <c r="X33" s="3">
        <v>5.6851298025014574E-3</v>
      </c>
      <c r="AA33" s="16"/>
      <c r="AB33" s="16"/>
    </row>
    <row r="34" spans="1:28" ht="15.6" x14ac:dyDescent="0.3">
      <c r="A34" s="1" t="s">
        <v>23</v>
      </c>
      <c r="B34" s="1">
        <v>60</v>
      </c>
      <c r="C34" s="12">
        <f>+'Flow rate'!E33</f>
        <v>77.881118999999998</v>
      </c>
      <c r="D34" s="1" t="s">
        <v>25</v>
      </c>
      <c r="E34" s="1" t="s">
        <v>26</v>
      </c>
      <c r="F34" s="1" t="s">
        <v>24</v>
      </c>
      <c r="G34" s="1">
        <v>-2.1</v>
      </c>
      <c r="H34" s="15">
        <v>45440.317858796298</v>
      </c>
      <c r="I34" s="2">
        <v>13.374665555544198</v>
      </c>
      <c r="J34" s="22">
        <v>19.535231157517831</v>
      </c>
      <c r="K34" s="22">
        <v>0.51437015975952916</v>
      </c>
      <c r="L34" s="22">
        <v>82.737849439296227</v>
      </c>
      <c r="N34" s="22">
        <v>7.4305684740934158E-3</v>
      </c>
      <c r="O34" s="22">
        <v>0</v>
      </c>
      <c r="P34" s="3">
        <f t="shared" si="1"/>
        <v>0.19004089411558811</v>
      </c>
      <c r="Q34" s="3">
        <f t="shared" si="2"/>
        <v>5.0038499303582959E-3</v>
      </c>
      <c r="R34" s="3">
        <f t="shared" si="3"/>
        <v>0.80488297056028391</v>
      </c>
      <c r="S34" s="3">
        <f t="shared" si="4"/>
        <v>7.2285393769726884E-5</v>
      </c>
      <c r="T34" s="4">
        <f t="shared" si="5"/>
        <v>0.93280792264205414</v>
      </c>
      <c r="U34" s="5">
        <f t="shared" si="6"/>
        <v>2.456119184490433E-2</v>
      </c>
      <c r="V34" s="14"/>
      <c r="W34" s="3">
        <f t="shared" si="7"/>
        <v>0.95736911448695849</v>
      </c>
      <c r="X34" s="3">
        <v>5.7213999103515167E-3</v>
      </c>
      <c r="Y34">
        <v>83.213899999999995</v>
      </c>
      <c r="AA34" s="16"/>
      <c r="AB34" s="16"/>
    </row>
    <row r="35" spans="1:28" ht="15.6" x14ac:dyDescent="0.3">
      <c r="A35" s="1" t="s">
        <v>23</v>
      </c>
      <c r="B35" s="1">
        <v>60</v>
      </c>
      <c r="C35" s="12">
        <f>+'Flow rate'!E34</f>
        <v>78.140659999999997</v>
      </c>
      <c r="D35" s="1" t="s">
        <v>25</v>
      </c>
      <c r="E35" s="1" t="s">
        <v>26</v>
      </c>
      <c r="F35" s="1" t="s">
        <v>24</v>
      </c>
      <c r="G35" s="1">
        <v>-2.1</v>
      </c>
      <c r="H35" s="15">
        <v>45440.328275462962</v>
      </c>
      <c r="I35" s="2">
        <v>13.62466555548599</v>
      </c>
      <c r="J35" s="22">
        <v>19.545667956941557</v>
      </c>
      <c r="K35" s="22">
        <v>0.52126071166992405</v>
      </c>
      <c r="L35" s="22">
        <v>83.153680903389727</v>
      </c>
      <c r="N35" s="22">
        <v>1.2057229317898557E-2</v>
      </c>
      <c r="O35" s="22">
        <v>0</v>
      </c>
      <c r="P35" s="3">
        <f t="shared" si="1"/>
        <v>0.18933607512589998</v>
      </c>
      <c r="Q35" s="3">
        <f t="shared" si="2"/>
        <v>5.0493775644984435E-3</v>
      </c>
      <c r="R35" s="3">
        <f t="shared" si="3"/>
        <v>0.80549775066284723</v>
      </c>
      <c r="S35" s="3">
        <f t="shared" si="4"/>
        <v>1.1679664675430519E-4</v>
      </c>
      <c r="T35" s="4">
        <f t="shared" si="5"/>
        <v>0.93244542685619092</v>
      </c>
      <c r="U35" s="5">
        <f t="shared" si="6"/>
        <v>2.4867257945196328E-2</v>
      </c>
      <c r="V35" s="14"/>
      <c r="W35" s="3">
        <f t="shared" si="7"/>
        <v>0.9573126848013872</v>
      </c>
      <c r="X35" s="3">
        <v>5.716724977819442E-3</v>
      </c>
      <c r="AA35" s="16"/>
      <c r="AB35" s="16"/>
    </row>
    <row r="36" spans="1:28" ht="15.6" x14ac:dyDescent="0.3">
      <c r="A36" s="1" t="s">
        <v>23</v>
      </c>
      <c r="B36" s="1">
        <v>60</v>
      </c>
      <c r="C36" s="12">
        <f>+'Flow rate'!E35</f>
        <v>78.320972999999995</v>
      </c>
      <c r="D36" s="1" t="s">
        <v>25</v>
      </c>
      <c r="E36" s="1" t="s">
        <v>26</v>
      </c>
      <c r="F36" s="1" t="s">
        <v>24</v>
      </c>
      <c r="G36" s="1">
        <v>-2.1</v>
      </c>
      <c r="H36" s="15">
        <v>45440.338692129626</v>
      </c>
      <c r="I36" s="2">
        <v>13.874665555427782</v>
      </c>
      <c r="J36" s="22">
        <v>19.492453211189119</v>
      </c>
      <c r="K36" s="22">
        <v>0.51447663120815712</v>
      </c>
      <c r="L36" s="22">
        <v>83.101364699112878</v>
      </c>
      <c r="N36" s="22">
        <v>1.0113168474312755E-2</v>
      </c>
      <c r="O36" s="22">
        <v>0</v>
      </c>
      <c r="P36" s="3">
        <f t="shared" si="1"/>
        <v>0.18902981188393345</v>
      </c>
      <c r="Q36" s="3">
        <f t="shared" si="2"/>
        <v>4.9891832373430136E-3</v>
      </c>
      <c r="R36" s="3">
        <f t="shared" si="3"/>
        <v>0.80588293152112511</v>
      </c>
      <c r="S36" s="3">
        <f t="shared" si="4"/>
        <v>9.8073357598340256E-5</v>
      </c>
      <c r="T36" s="4">
        <f t="shared" si="5"/>
        <v>0.93308531485996693</v>
      </c>
      <c r="U36" s="5">
        <f t="shared" si="6"/>
        <v>2.4627510155745717E-2</v>
      </c>
      <c r="V36" s="14"/>
      <c r="W36" s="3">
        <f t="shared" si="7"/>
        <v>0.95771282501571264</v>
      </c>
      <c r="X36" s="3">
        <v>5.6465402227744979E-3</v>
      </c>
      <c r="Y36">
        <v>83.573300000000003</v>
      </c>
      <c r="AA36" s="16"/>
      <c r="AB36" s="16"/>
    </row>
    <row r="37" spans="1:28" ht="15.6" x14ac:dyDescent="0.3">
      <c r="A37" s="1" t="s">
        <v>23</v>
      </c>
      <c r="B37" s="1">
        <v>60</v>
      </c>
      <c r="C37" s="12">
        <f>+'Flow rate'!E36</f>
        <v>88.169229000000001</v>
      </c>
      <c r="D37" s="1" t="s">
        <v>25</v>
      </c>
      <c r="E37" s="1" t="s">
        <v>26</v>
      </c>
      <c r="F37" s="1" t="s">
        <v>24</v>
      </c>
      <c r="G37" s="1">
        <v>-3.1</v>
      </c>
      <c r="H37" s="15">
        <v>45440.349108796298</v>
      </c>
      <c r="I37" s="2">
        <v>14.124665555544198</v>
      </c>
      <c r="J37" s="22">
        <v>23.148328383413393</v>
      </c>
      <c r="K37" s="22">
        <v>1.1478260902098556</v>
      </c>
      <c r="L37" s="22">
        <v>78.072283293106224</v>
      </c>
      <c r="N37" s="22">
        <v>2.8651829443029506E-2</v>
      </c>
      <c r="O37" s="22">
        <v>0</v>
      </c>
      <c r="P37" s="3">
        <f t="shared" si="1"/>
        <v>0.22606431954955342</v>
      </c>
      <c r="Q37" s="3">
        <f t="shared" si="2"/>
        <v>1.120955775927405E-2</v>
      </c>
      <c r="R37" s="3">
        <f t="shared" si="3"/>
        <v>0.7624463117165049</v>
      </c>
      <c r="S37" s="3">
        <f t="shared" si="4"/>
        <v>2.7981097466758939E-4</v>
      </c>
      <c r="T37" s="4">
        <f t="shared" si="5"/>
        <v>0.85098056927349042</v>
      </c>
      <c r="U37" s="5">
        <f t="shared" si="6"/>
        <v>4.2196468077308064E-2</v>
      </c>
      <c r="V37" s="14"/>
      <c r="W37" s="3">
        <f t="shared" si="7"/>
        <v>0.89317703735079845</v>
      </c>
      <c r="X37" s="3">
        <v>1.3264359506482413E-2</v>
      </c>
      <c r="AA37" s="16"/>
      <c r="AB37" s="16"/>
    </row>
    <row r="38" spans="1:28" ht="15.6" x14ac:dyDescent="0.3">
      <c r="A38" s="1" t="s">
        <v>23</v>
      </c>
      <c r="B38" s="1">
        <v>60</v>
      </c>
      <c r="C38" s="12">
        <f>+'Flow rate'!E37</f>
        <v>87.519784000000001</v>
      </c>
      <c r="D38" s="1" t="s">
        <v>25</v>
      </c>
      <c r="E38" s="1" t="s">
        <v>26</v>
      </c>
      <c r="F38" s="1" t="s">
        <v>24</v>
      </c>
      <c r="G38" s="1">
        <v>-3.1</v>
      </c>
      <c r="H38" s="15">
        <v>45440.359525462962</v>
      </c>
      <c r="I38" s="2">
        <v>14.37466555548599</v>
      </c>
      <c r="J38" s="22">
        <v>25.318912352360297</v>
      </c>
      <c r="K38" s="22">
        <v>1.3932660206774388</v>
      </c>
      <c r="L38" s="22">
        <v>75.373374471391628</v>
      </c>
      <c r="N38" s="22">
        <v>4.8301856657085043E-2</v>
      </c>
      <c r="O38" s="22">
        <v>0</v>
      </c>
      <c r="P38" s="3">
        <f t="shared" si="1"/>
        <v>0.24789931239216184</v>
      </c>
      <c r="Q38" s="3">
        <f t="shared" si="2"/>
        <v>1.3641568946507391E-2</v>
      </c>
      <c r="R38" s="3">
        <f t="shared" si="3"/>
        <v>0.73798619166960555</v>
      </c>
      <c r="S38" s="3">
        <f t="shared" si="4"/>
        <v>4.7292699172521522E-4</v>
      </c>
      <c r="T38" s="4">
        <f t="shared" si="5"/>
        <v>0.92630101157434019</v>
      </c>
      <c r="U38" s="5">
        <f t="shared" si="6"/>
        <v>5.0973110787097271E-2</v>
      </c>
      <c r="V38" s="14"/>
      <c r="W38" s="3">
        <f t="shared" si="7"/>
        <v>0.97727412236143751</v>
      </c>
      <c r="X38" s="3">
        <v>1.6846040365277985E-2</v>
      </c>
      <c r="Y38">
        <v>76.664900000000003</v>
      </c>
      <c r="AA38" s="16"/>
      <c r="AB38" s="16"/>
    </row>
    <row r="39" spans="1:28" ht="15.6" x14ac:dyDescent="0.3">
      <c r="A39" s="1" t="s">
        <v>23</v>
      </c>
      <c r="B39" s="1">
        <v>60</v>
      </c>
      <c r="C39" s="12">
        <f>+'Flow rate'!E38</f>
        <v>88.012338999999997</v>
      </c>
      <c r="D39" s="1" t="s">
        <v>25</v>
      </c>
      <c r="E39" s="1" t="s">
        <v>26</v>
      </c>
      <c r="F39" s="1" t="s">
        <v>24</v>
      </c>
      <c r="G39" s="1">
        <v>-3.1</v>
      </c>
      <c r="H39" s="15">
        <v>45440.369942129626</v>
      </c>
      <c r="I39" s="2">
        <v>14.624665555427782</v>
      </c>
      <c r="J39" s="22">
        <v>25.605306145756902</v>
      </c>
      <c r="K39" s="22">
        <v>1.349723689988769</v>
      </c>
      <c r="L39" s="22">
        <v>75.033296067899997</v>
      </c>
      <c r="N39" s="22">
        <v>4.6738805176097527E-2</v>
      </c>
      <c r="O39" s="22">
        <v>0</v>
      </c>
      <c r="P39" s="3">
        <f t="shared" si="1"/>
        <v>0.25094614502207613</v>
      </c>
      <c r="Q39" s="3">
        <f t="shared" si="2"/>
        <v>1.3228037771529678E-2</v>
      </c>
      <c r="R39" s="3">
        <f t="shared" si="3"/>
        <v>0.73536775109638131</v>
      </c>
      <c r="S39" s="3">
        <f t="shared" si="4"/>
        <v>4.5806611001302753E-4</v>
      </c>
      <c r="T39" s="4">
        <f t="shared" si="5"/>
        <v>0.94296303957357641</v>
      </c>
      <c r="U39" s="5">
        <f t="shared" si="6"/>
        <v>4.9706086154614498E-2</v>
      </c>
      <c r="V39" s="14"/>
      <c r="W39" s="3">
        <f t="shared" si="7"/>
        <v>0.99266912572819088</v>
      </c>
      <c r="X39" s="3">
        <v>1.6302466805109814E-2</v>
      </c>
      <c r="AA39" s="16"/>
      <c r="AB39" s="16"/>
    </row>
    <row r="40" spans="1:28" ht="15.6" x14ac:dyDescent="0.3">
      <c r="A40" s="1" t="s">
        <v>23</v>
      </c>
      <c r="B40" s="1">
        <v>60</v>
      </c>
      <c r="C40" s="12">
        <f>+'Flow rate'!E39</f>
        <v>87.374897000000004</v>
      </c>
      <c r="D40" s="1" t="s">
        <v>25</v>
      </c>
      <c r="E40" s="1" t="s">
        <v>26</v>
      </c>
      <c r="F40" s="1" t="s">
        <v>24</v>
      </c>
      <c r="G40" s="1">
        <v>-3.1</v>
      </c>
      <c r="H40" s="15">
        <v>45440.380370370367</v>
      </c>
      <c r="I40" s="2">
        <v>14.874943333212286</v>
      </c>
      <c r="J40" s="22">
        <v>25.748146914681318</v>
      </c>
      <c r="K40" s="22">
        <v>1.2852193362931759</v>
      </c>
      <c r="L40" s="22">
        <v>74.85900918952197</v>
      </c>
      <c r="N40" s="22">
        <v>5.1201583374676625E-2</v>
      </c>
      <c r="O40" s="22">
        <v>0</v>
      </c>
      <c r="P40" s="3">
        <f t="shared" si="1"/>
        <v>0.2525725275330698</v>
      </c>
      <c r="Q40" s="3">
        <f t="shared" si="2"/>
        <v>1.2607163431122576E-2</v>
      </c>
      <c r="R40" s="3">
        <f t="shared" si="3"/>
        <v>0.73431805489808311</v>
      </c>
      <c r="S40" s="3">
        <f t="shared" si="4"/>
        <v>5.0225413772451055E-4</v>
      </c>
      <c r="T40" s="4">
        <f t="shared" si="5"/>
        <v>0.94220057760107967</v>
      </c>
      <c r="U40" s="5">
        <f t="shared" si="6"/>
        <v>4.7029963166360718E-2</v>
      </c>
      <c r="V40" s="14"/>
      <c r="W40" s="3">
        <f t="shared" si="7"/>
        <v>0.98923054076744044</v>
      </c>
      <c r="X40" s="3">
        <v>1.5676281242110578E-2</v>
      </c>
      <c r="AA40" s="16"/>
      <c r="AB40" s="16"/>
    </row>
    <row r="41" spans="1:28" ht="15.6" x14ac:dyDescent="0.3">
      <c r="A41" s="1" t="s">
        <v>23</v>
      </c>
      <c r="B41" s="1">
        <v>60</v>
      </c>
      <c r="C41" s="12">
        <f>+'Flow rate'!E40</f>
        <v>88.026594000000003</v>
      </c>
      <c r="D41" s="1" t="s">
        <v>25</v>
      </c>
      <c r="E41" s="1" t="s">
        <v>26</v>
      </c>
      <c r="F41" s="1" t="s">
        <v>24</v>
      </c>
      <c r="G41" s="1">
        <v>-3.1</v>
      </c>
      <c r="H41" s="15">
        <v>45440.390810185185</v>
      </c>
      <c r="I41" s="2">
        <v>15.125498888839502</v>
      </c>
      <c r="J41" s="22">
        <v>25.869447984046356</v>
      </c>
      <c r="K41" s="22">
        <v>1.2350368650028554</v>
      </c>
      <c r="L41" s="22">
        <v>74.733609176069663</v>
      </c>
      <c r="N41" s="22">
        <v>5.504950519445951E-2</v>
      </c>
      <c r="O41" s="22">
        <v>0</v>
      </c>
      <c r="P41" s="3">
        <f t="shared" si="1"/>
        <v>0.25388801530448574</v>
      </c>
      <c r="Q41" s="3">
        <f t="shared" si="2"/>
        <v>1.2120902567260871E-2</v>
      </c>
      <c r="R41" s="3">
        <f t="shared" si="3"/>
        <v>0.73345081510647792</v>
      </c>
      <c r="S41" s="3">
        <f t="shared" si="4"/>
        <v>5.402670217754369E-4</v>
      </c>
      <c r="T41" s="4">
        <f t="shared" si="5"/>
        <v>0.9541720211745417</v>
      </c>
      <c r="U41" s="5">
        <f t="shared" si="6"/>
        <v>4.5553257357156783E-2</v>
      </c>
      <c r="V41" s="14"/>
      <c r="W41" s="3">
        <f t="shared" si="7"/>
        <v>0.99972527853169846</v>
      </c>
      <c r="X41" s="3">
        <v>1.5057442330325362E-2</v>
      </c>
      <c r="Y41">
        <v>75.876099999999994</v>
      </c>
      <c r="AA41" s="16"/>
      <c r="AB41" s="16"/>
    </row>
    <row r="42" spans="1:28" ht="15.6" x14ac:dyDescent="0.3">
      <c r="A42" s="1" t="s">
        <v>23</v>
      </c>
      <c r="B42" s="1">
        <v>60</v>
      </c>
      <c r="C42" s="12">
        <f>+'Flow rate'!E41</f>
        <v>88.297366999999994</v>
      </c>
      <c r="D42" s="1" t="s">
        <v>25</v>
      </c>
      <c r="E42" s="1" t="s">
        <v>26</v>
      </c>
      <c r="F42" s="1" t="s">
        <v>24</v>
      </c>
      <c r="G42" s="1">
        <v>-3.1</v>
      </c>
      <c r="H42" s="15">
        <v>45440.401226851849</v>
      </c>
      <c r="I42" s="2">
        <v>15.375498888781294</v>
      </c>
      <c r="J42" s="22">
        <v>26.008067608756416</v>
      </c>
      <c r="K42" s="22">
        <v>1.1903963728335027</v>
      </c>
      <c r="L42" s="22">
        <v>74.609083600939698</v>
      </c>
      <c r="N42" s="22">
        <v>6.4716328172882767E-2</v>
      </c>
      <c r="O42" s="22">
        <v>0</v>
      </c>
      <c r="P42" s="3">
        <f t="shared" si="1"/>
        <v>0.25530077187205868</v>
      </c>
      <c r="Q42" s="3">
        <f t="shared" si="2"/>
        <v>1.1685186204136591E-2</v>
      </c>
      <c r="R42" s="3">
        <f t="shared" si="3"/>
        <v>0.73237877256108974</v>
      </c>
      <c r="S42" s="3">
        <f t="shared" si="4"/>
        <v>6.3526936271496564E-4</v>
      </c>
      <c r="T42" s="4">
        <f t="shared" si="5"/>
        <v>0.96243289894464656</v>
      </c>
      <c r="U42" s="5">
        <f t="shared" si="6"/>
        <v>4.4050817201567602E-2</v>
      </c>
      <c r="V42" s="14"/>
      <c r="W42" s="3">
        <f t="shared" si="7"/>
        <v>1.0064837161462141</v>
      </c>
      <c r="X42" s="3">
        <v>1.4478529876415359E-2</v>
      </c>
    </row>
    <row r="43" spans="1:28" ht="15.6" x14ac:dyDescent="0.3">
      <c r="A43" s="1" t="s">
        <v>23</v>
      </c>
      <c r="B43" s="1">
        <v>60</v>
      </c>
      <c r="C43" s="12">
        <f>+'Flow rate'!E42</f>
        <v>88.847554000000002</v>
      </c>
      <c r="D43" s="1" t="s">
        <v>25</v>
      </c>
      <c r="E43" s="1" t="s">
        <v>26</v>
      </c>
      <c r="F43" s="1" t="s">
        <v>24</v>
      </c>
      <c r="G43" s="1">
        <v>-3.1</v>
      </c>
      <c r="H43" s="15">
        <v>45440.411631944444</v>
      </c>
      <c r="I43" s="2">
        <v>15.625221111054998</v>
      </c>
      <c r="J43" s="22">
        <v>26.102759472220395</v>
      </c>
      <c r="K43" s="22">
        <v>1.1514408397710902</v>
      </c>
      <c r="L43" s="22">
        <v>74.479725202405916</v>
      </c>
      <c r="N43" s="22">
        <v>7.1137634423960955E-2</v>
      </c>
      <c r="O43" s="22">
        <v>0</v>
      </c>
      <c r="P43" s="3">
        <f t="shared" si="1"/>
        <v>0.25639942321987153</v>
      </c>
      <c r="Q43" s="3">
        <f t="shared" si="2"/>
        <v>1.1310251220883614E-2</v>
      </c>
      <c r="R43" s="3">
        <f t="shared" si="3"/>
        <v>0.73159156233250855</v>
      </c>
      <c r="S43" s="3">
        <f t="shared" si="4"/>
        <v>6.987632267362779E-4</v>
      </c>
      <c r="T43" s="4">
        <f t="shared" si="5"/>
        <v>0.97259738815226349</v>
      </c>
      <c r="U43" s="5">
        <f t="shared" si="6"/>
        <v>4.2903063737956187E-2</v>
      </c>
      <c r="V43" s="14"/>
      <c r="W43" s="3">
        <f t="shared" si="7"/>
        <v>1.0155004518902198</v>
      </c>
      <c r="X43" s="3">
        <v>1.3929232455733879E-2</v>
      </c>
      <c r="Y43">
        <v>75.53179999999999</v>
      </c>
    </row>
    <row r="44" spans="1:28" ht="15.6" x14ac:dyDescent="0.3">
      <c r="A44" s="1" t="s">
        <v>23</v>
      </c>
      <c r="B44" s="1">
        <v>60</v>
      </c>
      <c r="C44" s="12">
        <f>+'Flow rate'!E43</f>
        <v>88.483838000000006</v>
      </c>
      <c r="D44" s="1" t="s">
        <v>25</v>
      </c>
      <c r="E44" s="1" t="s">
        <v>26</v>
      </c>
      <c r="F44" s="1" t="s">
        <v>24</v>
      </c>
      <c r="G44" s="1">
        <v>-3.1</v>
      </c>
      <c r="H44" s="15">
        <v>45440.422060185185</v>
      </c>
      <c r="I44" s="2">
        <v>15.875498888839502</v>
      </c>
      <c r="J44" s="22">
        <v>26.244540460779834</v>
      </c>
      <c r="K44" s="22">
        <v>1.0803721933470596</v>
      </c>
      <c r="L44" s="22">
        <v>74.461049269991037</v>
      </c>
      <c r="N44" s="22">
        <v>6.3733150885206508E-2</v>
      </c>
      <c r="O44" s="22">
        <v>0</v>
      </c>
      <c r="P44" s="3">
        <f t="shared" si="1"/>
        <v>0.25767912649569635</v>
      </c>
      <c r="Q44" s="3">
        <f t="shared" si="2"/>
        <v>1.0607515246378133E-2</v>
      </c>
      <c r="R44" s="3">
        <f t="shared" si="3"/>
        <v>0.73108760134389372</v>
      </c>
      <c r="S44" s="3">
        <f t="shared" si="4"/>
        <v>6.2575691403172855E-4</v>
      </c>
      <c r="T44" s="4">
        <f t="shared" si="5"/>
        <v>0.97345027152285701</v>
      </c>
      <c r="U44" s="5">
        <f t="shared" si="6"/>
        <v>4.0072662218303877E-2</v>
      </c>
      <c r="V44" s="14"/>
      <c r="W44" s="3">
        <f t="shared" si="7"/>
        <v>1.0135229337411609</v>
      </c>
      <c r="X44" s="3">
        <v>1.3189108383406534E-2</v>
      </c>
    </row>
    <row r="45" spans="1:28" ht="15.6" x14ac:dyDescent="0.3">
      <c r="A45" s="1" t="s">
        <v>23</v>
      </c>
      <c r="B45" s="1">
        <v>60</v>
      </c>
      <c r="C45" s="12">
        <f>+'Flow rate'!E44</f>
        <v>73.621724</v>
      </c>
      <c r="D45" s="1" t="s">
        <v>25</v>
      </c>
      <c r="E45" s="1" t="s">
        <v>26</v>
      </c>
      <c r="F45" s="1" t="s">
        <v>24</v>
      </c>
      <c r="G45" s="1">
        <v>-3.1</v>
      </c>
      <c r="H45" s="15">
        <v>45440.432488425926</v>
      </c>
      <c r="I45" s="2">
        <v>16.125776666624006</v>
      </c>
      <c r="J45" s="23">
        <v>20.867083086535697</v>
      </c>
      <c r="K45" s="23">
        <v>0.59714888003370792</v>
      </c>
      <c r="L45" s="23">
        <v>81.084699941201194</v>
      </c>
      <c r="N45" s="23">
        <v>3.854823042518412E-2</v>
      </c>
      <c r="O45" s="23">
        <v>1.360389986786256E-3</v>
      </c>
      <c r="P45" s="3">
        <f t="shared" si="1"/>
        <v>0.20340499979433166</v>
      </c>
      <c r="Q45" s="3">
        <f t="shared" si="2"/>
        <v>5.8207976321719215E-3</v>
      </c>
      <c r="R45" s="3">
        <f t="shared" si="3"/>
        <v>0.79038518735306418</v>
      </c>
      <c r="S45" s="3">
        <f t="shared" si="4"/>
        <v>3.7575461645454893E-4</v>
      </c>
      <c r="T45" s="4">
        <f t="shared" si="5"/>
        <v>0.63934928822679493</v>
      </c>
      <c r="U45" s="5">
        <f t="shared" si="6"/>
        <v>1.829612264597362E-2</v>
      </c>
      <c r="V45" s="14"/>
      <c r="W45" s="3">
        <f t="shared" si="7"/>
        <v>0.65764541087276851</v>
      </c>
      <c r="X45" s="3">
        <v>6.7409811967905934E-3</v>
      </c>
      <c r="Y45">
        <v>81.634999999999991</v>
      </c>
    </row>
    <row r="46" spans="1:28" x14ac:dyDescent="0.3">
      <c r="A46" s="1"/>
      <c r="B46" s="1"/>
      <c r="C46" s="12"/>
      <c r="D46" s="1"/>
      <c r="E46" s="1"/>
      <c r="F46" s="1"/>
      <c r="G46" s="1"/>
      <c r="H46" s="15"/>
      <c r="I46" s="2"/>
      <c r="P46" s="3"/>
      <c r="Q46" s="3"/>
      <c r="R46" s="3"/>
      <c r="V46" s="3"/>
      <c r="W46" s="3"/>
      <c r="X46" s="3"/>
    </row>
    <row r="47" spans="1:28" x14ac:dyDescent="0.3">
      <c r="A47" s="1"/>
      <c r="B47" s="1"/>
      <c r="C47" s="12"/>
      <c r="D47" s="1"/>
      <c r="E47" s="1"/>
      <c r="F47" s="1"/>
      <c r="G47" s="1"/>
      <c r="H47" s="15"/>
      <c r="I47" s="2"/>
      <c r="P47" s="3"/>
      <c r="Q47" s="3"/>
      <c r="R47" s="3"/>
      <c r="V47" s="3"/>
      <c r="W47" s="3"/>
      <c r="X47" s="3"/>
    </row>
    <row r="48" spans="1:28" x14ac:dyDescent="0.3">
      <c r="A48" s="1"/>
      <c r="B48" s="1"/>
      <c r="C48" s="12"/>
      <c r="D48" s="1"/>
      <c r="E48" s="1"/>
      <c r="F48" s="1"/>
      <c r="G48" s="1"/>
      <c r="H48" s="15"/>
      <c r="I48" s="2"/>
      <c r="P48" s="3"/>
      <c r="Q48" s="3"/>
      <c r="R48" s="3"/>
      <c r="V48" s="3"/>
      <c r="W48" s="3"/>
      <c r="X48" s="3"/>
    </row>
    <row r="49" spans="1:24" x14ac:dyDescent="0.3">
      <c r="A49" s="1"/>
      <c r="B49" s="1"/>
      <c r="C49" s="12"/>
      <c r="D49" s="1"/>
      <c r="E49" s="1"/>
      <c r="F49" s="1"/>
      <c r="G49" s="1"/>
      <c r="H49" s="15"/>
      <c r="I49" s="2"/>
      <c r="P49" s="3"/>
      <c r="Q49" s="3"/>
      <c r="R49" s="3"/>
      <c r="V49" s="3"/>
      <c r="W49" s="3"/>
      <c r="X49" s="3"/>
    </row>
    <row r="50" spans="1:24" x14ac:dyDescent="0.3">
      <c r="A50" s="1"/>
      <c r="B50" s="1"/>
      <c r="C50" s="12"/>
      <c r="D50" s="1"/>
      <c r="E50" s="1"/>
      <c r="F50" s="1"/>
      <c r="G50" s="1"/>
      <c r="H50" s="15"/>
      <c r="I50" s="2"/>
      <c r="P50" s="3"/>
      <c r="Q50" s="3"/>
      <c r="R50" s="3"/>
      <c r="V50" s="3"/>
      <c r="W50" s="3"/>
      <c r="X50" s="3"/>
    </row>
    <row r="51" spans="1:24" x14ac:dyDescent="0.3">
      <c r="A51" s="1"/>
      <c r="B51" s="1"/>
      <c r="C51" s="12"/>
      <c r="D51" s="1"/>
      <c r="E51" s="1"/>
      <c r="F51" s="1"/>
      <c r="G51" s="1"/>
      <c r="H51" s="15"/>
      <c r="I51" s="2"/>
      <c r="P51" s="3"/>
      <c r="Q51" s="3"/>
      <c r="R51" s="3"/>
      <c r="V51" s="3"/>
      <c r="W51" s="3"/>
      <c r="X51" s="3"/>
    </row>
    <row r="52" spans="1:24" x14ac:dyDescent="0.3">
      <c r="A52" s="1"/>
      <c r="B52" s="1"/>
      <c r="C52" s="12"/>
      <c r="D52" s="1"/>
      <c r="E52" s="1"/>
      <c r="F52" s="1"/>
      <c r="G52" s="1"/>
      <c r="H52" s="15"/>
      <c r="I52" s="2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3">
      <c r="A53" s="1"/>
      <c r="B53" s="1"/>
      <c r="C53" s="12"/>
      <c r="D53" s="1"/>
      <c r="E53" s="1"/>
      <c r="F53" s="1"/>
      <c r="G53" s="1"/>
      <c r="H53" s="15"/>
      <c r="I53" s="2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3">
      <c r="A54" s="1"/>
      <c r="B54" s="1"/>
      <c r="C54" s="12"/>
      <c r="D54" s="1"/>
      <c r="E54" s="1"/>
      <c r="F54" s="1"/>
      <c r="G54" s="1"/>
      <c r="H54" s="15"/>
      <c r="I54" s="2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3">
      <c r="A55" s="1"/>
      <c r="B55" s="1"/>
      <c r="C55" s="12"/>
      <c r="D55" s="1"/>
      <c r="E55" s="1"/>
      <c r="F55" s="1"/>
      <c r="G55" s="1"/>
      <c r="H55" s="15"/>
      <c r="I55" s="2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3">
      <c r="A56" s="1"/>
      <c r="B56" s="1"/>
      <c r="C56" s="12"/>
      <c r="D56" s="1"/>
      <c r="E56" s="1"/>
      <c r="F56" s="1"/>
      <c r="G56" s="1"/>
      <c r="H56" s="15"/>
      <c r="I56" s="2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3">
      <c r="A57" s="1"/>
      <c r="B57" s="1"/>
      <c r="C57" s="12"/>
      <c r="D57" s="1"/>
      <c r="E57" s="1"/>
      <c r="F57" s="1"/>
      <c r="G57" s="1"/>
      <c r="H57" s="15"/>
      <c r="I57" s="2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3">
      <c r="A58" s="1"/>
      <c r="B58" s="1"/>
      <c r="C58" s="12"/>
      <c r="D58" s="1"/>
      <c r="E58" s="1"/>
      <c r="F58" s="1"/>
      <c r="G58" s="1"/>
      <c r="H58" s="15"/>
      <c r="I58" s="2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3">
      <c r="A59" s="1"/>
      <c r="B59" s="1"/>
      <c r="C59" s="12"/>
      <c r="D59" s="1"/>
      <c r="E59" s="1"/>
      <c r="F59" s="1"/>
      <c r="G59" s="1"/>
      <c r="H59" s="15"/>
      <c r="I59" s="2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3">
      <c r="A60" s="1"/>
      <c r="B60" s="1"/>
      <c r="C60" s="12"/>
      <c r="D60" s="1"/>
      <c r="E60" s="1"/>
      <c r="F60" s="1"/>
      <c r="G60" s="1"/>
      <c r="H60" s="15"/>
      <c r="I60" s="2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3">
      <c r="A61" s="1"/>
      <c r="B61" s="1"/>
      <c r="C61" s="12"/>
      <c r="D61" s="1"/>
      <c r="E61" s="1"/>
      <c r="F61" s="1"/>
      <c r="G61" s="1"/>
      <c r="H61" s="15"/>
      <c r="I61" s="2"/>
      <c r="P61" s="3"/>
      <c r="Q61" s="3"/>
      <c r="R61" s="3"/>
      <c r="S61" s="3"/>
      <c r="T61" s="3"/>
      <c r="U61" s="3"/>
      <c r="V61" s="3"/>
      <c r="W61" s="3"/>
      <c r="X61" s="3"/>
    </row>
    <row r="62" spans="1:24" x14ac:dyDescent="0.3">
      <c r="A62" s="1"/>
      <c r="B62" s="1"/>
      <c r="C62" s="12"/>
      <c r="D62" s="1"/>
      <c r="E62" s="1"/>
      <c r="F62" s="1"/>
      <c r="G62" s="1"/>
      <c r="H62" s="15"/>
      <c r="I62" s="2"/>
      <c r="P62" s="3"/>
      <c r="Q62" s="3"/>
      <c r="R62" s="3"/>
      <c r="S62" s="3"/>
      <c r="T62" s="3"/>
      <c r="U62" s="3"/>
      <c r="V62" s="3"/>
      <c r="W62" s="3"/>
      <c r="X62" s="3"/>
    </row>
    <row r="63" spans="1:24" x14ac:dyDescent="0.3">
      <c r="A63" s="1"/>
      <c r="B63" s="1"/>
      <c r="C63" s="12"/>
      <c r="D63" s="1"/>
      <c r="E63" s="1"/>
      <c r="F63" s="1"/>
      <c r="G63" s="1"/>
      <c r="H63" s="15"/>
      <c r="I63" s="2"/>
      <c r="P63" s="3"/>
      <c r="Q63" s="3"/>
      <c r="R63" s="3"/>
      <c r="S63" s="3"/>
      <c r="T63" s="3"/>
      <c r="U63" s="3"/>
      <c r="V63" s="3"/>
      <c r="W63" s="3"/>
      <c r="X63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2CA5-89A7-4789-B29E-18953B6B2BF0}">
  <dimension ref="A1:E1095"/>
  <sheetViews>
    <sheetView topLeftCell="A4" workbookViewId="0">
      <selection activeCell="A2" sqref="A2"/>
    </sheetView>
  </sheetViews>
  <sheetFormatPr defaultRowHeight="14.4" x14ac:dyDescent="0.3"/>
  <cols>
    <col min="1" max="1" width="18.109375" bestFit="1" customWidth="1"/>
    <col min="3" max="4" width="13.44140625" bestFit="1" customWidth="1"/>
  </cols>
  <sheetData>
    <row r="1" spans="1:5" x14ac:dyDescent="0.3">
      <c r="A1" s="17"/>
      <c r="B1" s="18" t="s">
        <v>28</v>
      </c>
      <c r="C1" s="19">
        <f>+Sheet1!H2</f>
        <v>45439.760581064817</v>
      </c>
      <c r="D1" s="20">
        <f t="shared" ref="D1:D2" si="0">+C1-2/24</f>
        <v>45439.677247731481</v>
      </c>
      <c r="E1" cm="1">
        <f t="array" ref="E1">INDEX(B$1:B$224233, MATCH(D1,A$1:A$224233,1) +0)</f>
        <v>59.502912999999999</v>
      </c>
    </row>
    <row r="2" spans="1:5" x14ac:dyDescent="0.3">
      <c r="A2" s="21">
        <v>45439.613193999998</v>
      </c>
      <c r="B2" s="18">
        <v>0</v>
      </c>
      <c r="C2" s="19">
        <f>+Sheet1!H3</f>
        <v>45439.78670138889</v>
      </c>
      <c r="D2" s="20">
        <f t="shared" si="0"/>
        <v>45439.703368055554</v>
      </c>
      <c r="E2" cm="1">
        <f t="array" ref="E2">INDEX(B$1:B$224233, MATCH(D2,A$1:A$224233,1) +0)</f>
        <v>62.083824999999997</v>
      </c>
    </row>
    <row r="3" spans="1:5" x14ac:dyDescent="0.3">
      <c r="A3" s="21">
        <v>45439.613889</v>
      </c>
      <c r="B3" s="18">
        <v>57.709377000000003</v>
      </c>
      <c r="C3" s="19">
        <f>+Sheet1!H4</f>
        <v>45439.808252314811</v>
      </c>
      <c r="D3" s="20">
        <f t="shared" ref="D3:D31" si="1">+C3-2/24</f>
        <v>45439.724918981476</v>
      </c>
      <c r="E3" cm="1">
        <f t="array" ref="E3">INDEX(B$1:B$224233, MATCH(D3,A$1:A$224233,1) +0)</f>
        <v>62.859212999999997</v>
      </c>
    </row>
    <row r="4" spans="1:5" x14ac:dyDescent="0.3">
      <c r="A4" s="21">
        <v>45439.614583000002</v>
      </c>
      <c r="B4" s="18">
        <v>50.466464000000002</v>
      </c>
      <c r="C4" s="19">
        <f>+Sheet1!H5</f>
        <v>45439.829085648147</v>
      </c>
      <c r="D4" s="20">
        <f t="shared" si="1"/>
        <v>45439.745752314811</v>
      </c>
      <c r="E4" cm="1">
        <f t="array" ref="E4">INDEX(B$1:B$224233, MATCH(D4,A$1:A$224233,1) +0)</f>
        <v>63.194194000000003</v>
      </c>
    </row>
    <row r="5" spans="1:5" x14ac:dyDescent="0.3">
      <c r="A5" s="21">
        <v>45439.615277999997</v>
      </c>
      <c r="B5" s="18">
        <v>50.521801000000004</v>
      </c>
      <c r="C5" s="19">
        <f>+Sheet1!H6</f>
        <v>45439.849930555552</v>
      </c>
      <c r="D5" s="20">
        <f t="shared" si="1"/>
        <v>45439.766597222217</v>
      </c>
      <c r="E5" cm="1">
        <f t="array" ref="E5">INDEX(B$1:B$224233, MATCH(D5,A$1:A$224233,1) +0)</f>
        <v>64.742743000000004</v>
      </c>
    </row>
    <row r="6" spans="1:5" x14ac:dyDescent="0.3">
      <c r="A6" s="21">
        <v>45439.615972</v>
      </c>
      <c r="B6" s="18">
        <v>51.232498999999997</v>
      </c>
      <c r="C6" s="19">
        <f>+Sheet1!H7</f>
        <v>45439.870763888888</v>
      </c>
      <c r="D6" s="20">
        <f t="shared" si="1"/>
        <v>45439.787430555552</v>
      </c>
      <c r="E6" cm="1">
        <f t="array" ref="E6">INDEX(B$1:B$224233, MATCH(D6,A$1:A$224233,1) +0)</f>
        <v>64.631876000000005</v>
      </c>
    </row>
    <row r="7" spans="1:5" x14ac:dyDescent="0.3">
      <c r="A7" s="21">
        <v>45439.616667000002</v>
      </c>
      <c r="B7" s="18">
        <v>50.610563999999997</v>
      </c>
      <c r="C7" s="19">
        <f>+Sheet1!H8</f>
        <v>45439.891597222224</v>
      </c>
      <c r="D7" s="20">
        <f t="shared" si="1"/>
        <v>45439.808263888888</v>
      </c>
      <c r="E7" cm="1">
        <f t="array" ref="E7">INDEX(B$1:B$224233, MATCH(D7,A$1:A$224233,1) +0)</f>
        <v>64.659403999999995</v>
      </c>
    </row>
    <row r="8" spans="1:5" x14ac:dyDescent="0.3">
      <c r="A8" s="21">
        <v>45439.617360999997</v>
      </c>
      <c r="B8" s="18">
        <v>51.115343000000003</v>
      </c>
      <c r="C8" s="19">
        <f>+Sheet1!H9</f>
        <v>45439.913495370369</v>
      </c>
      <c r="D8" s="20">
        <f t="shared" si="1"/>
        <v>45439.830162037033</v>
      </c>
      <c r="E8" cm="1">
        <f t="array" ref="E8">INDEX(B$1:B$224233, MATCH(D8,A$1:A$224233,1) +0)</f>
        <v>64.951008000000002</v>
      </c>
    </row>
    <row r="9" spans="1:5" x14ac:dyDescent="0.3">
      <c r="A9" s="21">
        <v>45439.618055999999</v>
      </c>
      <c r="B9" s="18">
        <v>50.776936999999997</v>
      </c>
      <c r="C9" s="19">
        <f>+Sheet1!H10</f>
        <v>45439.935370370367</v>
      </c>
      <c r="D9" s="20">
        <f t="shared" si="1"/>
        <v>45439.852037037032</v>
      </c>
      <c r="E9" cm="1">
        <f t="array" ref="E9">INDEX(B$1:B$224233, MATCH(D9,A$1:A$224233,1) +0)</f>
        <v>67.758291999999997</v>
      </c>
    </row>
    <row r="10" spans="1:5" x14ac:dyDescent="0.3">
      <c r="A10" s="21">
        <v>45439.618750000001</v>
      </c>
      <c r="B10" s="18">
        <v>51.335645</v>
      </c>
      <c r="C10" s="19">
        <f>+Sheet1!H11</f>
        <v>45439.957256944443</v>
      </c>
      <c r="D10" s="20">
        <f t="shared" si="1"/>
        <v>45439.873923611107</v>
      </c>
      <c r="E10" cm="1">
        <f t="array" ref="E10">INDEX(B$1:B$224233, MATCH(D10,A$1:A$224233,1) +0)</f>
        <v>66.941896999999997</v>
      </c>
    </row>
    <row r="11" spans="1:5" x14ac:dyDescent="0.3">
      <c r="A11" s="21">
        <v>45439.619444000004</v>
      </c>
      <c r="B11" s="18">
        <v>51.061281000000001</v>
      </c>
      <c r="C11" s="19">
        <f>+Sheet1!H12</f>
        <v>45439.979143518518</v>
      </c>
      <c r="D11" s="20">
        <f t="shared" si="1"/>
        <v>45439.895810185182</v>
      </c>
      <c r="E11" cm="1">
        <f t="array" ref="E11">INDEX(B$1:B$224233, MATCH(D11,A$1:A$224233,1) +0)</f>
        <v>66.749848</v>
      </c>
    </row>
    <row r="12" spans="1:5" x14ac:dyDescent="0.3">
      <c r="A12" s="21">
        <v>45439.620138999999</v>
      </c>
      <c r="B12" s="18">
        <v>51.221603000000002</v>
      </c>
      <c r="C12" s="19">
        <f>+Sheet1!H13</f>
        <v>45439.994768518518</v>
      </c>
      <c r="D12" s="20">
        <f t="shared" si="1"/>
        <v>45439.911435185182</v>
      </c>
      <c r="E12" cm="1">
        <f t="array" ref="E12">INDEX(B$1:B$224233, MATCH(D12,A$1:A$224233,1) +0)</f>
        <v>66.238387000000003</v>
      </c>
    </row>
    <row r="13" spans="1:5" x14ac:dyDescent="0.3">
      <c r="A13" s="21">
        <v>45439.620833000001</v>
      </c>
      <c r="B13" s="18">
        <v>51.758277999999997</v>
      </c>
      <c r="C13" s="19">
        <f>+Sheet1!H14</f>
        <v>45440.010393518518</v>
      </c>
      <c r="D13" s="20">
        <f t="shared" si="1"/>
        <v>45439.927060185182</v>
      </c>
      <c r="E13" cm="1">
        <f t="array" ref="E13">INDEX(B$1:B$224233, MATCH(D13,A$1:A$224233,1) +0)</f>
        <v>66.474160999999995</v>
      </c>
    </row>
    <row r="14" spans="1:5" x14ac:dyDescent="0.3">
      <c r="A14" s="21">
        <v>45439.621528000003</v>
      </c>
      <c r="B14" s="18">
        <v>51.725633999999999</v>
      </c>
      <c r="C14" s="19">
        <f>+Sheet1!H15</f>
        <v>45440.026041666664</v>
      </c>
      <c r="D14" s="20">
        <f t="shared" si="1"/>
        <v>45439.942708333328</v>
      </c>
      <c r="E14" cm="1">
        <f t="array" ref="E14">INDEX(B$1:B$224233, MATCH(D14,A$1:A$224233,1) +0)</f>
        <v>68.884945000000002</v>
      </c>
    </row>
    <row r="15" spans="1:5" x14ac:dyDescent="0.3">
      <c r="A15" s="21">
        <v>45439.622221999998</v>
      </c>
      <c r="B15" s="18">
        <v>51.966411999999998</v>
      </c>
      <c r="C15" s="19">
        <f>+Sheet1!H16</f>
        <v>45440.041666666664</v>
      </c>
      <c r="D15" s="20">
        <f t="shared" si="1"/>
        <v>45439.958333333328</v>
      </c>
      <c r="E15" cm="1">
        <f t="array" ref="E15">INDEX(B$1:B$224233, MATCH(D15,A$1:A$224233,1) +0)</f>
        <v>68.749906999999993</v>
      </c>
    </row>
    <row r="16" spans="1:5" x14ac:dyDescent="0.3">
      <c r="A16" s="21">
        <v>45439.622917000001</v>
      </c>
      <c r="B16" s="18">
        <v>52.185301000000003</v>
      </c>
      <c r="C16" s="19">
        <f>+Sheet1!H17</f>
        <v>45440.057291666664</v>
      </c>
      <c r="D16" s="20">
        <f t="shared" si="1"/>
        <v>45439.973958333328</v>
      </c>
      <c r="E16" cm="1">
        <f t="array" ref="E16">INDEX(B$1:B$224233, MATCH(D16,A$1:A$224233,1) +0)</f>
        <v>67.932079999999999</v>
      </c>
    </row>
    <row r="17" spans="1:5" x14ac:dyDescent="0.3">
      <c r="A17" s="21">
        <v>45439.623611000003</v>
      </c>
      <c r="B17" s="18">
        <v>52.312351</v>
      </c>
      <c r="C17" s="19">
        <f>+Sheet1!H18</f>
        <v>45440.072928240741</v>
      </c>
      <c r="D17" s="20">
        <f t="shared" si="1"/>
        <v>45439.989594907405</v>
      </c>
      <c r="E17" cm="1">
        <f t="array" ref="E17">INDEX(B$1:B$224233, MATCH(D17,A$1:A$224233,1) +0)</f>
        <v>68.157514000000006</v>
      </c>
    </row>
    <row r="18" spans="1:5" x14ac:dyDescent="0.3">
      <c r="A18" s="21">
        <v>45439.624305999998</v>
      </c>
      <c r="B18" s="18">
        <v>52.731037000000001</v>
      </c>
      <c r="C18" s="19">
        <f>+Sheet1!H19</f>
        <v>45440.088553240741</v>
      </c>
      <c r="D18" s="20">
        <f t="shared" si="1"/>
        <v>45440.005219907405</v>
      </c>
      <c r="E18" cm="1">
        <f t="array" ref="E18">INDEX(B$1:B$224233, MATCH(D18,A$1:A$224233,1) +0)</f>
        <v>68.109057000000007</v>
      </c>
    </row>
    <row r="19" spans="1:5" x14ac:dyDescent="0.3">
      <c r="A19" s="21">
        <v>45439.625</v>
      </c>
      <c r="B19" s="18">
        <v>52.533256000000002</v>
      </c>
      <c r="C19" s="19">
        <f>+Sheet1!H20</f>
        <v>45440.104189814818</v>
      </c>
      <c r="D19" s="20">
        <f t="shared" si="1"/>
        <v>45440.020856481482</v>
      </c>
      <c r="E19" cm="1">
        <f t="array" ref="E19">INDEX(B$1:B$224233, MATCH(D19,A$1:A$224233,1) +0)</f>
        <v>70.763435000000001</v>
      </c>
    </row>
    <row r="20" spans="1:5" x14ac:dyDescent="0.3">
      <c r="A20" s="21">
        <v>45439.625694000002</v>
      </c>
      <c r="B20" s="18">
        <v>52.789062999999999</v>
      </c>
      <c r="C20" s="19">
        <f>+Sheet1!H21</f>
        <v>45440.119826388887</v>
      </c>
      <c r="D20" s="20">
        <f t="shared" si="1"/>
        <v>45440.036493055552</v>
      </c>
      <c r="E20" cm="1">
        <f t="array" ref="E20">INDEX(B$1:B$224233, MATCH(D20,A$1:A$224233,1) +0)</f>
        <v>70.354363000000006</v>
      </c>
    </row>
    <row r="21" spans="1:5" x14ac:dyDescent="0.3">
      <c r="A21" s="21">
        <v>45439.626388999997</v>
      </c>
      <c r="B21" s="18">
        <v>52.957230000000003</v>
      </c>
      <c r="C21" s="19">
        <f>+Sheet1!H22</f>
        <v>45440.135451388887</v>
      </c>
      <c r="D21" s="20">
        <f t="shared" si="1"/>
        <v>45440.052118055552</v>
      </c>
      <c r="E21" cm="1">
        <f t="array" ref="E21">INDEX(B$1:B$224233, MATCH(D21,A$1:A$224233,1) +0)</f>
        <v>70.101861999999997</v>
      </c>
    </row>
    <row r="22" spans="1:5" x14ac:dyDescent="0.3">
      <c r="A22" s="21">
        <v>45439.627082999999</v>
      </c>
      <c r="B22" s="18">
        <v>53.257199</v>
      </c>
      <c r="C22" s="19">
        <f>+Sheet1!H23</f>
        <v>45440.151099537034</v>
      </c>
      <c r="D22" s="20">
        <f t="shared" si="1"/>
        <v>45440.067766203698</v>
      </c>
      <c r="E22" cm="1">
        <f t="array" ref="E22">INDEX(B$1:B$224233, MATCH(D22,A$1:A$224233,1) +0)</f>
        <v>70.355517000000006</v>
      </c>
    </row>
    <row r="23" spans="1:5" x14ac:dyDescent="0.3">
      <c r="A23" s="21">
        <v>45439.627778000002</v>
      </c>
      <c r="B23" s="18">
        <v>53.127727999999998</v>
      </c>
      <c r="C23" s="19">
        <f>+Sheet1!H24</f>
        <v>45440.166747685187</v>
      </c>
      <c r="D23" s="20">
        <f t="shared" si="1"/>
        <v>45440.083414351851</v>
      </c>
      <c r="E23" cm="1">
        <f t="array" ref="E23">INDEX(B$1:B$224233, MATCH(D23,A$1:A$224233,1) +0)</f>
        <v>70.136964000000006</v>
      </c>
    </row>
    <row r="24" spans="1:5" x14ac:dyDescent="0.3">
      <c r="A24" s="21">
        <v>45439.628471999997</v>
      </c>
      <c r="B24" s="18">
        <v>53.597166000000001</v>
      </c>
      <c r="C24" s="19">
        <f>+Sheet1!H25</f>
        <v>45440.182384259257</v>
      </c>
      <c r="D24" s="20">
        <f t="shared" si="1"/>
        <v>45440.099050925921</v>
      </c>
      <c r="E24" cm="1">
        <f t="array" ref="E24">INDEX(B$1:B$224233, MATCH(D24,A$1:A$224233,1) +0)</f>
        <v>75.042359000000005</v>
      </c>
    </row>
    <row r="25" spans="1:5" x14ac:dyDescent="0.3">
      <c r="A25" s="21">
        <v>45439.629166999999</v>
      </c>
      <c r="B25" s="18">
        <v>53.609586999999998</v>
      </c>
      <c r="C25" s="19">
        <f>+Sheet1!H26</f>
        <v>45440.19803240741</v>
      </c>
      <c r="D25" s="20">
        <f t="shared" si="1"/>
        <v>45440.114699074074</v>
      </c>
      <c r="E25" cm="1">
        <f t="array" ref="E25">INDEX(B$1:B$224233, MATCH(D25,A$1:A$224233,1) +0)</f>
        <v>74.757031999999995</v>
      </c>
    </row>
    <row r="26" spans="1:5" x14ac:dyDescent="0.3">
      <c r="A26" s="21">
        <v>45439.629861000001</v>
      </c>
      <c r="B26" s="18">
        <v>53.805520000000001</v>
      </c>
      <c r="C26" s="19">
        <f>+Sheet1!H27</f>
        <v>45440.21365740741</v>
      </c>
      <c r="D26" s="20">
        <f t="shared" si="1"/>
        <v>45440.130324074074</v>
      </c>
      <c r="E26" cm="1">
        <f t="array" ref="E26">INDEX(B$1:B$224233, MATCH(D26,A$1:A$224233,1) +0)</f>
        <v>74.356098000000003</v>
      </c>
    </row>
    <row r="27" spans="1:5" x14ac:dyDescent="0.3">
      <c r="A27" s="21">
        <v>45439.630555999996</v>
      </c>
      <c r="B27" s="18">
        <v>53.981608999999999</v>
      </c>
      <c r="C27" s="19">
        <f>+Sheet1!H28</f>
        <v>45440.22929398148</v>
      </c>
      <c r="D27" s="20">
        <f t="shared" si="1"/>
        <v>45440.145960648144</v>
      </c>
      <c r="E27" cm="1">
        <f t="array" ref="E27">INDEX(B$1:B$224233, MATCH(D27,A$1:A$224233,1) +0)</f>
        <v>74.274862999999996</v>
      </c>
    </row>
    <row r="28" spans="1:5" x14ac:dyDescent="0.3">
      <c r="A28" s="21">
        <v>45439.631249999999</v>
      </c>
      <c r="B28" s="18">
        <v>53.895316999999999</v>
      </c>
      <c r="C28" s="19">
        <f>+Sheet1!H29</f>
        <v>45440.24491898148</v>
      </c>
      <c r="D28" s="20">
        <f t="shared" si="1"/>
        <v>45440.161585648144</v>
      </c>
      <c r="E28" cm="1">
        <f t="array" ref="E28">INDEX(B$1:B$224233, MATCH(D28,A$1:A$224233,1) +0)</f>
        <v>73.981725999999995</v>
      </c>
    </row>
    <row r="29" spans="1:5" x14ac:dyDescent="0.3">
      <c r="A29" s="21">
        <v>45439.631944000001</v>
      </c>
      <c r="B29" s="18">
        <v>54.067442</v>
      </c>
      <c r="C29" s="19">
        <f>+Sheet1!H30</f>
        <v>45440.26054398148</v>
      </c>
      <c r="D29" s="20">
        <f t="shared" si="1"/>
        <v>45440.177210648144</v>
      </c>
      <c r="E29" cm="1">
        <f t="array" ref="E29">INDEX(B$1:B$224233, MATCH(D29,A$1:A$224233,1) +0)</f>
        <v>74.270645000000002</v>
      </c>
    </row>
    <row r="30" spans="1:5" x14ac:dyDescent="0.3">
      <c r="A30" s="21">
        <v>45439.632639000003</v>
      </c>
      <c r="B30" s="18">
        <v>54.292166000000002</v>
      </c>
      <c r="C30" s="19">
        <f>+Sheet1!H31</f>
        <v>45440.27616898148</v>
      </c>
      <c r="D30" s="20">
        <f t="shared" si="1"/>
        <v>45440.192835648144</v>
      </c>
      <c r="E30" cm="1">
        <f t="array" ref="E30">INDEX(B$1:B$224233, MATCH(D30,A$1:A$224233,1) +0)</f>
        <v>79.041095999999996</v>
      </c>
    </row>
    <row r="31" spans="1:5" x14ac:dyDescent="0.3">
      <c r="A31" s="21">
        <v>45439.633332999998</v>
      </c>
      <c r="B31" s="18">
        <v>54.205863999999998</v>
      </c>
      <c r="C31" s="19">
        <f>+Sheet1!H32</f>
        <v>45440.29179398148</v>
      </c>
      <c r="D31" s="20">
        <f t="shared" si="1"/>
        <v>45440.208460648144</v>
      </c>
      <c r="E31" cm="1">
        <f t="array" ref="E31">INDEX(B$1:B$224233, MATCH(D31,A$1:A$224233,1) +0)</f>
        <v>78.209889000000004</v>
      </c>
    </row>
    <row r="32" spans="1:5" x14ac:dyDescent="0.3">
      <c r="A32" s="21">
        <v>45439.634028</v>
      </c>
      <c r="B32" s="18">
        <v>55.017116000000001</v>
      </c>
      <c r="C32" s="19">
        <f>+Sheet1!H33</f>
        <v>45440.307430555556</v>
      </c>
      <c r="D32" s="20">
        <f t="shared" ref="D32:D44" si="2">+C32-2/24</f>
        <v>45440.224097222221</v>
      </c>
      <c r="E32" cm="1">
        <f t="array" ref="E32">INDEX(B$1:B$224233, MATCH(D32,A$1:A$224233,1) +0)</f>
        <v>78.463407000000004</v>
      </c>
    </row>
    <row r="33" spans="1:5" x14ac:dyDescent="0.3">
      <c r="A33" s="21">
        <v>45439.634722000003</v>
      </c>
      <c r="B33" s="18">
        <v>54.757142999999999</v>
      </c>
      <c r="C33" s="19">
        <f>+Sheet1!H34</f>
        <v>45440.317858796298</v>
      </c>
      <c r="D33" s="20">
        <f t="shared" si="2"/>
        <v>45440.234525462962</v>
      </c>
      <c r="E33" cm="1">
        <f t="array" ref="E33">INDEX(B$1:B$224233, MATCH(D33,A$1:A$224233,1) +0)</f>
        <v>77.881118999999998</v>
      </c>
    </row>
    <row r="34" spans="1:5" x14ac:dyDescent="0.3">
      <c r="A34" s="21">
        <v>45439.635416999998</v>
      </c>
      <c r="B34" s="18">
        <v>55.275978000000002</v>
      </c>
      <c r="C34" s="19">
        <f>+Sheet1!H35</f>
        <v>45440.328275462962</v>
      </c>
      <c r="D34" s="20">
        <f t="shared" si="2"/>
        <v>45440.244942129626</v>
      </c>
      <c r="E34" cm="1">
        <f t="array" ref="E34">INDEX(B$1:B$224233, MATCH(D34,A$1:A$224233,1) +0)</f>
        <v>78.140659999999997</v>
      </c>
    </row>
    <row r="35" spans="1:5" x14ac:dyDescent="0.3">
      <c r="A35" s="21">
        <v>45439.636111</v>
      </c>
      <c r="B35" s="18">
        <v>54.840851000000001</v>
      </c>
      <c r="C35" s="19">
        <f>+Sheet1!H36</f>
        <v>45440.338692129626</v>
      </c>
      <c r="D35" s="20">
        <f t="shared" si="2"/>
        <v>45440.25535879629</v>
      </c>
      <c r="E35" cm="1">
        <f t="array" ref="E35">INDEX(B$1:B$224233, MATCH(D35,A$1:A$224233,1) +0)</f>
        <v>78.320972999999995</v>
      </c>
    </row>
    <row r="36" spans="1:5" x14ac:dyDescent="0.3">
      <c r="A36" s="21">
        <v>45439.636806000002</v>
      </c>
      <c r="B36" s="18">
        <v>55.365228999999999</v>
      </c>
      <c r="C36" s="19">
        <f>+Sheet1!H37</f>
        <v>45440.349108796298</v>
      </c>
      <c r="D36" s="20">
        <f t="shared" si="2"/>
        <v>45440.265775462962</v>
      </c>
      <c r="E36" cm="1">
        <f t="array" ref="E36">INDEX(B$1:B$224233, MATCH(D36,A$1:A$224233,1) +0)</f>
        <v>88.169229000000001</v>
      </c>
    </row>
    <row r="37" spans="1:5" x14ac:dyDescent="0.3">
      <c r="A37" s="21">
        <v>45439.637499999997</v>
      </c>
      <c r="B37" s="18">
        <v>55.130237000000001</v>
      </c>
      <c r="C37" s="19">
        <f>+Sheet1!H38</f>
        <v>45440.359525462962</v>
      </c>
      <c r="D37" s="20">
        <f t="shared" si="2"/>
        <v>45440.276192129626</v>
      </c>
      <c r="E37" cm="1">
        <f t="array" ref="E37">INDEX(B$1:B$224233, MATCH(D37,A$1:A$224233,1) +0)</f>
        <v>87.519784000000001</v>
      </c>
    </row>
    <row r="38" spans="1:5" x14ac:dyDescent="0.3">
      <c r="A38" s="21">
        <v>45439.638193999999</v>
      </c>
      <c r="B38" s="18">
        <v>55.373696000000002</v>
      </c>
      <c r="C38" s="19">
        <f>+Sheet1!H39</f>
        <v>45440.369942129626</v>
      </c>
      <c r="D38" s="20">
        <f t="shared" si="2"/>
        <v>45440.28660879629</v>
      </c>
      <c r="E38" cm="1">
        <f t="array" ref="E38">INDEX(B$1:B$224233, MATCH(D38,A$1:A$224233,1) +0)</f>
        <v>88.012338999999997</v>
      </c>
    </row>
    <row r="39" spans="1:5" x14ac:dyDescent="0.3">
      <c r="A39" s="21">
        <v>45439.638889000002</v>
      </c>
      <c r="B39" s="18">
        <v>55.613283000000003</v>
      </c>
      <c r="C39" s="19">
        <f>+Sheet1!H40</f>
        <v>45440.380370370367</v>
      </c>
      <c r="D39" s="20">
        <f t="shared" si="2"/>
        <v>45440.297037037031</v>
      </c>
      <c r="E39" cm="1">
        <f t="array" ref="E39">INDEX(B$1:B$224233, MATCH(D39,A$1:A$224233,1) +0)</f>
        <v>87.374897000000004</v>
      </c>
    </row>
    <row r="40" spans="1:5" x14ac:dyDescent="0.3">
      <c r="A40" s="21">
        <v>45439.639582999996</v>
      </c>
      <c r="B40" s="18">
        <v>55.576124999999998</v>
      </c>
      <c r="C40" s="19">
        <f>+Sheet1!H41</f>
        <v>45440.390810185185</v>
      </c>
      <c r="D40" s="20">
        <f t="shared" si="2"/>
        <v>45440.307476851849</v>
      </c>
      <c r="E40" cm="1">
        <f t="array" ref="E40">INDEX(B$1:B$224233, MATCH(D40,A$1:A$224233,1) +0)</f>
        <v>88.026594000000003</v>
      </c>
    </row>
    <row r="41" spans="1:5" x14ac:dyDescent="0.3">
      <c r="A41" s="21">
        <v>45439.640277999999</v>
      </c>
      <c r="B41" s="18">
        <v>55.820014</v>
      </c>
      <c r="C41" s="19">
        <f>+Sheet1!H42</f>
        <v>45440.401226851849</v>
      </c>
      <c r="D41" s="20">
        <f t="shared" si="2"/>
        <v>45440.317893518513</v>
      </c>
      <c r="E41" cm="1">
        <f t="array" ref="E41">INDEX(B$1:B$224233, MATCH(D41,A$1:A$224233,1) +0)</f>
        <v>88.297366999999994</v>
      </c>
    </row>
    <row r="42" spans="1:5" x14ac:dyDescent="0.3">
      <c r="A42" s="21">
        <v>45439.640972000001</v>
      </c>
      <c r="B42" s="18">
        <v>55.945056999999998</v>
      </c>
      <c r="C42" s="19">
        <f>+Sheet1!H43</f>
        <v>45440.411631944444</v>
      </c>
      <c r="D42" s="20">
        <f t="shared" si="2"/>
        <v>45440.328298611108</v>
      </c>
      <c r="E42" cm="1">
        <f t="array" ref="E42">INDEX(B$1:B$224233, MATCH(D42,A$1:A$224233,1) +0)</f>
        <v>88.847554000000002</v>
      </c>
    </row>
    <row r="43" spans="1:5" x14ac:dyDescent="0.3">
      <c r="A43" s="21">
        <v>45439.641667000004</v>
      </c>
      <c r="B43" s="18">
        <v>55.773276000000003</v>
      </c>
      <c r="C43" s="19">
        <f>+Sheet1!H44</f>
        <v>45440.422060185185</v>
      </c>
      <c r="D43" s="20">
        <f t="shared" si="2"/>
        <v>45440.338726851849</v>
      </c>
      <c r="E43" cm="1">
        <f t="array" ref="E43">INDEX(B$1:B$224233, MATCH(D43,A$1:A$224233,1) +0)</f>
        <v>88.483838000000006</v>
      </c>
    </row>
    <row r="44" spans="1:5" x14ac:dyDescent="0.3">
      <c r="A44" s="21">
        <v>45439.642360999998</v>
      </c>
      <c r="B44" s="18">
        <v>55.998730999999999</v>
      </c>
      <c r="C44" s="19">
        <f>+Sheet1!H45</f>
        <v>45440.432488425926</v>
      </c>
      <c r="D44" s="20">
        <f t="shared" si="2"/>
        <v>45440.34915509259</v>
      </c>
      <c r="E44" cm="1">
        <f t="array" ref="E44">INDEX(B$1:B$224233, MATCH(D44,A$1:A$224233,1) +0)</f>
        <v>73.621724</v>
      </c>
    </row>
    <row r="45" spans="1:5" x14ac:dyDescent="0.3">
      <c r="A45" s="21">
        <v>45439.643056000001</v>
      </c>
      <c r="B45" s="18">
        <v>55.758809999999997</v>
      </c>
      <c r="C45" s="19"/>
      <c r="D45" s="20"/>
    </row>
    <row r="46" spans="1:5" x14ac:dyDescent="0.3">
      <c r="A46" s="21">
        <v>45439.643750000003</v>
      </c>
      <c r="B46" s="18">
        <v>56.454562000000003</v>
      </c>
    </row>
    <row r="47" spans="1:5" x14ac:dyDescent="0.3">
      <c r="A47" s="21">
        <v>45439.644443999998</v>
      </c>
      <c r="B47" s="18">
        <v>56.552841000000001</v>
      </c>
    </row>
    <row r="48" spans="1:5" x14ac:dyDescent="0.3">
      <c r="A48" s="21">
        <v>45439.645139</v>
      </c>
      <c r="B48" s="18">
        <v>56.557122999999997</v>
      </c>
    </row>
    <row r="49" spans="1:2" x14ac:dyDescent="0.3">
      <c r="A49" s="21">
        <v>45439.645833000002</v>
      </c>
      <c r="B49" s="18">
        <v>56.360734000000001</v>
      </c>
    </row>
    <row r="50" spans="1:2" x14ac:dyDescent="0.3">
      <c r="A50" s="21">
        <v>45439.646527999997</v>
      </c>
      <c r="B50" s="18">
        <v>57.333936000000001</v>
      </c>
    </row>
    <row r="51" spans="1:2" x14ac:dyDescent="0.3">
      <c r="A51" s="21">
        <v>45439.647222</v>
      </c>
      <c r="B51" s="18">
        <v>56.890912</v>
      </c>
    </row>
    <row r="52" spans="1:2" x14ac:dyDescent="0.3">
      <c r="A52" s="21">
        <v>45439.647917000002</v>
      </c>
      <c r="B52" s="18">
        <v>56.605466</v>
      </c>
    </row>
    <row r="53" spans="1:2" x14ac:dyDescent="0.3">
      <c r="A53" s="21">
        <v>45439.648610999997</v>
      </c>
      <c r="B53" s="18">
        <v>56.873179999999998</v>
      </c>
    </row>
    <row r="54" spans="1:2" x14ac:dyDescent="0.3">
      <c r="A54" s="21">
        <v>45439.649305999999</v>
      </c>
      <c r="B54" s="18">
        <v>57.125754999999998</v>
      </c>
    </row>
    <row r="55" spans="1:2" x14ac:dyDescent="0.3">
      <c r="A55" s="21">
        <v>45439.65</v>
      </c>
      <c r="B55" s="18">
        <v>57.123983000000003</v>
      </c>
    </row>
    <row r="56" spans="1:2" x14ac:dyDescent="0.3">
      <c r="A56" s="21">
        <v>45439.650694000004</v>
      </c>
      <c r="B56" s="18">
        <v>57.143213000000003</v>
      </c>
    </row>
    <row r="57" spans="1:2" x14ac:dyDescent="0.3">
      <c r="A57" s="21">
        <v>45439.651388999999</v>
      </c>
      <c r="B57" s="18">
        <v>56.996746999999999</v>
      </c>
    </row>
    <row r="58" spans="1:2" x14ac:dyDescent="0.3">
      <c r="A58" s="21">
        <v>45439.652083000001</v>
      </c>
      <c r="B58" s="18">
        <v>57.470661</v>
      </c>
    </row>
    <row r="59" spans="1:2" x14ac:dyDescent="0.3">
      <c r="A59" s="21">
        <v>45439.652778000003</v>
      </c>
      <c r="B59" s="18">
        <v>57.791504000000003</v>
      </c>
    </row>
    <row r="60" spans="1:2" x14ac:dyDescent="0.3">
      <c r="A60" s="21">
        <v>45439.653471999998</v>
      </c>
      <c r="B60" s="18">
        <v>57.885458</v>
      </c>
    </row>
    <row r="61" spans="1:2" x14ac:dyDescent="0.3">
      <c r="A61" s="21">
        <v>45439.654167000001</v>
      </c>
      <c r="B61" s="18">
        <v>58.086297000000002</v>
      </c>
    </row>
    <row r="62" spans="1:2" x14ac:dyDescent="0.3">
      <c r="A62" s="21">
        <v>45439.654861000003</v>
      </c>
      <c r="B62" s="18">
        <v>57.888170000000002</v>
      </c>
    </row>
    <row r="63" spans="1:2" x14ac:dyDescent="0.3">
      <c r="A63" s="21">
        <v>45439.655555999998</v>
      </c>
      <c r="B63" s="18">
        <v>58.207303000000003</v>
      </c>
    </row>
    <row r="64" spans="1:2" x14ac:dyDescent="0.3">
      <c r="A64" s="21">
        <v>45439.65625</v>
      </c>
      <c r="B64" s="18">
        <v>58.267584999999997</v>
      </c>
    </row>
    <row r="65" spans="1:2" x14ac:dyDescent="0.3">
      <c r="A65" s="21">
        <v>45439.656944000002</v>
      </c>
      <c r="B65" s="18">
        <v>58.234706000000003</v>
      </c>
    </row>
    <row r="66" spans="1:2" x14ac:dyDescent="0.3">
      <c r="A66" s="21">
        <v>45439.657638999997</v>
      </c>
      <c r="B66" s="18">
        <v>58.193680000000001</v>
      </c>
    </row>
    <row r="67" spans="1:2" x14ac:dyDescent="0.3">
      <c r="A67" s="21">
        <v>45439.658332999999</v>
      </c>
      <c r="B67" s="18">
        <v>58.386721000000001</v>
      </c>
    </row>
    <row r="68" spans="1:2" x14ac:dyDescent="0.3">
      <c r="A68" s="21">
        <v>45439.659028000002</v>
      </c>
      <c r="B68" s="18">
        <v>58.388114000000002</v>
      </c>
    </row>
    <row r="69" spans="1:2" x14ac:dyDescent="0.3">
      <c r="A69" s="21">
        <v>45439.659721999997</v>
      </c>
      <c r="B69" s="18">
        <v>58.330767000000002</v>
      </c>
    </row>
    <row r="70" spans="1:2" x14ac:dyDescent="0.3">
      <c r="A70" s="21">
        <v>45439.660416999999</v>
      </c>
      <c r="B70" s="18">
        <v>58.849882999999998</v>
      </c>
    </row>
    <row r="71" spans="1:2" x14ac:dyDescent="0.3">
      <c r="A71" s="21">
        <v>45439.661111000001</v>
      </c>
      <c r="B71" s="18">
        <v>58.322668</v>
      </c>
    </row>
    <row r="72" spans="1:2" x14ac:dyDescent="0.3">
      <c r="A72" s="21">
        <v>45439.661805999996</v>
      </c>
      <c r="B72" s="18">
        <v>58.774034999999998</v>
      </c>
    </row>
    <row r="73" spans="1:2" x14ac:dyDescent="0.3">
      <c r="A73" s="21">
        <v>45439.662499999999</v>
      </c>
      <c r="B73" s="18">
        <v>58.665534000000001</v>
      </c>
    </row>
    <row r="74" spans="1:2" x14ac:dyDescent="0.3">
      <c r="A74" s="21">
        <v>45439.663194000001</v>
      </c>
      <c r="B74" s="18">
        <v>58.550280999999998</v>
      </c>
    </row>
    <row r="75" spans="1:2" x14ac:dyDescent="0.3">
      <c r="A75" s="21">
        <v>45439.663889000003</v>
      </c>
      <c r="B75" s="18">
        <v>58.850442999999999</v>
      </c>
    </row>
    <row r="76" spans="1:2" x14ac:dyDescent="0.3">
      <c r="A76" s="21">
        <v>45439.664582999998</v>
      </c>
      <c r="B76" s="18">
        <v>59.309556000000001</v>
      </c>
    </row>
    <row r="77" spans="1:2" x14ac:dyDescent="0.3">
      <c r="A77" s="21">
        <v>45439.665278</v>
      </c>
      <c r="B77" s="18">
        <v>58.655408000000001</v>
      </c>
    </row>
    <row r="78" spans="1:2" x14ac:dyDescent="0.3">
      <c r="A78" s="21">
        <v>45439.665972000003</v>
      </c>
      <c r="B78" s="18">
        <v>59.005133000000001</v>
      </c>
    </row>
    <row r="79" spans="1:2" x14ac:dyDescent="0.3">
      <c r="A79" s="21">
        <v>45439.666666999998</v>
      </c>
      <c r="B79" s="18">
        <v>58.697138000000002</v>
      </c>
    </row>
    <row r="80" spans="1:2" x14ac:dyDescent="0.3">
      <c r="A80" s="21">
        <v>45439.667361</v>
      </c>
      <c r="B80" s="18">
        <v>59.318041999999998</v>
      </c>
    </row>
    <row r="81" spans="1:2" x14ac:dyDescent="0.3">
      <c r="A81" s="21">
        <v>45439.668056000002</v>
      </c>
      <c r="B81" s="18">
        <v>58.904316999999999</v>
      </c>
    </row>
    <row r="82" spans="1:2" x14ac:dyDescent="0.3">
      <c r="A82" s="21">
        <v>45439.668749999997</v>
      </c>
      <c r="B82" s="18">
        <v>58.886054000000001</v>
      </c>
    </row>
    <row r="83" spans="1:2" x14ac:dyDescent="0.3">
      <c r="A83" s="21">
        <v>45439.669443999999</v>
      </c>
      <c r="B83" s="18">
        <v>58.894264999999997</v>
      </c>
    </row>
    <row r="84" spans="1:2" x14ac:dyDescent="0.3">
      <c r="A84" s="21">
        <v>45439.670139000002</v>
      </c>
      <c r="B84" s="18">
        <v>58.878160000000001</v>
      </c>
    </row>
    <row r="85" spans="1:2" x14ac:dyDescent="0.3">
      <c r="A85" s="21">
        <v>45439.670832999996</v>
      </c>
      <c r="B85" s="18">
        <v>59.214587000000002</v>
      </c>
    </row>
    <row r="86" spans="1:2" x14ac:dyDescent="0.3">
      <c r="A86" s="21">
        <v>45439.671527999999</v>
      </c>
      <c r="B86" s="18">
        <v>59.273708999999997</v>
      </c>
    </row>
    <row r="87" spans="1:2" x14ac:dyDescent="0.3">
      <c r="A87" s="21">
        <v>45439.672222000001</v>
      </c>
      <c r="B87" s="18">
        <v>59.088008000000002</v>
      </c>
    </row>
    <row r="88" spans="1:2" x14ac:dyDescent="0.3">
      <c r="A88" s="21">
        <v>45439.672917000004</v>
      </c>
      <c r="B88" s="18">
        <v>59.143768000000001</v>
      </c>
    </row>
    <row r="89" spans="1:2" x14ac:dyDescent="0.3">
      <c r="A89" s="21">
        <v>45439.673610999998</v>
      </c>
      <c r="B89" s="18">
        <v>59.446562</v>
      </c>
    </row>
    <row r="90" spans="1:2" x14ac:dyDescent="0.3">
      <c r="A90" s="21">
        <v>45439.674306000001</v>
      </c>
      <c r="B90" s="18">
        <v>59.407527000000002</v>
      </c>
    </row>
    <row r="91" spans="1:2" x14ac:dyDescent="0.3">
      <c r="A91" s="21">
        <v>45439.675000000003</v>
      </c>
      <c r="B91" s="18">
        <v>59.332281999999999</v>
      </c>
    </row>
    <row r="92" spans="1:2" x14ac:dyDescent="0.3">
      <c r="A92" s="21">
        <v>45439.675693999998</v>
      </c>
      <c r="B92" s="18">
        <v>59.706597000000002</v>
      </c>
    </row>
    <row r="93" spans="1:2" x14ac:dyDescent="0.3">
      <c r="A93" s="21">
        <v>45439.676389</v>
      </c>
      <c r="B93" s="18">
        <v>59.603059000000002</v>
      </c>
    </row>
    <row r="94" spans="1:2" x14ac:dyDescent="0.3">
      <c r="A94" s="21">
        <v>45439.677083000002</v>
      </c>
      <c r="B94" s="18">
        <v>59.502912999999999</v>
      </c>
    </row>
    <row r="95" spans="1:2" x14ac:dyDescent="0.3">
      <c r="A95" s="21">
        <v>45439.677777999997</v>
      </c>
      <c r="B95" s="18">
        <v>61.083074000000003</v>
      </c>
    </row>
    <row r="96" spans="1:2" x14ac:dyDescent="0.3">
      <c r="A96" s="21">
        <v>45439.678472</v>
      </c>
      <c r="B96" s="18">
        <v>60.966182000000003</v>
      </c>
    </row>
    <row r="97" spans="1:2" x14ac:dyDescent="0.3">
      <c r="A97" s="21">
        <v>45439.679167000002</v>
      </c>
      <c r="B97" s="18">
        <v>61.112344999999998</v>
      </c>
    </row>
    <row r="98" spans="1:2" x14ac:dyDescent="0.3">
      <c r="A98" s="21">
        <v>45439.679860999997</v>
      </c>
      <c r="B98" s="18">
        <v>61.422004000000001</v>
      </c>
    </row>
    <row r="99" spans="1:2" x14ac:dyDescent="0.3">
      <c r="A99" s="21">
        <v>45439.680555999999</v>
      </c>
      <c r="B99" s="18">
        <v>61.254503</v>
      </c>
    </row>
    <row r="100" spans="1:2" x14ac:dyDescent="0.3">
      <c r="A100" s="21">
        <v>45439.681250000001</v>
      </c>
      <c r="B100" s="18">
        <v>61.090063000000001</v>
      </c>
    </row>
    <row r="101" spans="1:2" x14ac:dyDescent="0.3">
      <c r="A101" s="21">
        <v>45439.681944000004</v>
      </c>
      <c r="B101" s="18">
        <v>61.390979999999999</v>
      </c>
    </row>
    <row r="102" spans="1:2" x14ac:dyDescent="0.3">
      <c r="A102" s="21">
        <v>45439.682638999999</v>
      </c>
      <c r="B102" s="18">
        <v>61.578623</v>
      </c>
    </row>
    <row r="103" spans="1:2" x14ac:dyDescent="0.3">
      <c r="A103" s="21">
        <v>45439.683333000001</v>
      </c>
      <c r="B103" s="18">
        <v>61.200499999999998</v>
      </c>
    </row>
    <row r="104" spans="1:2" x14ac:dyDescent="0.3">
      <c r="A104" s="21">
        <v>45439.684028000003</v>
      </c>
      <c r="B104" s="18">
        <v>61.305163</v>
      </c>
    </row>
    <row r="105" spans="1:2" x14ac:dyDescent="0.3">
      <c r="A105" s="21">
        <v>45439.684721999998</v>
      </c>
      <c r="B105" s="18">
        <v>61.809660999999998</v>
      </c>
    </row>
    <row r="106" spans="1:2" x14ac:dyDescent="0.3">
      <c r="A106" s="21">
        <v>45439.685417000001</v>
      </c>
      <c r="B106" s="18">
        <v>61.734523000000003</v>
      </c>
    </row>
    <row r="107" spans="1:2" x14ac:dyDescent="0.3">
      <c r="A107" s="21">
        <v>45439.686111000003</v>
      </c>
      <c r="B107" s="18">
        <v>61.772886</v>
      </c>
    </row>
    <row r="108" spans="1:2" x14ac:dyDescent="0.3">
      <c r="A108" s="21">
        <v>45439.686805999998</v>
      </c>
      <c r="B108" s="18">
        <v>61.857678</v>
      </c>
    </row>
    <row r="109" spans="1:2" x14ac:dyDescent="0.3">
      <c r="A109" s="21">
        <v>45439.6875</v>
      </c>
      <c r="B109" s="18">
        <v>62.074170000000002</v>
      </c>
    </row>
    <row r="110" spans="1:2" x14ac:dyDescent="0.3">
      <c r="A110" s="21">
        <v>45439.688194000002</v>
      </c>
      <c r="B110" s="18">
        <v>61.891120999999998</v>
      </c>
    </row>
    <row r="111" spans="1:2" x14ac:dyDescent="0.3">
      <c r="A111" s="21">
        <v>45439.688888999997</v>
      </c>
      <c r="B111" s="18">
        <v>61.891415000000002</v>
      </c>
    </row>
    <row r="112" spans="1:2" x14ac:dyDescent="0.3">
      <c r="A112" s="21">
        <v>45439.689582999999</v>
      </c>
      <c r="B112" s="18">
        <v>61.590727999999999</v>
      </c>
    </row>
    <row r="113" spans="1:2" x14ac:dyDescent="0.3">
      <c r="A113" s="21">
        <v>45439.690278000002</v>
      </c>
      <c r="B113" s="18">
        <v>62.301212999999997</v>
      </c>
    </row>
    <row r="114" spans="1:2" x14ac:dyDescent="0.3">
      <c r="A114" s="21">
        <v>45439.690971999997</v>
      </c>
      <c r="B114" s="18">
        <v>61.877715999999999</v>
      </c>
    </row>
    <row r="115" spans="1:2" x14ac:dyDescent="0.3">
      <c r="A115" s="21">
        <v>45439.691666999999</v>
      </c>
      <c r="B115" s="18">
        <v>62.118848</v>
      </c>
    </row>
    <row r="116" spans="1:2" x14ac:dyDescent="0.3">
      <c r="A116" s="21">
        <v>45439.692361000001</v>
      </c>
      <c r="B116" s="18">
        <v>62.043218000000003</v>
      </c>
    </row>
    <row r="117" spans="1:2" x14ac:dyDescent="0.3">
      <c r="A117" s="21">
        <v>45439.693055999996</v>
      </c>
      <c r="B117" s="18">
        <v>62.132649999999998</v>
      </c>
    </row>
    <row r="118" spans="1:2" x14ac:dyDescent="0.3">
      <c r="A118" s="21">
        <v>45439.693749999999</v>
      </c>
      <c r="B118" s="18">
        <v>61.951884999999997</v>
      </c>
    </row>
    <row r="119" spans="1:2" x14ac:dyDescent="0.3">
      <c r="A119" s="21">
        <v>45439.694444000001</v>
      </c>
      <c r="B119" s="18">
        <v>62.190815000000001</v>
      </c>
    </row>
    <row r="120" spans="1:2" x14ac:dyDescent="0.3">
      <c r="A120" s="21">
        <v>45439.695139000003</v>
      </c>
      <c r="B120" s="18">
        <v>62.007967000000001</v>
      </c>
    </row>
    <row r="121" spans="1:2" x14ac:dyDescent="0.3">
      <c r="A121" s="21">
        <v>45439.695832999998</v>
      </c>
      <c r="B121" s="18">
        <v>62.175772000000002</v>
      </c>
    </row>
    <row r="122" spans="1:2" x14ac:dyDescent="0.3">
      <c r="A122" s="21">
        <v>45439.696528</v>
      </c>
      <c r="B122" s="18">
        <v>62.169840000000001</v>
      </c>
    </row>
    <row r="123" spans="1:2" x14ac:dyDescent="0.3">
      <c r="A123" s="21">
        <v>45439.697222000003</v>
      </c>
      <c r="B123" s="18">
        <v>62.206963000000002</v>
      </c>
    </row>
    <row r="124" spans="1:2" x14ac:dyDescent="0.3">
      <c r="A124" s="21">
        <v>45439.697916999998</v>
      </c>
      <c r="B124" s="18">
        <v>62.143152000000001</v>
      </c>
    </row>
    <row r="125" spans="1:2" x14ac:dyDescent="0.3">
      <c r="A125" s="21">
        <v>45439.698611</v>
      </c>
      <c r="B125" s="18">
        <v>62.112372999999998</v>
      </c>
    </row>
    <row r="126" spans="1:2" x14ac:dyDescent="0.3">
      <c r="A126" s="21">
        <v>45439.699306000002</v>
      </c>
      <c r="B126" s="18">
        <v>62.093018000000001</v>
      </c>
    </row>
    <row r="127" spans="1:2" x14ac:dyDescent="0.3">
      <c r="A127" s="21">
        <v>45439.7</v>
      </c>
      <c r="B127" s="18">
        <v>62.234462000000001</v>
      </c>
    </row>
    <row r="128" spans="1:2" x14ac:dyDescent="0.3">
      <c r="A128" s="21">
        <v>45439.700693999999</v>
      </c>
      <c r="B128" s="18">
        <v>62.117074000000002</v>
      </c>
    </row>
    <row r="129" spans="1:2" x14ac:dyDescent="0.3">
      <c r="A129" s="21">
        <v>45439.701389000002</v>
      </c>
      <c r="B129" s="18">
        <v>62.217699000000003</v>
      </c>
    </row>
    <row r="130" spans="1:2" x14ac:dyDescent="0.3">
      <c r="A130" s="21">
        <v>45439.702082999996</v>
      </c>
      <c r="B130" s="18">
        <v>62.067604000000003</v>
      </c>
    </row>
    <row r="131" spans="1:2" x14ac:dyDescent="0.3">
      <c r="A131" s="21">
        <v>45439.702777999999</v>
      </c>
      <c r="B131" s="18">
        <v>62.083824999999997</v>
      </c>
    </row>
    <row r="132" spans="1:2" x14ac:dyDescent="0.3">
      <c r="A132" s="21">
        <v>45439.703472000001</v>
      </c>
      <c r="B132" s="18">
        <v>62.184181000000002</v>
      </c>
    </row>
    <row r="133" spans="1:2" x14ac:dyDescent="0.3">
      <c r="A133" s="21">
        <v>45439.704167000004</v>
      </c>
      <c r="B133" s="18">
        <v>62.148288000000001</v>
      </c>
    </row>
    <row r="134" spans="1:2" x14ac:dyDescent="0.3">
      <c r="A134" s="21">
        <v>45439.704860999998</v>
      </c>
      <c r="B134" s="18">
        <v>62.420087000000002</v>
      </c>
    </row>
    <row r="135" spans="1:2" x14ac:dyDescent="0.3">
      <c r="A135" s="21">
        <v>45439.705556000001</v>
      </c>
      <c r="B135" s="18">
        <v>62.035119000000002</v>
      </c>
    </row>
    <row r="136" spans="1:2" x14ac:dyDescent="0.3">
      <c r="A136" s="21">
        <v>45439.706250000003</v>
      </c>
      <c r="B136" s="18">
        <v>61.964478999999997</v>
      </c>
    </row>
    <row r="137" spans="1:2" x14ac:dyDescent="0.3">
      <c r="A137" s="21">
        <v>45439.706943999998</v>
      </c>
      <c r="B137" s="18">
        <v>62.265672000000002</v>
      </c>
    </row>
    <row r="138" spans="1:2" x14ac:dyDescent="0.3">
      <c r="A138" s="21">
        <v>45439.707639</v>
      </c>
      <c r="B138" s="18">
        <v>62.013061</v>
      </c>
    </row>
    <row r="139" spans="1:2" x14ac:dyDescent="0.3">
      <c r="A139" s="21">
        <v>45439.708333000002</v>
      </c>
      <c r="B139" s="18">
        <v>62.47663</v>
      </c>
    </row>
    <row r="140" spans="1:2" x14ac:dyDescent="0.3">
      <c r="A140" s="21">
        <v>45439.709027999997</v>
      </c>
      <c r="B140" s="18">
        <v>62.461756000000001</v>
      </c>
    </row>
    <row r="141" spans="1:2" x14ac:dyDescent="0.3">
      <c r="A141" s="21">
        <v>45439.709722</v>
      </c>
      <c r="B141" s="18">
        <v>62.328701000000002</v>
      </c>
    </row>
    <row r="142" spans="1:2" x14ac:dyDescent="0.3">
      <c r="A142" s="21">
        <v>45439.710417000002</v>
      </c>
      <c r="B142" s="18">
        <v>62.371872000000003</v>
      </c>
    </row>
    <row r="143" spans="1:2" x14ac:dyDescent="0.3">
      <c r="A143" s="21">
        <v>45439.711110999997</v>
      </c>
      <c r="B143" s="18">
        <v>62.180433999999998</v>
      </c>
    </row>
    <row r="144" spans="1:2" x14ac:dyDescent="0.3">
      <c r="A144" s="21">
        <v>45439.711805999999</v>
      </c>
      <c r="B144" s="18">
        <v>62.270606000000001</v>
      </c>
    </row>
    <row r="145" spans="1:2" x14ac:dyDescent="0.3">
      <c r="A145" s="21">
        <v>45439.712500000001</v>
      </c>
      <c r="B145" s="18">
        <v>62.289634999999997</v>
      </c>
    </row>
    <row r="146" spans="1:2" x14ac:dyDescent="0.3">
      <c r="A146" s="21">
        <v>45439.713194000004</v>
      </c>
      <c r="B146" s="18">
        <v>62.385136000000003</v>
      </c>
    </row>
    <row r="147" spans="1:2" x14ac:dyDescent="0.3">
      <c r="A147" s="21">
        <v>45439.713888999999</v>
      </c>
      <c r="B147" s="18">
        <v>62.257187999999999</v>
      </c>
    </row>
    <row r="148" spans="1:2" x14ac:dyDescent="0.3">
      <c r="A148" s="21">
        <v>45439.714583000001</v>
      </c>
      <c r="B148" s="18">
        <v>62.251947000000001</v>
      </c>
    </row>
    <row r="149" spans="1:2" x14ac:dyDescent="0.3">
      <c r="A149" s="21">
        <v>45439.715278000003</v>
      </c>
      <c r="B149" s="18">
        <v>61.868107000000002</v>
      </c>
    </row>
    <row r="150" spans="1:2" x14ac:dyDescent="0.3">
      <c r="A150" s="21">
        <v>45439.715971999998</v>
      </c>
      <c r="B150" s="18">
        <v>62.299545999999999</v>
      </c>
    </row>
    <row r="151" spans="1:2" x14ac:dyDescent="0.3">
      <c r="A151" s="21">
        <v>45439.716667000001</v>
      </c>
      <c r="B151" s="18">
        <v>62.244430000000001</v>
      </c>
    </row>
    <row r="152" spans="1:2" x14ac:dyDescent="0.3">
      <c r="A152" s="21">
        <v>45439.717361000003</v>
      </c>
      <c r="B152" s="18">
        <v>62.203961</v>
      </c>
    </row>
    <row r="153" spans="1:2" x14ac:dyDescent="0.3">
      <c r="A153" s="21">
        <v>45439.718055999998</v>
      </c>
      <c r="B153" s="18">
        <v>62.678030999999997</v>
      </c>
    </row>
    <row r="154" spans="1:2" x14ac:dyDescent="0.3">
      <c r="A154" s="21">
        <v>45439.71875</v>
      </c>
      <c r="B154" s="18">
        <v>62.034869</v>
      </c>
    </row>
    <row r="155" spans="1:2" x14ac:dyDescent="0.3">
      <c r="A155" s="21">
        <v>45439.719444000002</v>
      </c>
      <c r="B155" s="18">
        <v>62.638719999999999</v>
      </c>
    </row>
    <row r="156" spans="1:2" x14ac:dyDescent="0.3">
      <c r="A156" s="21">
        <v>45439.720138999997</v>
      </c>
      <c r="B156" s="18">
        <v>62.172243999999999</v>
      </c>
    </row>
    <row r="157" spans="1:2" x14ac:dyDescent="0.3">
      <c r="A157" s="21">
        <v>45439.720832999999</v>
      </c>
      <c r="B157" s="18">
        <v>62.617587</v>
      </c>
    </row>
    <row r="158" spans="1:2" x14ac:dyDescent="0.3">
      <c r="A158" s="21">
        <v>45439.721528000002</v>
      </c>
      <c r="B158" s="18">
        <v>62.305610000000001</v>
      </c>
    </row>
    <row r="159" spans="1:2" x14ac:dyDescent="0.3">
      <c r="A159" s="21">
        <v>45439.722221999997</v>
      </c>
      <c r="B159" s="18">
        <v>62.654384</v>
      </c>
    </row>
    <row r="160" spans="1:2" x14ac:dyDescent="0.3">
      <c r="A160" s="21">
        <v>45439.722916999999</v>
      </c>
      <c r="B160" s="18">
        <v>62.076096999999997</v>
      </c>
    </row>
    <row r="161" spans="1:2" x14ac:dyDescent="0.3">
      <c r="A161" s="21">
        <v>45439.723611000001</v>
      </c>
      <c r="B161" s="18">
        <v>62.519080000000002</v>
      </c>
    </row>
    <row r="162" spans="1:2" x14ac:dyDescent="0.3">
      <c r="A162" s="21">
        <v>45439.724305999996</v>
      </c>
      <c r="B162" s="18">
        <v>62.859212999999997</v>
      </c>
    </row>
    <row r="163" spans="1:2" x14ac:dyDescent="0.3">
      <c r="A163" s="21">
        <v>45439.724999999999</v>
      </c>
      <c r="B163" s="18">
        <v>62.147607999999998</v>
      </c>
    </row>
    <row r="164" spans="1:2" x14ac:dyDescent="0.3">
      <c r="A164" s="21">
        <v>45439.725694000001</v>
      </c>
      <c r="B164" s="18">
        <v>62.574807999999997</v>
      </c>
    </row>
    <row r="165" spans="1:2" x14ac:dyDescent="0.3">
      <c r="A165" s="21">
        <v>45439.726389000003</v>
      </c>
      <c r="B165" s="18">
        <v>62.574767000000001</v>
      </c>
    </row>
    <row r="166" spans="1:2" x14ac:dyDescent="0.3">
      <c r="A166" s="21">
        <v>45439.727082999998</v>
      </c>
      <c r="B166" s="18">
        <v>62.469472000000003</v>
      </c>
    </row>
    <row r="167" spans="1:2" x14ac:dyDescent="0.3">
      <c r="A167" s="21">
        <v>45439.727778</v>
      </c>
      <c r="B167" s="18">
        <v>62.487279999999998</v>
      </c>
    </row>
    <row r="168" spans="1:2" x14ac:dyDescent="0.3">
      <c r="A168" s="21">
        <v>45439.728472000003</v>
      </c>
      <c r="B168" s="18">
        <v>62.330008999999997</v>
      </c>
    </row>
    <row r="169" spans="1:2" x14ac:dyDescent="0.3">
      <c r="A169" s="21">
        <v>45439.729166999998</v>
      </c>
      <c r="B169" s="18">
        <v>62.732529999999997</v>
      </c>
    </row>
    <row r="170" spans="1:2" x14ac:dyDescent="0.3">
      <c r="A170" s="21">
        <v>45439.729861</v>
      </c>
      <c r="B170" s="18">
        <v>62.519688000000002</v>
      </c>
    </row>
    <row r="171" spans="1:2" x14ac:dyDescent="0.3">
      <c r="A171" s="21">
        <v>45439.730556000002</v>
      </c>
      <c r="B171" s="18">
        <v>62.477263999999998</v>
      </c>
    </row>
    <row r="172" spans="1:2" x14ac:dyDescent="0.3">
      <c r="A172" s="21">
        <v>45439.731249999997</v>
      </c>
      <c r="B172" s="18">
        <v>62.646296</v>
      </c>
    </row>
    <row r="173" spans="1:2" x14ac:dyDescent="0.3">
      <c r="A173" s="21">
        <v>45439.731943999999</v>
      </c>
      <c r="B173" s="18">
        <v>62.783920000000002</v>
      </c>
    </row>
    <row r="174" spans="1:2" x14ac:dyDescent="0.3">
      <c r="A174" s="21">
        <v>45439.732639000002</v>
      </c>
      <c r="B174" s="18">
        <v>62.902571000000002</v>
      </c>
    </row>
    <row r="175" spans="1:2" x14ac:dyDescent="0.3">
      <c r="A175" s="21">
        <v>45439.733332999996</v>
      </c>
      <c r="B175" s="18">
        <v>62.811753000000003</v>
      </c>
    </row>
    <row r="176" spans="1:2" x14ac:dyDescent="0.3">
      <c r="A176" s="21">
        <v>45439.734027999999</v>
      </c>
      <c r="B176" s="18">
        <v>62.678173000000001</v>
      </c>
    </row>
    <row r="177" spans="1:2" x14ac:dyDescent="0.3">
      <c r="A177" s="21">
        <v>45439.734722000001</v>
      </c>
      <c r="B177" s="18">
        <v>62.957357999999999</v>
      </c>
    </row>
    <row r="178" spans="1:2" x14ac:dyDescent="0.3">
      <c r="A178" s="21">
        <v>45439.735417000004</v>
      </c>
      <c r="B178" s="18">
        <v>62.824930999999999</v>
      </c>
    </row>
    <row r="179" spans="1:2" x14ac:dyDescent="0.3">
      <c r="A179" s="21">
        <v>45439.736110999998</v>
      </c>
      <c r="B179" s="18">
        <v>62.635292999999997</v>
      </c>
    </row>
    <row r="180" spans="1:2" x14ac:dyDescent="0.3">
      <c r="A180" s="21">
        <v>45439.736806000001</v>
      </c>
      <c r="B180" s="18">
        <v>62.752606</v>
      </c>
    </row>
    <row r="181" spans="1:2" x14ac:dyDescent="0.3">
      <c r="A181" s="21">
        <v>45439.737500000003</v>
      </c>
      <c r="B181" s="18">
        <v>62.943752000000003</v>
      </c>
    </row>
    <row r="182" spans="1:2" x14ac:dyDescent="0.3">
      <c r="A182" s="21">
        <v>45439.738193999998</v>
      </c>
      <c r="B182" s="18">
        <v>63.055745000000002</v>
      </c>
    </row>
    <row r="183" spans="1:2" x14ac:dyDescent="0.3">
      <c r="A183" s="21">
        <v>45439.738889</v>
      </c>
      <c r="B183" s="18">
        <v>62.874974000000002</v>
      </c>
    </row>
    <row r="184" spans="1:2" x14ac:dyDescent="0.3">
      <c r="A184" s="21">
        <v>45439.739583000002</v>
      </c>
      <c r="B184" s="18">
        <v>62.635449999999999</v>
      </c>
    </row>
    <row r="185" spans="1:2" x14ac:dyDescent="0.3">
      <c r="A185" s="21">
        <v>45439.740277999997</v>
      </c>
      <c r="B185" s="18">
        <v>62.974935000000002</v>
      </c>
    </row>
    <row r="186" spans="1:2" x14ac:dyDescent="0.3">
      <c r="A186" s="21">
        <v>45439.740972</v>
      </c>
      <c r="B186" s="18">
        <v>63.085369999999998</v>
      </c>
    </row>
    <row r="187" spans="1:2" x14ac:dyDescent="0.3">
      <c r="A187" s="21">
        <v>45439.741667000002</v>
      </c>
      <c r="B187" s="18">
        <v>62.742902999999998</v>
      </c>
    </row>
    <row r="188" spans="1:2" x14ac:dyDescent="0.3">
      <c r="A188" s="21">
        <v>45439.742360999997</v>
      </c>
      <c r="B188" s="18">
        <v>62.864381999999999</v>
      </c>
    </row>
    <row r="189" spans="1:2" x14ac:dyDescent="0.3">
      <c r="A189" s="21">
        <v>45439.743055999999</v>
      </c>
      <c r="B189" s="18">
        <v>62.726309999999998</v>
      </c>
    </row>
    <row r="190" spans="1:2" x14ac:dyDescent="0.3">
      <c r="A190" s="21">
        <v>45439.743750000001</v>
      </c>
      <c r="B190" s="18">
        <v>62.772432999999999</v>
      </c>
    </row>
    <row r="191" spans="1:2" x14ac:dyDescent="0.3">
      <c r="A191" s="21">
        <v>45439.744444000004</v>
      </c>
      <c r="B191" s="18">
        <v>63.053783000000003</v>
      </c>
    </row>
    <row r="192" spans="1:2" x14ac:dyDescent="0.3">
      <c r="A192" s="21">
        <v>45439.745138999999</v>
      </c>
      <c r="B192" s="18">
        <v>63.194194000000003</v>
      </c>
    </row>
    <row r="193" spans="1:2" x14ac:dyDescent="0.3">
      <c r="A193" s="21">
        <v>45439.745833000001</v>
      </c>
      <c r="B193" s="18">
        <v>63.044355000000003</v>
      </c>
    </row>
    <row r="194" spans="1:2" x14ac:dyDescent="0.3">
      <c r="A194" s="21">
        <v>45439.746528000003</v>
      </c>
      <c r="B194" s="18">
        <v>62.738495999999998</v>
      </c>
    </row>
    <row r="195" spans="1:2" x14ac:dyDescent="0.3">
      <c r="A195" s="21">
        <v>45439.747221999998</v>
      </c>
      <c r="B195" s="18">
        <v>63.157603000000002</v>
      </c>
    </row>
    <row r="196" spans="1:2" x14ac:dyDescent="0.3">
      <c r="A196" s="21">
        <v>45439.747917000001</v>
      </c>
      <c r="B196" s="18">
        <v>62.658669000000003</v>
      </c>
    </row>
    <row r="197" spans="1:2" x14ac:dyDescent="0.3">
      <c r="A197" s="21">
        <v>45439.748611000003</v>
      </c>
      <c r="B197" s="18">
        <v>62.640799000000001</v>
      </c>
    </row>
    <row r="198" spans="1:2" x14ac:dyDescent="0.3">
      <c r="A198" s="21">
        <v>45439.749305999998</v>
      </c>
      <c r="B198" s="18">
        <v>62.875785999999998</v>
      </c>
    </row>
    <row r="199" spans="1:2" x14ac:dyDescent="0.3">
      <c r="A199" s="21">
        <v>45439.75</v>
      </c>
      <c r="B199" s="18">
        <v>62.897157</v>
      </c>
    </row>
    <row r="200" spans="1:2" x14ac:dyDescent="0.3">
      <c r="A200" s="21">
        <v>45439.750694000002</v>
      </c>
      <c r="B200" s="18">
        <v>62.855330000000002</v>
      </c>
    </row>
    <row r="201" spans="1:2" x14ac:dyDescent="0.3">
      <c r="A201" s="21">
        <v>45439.751388999997</v>
      </c>
      <c r="B201" s="18">
        <v>62.765619999999998</v>
      </c>
    </row>
    <row r="202" spans="1:2" x14ac:dyDescent="0.3">
      <c r="A202" s="21">
        <v>45439.752082999999</v>
      </c>
      <c r="B202" s="18">
        <v>62.858823999999998</v>
      </c>
    </row>
    <row r="203" spans="1:2" x14ac:dyDescent="0.3">
      <c r="A203" s="21">
        <v>45439.752778000002</v>
      </c>
      <c r="B203" s="18">
        <v>62.723675999999998</v>
      </c>
    </row>
    <row r="204" spans="1:2" x14ac:dyDescent="0.3">
      <c r="A204" s="21">
        <v>45439.753471999997</v>
      </c>
      <c r="B204" s="18">
        <v>62.971749000000003</v>
      </c>
    </row>
    <row r="205" spans="1:2" x14ac:dyDescent="0.3">
      <c r="A205" s="21">
        <v>45439.754166999999</v>
      </c>
      <c r="B205" s="18">
        <v>62.631036999999999</v>
      </c>
    </row>
    <row r="206" spans="1:2" x14ac:dyDescent="0.3">
      <c r="A206" s="21">
        <v>45439.754861000001</v>
      </c>
      <c r="B206" s="18">
        <v>62.952159000000002</v>
      </c>
    </row>
    <row r="207" spans="1:2" x14ac:dyDescent="0.3">
      <c r="A207" s="21">
        <v>45439.755555999996</v>
      </c>
      <c r="B207" s="18">
        <v>63.127927</v>
      </c>
    </row>
    <row r="208" spans="1:2" x14ac:dyDescent="0.3">
      <c r="A208" s="21">
        <v>45439.756249999999</v>
      </c>
      <c r="B208" s="18">
        <v>63.172535000000003</v>
      </c>
    </row>
    <row r="209" spans="1:2" x14ac:dyDescent="0.3">
      <c r="A209" s="21">
        <v>45439.756944000001</v>
      </c>
      <c r="B209" s="18">
        <v>62.878177000000001</v>
      </c>
    </row>
    <row r="210" spans="1:2" x14ac:dyDescent="0.3">
      <c r="A210" s="21">
        <v>45439.757639000003</v>
      </c>
      <c r="B210" s="18">
        <v>62.489443999999999</v>
      </c>
    </row>
    <row r="211" spans="1:2" x14ac:dyDescent="0.3">
      <c r="A211" s="21">
        <v>45439.758332999998</v>
      </c>
      <c r="B211" s="18">
        <v>63.190888000000001</v>
      </c>
    </row>
    <row r="212" spans="1:2" x14ac:dyDescent="0.3">
      <c r="A212" s="21">
        <v>45439.759028</v>
      </c>
      <c r="B212" s="18">
        <v>62.715809999999998</v>
      </c>
    </row>
    <row r="213" spans="1:2" x14ac:dyDescent="0.3">
      <c r="A213" s="21">
        <v>45439.759722000003</v>
      </c>
      <c r="B213" s="18">
        <v>62.854937</v>
      </c>
    </row>
    <row r="214" spans="1:2" x14ac:dyDescent="0.3">
      <c r="A214" s="21">
        <v>45439.760416999998</v>
      </c>
      <c r="B214" s="18">
        <v>62.750723000000001</v>
      </c>
    </row>
    <row r="215" spans="1:2" x14ac:dyDescent="0.3">
      <c r="A215" s="21">
        <v>45439.761111</v>
      </c>
      <c r="B215" s="18">
        <v>64.039946</v>
      </c>
    </row>
    <row r="216" spans="1:2" x14ac:dyDescent="0.3">
      <c r="A216" s="21">
        <v>45439.761806000002</v>
      </c>
      <c r="B216" s="18">
        <v>64.467607000000001</v>
      </c>
    </row>
    <row r="217" spans="1:2" x14ac:dyDescent="0.3">
      <c r="A217" s="21">
        <v>45439.762499999997</v>
      </c>
      <c r="B217" s="18">
        <v>64.884241000000003</v>
      </c>
    </row>
    <row r="218" spans="1:2" x14ac:dyDescent="0.3">
      <c r="A218" s="21">
        <v>45439.763193999999</v>
      </c>
      <c r="B218" s="18">
        <v>64.780269000000004</v>
      </c>
    </row>
    <row r="219" spans="1:2" x14ac:dyDescent="0.3">
      <c r="A219" s="21">
        <v>45439.763889000002</v>
      </c>
      <c r="B219" s="18">
        <v>64.584241000000006</v>
      </c>
    </row>
    <row r="220" spans="1:2" x14ac:dyDescent="0.3">
      <c r="A220" s="21">
        <v>45439.764582999996</v>
      </c>
      <c r="B220" s="18">
        <v>65.002690999999999</v>
      </c>
    </row>
    <row r="221" spans="1:2" x14ac:dyDescent="0.3">
      <c r="A221" s="21">
        <v>45439.765277999999</v>
      </c>
      <c r="B221" s="18">
        <v>64.384366999999997</v>
      </c>
    </row>
    <row r="222" spans="1:2" x14ac:dyDescent="0.3">
      <c r="A222" s="21">
        <v>45439.765972000001</v>
      </c>
      <c r="B222" s="18">
        <v>64.742743000000004</v>
      </c>
    </row>
    <row r="223" spans="1:2" x14ac:dyDescent="0.3">
      <c r="A223" s="21">
        <v>45439.766667000004</v>
      </c>
      <c r="B223" s="18">
        <v>64.446003000000005</v>
      </c>
    </row>
    <row r="224" spans="1:2" x14ac:dyDescent="0.3">
      <c r="A224" s="21">
        <v>45439.767360999998</v>
      </c>
      <c r="B224" s="18">
        <v>64.796430999999998</v>
      </c>
    </row>
    <row r="225" spans="1:2" x14ac:dyDescent="0.3">
      <c r="A225" s="21">
        <v>45439.768056000001</v>
      </c>
      <c r="B225" s="18">
        <v>64.392069000000006</v>
      </c>
    </row>
    <row r="226" spans="1:2" x14ac:dyDescent="0.3">
      <c r="A226" s="21">
        <v>45439.768750000003</v>
      </c>
      <c r="B226" s="18">
        <v>64.681920000000005</v>
      </c>
    </row>
    <row r="227" spans="1:2" x14ac:dyDescent="0.3">
      <c r="A227" s="21">
        <v>45439.769443999998</v>
      </c>
      <c r="B227" s="18">
        <v>64.724300999999997</v>
      </c>
    </row>
    <row r="228" spans="1:2" x14ac:dyDescent="0.3">
      <c r="A228" s="21">
        <v>45439.770139</v>
      </c>
      <c r="B228" s="18">
        <v>64.933246999999994</v>
      </c>
    </row>
    <row r="229" spans="1:2" x14ac:dyDescent="0.3">
      <c r="A229" s="21">
        <v>45439.770833000002</v>
      </c>
      <c r="B229" s="18">
        <v>64.316056000000003</v>
      </c>
    </row>
    <row r="230" spans="1:2" x14ac:dyDescent="0.3">
      <c r="A230" s="21">
        <v>45439.771527999997</v>
      </c>
      <c r="B230" s="18">
        <v>64.669910000000002</v>
      </c>
    </row>
    <row r="231" spans="1:2" x14ac:dyDescent="0.3">
      <c r="A231" s="21">
        <v>45439.772222</v>
      </c>
      <c r="B231" s="18">
        <v>64.375480999999994</v>
      </c>
    </row>
    <row r="232" spans="1:2" x14ac:dyDescent="0.3">
      <c r="A232" s="21">
        <v>45439.772917000002</v>
      </c>
      <c r="B232" s="18">
        <v>64.616540000000001</v>
      </c>
    </row>
    <row r="233" spans="1:2" x14ac:dyDescent="0.3">
      <c r="A233" s="21">
        <v>45439.773610999997</v>
      </c>
      <c r="B233" s="18">
        <v>64.935315000000003</v>
      </c>
    </row>
    <row r="234" spans="1:2" x14ac:dyDescent="0.3">
      <c r="A234" s="21">
        <v>45439.774305999999</v>
      </c>
      <c r="B234" s="18">
        <v>64.769067000000007</v>
      </c>
    </row>
    <row r="235" spans="1:2" x14ac:dyDescent="0.3">
      <c r="A235" s="21">
        <v>45439.775000000001</v>
      </c>
      <c r="B235" s="18">
        <v>64.712731000000005</v>
      </c>
    </row>
    <row r="236" spans="1:2" x14ac:dyDescent="0.3">
      <c r="A236" s="21">
        <v>45439.775694000004</v>
      </c>
      <c r="B236" s="18">
        <v>64.731814999999997</v>
      </c>
    </row>
    <row r="237" spans="1:2" x14ac:dyDescent="0.3">
      <c r="A237" s="21">
        <v>45439.776388999999</v>
      </c>
      <c r="B237" s="18">
        <v>64.678811999999994</v>
      </c>
    </row>
    <row r="238" spans="1:2" x14ac:dyDescent="0.3">
      <c r="A238" s="21">
        <v>45439.777083000001</v>
      </c>
      <c r="B238" s="18">
        <v>64.789458999999994</v>
      </c>
    </row>
    <row r="239" spans="1:2" x14ac:dyDescent="0.3">
      <c r="A239" s="21">
        <v>45439.777778000003</v>
      </c>
      <c r="B239" s="18">
        <v>64.494923999999997</v>
      </c>
    </row>
    <row r="240" spans="1:2" x14ac:dyDescent="0.3">
      <c r="A240" s="21">
        <v>45439.778471999998</v>
      </c>
      <c r="B240" s="18">
        <v>64.726804000000001</v>
      </c>
    </row>
    <row r="241" spans="1:2" x14ac:dyDescent="0.3">
      <c r="A241" s="21">
        <v>45439.779167000001</v>
      </c>
      <c r="B241" s="18">
        <v>64.923501000000002</v>
      </c>
    </row>
    <row r="242" spans="1:2" x14ac:dyDescent="0.3">
      <c r="A242" s="21">
        <v>45439.779861000003</v>
      </c>
      <c r="B242" s="18">
        <v>64.971027000000007</v>
      </c>
    </row>
    <row r="243" spans="1:2" x14ac:dyDescent="0.3">
      <c r="A243" s="21">
        <v>45439.780555999998</v>
      </c>
      <c r="B243" s="18">
        <v>64.844741999999997</v>
      </c>
    </row>
    <row r="244" spans="1:2" x14ac:dyDescent="0.3">
      <c r="A244" s="21">
        <v>45439.78125</v>
      </c>
      <c r="B244" s="18">
        <v>64.534707999999995</v>
      </c>
    </row>
    <row r="245" spans="1:2" x14ac:dyDescent="0.3">
      <c r="A245" s="21">
        <v>45439.781944000002</v>
      </c>
      <c r="B245" s="18">
        <v>64.727272999999997</v>
      </c>
    </row>
    <row r="246" spans="1:2" x14ac:dyDescent="0.3">
      <c r="A246" s="21">
        <v>45439.782638999997</v>
      </c>
      <c r="B246" s="18">
        <v>64.465806999999998</v>
      </c>
    </row>
    <row r="247" spans="1:2" x14ac:dyDescent="0.3">
      <c r="A247" s="21">
        <v>45439.783332999999</v>
      </c>
      <c r="B247" s="18">
        <v>64.829918000000006</v>
      </c>
    </row>
    <row r="248" spans="1:2" x14ac:dyDescent="0.3">
      <c r="A248" s="21">
        <v>45439.784028000002</v>
      </c>
      <c r="B248" s="18">
        <v>64.296160999999998</v>
      </c>
    </row>
    <row r="249" spans="1:2" x14ac:dyDescent="0.3">
      <c r="A249" s="21">
        <v>45439.784721999997</v>
      </c>
      <c r="B249" s="18">
        <v>64.642030000000005</v>
      </c>
    </row>
    <row r="250" spans="1:2" x14ac:dyDescent="0.3">
      <c r="A250" s="21">
        <v>45439.785416999999</v>
      </c>
      <c r="B250" s="18">
        <v>64.554895999999999</v>
      </c>
    </row>
    <row r="251" spans="1:2" x14ac:dyDescent="0.3">
      <c r="A251" s="21">
        <v>45439.786111000001</v>
      </c>
      <c r="B251" s="18">
        <v>64.273294000000007</v>
      </c>
    </row>
    <row r="252" spans="1:2" x14ac:dyDescent="0.3">
      <c r="A252" s="21">
        <v>45439.786805999996</v>
      </c>
      <c r="B252" s="18">
        <v>64.631876000000005</v>
      </c>
    </row>
    <row r="253" spans="1:2" x14ac:dyDescent="0.3">
      <c r="A253" s="21">
        <v>45439.787499999999</v>
      </c>
      <c r="B253" s="18">
        <v>64.386904999999999</v>
      </c>
    </row>
    <row r="254" spans="1:2" x14ac:dyDescent="0.3">
      <c r="A254" s="21">
        <v>45439.788194000001</v>
      </c>
      <c r="B254" s="18">
        <v>64.725019000000003</v>
      </c>
    </row>
    <row r="255" spans="1:2" x14ac:dyDescent="0.3">
      <c r="A255" s="21">
        <v>45439.788889000003</v>
      </c>
      <c r="B255" s="18">
        <v>64.744146000000001</v>
      </c>
    </row>
    <row r="256" spans="1:2" x14ac:dyDescent="0.3">
      <c r="A256" s="21">
        <v>45439.789582999998</v>
      </c>
      <c r="B256" s="18">
        <v>65.117289</v>
      </c>
    </row>
    <row r="257" spans="1:2" x14ac:dyDescent="0.3">
      <c r="A257" s="21">
        <v>45439.790278</v>
      </c>
      <c r="B257" s="18">
        <v>64.670497999999995</v>
      </c>
    </row>
    <row r="258" spans="1:2" x14ac:dyDescent="0.3">
      <c r="A258" s="21">
        <v>45439.790972000003</v>
      </c>
      <c r="B258" s="18">
        <v>64.427745999999999</v>
      </c>
    </row>
    <row r="259" spans="1:2" x14ac:dyDescent="0.3">
      <c r="A259" s="21">
        <v>45439.791666999998</v>
      </c>
      <c r="B259" s="18">
        <v>64.568985999999995</v>
      </c>
    </row>
    <row r="260" spans="1:2" x14ac:dyDescent="0.3">
      <c r="A260" s="21">
        <v>45439.792361</v>
      </c>
      <c r="B260" s="18">
        <v>64.385418999999999</v>
      </c>
    </row>
    <row r="261" spans="1:2" x14ac:dyDescent="0.3">
      <c r="A261" s="21">
        <v>45439.793056000002</v>
      </c>
      <c r="B261" s="18">
        <v>64.473800999999995</v>
      </c>
    </row>
    <row r="262" spans="1:2" x14ac:dyDescent="0.3">
      <c r="A262" s="21">
        <v>45439.793749999997</v>
      </c>
      <c r="B262" s="18">
        <v>64.248232000000002</v>
      </c>
    </row>
    <row r="263" spans="1:2" x14ac:dyDescent="0.3">
      <c r="A263" s="21">
        <v>45439.794443999999</v>
      </c>
      <c r="B263" s="18">
        <v>64.658088000000006</v>
      </c>
    </row>
    <row r="264" spans="1:2" x14ac:dyDescent="0.3">
      <c r="A264" s="21">
        <v>45439.795139000002</v>
      </c>
      <c r="B264" s="18">
        <v>64.729370000000003</v>
      </c>
    </row>
    <row r="265" spans="1:2" x14ac:dyDescent="0.3">
      <c r="A265" s="21">
        <v>45439.795832999996</v>
      </c>
      <c r="B265" s="18">
        <v>64.556648999999993</v>
      </c>
    </row>
    <row r="266" spans="1:2" x14ac:dyDescent="0.3">
      <c r="A266" s="21">
        <v>45439.796527999999</v>
      </c>
      <c r="B266" s="18">
        <v>64.736107000000004</v>
      </c>
    </row>
    <row r="267" spans="1:2" x14ac:dyDescent="0.3">
      <c r="A267" s="21">
        <v>45439.797222000001</v>
      </c>
      <c r="B267" s="18">
        <v>64.540638999999999</v>
      </c>
    </row>
    <row r="268" spans="1:2" x14ac:dyDescent="0.3">
      <c r="A268" s="21">
        <v>45439.797917000004</v>
      </c>
      <c r="B268" s="18">
        <v>64.381236999999999</v>
      </c>
    </row>
    <row r="269" spans="1:2" x14ac:dyDescent="0.3">
      <c r="A269" s="21">
        <v>45439.798610999998</v>
      </c>
      <c r="B269" s="18">
        <v>64.652815000000004</v>
      </c>
    </row>
    <row r="270" spans="1:2" x14ac:dyDescent="0.3">
      <c r="A270" s="21">
        <v>45439.799306000001</v>
      </c>
      <c r="B270" s="18">
        <v>64.941730000000007</v>
      </c>
    </row>
    <row r="271" spans="1:2" x14ac:dyDescent="0.3">
      <c r="A271" s="21">
        <v>45439.8</v>
      </c>
      <c r="B271" s="18">
        <v>64.880048000000002</v>
      </c>
    </row>
    <row r="272" spans="1:2" x14ac:dyDescent="0.3">
      <c r="A272" s="21">
        <v>45439.800693999998</v>
      </c>
      <c r="B272" s="18">
        <v>64.916721999999993</v>
      </c>
    </row>
    <row r="273" spans="1:2" x14ac:dyDescent="0.3">
      <c r="A273" s="21">
        <v>45439.801389</v>
      </c>
      <c r="B273" s="18">
        <v>64.512324000000007</v>
      </c>
    </row>
    <row r="274" spans="1:2" x14ac:dyDescent="0.3">
      <c r="A274" s="21">
        <v>45439.802083000002</v>
      </c>
      <c r="B274" s="18">
        <v>64.310989000000006</v>
      </c>
    </row>
    <row r="275" spans="1:2" x14ac:dyDescent="0.3">
      <c r="A275" s="21">
        <v>45439.802777999997</v>
      </c>
      <c r="B275" s="18">
        <v>64.633644000000004</v>
      </c>
    </row>
    <row r="276" spans="1:2" x14ac:dyDescent="0.3">
      <c r="A276" s="21">
        <v>45439.803472</v>
      </c>
      <c r="B276" s="18">
        <v>64.465018000000001</v>
      </c>
    </row>
    <row r="277" spans="1:2" x14ac:dyDescent="0.3">
      <c r="A277" s="21">
        <v>45439.804167000002</v>
      </c>
      <c r="B277" s="18">
        <v>64.798464999999993</v>
      </c>
    </row>
    <row r="278" spans="1:2" x14ac:dyDescent="0.3">
      <c r="A278" s="21">
        <v>45439.804860999997</v>
      </c>
      <c r="B278" s="18">
        <v>64.437617000000003</v>
      </c>
    </row>
    <row r="279" spans="1:2" x14ac:dyDescent="0.3">
      <c r="A279" s="21">
        <v>45439.805555999999</v>
      </c>
      <c r="B279" s="18">
        <v>64.522188999999997</v>
      </c>
    </row>
    <row r="280" spans="1:2" x14ac:dyDescent="0.3">
      <c r="A280" s="21">
        <v>45439.806250000001</v>
      </c>
      <c r="B280" s="18">
        <v>64.347971999999999</v>
      </c>
    </row>
    <row r="281" spans="1:2" x14ac:dyDescent="0.3">
      <c r="A281" s="21">
        <v>45439.806944000004</v>
      </c>
      <c r="B281" s="18">
        <v>65.099480999999997</v>
      </c>
    </row>
    <row r="282" spans="1:2" x14ac:dyDescent="0.3">
      <c r="A282" s="21">
        <v>45439.807638999999</v>
      </c>
      <c r="B282" s="18">
        <v>64.659403999999995</v>
      </c>
    </row>
    <row r="283" spans="1:2" x14ac:dyDescent="0.3">
      <c r="A283" s="21">
        <v>45439.808333000001</v>
      </c>
      <c r="B283" s="18">
        <v>64.491245000000006</v>
      </c>
    </row>
    <row r="284" spans="1:2" x14ac:dyDescent="0.3">
      <c r="A284" s="21">
        <v>45439.809028000003</v>
      </c>
      <c r="B284" s="18">
        <v>64.321398000000002</v>
      </c>
    </row>
    <row r="285" spans="1:2" x14ac:dyDescent="0.3">
      <c r="A285" s="21">
        <v>45439.809721999998</v>
      </c>
      <c r="B285" s="18">
        <v>64.473285000000004</v>
      </c>
    </row>
    <row r="286" spans="1:2" x14ac:dyDescent="0.3">
      <c r="A286" s="21">
        <v>45439.810417000001</v>
      </c>
      <c r="B286" s="18">
        <v>64.292000999999999</v>
      </c>
    </row>
    <row r="287" spans="1:2" x14ac:dyDescent="0.3">
      <c r="A287" s="21">
        <v>45439.811111000003</v>
      </c>
      <c r="B287" s="18">
        <v>64.270812000000006</v>
      </c>
    </row>
    <row r="288" spans="1:2" x14ac:dyDescent="0.3">
      <c r="A288" s="21">
        <v>45439.811805999998</v>
      </c>
      <c r="B288" s="18">
        <v>64.525899999999993</v>
      </c>
    </row>
    <row r="289" spans="1:2" x14ac:dyDescent="0.3">
      <c r="A289" s="21">
        <v>45439.8125</v>
      </c>
      <c r="B289" s="18">
        <v>64.625322999999995</v>
      </c>
    </row>
    <row r="290" spans="1:2" x14ac:dyDescent="0.3">
      <c r="A290" s="21">
        <v>45439.813194000002</v>
      </c>
      <c r="B290" s="18">
        <v>64.483699999999999</v>
      </c>
    </row>
    <row r="291" spans="1:2" x14ac:dyDescent="0.3">
      <c r="A291" s="21">
        <v>45439.813888999997</v>
      </c>
      <c r="B291" s="18">
        <v>64.738557</v>
      </c>
    </row>
    <row r="292" spans="1:2" x14ac:dyDescent="0.3">
      <c r="A292" s="21">
        <v>45439.814582999999</v>
      </c>
      <c r="B292" s="18">
        <v>64.646011999999999</v>
      </c>
    </row>
    <row r="293" spans="1:2" x14ac:dyDescent="0.3">
      <c r="A293" s="21">
        <v>45439.815278000002</v>
      </c>
      <c r="B293" s="18">
        <v>64.252977000000001</v>
      </c>
    </row>
    <row r="294" spans="1:2" x14ac:dyDescent="0.3">
      <c r="A294" s="21">
        <v>45439.815971999997</v>
      </c>
      <c r="B294" s="18">
        <v>64.708088000000004</v>
      </c>
    </row>
    <row r="295" spans="1:2" x14ac:dyDescent="0.3">
      <c r="A295" s="21">
        <v>45439.816666999999</v>
      </c>
      <c r="B295" s="18">
        <v>64.341211000000001</v>
      </c>
    </row>
    <row r="296" spans="1:2" x14ac:dyDescent="0.3">
      <c r="A296" s="21">
        <v>45439.817361000001</v>
      </c>
      <c r="B296" s="18">
        <v>64.663482999999999</v>
      </c>
    </row>
    <row r="297" spans="1:2" x14ac:dyDescent="0.3">
      <c r="A297" s="21">
        <v>45439.818055999996</v>
      </c>
      <c r="B297" s="18">
        <v>64.541296000000003</v>
      </c>
    </row>
    <row r="298" spans="1:2" x14ac:dyDescent="0.3">
      <c r="A298" s="21">
        <v>45439.818749999999</v>
      </c>
      <c r="B298" s="18">
        <v>64.015681999999998</v>
      </c>
    </row>
    <row r="299" spans="1:2" x14ac:dyDescent="0.3">
      <c r="A299" s="21">
        <v>45439.819444000001</v>
      </c>
      <c r="B299" s="18">
        <v>64.710295000000002</v>
      </c>
    </row>
    <row r="300" spans="1:2" x14ac:dyDescent="0.3">
      <c r="A300" s="21">
        <v>45439.820139000003</v>
      </c>
      <c r="B300" s="18">
        <v>64.065140999999997</v>
      </c>
    </row>
    <row r="301" spans="1:2" x14ac:dyDescent="0.3">
      <c r="A301" s="21">
        <v>45439.820832999998</v>
      </c>
      <c r="B301" s="18">
        <v>64.520887000000002</v>
      </c>
    </row>
    <row r="302" spans="1:2" x14ac:dyDescent="0.3">
      <c r="A302" s="21">
        <v>45439.821528</v>
      </c>
      <c r="B302" s="18">
        <v>64.771756999999994</v>
      </c>
    </row>
    <row r="303" spans="1:2" x14ac:dyDescent="0.3">
      <c r="A303" s="21">
        <v>45439.822222000003</v>
      </c>
      <c r="B303" s="18">
        <v>64.473022</v>
      </c>
    </row>
    <row r="304" spans="1:2" x14ac:dyDescent="0.3">
      <c r="A304" s="21">
        <v>45439.822916999998</v>
      </c>
      <c r="B304" s="18">
        <v>64.834427000000005</v>
      </c>
    </row>
    <row r="305" spans="1:2" x14ac:dyDescent="0.3">
      <c r="A305" s="21">
        <v>45439.823611</v>
      </c>
      <c r="B305" s="18">
        <v>64.618384000000006</v>
      </c>
    </row>
    <row r="306" spans="1:2" x14ac:dyDescent="0.3">
      <c r="A306" s="21">
        <v>45439.824306000002</v>
      </c>
      <c r="B306" s="18">
        <v>64.580388999999997</v>
      </c>
    </row>
    <row r="307" spans="1:2" x14ac:dyDescent="0.3">
      <c r="A307" s="21">
        <v>45439.824999999997</v>
      </c>
      <c r="B307" s="18">
        <v>64.471698000000004</v>
      </c>
    </row>
    <row r="308" spans="1:2" x14ac:dyDescent="0.3">
      <c r="A308" s="21">
        <v>45439.825693999999</v>
      </c>
      <c r="B308" s="18">
        <v>64.404563999999993</v>
      </c>
    </row>
    <row r="309" spans="1:2" x14ac:dyDescent="0.3">
      <c r="A309" s="21">
        <v>45439.826389000002</v>
      </c>
      <c r="B309" s="18">
        <v>64.235641999999999</v>
      </c>
    </row>
    <row r="310" spans="1:2" x14ac:dyDescent="0.3">
      <c r="A310" s="21">
        <v>45439.827082999996</v>
      </c>
      <c r="B310" s="18">
        <v>64.423055000000005</v>
      </c>
    </row>
    <row r="311" spans="1:2" x14ac:dyDescent="0.3">
      <c r="A311" s="21">
        <v>45439.827777999999</v>
      </c>
      <c r="B311" s="18">
        <v>64.756495999999999</v>
      </c>
    </row>
    <row r="312" spans="1:2" x14ac:dyDescent="0.3">
      <c r="A312" s="21">
        <v>45439.828472000001</v>
      </c>
      <c r="B312" s="18">
        <v>64.383573999999996</v>
      </c>
    </row>
    <row r="313" spans="1:2" x14ac:dyDescent="0.3">
      <c r="A313" s="21">
        <v>45439.829167000004</v>
      </c>
      <c r="B313" s="18">
        <v>64.404024000000007</v>
      </c>
    </row>
    <row r="314" spans="1:2" x14ac:dyDescent="0.3">
      <c r="A314" s="21">
        <v>45439.829860999998</v>
      </c>
      <c r="B314" s="18">
        <v>64.951008000000002</v>
      </c>
    </row>
    <row r="315" spans="1:2" x14ac:dyDescent="0.3">
      <c r="A315" s="21">
        <v>45439.830556000001</v>
      </c>
      <c r="B315" s="18">
        <v>64.196687999999995</v>
      </c>
    </row>
    <row r="316" spans="1:2" x14ac:dyDescent="0.3">
      <c r="A316" s="21">
        <v>45439.831250000003</v>
      </c>
      <c r="B316" s="18">
        <v>64.483007000000001</v>
      </c>
    </row>
    <row r="317" spans="1:2" x14ac:dyDescent="0.3">
      <c r="A317" s="21">
        <v>45439.831943999998</v>
      </c>
      <c r="B317" s="18">
        <v>64.481876999999997</v>
      </c>
    </row>
    <row r="318" spans="1:2" x14ac:dyDescent="0.3">
      <c r="A318" s="21">
        <v>45439.832639</v>
      </c>
      <c r="B318" s="18">
        <v>64.761454000000001</v>
      </c>
    </row>
    <row r="319" spans="1:2" x14ac:dyDescent="0.3">
      <c r="A319" s="21">
        <v>45439.833333000002</v>
      </c>
      <c r="B319" s="18">
        <v>64.475166999999999</v>
      </c>
    </row>
    <row r="320" spans="1:2" x14ac:dyDescent="0.3">
      <c r="A320" s="21">
        <v>45439.834027999997</v>
      </c>
      <c r="B320" s="18">
        <v>64.303202999999996</v>
      </c>
    </row>
    <row r="321" spans="1:2" x14ac:dyDescent="0.3">
      <c r="A321" s="21">
        <v>45439.834722</v>
      </c>
      <c r="B321" s="18">
        <v>64.287366000000006</v>
      </c>
    </row>
    <row r="322" spans="1:2" x14ac:dyDescent="0.3">
      <c r="A322" s="21">
        <v>45439.835417000002</v>
      </c>
      <c r="B322" s="18">
        <v>64.499493000000001</v>
      </c>
    </row>
    <row r="323" spans="1:2" x14ac:dyDescent="0.3">
      <c r="A323" s="21">
        <v>45439.836110999997</v>
      </c>
      <c r="B323" s="18">
        <v>64.175309999999996</v>
      </c>
    </row>
    <row r="324" spans="1:2" x14ac:dyDescent="0.3">
      <c r="A324" s="21">
        <v>45439.836805999999</v>
      </c>
      <c r="B324" s="18">
        <v>64.192151999999993</v>
      </c>
    </row>
    <row r="325" spans="1:2" x14ac:dyDescent="0.3">
      <c r="A325" s="21">
        <v>45439.837500000001</v>
      </c>
      <c r="B325" s="18">
        <v>64.245233999999996</v>
      </c>
    </row>
    <row r="326" spans="1:2" x14ac:dyDescent="0.3">
      <c r="A326" s="21">
        <v>45439.838194000004</v>
      </c>
      <c r="B326" s="18">
        <v>64.343591000000004</v>
      </c>
    </row>
    <row r="327" spans="1:2" x14ac:dyDescent="0.3">
      <c r="A327" s="21">
        <v>45439.838888999999</v>
      </c>
      <c r="B327" s="18">
        <v>64.449763000000004</v>
      </c>
    </row>
    <row r="328" spans="1:2" x14ac:dyDescent="0.3">
      <c r="A328" s="21">
        <v>45439.839583000001</v>
      </c>
      <c r="B328" s="18">
        <v>64.363039000000001</v>
      </c>
    </row>
    <row r="329" spans="1:2" x14ac:dyDescent="0.3">
      <c r="A329" s="21">
        <v>45439.840278000003</v>
      </c>
      <c r="B329" s="18">
        <v>64.439414999999997</v>
      </c>
    </row>
    <row r="330" spans="1:2" x14ac:dyDescent="0.3">
      <c r="A330" s="21">
        <v>45439.840971999998</v>
      </c>
      <c r="B330" s="18">
        <v>64.550790000000006</v>
      </c>
    </row>
    <row r="331" spans="1:2" x14ac:dyDescent="0.3">
      <c r="A331" s="21">
        <v>45439.841667000001</v>
      </c>
      <c r="B331" s="18">
        <v>64.201093999999998</v>
      </c>
    </row>
    <row r="332" spans="1:2" x14ac:dyDescent="0.3">
      <c r="A332" s="21">
        <v>45439.842361000003</v>
      </c>
      <c r="B332" s="18">
        <v>64.327063999999993</v>
      </c>
    </row>
    <row r="333" spans="1:2" x14ac:dyDescent="0.3">
      <c r="A333" s="21">
        <v>45439.843055999998</v>
      </c>
      <c r="B333" s="18">
        <v>64.580275999999998</v>
      </c>
    </row>
    <row r="334" spans="1:2" x14ac:dyDescent="0.3">
      <c r="A334" s="21">
        <v>45439.84375</v>
      </c>
      <c r="B334" s="18">
        <v>64.400135000000006</v>
      </c>
    </row>
    <row r="335" spans="1:2" x14ac:dyDescent="0.3">
      <c r="A335" s="21">
        <v>45439.844444000002</v>
      </c>
      <c r="B335" s="18">
        <v>66.504019</v>
      </c>
    </row>
    <row r="336" spans="1:2" x14ac:dyDescent="0.3">
      <c r="A336" s="21">
        <v>45439.845138999997</v>
      </c>
      <c r="B336" s="18">
        <v>67.152468999999996</v>
      </c>
    </row>
    <row r="337" spans="1:2" x14ac:dyDescent="0.3">
      <c r="A337" s="21">
        <v>45439.845832999999</v>
      </c>
      <c r="B337" s="18">
        <v>67.133562999999995</v>
      </c>
    </row>
    <row r="338" spans="1:2" x14ac:dyDescent="0.3">
      <c r="A338" s="21">
        <v>45439.846528000002</v>
      </c>
      <c r="B338" s="18">
        <v>66.739159000000001</v>
      </c>
    </row>
    <row r="339" spans="1:2" x14ac:dyDescent="0.3">
      <c r="A339" s="21">
        <v>45439.847221999997</v>
      </c>
      <c r="B339" s="18">
        <v>67.196483000000001</v>
      </c>
    </row>
    <row r="340" spans="1:2" x14ac:dyDescent="0.3">
      <c r="A340" s="21">
        <v>45439.847916999999</v>
      </c>
      <c r="B340" s="18">
        <v>67.17859</v>
      </c>
    </row>
    <row r="341" spans="1:2" x14ac:dyDescent="0.3">
      <c r="A341" s="21">
        <v>45439.848611000001</v>
      </c>
      <c r="B341" s="18">
        <v>67.108877000000007</v>
      </c>
    </row>
    <row r="342" spans="1:2" x14ac:dyDescent="0.3">
      <c r="A342" s="21">
        <v>45439.849305999996</v>
      </c>
      <c r="B342" s="18">
        <v>67.303903000000005</v>
      </c>
    </row>
    <row r="343" spans="1:2" x14ac:dyDescent="0.3">
      <c r="A343" s="21">
        <v>45439.85</v>
      </c>
      <c r="B343" s="18">
        <v>66.625631999999996</v>
      </c>
    </row>
    <row r="344" spans="1:2" x14ac:dyDescent="0.3">
      <c r="A344" s="21">
        <v>45439.850694000001</v>
      </c>
      <c r="B344" s="18">
        <v>67.149051</v>
      </c>
    </row>
    <row r="345" spans="1:2" x14ac:dyDescent="0.3">
      <c r="A345" s="21">
        <v>45439.851389000003</v>
      </c>
      <c r="B345" s="18">
        <v>67.758291999999997</v>
      </c>
    </row>
    <row r="346" spans="1:2" x14ac:dyDescent="0.3">
      <c r="A346" s="21">
        <v>45439.852082999998</v>
      </c>
      <c r="B346" s="18">
        <v>66.928933000000001</v>
      </c>
    </row>
    <row r="347" spans="1:2" x14ac:dyDescent="0.3">
      <c r="A347" s="21">
        <v>45439.852778</v>
      </c>
      <c r="B347" s="18">
        <v>67.295546000000002</v>
      </c>
    </row>
    <row r="348" spans="1:2" x14ac:dyDescent="0.3">
      <c r="A348" s="21">
        <v>45439.853472000003</v>
      </c>
      <c r="B348" s="18">
        <v>66.751357999999996</v>
      </c>
    </row>
    <row r="349" spans="1:2" x14ac:dyDescent="0.3">
      <c r="A349" s="21">
        <v>45439.854166999998</v>
      </c>
      <c r="B349" s="18">
        <v>67.538058000000007</v>
      </c>
    </row>
    <row r="350" spans="1:2" x14ac:dyDescent="0.3">
      <c r="A350" s="21">
        <v>45439.854861</v>
      </c>
      <c r="B350" s="18">
        <v>67.125539000000003</v>
      </c>
    </row>
    <row r="351" spans="1:2" x14ac:dyDescent="0.3">
      <c r="A351" s="21">
        <v>45439.855556000002</v>
      </c>
      <c r="B351" s="18">
        <v>67.103065000000001</v>
      </c>
    </row>
    <row r="352" spans="1:2" x14ac:dyDescent="0.3">
      <c r="A352" s="21">
        <v>45439.856249999997</v>
      </c>
      <c r="B352" s="18">
        <v>66.908593999999994</v>
      </c>
    </row>
    <row r="353" spans="1:2" x14ac:dyDescent="0.3">
      <c r="A353" s="21">
        <v>45439.856943999999</v>
      </c>
      <c r="B353" s="18">
        <v>67.053299999999993</v>
      </c>
    </row>
    <row r="354" spans="1:2" x14ac:dyDescent="0.3">
      <c r="A354" s="21">
        <v>45439.857639000002</v>
      </c>
      <c r="B354" s="18">
        <v>66.958516000000003</v>
      </c>
    </row>
    <row r="355" spans="1:2" x14ac:dyDescent="0.3">
      <c r="A355" s="21">
        <v>45439.858332999996</v>
      </c>
      <c r="B355" s="18">
        <v>66.734793999999994</v>
      </c>
    </row>
    <row r="356" spans="1:2" x14ac:dyDescent="0.3">
      <c r="A356" s="21">
        <v>45439.859027999999</v>
      </c>
      <c r="B356" s="18">
        <v>66.896949000000006</v>
      </c>
    </row>
    <row r="357" spans="1:2" x14ac:dyDescent="0.3">
      <c r="A357" s="21">
        <v>45439.859722000001</v>
      </c>
      <c r="B357" s="18">
        <v>67.082667000000001</v>
      </c>
    </row>
    <row r="358" spans="1:2" x14ac:dyDescent="0.3">
      <c r="A358" s="21">
        <v>45439.860417000004</v>
      </c>
      <c r="B358" s="18">
        <v>67.127313000000001</v>
      </c>
    </row>
    <row r="359" spans="1:2" x14ac:dyDescent="0.3">
      <c r="A359" s="21">
        <v>45439.861110999998</v>
      </c>
      <c r="B359" s="18">
        <v>66.778976999999998</v>
      </c>
    </row>
    <row r="360" spans="1:2" x14ac:dyDescent="0.3">
      <c r="A360" s="21">
        <v>45439.861806000001</v>
      </c>
      <c r="B360" s="18">
        <v>66.850324000000001</v>
      </c>
    </row>
    <row r="361" spans="1:2" x14ac:dyDescent="0.3">
      <c r="A361" s="21">
        <v>45439.862500000003</v>
      </c>
      <c r="B361" s="18">
        <v>66.888551000000007</v>
      </c>
    </row>
    <row r="362" spans="1:2" x14ac:dyDescent="0.3">
      <c r="A362" s="21">
        <v>45439.863193999998</v>
      </c>
      <c r="B362" s="18">
        <v>66.499083999999996</v>
      </c>
    </row>
    <row r="363" spans="1:2" x14ac:dyDescent="0.3">
      <c r="A363" s="21">
        <v>45439.863889</v>
      </c>
      <c r="B363" s="18">
        <v>66.432519999999997</v>
      </c>
    </row>
    <row r="364" spans="1:2" x14ac:dyDescent="0.3">
      <c r="A364" s="21">
        <v>45439.864583000002</v>
      </c>
      <c r="B364" s="18">
        <v>66.947175000000001</v>
      </c>
    </row>
    <row r="365" spans="1:2" x14ac:dyDescent="0.3">
      <c r="A365" s="21">
        <v>45439.865277999997</v>
      </c>
      <c r="B365" s="18">
        <v>66.445764999999994</v>
      </c>
    </row>
    <row r="366" spans="1:2" x14ac:dyDescent="0.3">
      <c r="A366" s="21">
        <v>45439.865972</v>
      </c>
      <c r="B366" s="18">
        <v>66.600947000000005</v>
      </c>
    </row>
    <row r="367" spans="1:2" x14ac:dyDescent="0.3">
      <c r="A367" s="21">
        <v>45439.866667000002</v>
      </c>
      <c r="B367" s="18">
        <v>66.931411999999995</v>
      </c>
    </row>
    <row r="368" spans="1:2" x14ac:dyDescent="0.3">
      <c r="A368" s="21">
        <v>45439.867360999997</v>
      </c>
      <c r="B368" s="18">
        <v>66.827203999999995</v>
      </c>
    </row>
    <row r="369" spans="1:2" x14ac:dyDescent="0.3">
      <c r="A369" s="21">
        <v>45439.868055999999</v>
      </c>
      <c r="B369" s="18">
        <v>66.554978000000006</v>
      </c>
    </row>
    <row r="370" spans="1:2" x14ac:dyDescent="0.3">
      <c r="A370" s="21">
        <v>45439.868750000001</v>
      </c>
      <c r="B370" s="18">
        <v>66.718863999999996</v>
      </c>
    </row>
    <row r="371" spans="1:2" x14ac:dyDescent="0.3">
      <c r="A371" s="21">
        <v>45439.869444000004</v>
      </c>
      <c r="B371" s="18">
        <v>66.682511000000005</v>
      </c>
    </row>
    <row r="372" spans="1:2" x14ac:dyDescent="0.3">
      <c r="A372" s="21">
        <v>45439.870138999999</v>
      </c>
      <c r="B372" s="18">
        <v>66.581858999999994</v>
      </c>
    </row>
    <row r="373" spans="1:2" x14ac:dyDescent="0.3">
      <c r="A373" s="21">
        <v>45439.870833000001</v>
      </c>
      <c r="B373" s="18">
        <v>66.527750999999995</v>
      </c>
    </row>
    <row r="374" spans="1:2" x14ac:dyDescent="0.3">
      <c r="A374" s="21">
        <v>45439.871528000003</v>
      </c>
      <c r="B374" s="18">
        <v>67.034372000000005</v>
      </c>
    </row>
    <row r="375" spans="1:2" x14ac:dyDescent="0.3">
      <c r="A375" s="21">
        <v>45439.872221999998</v>
      </c>
      <c r="B375" s="18">
        <v>66.794370999999998</v>
      </c>
    </row>
    <row r="376" spans="1:2" x14ac:dyDescent="0.3">
      <c r="A376" s="21">
        <v>45439.872917000001</v>
      </c>
      <c r="B376" s="18">
        <v>66.409468000000004</v>
      </c>
    </row>
    <row r="377" spans="1:2" x14ac:dyDescent="0.3">
      <c r="A377" s="21">
        <v>45439.873611000003</v>
      </c>
      <c r="B377" s="18">
        <v>66.941896999999997</v>
      </c>
    </row>
    <row r="378" spans="1:2" x14ac:dyDescent="0.3">
      <c r="A378" s="21">
        <v>45439.874305999998</v>
      </c>
      <c r="B378" s="18">
        <v>66.738129000000001</v>
      </c>
    </row>
    <row r="379" spans="1:2" x14ac:dyDescent="0.3">
      <c r="A379" s="21">
        <v>45439.875</v>
      </c>
      <c r="B379" s="18">
        <v>66.775918000000004</v>
      </c>
    </row>
    <row r="380" spans="1:2" x14ac:dyDescent="0.3">
      <c r="A380" s="21">
        <v>45439.875694000002</v>
      </c>
      <c r="B380" s="18">
        <v>66.752871999999996</v>
      </c>
    </row>
    <row r="381" spans="1:2" x14ac:dyDescent="0.3">
      <c r="A381" s="21">
        <v>45439.876388999997</v>
      </c>
      <c r="B381" s="18">
        <v>66.596609999999998</v>
      </c>
    </row>
    <row r="382" spans="1:2" x14ac:dyDescent="0.3">
      <c r="A382" s="21">
        <v>45439.877082999999</v>
      </c>
      <c r="B382" s="18">
        <v>66.747559999999993</v>
      </c>
    </row>
    <row r="383" spans="1:2" x14ac:dyDescent="0.3">
      <c r="A383" s="21">
        <v>45439.877778000002</v>
      </c>
      <c r="B383" s="18">
        <v>66.670580000000001</v>
      </c>
    </row>
    <row r="384" spans="1:2" x14ac:dyDescent="0.3">
      <c r="A384" s="21">
        <v>45439.878471999997</v>
      </c>
      <c r="B384" s="18">
        <v>66.654096999999993</v>
      </c>
    </row>
    <row r="385" spans="1:2" x14ac:dyDescent="0.3">
      <c r="A385" s="21">
        <v>45439.879166999999</v>
      </c>
      <c r="B385" s="18">
        <v>66.587727999999998</v>
      </c>
    </row>
    <row r="386" spans="1:2" x14ac:dyDescent="0.3">
      <c r="A386" s="21">
        <v>45439.879861000001</v>
      </c>
      <c r="B386" s="18">
        <v>66.540201999999994</v>
      </c>
    </row>
    <row r="387" spans="1:2" x14ac:dyDescent="0.3">
      <c r="A387" s="21">
        <v>45439.880555999996</v>
      </c>
      <c r="B387" s="18">
        <v>66.472110999999998</v>
      </c>
    </row>
    <row r="388" spans="1:2" x14ac:dyDescent="0.3">
      <c r="A388" s="21">
        <v>45439.881249999999</v>
      </c>
      <c r="B388" s="18">
        <v>66.688952</v>
      </c>
    </row>
    <row r="389" spans="1:2" x14ac:dyDescent="0.3">
      <c r="A389" s="21">
        <v>45439.881944000001</v>
      </c>
      <c r="B389" s="18">
        <v>66.710065999999998</v>
      </c>
    </row>
    <row r="390" spans="1:2" x14ac:dyDescent="0.3">
      <c r="A390" s="21">
        <v>45439.882639000003</v>
      </c>
      <c r="B390" s="18">
        <v>65.908432000000005</v>
      </c>
    </row>
    <row r="391" spans="1:2" x14ac:dyDescent="0.3">
      <c r="A391" s="21">
        <v>45439.883332999998</v>
      </c>
      <c r="B391" s="18">
        <v>66.603746999999998</v>
      </c>
    </row>
    <row r="392" spans="1:2" x14ac:dyDescent="0.3">
      <c r="A392" s="21">
        <v>45439.884028</v>
      </c>
      <c r="B392" s="18">
        <v>67.200424999999996</v>
      </c>
    </row>
    <row r="393" spans="1:2" x14ac:dyDescent="0.3">
      <c r="A393" s="21">
        <v>45439.884722000003</v>
      </c>
      <c r="B393" s="18">
        <v>66.685650999999993</v>
      </c>
    </row>
    <row r="394" spans="1:2" x14ac:dyDescent="0.3">
      <c r="A394" s="21">
        <v>45439.885416999998</v>
      </c>
      <c r="B394" s="18">
        <v>66.560002999999995</v>
      </c>
    </row>
    <row r="395" spans="1:2" x14ac:dyDescent="0.3">
      <c r="A395" s="21">
        <v>45439.886111</v>
      </c>
      <c r="B395" s="18">
        <v>66.745238999999998</v>
      </c>
    </row>
    <row r="396" spans="1:2" x14ac:dyDescent="0.3">
      <c r="A396" s="21">
        <v>45439.886806000002</v>
      </c>
      <c r="B396" s="18">
        <v>66.474879999999999</v>
      </c>
    </row>
    <row r="397" spans="1:2" x14ac:dyDescent="0.3">
      <c r="A397" s="21">
        <v>45439.887499999997</v>
      </c>
      <c r="B397" s="18">
        <v>67.117457999999999</v>
      </c>
    </row>
    <row r="398" spans="1:2" x14ac:dyDescent="0.3">
      <c r="A398" s="21">
        <v>45439.888193999999</v>
      </c>
      <c r="B398" s="18">
        <v>66.409969000000004</v>
      </c>
    </row>
    <row r="399" spans="1:2" x14ac:dyDescent="0.3">
      <c r="A399" s="21">
        <v>45439.888889000002</v>
      </c>
      <c r="B399" s="18">
        <v>66.568685000000002</v>
      </c>
    </row>
    <row r="400" spans="1:2" x14ac:dyDescent="0.3">
      <c r="A400" s="21">
        <v>45439.889582999996</v>
      </c>
      <c r="B400" s="18">
        <v>66.363788999999997</v>
      </c>
    </row>
    <row r="401" spans="1:2" x14ac:dyDescent="0.3">
      <c r="A401" s="21">
        <v>45439.890277999999</v>
      </c>
      <c r="B401" s="18">
        <v>66.578128000000007</v>
      </c>
    </row>
    <row r="402" spans="1:2" x14ac:dyDescent="0.3">
      <c r="A402" s="21">
        <v>45439.890972000001</v>
      </c>
      <c r="B402" s="18">
        <v>66.885052999999999</v>
      </c>
    </row>
    <row r="403" spans="1:2" x14ac:dyDescent="0.3">
      <c r="A403" s="21">
        <v>45439.891667000004</v>
      </c>
      <c r="B403" s="18">
        <v>66.458608999999996</v>
      </c>
    </row>
    <row r="404" spans="1:2" x14ac:dyDescent="0.3">
      <c r="A404" s="21">
        <v>45439.892360999998</v>
      </c>
      <c r="B404" s="18">
        <v>66.617660000000001</v>
      </c>
    </row>
    <row r="405" spans="1:2" x14ac:dyDescent="0.3">
      <c r="A405" s="21">
        <v>45439.893056000001</v>
      </c>
      <c r="B405" s="18">
        <v>65.964246000000003</v>
      </c>
    </row>
    <row r="406" spans="1:2" x14ac:dyDescent="0.3">
      <c r="A406" s="21">
        <v>45439.893750000003</v>
      </c>
      <c r="B406" s="18">
        <v>66.285798</v>
      </c>
    </row>
    <row r="407" spans="1:2" x14ac:dyDescent="0.3">
      <c r="A407" s="21">
        <v>45439.894443999998</v>
      </c>
      <c r="B407" s="18">
        <v>66.350880000000004</v>
      </c>
    </row>
    <row r="408" spans="1:2" x14ac:dyDescent="0.3">
      <c r="A408" s="21">
        <v>45439.895139</v>
      </c>
      <c r="B408" s="18">
        <v>66.749848</v>
      </c>
    </row>
    <row r="409" spans="1:2" x14ac:dyDescent="0.3">
      <c r="A409" s="21">
        <v>45439.895833000002</v>
      </c>
      <c r="B409" s="18">
        <v>66.291846000000007</v>
      </c>
    </row>
    <row r="410" spans="1:2" x14ac:dyDescent="0.3">
      <c r="A410" s="21">
        <v>45439.896527999997</v>
      </c>
      <c r="B410" s="18">
        <v>66.190619999999996</v>
      </c>
    </row>
    <row r="411" spans="1:2" x14ac:dyDescent="0.3">
      <c r="A411" s="21">
        <v>45439.897222</v>
      </c>
      <c r="B411" s="18">
        <v>66.658912000000001</v>
      </c>
    </row>
    <row r="412" spans="1:2" x14ac:dyDescent="0.3">
      <c r="A412" s="21">
        <v>45439.897917000002</v>
      </c>
      <c r="B412" s="18">
        <v>66.209126999999995</v>
      </c>
    </row>
    <row r="413" spans="1:2" x14ac:dyDescent="0.3">
      <c r="A413" s="21">
        <v>45439.898610999997</v>
      </c>
      <c r="B413" s="18">
        <v>66.177935000000005</v>
      </c>
    </row>
    <row r="414" spans="1:2" x14ac:dyDescent="0.3">
      <c r="A414" s="21">
        <v>45439.899305999999</v>
      </c>
      <c r="B414" s="18">
        <v>66.491890999999995</v>
      </c>
    </row>
    <row r="415" spans="1:2" x14ac:dyDescent="0.3">
      <c r="A415" s="21">
        <v>45439.9</v>
      </c>
      <c r="B415" s="18">
        <v>66.137613000000002</v>
      </c>
    </row>
    <row r="416" spans="1:2" x14ac:dyDescent="0.3">
      <c r="A416" s="21">
        <v>45439.900694000004</v>
      </c>
      <c r="B416" s="18">
        <v>66.318067999999997</v>
      </c>
    </row>
    <row r="417" spans="1:2" x14ac:dyDescent="0.3">
      <c r="A417" s="21">
        <v>45439.901388999999</v>
      </c>
      <c r="B417" s="18">
        <v>66.239794000000003</v>
      </c>
    </row>
    <row r="418" spans="1:2" x14ac:dyDescent="0.3">
      <c r="A418" s="21">
        <v>45439.902083000001</v>
      </c>
      <c r="B418" s="18">
        <v>66.481954000000002</v>
      </c>
    </row>
    <row r="419" spans="1:2" x14ac:dyDescent="0.3">
      <c r="A419" s="21">
        <v>45439.902778000003</v>
      </c>
      <c r="B419" s="18">
        <v>66.541698999999994</v>
      </c>
    </row>
    <row r="420" spans="1:2" x14ac:dyDescent="0.3">
      <c r="A420" s="21">
        <v>45439.903471999998</v>
      </c>
      <c r="B420" s="18">
        <v>66.270816999999994</v>
      </c>
    </row>
    <row r="421" spans="1:2" x14ac:dyDescent="0.3">
      <c r="A421" s="21">
        <v>45439.904167000001</v>
      </c>
      <c r="B421" s="18">
        <v>66.049205999999998</v>
      </c>
    </row>
    <row r="422" spans="1:2" x14ac:dyDescent="0.3">
      <c r="A422" s="21">
        <v>45439.904861000003</v>
      </c>
      <c r="B422" s="18">
        <v>66.455534</v>
      </c>
    </row>
    <row r="423" spans="1:2" x14ac:dyDescent="0.3">
      <c r="A423" s="21">
        <v>45439.905555999998</v>
      </c>
      <c r="B423" s="18">
        <v>66.492323999999996</v>
      </c>
    </row>
    <row r="424" spans="1:2" x14ac:dyDescent="0.3">
      <c r="A424" s="21">
        <v>45439.90625</v>
      </c>
      <c r="B424" s="18">
        <v>66.805350000000004</v>
      </c>
    </row>
    <row r="425" spans="1:2" x14ac:dyDescent="0.3">
      <c r="A425" s="21">
        <v>45439.906944000002</v>
      </c>
      <c r="B425" s="18">
        <v>66.529267000000004</v>
      </c>
    </row>
    <row r="426" spans="1:2" x14ac:dyDescent="0.3">
      <c r="A426" s="21">
        <v>45439.907638999997</v>
      </c>
      <c r="B426" s="18">
        <v>66.326319999999996</v>
      </c>
    </row>
    <row r="427" spans="1:2" x14ac:dyDescent="0.3">
      <c r="A427" s="21">
        <v>45439.908332999999</v>
      </c>
      <c r="B427" s="18">
        <v>66.622407999999993</v>
      </c>
    </row>
    <row r="428" spans="1:2" x14ac:dyDescent="0.3">
      <c r="A428" s="21">
        <v>45439.909028000002</v>
      </c>
      <c r="B428" s="18">
        <v>66.321359999999999</v>
      </c>
    </row>
    <row r="429" spans="1:2" x14ac:dyDescent="0.3">
      <c r="A429" s="21">
        <v>45439.909721999997</v>
      </c>
      <c r="B429" s="18">
        <v>66.322153</v>
      </c>
    </row>
    <row r="430" spans="1:2" x14ac:dyDescent="0.3">
      <c r="A430" s="21">
        <v>45439.910416999999</v>
      </c>
      <c r="B430" s="18">
        <v>66.356097000000005</v>
      </c>
    </row>
    <row r="431" spans="1:2" x14ac:dyDescent="0.3">
      <c r="A431" s="21">
        <v>45439.911111000001</v>
      </c>
      <c r="B431" s="18">
        <v>66.238387000000003</v>
      </c>
    </row>
    <row r="432" spans="1:2" x14ac:dyDescent="0.3">
      <c r="A432" s="21">
        <v>45439.911805999996</v>
      </c>
      <c r="B432" s="18">
        <v>66.412322000000003</v>
      </c>
    </row>
    <row r="433" spans="1:2" x14ac:dyDescent="0.3">
      <c r="A433" s="21">
        <v>45439.912499999999</v>
      </c>
      <c r="B433" s="18">
        <v>66.733188999999996</v>
      </c>
    </row>
    <row r="434" spans="1:2" x14ac:dyDescent="0.3">
      <c r="A434" s="21">
        <v>45439.913194000001</v>
      </c>
      <c r="B434" s="18">
        <v>66.471971999999994</v>
      </c>
    </row>
    <row r="435" spans="1:2" x14ac:dyDescent="0.3">
      <c r="A435" s="21">
        <v>45439.913889000003</v>
      </c>
      <c r="B435" s="18">
        <v>66.332070999999999</v>
      </c>
    </row>
    <row r="436" spans="1:2" x14ac:dyDescent="0.3">
      <c r="A436" s="21">
        <v>45439.914582999998</v>
      </c>
      <c r="B436" s="18">
        <v>66.387084000000002</v>
      </c>
    </row>
    <row r="437" spans="1:2" x14ac:dyDescent="0.3">
      <c r="A437" s="21">
        <v>45439.915278</v>
      </c>
      <c r="B437" s="18">
        <v>66.277086999999995</v>
      </c>
    </row>
    <row r="438" spans="1:2" x14ac:dyDescent="0.3">
      <c r="A438" s="21">
        <v>45439.915972000003</v>
      </c>
      <c r="B438" s="18">
        <v>66.405731000000003</v>
      </c>
    </row>
    <row r="439" spans="1:2" x14ac:dyDescent="0.3">
      <c r="A439" s="21">
        <v>45439.916666999998</v>
      </c>
      <c r="B439" s="18">
        <v>66.148944</v>
      </c>
    </row>
    <row r="440" spans="1:2" x14ac:dyDescent="0.3">
      <c r="A440" s="21">
        <v>45439.917361</v>
      </c>
      <c r="B440" s="18">
        <v>66.320704000000006</v>
      </c>
    </row>
    <row r="441" spans="1:2" x14ac:dyDescent="0.3">
      <c r="A441" s="21">
        <v>45439.918056000002</v>
      </c>
      <c r="B441" s="18">
        <v>66.611684999999994</v>
      </c>
    </row>
    <row r="442" spans="1:2" x14ac:dyDescent="0.3">
      <c r="A442" s="21">
        <v>45439.918749999997</v>
      </c>
      <c r="B442" s="18">
        <v>66.263656999999995</v>
      </c>
    </row>
    <row r="443" spans="1:2" x14ac:dyDescent="0.3">
      <c r="A443" s="21">
        <v>45439.919443999999</v>
      </c>
      <c r="B443" s="18">
        <v>66.368581000000006</v>
      </c>
    </row>
    <row r="444" spans="1:2" x14ac:dyDescent="0.3">
      <c r="A444" s="21">
        <v>45439.920139000002</v>
      </c>
      <c r="B444" s="18">
        <v>66.449025000000006</v>
      </c>
    </row>
    <row r="445" spans="1:2" x14ac:dyDescent="0.3">
      <c r="A445" s="21">
        <v>45439.920832999996</v>
      </c>
      <c r="B445" s="18">
        <v>66.568286000000001</v>
      </c>
    </row>
    <row r="446" spans="1:2" x14ac:dyDescent="0.3">
      <c r="A446" s="21">
        <v>45439.921527999999</v>
      </c>
      <c r="B446" s="18">
        <v>66.268308000000005</v>
      </c>
    </row>
    <row r="447" spans="1:2" x14ac:dyDescent="0.3">
      <c r="A447" s="21">
        <v>45439.922222000001</v>
      </c>
      <c r="B447" s="18">
        <v>66.056458000000006</v>
      </c>
    </row>
    <row r="448" spans="1:2" x14ac:dyDescent="0.3">
      <c r="A448" s="21">
        <v>45439.922917000004</v>
      </c>
      <c r="B448" s="18">
        <v>66.280958999999996</v>
      </c>
    </row>
    <row r="449" spans="1:2" x14ac:dyDescent="0.3">
      <c r="A449" s="21">
        <v>45439.923610999998</v>
      </c>
      <c r="B449" s="18">
        <v>66.499247999999994</v>
      </c>
    </row>
    <row r="450" spans="1:2" x14ac:dyDescent="0.3">
      <c r="A450" s="21">
        <v>45439.924306000001</v>
      </c>
      <c r="B450" s="18">
        <v>66.364598999999998</v>
      </c>
    </row>
    <row r="451" spans="1:2" x14ac:dyDescent="0.3">
      <c r="A451" s="21">
        <v>45439.925000000003</v>
      </c>
      <c r="B451" s="18">
        <v>66.035848000000001</v>
      </c>
    </row>
    <row r="452" spans="1:2" x14ac:dyDescent="0.3">
      <c r="A452" s="21">
        <v>45439.925693999998</v>
      </c>
      <c r="B452" s="18">
        <v>66.296419</v>
      </c>
    </row>
    <row r="453" spans="1:2" x14ac:dyDescent="0.3">
      <c r="A453" s="21">
        <v>45439.926389</v>
      </c>
      <c r="B453" s="18">
        <v>66.474160999999995</v>
      </c>
    </row>
    <row r="454" spans="1:2" x14ac:dyDescent="0.3">
      <c r="A454" s="21">
        <v>45439.927083000002</v>
      </c>
      <c r="B454" s="18">
        <v>66.382081999999997</v>
      </c>
    </row>
    <row r="455" spans="1:2" x14ac:dyDescent="0.3">
      <c r="A455" s="21">
        <v>45439.927777999997</v>
      </c>
      <c r="B455" s="18">
        <v>68.181558999999993</v>
      </c>
    </row>
    <row r="456" spans="1:2" x14ac:dyDescent="0.3">
      <c r="A456" s="21">
        <v>45439.928472</v>
      </c>
      <c r="B456" s="18">
        <v>68.923192999999998</v>
      </c>
    </row>
    <row r="457" spans="1:2" x14ac:dyDescent="0.3">
      <c r="A457" s="21">
        <v>45439.929167000002</v>
      </c>
      <c r="B457" s="18">
        <v>68.966054999999997</v>
      </c>
    </row>
    <row r="458" spans="1:2" x14ac:dyDescent="0.3">
      <c r="A458" s="21">
        <v>45439.929860999997</v>
      </c>
      <c r="B458" s="18">
        <v>69.227058</v>
      </c>
    </row>
    <row r="459" spans="1:2" x14ac:dyDescent="0.3">
      <c r="A459" s="21">
        <v>45439.930555999999</v>
      </c>
      <c r="B459" s="18">
        <v>69.221491999999998</v>
      </c>
    </row>
    <row r="460" spans="1:2" x14ac:dyDescent="0.3">
      <c r="A460" s="21">
        <v>45439.931250000001</v>
      </c>
      <c r="B460" s="18">
        <v>69.077218999999999</v>
      </c>
    </row>
    <row r="461" spans="1:2" x14ac:dyDescent="0.3">
      <c r="A461" s="21">
        <v>45439.931944000004</v>
      </c>
      <c r="B461" s="18">
        <v>69.336136999999994</v>
      </c>
    </row>
    <row r="462" spans="1:2" x14ac:dyDescent="0.3">
      <c r="A462" s="21">
        <v>45439.932638999999</v>
      </c>
      <c r="B462" s="18">
        <v>69.073747999999995</v>
      </c>
    </row>
    <row r="463" spans="1:2" x14ac:dyDescent="0.3">
      <c r="A463" s="21">
        <v>45439.933333000001</v>
      </c>
      <c r="B463" s="18">
        <v>69.252367000000007</v>
      </c>
    </row>
    <row r="464" spans="1:2" x14ac:dyDescent="0.3">
      <c r="A464" s="21">
        <v>45439.934028000003</v>
      </c>
      <c r="B464" s="18">
        <v>69.140034</v>
      </c>
    </row>
    <row r="465" spans="1:2" x14ac:dyDescent="0.3">
      <c r="A465" s="21">
        <v>45439.934721999998</v>
      </c>
      <c r="B465" s="18">
        <v>69.196685000000002</v>
      </c>
    </row>
    <row r="466" spans="1:2" x14ac:dyDescent="0.3">
      <c r="A466" s="21">
        <v>45439.935417000001</v>
      </c>
      <c r="B466" s="18">
        <v>68.817971999999997</v>
      </c>
    </row>
    <row r="467" spans="1:2" x14ac:dyDescent="0.3">
      <c r="A467" s="21">
        <v>45439.936111000003</v>
      </c>
      <c r="B467" s="18">
        <v>69.523332999999994</v>
      </c>
    </row>
    <row r="468" spans="1:2" x14ac:dyDescent="0.3">
      <c r="A468" s="21">
        <v>45439.936805999998</v>
      </c>
      <c r="B468" s="18">
        <v>68.994572000000005</v>
      </c>
    </row>
    <row r="469" spans="1:2" x14ac:dyDescent="0.3">
      <c r="A469" s="21">
        <v>45439.9375</v>
      </c>
      <c r="B469" s="18">
        <v>68.782032999999998</v>
      </c>
    </row>
    <row r="470" spans="1:2" x14ac:dyDescent="0.3">
      <c r="A470" s="21">
        <v>45439.938194000002</v>
      </c>
      <c r="B470" s="18">
        <v>68.967053000000007</v>
      </c>
    </row>
    <row r="471" spans="1:2" x14ac:dyDescent="0.3">
      <c r="A471" s="21">
        <v>45439.938888999997</v>
      </c>
      <c r="B471" s="18">
        <v>68.796910999999994</v>
      </c>
    </row>
    <row r="472" spans="1:2" x14ac:dyDescent="0.3">
      <c r="A472" s="21">
        <v>45439.939582999999</v>
      </c>
      <c r="B472" s="18">
        <v>68.565735000000004</v>
      </c>
    </row>
    <row r="473" spans="1:2" x14ac:dyDescent="0.3">
      <c r="A473" s="21">
        <v>45439.940278000002</v>
      </c>
      <c r="B473" s="18">
        <v>68.724958000000001</v>
      </c>
    </row>
    <row r="474" spans="1:2" x14ac:dyDescent="0.3">
      <c r="A474" s="21">
        <v>45439.940971999997</v>
      </c>
      <c r="B474" s="18">
        <v>68.736536999999998</v>
      </c>
    </row>
    <row r="475" spans="1:2" x14ac:dyDescent="0.3">
      <c r="A475" s="21">
        <v>45439.941666999999</v>
      </c>
      <c r="B475" s="18">
        <v>68.809730999999999</v>
      </c>
    </row>
    <row r="476" spans="1:2" x14ac:dyDescent="0.3">
      <c r="A476" s="21">
        <v>45439.942361000001</v>
      </c>
      <c r="B476" s="18">
        <v>68.884945000000002</v>
      </c>
    </row>
    <row r="477" spans="1:2" x14ac:dyDescent="0.3">
      <c r="A477" s="21">
        <v>45439.943055999996</v>
      </c>
      <c r="B477" s="18">
        <v>69.188312999999994</v>
      </c>
    </row>
    <row r="478" spans="1:2" x14ac:dyDescent="0.3">
      <c r="A478" s="21">
        <v>45439.943749999999</v>
      </c>
      <c r="B478" s="18">
        <v>69.173677999999995</v>
      </c>
    </row>
    <row r="479" spans="1:2" x14ac:dyDescent="0.3">
      <c r="A479" s="21">
        <v>45439.944444000001</v>
      </c>
      <c r="B479" s="18">
        <v>68.677954999999997</v>
      </c>
    </row>
    <row r="480" spans="1:2" x14ac:dyDescent="0.3">
      <c r="A480" s="21">
        <v>45439.945139000003</v>
      </c>
      <c r="B480" s="18">
        <v>68.645263999999997</v>
      </c>
    </row>
    <row r="481" spans="1:2" x14ac:dyDescent="0.3">
      <c r="A481" s="21">
        <v>45439.945832999998</v>
      </c>
      <c r="B481" s="18">
        <v>68.460403999999997</v>
      </c>
    </row>
    <row r="482" spans="1:2" x14ac:dyDescent="0.3">
      <c r="A482" s="21">
        <v>45439.946528</v>
      </c>
      <c r="B482" s="18">
        <v>69.039428000000001</v>
      </c>
    </row>
    <row r="483" spans="1:2" x14ac:dyDescent="0.3">
      <c r="A483" s="21">
        <v>45439.947222000003</v>
      </c>
      <c r="B483" s="18">
        <v>68.747124999999997</v>
      </c>
    </row>
    <row r="484" spans="1:2" x14ac:dyDescent="0.3">
      <c r="A484" s="21">
        <v>45439.947916999998</v>
      </c>
      <c r="B484" s="18">
        <v>68.832245</v>
      </c>
    </row>
    <row r="485" spans="1:2" x14ac:dyDescent="0.3">
      <c r="A485" s="21">
        <v>45439.948611</v>
      </c>
      <c r="B485" s="18">
        <v>68.655879999999996</v>
      </c>
    </row>
    <row r="486" spans="1:2" x14ac:dyDescent="0.3">
      <c r="A486" s="21">
        <v>45439.949306000002</v>
      </c>
      <c r="B486" s="18">
        <v>68.811441000000002</v>
      </c>
    </row>
    <row r="487" spans="1:2" x14ac:dyDescent="0.3">
      <c r="A487" s="21">
        <v>45439.95</v>
      </c>
      <c r="B487" s="18">
        <v>68.897824</v>
      </c>
    </row>
    <row r="488" spans="1:2" x14ac:dyDescent="0.3">
      <c r="A488" s="21">
        <v>45439.950693999999</v>
      </c>
      <c r="B488" s="18">
        <v>68.664210999999995</v>
      </c>
    </row>
    <row r="489" spans="1:2" x14ac:dyDescent="0.3">
      <c r="A489" s="21">
        <v>45439.951389000002</v>
      </c>
      <c r="B489" s="18">
        <v>68.980491000000001</v>
      </c>
    </row>
    <row r="490" spans="1:2" x14ac:dyDescent="0.3">
      <c r="A490" s="21">
        <v>45439.952082999996</v>
      </c>
      <c r="B490" s="18">
        <v>68.455744999999993</v>
      </c>
    </row>
    <row r="491" spans="1:2" x14ac:dyDescent="0.3">
      <c r="A491" s="21">
        <v>45439.952777999999</v>
      </c>
      <c r="B491" s="18">
        <v>68.534237000000005</v>
      </c>
    </row>
    <row r="492" spans="1:2" x14ac:dyDescent="0.3">
      <c r="A492" s="21">
        <v>45439.953472000001</v>
      </c>
      <c r="B492" s="18">
        <v>68.919317000000007</v>
      </c>
    </row>
    <row r="493" spans="1:2" x14ac:dyDescent="0.3">
      <c r="A493" s="21">
        <v>45439.954167000004</v>
      </c>
      <c r="B493" s="18">
        <v>68.637968000000001</v>
      </c>
    </row>
    <row r="494" spans="1:2" x14ac:dyDescent="0.3">
      <c r="A494" s="21">
        <v>45439.954860999998</v>
      </c>
      <c r="B494" s="18">
        <v>69.020390000000006</v>
      </c>
    </row>
    <row r="495" spans="1:2" x14ac:dyDescent="0.3">
      <c r="A495" s="21">
        <v>45439.955556000001</v>
      </c>
      <c r="B495" s="18">
        <v>68.769501000000005</v>
      </c>
    </row>
    <row r="496" spans="1:2" x14ac:dyDescent="0.3">
      <c r="A496" s="21">
        <v>45439.956250000003</v>
      </c>
      <c r="B496" s="18">
        <v>68.653220000000005</v>
      </c>
    </row>
    <row r="497" spans="1:2" x14ac:dyDescent="0.3">
      <c r="A497" s="21">
        <v>45439.956943999998</v>
      </c>
      <c r="B497" s="18">
        <v>68.531529000000006</v>
      </c>
    </row>
    <row r="498" spans="1:2" x14ac:dyDescent="0.3">
      <c r="A498" s="21">
        <v>45439.957639</v>
      </c>
      <c r="B498" s="18">
        <v>68.611127999999994</v>
      </c>
    </row>
    <row r="499" spans="1:2" x14ac:dyDescent="0.3">
      <c r="A499" s="21">
        <v>45439.958333000002</v>
      </c>
      <c r="B499" s="18">
        <v>68.749906999999993</v>
      </c>
    </row>
    <row r="500" spans="1:2" x14ac:dyDescent="0.3">
      <c r="A500" s="21">
        <v>45439.959027999997</v>
      </c>
      <c r="B500" s="18">
        <v>68.770745000000005</v>
      </c>
    </row>
    <row r="501" spans="1:2" x14ac:dyDescent="0.3">
      <c r="A501" s="21">
        <v>45439.959722</v>
      </c>
      <c r="B501" s="18">
        <v>68.605256999999995</v>
      </c>
    </row>
    <row r="502" spans="1:2" x14ac:dyDescent="0.3">
      <c r="A502" s="21">
        <v>45439.960417000002</v>
      </c>
      <c r="B502" s="18">
        <v>68.563333999999998</v>
      </c>
    </row>
    <row r="503" spans="1:2" x14ac:dyDescent="0.3">
      <c r="A503" s="21">
        <v>45439.961110999997</v>
      </c>
      <c r="B503" s="18">
        <v>68.469579999999993</v>
      </c>
    </row>
    <row r="504" spans="1:2" x14ac:dyDescent="0.3">
      <c r="A504" s="21">
        <v>45439.961805999999</v>
      </c>
      <c r="B504" s="18">
        <v>68.282357000000005</v>
      </c>
    </row>
    <row r="505" spans="1:2" x14ac:dyDescent="0.3">
      <c r="A505" s="21">
        <v>45439.962500000001</v>
      </c>
      <c r="B505" s="18">
        <v>68.755418000000006</v>
      </c>
    </row>
    <row r="506" spans="1:2" x14ac:dyDescent="0.3">
      <c r="A506" s="21">
        <v>45439.963194000004</v>
      </c>
      <c r="B506" s="18">
        <v>68.266942999999998</v>
      </c>
    </row>
    <row r="507" spans="1:2" x14ac:dyDescent="0.3">
      <c r="A507" s="21">
        <v>45439.963888999999</v>
      </c>
      <c r="B507" s="18">
        <v>68.614356000000001</v>
      </c>
    </row>
    <row r="508" spans="1:2" x14ac:dyDescent="0.3">
      <c r="A508" s="21">
        <v>45439.964583000001</v>
      </c>
      <c r="B508" s="18">
        <v>68.730042999999995</v>
      </c>
    </row>
    <row r="509" spans="1:2" x14ac:dyDescent="0.3">
      <c r="A509" s="21">
        <v>45439.965278000003</v>
      </c>
      <c r="B509" s="18">
        <v>68.194164000000001</v>
      </c>
    </row>
    <row r="510" spans="1:2" x14ac:dyDescent="0.3">
      <c r="A510" s="21">
        <v>45439.965971999998</v>
      </c>
      <c r="B510" s="18">
        <v>68.492555999999993</v>
      </c>
    </row>
    <row r="511" spans="1:2" x14ac:dyDescent="0.3">
      <c r="A511" s="21">
        <v>45439.966667000001</v>
      </c>
      <c r="B511" s="18">
        <v>68.232635999999999</v>
      </c>
    </row>
    <row r="512" spans="1:2" x14ac:dyDescent="0.3">
      <c r="A512" s="21">
        <v>45439.967361000003</v>
      </c>
      <c r="B512" s="18">
        <v>68.312274000000002</v>
      </c>
    </row>
    <row r="513" spans="1:2" x14ac:dyDescent="0.3">
      <c r="A513" s="21">
        <v>45439.968055999998</v>
      </c>
      <c r="B513" s="18">
        <v>68.310254999999998</v>
      </c>
    </row>
    <row r="514" spans="1:2" x14ac:dyDescent="0.3">
      <c r="A514" s="21">
        <v>45439.96875</v>
      </c>
      <c r="B514" s="18">
        <v>68.364622999999995</v>
      </c>
    </row>
    <row r="515" spans="1:2" x14ac:dyDescent="0.3">
      <c r="A515" s="21">
        <v>45439.969444000002</v>
      </c>
      <c r="B515" s="18">
        <v>68.165346</v>
      </c>
    </row>
    <row r="516" spans="1:2" x14ac:dyDescent="0.3">
      <c r="A516" s="21">
        <v>45439.970138999997</v>
      </c>
      <c r="B516" s="18">
        <v>68.281099999999995</v>
      </c>
    </row>
    <row r="517" spans="1:2" x14ac:dyDescent="0.3">
      <c r="A517" s="21">
        <v>45439.970832999999</v>
      </c>
      <c r="B517" s="18">
        <v>68.176648999999998</v>
      </c>
    </row>
    <row r="518" spans="1:2" x14ac:dyDescent="0.3">
      <c r="A518" s="21">
        <v>45439.971528000002</v>
      </c>
      <c r="B518" s="18">
        <v>68.382320000000007</v>
      </c>
    </row>
    <row r="519" spans="1:2" x14ac:dyDescent="0.3">
      <c r="A519" s="21">
        <v>45439.972221999997</v>
      </c>
      <c r="B519" s="18">
        <v>68.337924000000001</v>
      </c>
    </row>
    <row r="520" spans="1:2" x14ac:dyDescent="0.3">
      <c r="A520" s="21">
        <v>45439.972916999999</v>
      </c>
      <c r="B520" s="18">
        <v>68.263537999999997</v>
      </c>
    </row>
    <row r="521" spans="1:2" x14ac:dyDescent="0.3">
      <c r="A521" s="21">
        <v>45439.973611000001</v>
      </c>
      <c r="B521" s="18">
        <v>67.932079999999999</v>
      </c>
    </row>
    <row r="522" spans="1:2" x14ac:dyDescent="0.3">
      <c r="A522" s="21">
        <v>45439.974305999996</v>
      </c>
      <c r="B522" s="18">
        <v>68.181015000000002</v>
      </c>
    </row>
    <row r="523" spans="1:2" x14ac:dyDescent="0.3">
      <c r="A523" s="21">
        <v>45439.974999999999</v>
      </c>
      <c r="B523" s="18">
        <v>68.145454999999998</v>
      </c>
    </row>
    <row r="524" spans="1:2" x14ac:dyDescent="0.3">
      <c r="A524" s="21">
        <v>45439.975694000001</v>
      </c>
      <c r="B524" s="18">
        <v>68.144588999999996</v>
      </c>
    </row>
    <row r="525" spans="1:2" x14ac:dyDescent="0.3">
      <c r="A525" s="21">
        <v>45439.976389000003</v>
      </c>
      <c r="B525" s="18">
        <v>68.187871000000001</v>
      </c>
    </row>
    <row r="526" spans="1:2" x14ac:dyDescent="0.3">
      <c r="A526" s="21">
        <v>45439.977082999998</v>
      </c>
      <c r="B526" s="18">
        <v>68.331879000000001</v>
      </c>
    </row>
    <row r="527" spans="1:2" x14ac:dyDescent="0.3">
      <c r="A527" s="21">
        <v>45439.977778</v>
      </c>
      <c r="B527" s="18">
        <v>68.284970999999999</v>
      </c>
    </row>
    <row r="528" spans="1:2" x14ac:dyDescent="0.3">
      <c r="A528" s="21">
        <v>45439.978472000003</v>
      </c>
      <c r="B528" s="18">
        <v>68.478087000000002</v>
      </c>
    </row>
    <row r="529" spans="1:2" x14ac:dyDescent="0.3">
      <c r="A529" s="21">
        <v>45439.979166999998</v>
      </c>
      <c r="B529" s="18">
        <v>68.604405999999997</v>
      </c>
    </row>
    <row r="530" spans="1:2" x14ac:dyDescent="0.3">
      <c r="A530" s="21">
        <v>45439.979861</v>
      </c>
      <c r="B530" s="18">
        <v>68.135605999999996</v>
      </c>
    </row>
    <row r="531" spans="1:2" x14ac:dyDescent="0.3">
      <c r="A531" s="21">
        <v>45439.980556000002</v>
      </c>
      <c r="B531" s="18">
        <v>68.270325</v>
      </c>
    </row>
    <row r="532" spans="1:2" x14ac:dyDescent="0.3">
      <c r="A532" s="21">
        <v>45439.981249999997</v>
      </c>
      <c r="B532" s="18">
        <v>68.3476</v>
      </c>
    </row>
    <row r="533" spans="1:2" x14ac:dyDescent="0.3">
      <c r="A533" s="21">
        <v>45439.981943999999</v>
      </c>
      <c r="B533" s="18">
        <v>68.339485999999994</v>
      </c>
    </row>
    <row r="534" spans="1:2" x14ac:dyDescent="0.3">
      <c r="A534" s="21">
        <v>45439.982639000002</v>
      </c>
      <c r="B534" s="18">
        <v>68.174446000000003</v>
      </c>
    </row>
    <row r="535" spans="1:2" x14ac:dyDescent="0.3">
      <c r="A535" s="21">
        <v>45439.983332999996</v>
      </c>
      <c r="B535" s="18">
        <v>68.438128000000006</v>
      </c>
    </row>
    <row r="536" spans="1:2" x14ac:dyDescent="0.3">
      <c r="A536" s="21">
        <v>45439.984027999999</v>
      </c>
      <c r="B536" s="18">
        <v>68.164663000000004</v>
      </c>
    </row>
    <row r="537" spans="1:2" x14ac:dyDescent="0.3">
      <c r="A537" s="21">
        <v>45439.984722000001</v>
      </c>
      <c r="B537" s="18">
        <v>68.453478000000004</v>
      </c>
    </row>
    <row r="538" spans="1:2" x14ac:dyDescent="0.3">
      <c r="A538" s="21">
        <v>45439.985417000004</v>
      </c>
      <c r="B538" s="18">
        <v>68.724669000000006</v>
      </c>
    </row>
    <row r="539" spans="1:2" x14ac:dyDescent="0.3">
      <c r="A539" s="21">
        <v>45439.986110999998</v>
      </c>
      <c r="B539" s="18">
        <v>68.282218</v>
      </c>
    </row>
    <row r="540" spans="1:2" x14ac:dyDescent="0.3">
      <c r="A540" s="21">
        <v>45439.986806000001</v>
      </c>
      <c r="B540" s="18">
        <v>68.433132000000001</v>
      </c>
    </row>
    <row r="541" spans="1:2" x14ac:dyDescent="0.3">
      <c r="A541" s="21">
        <v>45439.987500000003</v>
      </c>
      <c r="B541" s="18">
        <v>68.307990000000004</v>
      </c>
    </row>
    <row r="542" spans="1:2" x14ac:dyDescent="0.3">
      <c r="A542" s="21">
        <v>45439.988193999998</v>
      </c>
      <c r="B542" s="18">
        <v>68.425404</v>
      </c>
    </row>
    <row r="543" spans="1:2" x14ac:dyDescent="0.3">
      <c r="A543" s="21">
        <v>45439.988889</v>
      </c>
      <c r="B543" s="18">
        <v>68.348821000000001</v>
      </c>
    </row>
    <row r="544" spans="1:2" x14ac:dyDescent="0.3">
      <c r="A544" s="21">
        <v>45439.989583000002</v>
      </c>
      <c r="B544" s="18">
        <v>68.157514000000006</v>
      </c>
    </row>
    <row r="545" spans="1:2" x14ac:dyDescent="0.3">
      <c r="A545" s="21">
        <v>45439.990277999997</v>
      </c>
      <c r="B545" s="18">
        <v>68.510175000000004</v>
      </c>
    </row>
    <row r="546" spans="1:2" x14ac:dyDescent="0.3">
      <c r="A546" s="21">
        <v>45439.990972</v>
      </c>
      <c r="B546" s="18">
        <v>68.214937000000006</v>
      </c>
    </row>
    <row r="547" spans="1:2" x14ac:dyDescent="0.3">
      <c r="A547" s="21">
        <v>45439.991667000002</v>
      </c>
      <c r="B547" s="18">
        <v>68.122934000000001</v>
      </c>
    </row>
    <row r="548" spans="1:2" x14ac:dyDescent="0.3">
      <c r="A548" s="21">
        <v>45439.992360999997</v>
      </c>
      <c r="B548" s="18">
        <v>68.298885999999996</v>
      </c>
    </row>
    <row r="549" spans="1:2" x14ac:dyDescent="0.3">
      <c r="A549" s="21">
        <v>45439.993055999999</v>
      </c>
      <c r="B549" s="18">
        <v>68.166957999999994</v>
      </c>
    </row>
    <row r="550" spans="1:2" x14ac:dyDescent="0.3">
      <c r="A550" s="21">
        <v>45439.993750000001</v>
      </c>
      <c r="B550" s="18">
        <v>68.195561999999995</v>
      </c>
    </row>
    <row r="551" spans="1:2" x14ac:dyDescent="0.3">
      <c r="A551" s="21">
        <v>45439.994444000004</v>
      </c>
      <c r="B551" s="18">
        <v>68.262890999999996</v>
      </c>
    </row>
    <row r="552" spans="1:2" x14ac:dyDescent="0.3">
      <c r="A552" s="21">
        <v>45439.995138999999</v>
      </c>
      <c r="B552" s="18">
        <v>68.143535999999997</v>
      </c>
    </row>
    <row r="553" spans="1:2" x14ac:dyDescent="0.3">
      <c r="A553" s="21">
        <v>45439.995833000001</v>
      </c>
      <c r="B553" s="18">
        <v>68.291983999999999</v>
      </c>
    </row>
    <row r="554" spans="1:2" x14ac:dyDescent="0.3">
      <c r="A554" s="21">
        <v>45439.996528000003</v>
      </c>
      <c r="B554" s="18">
        <v>68.171317000000002</v>
      </c>
    </row>
    <row r="555" spans="1:2" x14ac:dyDescent="0.3">
      <c r="A555" s="21">
        <v>45439.997221999998</v>
      </c>
      <c r="B555" s="18">
        <v>68.112555</v>
      </c>
    </row>
    <row r="556" spans="1:2" x14ac:dyDescent="0.3">
      <c r="A556" s="21">
        <v>45439.997917000001</v>
      </c>
      <c r="B556" s="18">
        <v>68.019334000000001</v>
      </c>
    </row>
    <row r="557" spans="1:2" x14ac:dyDescent="0.3">
      <c r="A557" s="21">
        <v>45439.998611000003</v>
      </c>
      <c r="B557" s="18">
        <v>68.480790999999996</v>
      </c>
    </row>
    <row r="558" spans="1:2" x14ac:dyDescent="0.3">
      <c r="A558" s="21">
        <v>45439.999305999998</v>
      </c>
      <c r="B558" s="18">
        <v>68.350307999999998</v>
      </c>
    </row>
    <row r="559" spans="1:2" x14ac:dyDescent="0.3">
      <c r="A559" s="21">
        <v>45440</v>
      </c>
      <c r="B559" s="18">
        <v>68.151861999999994</v>
      </c>
    </row>
    <row r="560" spans="1:2" x14ac:dyDescent="0.3">
      <c r="A560" s="21">
        <v>45440.000694000002</v>
      </c>
      <c r="B560" s="18">
        <v>68.074248999999995</v>
      </c>
    </row>
    <row r="561" spans="1:2" x14ac:dyDescent="0.3">
      <c r="A561" s="21">
        <v>45440.001388999997</v>
      </c>
      <c r="B561" s="18">
        <v>67.936046000000005</v>
      </c>
    </row>
    <row r="562" spans="1:2" x14ac:dyDescent="0.3">
      <c r="A562" s="21">
        <v>45440.002082999999</v>
      </c>
      <c r="B562" s="18">
        <v>68.433363999999997</v>
      </c>
    </row>
    <row r="563" spans="1:2" x14ac:dyDescent="0.3">
      <c r="A563" s="21">
        <v>45440.002778000002</v>
      </c>
      <c r="B563" s="18">
        <v>68.111182999999997</v>
      </c>
    </row>
    <row r="564" spans="1:2" x14ac:dyDescent="0.3">
      <c r="A564" s="21">
        <v>45440.003471999997</v>
      </c>
      <c r="B564" s="18">
        <v>68.079589999999996</v>
      </c>
    </row>
    <row r="565" spans="1:2" x14ac:dyDescent="0.3">
      <c r="A565" s="21">
        <v>45440.004166999999</v>
      </c>
      <c r="B565" s="18">
        <v>68.286777999999998</v>
      </c>
    </row>
    <row r="566" spans="1:2" x14ac:dyDescent="0.3">
      <c r="A566" s="21">
        <v>45440.004861000001</v>
      </c>
      <c r="B566" s="18">
        <v>68.109057000000007</v>
      </c>
    </row>
    <row r="567" spans="1:2" x14ac:dyDescent="0.3">
      <c r="A567" s="21">
        <v>45440.005555999996</v>
      </c>
      <c r="B567" s="18">
        <v>68.014784000000006</v>
      </c>
    </row>
    <row r="568" spans="1:2" x14ac:dyDescent="0.3">
      <c r="A568" s="21">
        <v>45440.006249999999</v>
      </c>
      <c r="B568" s="18">
        <v>68.419032000000001</v>
      </c>
    </row>
    <row r="569" spans="1:2" x14ac:dyDescent="0.3">
      <c r="A569" s="21">
        <v>45440.006944000001</v>
      </c>
      <c r="B569" s="18">
        <v>68.211838999999998</v>
      </c>
    </row>
    <row r="570" spans="1:2" x14ac:dyDescent="0.3">
      <c r="A570" s="21">
        <v>45440.007639000003</v>
      </c>
      <c r="B570" s="18">
        <v>68.057462000000001</v>
      </c>
    </row>
    <row r="571" spans="1:2" x14ac:dyDescent="0.3">
      <c r="A571" s="21">
        <v>45440.008332999998</v>
      </c>
      <c r="B571" s="18">
        <v>68.083561000000003</v>
      </c>
    </row>
    <row r="572" spans="1:2" x14ac:dyDescent="0.3">
      <c r="A572" s="21">
        <v>45440.009028</v>
      </c>
      <c r="B572" s="18">
        <v>68.035270999999995</v>
      </c>
    </row>
    <row r="573" spans="1:2" x14ac:dyDescent="0.3">
      <c r="A573" s="21">
        <v>45440.009722000003</v>
      </c>
      <c r="B573" s="18">
        <v>68.162746999999996</v>
      </c>
    </row>
    <row r="574" spans="1:2" x14ac:dyDescent="0.3">
      <c r="A574" s="21">
        <v>45440.010416999998</v>
      </c>
      <c r="B574" s="18">
        <v>68.266942999999998</v>
      </c>
    </row>
    <row r="575" spans="1:2" x14ac:dyDescent="0.3">
      <c r="A575" s="21">
        <v>45440.011111</v>
      </c>
      <c r="B575" s="18">
        <v>70.138434000000004</v>
      </c>
    </row>
    <row r="576" spans="1:2" x14ac:dyDescent="0.3">
      <c r="A576" s="21">
        <v>45440.011806000002</v>
      </c>
      <c r="B576" s="18">
        <v>70.566528000000005</v>
      </c>
    </row>
    <row r="577" spans="1:2" x14ac:dyDescent="0.3">
      <c r="A577" s="21">
        <v>45440.012499999997</v>
      </c>
      <c r="B577" s="18">
        <v>70.766801000000001</v>
      </c>
    </row>
    <row r="578" spans="1:2" x14ac:dyDescent="0.3">
      <c r="A578" s="21">
        <v>45440.013193999999</v>
      </c>
      <c r="B578" s="18">
        <v>70.863400999999996</v>
      </c>
    </row>
    <row r="579" spans="1:2" x14ac:dyDescent="0.3">
      <c r="A579" s="21">
        <v>45440.013889000002</v>
      </c>
      <c r="B579" s="18">
        <v>71.091423000000006</v>
      </c>
    </row>
    <row r="580" spans="1:2" x14ac:dyDescent="0.3">
      <c r="A580" s="21">
        <v>45440.014582999996</v>
      </c>
      <c r="B580" s="18">
        <v>71.123540000000006</v>
      </c>
    </row>
    <row r="581" spans="1:2" x14ac:dyDescent="0.3">
      <c r="A581" s="21">
        <v>45440.015277999999</v>
      </c>
      <c r="B581" s="18">
        <v>70.977962000000005</v>
      </c>
    </row>
    <row r="582" spans="1:2" x14ac:dyDescent="0.3">
      <c r="A582" s="21">
        <v>45440.015972000001</v>
      </c>
      <c r="B582" s="18">
        <v>71.043940000000006</v>
      </c>
    </row>
    <row r="583" spans="1:2" x14ac:dyDescent="0.3">
      <c r="A583" s="21">
        <v>45440.016667000004</v>
      </c>
      <c r="B583" s="18">
        <v>70.971199999999996</v>
      </c>
    </row>
    <row r="584" spans="1:2" x14ac:dyDescent="0.3">
      <c r="A584" s="21">
        <v>45440.017360999998</v>
      </c>
      <c r="B584" s="18">
        <v>70.650533999999993</v>
      </c>
    </row>
    <row r="585" spans="1:2" x14ac:dyDescent="0.3">
      <c r="A585" s="21">
        <v>45440.018056000001</v>
      </c>
      <c r="B585" s="18">
        <v>70.780378999999996</v>
      </c>
    </row>
    <row r="586" spans="1:2" x14ac:dyDescent="0.3">
      <c r="A586" s="21">
        <v>45440.018750000003</v>
      </c>
      <c r="B586" s="18">
        <v>70.947503999999995</v>
      </c>
    </row>
    <row r="587" spans="1:2" x14ac:dyDescent="0.3">
      <c r="A587" s="21">
        <v>45440.019443999998</v>
      </c>
      <c r="B587" s="18">
        <v>70.950751999999994</v>
      </c>
    </row>
    <row r="588" spans="1:2" x14ac:dyDescent="0.3">
      <c r="A588" s="21">
        <v>45440.020139</v>
      </c>
      <c r="B588" s="18">
        <v>71.175217000000004</v>
      </c>
    </row>
    <row r="589" spans="1:2" x14ac:dyDescent="0.3">
      <c r="A589" s="21">
        <v>45440.020833000002</v>
      </c>
      <c r="B589" s="18">
        <v>70.763435000000001</v>
      </c>
    </row>
    <row r="590" spans="1:2" x14ac:dyDescent="0.3">
      <c r="A590" s="21">
        <v>45440.021527999997</v>
      </c>
      <c r="B590" s="18">
        <v>70.968224000000006</v>
      </c>
    </row>
    <row r="591" spans="1:2" x14ac:dyDescent="0.3">
      <c r="A591" s="21">
        <v>45440.022222</v>
      </c>
      <c r="B591" s="18">
        <v>71.022153000000003</v>
      </c>
    </row>
    <row r="592" spans="1:2" x14ac:dyDescent="0.3">
      <c r="A592" s="21">
        <v>45440.022917000002</v>
      </c>
      <c r="B592" s="18">
        <v>70.566096000000002</v>
      </c>
    </row>
    <row r="593" spans="1:2" x14ac:dyDescent="0.3">
      <c r="A593" s="21">
        <v>45440.023610999997</v>
      </c>
      <c r="B593" s="18">
        <v>70.688585000000003</v>
      </c>
    </row>
    <row r="594" spans="1:2" x14ac:dyDescent="0.3">
      <c r="A594" s="21">
        <v>45440.024305999999</v>
      </c>
      <c r="B594" s="18">
        <v>70.548760000000001</v>
      </c>
    </row>
    <row r="595" spans="1:2" x14ac:dyDescent="0.3">
      <c r="A595" s="21">
        <v>45440.025000000001</v>
      </c>
      <c r="B595" s="18">
        <v>70.521117000000004</v>
      </c>
    </row>
    <row r="596" spans="1:2" x14ac:dyDescent="0.3">
      <c r="A596" s="21">
        <v>45440.025694000004</v>
      </c>
      <c r="B596" s="18">
        <v>70.637298999999999</v>
      </c>
    </row>
    <row r="597" spans="1:2" x14ac:dyDescent="0.3">
      <c r="A597" s="21">
        <v>45440.026388999999</v>
      </c>
      <c r="B597" s="18">
        <v>70.890583000000007</v>
      </c>
    </row>
    <row r="598" spans="1:2" x14ac:dyDescent="0.3">
      <c r="A598" s="21">
        <v>45440.027083000001</v>
      </c>
      <c r="B598" s="18">
        <v>70.626806999999999</v>
      </c>
    </row>
    <row r="599" spans="1:2" x14ac:dyDescent="0.3">
      <c r="A599" s="21">
        <v>45440.027778000003</v>
      </c>
      <c r="B599" s="18">
        <v>70.921300000000002</v>
      </c>
    </row>
    <row r="600" spans="1:2" x14ac:dyDescent="0.3">
      <c r="A600" s="21">
        <v>45440.028471999998</v>
      </c>
      <c r="B600" s="18">
        <v>70.625829999999993</v>
      </c>
    </row>
    <row r="601" spans="1:2" x14ac:dyDescent="0.3">
      <c r="A601" s="21">
        <v>45440.029167000001</v>
      </c>
      <c r="B601" s="18">
        <v>70.263109999999998</v>
      </c>
    </row>
    <row r="602" spans="1:2" x14ac:dyDescent="0.3">
      <c r="A602" s="21">
        <v>45440.029861000003</v>
      </c>
      <c r="B602" s="18">
        <v>70.613044000000002</v>
      </c>
    </row>
    <row r="603" spans="1:2" x14ac:dyDescent="0.3">
      <c r="A603" s="21">
        <v>45440.030555999998</v>
      </c>
      <c r="B603" s="18">
        <v>70.602054999999993</v>
      </c>
    </row>
    <row r="604" spans="1:2" x14ac:dyDescent="0.3">
      <c r="A604" s="21">
        <v>45440.03125</v>
      </c>
      <c r="B604" s="18">
        <v>70.365070000000003</v>
      </c>
    </row>
    <row r="605" spans="1:2" x14ac:dyDescent="0.3">
      <c r="A605" s="21">
        <v>45440.031944000002</v>
      </c>
      <c r="B605" s="18">
        <v>70.401917999999995</v>
      </c>
    </row>
    <row r="606" spans="1:2" x14ac:dyDescent="0.3">
      <c r="A606" s="21">
        <v>45440.032638999997</v>
      </c>
      <c r="B606" s="18">
        <v>70.566855000000004</v>
      </c>
    </row>
    <row r="607" spans="1:2" x14ac:dyDescent="0.3">
      <c r="A607" s="21">
        <v>45440.033332999999</v>
      </c>
      <c r="B607" s="18">
        <v>70.675049000000001</v>
      </c>
    </row>
    <row r="608" spans="1:2" x14ac:dyDescent="0.3">
      <c r="A608" s="21">
        <v>45440.034028000002</v>
      </c>
      <c r="B608" s="18">
        <v>70.582038999999995</v>
      </c>
    </row>
    <row r="609" spans="1:2" x14ac:dyDescent="0.3">
      <c r="A609" s="21">
        <v>45440.034721999997</v>
      </c>
      <c r="B609" s="18">
        <v>70.319237000000001</v>
      </c>
    </row>
    <row r="610" spans="1:2" x14ac:dyDescent="0.3">
      <c r="A610" s="21">
        <v>45440.035416999999</v>
      </c>
      <c r="B610" s="18">
        <v>70.450445000000002</v>
      </c>
    </row>
    <row r="611" spans="1:2" x14ac:dyDescent="0.3">
      <c r="A611" s="21">
        <v>45440.036111000001</v>
      </c>
      <c r="B611" s="18">
        <v>70.354363000000006</v>
      </c>
    </row>
    <row r="612" spans="1:2" x14ac:dyDescent="0.3">
      <c r="A612" s="21">
        <v>45440.036805999996</v>
      </c>
      <c r="B612" s="18">
        <v>70.435976999999994</v>
      </c>
    </row>
    <row r="613" spans="1:2" x14ac:dyDescent="0.3">
      <c r="A613" s="21">
        <v>45440.037499999999</v>
      </c>
      <c r="B613" s="18">
        <v>70.145787999999996</v>
      </c>
    </row>
    <row r="614" spans="1:2" x14ac:dyDescent="0.3">
      <c r="A614" s="21">
        <v>45440.038194000001</v>
      </c>
      <c r="B614" s="18">
        <v>70.047668999999999</v>
      </c>
    </row>
    <row r="615" spans="1:2" x14ac:dyDescent="0.3">
      <c r="A615" s="21">
        <v>45440.038889000003</v>
      </c>
      <c r="B615" s="18">
        <v>70.155681999999999</v>
      </c>
    </row>
    <row r="616" spans="1:2" x14ac:dyDescent="0.3">
      <c r="A616" s="21">
        <v>45440.039582999998</v>
      </c>
      <c r="B616" s="18">
        <v>70.420441999999994</v>
      </c>
    </row>
    <row r="617" spans="1:2" x14ac:dyDescent="0.3">
      <c r="A617" s="21">
        <v>45440.040278</v>
      </c>
      <c r="B617" s="18">
        <v>70.465193999999997</v>
      </c>
    </row>
    <row r="618" spans="1:2" x14ac:dyDescent="0.3">
      <c r="A618" s="21">
        <v>45440.040972000003</v>
      </c>
      <c r="B618" s="18">
        <v>70.364609999999999</v>
      </c>
    </row>
    <row r="619" spans="1:2" x14ac:dyDescent="0.3">
      <c r="A619" s="21">
        <v>45440.041666999998</v>
      </c>
      <c r="B619" s="18">
        <v>70.084400000000002</v>
      </c>
    </row>
    <row r="620" spans="1:2" x14ac:dyDescent="0.3">
      <c r="A620" s="21">
        <v>45440.042361</v>
      </c>
      <c r="B620" s="18">
        <v>70.439569000000006</v>
      </c>
    </row>
    <row r="621" spans="1:2" x14ac:dyDescent="0.3">
      <c r="A621" s="21">
        <v>45440.043056000002</v>
      </c>
      <c r="B621" s="18">
        <v>70.293761000000003</v>
      </c>
    </row>
    <row r="622" spans="1:2" x14ac:dyDescent="0.3">
      <c r="A622" s="21">
        <v>45440.043749999997</v>
      </c>
      <c r="B622" s="18">
        <v>70.334458999999995</v>
      </c>
    </row>
    <row r="623" spans="1:2" x14ac:dyDescent="0.3">
      <c r="A623" s="21">
        <v>45440.044443999999</v>
      </c>
      <c r="B623" s="18">
        <v>70.377905999999996</v>
      </c>
    </row>
    <row r="624" spans="1:2" x14ac:dyDescent="0.3">
      <c r="A624" s="21">
        <v>45440.045139000002</v>
      </c>
      <c r="B624" s="18">
        <v>70.418482999999995</v>
      </c>
    </row>
    <row r="625" spans="1:2" x14ac:dyDescent="0.3">
      <c r="A625" s="21">
        <v>45440.045832999996</v>
      </c>
      <c r="B625" s="18">
        <v>70.392289000000005</v>
      </c>
    </row>
    <row r="626" spans="1:2" x14ac:dyDescent="0.3">
      <c r="A626" s="21">
        <v>45440.046527999999</v>
      </c>
      <c r="B626" s="18">
        <v>70.759164999999996</v>
      </c>
    </row>
    <row r="627" spans="1:2" x14ac:dyDescent="0.3">
      <c r="A627" s="21">
        <v>45440.047222000001</v>
      </c>
      <c r="B627" s="18">
        <v>70.369838999999999</v>
      </c>
    </row>
    <row r="628" spans="1:2" x14ac:dyDescent="0.3">
      <c r="A628" s="21">
        <v>45440.047917000004</v>
      </c>
      <c r="B628" s="18">
        <v>70.158781000000005</v>
      </c>
    </row>
    <row r="629" spans="1:2" x14ac:dyDescent="0.3">
      <c r="A629" s="21">
        <v>45440.048610999998</v>
      </c>
      <c r="B629" s="18">
        <v>70.107168000000001</v>
      </c>
    </row>
    <row r="630" spans="1:2" x14ac:dyDescent="0.3">
      <c r="A630" s="21">
        <v>45440.049306000001</v>
      </c>
      <c r="B630" s="18">
        <v>70.643086999999994</v>
      </c>
    </row>
    <row r="631" spans="1:2" x14ac:dyDescent="0.3">
      <c r="A631" s="21">
        <v>45440.05</v>
      </c>
      <c r="B631" s="18">
        <v>69.933206999999996</v>
      </c>
    </row>
    <row r="632" spans="1:2" x14ac:dyDescent="0.3">
      <c r="A632" s="21">
        <v>45440.050693999998</v>
      </c>
      <c r="B632" s="18">
        <v>70.200603999999998</v>
      </c>
    </row>
    <row r="633" spans="1:2" x14ac:dyDescent="0.3">
      <c r="A633" s="21">
        <v>45440.051389</v>
      </c>
      <c r="B633" s="18">
        <v>69.980733000000001</v>
      </c>
    </row>
    <row r="634" spans="1:2" x14ac:dyDescent="0.3">
      <c r="A634" s="21">
        <v>45440.052083000002</v>
      </c>
      <c r="B634" s="18">
        <v>70.101861999999997</v>
      </c>
    </row>
    <row r="635" spans="1:2" x14ac:dyDescent="0.3">
      <c r="A635" s="21">
        <v>45440.052777999997</v>
      </c>
      <c r="B635" s="18">
        <v>70.004883000000007</v>
      </c>
    </row>
    <row r="636" spans="1:2" x14ac:dyDescent="0.3">
      <c r="A636" s="21">
        <v>45440.053472</v>
      </c>
      <c r="B636" s="18">
        <v>70.458051999999995</v>
      </c>
    </row>
    <row r="637" spans="1:2" x14ac:dyDescent="0.3">
      <c r="A637" s="21">
        <v>45440.054167000002</v>
      </c>
      <c r="B637" s="18">
        <v>70.288912999999994</v>
      </c>
    </row>
    <row r="638" spans="1:2" x14ac:dyDescent="0.3">
      <c r="A638" s="21">
        <v>45440.054860999997</v>
      </c>
      <c r="B638" s="18">
        <v>70.161208000000002</v>
      </c>
    </row>
    <row r="639" spans="1:2" x14ac:dyDescent="0.3">
      <c r="A639" s="21">
        <v>45440.055555999999</v>
      </c>
      <c r="B639" s="18">
        <v>69.998500000000007</v>
      </c>
    </row>
    <row r="640" spans="1:2" x14ac:dyDescent="0.3">
      <c r="A640" s="21">
        <v>45440.056250000001</v>
      </c>
      <c r="B640" s="18">
        <v>70.109831</v>
      </c>
    </row>
    <row r="641" spans="1:2" x14ac:dyDescent="0.3">
      <c r="A641" s="21">
        <v>45440.056944000004</v>
      </c>
      <c r="B641" s="18">
        <v>70.314729999999997</v>
      </c>
    </row>
    <row r="642" spans="1:2" x14ac:dyDescent="0.3">
      <c r="A642" s="21">
        <v>45440.057638999999</v>
      </c>
      <c r="B642" s="18">
        <v>70.114519999999999</v>
      </c>
    </row>
    <row r="643" spans="1:2" x14ac:dyDescent="0.3">
      <c r="A643" s="21">
        <v>45440.058333000001</v>
      </c>
      <c r="B643" s="18">
        <v>70.172503000000006</v>
      </c>
    </row>
    <row r="644" spans="1:2" x14ac:dyDescent="0.3">
      <c r="A644" s="21">
        <v>45440.059028000003</v>
      </c>
      <c r="B644" s="18">
        <v>70.057040000000001</v>
      </c>
    </row>
    <row r="645" spans="1:2" x14ac:dyDescent="0.3">
      <c r="A645" s="21">
        <v>45440.059721999998</v>
      </c>
      <c r="B645" s="18">
        <v>70.012761999999995</v>
      </c>
    </row>
    <row r="646" spans="1:2" x14ac:dyDescent="0.3">
      <c r="A646" s="21">
        <v>45440.060417000001</v>
      </c>
      <c r="B646" s="18">
        <v>70.151200000000003</v>
      </c>
    </row>
    <row r="647" spans="1:2" x14ac:dyDescent="0.3">
      <c r="A647" s="21">
        <v>45440.061111000003</v>
      </c>
      <c r="B647" s="18">
        <v>70.561160999999998</v>
      </c>
    </row>
    <row r="648" spans="1:2" x14ac:dyDescent="0.3">
      <c r="A648" s="21">
        <v>45440.061805999998</v>
      </c>
      <c r="B648" s="18">
        <v>70.458810999999997</v>
      </c>
    </row>
    <row r="649" spans="1:2" x14ac:dyDescent="0.3">
      <c r="A649" s="21">
        <v>45440.0625</v>
      </c>
      <c r="B649" s="18">
        <v>69.819586999999999</v>
      </c>
    </row>
    <row r="650" spans="1:2" x14ac:dyDescent="0.3">
      <c r="A650" s="21">
        <v>45440.063194000002</v>
      </c>
      <c r="B650" s="18">
        <v>70.001203000000004</v>
      </c>
    </row>
    <row r="651" spans="1:2" x14ac:dyDescent="0.3">
      <c r="A651" s="21">
        <v>45440.063888999997</v>
      </c>
      <c r="B651" s="18">
        <v>70.052660000000003</v>
      </c>
    </row>
    <row r="652" spans="1:2" x14ac:dyDescent="0.3">
      <c r="A652" s="21">
        <v>45440.064582999999</v>
      </c>
      <c r="B652" s="18">
        <v>70.011285999999998</v>
      </c>
    </row>
    <row r="653" spans="1:2" x14ac:dyDescent="0.3">
      <c r="A653" s="21">
        <v>45440.065278000002</v>
      </c>
      <c r="B653" s="18">
        <v>70.278823000000003</v>
      </c>
    </row>
    <row r="654" spans="1:2" x14ac:dyDescent="0.3">
      <c r="A654" s="21">
        <v>45440.065971999997</v>
      </c>
      <c r="B654" s="18">
        <v>70.318923999999996</v>
      </c>
    </row>
    <row r="655" spans="1:2" x14ac:dyDescent="0.3">
      <c r="A655" s="21">
        <v>45440.066666999999</v>
      </c>
      <c r="B655" s="18">
        <v>70.072596000000004</v>
      </c>
    </row>
    <row r="656" spans="1:2" x14ac:dyDescent="0.3">
      <c r="A656" s="21">
        <v>45440.067361000001</v>
      </c>
      <c r="B656" s="18">
        <v>70.355517000000006</v>
      </c>
    </row>
    <row r="657" spans="1:2" x14ac:dyDescent="0.3">
      <c r="A657" s="21">
        <v>45440.068055999996</v>
      </c>
      <c r="B657" s="18">
        <v>70.311854999999994</v>
      </c>
    </row>
    <row r="658" spans="1:2" x14ac:dyDescent="0.3">
      <c r="A658" s="21">
        <v>45440.068749999999</v>
      </c>
      <c r="B658" s="18">
        <v>70.552498</v>
      </c>
    </row>
    <row r="659" spans="1:2" x14ac:dyDescent="0.3">
      <c r="A659" s="21">
        <v>45440.069444000001</v>
      </c>
      <c r="B659" s="18">
        <v>69.802498999999997</v>
      </c>
    </row>
    <row r="660" spans="1:2" x14ac:dyDescent="0.3">
      <c r="A660" s="21">
        <v>45440.070139000003</v>
      </c>
      <c r="B660" s="18">
        <v>70.503634000000005</v>
      </c>
    </row>
    <row r="661" spans="1:2" x14ac:dyDescent="0.3">
      <c r="A661" s="21">
        <v>45440.070832999998</v>
      </c>
      <c r="B661" s="18">
        <v>71.463707999999997</v>
      </c>
    </row>
    <row r="662" spans="1:2" x14ac:dyDescent="0.3">
      <c r="A662" s="21">
        <v>45440.071528</v>
      </c>
      <c r="B662" s="18">
        <v>69.105039000000005</v>
      </c>
    </row>
    <row r="663" spans="1:2" x14ac:dyDescent="0.3">
      <c r="A663" s="21">
        <v>45440.072222000003</v>
      </c>
      <c r="B663" s="18">
        <v>70.958768000000006</v>
      </c>
    </row>
    <row r="664" spans="1:2" x14ac:dyDescent="0.3">
      <c r="A664" s="21">
        <v>45440.072916999998</v>
      </c>
      <c r="B664" s="18">
        <v>70.380369000000002</v>
      </c>
    </row>
    <row r="665" spans="1:2" x14ac:dyDescent="0.3">
      <c r="A665" s="21">
        <v>45440.073611</v>
      </c>
      <c r="B665" s="18">
        <v>70.985681999999997</v>
      </c>
    </row>
    <row r="666" spans="1:2" x14ac:dyDescent="0.3">
      <c r="A666" s="21">
        <v>45440.074306000002</v>
      </c>
      <c r="B666" s="18">
        <v>70.220997999999994</v>
      </c>
    </row>
    <row r="667" spans="1:2" x14ac:dyDescent="0.3">
      <c r="A667" s="21">
        <v>45440.074999999997</v>
      </c>
      <c r="B667" s="18">
        <v>69.851354999999998</v>
      </c>
    </row>
    <row r="668" spans="1:2" x14ac:dyDescent="0.3">
      <c r="A668" s="21">
        <v>45440.075693999999</v>
      </c>
      <c r="B668" s="18">
        <v>70.247280000000003</v>
      </c>
    </row>
    <row r="669" spans="1:2" x14ac:dyDescent="0.3">
      <c r="A669" s="21">
        <v>45440.076389000002</v>
      </c>
      <c r="B669" s="18">
        <v>69.804688999999996</v>
      </c>
    </row>
    <row r="670" spans="1:2" x14ac:dyDescent="0.3">
      <c r="A670" s="21">
        <v>45440.077082999996</v>
      </c>
      <c r="B670" s="18">
        <v>70.032157999999995</v>
      </c>
    </row>
    <row r="671" spans="1:2" x14ac:dyDescent="0.3">
      <c r="A671" s="21">
        <v>45440.077777999999</v>
      </c>
      <c r="B671" s="18">
        <v>70.086343999999997</v>
      </c>
    </row>
    <row r="672" spans="1:2" x14ac:dyDescent="0.3">
      <c r="A672" s="21">
        <v>45440.078472000001</v>
      </c>
      <c r="B672" s="18">
        <v>70.021990000000002</v>
      </c>
    </row>
    <row r="673" spans="1:2" x14ac:dyDescent="0.3">
      <c r="A673" s="21">
        <v>45440.079167000004</v>
      </c>
      <c r="B673" s="18">
        <v>69.947418999999996</v>
      </c>
    </row>
    <row r="674" spans="1:2" x14ac:dyDescent="0.3">
      <c r="A674" s="21">
        <v>45440.079860999998</v>
      </c>
      <c r="B674" s="18">
        <v>70.137478000000002</v>
      </c>
    </row>
    <row r="675" spans="1:2" x14ac:dyDescent="0.3">
      <c r="A675" s="21">
        <v>45440.080556000001</v>
      </c>
      <c r="B675" s="18">
        <v>69.996521000000001</v>
      </c>
    </row>
    <row r="676" spans="1:2" x14ac:dyDescent="0.3">
      <c r="A676" s="21">
        <v>45440.081250000003</v>
      </c>
      <c r="B676" s="18">
        <v>70.102491999999998</v>
      </c>
    </row>
    <row r="677" spans="1:2" x14ac:dyDescent="0.3">
      <c r="A677" s="21">
        <v>45440.081943999998</v>
      </c>
      <c r="B677" s="18">
        <v>70.057393000000005</v>
      </c>
    </row>
    <row r="678" spans="1:2" x14ac:dyDescent="0.3">
      <c r="A678" s="21">
        <v>45440.082639</v>
      </c>
      <c r="B678" s="18">
        <v>69.997221999999994</v>
      </c>
    </row>
    <row r="679" spans="1:2" x14ac:dyDescent="0.3">
      <c r="A679" s="21">
        <v>45440.083333000002</v>
      </c>
      <c r="B679" s="18">
        <v>70.136964000000006</v>
      </c>
    </row>
    <row r="680" spans="1:2" x14ac:dyDescent="0.3">
      <c r="A680" s="21">
        <v>45440.084027999997</v>
      </c>
      <c r="B680" s="18">
        <v>70.059436000000005</v>
      </c>
    </row>
    <row r="681" spans="1:2" x14ac:dyDescent="0.3">
      <c r="A681" s="21">
        <v>45440.084722</v>
      </c>
      <c r="B681" s="18">
        <v>70.217169999999996</v>
      </c>
    </row>
    <row r="682" spans="1:2" x14ac:dyDescent="0.3">
      <c r="A682" s="21">
        <v>45440.085417000002</v>
      </c>
      <c r="B682" s="18">
        <v>69.823584999999994</v>
      </c>
    </row>
    <row r="683" spans="1:2" x14ac:dyDescent="0.3">
      <c r="A683" s="21">
        <v>45440.086110999997</v>
      </c>
      <c r="B683" s="18">
        <v>70.249448000000001</v>
      </c>
    </row>
    <row r="684" spans="1:2" x14ac:dyDescent="0.3">
      <c r="A684" s="21">
        <v>45440.086805999999</v>
      </c>
      <c r="B684" s="18">
        <v>69.900638999999998</v>
      </c>
    </row>
    <row r="685" spans="1:2" x14ac:dyDescent="0.3">
      <c r="A685" s="21">
        <v>45440.087500000001</v>
      </c>
      <c r="B685" s="18">
        <v>70.070660000000004</v>
      </c>
    </row>
    <row r="686" spans="1:2" x14ac:dyDescent="0.3">
      <c r="A686" s="21">
        <v>45440.088194000004</v>
      </c>
      <c r="B686" s="18">
        <v>70.053471000000002</v>
      </c>
    </row>
    <row r="687" spans="1:2" x14ac:dyDescent="0.3">
      <c r="A687" s="21">
        <v>45440.088888999999</v>
      </c>
      <c r="B687" s="18">
        <v>70.322944000000007</v>
      </c>
    </row>
    <row r="688" spans="1:2" x14ac:dyDescent="0.3">
      <c r="A688" s="21">
        <v>45440.089583000001</v>
      </c>
      <c r="B688" s="18">
        <v>70.056863000000007</v>
      </c>
    </row>
    <row r="689" spans="1:2" x14ac:dyDescent="0.3">
      <c r="A689" s="21">
        <v>45440.090278000003</v>
      </c>
      <c r="B689" s="18">
        <v>70.292489000000003</v>
      </c>
    </row>
    <row r="690" spans="1:2" x14ac:dyDescent="0.3">
      <c r="A690" s="21">
        <v>45440.090971999998</v>
      </c>
      <c r="B690" s="18">
        <v>70.309488000000002</v>
      </c>
    </row>
    <row r="691" spans="1:2" x14ac:dyDescent="0.3">
      <c r="A691" s="21">
        <v>45440.091667000001</v>
      </c>
      <c r="B691" s="18">
        <v>70.391231000000005</v>
      </c>
    </row>
    <row r="692" spans="1:2" x14ac:dyDescent="0.3">
      <c r="A692" s="21">
        <v>45440.092361000003</v>
      </c>
      <c r="B692" s="18">
        <v>70.072799000000003</v>
      </c>
    </row>
    <row r="693" spans="1:2" x14ac:dyDescent="0.3">
      <c r="A693" s="21">
        <v>45440.093055999998</v>
      </c>
      <c r="B693" s="18">
        <v>70.498908999999998</v>
      </c>
    </row>
    <row r="694" spans="1:2" x14ac:dyDescent="0.3">
      <c r="A694" s="21">
        <v>45440.09375</v>
      </c>
      <c r="B694" s="18">
        <v>70.173081999999994</v>
      </c>
    </row>
    <row r="695" spans="1:2" x14ac:dyDescent="0.3">
      <c r="A695" s="21">
        <v>45440.094444000002</v>
      </c>
      <c r="B695" s="18">
        <v>74.256179000000003</v>
      </c>
    </row>
    <row r="696" spans="1:2" x14ac:dyDescent="0.3">
      <c r="A696" s="21">
        <v>45440.095138999997</v>
      </c>
      <c r="B696" s="18">
        <v>75.342972000000003</v>
      </c>
    </row>
    <row r="697" spans="1:2" x14ac:dyDescent="0.3">
      <c r="A697" s="21">
        <v>45440.095832999999</v>
      </c>
      <c r="B697" s="18">
        <v>74.922554000000005</v>
      </c>
    </row>
    <row r="698" spans="1:2" x14ac:dyDescent="0.3">
      <c r="A698" s="21">
        <v>45440.096528000002</v>
      </c>
      <c r="B698" s="18">
        <v>75.167411000000001</v>
      </c>
    </row>
    <row r="699" spans="1:2" x14ac:dyDescent="0.3">
      <c r="A699" s="21">
        <v>45440.097221999997</v>
      </c>
      <c r="B699" s="18">
        <v>75.336122000000003</v>
      </c>
    </row>
    <row r="700" spans="1:2" x14ac:dyDescent="0.3">
      <c r="A700" s="21">
        <v>45440.097916999999</v>
      </c>
      <c r="B700" s="18">
        <v>75.621705000000006</v>
      </c>
    </row>
    <row r="701" spans="1:2" x14ac:dyDescent="0.3">
      <c r="A701" s="21">
        <v>45440.098611000001</v>
      </c>
      <c r="B701" s="18">
        <v>75.042359000000005</v>
      </c>
    </row>
    <row r="702" spans="1:2" x14ac:dyDescent="0.3">
      <c r="A702" s="21">
        <v>45440.099305999996</v>
      </c>
      <c r="B702" s="18">
        <v>75.281049999999993</v>
      </c>
    </row>
    <row r="703" spans="1:2" x14ac:dyDescent="0.3">
      <c r="A703" s="21">
        <v>45440.1</v>
      </c>
      <c r="B703" s="18">
        <v>74.999365999999995</v>
      </c>
    </row>
    <row r="704" spans="1:2" x14ac:dyDescent="0.3">
      <c r="A704" s="21">
        <v>45440.100694000001</v>
      </c>
      <c r="B704" s="18">
        <v>75.482076000000006</v>
      </c>
    </row>
    <row r="705" spans="1:2" x14ac:dyDescent="0.3">
      <c r="A705" s="21">
        <v>45440.101389000003</v>
      </c>
      <c r="B705" s="18">
        <v>74.814430000000002</v>
      </c>
    </row>
    <row r="706" spans="1:2" x14ac:dyDescent="0.3">
      <c r="A706" s="21">
        <v>45440.102082999998</v>
      </c>
      <c r="B706" s="18">
        <v>75.040923000000006</v>
      </c>
    </row>
    <row r="707" spans="1:2" x14ac:dyDescent="0.3">
      <c r="A707" s="21">
        <v>45440.102778</v>
      </c>
      <c r="B707" s="18">
        <v>75.497786000000005</v>
      </c>
    </row>
    <row r="708" spans="1:2" x14ac:dyDescent="0.3">
      <c r="A708" s="21">
        <v>45440.103472000003</v>
      </c>
      <c r="B708" s="18">
        <v>75.324635999999998</v>
      </c>
    </row>
    <row r="709" spans="1:2" x14ac:dyDescent="0.3">
      <c r="A709" s="21">
        <v>45440.104166999998</v>
      </c>
      <c r="B709" s="18">
        <v>75.279528999999997</v>
      </c>
    </row>
    <row r="710" spans="1:2" x14ac:dyDescent="0.3">
      <c r="A710" s="21">
        <v>45440.104861</v>
      </c>
      <c r="B710" s="18">
        <v>74.866032000000004</v>
      </c>
    </row>
    <row r="711" spans="1:2" x14ac:dyDescent="0.3">
      <c r="A711" s="21">
        <v>45440.105556000002</v>
      </c>
      <c r="B711" s="18">
        <v>75.011489999999995</v>
      </c>
    </row>
    <row r="712" spans="1:2" x14ac:dyDescent="0.3">
      <c r="A712" s="21">
        <v>45440.106249999997</v>
      </c>
      <c r="B712" s="18">
        <v>75.196647999999996</v>
      </c>
    </row>
    <row r="713" spans="1:2" x14ac:dyDescent="0.3">
      <c r="A713" s="21">
        <v>45440.106943999999</v>
      </c>
      <c r="B713" s="18">
        <v>75.315261000000007</v>
      </c>
    </row>
    <row r="714" spans="1:2" x14ac:dyDescent="0.3">
      <c r="A714" s="21">
        <v>45440.107639000002</v>
      </c>
      <c r="B714" s="18">
        <v>75.404004999999998</v>
      </c>
    </row>
    <row r="715" spans="1:2" x14ac:dyDescent="0.3">
      <c r="A715" s="21">
        <v>45440.108332999996</v>
      </c>
      <c r="B715" s="18">
        <v>75.224928000000006</v>
      </c>
    </row>
    <row r="716" spans="1:2" x14ac:dyDescent="0.3">
      <c r="A716" s="21">
        <v>45440.109027999999</v>
      </c>
      <c r="B716" s="18">
        <v>74.592245000000005</v>
      </c>
    </row>
    <row r="717" spans="1:2" x14ac:dyDescent="0.3">
      <c r="A717" s="21">
        <v>45440.109722000001</v>
      </c>
      <c r="B717" s="18">
        <v>74.792829999999995</v>
      </c>
    </row>
    <row r="718" spans="1:2" x14ac:dyDescent="0.3">
      <c r="A718" s="21">
        <v>45440.110417000004</v>
      </c>
      <c r="B718" s="18">
        <v>74.989769999999993</v>
      </c>
    </row>
    <row r="719" spans="1:2" x14ac:dyDescent="0.3">
      <c r="A719" s="21">
        <v>45440.111110999998</v>
      </c>
      <c r="B719" s="18">
        <v>74.788554000000005</v>
      </c>
    </row>
    <row r="720" spans="1:2" x14ac:dyDescent="0.3">
      <c r="A720" s="21">
        <v>45440.111806000001</v>
      </c>
      <c r="B720" s="18">
        <v>74.727086999999997</v>
      </c>
    </row>
    <row r="721" spans="1:2" x14ac:dyDescent="0.3">
      <c r="A721" s="21">
        <v>45440.112500000003</v>
      </c>
      <c r="B721" s="18">
        <v>74.919993000000005</v>
      </c>
    </row>
    <row r="722" spans="1:2" x14ac:dyDescent="0.3">
      <c r="A722" s="21">
        <v>45440.113193999998</v>
      </c>
      <c r="B722" s="18">
        <v>74.691731000000004</v>
      </c>
    </row>
    <row r="723" spans="1:2" x14ac:dyDescent="0.3">
      <c r="A723" s="21">
        <v>45440.113889</v>
      </c>
      <c r="B723" s="18">
        <v>74.893700999999993</v>
      </c>
    </row>
    <row r="724" spans="1:2" x14ac:dyDescent="0.3">
      <c r="A724" s="21">
        <v>45440.114583000002</v>
      </c>
      <c r="B724" s="18">
        <v>74.757031999999995</v>
      </c>
    </row>
    <row r="725" spans="1:2" x14ac:dyDescent="0.3">
      <c r="A725" s="21">
        <v>45440.115277999997</v>
      </c>
      <c r="B725" s="18">
        <v>74.890279000000007</v>
      </c>
    </row>
    <row r="726" spans="1:2" x14ac:dyDescent="0.3">
      <c r="A726" s="21">
        <v>45440.115972</v>
      </c>
      <c r="B726" s="18">
        <v>74.947685000000007</v>
      </c>
    </row>
    <row r="727" spans="1:2" x14ac:dyDescent="0.3">
      <c r="A727" s="21">
        <v>45440.116667000002</v>
      </c>
      <c r="B727" s="18">
        <v>74.271550000000005</v>
      </c>
    </row>
    <row r="728" spans="1:2" x14ac:dyDescent="0.3">
      <c r="A728" s="21">
        <v>45440.117360999997</v>
      </c>
      <c r="B728" s="18">
        <v>75.143022000000002</v>
      </c>
    </row>
    <row r="729" spans="1:2" x14ac:dyDescent="0.3">
      <c r="A729" s="21">
        <v>45440.118055999999</v>
      </c>
      <c r="B729" s="18">
        <v>74.541285999999999</v>
      </c>
    </row>
    <row r="730" spans="1:2" x14ac:dyDescent="0.3">
      <c r="A730" s="21">
        <v>45440.118750000001</v>
      </c>
      <c r="B730" s="18">
        <v>74.316474999999997</v>
      </c>
    </row>
    <row r="731" spans="1:2" x14ac:dyDescent="0.3">
      <c r="A731" s="21">
        <v>45440.119444000004</v>
      </c>
      <c r="B731" s="18">
        <v>74.760204999999999</v>
      </c>
    </row>
    <row r="732" spans="1:2" x14ac:dyDescent="0.3">
      <c r="A732" s="21">
        <v>45440.120138999999</v>
      </c>
      <c r="B732" s="18">
        <v>74.788595000000001</v>
      </c>
    </row>
    <row r="733" spans="1:2" x14ac:dyDescent="0.3">
      <c r="A733" s="21">
        <v>45440.120833000001</v>
      </c>
      <c r="B733" s="18">
        <v>74.792233999999993</v>
      </c>
    </row>
    <row r="734" spans="1:2" x14ac:dyDescent="0.3">
      <c r="A734" s="21">
        <v>45440.121528000003</v>
      </c>
      <c r="B734" s="18">
        <v>74.354780000000005</v>
      </c>
    </row>
    <row r="735" spans="1:2" x14ac:dyDescent="0.3">
      <c r="A735" s="21">
        <v>45440.122221999998</v>
      </c>
      <c r="B735" s="18">
        <v>74.276955000000001</v>
      </c>
    </row>
    <row r="736" spans="1:2" x14ac:dyDescent="0.3">
      <c r="A736" s="21">
        <v>45440.122917000001</v>
      </c>
      <c r="B736" s="18">
        <v>74.583192999999994</v>
      </c>
    </row>
    <row r="737" spans="1:2" x14ac:dyDescent="0.3">
      <c r="A737" s="21">
        <v>45440.123611000003</v>
      </c>
      <c r="B737" s="18">
        <v>74.268347000000006</v>
      </c>
    </row>
    <row r="738" spans="1:2" x14ac:dyDescent="0.3">
      <c r="A738" s="21">
        <v>45440.124305999998</v>
      </c>
      <c r="B738" s="18">
        <v>74.568693999999994</v>
      </c>
    </row>
    <row r="739" spans="1:2" x14ac:dyDescent="0.3">
      <c r="A739" s="21">
        <v>45440.125</v>
      </c>
      <c r="B739" s="18">
        <v>74.462360000000004</v>
      </c>
    </row>
    <row r="740" spans="1:2" x14ac:dyDescent="0.3">
      <c r="A740" s="21">
        <v>45440.125694000002</v>
      </c>
      <c r="B740" s="18">
        <v>74.460121999999998</v>
      </c>
    </row>
    <row r="741" spans="1:2" x14ac:dyDescent="0.3">
      <c r="A741" s="21">
        <v>45440.126388999997</v>
      </c>
      <c r="B741" s="18">
        <v>74.769620000000003</v>
      </c>
    </row>
    <row r="742" spans="1:2" x14ac:dyDescent="0.3">
      <c r="A742" s="21">
        <v>45440.127082999999</v>
      </c>
      <c r="B742" s="18">
        <v>74.723577000000006</v>
      </c>
    </row>
    <row r="743" spans="1:2" x14ac:dyDescent="0.3">
      <c r="A743" s="21">
        <v>45440.127778000002</v>
      </c>
      <c r="B743" s="18">
        <v>74.819181</v>
      </c>
    </row>
    <row r="744" spans="1:2" x14ac:dyDescent="0.3">
      <c r="A744" s="21">
        <v>45440.128471999997</v>
      </c>
      <c r="B744" s="18">
        <v>74.799983999999995</v>
      </c>
    </row>
    <row r="745" spans="1:2" x14ac:dyDescent="0.3">
      <c r="A745" s="21">
        <v>45440.129166999999</v>
      </c>
      <c r="B745" s="18">
        <v>74.565223000000003</v>
      </c>
    </row>
    <row r="746" spans="1:2" x14ac:dyDescent="0.3">
      <c r="A746" s="21">
        <v>45440.129861000001</v>
      </c>
      <c r="B746" s="18">
        <v>74.356098000000003</v>
      </c>
    </row>
    <row r="747" spans="1:2" x14ac:dyDescent="0.3">
      <c r="A747" s="21">
        <v>45440.130555999996</v>
      </c>
      <c r="B747" s="18">
        <v>74.666989999999998</v>
      </c>
    </row>
    <row r="748" spans="1:2" x14ac:dyDescent="0.3">
      <c r="A748" s="21">
        <v>45440.131249999999</v>
      </c>
      <c r="B748" s="18">
        <v>74.484538000000001</v>
      </c>
    </row>
    <row r="749" spans="1:2" x14ac:dyDescent="0.3">
      <c r="A749" s="21">
        <v>45440.131944000001</v>
      </c>
      <c r="B749" s="18">
        <v>74.148105999999999</v>
      </c>
    </row>
    <row r="750" spans="1:2" x14ac:dyDescent="0.3">
      <c r="A750" s="21">
        <v>45440.132639000003</v>
      </c>
      <c r="B750" s="18">
        <v>74.547016999999997</v>
      </c>
    </row>
    <row r="751" spans="1:2" x14ac:dyDescent="0.3">
      <c r="A751" s="21">
        <v>45440.133332999998</v>
      </c>
      <c r="B751" s="18">
        <v>74.266727000000003</v>
      </c>
    </row>
    <row r="752" spans="1:2" x14ac:dyDescent="0.3">
      <c r="A752" s="21">
        <v>45440.134028</v>
      </c>
      <c r="B752" s="18">
        <v>74.249915999999999</v>
      </c>
    </row>
    <row r="753" spans="1:2" x14ac:dyDescent="0.3">
      <c r="A753" s="21">
        <v>45440.134722000003</v>
      </c>
      <c r="B753" s="18">
        <v>74.270865000000001</v>
      </c>
    </row>
    <row r="754" spans="1:2" x14ac:dyDescent="0.3">
      <c r="A754" s="21">
        <v>45440.135416999998</v>
      </c>
      <c r="B754" s="18">
        <v>74.283642999999998</v>
      </c>
    </row>
    <row r="755" spans="1:2" x14ac:dyDescent="0.3">
      <c r="A755" s="21">
        <v>45440.136111</v>
      </c>
      <c r="B755" s="18">
        <v>74.362307000000001</v>
      </c>
    </row>
    <row r="756" spans="1:2" x14ac:dyDescent="0.3">
      <c r="A756" s="21">
        <v>45440.136806000002</v>
      </c>
      <c r="B756" s="18">
        <v>74.616877000000002</v>
      </c>
    </row>
    <row r="757" spans="1:2" x14ac:dyDescent="0.3">
      <c r="A757" s="21">
        <v>45440.137499999997</v>
      </c>
      <c r="B757" s="18">
        <v>74.454277000000005</v>
      </c>
    </row>
    <row r="758" spans="1:2" x14ac:dyDescent="0.3">
      <c r="A758" s="21">
        <v>45440.138193999999</v>
      </c>
      <c r="B758" s="18">
        <v>74.408707000000007</v>
      </c>
    </row>
    <row r="759" spans="1:2" x14ac:dyDescent="0.3">
      <c r="A759" s="21">
        <v>45440.138889000002</v>
      </c>
      <c r="B759" s="18">
        <v>74.355125999999998</v>
      </c>
    </row>
    <row r="760" spans="1:2" x14ac:dyDescent="0.3">
      <c r="A760" s="21">
        <v>45440.139582999996</v>
      </c>
      <c r="B760" s="18">
        <v>74.395835000000005</v>
      </c>
    </row>
    <row r="761" spans="1:2" x14ac:dyDescent="0.3">
      <c r="A761" s="21">
        <v>45440.140277999999</v>
      </c>
      <c r="B761" s="18">
        <v>74.344057000000006</v>
      </c>
    </row>
    <row r="762" spans="1:2" x14ac:dyDescent="0.3">
      <c r="A762" s="21">
        <v>45440.140972000001</v>
      </c>
      <c r="B762" s="18">
        <v>74.120298000000005</v>
      </c>
    </row>
    <row r="763" spans="1:2" x14ac:dyDescent="0.3">
      <c r="A763" s="21">
        <v>45440.141667000004</v>
      </c>
      <c r="B763" s="18">
        <v>74.129938999999993</v>
      </c>
    </row>
    <row r="764" spans="1:2" x14ac:dyDescent="0.3">
      <c r="A764" s="21">
        <v>45440.142360999998</v>
      </c>
      <c r="B764" s="18">
        <v>74.323475000000002</v>
      </c>
    </row>
    <row r="765" spans="1:2" x14ac:dyDescent="0.3">
      <c r="A765" s="21">
        <v>45440.143056000001</v>
      </c>
      <c r="B765" s="18">
        <v>74.083247</v>
      </c>
    </row>
    <row r="766" spans="1:2" x14ac:dyDescent="0.3">
      <c r="A766" s="21">
        <v>45440.143750000003</v>
      </c>
      <c r="B766" s="18">
        <v>74.575963000000002</v>
      </c>
    </row>
    <row r="767" spans="1:2" x14ac:dyDescent="0.3">
      <c r="A767" s="21">
        <v>45440.144443999998</v>
      </c>
      <c r="B767" s="18">
        <v>74.243831999999998</v>
      </c>
    </row>
    <row r="768" spans="1:2" x14ac:dyDescent="0.3">
      <c r="A768" s="21">
        <v>45440.145139</v>
      </c>
      <c r="B768" s="18">
        <v>74.654110000000003</v>
      </c>
    </row>
    <row r="769" spans="1:2" x14ac:dyDescent="0.3">
      <c r="A769" s="21">
        <v>45440.145833000002</v>
      </c>
      <c r="B769" s="18">
        <v>74.274862999999996</v>
      </c>
    </row>
    <row r="770" spans="1:2" x14ac:dyDescent="0.3">
      <c r="A770" s="21">
        <v>45440.146527999997</v>
      </c>
      <c r="B770" s="18">
        <v>74.249183000000002</v>
      </c>
    </row>
    <row r="771" spans="1:2" x14ac:dyDescent="0.3">
      <c r="A771" s="21">
        <v>45440.147222</v>
      </c>
      <c r="B771" s="18">
        <v>74.144734999999997</v>
      </c>
    </row>
    <row r="772" spans="1:2" x14ac:dyDescent="0.3">
      <c r="A772" s="21">
        <v>45440.147917000002</v>
      </c>
      <c r="B772" s="18">
        <v>74.306168999999997</v>
      </c>
    </row>
    <row r="773" spans="1:2" x14ac:dyDescent="0.3">
      <c r="A773" s="21">
        <v>45440.148610999997</v>
      </c>
      <c r="B773" s="18">
        <v>74.490268</v>
      </c>
    </row>
    <row r="774" spans="1:2" x14ac:dyDescent="0.3">
      <c r="A774" s="21">
        <v>45440.149305999999</v>
      </c>
      <c r="B774" s="18">
        <v>74.435738999999998</v>
      </c>
    </row>
    <row r="775" spans="1:2" x14ac:dyDescent="0.3">
      <c r="A775" s="21">
        <v>45440.15</v>
      </c>
      <c r="B775" s="18">
        <v>74.313643999999996</v>
      </c>
    </row>
    <row r="776" spans="1:2" x14ac:dyDescent="0.3">
      <c r="A776" s="21">
        <v>45440.150694000004</v>
      </c>
      <c r="B776" s="18">
        <v>74.294884999999994</v>
      </c>
    </row>
    <row r="777" spans="1:2" x14ac:dyDescent="0.3">
      <c r="A777" s="21">
        <v>45440.151388999999</v>
      </c>
      <c r="B777" s="18">
        <v>74.519167999999993</v>
      </c>
    </row>
    <row r="778" spans="1:2" x14ac:dyDescent="0.3">
      <c r="A778" s="21">
        <v>45440.152083000001</v>
      </c>
      <c r="B778" s="18">
        <v>74.360906999999997</v>
      </c>
    </row>
    <row r="779" spans="1:2" x14ac:dyDescent="0.3">
      <c r="A779" s="21">
        <v>45440.152778000003</v>
      </c>
      <c r="B779" s="18">
        <v>74.081733999999997</v>
      </c>
    </row>
    <row r="780" spans="1:2" x14ac:dyDescent="0.3">
      <c r="A780" s="21">
        <v>45440.153471999998</v>
      </c>
      <c r="B780" s="18">
        <v>74.213655000000003</v>
      </c>
    </row>
    <row r="781" spans="1:2" x14ac:dyDescent="0.3">
      <c r="A781" s="21">
        <v>45440.154167000001</v>
      </c>
      <c r="B781" s="18">
        <v>73.996579999999994</v>
      </c>
    </row>
    <row r="782" spans="1:2" x14ac:dyDescent="0.3">
      <c r="A782" s="21">
        <v>45440.154861000003</v>
      </c>
      <c r="B782" s="18">
        <v>74.396523999999999</v>
      </c>
    </row>
    <row r="783" spans="1:2" x14ac:dyDescent="0.3">
      <c r="A783" s="21">
        <v>45440.155555999998</v>
      </c>
      <c r="B783" s="18">
        <v>74.156794000000005</v>
      </c>
    </row>
    <row r="784" spans="1:2" x14ac:dyDescent="0.3">
      <c r="A784" s="21">
        <v>45440.15625</v>
      </c>
      <c r="B784" s="18">
        <v>74.500388999999998</v>
      </c>
    </row>
    <row r="785" spans="1:2" x14ac:dyDescent="0.3">
      <c r="A785" s="21">
        <v>45440.156944000002</v>
      </c>
      <c r="B785" s="18">
        <v>73.972845000000007</v>
      </c>
    </row>
    <row r="786" spans="1:2" x14ac:dyDescent="0.3">
      <c r="A786" s="21">
        <v>45440.157638999997</v>
      </c>
      <c r="B786" s="18">
        <v>73.982400999999996</v>
      </c>
    </row>
    <row r="787" spans="1:2" x14ac:dyDescent="0.3">
      <c r="A787" s="21">
        <v>45440.158332999999</v>
      </c>
      <c r="B787" s="18">
        <v>74.60951</v>
      </c>
    </row>
    <row r="788" spans="1:2" x14ac:dyDescent="0.3">
      <c r="A788" s="21">
        <v>45440.159028000002</v>
      </c>
      <c r="B788" s="18">
        <v>73.816160999999994</v>
      </c>
    </row>
    <row r="789" spans="1:2" x14ac:dyDescent="0.3">
      <c r="A789" s="21">
        <v>45440.159721999997</v>
      </c>
      <c r="B789" s="18">
        <v>73.890270999999998</v>
      </c>
    </row>
    <row r="790" spans="1:2" x14ac:dyDescent="0.3">
      <c r="A790" s="21">
        <v>45440.160416999999</v>
      </c>
      <c r="B790" s="18">
        <v>74.270253999999994</v>
      </c>
    </row>
    <row r="791" spans="1:2" x14ac:dyDescent="0.3">
      <c r="A791" s="21">
        <v>45440.161111000001</v>
      </c>
      <c r="B791" s="18">
        <v>73.981725999999995</v>
      </c>
    </row>
    <row r="792" spans="1:2" x14ac:dyDescent="0.3">
      <c r="A792" s="21">
        <v>45440.161805999996</v>
      </c>
      <c r="B792" s="18">
        <v>74.376288000000002</v>
      </c>
    </row>
    <row r="793" spans="1:2" x14ac:dyDescent="0.3">
      <c r="A793" s="21">
        <v>45440.162499999999</v>
      </c>
      <c r="B793" s="18">
        <v>74.187291000000002</v>
      </c>
    </row>
    <row r="794" spans="1:2" x14ac:dyDescent="0.3">
      <c r="A794" s="21">
        <v>45440.163194000001</v>
      </c>
      <c r="B794" s="18">
        <v>74.585111999999995</v>
      </c>
    </row>
    <row r="795" spans="1:2" x14ac:dyDescent="0.3">
      <c r="A795" s="21">
        <v>45440.163889000003</v>
      </c>
      <c r="B795" s="18">
        <v>74.287926999999996</v>
      </c>
    </row>
    <row r="796" spans="1:2" x14ac:dyDescent="0.3">
      <c r="A796" s="21">
        <v>45440.164582999998</v>
      </c>
      <c r="B796" s="18">
        <v>74.213881999999998</v>
      </c>
    </row>
    <row r="797" spans="1:2" x14ac:dyDescent="0.3">
      <c r="A797" s="21">
        <v>45440.165278</v>
      </c>
      <c r="B797" s="18">
        <v>74.006699999999995</v>
      </c>
    </row>
    <row r="798" spans="1:2" x14ac:dyDescent="0.3">
      <c r="A798" s="21">
        <v>45440.165972000003</v>
      </c>
      <c r="B798" s="18">
        <v>74.033423999999997</v>
      </c>
    </row>
    <row r="799" spans="1:2" x14ac:dyDescent="0.3">
      <c r="A799" s="21">
        <v>45440.166666999998</v>
      </c>
      <c r="B799" s="18">
        <v>74.634766999999997</v>
      </c>
    </row>
    <row r="800" spans="1:2" x14ac:dyDescent="0.3">
      <c r="A800" s="21">
        <v>45440.167361</v>
      </c>
      <c r="B800" s="18">
        <v>74.141418000000002</v>
      </c>
    </row>
    <row r="801" spans="1:2" x14ac:dyDescent="0.3">
      <c r="A801" s="21">
        <v>45440.168056000002</v>
      </c>
      <c r="B801" s="18">
        <v>74.002216000000004</v>
      </c>
    </row>
    <row r="802" spans="1:2" x14ac:dyDescent="0.3">
      <c r="A802" s="21">
        <v>45440.168749999997</v>
      </c>
      <c r="B802" s="18">
        <v>74.092690000000005</v>
      </c>
    </row>
    <row r="803" spans="1:2" x14ac:dyDescent="0.3">
      <c r="A803" s="21">
        <v>45440.169443999999</v>
      </c>
      <c r="B803" s="18">
        <v>74.278086999999999</v>
      </c>
    </row>
    <row r="804" spans="1:2" x14ac:dyDescent="0.3">
      <c r="A804" s="21">
        <v>45440.170139000002</v>
      </c>
      <c r="B804" s="18">
        <v>74.184483999999998</v>
      </c>
    </row>
    <row r="805" spans="1:2" x14ac:dyDescent="0.3">
      <c r="A805" s="21">
        <v>45440.170832999996</v>
      </c>
      <c r="B805" s="18">
        <v>74.232555000000005</v>
      </c>
    </row>
    <row r="806" spans="1:2" x14ac:dyDescent="0.3">
      <c r="A806" s="21">
        <v>45440.171527999999</v>
      </c>
      <c r="B806" s="18">
        <v>74.168052000000003</v>
      </c>
    </row>
    <row r="807" spans="1:2" x14ac:dyDescent="0.3">
      <c r="A807" s="21">
        <v>45440.172222000001</v>
      </c>
      <c r="B807" s="18">
        <v>74.214588000000006</v>
      </c>
    </row>
    <row r="808" spans="1:2" x14ac:dyDescent="0.3">
      <c r="A808" s="21">
        <v>45440.172917000004</v>
      </c>
      <c r="B808" s="18">
        <v>74.460515999999998</v>
      </c>
    </row>
    <row r="809" spans="1:2" x14ac:dyDescent="0.3">
      <c r="A809" s="21">
        <v>45440.173610999998</v>
      </c>
      <c r="B809" s="18">
        <v>74.315073999999996</v>
      </c>
    </row>
    <row r="810" spans="1:2" x14ac:dyDescent="0.3">
      <c r="A810" s="21">
        <v>45440.174306000001</v>
      </c>
      <c r="B810" s="18">
        <v>74.569057000000001</v>
      </c>
    </row>
    <row r="811" spans="1:2" x14ac:dyDescent="0.3">
      <c r="A811" s="21">
        <v>45440.175000000003</v>
      </c>
      <c r="B811" s="18">
        <v>73.919557999999995</v>
      </c>
    </row>
    <row r="812" spans="1:2" x14ac:dyDescent="0.3">
      <c r="A812" s="21">
        <v>45440.175693999998</v>
      </c>
      <c r="B812" s="18">
        <v>73.833698999999996</v>
      </c>
    </row>
    <row r="813" spans="1:2" x14ac:dyDescent="0.3">
      <c r="A813" s="21">
        <v>45440.176389</v>
      </c>
      <c r="B813" s="18">
        <v>73.828844000000004</v>
      </c>
    </row>
    <row r="814" spans="1:2" x14ac:dyDescent="0.3">
      <c r="A814" s="21">
        <v>45440.177083000002</v>
      </c>
      <c r="B814" s="18">
        <v>74.270645000000002</v>
      </c>
    </row>
    <row r="815" spans="1:2" x14ac:dyDescent="0.3">
      <c r="A815" s="21">
        <v>45440.177777999997</v>
      </c>
      <c r="B815" s="18">
        <v>77.996908000000005</v>
      </c>
    </row>
    <row r="816" spans="1:2" x14ac:dyDescent="0.3">
      <c r="A816" s="21">
        <v>45440.178472</v>
      </c>
      <c r="B816" s="18">
        <v>78.799257999999995</v>
      </c>
    </row>
    <row r="817" spans="1:2" x14ac:dyDescent="0.3">
      <c r="A817" s="21">
        <v>45440.179167000002</v>
      </c>
      <c r="B817" s="18">
        <v>79.231713999999997</v>
      </c>
    </row>
    <row r="818" spans="1:2" x14ac:dyDescent="0.3">
      <c r="A818" s="21">
        <v>45440.179860999997</v>
      </c>
      <c r="B818" s="18">
        <v>78.941372999999999</v>
      </c>
    </row>
    <row r="819" spans="1:2" x14ac:dyDescent="0.3">
      <c r="A819" s="21">
        <v>45440.180555999999</v>
      </c>
      <c r="B819" s="18">
        <v>79.035034999999993</v>
      </c>
    </row>
    <row r="820" spans="1:2" x14ac:dyDescent="0.3">
      <c r="A820" s="21">
        <v>45440.181250000001</v>
      </c>
      <c r="B820" s="18">
        <v>78.958967999999999</v>
      </c>
    </row>
    <row r="821" spans="1:2" x14ac:dyDescent="0.3">
      <c r="A821" s="21">
        <v>45440.181944000004</v>
      </c>
      <c r="B821" s="18">
        <v>78.955489</v>
      </c>
    </row>
    <row r="822" spans="1:2" x14ac:dyDescent="0.3">
      <c r="A822" s="21">
        <v>45440.182638999999</v>
      </c>
      <c r="B822" s="18">
        <v>79.058794000000006</v>
      </c>
    </row>
    <row r="823" spans="1:2" x14ac:dyDescent="0.3">
      <c r="A823" s="21">
        <v>45440.183333000001</v>
      </c>
      <c r="B823" s="18">
        <v>79.215923000000004</v>
      </c>
    </row>
    <row r="824" spans="1:2" x14ac:dyDescent="0.3">
      <c r="A824" s="21">
        <v>45440.184028000003</v>
      </c>
      <c r="B824" s="18">
        <v>78.985145000000003</v>
      </c>
    </row>
    <row r="825" spans="1:2" x14ac:dyDescent="0.3">
      <c r="A825" s="21">
        <v>45440.184721999998</v>
      </c>
      <c r="B825" s="18">
        <v>79.052806000000004</v>
      </c>
    </row>
    <row r="826" spans="1:2" x14ac:dyDescent="0.3">
      <c r="A826" s="21">
        <v>45440.185417000001</v>
      </c>
      <c r="B826" s="18">
        <v>78.906800000000004</v>
      </c>
    </row>
    <row r="827" spans="1:2" x14ac:dyDescent="0.3">
      <c r="A827" s="21">
        <v>45440.186111000003</v>
      </c>
      <c r="B827" s="18">
        <v>78.826829000000004</v>
      </c>
    </row>
    <row r="828" spans="1:2" x14ac:dyDescent="0.3">
      <c r="A828" s="21">
        <v>45440.186805999998</v>
      </c>
      <c r="B828" s="18">
        <v>78.705860999999999</v>
      </c>
    </row>
    <row r="829" spans="1:2" x14ac:dyDescent="0.3">
      <c r="A829" s="21">
        <v>45440.1875</v>
      </c>
      <c r="B829" s="18">
        <v>78.903684999999996</v>
      </c>
    </row>
    <row r="830" spans="1:2" x14ac:dyDescent="0.3">
      <c r="A830" s="21">
        <v>45440.188194000002</v>
      </c>
      <c r="B830" s="18">
        <v>78.912930000000003</v>
      </c>
    </row>
    <row r="831" spans="1:2" x14ac:dyDescent="0.3">
      <c r="A831" s="21">
        <v>45440.188888999997</v>
      </c>
      <c r="B831" s="18">
        <v>79.049988999999997</v>
      </c>
    </row>
    <row r="832" spans="1:2" x14ac:dyDescent="0.3">
      <c r="A832" s="21">
        <v>45440.189582999999</v>
      </c>
      <c r="B832" s="18">
        <v>78.493236999999993</v>
      </c>
    </row>
    <row r="833" spans="1:2" x14ac:dyDescent="0.3">
      <c r="A833" s="21">
        <v>45440.190278000002</v>
      </c>
      <c r="B833" s="18">
        <v>79.053725999999997</v>
      </c>
    </row>
    <row r="834" spans="1:2" x14ac:dyDescent="0.3">
      <c r="A834" s="21">
        <v>45440.190971999997</v>
      </c>
      <c r="B834" s="18">
        <v>78.576943999999997</v>
      </c>
    </row>
    <row r="835" spans="1:2" x14ac:dyDescent="0.3">
      <c r="A835" s="21">
        <v>45440.191666999999</v>
      </c>
      <c r="B835" s="18">
        <v>78.679533000000006</v>
      </c>
    </row>
    <row r="836" spans="1:2" x14ac:dyDescent="0.3">
      <c r="A836" s="21">
        <v>45440.192361000001</v>
      </c>
      <c r="B836" s="18">
        <v>79.041095999999996</v>
      </c>
    </row>
    <row r="837" spans="1:2" x14ac:dyDescent="0.3">
      <c r="A837" s="21">
        <v>45440.193055999996</v>
      </c>
      <c r="B837" s="18">
        <v>78.788776999999996</v>
      </c>
    </row>
    <row r="838" spans="1:2" x14ac:dyDescent="0.3">
      <c r="A838" s="21">
        <v>45440.193749999999</v>
      </c>
      <c r="B838" s="18">
        <v>78.904561000000001</v>
      </c>
    </row>
    <row r="839" spans="1:2" x14ac:dyDescent="0.3">
      <c r="A839" s="21">
        <v>45440.194444000001</v>
      </c>
      <c r="B839" s="18">
        <v>78.603357000000003</v>
      </c>
    </row>
    <row r="840" spans="1:2" x14ac:dyDescent="0.3">
      <c r="A840" s="21">
        <v>45440.195139000003</v>
      </c>
      <c r="B840" s="18">
        <v>78.582496000000006</v>
      </c>
    </row>
    <row r="841" spans="1:2" x14ac:dyDescent="0.3">
      <c r="A841" s="21">
        <v>45440.195832999998</v>
      </c>
      <c r="B841" s="18">
        <v>78.613853000000006</v>
      </c>
    </row>
    <row r="842" spans="1:2" x14ac:dyDescent="0.3">
      <c r="A842" s="21">
        <v>45440.196528</v>
      </c>
      <c r="B842" s="18">
        <v>78.586477000000002</v>
      </c>
    </row>
    <row r="843" spans="1:2" x14ac:dyDescent="0.3">
      <c r="A843" s="21">
        <v>45440.197222000003</v>
      </c>
      <c r="B843" s="18">
        <v>78.681466</v>
      </c>
    </row>
    <row r="844" spans="1:2" x14ac:dyDescent="0.3">
      <c r="A844" s="21">
        <v>45440.197916999998</v>
      </c>
      <c r="B844" s="18">
        <v>78.581005000000005</v>
      </c>
    </row>
    <row r="845" spans="1:2" x14ac:dyDescent="0.3">
      <c r="A845" s="21">
        <v>45440.198611</v>
      </c>
      <c r="B845" s="18">
        <v>78.401009000000002</v>
      </c>
    </row>
    <row r="846" spans="1:2" x14ac:dyDescent="0.3">
      <c r="A846" s="21">
        <v>45440.199306000002</v>
      </c>
      <c r="B846" s="18">
        <v>78.536496</v>
      </c>
    </row>
    <row r="847" spans="1:2" x14ac:dyDescent="0.3">
      <c r="A847" s="21">
        <v>45440.2</v>
      </c>
      <c r="B847" s="18">
        <v>78.208359000000002</v>
      </c>
    </row>
    <row r="848" spans="1:2" x14ac:dyDescent="0.3">
      <c r="A848" s="21">
        <v>45440.200693999999</v>
      </c>
      <c r="B848" s="18">
        <v>78.701835000000003</v>
      </c>
    </row>
    <row r="849" spans="1:2" x14ac:dyDescent="0.3">
      <c r="A849" s="21">
        <v>45440.201389000002</v>
      </c>
      <c r="B849" s="18">
        <v>78.317464999999999</v>
      </c>
    </row>
    <row r="850" spans="1:2" x14ac:dyDescent="0.3">
      <c r="A850" s="21">
        <v>45440.202082999996</v>
      </c>
      <c r="B850" s="18">
        <v>78.517043999999999</v>
      </c>
    </row>
    <row r="851" spans="1:2" x14ac:dyDescent="0.3">
      <c r="A851" s="21">
        <v>45440.202777999999</v>
      </c>
      <c r="B851" s="18">
        <v>78.581458999999995</v>
      </c>
    </row>
    <row r="852" spans="1:2" x14ac:dyDescent="0.3">
      <c r="A852" s="21">
        <v>45440.203472000001</v>
      </c>
      <c r="B852" s="18">
        <v>78.560061000000005</v>
      </c>
    </row>
    <row r="853" spans="1:2" x14ac:dyDescent="0.3">
      <c r="A853" s="21">
        <v>45440.204167000004</v>
      </c>
      <c r="B853" s="18">
        <v>78.690349999999995</v>
      </c>
    </row>
    <row r="854" spans="1:2" x14ac:dyDescent="0.3">
      <c r="A854" s="21">
        <v>45440.204860999998</v>
      </c>
      <c r="B854" s="18">
        <v>78.149956000000003</v>
      </c>
    </row>
    <row r="855" spans="1:2" x14ac:dyDescent="0.3">
      <c r="A855" s="21">
        <v>45440.205556000001</v>
      </c>
      <c r="B855" s="18">
        <v>78.107803000000004</v>
      </c>
    </row>
    <row r="856" spans="1:2" x14ac:dyDescent="0.3">
      <c r="A856" s="21">
        <v>45440.206250000003</v>
      </c>
      <c r="B856" s="18">
        <v>78.314403999999996</v>
      </c>
    </row>
    <row r="857" spans="1:2" x14ac:dyDescent="0.3">
      <c r="A857" s="21">
        <v>45440.206943999998</v>
      </c>
      <c r="B857" s="18">
        <v>78.517497000000006</v>
      </c>
    </row>
    <row r="858" spans="1:2" x14ac:dyDescent="0.3">
      <c r="A858" s="21">
        <v>45440.207639</v>
      </c>
      <c r="B858" s="18">
        <v>78.190766999999994</v>
      </c>
    </row>
    <row r="859" spans="1:2" x14ac:dyDescent="0.3">
      <c r="A859" s="21">
        <v>45440.208333000002</v>
      </c>
      <c r="B859" s="18">
        <v>78.209889000000004</v>
      </c>
    </row>
    <row r="860" spans="1:2" x14ac:dyDescent="0.3">
      <c r="A860" s="21">
        <v>45440.209027999997</v>
      </c>
      <c r="B860" s="18">
        <v>78.348371</v>
      </c>
    </row>
    <row r="861" spans="1:2" x14ac:dyDescent="0.3">
      <c r="A861" s="21">
        <v>45440.209722</v>
      </c>
      <c r="B861" s="18">
        <v>78.266306</v>
      </c>
    </row>
    <row r="862" spans="1:2" x14ac:dyDescent="0.3">
      <c r="A862" s="21">
        <v>45440.210417000002</v>
      </c>
      <c r="B862" s="18">
        <v>78.287368999999998</v>
      </c>
    </row>
    <row r="863" spans="1:2" x14ac:dyDescent="0.3">
      <c r="A863" s="21">
        <v>45440.211110999997</v>
      </c>
      <c r="B863" s="18">
        <v>78.115443999999997</v>
      </c>
    </row>
    <row r="864" spans="1:2" x14ac:dyDescent="0.3">
      <c r="A864" s="21">
        <v>45440.211805999999</v>
      </c>
      <c r="B864" s="18">
        <v>78.244427000000002</v>
      </c>
    </row>
    <row r="865" spans="1:2" x14ac:dyDescent="0.3">
      <c r="A865" s="21">
        <v>45440.212500000001</v>
      </c>
      <c r="B865" s="18">
        <v>78.079209000000006</v>
      </c>
    </row>
    <row r="866" spans="1:2" x14ac:dyDescent="0.3">
      <c r="A866" s="21">
        <v>45440.213194000004</v>
      </c>
      <c r="B866" s="18">
        <v>78.161899000000005</v>
      </c>
    </row>
    <row r="867" spans="1:2" x14ac:dyDescent="0.3">
      <c r="A867" s="21">
        <v>45440.213888999999</v>
      </c>
      <c r="B867" s="18">
        <v>78.415311000000003</v>
      </c>
    </row>
    <row r="868" spans="1:2" x14ac:dyDescent="0.3">
      <c r="A868" s="21">
        <v>45440.214583000001</v>
      </c>
      <c r="B868" s="18">
        <v>78.243729000000002</v>
      </c>
    </row>
    <row r="869" spans="1:2" x14ac:dyDescent="0.3">
      <c r="A869" s="21">
        <v>45440.215278000003</v>
      </c>
      <c r="B869" s="18">
        <v>78.487786</v>
      </c>
    </row>
    <row r="870" spans="1:2" x14ac:dyDescent="0.3">
      <c r="A870" s="21">
        <v>45440.215971999998</v>
      </c>
      <c r="B870" s="18">
        <v>78.154769000000002</v>
      </c>
    </row>
    <row r="871" spans="1:2" x14ac:dyDescent="0.3">
      <c r="A871" s="21">
        <v>45440.216667000001</v>
      </c>
      <c r="B871" s="18">
        <v>78.654300000000006</v>
      </c>
    </row>
    <row r="872" spans="1:2" x14ac:dyDescent="0.3">
      <c r="A872" s="21">
        <v>45440.217361000003</v>
      </c>
      <c r="B872" s="18">
        <v>78.239669000000006</v>
      </c>
    </row>
    <row r="873" spans="1:2" x14ac:dyDescent="0.3">
      <c r="A873" s="21">
        <v>45440.218055999998</v>
      </c>
      <c r="B873" s="18">
        <v>78.173792000000006</v>
      </c>
    </row>
    <row r="874" spans="1:2" x14ac:dyDescent="0.3">
      <c r="A874" s="21">
        <v>45440.21875</v>
      </c>
      <c r="B874" s="18">
        <v>77.849459999999993</v>
      </c>
    </row>
    <row r="875" spans="1:2" x14ac:dyDescent="0.3">
      <c r="A875" s="21">
        <v>45440.219444000002</v>
      </c>
      <c r="B875" s="18">
        <v>78.037418000000002</v>
      </c>
    </row>
    <row r="876" spans="1:2" x14ac:dyDescent="0.3">
      <c r="A876" s="21">
        <v>45440.220138999997</v>
      </c>
      <c r="B876" s="18">
        <v>77.964205000000007</v>
      </c>
    </row>
    <row r="877" spans="1:2" x14ac:dyDescent="0.3">
      <c r="A877" s="21">
        <v>45440.220832999999</v>
      </c>
      <c r="B877" s="18">
        <v>78.223500000000001</v>
      </c>
    </row>
    <row r="878" spans="1:2" x14ac:dyDescent="0.3">
      <c r="A878" s="21">
        <v>45440.221528000002</v>
      </c>
      <c r="B878" s="18">
        <v>77.831643999999997</v>
      </c>
    </row>
    <row r="879" spans="1:2" x14ac:dyDescent="0.3">
      <c r="A879" s="21">
        <v>45440.222221999997</v>
      </c>
      <c r="B879" s="18">
        <v>78.220205000000007</v>
      </c>
    </row>
    <row r="880" spans="1:2" x14ac:dyDescent="0.3">
      <c r="A880" s="21">
        <v>45440.222916999999</v>
      </c>
      <c r="B880" s="18">
        <v>78.245918000000003</v>
      </c>
    </row>
    <row r="881" spans="1:2" x14ac:dyDescent="0.3">
      <c r="A881" s="21">
        <v>45440.223611000001</v>
      </c>
      <c r="B881" s="18">
        <v>78.463407000000004</v>
      </c>
    </row>
    <row r="882" spans="1:2" x14ac:dyDescent="0.3">
      <c r="A882" s="21">
        <v>45440.224305999996</v>
      </c>
      <c r="B882" s="18">
        <v>77.998588999999996</v>
      </c>
    </row>
    <row r="883" spans="1:2" x14ac:dyDescent="0.3">
      <c r="A883" s="21">
        <v>45440.224999999999</v>
      </c>
      <c r="B883" s="18">
        <v>78.101703999999998</v>
      </c>
    </row>
    <row r="884" spans="1:2" x14ac:dyDescent="0.3">
      <c r="A884" s="21">
        <v>45440.225694000001</v>
      </c>
      <c r="B884" s="18">
        <v>78.064992000000004</v>
      </c>
    </row>
    <row r="885" spans="1:2" x14ac:dyDescent="0.3">
      <c r="A885" s="21">
        <v>45440.226389000003</v>
      </c>
      <c r="B885" s="18">
        <v>78.258356000000006</v>
      </c>
    </row>
    <row r="886" spans="1:2" x14ac:dyDescent="0.3">
      <c r="A886" s="21">
        <v>45440.227082999998</v>
      </c>
      <c r="B886" s="18">
        <v>78.215580000000003</v>
      </c>
    </row>
    <row r="887" spans="1:2" x14ac:dyDescent="0.3">
      <c r="A887" s="21">
        <v>45440.227778</v>
      </c>
      <c r="B887" s="18">
        <v>77.981886000000003</v>
      </c>
    </row>
    <row r="888" spans="1:2" x14ac:dyDescent="0.3">
      <c r="A888" s="21">
        <v>45440.228472000003</v>
      </c>
      <c r="B888" s="18">
        <v>77.799588</v>
      </c>
    </row>
    <row r="889" spans="1:2" x14ac:dyDescent="0.3">
      <c r="A889" s="21">
        <v>45440.229166999998</v>
      </c>
      <c r="B889" s="18">
        <v>78.316415000000006</v>
      </c>
    </row>
    <row r="890" spans="1:2" x14ac:dyDescent="0.3">
      <c r="A890" s="21">
        <v>45440.229861</v>
      </c>
      <c r="B890" s="18">
        <v>78.250697000000002</v>
      </c>
    </row>
    <row r="891" spans="1:2" x14ac:dyDescent="0.3">
      <c r="A891" s="21">
        <v>45440.230556000002</v>
      </c>
      <c r="B891" s="18">
        <v>78.037719999999993</v>
      </c>
    </row>
    <row r="892" spans="1:2" x14ac:dyDescent="0.3">
      <c r="A892" s="21">
        <v>45440.231249999997</v>
      </c>
      <c r="B892" s="18">
        <v>77.847806000000006</v>
      </c>
    </row>
    <row r="893" spans="1:2" x14ac:dyDescent="0.3">
      <c r="A893" s="21">
        <v>45440.231943999999</v>
      </c>
      <c r="B893" s="18">
        <v>78.266366000000005</v>
      </c>
    </row>
    <row r="894" spans="1:2" x14ac:dyDescent="0.3">
      <c r="A894" s="21">
        <v>45440.232639000002</v>
      </c>
      <c r="B894" s="18">
        <v>78.231121000000002</v>
      </c>
    </row>
    <row r="895" spans="1:2" x14ac:dyDescent="0.3">
      <c r="A895" s="21">
        <v>45440.233332999996</v>
      </c>
      <c r="B895" s="18">
        <v>78.11909</v>
      </c>
    </row>
    <row r="896" spans="1:2" x14ac:dyDescent="0.3">
      <c r="A896" s="21">
        <v>45440.234027999999</v>
      </c>
      <c r="B896" s="18">
        <v>77.881118999999998</v>
      </c>
    </row>
    <row r="897" spans="1:2" x14ac:dyDescent="0.3">
      <c r="A897" s="21">
        <v>45440.234722000001</v>
      </c>
      <c r="B897" s="18">
        <v>78.198474000000004</v>
      </c>
    </row>
    <row r="898" spans="1:2" x14ac:dyDescent="0.3">
      <c r="A898" s="21">
        <v>45440.235417000004</v>
      </c>
      <c r="B898" s="18">
        <v>77.833637999999993</v>
      </c>
    </row>
    <row r="899" spans="1:2" x14ac:dyDescent="0.3">
      <c r="A899" s="21">
        <v>45440.236110999998</v>
      </c>
      <c r="B899" s="18">
        <v>78.141165999999998</v>
      </c>
    </row>
    <row r="900" spans="1:2" x14ac:dyDescent="0.3">
      <c r="A900" s="21">
        <v>45440.236806000001</v>
      </c>
      <c r="B900" s="18">
        <v>78.095872</v>
      </c>
    </row>
    <row r="901" spans="1:2" x14ac:dyDescent="0.3">
      <c r="A901" s="21">
        <v>45440.237500000003</v>
      </c>
      <c r="B901" s="18">
        <v>78.190040999999994</v>
      </c>
    </row>
    <row r="902" spans="1:2" x14ac:dyDescent="0.3">
      <c r="A902" s="21">
        <v>45440.238193999998</v>
      </c>
      <c r="B902" s="18">
        <v>78.308949999999996</v>
      </c>
    </row>
    <row r="903" spans="1:2" x14ac:dyDescent="0.3">
      <c r="A903" s="21">
        <v>45440.238889</v>
      </c>
      <c r="B903" s="18">
        <v>78.221423000000001</v>
      </c>
    </row>
    <row r="904" spans="1:2" x14ac:dyDescent="0.3">
      <c r="A904" s="21">
        <v>45440.239583000002</v>
      </c>
      <c r="B904" s="18">
        <v>78.065931000000006</v>
      </c>
    </row>
    <row r="905" spans="1:2" x14ac:dyDescent="0.3">
      <c r="A905" s="21">
        <v>45440.240277999997</v>
      </c>
      <c r="B905" s="18">
        <v>77.905699999999996</v>
      </c>
    </row>
    <row r="906" spans="1:2" x14ac:dyDescent="0.3">
      <c r="A906" s="21">
        <v>45440.240972</v>
      </c>
      <c r="B906" s="18">
        <v>78.014519000000007</v>
      </c>
    </row>
    <row r="907" spans="1:2" x14ac:dyDescent="0.3">
      <c r="A907" s="21">
        <v>45440.241667000002</v>
      </c>
      <c r="B907" s="18">
        <v>77.889336</v>
      </c>
    </row>
    <row r="908" spans="1:2" x14ac:dyDescent="0.3">
      <c r="A908" s="21">
        <v>45440.242360999997</v>
      </c>
      <c r="B908" s="18">
        <v>77.890489000000002</v>
      </c>
    </row>
    <row r="909" spans="1:2" x14ac:dyDescent="0.3">
      <c r="A909" s="21">
        <v>45440.243055999999</v>
      </c>
      <c r="B909" s="18">
        <v>78.243763000000001</v>
      </c>
    </row>
    <row r="910" spans="1:2" x14ac:dyDescent="0.3">
      <c r="A910" s="21">
        <v>45440.243750000001</v>
      </c>
      <c r="B910" s="18">
        <v>78.601005999999998</v>
      </c>
    </row>
    <row r="911" spans="1:2" x14ac:dyDescent="0.3">
      <c r="A911" s="21">
        <v>45440.244444000004</v>
      </c>
      <c r="B911" s="18">
        <v>78.140659999999997</v>
      </c>
    </row>
    <row r="912" spans="1:2" x14ac:dyDescent="0.3">
      <c r="A912" s="21">
        <v>45440.245138999999</v>
      </c>
      <c r="B912" s="18">
        <v>78.129204999999999</v>
      </c>
    </row>
    <row r="913" spans="1:2" x14ac:dyDescent="0.3">
      <c r="A913" s="21">
        <v>45440.245833000001</v>
      </c>
      <c r="B913" s="18">
        <v>78.584936999999996</v>
      </c>
    </row>
    <row r="914" spans="1:2" x14ac:dyDescent="0.3">
      <c r="A914" s="21">
        <v>45440.246528000003</v>
      </c>
      <c r="B914" s="18">
        <v>78.663267000000005</v>
      </c>
    </row>
    <row r="915" spans="1:2" x14ac:dyDescent="0.3">
      <c r="A915" s="21">
        <v>45440.247221999998</v>
      </c>
      <c r="B915" s="18">
        <v>78.268127000000007</v>
      </c>
    </row>
    <row r="916" spans="1:2" x14ac:dyDescent="0.3">
      <c r="A916" s="21">
        <v>45440.247917000001</v>
      </c>
      <c r="B916" s="18">
        <v>78.562462999999994</v>
      </c>
    </row>
    <row r="917" spans="1:2" x14ac:dyDescent="0.3">
      <c r="A917" s="21">
        <v>45440.248611000003</v>
      </c>
      <c r="B917" s="18">
        <v>78.329812000000004</v>
      </c>
    </row>
    <row r="918" spans="1:2" x14ac:dyDescent="0.3">
      <c r="A918" s="21">
        <v>45440.249305999998</v>
      </c>
      <c r="B918" s="18">
        <v>78.116200000000006</v>
      </c>
    </row>
    <row r="919" spans="1:2" x14ac:dyDescent="0.3">
      <c r="A919" s="21">
        <v>45440.25</v>
      </c>
      <c r="B919" s="18">
        <v>78.319740999999993</v>
      </c>
    </row>
    <row r="920" spans="1:2" x14ac:dyDescent="0.3">
      <c r="A920" s="21">
        <v>45440.250694000002</v>
      </c>
      <c r="B920" s="18">
        <v>78.670192999999998</v>
      </c>
    </row>
    <row r="921" spans="1:2" x14ac:dyDescent="0.3">
      <c r="A921" s="21">
        <v>45440.251388999997</v>
      </c>
      <c r="B921" s="18">
        <v>78.467528000000001</v>
      </c>
    </row>
    <row r="922" spans="1:2" x14ac:dyDescent="0.3">
      <c r="A922" s="21">
        <v>45440.252082999999</v>
      </c>
      <c r="B922" s="18">
        <v>78.615761000000006</v>
      </c>
    </row>
    <row r="923" spans="1:2" x14ac:dyDescent="0.3">
      <c r="A923" s="21">
        <v>45440.252778000002</v>
      </c>
      <c r="B923" s="18">
        <v>78.396427000000003</v>
      </c>
    </row>
    <row r="924" spans="1:2" x14ac:dyDescent="0.3">
      <c r="A924" s="21">
        <v>45440.253471999997</v>
      </c>
      <c r="B924" s="18">
        <v>78.100457000000006</v>
      </c>
    </row>
    <row r="925" spans="1:2" x14ac:dyDescent="0.3">
      <c r="A925" s="21">
        <v>45440.254166999999</v>
      </c>
      <c r="B925" s="18">
        <v>77.772582999999997</v>
      </c>
    </row>
    <row r="926" spans="1:2" x14ac:dyDescent="0.3">
      <c r="A926" s="21">
        <v>45440.254861000001</v>
      </c>
      <c r="B926" s="18">
        <v>78.320972999999995</v>
      </c>
    </row>
    <row r="927" spans="1:2" x14ac:dyDescent="0.3">
      <c r="A927" s="21">
        <v>45440.255555999996</v>
      </c>
      <c r="B927" s="18">
        <v>78.444552000000002</v>
      </c>
    </row>
    <row r="928" spans="1:2" x14ac:dyDescent="0.3">
      <c r="A928" s="21">
        <v>45440.256249999999</v>
      </c>
      <c r="B928" s="18">
        <v>78.683952000000005</v>
      </c>
    </row>
    <row r="929" spans="1:2" x14ac:dyDescent="0.3">
      <c r="A929" s="21">
        <v>45440.256944000001</v>
      </c>
      <c r="B929" s="18">
        <v>78.477249999999998</v>
      </c>
    </row>
    <row r="930" spans="1:2" x14ac:dyDescent="0.3">
      <c r="A930" s="21">
        <v>45440.257639000003</v>
      </c>
      <c r="B930" s="18">
        <v>78.304637999999997</v>
      </c>
    </row>
    <row r="931" spans="1:2" x14ac:dyDescent="0.3">
      <c r="A931" s="21">
        <v>45440.258332999998</v>
      </c>
      <c r="B931" s="18">
        <v>78.557773999999995</v>
      </c>
    </row>
    <row r="932" spans="1:2" x14ac:dyDescent="0.3">
      <c r="A932" s="21">
        <v>45440.259028</v>
      </c>
      <c r="B932" s="18">
        <v>78.178521000000003</v>
      </c>
    </row>
    <row r="933" spans="1:2" x14ac:dyDescent="0.3">
      <c r="A933" s="21">
        <v>45440.259722000003</v>
      </c>
      <c r="B933" s="18">
        <v>78.589538000000005</v>
      </c>
    </row>
    <row r="934" spans="1:2" x14ac:dyDescent="0.3">
      <c r="A934" s="21">
        <v>45440.260416999998</v>
      </c>
      <c r="B934" s="18">
        <v>78.346866000000006</v>
      </c>
    </row>
    <row r="935" spans="1:2" x14ac:dyDescent="0.3">
      <c r="A935" s="21">
        <v>45440.261111</v>
      </c>
      <c r="B935" s="18">
        <v>86.263785999999996</v>
      </c>
    </row>
    <row r="936" spans="1:2" x14ac:dyDescent="0.3">
      <c r="A936" s="21">
        <v>45440.261806000002</v>
      </c>
      <c r="B936" s="18">
        <v>87.569781000000006</v>
      </c>
    </row>
    <row r="937" spans="1:2" x14ac:dyDescent="0.3">
      <c r="A937" s="21">
        <v>45440.262499999997</v>
      </c>
      <c r="B937" s="18">
        <v>87.747026000000005</v>
      </c>
    </row>
    <row r="938" spans="1:2" x14ac:dyDescent="0.3">
      <c r="A938" s="21">
        <v>45440.263193999999</v>
      </c>
      <c r="B938" s="18">
        <v>87.658471000000006</v>
      </c>
    </row>
    <row r="939" spans="1:2" x14ac:dyDescent="0.3">
      <c r="A939" s="21">
        <v>45440.263889000002</v>
      </c>
      <c r="B939" s="18">
        <v>87.867808999999994</v>
      </c>
    </row>
    <row r="940" spans="1:2" x14ac:dyDescent="0.3">
      <c r="A940" s="21">
        <v>45440.264582999996</v>
      </c>
      <c r="B940" s="18">
        <v>87.976765</v>
      </c>
    </row>
    <row r="941" spans="1:2" x14ac:dyDescent="0.3">
      <c r="A941" s="21">
        <v>45440.265277999999</v>
      </c>
      <c r="B941" s="18">
        <v>88.169229000000001</v>
      </c>
    </row>
    <row r="942" spans="1:2" x14ac:dyDescent="0.3">
      <c r="A942" s="21">
        <v>45440.265972000001</v>
      </c>
      <c r="B942" s="18">
        <v>87.605570999999998</v>
      </c>
    </row>
    <row r="943" spans="1:2" x14ac:dyDescent="0.3">
      <c r="A943" s="21">
        <v>45440.266667000004</v>
      </c>
      <c r="B943" s="18">
        <v>88.063905000000005</v>
      </c>
    </row>
    <row r="944" spans="1:2" x14ac:dyDescent="0.3">
      <c r="A944" s="21">
        <v>45440.267360999998</v>
      </c>
      <c r="B944" s="18">
        <v>88.016751999999997</v>
      </c>
    </row>
    <row r="945" spans="1:2" x14ac:dyDescent="0.3">
      <c r="A945" s="21">
        <v>45440.268056000001</v>
      </c>
      <c r="B945" s="18">
        <v>88.207481999999999</v>
      </c>
    </row>
    <row r="946" spans="1:2" x14ac:dyDescent="0.3">
      <c r="A946" s="21">
        <v>45440.268750000003</v>
      </c>
      <c r="B946" s="18">
        <v>88.183785999999998</v>
      </c>
    </row>
    <row r="947" spans="1:2" x14ac:dyDescent="0.3">
      <c r="A947" s="21">
        <v>45440.269443999998</v>
      </c>
      <c r="B947" s="18">
        <v>88.426852999999994</v>
      </c>
    </row>
    <row r="948" spans="1:2" x14ac:dyDescent="0.3">
      <c r="A948" s="21">
        <v>45440.270139</v>
      </c>
      <c r="B948" s="18">
        <v>88.064268999999996</v>
      </c>
    </row>
    <row r="949" spans="1:2" x14ac:dyDescent="0.3">
      <c r="A949" s="21">
        <v>45440.270833000002</v>
      </c>
      <c r="B949" s="18">
        <v>87.501814999999993</v>
      </c>
    </row>
    <row r="950" spans="1:2" x14ac:dyDescent="0.3">
      <c r="A950" s="21">
        <v>45440.271527999997</v>
      </c>
      <c r="B950" s="18">
        <v>87.906805000000006</v>
      </c>
    </row>
    <row r="951" spans="1:2" x14ac:dyDescent="0.3">
      <c r="A951" s="21">
        <v>45440.272222</v>
      </c>
      <c r="B951" s="18">
        <v>88.229819000000006</v>
      </c>
    </row>
    <row r="952" spans="1:2" x14ac:dyDescent="0.3">
      <c r="A952" s="21">
        <v>45440.272917000002</v>
      </c>
      <c r="B952" s="18">
        <v>87.781366000000006</v>
      </c>
    </row>
    <row r="953" spans="1:2" x14ac:dyDescent="0.3">
      <c r="A953" s="21">
        <v>45440.273610999997</v>
      </c>
      <c r="B953" s="18">
        <v>87.745371000000006</v>
      </c>
    </row>
    <row r="954" spans="1:2" x14ac:dyDescent="0.3">
      <c r="A954" s="21">
        <v>45440.274305999999</v>
      </c>
      <c r="B954" s="18">
        <v>87.793625000000006</v>
      </c>
    </row>
    <row r="955" spans="1:2" x14ac:dyDescent="0.3">
      <c r="A955" s="21">
        <v>45440.275000000001</v>
      </c>
      <c r="B955" s="18">
        <v>87.516531000000001</v>
      </c>
    </row>
    <row r="956" spans="1:2" x14ac:dyDescent="0.3">
      <c r="A956" s="21">
        <v>45440.275694000004</v>
      </c>
      <c r="B956" s="18">
        <v>87.519784000000001</v>
      </c>
    </row>
    <row r="957" spans="1:2" x14ac:dyDescent="0.3">
      <c r="A957" s="21">
        <v>45440.276388999999</v>
      </c>
      <c r="B957" s="18">
        <v>87.551190000000005</v>
      </c>
    </row>
    <row r="958" spans="1:2" x14ac:dyDescent="0.3">
      <c r="A958" s="21">
        <v>45440.277083000001</v>
      </c>
      <c r="B958" s="18">
        <v>87.197254999999998</v>
      </c>
    </row>
    <row r="959" spans="1:2" x14ac:dyDescent="0.3">
      <c r="A959" s="21">
        <v>45440.277778000003</v>
      </c>
      <c r="B959" s="18">
        <v>87.635334999999998</v>
      </c>
    </row>
    <row r="960" spans="1:2" x14ac:dyDescent="0.3">
      <c r="A960" s="21">
        <v>45440.278471999998</v>
      </c>
      <c r="B960" s="18">
        <v>87.682592</v>
      </c>
    </row>
    <row r="961" spans="1:2" x14ac:dyDescent="0.3">
      <c r="A961" s="21">
        <v>45440.279167000001</v>
      </c>
      <c r="B961" s="18">
        <v>87.211751000000007</v>
      </c>
    </row>
    <row r="962" spans="1:2" x14ac:dyDescent="0.3">
      <c r="A962" s="21">
        <v>45440.279861000003</v>
      </c>
      <c r="B962" s="18">
        <v>87.608952000000002</v>
      </c>
    </row>
    <row r="963" spans="1:2" x14ac:dyDescent="0.3">
      <c r="A963" s="21">
        <v>45440.280555999998</v>
      </c>
      <c r="B963" s="18">
        <v>87.329818000000003</v>
      </c>
    </row>
    <row r="964" spans="1:2" x14ac:dyDescent="0.3">
      <c r="A964" s="21">
        <v>45440.28125</v>
      </c>
      <c r="B964" s="18">
        <v>87.552835000000002</v>
      </c>
    </row>
    <row r="965" spans="1:2" x14ac:dyDescent="0.3">
      <c r="A965" s="21">
        <v>45440.281944000002</v>
      </c>
      <c r="B965" s="18">
        <v>87.463896000000005</v>
      </c>
    </row>
    <row r="966" spans="1:2" x14ac:dyDescent="0.3">
      <c r="A966" s="21">
        <v>45440.282638999997</v>
      </c>
      <c r="B966" s="18">
        <v>87.476730000000003</v>
      </c>
    </row>
    <row r="967" spans="1:2" x14ac:dyDescent="0.3">
      <c r="A967" s="21">
        <v>45440.283332999999</v>
      </c>
      <c r="B967" s="18">
        <v>87.682460000000006</v>
      </c>
    </row>
    <row r="968" spans="1:2" x14ac:dyDescent="0.3">
      <c r="A968" s="21">
        <v>45440.284028000002</v>
      </c>
      <c r="B968" s="18">
        <v>87.599654000000001</v>
      </c>
    </row>
    <row r="969" spans="1:2" x14ac:dyDescent="0.3">
      <c r="A969" s="21">
        <v>45440.284721999997</v>
      </c>
      <c r="B969" s="18">
        <v>87.743567999999996</v>
      </c>
    </row>
    <row r="970" spans="1:2" x14ac:dyDescent="0.3">
      <c r="A970" s="21">
        <v>45440.285416999999</v>
      </c>
      <c r="B970" s="18">
        <v>87.320003999999997</v>
      </c>
    </row>
    <row r="971" spans="1:2" x14ac:dyDescent="0.3">
      <c r="A971" s="21">
        <v>45440.286111000001</v>
      </c>
      <c r="B971" s="18">
        <v>88.012338999999997</v>
      </c>
    </row>
    <row r="972" spans="1:2" x14ac:dyDescent="0.3">
      <c r="A972" s="21">
        <v>45440.286805999996</v>
      </c>
      <c r="B972" s="18">
        <v>87.629043999999993</v>
      </c>
    </row>
    <row r="973" spans="1:2" x14ac:dyDescent="0.3">
      <c r="A973" s="21">
        <v>45440.287499999999</v>
      </c>
      <c r="B973" s="18">
        <v>87.741855999999999</v>
      </c>
    </row>
    <row r="974" spans="1:2" x14ac:dyDescent="0.3">
      <c r="A974" s="21">
        <v>45440.288194000001</v>
      </c>
      <c r="B974" s="18">
        <v>87.211089999999999</v>
      </c>
    </row>
    <row r="975" spans="1:2" x14ac:dyDescent="0.3">
      <c r="A975" s="21">
        <v>45440.288889000003</v>
      </c>
      <c r="B975" s="18">
        <v>87.692646999999994</v>
      </c>
    </row>
    <row r="976" spans="1:2" x14ac:dyDescent="0.3">
      <c r="A976" s="21">
        <v>45440.289582999998</v>
      </c>
      <c r="B976" s="18">
        <v>87.797532000000004</v>
      </c>
    </row>
    <row r="977" spans="1:2" x14ac:dyDescent="0.3">
      <c r="A977" s="21">
        <v>45440.290278</v>
      </c>
      <c r="B977" s="18">
        <v>87.797394999999995</v>
      </c>
    </row>
    <row r="978" spans="1:2" x14ac:dyDescent="0.3">
      <c r="A978" s="21">
        <v>45440.290972000003</v>
      </c>
      <c r="B978" s="18">
        <v>87.805897999999999</v>
      </c>
    </row>
    <row r="979" spans="1:2" x14ac:dyDescent="0.3">
      <c r="A979" s="21">
        <v>45440.291666999998</v>
      </c>
      <c r="B979" s="18">
        <v>87.778475</v>
      </c>
    </row>
    <row r="980" spans="1:2" x14ac:dyDescent="0.3">
      <c r="A980" s="21">
        <v>45440.292361</v>
      </c>
      <c r="B980" s="18">
        <v>87.538803999999999</v>
      </c>
    </row>
    <row r="981" spans="1:2" x14ac:dyDescent="0.3">
      <c r="A981" s="21">
        <v>45440.293056000002</v>
      </c>
      <c r="B981" s="18">
        <v>87.621404999999996</v>
      </c>
    </row>
    <row r="982" spans="1:2" x14ac:dyDescent="0.3">
      <c r="A982" s="21">
        <v>45440.293749999997</v>
      </c>
      <c r="B982" s="18">
        <v>87.421396999999999</v>
      </c>
    </row>
    <row r="983" spans="1:2" x14ac:dyDescent="0.3">
      <c r="A983" s="21">
        <v>45440.294443999999</v>
      </c>
      <c r="B983" s="18">
        <v>87.981838999999994</v>
      </c>
    </row>
    <row r="984" spans="1:2" x14ac:dyDescent="0.3">
      <c r="A984" s="21">
        <v>45440.295139000002</v>
      </c>
      <c r="B984" s="18">
        <v>87.606211999999999</v>
      </c>
    </row>
    <row r="985" spans="1:2" x14ac:dyDescent="0.3">
      <c r="A985" s="21">
        <v>45440.295832999996</v>
      </c>
      <c r="B985" s="18">
        <v>87.571864000000005</v>
      </c>
    </row>
    <row r="986" spans="1:2" x14ac:dyDescent="0.3">
      <c r="A986" s="21">
        <v>45440.296527999999</v>
      </c>
      <c r="B986" s="18">
        <v>87.374897000000004</v>
      </c>
    </row>
    <row r="987" spans="1:2" x14ac:dyDescent="0.3">
      <c r="A987" s="21">
        <v>45440.297222000001</v>
      </c>
      <c r="B987" s="18">
        <v>87.504328999999998</v>
      </c>
    </row>
    <row r="988" spans="1:2" x14ac:dyDescent="0.3">
      <c r="A988" s="21">
        <v>45440.297917000004</v>
      </c>
      <c r="B988" s="18">
        <v>87.940369000000004</v>
      </c>
    </row>
    <row r="989" spans="1:2" x14ac:dyDescent="0.3">
      <c r="A989" s="21">
        <v>45440.298610999998</v>
      </c>
      <c r="B989" s="18">
        <v>87.348763000000005</v>
      </c>
    </row>
    <row r="990" spans="1:2" x14ac:dyDescent="0.3">
      <c r="A990" s="21">
        <v>45440.299306000001</v>
      </c>
      <c r="B990" s="18">
        <v>87.640591999999998</v>
      </c>
    </row>
    <row r="991" spans="1:2" x14ac:dyDescent="0.3">
      <c r="A991" s="21">
        <v>45440.3</v>
      </c>
      <c r="B991" s="18">
        <v>87.395948000000004</v>
      </c>
    </row>
    <row r="992" spans="1:2" x14ac:dyDescent="0.3">
      <c r="A992" s="21">
        <v>45440.300693999998</v>
      </c>
      <c r="B992" s="18">
        <v>87.754831999999993</v>
      </c>
    </row>
    <row r="993" spans="1:2" x14ac:dyDescent="0.3">
      <c r="A993" s="21">
        <v>45440.301389</v>
      </c>
      <c r="B993" s="18">
        <v>87.730891999999997</v>
      </c>
    </row>
    <row r="994" spans="1:2" x14ac:dyDescent="0.3">
      <c r="A994" s="21">
        <v>45440.302083000002</v>
      </c>
      <c r="B994" s="18">
        <v>87.805260000000004</v>
      </c>
    </row>
    <row r="995" spans="1:2" x14ac:dyDescent="0.3">
      <c r="A995" s="21">
        <v>45440.302777999997</v>
      </c>
      <c r="B995" s="18">
        <v>88.106386999999998</v>
      </c>
    </row>
    <row r="996" spans="1:2" x14ac:dyDescent="0.3">
      <c r="A996" s="21">
        <v>45440.303472</v>
      </c>
      <c r="B996" s="18">
        <v>87.656806000000003</v>
      </c>
    </row>
    <row r="997" spans="1:2" x14ac:dyDescent="0.3">
      <c r="A997" s="21">
        <v>45440.304167000002</v>
      </c>
      <c r="B997" s="18">
        <v>87.867858999999996</v>
      </c>
    </row>
    <row r="998" spans="1:2" x14ac:dyDescent="0.3">
      <c r="A998" s="21">
        <v>45440.304860999997</v>
      </c>
      <c r="B998" s="18">
        <v>87.836599000000007</v>
      </c>
    </row>
    <row r="999" spans="1:2" x14ac:dyDescent="0.3">
      <c r="A999" s="21">
        <v>45440.305555999999</v>
      </c>
      <c r="B999" s="18">
        <v>88.162036999999998</v>
      </c>
    </row>
    <row r="1000" spans="1:2" x14ac:dyDescent="0.3">
      <c r="A1000" s="21">
        <v>45440.306250000001</v>
      </c>
      <c r="B1000" s="18">
        <v>88.006407999999993</v>
      </c>
    </row>
    <row r="1001" spans="1:2" x14ac:dyDescent="0.3">
      <c r="A1001" s="21">
        <v>45440.306944000004</v>
      </c>
      <c r="B1001" s="18">
        <v>88.026594000000003</v>
      </c>
    </row>
    <row r="1002" spans="1:2" x14ac:dyDescent="0.3">
      <c r="A1002" s="21">
        <v>45440.307638999999</v>
      </c>
      <c r="B1002" s="18">
        <v>87.784484000000006</v>
      </c>
    </row>
    <row r="1003" spans="1:2" x14ac:dyDescent="0.3">
      <c r="A1003" s="21">
        <v>45440.308333000001</v>
      </c>
      <c r="B1003" s="18">
        <v>88.172118999999995</v>
      </c>
    </row>
    <row r="1004" spans="1:2" x14ac:dyDescent="0.3">
      <c r="A1004" s="21">
        <v>45440.309028000003</v>
      </c>
      <c r="B1004" s="18">
        <v>87.836990999999998</v>
      </c>
    </row>
    <row r="1005" spans="1:2" x14ac:dyDescent="0.3">
      <c r="A1005" s="21">
        <v>45440.309721999998</v>
      </c>
      <c r="B1005" s="18">
        <v>88.093883000000005</v>
      </c>
    </row>
    <row r="1006" spans="1:2" x14ac:dyDescent="0.3">
      <c r="A1006" s="21">
        <v>45440.310417000001</v>
      </c>
      <c r="B1006" s="18">
        <v>88.520987000000005</v>
      </c>
    </row>
    <row r="1007" spans="1:2" x14ac:dyDescent="0.3">
      <c r="A1007" s="21">
        <v>45440.311111000003</v>
      </c>
      <c r="B1007" s="18">
        <v>88.542038000000005</v>
      </c>
    </row>
    <row r="1008" spans="1:2" x14ac:dyDescent="0.3">
      <c r="A1008" s="21">
        <v>45440.311805999998</v>
      </c>
      <c r="B1008" s="18">
        <v>88.086650000000006</v>
      </c>
    </row>
    <row r="1009" spans="1:2" x14ac:dyDescent="0.3">
      <c r="A1009" s="21">
        <v>45440.3125</v>
      </c>
      <c r="B1009" s="18">
        <v>88.617221000000001</v>
      </c>
    </row>
    <row r="1010" spans="1:2" x14ac:dyDescent="0.3">
      <c r="A1010" s="21">
        <v>45440.313194000002</v>
      </c>
      <c r="B1010" s="18">
        <v>88.115283000000005</v>
      </c>
    </row>
    <row r="1011" spans="1:2" x14ac:dyDescent="0.3">
      <c r="A1011" s="21">
        <v>45440.313888999997</v>
      </c>
      <c r="B1011" s="18">
        <v>88.369279000000006</v>
      </c>
    </row>
    <row r="1012" spans="1:2" x14ac:dyDescent="0.3">
      <c r="A1012" s="21">
        <v>45440.314582999999</v>
      </c>
      <c r="B1012" s="18">
        <v>88.424028000000007</v>
      </c>
    </row>
    <row r="1013" spans="1:2" x14ac:dyDescent="0.3">
      <c r="A1013" s="21">
        <v>45440.315278000002</v>
      </c>
      <c r="B1013" s="18">
        <v>88.315409000000002</v>
      </c>
    </row>
    <row r="1014" spans="1:2" x14ac:dyDescent="0.3">
      <c r="A1014" s="21">
        <v>45440.315971999997</v>
      </c>
      <c r="B1014" s="18">
        <v>88.314779000000001</v>
      </c>
    </row>
    <row r="1015" spans="1:2" x14ac:dyDescent="0.3">
      <c r="A1015" s="21">
        <v>45440.316666999999</v>
      </c>
      <c r="B1015" s="18">
        <v>88.370675000000006</v>
      </c>
    </row>
    <row r="1016" spans="1:2" x14ac:dyDescent="0.3">
      <c r="A1016" s="21">
        <v>45440.317361000001</v>
      </c>
      <c r="B1016" s="18">
        <v>88.297366999999994</v>
      </c>
    </row>
    <row r="1017" spans="1:2" x14ac:dyDescent="0.3">
      <c r="A1017" s="21">
        <v>45440.318055999996</v>
      </c>
      <c r="B1017" s="18">
        <v>87.793841</v>
      </c>
    </row>
    <row r="1018" spans="1:2" x14ac:dyDescent="0.3">
      <c r="A1018" s="21">
        <v>45440.318749999999</v>
      </c>
      <c r="B1018" s="18">
        <v>88.462125999999998</v>
      </c>
    </row>
    <row r="1019" spans="1:2" x14ac:dyDescent="0.3">
      <c r="A1019" s="21">
        <v>45440.319444000001</v>
      </c>
      <c r="B1019" s="18">
        <v>88.865365999999995</v>
      </c>
    </row>
    <row r="1020" spans="1:2" x14ac:dyDescent="0.3">
      <c r="A1020" s="21">
        <v>45440.320139000003</v>
      </c>
      <c r="B1020" s="18">
        <v>88.265592999999996</v>
      </c>
    </row>
    <row r="1021" spans="1:2" x14ac:dyDescent="0.3">
      <c r="A1021" s="21">
        <v>45440.320832999998</v>
      </c>
      <c r="B1021" s="18">
        <v>88.494438000000002</v>
      </c>
    </row>
    <row r="1022" spans="1:2" x14ac:dyDescent="0.3">
      <c r="A1022" s="21">
        <v>45440.321528</v>
      </c>
      <c r="B1022" s="18">
        <v>88.259930999999995</v>
      </c>
    </row>
    <row r="1023" spans="1:2" x14ac:dyDescent="0.3">
      <c r="A1023" s="21">
        <v>45440.322222000003</v>
      </c>
      <c r="B1023" s="18">
        <v>88.234385000000003</v>
      </c>
    </row>
    <row r="1024" spans="1:2" x14ac:dyDescent="0.3">
      <c r="A1024" s="21">
        <v>45440.322916999998</v>
      </c>
      <c r="B1024" s="18">
        <v>88.519913000000003</v>
      </c>
    </row>
    <row r="1025" spans="1:2" x14ac:dyDescent="0.3">
      <c r="A1025" s="21">
        <v>45440.323611</v>
      </c>
      <c r="B1025" s="18">
        <v>88.746223999999998</v>
      </c>
    </row>
    <row r="1026" spans="1:2" x14ac:dyDescent="0.3">
      <c r="A1026" s="21">
        <v>45440.324306000002</v>
      </c>
      <c r="B1026" s="18">
        <v>88.819083000000006</v>
      </c>
    </row>
    <row r="1027" spans="1:2" x14ac:dyDescent="0.3">
      <c r="A1027" s="21">
        <v>45440.324999999997</v>
      </c>
      <c r="B1027" s="18">
        <v>88.327648999999994</v>
      </c>
    </row>
    <row r="1028" spans="1:2" x14ac:dyDescent="0.3">
      <c r="A1028" s="21">
        <v>45440.325693999999</v>
      </c>
      <c r="B1028" s="18">
        <v>88.784047000000001</v>
      </c>
    </row>
    <row r="1029" spans="1:2" x14ac:dyDescent="0.3">
      <c r="A1029" s="21">
        <v>45440.326389000002</v>
      </c>
      <c r="B1029" s="18">
        <v>88.946713000000003</v>
      </c>
    </row>
    <row r="1030" spans="1:2" x14ac:dyDescent="0.3">
      <c r="A1030" s="21">
        <v>45440.327082999996</v>
      </c>
      <c r="B1030" s="18">
        <v>88.56671</v>
      </c>
    </row>
    <row r="1031" spans="1:2" x14ac:dyDescent="0.3">
      <c r="A1031" s="21">
        <v>45440.327777999999</v>
      </c>
      <c r="B1031" s="18">
        <v>88.847554000000002</v>
      </c>
    </row>
    <row r="1032" spans="1:2" x14ac:dyDescent="0.3">
      <c r="A1032" s="21">
        <v>45440.328472000001</v>
      </c>
      <c r="B1032" s="18">
        <v>88.454234999999997</v>
      </c>
    </row>
    <row r="1033" spans="1:2" x14ac:dyDescent="0.3">
      <c r="A1033" s="21">
        <v>45440.329167000004</v>
      </c>
      <c r="B1033" s="18">
        <v>88.604951</v>
      </c>
    </row>
    <row r="1034" spans="1:2" x14ac:dyDescent="0.3">
      <c r="A1034" s="21">
        <v>45440.329860999998</v>
      </c>
      <c r="B1034" s="18">
        <v>88.690286</v>
      </c>
    </row>
    <row r="1035" spans="1:2" x14ac:dyDescent="0.3">
      <c r="A1035" s="21">
        <v>45440.330556000001</v>
      </c>
      <c r="B1035" s="18">
        <v>88.659546000000006</v>
      </c>
    </row>
    <row r="1036" spans="1:2" x14ac:dyDescent="0.3">
      <c r="A1036" s="21">
        <v>45440.331250000003</v>
      </c>
      <c r="B1036" s="18">
        <v>88.551766999999998</v>
      </c>
    </row>
    <row r="1037" spans="1:2" x14ac:dyDescent="0.3">
      <c r="A1037" s="21">
        <v>45440.331943999998</v>
      </c>
      <c r="B1037" s="18">
        <v>88.315852000000007</v>
      </c>
    </row>
    <row r="1038" spans="1:2" x14ac:dyDescent="0.3">
      <c r="A1038" s="21">
        <v>45440.332639</v>
      </c>
      <c r="B1038" s="18">
        <v>88.753298999999998</v>
      </c>
    </row>
    <row r="1039" spans="1:2" x14ac:dyDescent="0.3">
      <c r="A1039" s="21">
        <v>45440.333333000002</v>
      </c>
      <c r="B1039" s="18">
        <v>88.526061999999996</v>
      </c>
    </row>
    <row r="1040" spans="1:2" x14ac:dyDescent="0.3">
      <c r="A1040" s="21">
        <v>45440.334027999997</v>
      </c>
      <c r="B1040" s="18">
        <v>88.437155000000004</v>
      </c>
    </row>
    <row r="1041" spans="1:2" x14ac:dyDescent="0.3">
      <c r="A1041" s="21">
        <v>45440.334722</v>
      </c>
      <c r="B1041" s="18">
        <v>88.892692999999994</v>
      </c>
    </row>
    <row r="1042" spans="1:2" x14ac:dyDescent="0.3">
      <c r="A1042" s="21">
        <v>45440.335417000002</v>
      </c>
      <c r="B1042" s="18">
        <v>88.734975000000006</v>
      </c>
    </row>
    <row r="1043" spans="1:2" x14ac:dyDescent="0.3">
      <c r="A1043" s="21">
        <v>45440.336110999997</v>
      </c>
      <c r="B1043" s="18">
        <v>88.652941999999996</v>
      </c>
    </row>
    <row r="1044" spans="1:2" x14ac:dyDescent="0.3">
      <c r="A1044" s="21">
        <v>45440.336805999999</v>
      </c>
      <c r="B1044" s="18">
        <v>88.47336</v>
      </c>
    </row>
    <row r="1045" spans="1:2" x14ac:dyDescent="0.3">
      <c r="A1045" s="21">
        <v>45440.337500000001</v>
      </c>
      <c r="B1045" s="18">
        <v>88.171603000000005</v>
      </c>
    </row>
    <row r="1046" spans="1:2" x14ac:dyDescent="0.3">
      <c r="A1046" s="21">
        <v>45440.338194000004</v>
      </c>
      <c r="B1046" s="18">
        <v>88.483838000000006</v>
      </c>
    </row>
    <row r="1047" spans="1:2" x14ac:dyDescent="0.3">
      <c r="A1047" s="21">
        <v>45440.338888999999</v>
      </c>
      <c r="B1047" s="18">
        <v>88.795310000000001</v>
      </c>
    </row>
    <row r="1048" spans="1:2" x14ac:dyDescent="0.3">
      <c r="A1048" s="21">
        <v>45440.339583000001</v>
      </c>
      <c r="B1048" s="18">
        <v>88.705889999999997</v>
      </c>
    </row>
    <row r="1049" spans="1:2" x14ac:dyDescent="0.3">
      <c r="A1049" s="21">
        <v>45440.340278000003</v>
      </c>
      <c r="B1049" s="18">
        <v>88.995029000000002</v>
      </c>
    </row>
    <row r="1050" spans="1:2" x14ac:dyDescent="0.3">
      <c r="A1050" s="21">
        <v>45440.340971999998</v>
      </c>
      <c r="B1050" s="18">
        <v>88.425607999999997</v>
      </c>
    </row>
    <row r="1051" spans="1:2" x14ac:dyDescent="0.3">
      <c r="A1051" s="21">
        <v>45440.341667000001</v>
      </c>
      <c r="B1051" s="18">
        <v>88.470957999999996</v>
      </c>
    </row>
    <row r="1052" spans="1:2" x14ac:dyDescent="0.3">
      <c r="A1052" s="21">
        <v>45440.342361000003</v>
      </c>
      <c r="B1052" s="18">
        <v>88.168908999999999</v>
      </c>
    </row>
    <row r="1053" spans="1:2" x14ac:dyDescent="0.3">
      <c r="A1053" s="21">
        <v>45440.343055999998</v>
      </c>
      <c r="B1053" s="18">
        <v>88.227772999999999</v>
      </c>
    </row>
    <row r="1054" spans="1:2" x14ac:dyDescent="0.3">
      <c r="A1054" s="21">
        <v>45440.34375</v>
      </c>
      <c r="B1054" s="18">
        <v>88.543356000000003</v>
      </c>
    </row>
    <row r="1055" spans="1:2" x14ac:dyDescent="0.3">
      <c r="A1055" s="21">
        <v>45440.344444000002</v>
      </c>
      <c r="B1055" s="18">
        <v>76.717270999999997</v>
      </c>
    </row>
    <row r="1056" spans="1:2" x14ac:dyDescent="0.3">
      <c r="A1056" s="21">
        <v>45440.345138999997</v>
      </c>
      <c r="B1056" s="18">
        <v>74.06859</v>
      </c>
    </row>
    <row r="1057" spans="1:2" x14ac:dyDescent="0.3">
      <c r="A1057" s="21">
        <v>45440.345832999999</v>
      </c>
      <c r="B1057" s="18">
        <v>73.687167000000002</v>
      </c>
    </row>
    <row r="1058" spans="1:2" x14ac:dyDescent="0.3">
      <c r="A1058" s="21">
        <v>45440.346528000002</v>
      </c>
      <c r="B1058" s="18">
        <v>73.809652999999997</v>
      </c>
    </row>
    <row r="1059" spans="1:2" x14ac:dyDescent="0.3">
      <c r="A1059" s="21">
        <v>45440.347221999997</v>
      </c>
      <c r="B1059" s="18">
        <v>73.547729000000004</v>
      </c>
    </row>
    <row r="1060" spans="1:2" x14ac:dyDescent="0.3">
      <c r="A1060" s="21">
        <v>45440.347916999999</v>
      </c>
      <c r="B1060" s="18">
        <v>73.906722000000002</v>
      </c>
    </row>
    <row r="1061" spans="1:2" x14ac:dyDescent="0.3">
      <c r="A1061" s="21">
        <v>45440.348611000001</v>
      </c>
      <c r="B1061" s="18">
        <v>73.621724</v>
      </c>
    </row>
    <row r="1062" spans="1:2" x14ac:dyDescent="0.3">
      <c r="A1062" s="21">
        <v>45440.349305999996</v>
      </c>
      <c r="B1062" s="18">
        <v>73.898167000000001</v>
      </c>
    </row>
    <row r="1063" spans="1:2" x14ac:dyDescent="0.3">
      <c r="A1063" s="21">
        <v>45440.35</v>
      </c>
      <c r="B1063" s="18">
        <v>73.894909999999996</v>
      </c>
    </row>
    <row r="1064" spans="1:2" x14ac:dyDescent="0.3">
      <c r="A1064" s="21">
        <v>45440.350694000001</v>
      </c>
      <c r="B1064" s="18">
        <v>73.694406999999998</v>
      </c>
    </row>
    <row r="1065" spans="1:2" x14ac:dyDescent="0.3">
      <c r="A1065" s="21">
        <v>45440.351389000003</v>
      </c>
      <c r="B1065" s="18">
        <v>73.748981000000001</v>
      </c>
    </row>
    <row r="1066" spans="1:2" x14ac:dyDescent="0.3">
      <c r="A1066" s="21">
        <v>45440.352082999998</v>
      </c>
      <c r="B1066" s="18">
        <v>73.364484000000004</v>
      </c>
    </row>
    <row r="1067" spans="1:2" x14ac:dyDescent="0.3">
      <c r="A1067" s="21">
        <v>45440.352778</v>
      </c>
      <c r="B1067" s="18">
        <v>73.798045999999999</v>
      </c>
    </row>
    <row r="1068" spans="1:2" x14ac:dyDescent="0.3">
      <c r="A1068" s="21">
        <v>45440.353472000003</v>
      </c>
      <c r="B1068" s="18">
        <v>73.375078999999999</v>
      </c>
    </row>
    <row r="1069" spans="1:2" x14ac:dyDescent="0.3">
      <c r="A1069" s="21">
        <v>45440.354166999998</v>
      </c>
      <c r="B1069" s="18">
        <v>73.631699999999995</v>
      </c>
    </row>
    <row r="1070" spans="1:2" x14ac:dyDescent="0.3">
      <c r="A1070" s="21">
        <v>45440.354861</v>
      </c>
      <c r="B1070" s="18">
        <v>73.441410000000005</v>
      </c>
    </row>
    <row r="1071" spans="1:2" x14ac:dyDescent="0.3">
      <c r="A1071" s="21">
        <v>45440.355556000002</v>
      </c>
      <c r="B1071" s="18">
        <v>73.814707999999996</v>
      </c>
    </row>
    <row r="1072" spans="1:2" x14ac:dyDescent="0.3">
      <c r="A1072" s="21">
        <v>45440.356249999997</v>
      </c>
      <c r="B1072" s="18">
        <v>73.762559999999993</v>
      </c>
    </row>
    <row r="1073" spans="1:2" x14ac:dyDescent="0.3">
      <c r="A1073" s="21">
        <v>45440.356943999999</v>
      </c>
      <c r="B1073" s="18">
        <v>73.792473999999999</v>
      </c>
    </row>
    <row r="1074" spans="1:2" x14ac:dyDescent="0.3">
      <c r="A1074" s="21">
        <v>45440.357639000002</v>
      </c>
      <c r="B1074" s="18">
        <v>73.563032000000007</v>
      </c>
    </row>
    <row r="1075" spans="1:2" x14ac:dyDescent="0.3">
      <c r="A1075" s="21">
        <v>45440.358332999996</v>
      </c>
      <c r="B1075" s="18">
        <v>74.207368000000002</v>
      </c>
    </row>
    <row r="1076" spans="1:2" x14ac:dyDescent="0.3">
      <c r="A1076" s="21">
        <v>45440.359027999999</v>
      </c>
      <c r="B1076" s="18">
        <v>73.967937000000006</v>
      </c>
    </row>
    <row r="1077" spans="1:2" x14ac:dyDescent="0.3">
      <c r="A1077" s="21">
        <v>45440.359722000001</v>
      </c>
      <c r="B1077" s="18">
        <v>73.816295999999994</v>
      </c>
    </row>
    <row r="1078" spans="1:2" x14ac:dyDescent="0.3">
      <c r="A1078" s="21">
        <v>45440.360417000004</v>
      </c>
      <c r="B1078" s="18">
        <v>73.692182000000003</v>
      </c>
    </row>
    <row r="1079" spans="1:2" x14ac:dyDescent="0.3">
      <c r="A1079" s="21">
        <v>45440.361110999998</v>
      </c>
      <c r="B1079" s="18">
        <v>74.051304999999999</v>
      </c>
    </row>
    <row r="1080" spans="1:2" x14ac:dyDescent="0.3">
      <c r="A1080" s="21">
        <v>45440.361806000001</v>
      </c>
      <c r="B1080" s="18">
        <v>73.825081999999995</v>
      </c>
    </row>
    <row r="1081" spans="1:2" x14ac:dyDescent="0.3">
      <c r="A1081" s="21">
        <v>45440.362500000003</v>
      </c>
      <c r="B1081" s="18">
        <v>73.797582000000006</v>
      </c>
    </row>
    <row r="1082" spans="1:2" x14ac:dyDescent="0.3">
      <c r="A1082" s="21">
        <v>45440.363193999998</v>
      </c>
      <c r="B1082" s="18">
        <v>73.915423000000004</v>
      </c>
    </row>
    <row r="1083" spans="1:2" x14ac:dyDescent="0.3">
      <c r="A1083" s="21">
        <v>45440.363889</v>
      </c>
      <c r="B1083" s="18">
        <v>73.902620999999996</v>
      </c>
    </row>
    <row r="1084" spans="1:2" x14ac:dyDescent="0.3">
      <c r="A1084" s="21">
        <v>45440.364583000002</v>
      </c>
      <c r="B1084" s="18">
        <v>73.833060000000003</v>
      </c>
    </row>
    <row r="1085" spans="1:2" x14ac:dyDescent="0.3">
      <c r="A1085" s="21">
        <v>45440.365277999997</v>
      </c>
      <c r="B1085" s="18">
        <v>74.191272999999995</v>
      </c>
    </row>
    <row r="1086" spans="1:2" x14ac:dyDescent="0.3">
      <c r="A1086" s="21">
        <v>45440.365972</v>
      </c>
      <c r="B1086" s="18">
        <v>74.315950999999998</v>
      </c>
    </row>
    <row r="1087" spans="1:2" x14ac:dyDescent="0.3">
      <c r="A1087" s="21">
        <v>45440.366667000002</v>
      </c>
      <c r="B1087" s="18">
        <v>74.464725000000001</v>
      </c>
    </row>
    <row r="1088" spans="1:2" x14ac:dyDescent="0.3">
      <c r="A1088" s="21">
        <v>45440.367360999997</v>
      </c>
      <c r="B1088" s="18">
        <v>74.267587000000006</v>
      </c>
    </row>
    <row r="1089" spans="1:2" x14ac:dyDescent="0.3">
      <c r="A1089" s="21">
        <v>45440.368055999999</v>
      </c>
      <c r="B1089" s="18">
        <v>74.013392999999994</v>
      </c>
    </row>
    <row r="1090" spans="1:2" x14ac:dyDescent="0.3">
      <c r="A1090" s="21">
        <v>45440.368750000001</v>
      </c>
      <c r="B1090" s="18">
        <v>74.454087000000001</v>
      </c>
    </row>
    <row r="1091" spans="1:2" x14ac:dyDescent="0.3">
      <c r="A1091" s="21">
        <v>45440.369444000004</v>
      </c>
      <c r="B1091" s="18">
        <v>74.380159000000006</v>
      </c>
    </row>
    <row r="1092" spans="1:2" x14ac:dyDescent="0.3">
      <c r="A1092" s="21">
        <v>45440.370138999999</v>
      </c>
      <c r="B1092" s="18">
        <v>74.640035999999995</v>
      </c>
    </row>
    <row r="1093" spans="1:2" x14ac:dyDescent="0.3">
      <c r="A1093" s="21">
        <v>45440.370833000001</v>
      </c>
      <c r="B1093" s="18">
        <v>74.453591000000003</v>
      </c>
    </row>
    <row r="1094" spans="1:2" x14ac:dyDescent="0.3">
      <c r="A1094" s="21">
        <v>45440.371528000003</v>
      </c>
      <c r="B1094" s="18">
        <v>74.659925999999999</v>
      </c>
    </row>
    <row r="1095" spans="1:2" x14ac:dyDescent="0.3">
      <c r="A1095" s="21">
        <v>45440.372221999998</v>
      </c>
      <c r="B1095" s="18">
        <v>51.102797000000002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2026-08-11T05:18:39Z</dcterms:modified>
</cp:coreProperties>
</file>