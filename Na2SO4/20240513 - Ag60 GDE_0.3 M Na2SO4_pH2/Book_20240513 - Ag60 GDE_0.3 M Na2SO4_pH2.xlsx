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13 - Ag60 GDE_0.3 M Na2SO4_pH2/"/>
    </mc:Choice>
  </mc:AlternateContent>
  <xr:revisionPtr revIDLastSave="132" documentId="8_{99172C6E-3916-40BE-A50D-EF70DFCC63BC}" xr6:coauthVersionLast="47" xr6:coauthVersionMax="47" xr10:uidLastSave="{DDF02D99-1FA5-4910-B363-D339B3B4504E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1" i="1"/>
  <c r="R41" i="1"/>
  <c r="Q41" i="1"/>
  <c r="U41" i="1" s="1"/>
  <c r="P41" i="1"/>
  <c r="T41" i="1" s="1"/>
  <c r="S40" i="1"/>
  <c r="R40" i="1"/>
  <c r="Q40" i="1"/>
  <c r="U40" i="1" s="1"/>
  <c r="P40" i="1"/>
  <c r="T40" i="1" s="1"/>
  <c r="S39" i="1"/>
  <c r="R39" i="1"/>
  <c r="Q39" i="1"/>
  <c r="U39" i="1" s="1"/>
  <c r="P39" i="1"/>
  <c r="T39" i="1" s="1"/>
  <c r="S38" i="1"/>
  <c r="R38" i="1"/>
  <c r="Q38" i="1"/>
  <c r="P38" i="1"/>
  <c r="T38" i="1" s="1"/>
  <c r="S37" i="1"/>
  <c r="R37" i="1"/>
  <c r="Q37" i="1"/>
  <c r="U37" i="1" s="1"/>
  <c r="P37" i="1"/>
  <c r="T37" i="1" s="1"/>
  <c r="S36" i="1"/>
  <c r="R36" i="1"/>
  <c r="Q36" i="1"/>
  <c r="U36" i="1" s="1"/>
  <c r="P36" i="1"/>
  <c r="T36" i="1" s="1"/>
  <c r="S35" i="1"/>
  <c r="R35" i="1"/>
  <c r="Q35" i="1"/>
  <c r="U35" i="1" s="1"/>
  <c r="P35" i="1"/>
  <c r="T35" i="1" s="1"/>
  <c r="S34" i="1"/>
  <c r="R34" i="1"/>
  <c r="Q34" i="1"/>
  <c r="U34" i="1" s="1"/>
  <c r="P34" i="1"/>
  <c r="T34" i="1" s="1"/>
  <c r="S33" i="1"/>
  <c r="R33" i="1"/>
  <c r="Q33" i="1"/>
  <c r="U33" i="1" s="1"/>
  <c r="P33" i="1"/>
  <c r="T33" i="1" s="1"/>
  <c r="S32" i="1"/>
  <c r="R32" i="1"/>
  <c r="Q32" i="1"/>
  <c r="U32" i="1" s="1"/>
  <c r="P32" i="1"/>
  <c r="T32" i="1" s="1"/>
  <c r="S31" i="1"/>
  <c r="R31" i="1"/>
  <c r="Q31" i="1"/>
  <c r="U31" i="1" s="1"/>
  <c r="P31" i="1"/>
  <c r="T31" i="1" s="1"/>
  <c r="S30" i="1"/>
  <c r="R30" i="1"/>
  <c r="Q30" i="1"/>
  <c r="U30" i="1" s="1"/>
  <c r="P30" i="1"/>
  <c r="T30" i="1" s="1"/>
  <c r="S29" i="1"/>
  <c r="R29" i="1"/>
  <c r="Q29" i="1"/>
  <c r="P29" i="1"/>
  <c r="T29" i="1" s="1"/>
  <c r="S28" i="1"/>
  <c r="R28" i="1"/>
  <c r="Q28" i="1"/>
  <c r="U28" i="1" s="1"/>
  <c r="P28" i="1"/>
  <c r="T28" i="1" s="1"/>
  <c r="S27" i="1"/>
  <c r="R27" i="1"/>
  <c r="Q27" i="1"/>
  <c r="U27" i="1" s="1"/>
  <c r="P27" i="1"/>
  <c r="T27" i="1" s="1"/>
  <c r="S26" i="1"/>
  <c r="R26" i="1"/>
  <c r="Q26" i="1"/>
  <c r="U26" i="1" s="1"/>
  <c r="P26" i="1"/>
  <c r="T26" i="1" s="1"/>
  <c r="S25" i="1"/>
  <c r="R25" i="1"/>
  <c r="Q25" i="1"/>
  <c r="U25" i="1" s="1"/>
  <c r="P25" i="1"/>
  <c r="T25" i="1" s="1"/>
  <c r="S24" i="1"/>
  <c r="R24" i="1"/>
  <c r="Q24" i="1"/>
  <c r="U24" i="1" s="1"/>
  <c r="P24" i="1"/>
  <c r="T24" i="1" s="1"/>
  <c r="S23" i="1"/>
  <c r="R23" i="1"/>
  <c r="Q23" i="1"/>
  <c r="U23" i="1" s="1"/>
  <c r="P23" i="1"/>
  <c r="T23" i="1" s="1"/>
  <c r="S22" i="1"/>
  <c r="R22" i="1"/>
  <c r="Q22" i="1"/>
  <c r="U22" i="1" s="1"/>
  <c r="P22" i="1"/>
  <c r="T22" i="1" s="1"/>
  <c r="S21" i="1"/>
  <c r="R21" i="1"/>
  <c r="Q21" i="1"/>
  <c r="U21" i="1" s="1"/>
  <c r="P21" i="1"/>
  <c r="T21" i="1" s="1"/>
  <c r="S20" i="1"/>
  <c r="R20" i="1"/>
  <c r="Q20" i="1"/>
  <c r="U20" i="1" s="1"/>
  <c r="P20" i="1"/>
  <c r="S19" i="1"/>
  <c r="R19" i="1"/>
  <c r="Q19" i="1"/>
  <c r="U19" i="1" s="1"/>
  <c r="P19" i="1"/>
  <c r="T19" i="1" s="1"/>
  <c r="S18" i="1"/>
  <c r="R18" i="1"/>
  <c r="Q18" i="1"/>
  <c r="U18" i="1" s="1"/>
  <c r="P18" i="1"/>
  <c r="T18" i="1" s="1"/>
  <c r="S17" i="1"/>
  <c r="R17" i="1"/>
  <c r="Q17" i="1"/>
  <c r="U17" i="1" s="1"/>
  <c r="P17" i="1"/>
  <c r="T17" i="1" s="1"/>
  <c r="S16" i="1"/>
  <c r="R16" i="1"/>
  <c r="Q16" i="1"/>
  <c r="U16" i="1" s="1"/>
  <c r="P16" i="1"/>
  <c r="T16" i="1" s="1"/>
  <c r="S15" i="1"/>
  <c r="R15" i="1"/>
  <c r="Q15" i="1"/>
  <c r="U15" i="1" s="1"/>
  <c r="P15" i="1"/>
  <c r="T15" i="1" s="1"/>
  <c r="S14" i="1"/>
  <c r="R14" i="1"/>
  <c r="Q14" i="1"/>
  <c r="U14" i="1" s="1"/>
  <c r="P14" i="1"/>
  <c r="S13" i="1"/>
  <c r="R13" i="1"/>
  <c r="Q13" i="1"/>
  <c r="U13" i="1" s="1"/>
  <c r="P13" i="1"/>
  <c r="T13" i="1" s="1"/>
  <c r="S12" i="1"/>
  <c r="R12" i="1"/>
  <c r="Q12" i="1"/>
  <c r="U12" i="1" s="1"/>
  <c r="P12" i="1"/>
  <c r="T12" i="1" s="1"/>
  <c r="S11" i="1"/>
  <c r="R11" i="1"/>
  <c r="Q11" i="1"/>
  <c r="U11" i="1" s="1"/>
  <c r="P11" i="1"/>
  <c r="T11" i="1" s="1"/>
  <c r="S10" i="1"/>
  <c r="R10" i="1"/>
  <c r="Q10" i="1"/>
  <c r="U10" i="1" s="1"/>
  <c r="P10" i="1"/>
  <c r="T10" i="1" s="1"/>
  <c r="S9" i="1"/>
  <c r="R9" i="1"/>
  <c r="Q9" i="1"/>
  <c r="U9" i="1" s="1"/>
  <c r="P9" i="1"/>
  <c r="T9" i="1" s="1"/>
  <c r="S8" i="1"/>
  <c r="R8" i="1"/>
  <c r="Q8" i="1"/>
  <c r="U8" i="1" s="1"/>
  <c r="P8" i="1"/>
  <c r="T8" i="1" s="1"/>
  <c r="S7" i="1"/>
  <c r="R7" i="1"/>
  <c r="Q7" i="1"/>
  <c r="U7" i="1" s="1"/>
  <c r="P7" i="1"/>
  <c r="T7" i="1" s="1"/>
  <c r="S6" i="1"/>
  <c r="R6" i="1"/>
  <c r="Q6" i="1"/>
  <c r="U6" i="1" s="1"/>
  <c r="P6" i="1"/>
  <c r="T6" i="1" s="1"/>
  <c r="S5" i="1"/>
  <c r="R5" i="1"/>
  <c r="Q5" i="1"/>
  <c r="U5" i="1" s="1"/>
  <c r="P5" i="1"/>
  <c r="T5" i="1" s="1"/>
  <c r="S4" i="1"/>
  <c r="R4" i="1"/>
  <c r="Q4" i="1"/>
  <c r="U4" i="1" s="1"/>
  <c r="P4" i="1"/>
  <c r="T4" i="1" s="1"/>
  <c r="R3" i="1"/>
  <c r="Q3" i="1"/>
  <c r="P3" i="1"/>
  <c r="U29" i="1"/>
  <c r="U38" i="1"/>
  <c r="T14" i="1"/>
  <c r="T20" i="1"/>
  <c r="C3" i="2"/>
  <c r="D3" i="2" s="1"/>
  <c r="E3" i="2" s="1" a="1"/>
  <c r="E3" i="2" s="1"/>
  <c r="C4" i="1" s="1"/>
  <c r="C4" i="2"/>
  <c r="D4" i="2" s="1"/>
  <c r="E4" i="2" s="1" a="1"/>
  <c r="E4" i="2" s="1"/>
  <c r="C5" i="1" s="1"/>
  <c r="C5" i="2"/>
  <c r="D5" i="2"/>
  <c r="E5" i="2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/>
  <c r="E8" i="2" a="1"/>
  <c r="E8" i="2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/>
  <c r="E11" i="2" a="1"/>
  <c r="E11" i="2" s="1"/>
  <c r="C12" i="1" s="1"/>
  <c r="C12" i="2"/>
  <c r="D12" i="2" s="1"/>
  <c r="E12" i="2" s="1" a="1"/>
  <c r="E12" i="2" s="1"/>
  <c r="C13" i="1" s="1"/>
  <c r="C13" i="2"/>
  <c r="D13" i="2" s="1"/>
  <c r="E13" i="2" s="1" a="1"/>
  <c r="E13" i="2" s="1"/>
  <c r="C14" i="1" s="1"/>
  <c r="C14" i="2"/>
  <c r="D14" i="2"/>
  <c r="E14" i="2" a="1"/>
  <c r="E14" i="2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/>
  <c r="E17" i="2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/>
  <c r="E20" i="2" a="1"/>
  <c r="E20" i="2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/>
  <c r="E23" i="2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/>
  <c r="E26" i="2" a="1"/>
  <c r="E26" i="2"/>
  <c r="C27" i="1" s="1"/>
  <c r="C27" i="2"/>
  <c r="D27" i="2" s="1"/>
  <c r="E27" i="2" s="1" a="1"/>
  <c r="E27" i="2" s="1"/>
  <c r="C28" i="1" s="1"/>
  <c r="C28" i="2"/>
  <c r="D28" i="2" s="1"/>
  <c r="E28" i="2" s="1" a="1"/>
  <c r="E28" i="2" s="1"/>
  <c r="C29" i="1" s="1"/>
  <c r="C29" i="2"/>
  <c r="D29" i="2"/>
  <c r="E29" i="2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/>
  <c r="E32" i="2" a="1"/>
  <c r="E32" i="2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/>
  <c r="E35" i="2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C38" i="2"/>
  <c r="D38" i="2"/>
  <c r="E38" i="2" a="1"/>
  <c r="E38" i="2"/>
  <c r="C39" i="1" s="1"/>
  <c r="C39" i="2"/>
  <c r="D39" i="2" s="1"/>
  <c r="E39" i="2" s="1" a="1"/>
  <c r="E39" i="2" s="1"/>
  <c r="C40" i="1" s="1"/>
  <c r="C40" i="2"/>
  <c r="D40" i="2" s="1"/>
  <c r="E40" i="2" s="1" a="1"/>
  <c r="E40" i="2" s="1"/>
  <c r="C41" i="1" s="1"/>
  <c r="C2" i="2"/>
  <c r="D2" i="2" s="1"/>
  <c r="E2" i="2" s="1" a="1"/>
  <c r="E2" i="2" s="1"/>
  <c r="C3" i="1" s="1"/>
  <c r="C1" i="2"/>
  <c r="D1" i="2" s="1"/>
  <c r="E1" i="2" s="1" a="1"/>
  <c r="E1" i="2" s="1"/>
  <c r="C2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3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6" i="1"/>
  <c r="Y4" i="1"/>
  <c r="Y2" i="1"/>
  <c r="S2" i="1"/>
  <c r="R2" i="1"/>
  <c r="Q2" i="1"/>
  <c r="P2" i="1"/>
  <c r="W38" i="1" l="1"/>
  <c r="W15" i="1"/>
  <c r="W13" i="1"/>
  <c r="W18" i="1"/>
  <c r="W6" i="1"/>
  <c r="W37" i="1"/>
  <c r="W25" i="1"/>
  <c r="W11" i="1"/>
  <c r="W14" i="1"/>
  <c r="W12" i="1"/>
  <c r="W40" i="1"/>
  <c r="W28" i="1"/>
  <c r="W22" i="1"/>
  <c r="W16" i="1"/>
  <c r="W4" i="1"/>
  <c r="U3" i="1"/>
  <c r="T3" i="1"/>
  <c r="W29" i="1"/>
  <c r="W2" i="1"/>
  <c r="W20" i="1"/>
  <c r="W23" i="1"/>
  <c r="W5" i="1"/>
  <c r="W10" i="1"/>
  <c r="W41" i="1"/>
  <c r="W34" i="1"/>
  <c r="W39" i="1"/>
  <c r="W26" i="1"/>
  <c r="W36" i="1"/>
  <c r="W21" i="1" l="1"/>
  <c r="W17" i="1"/>
  <c r="W30" i="1"/>
  <c r="W27" i="1"/>
  <c r="W7" i="1"/>
  <c r="W31" i="1"/>
  <c r="W3" i="1"/>
  <c r="W35" i="1"/>
  <c r="W24" i="1"/>
  <c r="W33" i="1"/>
  <c r="W19" i="1"/>
  <c r="W8" i="1"/>
  <c r="W9" i="1"/>
  <c r="W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<sst xmlns="http://schemas.openxmlformats.org/spreadsheetml/2006/main" count="185" uniqueCount="29">
  <si>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</si>
  <si>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</si>
  <si>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</si>
  <si>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</si>
  <si>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</si>
  <si>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</si>
  <si>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</si>
  <si>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</si>
  <si>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</si>
  <si>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</si>
  <si>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</si>
  <si>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</si>
  <si>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</si>
  <si>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</si>
  <si>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</si>
  <si>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</si>
  <si>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</si>
  <si>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</si>
  <si>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</si>
  <si>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</si>
  <si>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</si>
  <si>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</si>
  <si>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</si>
  <si>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</si>
  <si>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</si>
  <si>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</si>
  <si>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</si>
  <si>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</si>
  <si>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0.3Mna2so4ph2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</si>
</sst>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0" fontId="0" fillId="7" borderId="0" xfId="0" applyFill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8" borderId="1" xfId="0" applyNumberFormat="1" applyFill="1" applyBorder="1" applyAlignment="1">
      <alignment horizontal="center" vertical="center"/>
    </xf>
    <xf numFmtId="169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83"/>
  <sheetViews>
    <sheetView tabSelected="1" topLeftCell="J1" zoomScale="70" zoomScaleNormal="70" workbookViewId="0">
      <selection activeCell="S4" sqref="S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20" max="20" width="9.6640625" bestFit="1" customWidth="1"/>
    <col min="23" max="23" width="9.66406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>
        <f>+'Flow rate'!E1</f>
        <v>54.211965999999997</v>
      </c>
      <c r="D2" s="1" t="s">
        <v>25</v>
      </c>
      <c r="E2" s="1" t="s">
        <v>26</v>
      </c>
      <c r="F2" s="1" t="s">
        <v>24</v>
      </c>
      <c r="G2" s="16">
        <v>-0.125</v>
      </c>
      <c r="H2" s="15">
        <v>45425.683333333334</v>
      </c>
      <c r="I2">
        <v>0</v>
      </c>
      <c r="J2" s="13">
        <v>0</v>
      </c>
      <c r="K2">
        <v>0</v>
      </c>
      <c r="L2">
        <v>0</v>
      </c>
      <c r="N2">
        <v>0</v>
      </c>
      <c r="O2">
        <v>0</v>
      </c>
      <c r="P2" s="3">
        <f>+J2/100</f>
        <v>0</v>
      </c>
      <c r="Q2" s="3">
        <f>+K2/100</f>
        <v>0</v>
      </c>
      <c r="R2" s="3">
        <f>+L2/100</f>
        <v>0</v>
      </c>
      <c r="S2" s="3">
        <f>+N2/100</f>
        <v>0</v>
      </c>
      <c r="T2" s="4">
        <v>0</v>
      </c>
      <c r="U2" s="5">
        <v>0</v>
      </c>
      <c r="V2" s="14"/>
      <c r="W2" s="3">
        <f t="shared" ref="W2:W41" si="0">+T2+U2</f>
        <v>0</v>
      </c>
      <c r="X2" s="3">
        <v>0</v>
      </c>
      <c r="Y2">
        <f>+SUM(K2:L2)</f>
        <v>0</v>
      </c>
    </row>
    <row r="3" spans="1:25" ht="15.6" x14ac:dyDescent="0.3">
      <c r="A3" s="1" t="s">
        <v>23</v>
      </c>
      <c r="B3" s="1">
        <v>60</v>
      </c>
      <c r="C3" s="12">
        <f>+'Flow rate'!E2</f>
        <v>53.503743</v>
      </c>
      <c r="D3" s="1" t="s">
        <v>25</v>
      </c>
      <c r="E3" s="1" t="s">
        <v>26</v>
      </c>
      <c r="F3" s="1" t="s">
        <v>24</v>
      </c>
      <c r="G3" s="16">
        <v>-0.125</v>
      </c>
      <c r="H3" s="15">
        <v>45425.689583333333</v>
      </c>
      <c r="I3" s="2">
        <f>+(H3-H$2)*24</f>
        <v>0.1499999999650754</v>
      </c>
      <c r="J3" s="22">
        <v>0.29870440703277495</v>
      </c>
      <c r="K3" s="22">
        <v>0.42014949329526668</v>
      </c>
      <c r="L3" s="22">
        <v>86.174351245716082</v>
      </c>
      <c r="N3" s="22">
        <v>3.6615437972586449</v>
      </c>
      <c r="O3" s="22">
        <v>14.015397714347349</v>
      </c>
      <c r="P3" s="3">
        <f t="shared" ref="P3:P41" si="1">+J3/SUM($J3:$O3)</f>
        <v>2.8564979258439475E-3</v>
      </c>
      <c r="Q3" s="3">
        <f t="shared" ref="Q3:Q41" si="2">+K3/SUM($J3:$O3)</f>
        <v>4.0178722773602377E-3</v>
      </c>
      <c r="R3" s="3">
        <f t="shared" ref="R3:R41" si="3">+L3/SUM($J3:$O3)</f>
        <v>0.82408176712078618</v>
      </c>
      <c r="S3" s="3">
        <f>+N3/SUM($J3:$O3)</f>
        <v>3.5015192330618908E-2</v>
      </c>
      <c r="T3" s="4">
        <f>+P3*C3/1000/60/24.3*2*96485/-1/G3</f>
        <v>0.16182303355072522</v>
      </c>
      <c r="U3" s="5">
        <f>+Q3*C3/1000/60/24.3*2*96485/-1/G3</f>
        <v>0.22761587693073462</v>
      </c>
      <c r="V3" s="14"/>
      <c r="W3" s="3">
        <f t="shared" si="0"/>
        <v>0.38943891048145984</v>
      </c>
      <c r="X3" s="3">
        <f t="shared" ref="X3:X41" si="4">+K3/(K3+L3)</f>
        <v>4.8519188829503441E-3</v>
      </c>
    </row>
    <row r="4" spans="1:25" ht="15.6" x14ac:dyDescent="0.3">
      <c r="A4" s="1" t="s">
        <v>23</v>
      </c>
      <c r="B4" s="1">
        <v>60</v>
      </c>
      <c r="C4" s="12">
        <f>+'Flow rate'!E3</f>
        <v>57.611277999999999</v>
      </c>
      <c r="D4" s="1" t="s">
        <v>25</v>
      </c>
      <c r="E4" s="1" t="s">
        <v>26</v>
      </c>
      <c r="F4" s="1" t="s">
        <v>24</v>
      </c>
      <c r="G4" s="16">
        <v>-0.125</v>
      </c>
      <c r="H4" s="15">
        <v>45425.714583333334</v>
      </c>
      <c r="I4" s="2">
        <f t="shared" ref="I4:I41" si="5">+(H4-H$2)*24</f>
        <v>0.75</v>
      </c>
      <c r="J4" s="22">
        <v>0.67307815690005812</v>
      </c>
      <c r="K4" s="22">
        <v>1.0134991130572411</v>
      </c>
      <c r="L4" s="22">
        <v>101.01742590716553</v>
      </c>
      <c r="N4" s="22">
        <v>0.19952930617640305</v>
      </c>
      <c r="O4" s="22">
        <v>0.46945325965224105</v>
      </c>
      <c r="P4" s="3">
        <f t="shared" si="1"/>
        <v>6.5111610355701871E-3</v>
      </c>
      <c r="Q4" s="3">
        <f t="shared" si="2"/>
        <v>9.8042937018131635E-3</v>
      </c>
      <c r="R4" s="3">
        <f t="shared" si="3"/>
        <v>0.97721300377602227</v>
      </c>
      <c r="S4" s="3">
        <f t="shared" ref="S3:S41" si="6">+N4/SUM($J4:$O4)</f>
        <v>1.9301880925888613E-3</v>
      </c>
      <c r="T4" s="4">
        <f t="shared" ref="T4:T41" si="7">+P4*C4/1000/60/24.3*2*96485/-1/G4</f>
        <v>0.39718076299414912</v>
      </c>
      <c r="U4" s="5">
        <f t="shared" ref="U4:U41" si="8">+Q4*C4/1000/60/24.3*2*96485/-1/G4</f>
        <v>0.59806182520010065</v>
      </c>
      <c r="V4" s="14"/>
      <c r="W4" s="3">
        <f t="shared" si="0"/>
        <v>0.99524258819424971</v>
      </c>
      <c r="X4" s="3">
        <f t="shared" si="4"/>
        <v>9.9332541859868777E-3</v>
      </c>
      <c r="Y4" t="e">
        <f>+SUM(#REF!)</f>
        <v>#REF!</v>
      </c>
    </row>
    <row r="5" spans="1:25" ht="15.6" x14ac:dyDescent="0.3">
      <c r="A5" s="1" t="s">
        <v>23</v>
      </c>
      <c r="B5" s="1">
        <v>60</v>
      </c>
      <c r="C5" s="12">
        <f>+'Flow rate'!E4</f>
        <v>58.809843000000001</v>
      </c>
      <c r="D5" s="1" t="s">
        <v>25</v>
      </c>
      <c r="E5" s="1" t="s">
        <v>26</v>
      </c>
      <c r="F5" s="1" t="s">
        <v>24</v>
      </c>
      <c r="G5" s="16">
        <v>-0.125</v>
      </c>
      <c r="H5" s="15">
        <v>45425.738194444442</v>
      </c>
      <c r="I5" s="2">
        <f t="shared" si="5"/>
        <v>1.316666666592937</v>
      </c>
      <c r="J5" s="22">
        <v>0.64279380708772815</v>
      </c>
      <c r="K5" s="22">
        <v>1.0041434866978176</v>
      </c>
      <c r="L5" s="22">
        <v>101.11711046812609</v>
      </c>
      <c r="N5" s="22">
        <v>0.11020671629125436</v>
      </c>
      <c r="O5" s="22">
        <v>0.2212229474322665</v>
      </c>
      <c r="P5" s="3">
        <f t="shared" si="1"/>
        <v>6.2349370034334266E-3</v>
      </c>
      <c r="Q5" s="3">
        <f t="shared" si="2"/>
        <v>9.7399373063879208E-3</v>
      </c>
      <c r="R5" s="3">
        <f t="shared" si="3"/>
        <v>0.98081034195766637</v>
      </c>
      <c r="S5" s="3">
        <f t="shared" si="6"/>
        <v>1.0689772145509359E-3</v>
      </c>
      <c r="T5" s="4">
        <f t="shared" si="7"/>
        <v>0.38824363963438019</v>
      </c>
      <c r="U5" s="5">
        <f t="shared" si="8"/>
        <v>0.60649669877343826</v>
      </c>
      <c r="V5" s="14"/>
      <c r="W5" s="3">
        <f t="shared" si="0"/>
        <v>0.99474033840781839</v>
      </c>
      <c r="X5" s="3">
        <f t="shared" si="4"/>
        <v>9.8328550405582336E-3</v>
      </c>
    </row>
    <row r="6" spans="1:25" ht="15.6" x14ac:dyDescent="0.3">
      <c r="A6" s="1" t="s">
        <v>23</v>
      </c>
      <c r="B6" s="1">
        <v>60</v>
      </c>
      <c r="C6" s="12">
        <f>+'Flow rate'!E5</f>
        <v>60.316301000000003</v>
      </c>
      <c r="D6" s="1" t="s">
        <v>25</v>
      </c>
      <c r="E6" s="1" t="s">
        <v>26</v>
      </c>
      <c r="F6" s="1" t="s">
        <v>24</v>
      </c>
      <c r="G6" s="16">
        <v>-0.125</v>
      </c>
      <c r="H6" s="15">
        <v>45425.757638888892</v>
      </c>
      <c r="I6" s="2">
        <f t="shared" si="5"/>
        <v>1.78333333338378</v>
      </c>
      <c r="J6" s="22">
        <v>0.67127751149026915</v>
      </c>
      <c r="K6" s="22">
        <v>0.94531284242530533</v>
      </c>
      <c r="L6" s="22">
        <v>100.92542948214923</v>
      </c>
      <c r="N6" s="22">
        <v>8.2377158975318027E-2</v>
      </c>
      <c r="O6" s="22">
        <v>0.15794587215340455</v>
      </c>
      <c r="P6" s="3">
        <f t="shared" si="1"/>
        <v>6.5310586698498988E-3</v>
      </c>
      <c r="Q6" s="3">
        <f t="shared" si="2"/>
        <v>9.1972299526851334E-3</v>
      </c>
      <c r="R6" s="3">
        <f t="shared" si="3"/>
        <v>0.98193353709164188</v>
      </c>
      <c r="S6" s="3">
        <f t="shared" si="6"/>
        <v>8.0147189368662947E-4</v>
      </c>
      <c r="T6" s="4">
        <f t="shared" si="7"/>
        <v>0.4171003409206725</v>
      </c>
      <c r="U6" s="5">
        <f t="shared" si="8"/>
        <v>0.58737303440560806</v>
      </c>
      <c r="V6" s="14"/>
      <c r="W6" s="3">
        <f t="shared" si="0"/>
        <v>1.0044733753262807</v>
      </c>
      <c r="X6" s="3">
        <f t="shared" si="4"/>
        <v>9.279532286251585E-3</v>
      </c>
      <c r="Y6" t="e">
        <f>+SUM(#REF!)</f>
        <v>#REF!</v>
      </c>
    </row>
    <row r="7" spans="1:25" ht="15.6" x14ac:dyDescent="0.3">
      <c r="A7" s="1" t="s">
        <v>23</v>
      </c>
      <c r="B7" s="1">
        <v>60</v>
      </c>
      <c r="C7" s="12">
        <f>+'Flow rate'!E6</f>
        <v>60.825646999999996</v>
      </c>
      <c r="D7" s="1" t="s">
        <v>25</v>
      </c>
      <c r="E7" s="1" t="s">
        <v>26</v>
      </c>
      <c r="F7" s="1" t="s">
        <v>24</v>
      </c>
      <c r="G7" s="16">
        <v>-0.27</v>
      </c>
      <c r="H7" s="15">
        <v>45425.782638888886</v>
      </c>
      <c r="I7" s="2">
        <f t="shared" si="5"/>
        <v>2.3833333332440816</v>
      </c>
      <c r="J7" s="22">
        <v>0.43934340144737694</v>
      </c>
      <c r="K7" s="22">
        <v>2.7508132433727499</v>
      </c>
      <c r="L7" s="22">
        <v>99.049691744533831</v>
      </c>
      <c r="N7" s="22">
        <v>6.4978069615618514E-2</v>
      </c>
      <c r="O7" s="22">
        <v>0.12307048621947214</v>
      </c>
      <c r="P7" s="3">
        <f t="shared" si="1"/>
        <v>4.289294367553766E-3</v>
      </c>
      <c r="Q7" s="3">
        <f t="shared" si="2"/>
        <v>2.6856094144398553E-2</v>
      </c>
      <c r="R7" s="3">
        <f t="shared" si="3"/>
        <v>0.96701869996937506</v>
      </c>
      <c r="S7" s="3">
        <f t="shared" si="6"/>
        <v>6.3437863661683315E-4</v>
      </c>
      <c r="T7" s="4">
        <f t="shared" si="7"/>
        <v>0.1278913283220823</v>
      </c>
      <c r="U7" s="5">
        <f t="shared" si="8"/>
        <v>0.80075211896190168</v>
      </c>
      <c r="V7" s="14"/>
      <c r="W7" s="3">
        <f t="shared" si="0"/>
        <v>0.92864344728398396</v>
      </c>
      <c r="X7" s="3">
        <f t="shared" si="4"/>
        <v>2.7021607050962404E-2</v>
      </c>
    </row>
    <row r="8" spans="1:25" ht="15.6" x14ac:dyDescent="0.3">
      <c r="A8" s="1" t="s">
        <v>23</v>
      </c>
      <c r="B8" s="1">
        <v>60</v>
      </c>
      <c r="C8" s="12">
        <f>+'Flow rate'!E7</f>
        <v>61.303486999999997</v>
      </c>
      <c r="D8" s="1" t="s">
        <v>25</v>
      </c>
      <c r="E8" s="1" t="s">
        <v>26</v>
      </c>
      <c r="F8" s="1" t="s">
        <v>24</v>
      </c>
      <c r="G8" s="16">
        <v>-0.27</v>
      </c>
      <c r="H8" s="15">
        <v>45425.801388888889</v>
      </c>
      <c r="I8" s="2">
        <f t="shared" si="5"/>
        <v>2.8333333333139308</v>
      </c>
      <c r="J8" s="22">
        <v>0.4535732868886917</v>
      </c>
      <c r="K8" s="22">
        <v>2.8535565779441812</v>
      </c>
      <c r="L8" s="22">
        <v>99.073289035302921</v>
      </c>
      <c r="N8" s="22">
        <v>5.9659043526269405E-2</v>
      </c>
      <c r="O8" s="22">
        <v>0.11491352598922538</v>
      </c>
      <c r="P8" s="3">
        <f t="shared" si="1"/>
        <v>4.4227324325107663E-3</v>
      </c>
      <c r="Q8" s="3">
        <f t="shared" si="2"/>
        <v>2.7824648386701133E-2</v>
      </c>
      <c r="R8" s="3">
        <f t="shared" si="3"/>
        <v>0.96605038541318888</v>
      </c>
      <c r="S8" s="3">
        <f t="shared" si="6"/>
        <v>5.8172735106632118E-4</v>
      </c>
      <c r="T8" s="4">
        <f t="shared" si="7"/>
        <v>0.132905928281534</v>
      </c>
      <c r="U8" s="5">
        <f t="shared" si="8"/>
        <v>0.83614841715451205</v>
      </c>
      <c r="V8" s="14"/>
      <c r="W8" s="3">
        <f t="shared" si="0"/>
        <v>0.96905434543604607</v>
      </c>
      <c r="X8" s="3">
        <f t="shared" si="4"/>
        <v>2.799612369808601E-2</v>
      </c>
      <c r="Y8" t="e">
        <f>+SUM(#REF!)</f>
        <v>#REF!</v>
      </c>
    </row>
    <row r="9" spans="1:25" ht="15.6" x14ac:dyDescent="0.3">
      <c r="A9" s="1" t="s">
        <v>23</v>
      </c>
      <c r="B9" s="1">
        <v>60</v>
      </c>
      <c r="C9" s="12">
        <f>+'Flow rate'!E8</f>
        <v>61.767339999999997</v>
      </c>
      <c r="D9" s="1" t="s">
        <v>25</v>
      </c>
      <c r="E9" s="1" t="s">
        <v>26</v>
      </c>
      <c r="F9" s="1" t="s">
        <v>24</v>
      </c>
      <c r="G9" s="16">
        <v>-0.27</v>
      </c>
      <c r="H9" s="15">
        <v>45425.819444444445</v>
      </c>
      <c r="I9" s="2">
        <f t="shared" si="5"/>
        <v>3.2666666666627862</v>
      </c>
      <c r="J9" s="22">
        <v>0.4974314621259473</v>
      </c>
      <c r="K9" s="22">
        <v>2.7834423547972</v>
      </c>
      <c r="L9" s="22">
        <v>98.869777809365431</v>
      </c>
      <c r="N9" s="22">
        <v>5.0741370296779463E-2</v>
      </c>
      <c r="O9" s="22">
        <v>9.0821394421749579E-2</v>
      </c>
      <c r="P9" s="3">
        <f t="shared" si="1"/>
        <v>4.8628477258742218E-3</v>
      </c>
      <c r="Q9" s="3">
        <f t="shared" si="2"/>
        <v>2.7210696057058892E-2</v>
      </c>
      <c r="R9" s="3">
        <f t="shared" si="3"/>
        <v>0.96654255065239303</v>
      </c>
      <c r="S9" s="3">
        <f t="shared" si="6"/>
        <v>4.9604332645320393E-4</v>
      </c>
      <c r="T9" s="4">
        <f t="shared" si="7"/>
        <v>0.14723737904137654</v>
      </c>
      <c r="U9" s="5">
        <f t="shared" si="8"/>
        <v>0.82388587823045834</v>
      </c>
      <c r="V9" s="14"/>
      <c r="W9" s="3">
        <f t="shared" si="0"/>
        <v>0.97112325727183491</v>
      </c>
      <c r="X9" s="3">
        <f t="shared" si="4"/>
        <v>2.7381743050560927E-2</v>
      </c>
    </row>
    <row r="10" spans="1:25" ht="15.6" x14ac:dyDescent="0.3">
      <c r="A10" s="1" t="s">
        <v>23</v>
      </c>
      <c r="B10" s="1">
        <v>60</v>
      </c>
      <c r="C10" s="12">
        <f>+'Flow rate'!E9</f>
        <v>62.268996999999999</v>
      </c>
      <c r="D10" s="1" t="s">
        <v>25</v>
      </c>
      <c r="E10" s="1" t="s">
        <v>26</v>
      </c>
      <c r="F10" s="1" t="s">
        <v>24</v>
      </c>
      <c r="G10" s="16">
        <v>-0.27</v>
      </c>
      <c r="H10" s="15">
        <v>45425.838194444441</v>
      </c>
      <c r="I10" s="2">
        <f t="shared" si="5"/>
        <v>3.7166666665580124</v>
      </c>
      <c r="J10" s="22">
        <v>0.53146774314788436</v>
      </c>
      <c r="K10" s="22">
        <v>2.7399200708693572</v>
      </c>
      <c r="L10" s="22">
        <v>99.028978377267904</v>
      </c>
      <c r="N10" s="22">
        <v>4.5803959743488436E-2</v>
      </c>
      <c r="O10" s="22">
        <v>7.8710134082787653E-2</v>
      </c>
      <c r="P10" s="3">
        <f t="shared" si="1"/>
        <v>5.1888539353766661E-3</v>
      </c>
      <c r="Q10" s="3">
        <f t="shared" si="2"/>
        <v>2.6750532324201645E-2</v>
      </c>
      <c r="R10" s="3">
        <f t="shared" si="3"/>
        <v>0.96684495116430069</v>
      </c>
      <c r="S10" s="3">
        <f t="shared" si="6"/>
        <v>4.4719563855957507E-4</v>
      </c>
      <c r="T10" s="4">
        <f t="shared" si="7"/>
        <v>0.15838418882850591</v>
      </c>
      <c r="U10" s="5">
        <f t="shared" si="8"/>
        <v>0.81653124479246775</v>
      </c>
      <c r="V10" s="14"/>
      <c r="W10" s="3">
        <f t="shared" si="0"/>
        <v>0.97491543362097366</v>
      </c>
      <c r="X10" s="3">
        <f t="shared" si="4"/>
        <v>2.6922960871642487E-2</v>
      </c>
      <c r="Y10" t="e">
        <f>+SUM(#REF!)</f>
        <v>#REF!</v>
      </c>
    </row>
    <row r="11" spans="1:25" ht="15.6" x14ac:dyDescent="0.3">
      <c r="A11" s="1" t="s">
        <v>23</v>
      </c>
      <c r="B11" s="1">
        <v>60</v>
      </c>
      <c r="C11" s="12">
        <f>+'Flow rate'!E10</f>
        <v>63.610120999999999</v>
      </c>
      <c r="D11" s="1" t="s">
        <v>25</v>
      </c>
      <c r="E11" s="1" t="s">
        <v>26</v>
      </c>
      <c r="F11" s="1" t="s">
        <v>24</v>
      </c>
      <c r="G11" s="16">
        <v>-0.52</v>
      </c>
      <c r="H11" s="15">
        <v>45425.856249999997</v>
      </c>
      <c r="I11" s="2">
        <f t="shared" si="5"/>
        <v>4.1499999999068677</v>
      </c>
      <c r="J11" s="22">
        <v>0.78904873155678545</v>
      </c>
      <c r="K11" s="22">
        <v>3.791316855013295</v>
      </c>
      <c r="L11" s="22">
        <v>97.400611841693788</v>
      </c>
      <c r="N11" s="22">
        <v>4.490374816277163E-2</v>
      </c>
      <c r="O11" s="22">
        <v>7.4981952855399381E-2</v>
      </c>
      <c r="P11" s="3">
        <f t="shared" si="1"/>
        <v>7.72812988424669E-3</v>
      </c>
      <c r="Q11" s="3">
        <f t="shared" si="2"/>
        <v>3.7133053911725097E-2</v>
      </c>
      <c r="R11" s="3">
        <f t="shared" si="3"/>
        <v>0.95396462729568998</v>
      </c>
      <c r="S11" s="3">
        <f t="shared" si="6"/>
        <v>4.3979792909207494E-4</v>
      </c>
      <c r="T11" s="4">
        <f t="shared" si="7"/>
        <v>0.12512081467043082</v>
      </c>
      <c r="U11" s="5">
        <f t="shared" si="8"/>
        <v>0.60119563545469046</v>
      </c>
      <c r="V11" s="14"/>
      <c r="W11" s="3">
        <f t="shared" si="0"/>
        <v>0.72631645012512125</v>
      </c>
      <c r="X11" s="3">
        <f t="shared" si="4"/>
        <v>3.7466593470875012E-2</v>
      </c>
    </row>
    <row r="12" spans="1:25" ht="15.6" x14ac:dyDescent="0.3">
      <c r="A12" s="1" t="s">
        <v>23</v>
      </c>
      <c r="B12" s="1">
        <v>60</v>
      </c>
      <c r="C12" s="12">
        <f>+'Flow rate'!E11</f>
        <v>63.468753</v>
      </c>
      <c r="D12" s="1" t="s">
        <v>25</v>
      </c>
      <c r="E12" s="1" t="s">
        <v>26</v>
      </c>
      <c r="F12" s="1" t="s">
        <v>24</v>
      </c>
      <c r="G12" s="16">
        <v>-0.52</v>
      </c>
      <c r="H12" s="15">
        <v>45425.875</v>
      </c>
      <c r="I12" s="2">
        <f t="shared" si="5"/>
        <v>4.5999999999767169</v>
      </c>
      <c r="J12" s="22">
        <v>0.99621024063748365</v>
      </c>
      <c r="K12" s="22">
        <v>4.7979491823267066</v>
      </c>
      <c r="L12" s="22">
        <v>96.276010441447298</v>
      </c>
      <c r="N12" s="22">
        <v>4.61634458040035E-2</v>
      </c>
      <c r="O12" s="22">
        <v>7.7734347000216086E-2</v>
      </c>
      <c r="P12" s="3">
        <f t="shared" si="1"/>
        <v>9.748219867116166E-3</v>
      </c>
      <c r="Q12" s="3">
        <f t="shared" si="2"/>
        <v>4.694939043252707E-2</v>
      </c>
      <c r="R12" s="3">
        <f t="shared" si="3"/>
        <v>0.94209001215590094</v>
      </c>
      <c r="S12" s="3">
        <f t="shared" si="6"/>
        <v>4.5172334228682601E-4</v>
      </c>
      <c r="T12" s="4">
        <f t="shared" si="7"/>
        <v>0.15747594050572417</v>
      </c>
      <c r="U12" s="5">
        <f t="shared" si="8"/>
        <v>0.75843584934649744</v>
      </c>
      <c r="V12" s="14"/>
      <c r="W12" s="3">
        <f t="shared" si="0"/>
        <v>0.91591178985222155</v>
      </c>
      <c r="X12" s="3">
        <f t="shared" si="4"/>
        <v>4.7469686556122236E-2</v>
      </c>
      <c r="Y12" t="e">
        <f>+SUM(#REF!)</f>
        <v>#REF!</v>
      </c>
    </row>
    <row r="13" spans="1:25" ht="15.6" x14ac:dyDescent="0.3">
      <c r="A13" s="1" t="s">
        <v>23</v>
      </c>
      <c r="B13" s="1">
        <v>60</v>
      </c>
      <c r="C13" s="12">
        <f>+'Flow rate'!E12</f>
        <v>63.193725999999998</v>
      </c>
      <c r="D13" s="1" t="s">
        <v>25</v>
      </c>
      <c r="E13" s="1" t="s">
        <v>26</v>
      </c>
      <c r="F13" s="1" t="s">
        <v>24</v>
      </c>
      <c r="G13" s="16">
        <v>-0.52</v>
      </c>
      <c r="H13" s="15">
        <v>45425.893055555556</v>
      </c>
      <c r="I13" s="2">
        <f t="shared" si="5"/>
        <v>5.0333333333255723</v>
      </c>
      <c r="J13" s="22">
        <v>0.98620391753343739</v>
      </c>
      <c r="K13" s="22">
        <v>4.9842465435808574</v>
      </c>
      <c r="L13" s="22">
        <v>95.778704468165984</v>
      </c>
      <c r="N13" s="22">
        <v>4.3113768850146068E-2</v>
      </c>
      <c r="O13" s="22">
        <v>6.764528007877435E-2</v>
      </c>
      <c r="P13" s="3">
        <f t="shared" si="1"/>
        <v>9.6819629922759911E-3</v>
      </c>
      <c r="Q13" s="3">
        <f t="shared" si="2"/>
        <v>4.8932365529457768E-2</v>
      </c>
      <c r="R13" s="3">
        <f t="shared" si="3"/>
        <v>0.94029830506882062</v>
      </c>
      <c r="S13" s="3">
        <f t="shared" si="6"/>
        <v>4.2326531769278103E-4</v>
      </c>
      <c r="T13" s="4">
        <f t="shared" si="7"/>
        <v>0.15572785810433065</v>
      </c>
      <c r="U13" s="5">
        <f t="shared" si="8"/>
        <v>0.78704416469674343</v>
      </c>
      <c r="V13" s="14"/>
      <c r="W13" s="3">
        <f t="shared" si="0"/>
        <v>0.94277202280107408</v>
      </c>
      <c r="X13" s="3">
        <f t="shared" si="4"/>
        <v>4.9465071174818999E-2</v>
      </c>
    </row>
    <row r="14" spans="1:25" ht="15.6" x14ac:dyDescent="0.3">
      <c r="A14" s="1" t="s">
        <v>23</v>
      </c>
      <c r="B14" s="1">
        <v>60</v>
      </c>
      <c r="C14" s="12">
        <f>+'Flow rate'!E13</f>
        <v>63.279152000000003</v>
      </c>
      <c r="D14" s="1" t="s">
        <v>25</v>
      </c>
      <c r="E14" s="1" t="s">
        <v>26</v>
      </c>
      <c r="F14" s="1" t="s">
        <v>24</v>
      </c>
      <c r="G14" s="16">
        <v>-0.52</v>
      </c>
      <c r="H14" s="15">
        <v>45425.912499999999</v>
      </c>
      <c r="I14" s="2">
        <f t="shared" si="5"/>
        <v>5.4999999999417923</v>
      </c>
      <c r="J14" s="22">
        <v>0.98600752188475471</v>
      </c>
      <c r="K14" s="22">
        <v>5.0029746518379339</v>
      </c>
      <c r="L14" s="22">
        <v>96.310251338684935</v>
      </c>
      <c r="N14" s="22">
        <v>4.2856843472849085E-2</v>
      </c>
      <c r="O14" s="22">
        <v>6.850137748319185E-2</v>
      </c>
      <c r="P14" s="3">
        <f t="shared" si="1"/>
        <v>9.6279838363977528E-3</v>
      </c>
      <c r="Q14" s="3">
        <f t="shared" si="2"/>
        <v>4.8852121320260358E-2</v>
      </c>
      <c r="R14" s="3">
        <f t="shared" si="3"/>
        <v>0.94043252468883709</v>
      </c>
      <c r="S14" s="3">
        <f t="shared" si="6"/>
        <v>4.1848057654457477E-4</v>
      </c>
      <c r="T14" s="4">
        <f t="shared" si="7"/>
        <v>0.15506898074199837</v>
      </c>
      <c r="U14" s="5">
        <f t="shared" si="8"/>
        <v>0.78681568113761269</v>
      </c>
      <c r="V14" s="14"/>
      <c r="W14" s="3">
        <f t="shared" si="0"/>
        <v>0.94188466187961106</v>
      </c>
      <c r="X14" s="3">
        <f t="shared" si="4"/>
        <v>4.9381258990863902E-2</v>
      </c>
      <c r="Y14" t="e">
        <f>+SUM(#REF!)</f>
        <v>#REF!</v>
      </c>
    </row>
    <row r="15" spans="1:25" ht="15.6" x14ac:dyDescent="0.3">
      <c r="A15" s="1" t="s">
        <v>23</v>
      </c>
      <c r="B15" s="1">
        <v>60</v>
      </c>
      <c r="C15" s="12">
        <f>+'Flow rate'!E14</f>
        <v>62.109763000000001</v>
      </c>
      <c r="D15" s="1" t="s">
        <v>25</v>
      </c>
      <c r="E15" s="1" t="s">
        <v>26</v>
      </c>
      <c r="F15" s="1" t="s">
        <v>24</v>
      </c>
      <c r="G15" s="16">
        <v>-0.52</v>
      </c>
      <c r="H15" s="15">
        <v>45425.929861111108</v>
      </c>
      <c r="I15" s="2">
        <f t="shared" si="5"/>
        <v>5.9166666665696539</v>
      </c>
      <c r="J15" s="22">
        <v>0.99131372403447637</v>
      </c>
      <c r="K15" s="22">
        <v>4.9856977251575456</v>
      </c>
      <c r="L15" s="22">
        <v>95.953162185385295</v>
      </c>
      <c r="N15" s="22">
        <v>4.2828614747460164E-2</v>
      </c>
      <c r="O15" s="22">
        <v>6.884873519885526E-2</v>
      </c>
      <c r="P15" s="3">
        <f t="shared" si="1"/>
        <v>9.7147759911256973E-3</v>
      </c>
      <c r="Q15" s="3">
        <f t="shared" si="2"/>
        <v>4.885934228999541E-2</v>
      </c>
      <c r="R15" s="3">
        <f t="shared" si="3"/>
        <v>0.94033145478650926</v>
      </c>
      <c r="S15" s="3">
        <f t="shared" si="6"/>
        <v>4.197161687507594E-4</v>
      </c>
      <c r="T15" s="4">
        <f t="shared" si="7"/>
        <v>0.15357537771380828</v>
      </c>
      <c r="U15" s="5">
        <f t="shared" si="8"/>
        <v>0.7723896005310581</v>
      </c>
      <c r="V15" s="14"/>
      <c r="W15" s="3">
        <f t="shared" si="0"/>
        <v>0.92596497824486634</v>
      </c>
      <c r="X15" s="3">
        <f t="shared" si="4"/>
        <v>4.9393243886211163E-2</v>
      </c>
    </row>
    <row r="16" spans="1:25" ht="15.6" x14ac:dyDescent="0.3">
      <c r="A16" s="1" t="s">
        <v>23</v>
      </c>
      <c r="B16" s="1">
        <v>60</v>
      </c>
      <c r="C16" s="12">
        <f>+'Flow rate'!E15</f>
        <v>63.12688</v>
      </c>
      <c r="D16" s="1" t="s">
        <v>25</v>
      </c>
      <c r="E16" s="1" t="s">
        <v>26</v>
      </c>
      <c r="F16" s="1" t="s">
        <v>24</v>
      </c>
      <c r="G16" s="16">
        <v>-0.77</v>
      </c>
      <c r="H16" s="15">
        <v>45425.948611111111</v>
      </c>
      <c r="I16" s="2">
        <f t="shared" si="5"/>
        <v>6.3666666666395031</v>
      </c>
      <c r="J16" s="22">
        <v>2.1040443063595906</v>
      </c>
      <c r="K16" s="22">
        <v>6.1011770182269656</v>
      </c>
      <c r="L16" s="22">
        <v>93.587691712716165</v>
      </c>
      <c r="N16" s="22">
        <v>4.5578231763137272E-2</v>
      </c>
      <c r="O16" s="22">
        <v>7.2846745211440356E-2</v>
      </c>
      <c r="P16" s="3">
        <f t="shared" si="1"/>
        <v>2.0645831438939836E-2</v>
      </c>
      <c r="Q16" s="3">
        <f t="shared" si="2"/>
        <v>5.9867499898511978E-2</v>
      </c>
      <c r="R16" s="3">
        <f t="shared" si="3"/>
        <v>0.91832462939113779</v>
      </c>
      <c r="S16" s="3">
        <f t="shared" si="6"/>
        <v>4.4723416109748238E-4</v>
      </c>
      <c r="T16" s="4">
        <f t="shared" si="7"/>
        <v>0.22402075167486224</v>
      </c>
      <c r="U16" s="5">
        <f t="shared" si="8"/>
        <v>0.64960146399645657</v>
      </c>
      <c r="V16" s="14"/>
      <c r="W16" s="3">
        <f t="shared" si="0"/>
        <v>0.87362221567131881</v>
      </c>
      <c r="X16" s="3">
        <f t="shared" si="4"/>
        <v>6.1202189330624615E-2</v>
      </c>
      <c r="Y16" t="e">
        <f>+SUM(#REF!)</f>
        <v>#REF!</v>
      </c>
    </row>
    <row r="17" spans="1:25" ht="15.6" x14ac:dyDescent="0.3">
      <c r="A17" s="1" t="s">
        <v>23</v>
      </c>
      <c r="B17" s="1">
        <v>60</v>
      </c>
      <c r="C17" s="12">
        <f>+'Flow rate'!E16</f>
        <v>63.417219000000003</v>
      </c>
      <c r="D17" s="1" t="s">
        <v>25</v>
      </c>
      <c r="E17" s="1" t="s">
        <v>26</v>
      </c>
      <c r="F17" s="1" t="s">
        <v>24</v>
      </c>
      <c r="G17" s="16">
        <v>-0.77</v>
      </c>
      <c r="H17" s="15">
        <v>45425.966666666667</v>
      </c>
      <c r="I17" s="2">
        <f t="shared" si="5"/>
        <v>6.7999999999883585</v>
      </c>
      <c r="J17" s="22">
        <v>2.2037034832697842</v>
      </c>
      <c r="K17" s="22">
        <v>6.2515260112578952</v>
      </c>
      <c r="L17" s="22">
        <v>93.451476841741879</v>
      </c>
      <c r="N17" s="22">
        <v>4.3013607800487616E-2</v>
      </c>
      <c r="O17" s="22">
        <v>6.3450988363069394E-2</v>
      </c>
      <c r="P17" s="3">
        <f t="shared" si="1"/>
        <v>2.1602146694659395E-2</v>
      </c>
      <c r="Q17" s="3">
        <f t="shared" si="2"/>
        <v>6.1281557607874952E-2</v>
      </c>
      <c r="R17" s="3">
        <f t="shared" si="3"/>
        <v>0.91607265990818032</v>
      </c>
      <c r="S17" s="3">
        <f t="shared" si="6"/>
        <v>4.2164759126031895E-4</v>
      </c>
      <c r="T17" s="4">
        <f t="shared" si="7"/>
        <v>0.23547545886056032</v>
      </c>
      <c r="U17" s="5">
        <f t="shared" si="8"/>
        <v>0.66800318974649675</v>
      </c>
      <c r="V17" s="14"/>
      <c r="W17" s="3">
        <f t="shared" si="0"/>
        <v>0.90347864860705707</v>
      </c>
      <c r="X17" s="3">
        <f t="shared" si="4"/>
        <v>6.2701481724427369E-2</v>
      </c>
    </row>
    <row r="18" spans="1:25" ht="15.6" x14ac:dyDescent="0.3">
      <c r="A18" s="1" t="s">
        <v>23</v>
      </c>
      <c r="B18" s="1">
        <v>60</v>
      </c>
      <c r="C18" s="12">
        <f>+'Flow rate'!E17</f>
        <v>63.255003000000002</v>
      </c>
      <c r="D18" s="1" t="s">
        <v>25</v>
      </c>
      <c r="E18" s="1" t="s">
        <v>26</v>
      </c>
      <c r="F18" s="1" t="s">
        <v>24</v>
      </c>
      <c r="G18" s="16">
        <v>-0.77</v>
      </c>
      <c r="H18" s="15">
        <v>45425.986111111109</v>
      </c>
      <c r="I18" s="2">
        <f t="shared" si="5"/>
        <v>7.2666666666045785</v>
      </c>
      <c r="J18" s="22">
        <v>2.2239350507923574</v>
      </c>
      <c r="K18" s="22">
        <v>6.2864893739330636</v>
      </c>
      <c r="L18" s="22">
        <v>93.470321169411278</v>
      </c>
      <c r="N18" s="22">
        <v>4.432263596927296E-2</v>
      </c>
      <c r="O18" s="22">
        <v>7.0396503091711471E-2</v>
      </c>
      <c r="P18" s="3">
        <f t="shared" si="1"/>
        <v>2.1782897571445366E-2</v>
      </c>
      <c r="Q18" s="3">
        <f t="shared" si="2"/>
        <v>6.1574619307148609E-2</v>
      </c>
      <c r="R18" s="3">
        <f t="shared" si="3"/>
        <v>0.91551883733203854</v>
      </c>
      <c r="S18" s="3">
        <f t="shared" si="6"/>
        <v>4.3412933263098098E-4</v>
      </c>
      <c r="T18" s="4">
        <f t="shared" si="7"/>
        <v>0.23683837775456831</v>
      </c>
      <c r="U18" s="5">
        <f t="shared" si="8"/>
        <v>0.66948085761909748</v>
      </c>
      <c r="V18" s="14"/>
      <c r="W18" s="3">
        <f t="shared" si="0"/>
        <v>0.90631923537366577</v>
      </c>
      <c r="X18" s="3">
        <f t="shared" si="4"/>
        <v>6.301814722917172E-2</v>
      </c>
      <c r="Y18" t="e">
        <f>+SUM(#REF!)</f>
        <v>#REF!</v>
      </c>
    </row>
    <row r="19" spans="1:25" ht="15.6" x14ac:dyDescent="0.3">
      <c r="A19" s="1" t="s">
        <v>23</v>
      </c>
      <c r="B19" s="1">
        <v>60</v>
      </c>
      <c r="C19" s="12">
        <f>+'Flow rate'!E18</f>
        <v>63.321190000000001</v>
      </c>
      <c r="D19" s="1" t="s">
        <v>25</v>
      </c>
      <c r="E19" s="1" t="s">
        <v>26</v>
      </c>
      <c r="F19" s="1" t="s">
        <v>24</v>
      </c>
      <c r="G19" s="16">
        <v>-0.77</v>
      </c>
      <c r="H19" s="15">
        <v>45426.003472222219</v>
      </c>
      <c r="I19" s="2">
        <f t="shared" si="5"/>
        <v>7.6833333332324401</v>
      </c>
      <c r="J19" s="22">
        <v>2.2458102879911861</v>
      </c>
      <c r="K19" s="22">
        <v>6.3076841698126342</v>
      </c>
      <c r="L19" s="22">
        <v>93.396013206546087</v>
      </c>
      <c r="N19" s="22">
        <v>4.2721410585644923E-2</v>
      </c>
      <c r="O19" s="22">
        <v>6.2796794094796771E-2</v>
      </c>
      <c r="P19" s="3">
        <f t="shared" si="1"/>
        <v>2.2005876426637608E-2</v>
      </c>
      <c r="Q19" s="3">
        <f t="shared" si="2"/>
        <v>6.1806698064115297E-2</v>
      </c>
      <c r="R19" s="3">
        <f t="shared" si="3"/>
        <v>0.91515349108238353</v>
      </c>
      <c r="S19" s="3">
        <f t="shared" si="6"/>
        <v>4.1861153061163622E-4</v>
      </c>
      <c r="T19" s="4">
        <f t="shared" si="7"/>
        <v>0.23951310756664068</v>
      </c>
      <c r="U19" s="5">
        <f t="shared" si="8"/>
        <v>0.67270732756864993</v>
      </c>
      <c r="V19" s="14"/>
      <c r="W19" s="3">
        <f t="shared" si="0"/>
        <v>0.91222043513529061</v>
      </c>
      <c r="X19" s="3">
        <f t="shared" si="4"/>
        <v>6.3264295465418549E-2</v>
      </c>
    </row>
    <row r="20" spans="1:25" ht="15.6" x14ac:dyDescent="0.3">
      <c r="A20" s="1" t="s">
        <v>23</v>
      </c>
      <c r="B20" s="1">
        <v>60</v>
      </c>
      <c r="C20" s="12">
        <f>+'Flow rate'!E19</f>
        <v>65.362690000000001</v>
      </c>
      <c r="D20" s="1" t="s">
        <v>25</v>
      </c>
      <c r="E20" s="1" t="s">
        <v>26</v>
      </c>
      <c r="F20" s="1" t="s">
        <v>24</v>
      </c>
      <c r="G20" s="16">
        <v>-1.1000000000000001</v>
      </c>
      <c r="H20" s="15">
        <v>45426.022916666669</v>
      </c>
      <c r="I20" s="2">
        <f t="shared" si="5"/>
        <v>8.1500000000232831</v>
      </c>
      <c r="J20" s="22">
        <v>3.075196151650057</v>
      </c>
      <c r="K20" s="22">
        <v>6.7478787507515987</v>
      </c>
      <c r="L20" s="22">
        <v>92.264855105184566</v>
      </c>
      <c r="N20" s="22">
        <v>4.3730273427015957E-2</v>
      </c>
      <c r="O20" s="22">
        <v>6.5732587492051686E-2</v>
      </c>
      <c r="P20" s="3">
        <f t="shared" si="1"/>
        <v>3.0090749532200214E-2</v>
      </c>
      <c r="Q20" s="3">
        <f t="shared" si="2"/>
        <v>6.6027895246152879E-2</v>
      </c>
      <c r="R20" s="3">
        <f t="shared" si="3"/>
        <v>0.90281026272264442</v>
      </c>
      <c r="S20" s="3">
        <f t="shared" si="6"/>
        <v>4.2790008824669879E-4</v>
      </c>
      <c r="T20" s="4">
        <f t="shared" si="7"/>
        <v>0.23664782142622356</v>
      </c>
      <c r="U20" s="5">
        <f t="shared" si="8"/>
        <v>0.51927445498292546</v>
      </c>
      <c r="V20" s="14"/>
      <c r="W20" s="3">
        <f t="shared" si="0"/>
        <v>0.755922276409149</v>
      </c>
      <c r="X20" s="3">
        <f t="shared" si="4"/>
        <v>6.8151625432035678E-2</v>
      </c>
      <c r="Y20" t="e">
        <f>+SUM(#REF!)</f>
        <v>#REF!</v>
      </c>
    </row>
    <row r="21" spans="1:25" ht="15.6" x14ac:dyDescent="0.3">
      <c r="A21" s="1" t="s">
        <v>23</v>
      </c>
      <c r="B21" s="1">
        <v>60</v>
      </c>
      <c r="C21" s="12">
        <f>+'Flow rate'!E20</f>
        <v>66.058053999999998</v>
      </c>
      <c r="D21" s="1" t="s">
        <v>25</v>
      </c>
      <c r="E21" s="1" t="s">
        <v>26</v>
      </c>
      <c r="F21" s="1" t="s">
        <v>24</v>
      </c>
      <c r="G21" s="16">
        <v>-1.1000000000000001</v>
      </c>
      <c r="H21" s="15">
        <v>45426.040277777778</v>
      </c>
      <c r="I21" s="2">
        <f t="shared" si="5"/>
        <v>8.5666666666511446</v>
      </c>
      <c r="J21" s="22">
        <v>3.8678560290052135</v>
      </c>
      <c r="K21" s="22">
        <v>7.0408467869835452</v>
      </c>
      <c r="L21" s="22">
        <v>90.901521966219008</v>
      </c>
      <c r="N21" s="22">
        <v>4.3197779100428227E-2</v>
      </c>
      <c r="O21" s="22">
        <v>6.8581482903796565E-2</v>
      </c>
      <c r="P21" s="3">
        <f t="shared" si="1"/>
        <v>3.7949175600269842E-2</v>
      </c>
      <c r="Q21" s="3">
        <f t="shared" si="2"/>
        <v>6.9080733380491116E-2</v>
      </c>
      <c r="R21" s="3">
        <f t="shared" si="3"/>
        <v>0.89187337728158789</v>
      </c>
      <c r="S21" s="3">
        <f t="shared" si="6"/>
        <v>4.2383172805049815E-4</v>
      </c>
      <c r="T21" s="4">
        <f t="shared" si="7"/>
        <v>0.30162525995353728</v>
      </c>
      <c r="U21" s="5">
        <f t="shared" si="8"/>
        <v>0.54906315708010978</v>
      </c>
      <c r="V21" s="14"/>
      <c r="W21" s="3">
        <f t="shared" si="0"/>
        <v>0.85068841703364706</v>
      </c>
      <c r="X21" s="3">
        <f t="shared" si="4"/>
        <v>7.1887650631824451E-2</v>
      </c>
    </row>
    <row r="22" spans="1:25" ht="15.6" x14ac:dyDescent="0.3">
      <c r="A22" s="1" t="s">
        <v>23</v>
      </c>
      <c r="B22" s="1">
        <v>60</v>
      </c>
      <c r="C22" s="12">
        <f>+'Flow rate'!E21</f>
        <v>65.455342999999999</v>
      </c>
      <c r="D22" s="1" t="s">
        <v>25</v>
      </c>
      <c r="E22" s="1" t="s">
        <v>26</v>
      </c>
      <c r="F22" s="1" t="s">
        <v>24</v>
      </c>
      <c r="G22" s="16">
        <v>-1.1000000000000001</v>
      </c>
      <c r="H22" s="15">
        <v>45426.05972222222</v>
      </c>
      <c r="I22" s="2">
        <f t="shared" si="5"/>
        <v>9.0333333332673647</v>
      </c>
      <c r="J22" s="22">
        <v>3.9615663183633614</v>
      </c>
      <c r="K22" s="22">
        <v>7.0288984577873004</v>
      </c>
      <c r="L22" s="22">
        <v>90.868388440500283</v>
      </c>
      <c r="N22" s="22">
        <v>4.1608870691252769E-2</v>
      </c>
      <c r="O22" s="22">
        <v>6.2810847677359227E-2</v>
      </c>
      <c r="P22" s="3">
        <f t="shared" si="1"/>
        <v>3.8852875200348254E-2</v>
      </c>
      <c r="Q22" s="3">
        <f t="shared" si="2"/>
        <v>6.8935590781464676E-2</v>
      </c>
      <c r="R22" s="3">
        <f t="shared" si="3"/>
        <v>0.89118744254521964</v>
      </c>
      <c r="S22" s="3">
        <f t="shared" si="6"/>
        <v>4.0807704081615543E-4</v>
      </c>
      <c r="T22" s="4">
        <f t="shared" si="7"/>
        <v>0.30599043696058703</v>
      </c>
      <c r="U22" s="5">
        <f t="shared" si="8"/>
        <v>0.5429104393583597</v>
      </c>
      <c r="V22" s="14"/>
      <c r="W22" s="3">
        <f t="shared" si="0"/>
        <v>0.84890087631894673</v>
      </c>
      <c r="X22" s="3">
        <f t="shared" si="4"/>
        <v>7.1798705362387819E-2</v>
      </c>
      <c r="Y22" t="e">
        <f>+SUM(#REF!)</f>
        <v>#REF!</v>
      </c>
    </row>
    <row r="23" spans="1:25" ht="15.6" x14ac:dyDescent="0.3">
      <c r="A23" s="1" t="s">
        <v>23</v>
      </c>
      <c r="B23" s="1">
        <v>60</v>
      </c>
      <c r="C23" s="12">
        <f>+'Flow rate'!E22</f>
        <v>65.018460000000005</v>
      </c>
      <c r="D23" s="1" t="s">
        <v>25</v>
      </c>
      <c r="E23" s="1" t="s">
        <v>26</v>
      </c>
      <c r="F23" s="1" t="s">
        <v>24</v>
      </c>
      <c r="G23" s="16">
        <v>-1.1000000000000001</v>
      </c>
      <c r="H23" s="15">
        <v>45426.07708333333</v>
      </c>
      <c r="I23" s="2">
        <f t="shared" si="5"/>
        <v>9.4499999998952262</v>
      </c>
      <c r="J23" s="22">
        <v>4.0473137848616494</v>
      </c>
      <c r="K23" s="22">
        <v>6.9868199711051062</v>
      </c>
      <c r="L23" s="22">
        <v>90.680858191941056</v>
      </c>
      <c r="N23" s="22">
        <v>4.161824526709447E-2</v>
      </c>
      <c r="O23" s="22">
        <v>6.3353550190638319E-2</v>
      </c>
      <c r="P23" s="3">
        <f t="shared" si="1"/>
        <v>3.9749707582520798E-2</v>
      </c>
      <c r="Q23" s="3">
        <f t="shared" si="2"/>
        <v>6.8619352376859968E-2</v>
      </c>
      <c r="R23" s="3">
        <f t="shared" si="3"/>
        <v>0.89059998509231164</v>
      </c>
      <c r="S23" s="3">
        <f t="shared" si="6"/>
        <v>4.0874346971869025E-4</v>
      </c>
      <c r="T23" s="4">
        <f t="shared" si="7"/>
        <v>0.31096406481028194</v>
      </c>
      <c r="U23" s="5">
        <f t="shared" si="8"/>
        <v>0.53681282297383537</v>
      </c>
      <c r="V23" s="14"/>
      <c r="W23" s="3">
        <f t="shared" si="0"/>
        <v>0.84777688778411731</v>
      </c>
      <c r="X23" s="3">
        <f t="shared" si="4"/>
        <v>7.1536664969564734E-2</v>
      </c>
    </row>
    <row r="24" spans="1:25" ht="15.6" x14ac:dyDescent="0.3">
      <c r="A24" s="1" t="s">
        <v>23</v>
      </c>
      <c r="B24" s="1">
        <v>60</v>
      </c>
      <c r="C24" s="12">
        <f>+'Flow rate'!E23</f>
        <v>63.911928000000003</v>
      </c>
      <c r="D24" s="1" t="s">
        <v>25</v>
      </c>
      <c r="E24" s="1" t="s">
        <v>26</v>
      </c>
      <c r="F24" s="1" t="s">
        <v>24</v>
      </c>
      <c r="G24" s="16">
        <v>-1.1000000000000001</v>
      </c>
      <c r="H24" s="15">
        <v>45426.09652777778</v>
      </c>
      <c r="I24" s="2">
        <f t="shared" si="5"/>
        <v>9.9166666666860692</v>
      </c>
      <c r="J24" s="22">
        <v>4.1568328680481947</v>
      </c>
      <c r="K24" s="22">
        <v>6.9191172136268104</v>
      </c>
      <c r="L24" s="22">
        <v>90.75259606463402</v>
      </c>
      <c r="N24" s="22">
        <v>4.0798527098553194E-2</v>
      </c>
      <c r="O24" s="22">
        <v>6.1696867032924985E-2</v>
      </c>
      <c r="P24" s="3">
        <f t="shared" si="1"/>
        <v>4.0780833838522067E-2</v>
      </c>
      <c r="Q24" s="3">
        <f t="shared" si="2"/>
        <v>6.7880373918103185E-2</v>
      </c>
      <c r="R24" s="3">
        <f t="shared" si="3"/>
        <v>0.89033325563173504</v>
      </c>
      <c r="S24" s="3">
        <f t="shared" si="6"/>
        <v>4.0025615830057652E-4</v>
      </c>
      <c r="T24" s="4">
        <f t="shared" si="7"/>
        <v>0.31360112217830283</v>
      </c>
      <c r="U24" s="5">
        <f t="shared" si="8"/>
        <v>0.52199426620089495</v>
      </c>
      <c r="V24" s="14"/>
      <c r="W24" s="3">
        <f t="shared" si="0"/>
        <v>0.83559538837919778</v>
      </c>
      <c r="X24" s="3">
        <f t="shared" si="4"/>
        <v>7.0840543094751116E-2</v>
      </c>
      <c r="Y24" t="e">
        <f>+SUM(#REF!)</f>
        <v>#REF!</v>
      </c>
    </row>
    <row r="25" spans="1:25" ht="15.6" x14ac:dyDescent="0.3">
      <c r="A25" s="1" t="s">
        <v>23</v>
      </c>
      <c r="B25" s="1">
        <v>60</v>
      </c>
      <c r="C25" s="12">
        <f>+'Flow rate'!E24</f>
        <v>70.437456999999995</v>
      </c>
      <c r="D25" s="1" t="s">
        <v>25</v>
      </c>
      <c r="E25" s="1" t="s">
        <v>26</v>
      </c>
      <c r="F25" s="1" t="s">
        <v>24</v>
      </c>
      <c r="G25" s="16">
        <v>-1.52</v>
      </c>
      <c r="H25" s="15">
        <v>45426.113888888889</v>
      </c>
      <c r="I25" s="2">
        <f t="shared" si="5"/>
        <v>10.333333333313931</v>
      </c>
      <c r="J25" s="22">
        <v>7.6427767923411469</v>
      </c>
      <c r="K25" s="22">
        <v>7.4261215295760383</v>
      </c>
      <c r="L25" s="22">
        <v>86.543509986258272</v>
      </c>
      <c r="N25" s="22">
        <v>4.1932753940469636E-2</v>
      </c>
      <c r="O25" s="22">
        <v>6.2984175195626602E-2</v>
      </c>
      <c r="P25" s="3">
        <f t="shared" si="1"/>
        <v>7.5137414147591577E-2</v>
      </c>
      <c r="Q25" s="3">
        <f t="shared" si="2"/>
        <v>7.300744010177744E-2</v>
      </c>
      <c r="R25" s="3">
        <f t="shared" si="3"/>
        <v>0.85082368991072055</v>
      </c>
      <c r="S25" s="3">
        <f t="shared" si="6"/>
        <v>4.1224790214094249E-4</v>
      </c>
      <c r="T25" s="4">
        <f t="shared" si="7"/>
        <v>0.46083833402114738</v>
      </c>
      <c r="U25" s="5">
        <f t="shared" si="8"/>
        <v>0.44777461999908674</v>
      </c>
      <c r="V25" s="14"/>
      <c r="W25" s="3">
        <f t="shared" si="0"/>
        <v>0.90861295402023412</v>
      </c>
      <c r="X25" s="3">
        <f t="shared" si="4"/>
        <v>7.9026823983285532E-2</v>
      </c>
    </row>
    <row r="26" spans="1:25" ht="15.6" x14ac:dyDescent="0.3">
      <c r="A26" s="1" t="s">
        <v>23</v>
      </c>
      <c r="B26" s="1">
        <v>60</v>
      </c>
      <c r="C26" s="12">
        <f>+'Flow rate'!E25</f>
        <v>68.829363999999998</v>
      </c>
      <c r="D26" s="1" t="s">
        <v>25</v>
      </c>
      <c r="E26" s="1" t="s">
        <v>26</v>
      </c>
      <c r="F26" s="1" t="s">
        <v>24</v>
      </c>
      <c r="G26" s="16">
        <v>-1.52</v>
      </c>
      <c r="H26" s="15">
        <v>45426.133333333331</v>
      </c>
      <c r="I26" s="2">
        <f t="shared" si="5"/>
        <v>10.799999999930151</v>
      </c>
      <c r="J26" s="22">
        <v>8.183372357626931</v>
      </c>
      <c r="K26" s="22">
        <v>7.3689663258030746</v>
      </c>
      <c r="L26" s="22">
        <v>86.214065811395031</v>
      </c>
      <c r="N26" s="22">
        <v>4.2323723993947696E-2</v>
      </c>
      <c r="O26" s="22">
        <v>6.2175977085108969E-2</v>
      </c>
      <c r="P26" s="3">
        <f t="shared" si="1"/>
        <v>8.0330811061515628E-2</v>
      </c>
      <c r="Q26" s="3">
        <f t="shared" si="2"/>
        <v>7.2336320011767971E-2</v>
      </c>
      <c r="R26" s="3">
        <f t="shared" si="3"/>
        <v>0.8463070637480552</v>
      </c>
      <c r="S26" s="3">
        <f t="shared" si="6"/>
        <v>4.1546430090142855E-4</v>
      </c>
      <c r="T26" s="4">
        <f t="shared" si="7"/>
        <v>0.48144268599281193</v>
      </c>
      <c r="U26" s="5">
        <f t="shared" si="8"/>
        <v>0.4335296972743411</v>
      </c>
      <c r="V26" s="14"/>
      <c r="W26" s="3">
        <f t="shared" si="0"/>
        <v>0.91497238326715302</v>
      </c>
      <c r="X26" s="3">
        <f t="shared" si="4"/>
        <v>7.874254720663193E-2</v>
      </c>
      <c r="Y26" t="e">
        <f>+SUM(#REF!)</f>
        <v>#REF!</v>
      </c>
    </row>
    <row r="27" spans="1:25" ht="15.6" x14ac:dyDescent="0.3">
      <c r="A27" s="1" t="s">
        <v>23</v>
      </c>
      <c r="B27" s="1">
        <v>60</v>
      </c>
      <c r="C27" s="12">
        <f>+'Flow rate'!E26</f>
        <v>69.094131000000004</v>
      </c>
      <c r="D27" s="1" t="s">
        <v>25</v>
      </c>
      <c r="E27" s="1" t="s">
        <v>26</v>
      </c>
      <c r="F27" s="1" t="s">
        <v>24</v>
      </c>
      <c r="G27" s="16">
        <v>-1.52</v>
      </c>
      <c r="H27" s="15">
        <v>45426.150694444441</v>
      </c>
      <c r="I27" s="2">
        <f t="shared" si="5"/>
        <v>11.216666666558012</v>
      </c>
      <c r="J27" s="22">
        <v>8.3877194694400501</v>
      </c>
      <c r="K27" s="22">
        <v>7.2752028193531144</v>
      </c>
      <c r="L27" s="22">
        <v>85.845631174448911</v>
      </c>
      <c r="N27" s="22">
        <v>4.2212269120116303E-2</v>
      </c>
      <c r="O27" s="22">
        <v>6.1970443440135914E-2</v>
      </c>
      <c r="P27" s="3">
        <f t="shared" si="1"/>
        <v>8.2545946355861141E-2</v>
      </c>
      <c r="Q27" s="3">
        <f t="shared" si="2"/>
        <v>7.1597351800133921E-2</v>
      </c>
      <c r="R27" s="3">
        <f t="shared" si="3"/>
        <v>0.84483140997134043</v>
      </c>
      <c r="S27" s="3">
        <f t="shared" si="6"/>
        <v>4.1542301397222463E-4</v>
      </c>
      <c r="T27" s="4">
        <f t="shared" si="7"/>
        <v>0.49662158868313733</v>
      </c>
      <c r="U27" s="5">
        <f t="shared" si="8"/>
        <v>0.43075150466141926</v>
      </c>
      <c r="V27" s="14"/>
      <c r="W27" s="3">
        <f t="shared" si="0"/>
        <v>0.92737309334455653</v>
      </c>
      <c r="X27" s="3">
        <f t="shared" si="4"/>
        <v>7.8126478332843766E-2</v>
      </c>
    </row>
    <row r="28" spans="1:25" ht="15.6" x14ac:dyDescent="0.3">
      <c r="A28" s="1" t="s">
        <v>23</v>
      </c>
      <c r="B28" s="1">
        <v>60</v>
      </c>
      <c r="C28" s="12">
        <f>+'Flow rate'!E27</f>
        <v>69.519161999999994</v>
      </c>
      <c r="D28" s="1" t="s">
        <v>25</v>
      </c>
      <c r="E28" s="1" t="s">
        <v>26</v>
      </c>
      <c r="F28" s="1" t="s">
        <v>24</v>
      </c>
      <c r="G28" s="16">
        <v>-1.52</v>
      </c>
      <c r="H28" s="15">
        <v>45426.170138888891</v>
      </c>
      <c r="I28" s="2">
        <f t="shared" si="5"/>
        <v>11.683333333348855</v>
      </c>
      <c r="J28" s="22">
        <v>8.5963825067771644</v>
      </c>
      <c r="K28" s="22">
        <v>7.093040041361018</v>
      </c>
      <c r="L28" s="22">
        <v>85.907295245177522</v>
      </c>
      <c r="N28" s="22">
        <v>4.2299621042329039E-2</v>
      </c>
      <c r="O28" s="22">
        <v>6.3152349733621438E-2</v>
      </c>
      <c r="P28" s="3">
        <f t="shared" si="1"/>
        <v>8.4525064968794E-2</v>
      </c>
      <c r="Q28" s="3">
        <f t="shared" si="2"/>
        <v>6.9743251867821821E-2</v>
      </c>
      <c r="R28" s="3">
        <f t="shared" si="3"/>
        <v>0.84469481275028913</v>
      </c>
      <c r="S28" s="3">
        <f t="shared" si="6"/>
        <v>4.1591660375041393E-4</v>
      </c>
      <c r="T28" s="4">
        <f t="shared" si="7"/>
        <v>0.51165677197598614</v>
      </c>
      <c r="U28" s="5">
        <f t="shared" si="8"/>
        <v>0.42217781353936079</v>
      </c>
      <c r="V28" s="14"/>
      <c r="W28" s="3">
        <f t="shared" si="0"/>
        <v>0.93383458551534693</v>
      </c>
      <c r="X28" s="3">
        <f t="shared" si="4"/>
        <v>7.6268972789259495E-2</v>
      </c>
      <c r="Y28" t="e">
        <f>+SUM(#REF!)</f>
        <v>#REF!</v>
      </c>
    </row>
    <row r="29" spans="1:25" ht="15.6" x14ac:dyDescent="0.3">
      <c r="A29" s="1" t="s">
        <v>23</v>
      </c>
      <c r="B29" s="1">
        <v>60</v>
      </c>
      <c r="C29" s="12">
        <f>+'Flow rate'!E28</f>
        <v>73.488140000000001</v>
      </c>
      <c r="D29" s="1" t="s">
        <v>25</v>
      </c>
      <c r="E29" s="1" t="s">
        <v>26</v>
      </c>
      <c r="F29" s="1" t="s">
        <v>24</v>
      </c>
      <c r="G29" s="16">
        <v>-2.1</v>
      </c>
      <c r="H29" s="15">
        <v>45426.1875</v>
      </c>
      <c r="I29" s="2">
        <f t="shared" si="5"/>
        <v>12.099999999976717</v>
      </c>
      <c r="J29" s="22">
        <v>10.27754275738315</v>
      </c>
      <c r="K29" s="22">
        <v>7.3537261902559674</v>
      </c>
      <c r="L29" s="22">
        <v>84.210646861035514</v>
      </c>
      <c r="N29" s="22">
        <v>4.3012840873657934E-2</v>
      </c>
      <c r="O29" s="22">
        <v>6.1843726970699453E-2</v>
      </c>
      <c r="P29" s="3">
        <f t="shared" si="1"/>
        <v>0.10081283122358407</v>
      </c>
      <c r="Q29" s="3">
        <f t="shared" si="2"/>
        <v>7.2132996649433151E-2</v>
      </c>
      <c r="R29" s="3">
        <f t="shared" si="3"/>
        <v>0.82602562982593686</v>
      </c>
      <c r="S29" s="3">
        <f t="shared" si="6"/>
        <v>4.2191469009728966E-4</v>
      </c>
      <c r="T29" s="4">
        <f t="shared" si="7"/>
        <v>0.46692383641782442</v>
      </c>
      <c r="U29" s="5">
        <f t="shared" si="8"/>
        <v>0.33409056286863009</v>
      </c>
      <c r="V29" s="14"/>
      <c r="W29" s="3">
        <f t="shared" si="0"/>
        <v>0.80101439928645446</v>
      </c>
      <c r="X29" s="3">
        <f t="shared" si="4"/>
        <v>8.0312090228987221E-2</v>
      </c>
    </row>
    <row r="30" spans="1:25" ht="15.6" x14ac:dyDescent="0.3">
      <c r="A30" s="1" t="s">
        <v>23</v>
      </c>
      <c r="B30" s="1">
        <v>60</v>
      </c>
      <c r="C30" s="12">
        <f>+'Flow rate'!E29</f>
        <v>73.177881999999997</v>
      </c>
      <c r="D30" s="1" t="s">
        <v>25</v>
      </c>
      <c r="E30" s="1" t="s">
        <v>26</v>
      </c>
      <c r="F30" s="1" t="s">
        <v>24</v>
      </c>
      <c r="G30" s="16">
        <v>-2.1</v>
      </c>
      <c r="H30" s="15">
        <v>45426.206944444442</v>
      </c>
      <c r="I30" s="2">
        <f t="shared" si="5"/>
        <v>12.566666666592937</v>
      </c>
      <c r="J30" s="22">
        <v>12.843418296687217</v>
      </c>
      <c r="K30" s="22">
        <v>7.0176238685332049</v>
      </c>
      <c r="L30" s="22">
        <v>81.866315639494232</v>
      </c>
      <c r="N30" s="22">
        <v>4.3124437237237079E-2</v>
      </c>
      <c r="O30" s="22">
        <v>6.1957795215829281E-2</v>
      </c>
      <c r="P30" s="3">
        <f t="shared" si="1"/>
        <v>0.12612305363594853</v>
      </c>
      <c r="Q30" s="3">
        <f t="shared" si="2"/>
        <v>6.8913441197832923E-2</v>
      </c>
      <c r="R30" s="3">
        <f t="shared" si="3"/>
        <v>0.80393159203112408</v>
      </c>
      <c r="S30" s="3">
        <f t="shared" si="6"/>
        <v>4.2348427693078089E-4</v>
      </c>
      <c r="T30" s="4">
        <f t="shared" si="7"/>
        <v>0.58168423123553814</v>
      </c>
      <c r="U30" s="5">
        <f t="shared" si="8"/>
        <v>0.31783136317539445</v>
      </c>
      <c r="V30" s="14"/>
      <c r="W30" s="3">
        <f t="shared" si="0"/>
        <v>0.89951559441093254</v>
      </c>
      <c r="X30" s="3">
        <f t="shared" si="4"/>
        <v>7.8952664647581439E-2</v>
      </c>
      <c r="Y30" t="e">
        <f>+SUM(#REF!)</f>
        <v>#REF!</v>
      </c>
    </row>
    <row r="31" spans="1:25" ht="15.6" x14ac:dyDescent="0.3">
      <c r="A31" s="1" t="s">
        <v>23</v>
      </c>
      <c r="B31" s="1">
        <v>60</v>
      </c>
      <c r="C31" s="12">
        <f>+'Flow rate'!E30</f>
        <v>74.559556000000001</v>
      </c>
      <c r="D31" s="1" t="s">
        <v>25</v>
      </c>
      <c r="E31" s="1" t="s">
        <v>26</v>
      </c>
      <c r="F31" s="1" t="s">
        <v>24</v>
      </c>
      <c r="G31" s="16">
        <v>-2.1</v>
      </c>
      <c r="H31" s="15">
        <v>45426.224305555559</v>
      </c>
      <c r="I31" s="2">
        <f t="shared" si="5"/>
        <v>12.983333333395422</v>
      </c>
      <c r="J31" s="22">
        <v>13.154518783157675</v>
      </c>
      <c r="K31" s="22">
        <v>5.8124585039748808</v>
      </c>
      <c r="L31" s="22">
        <v>81.543869295828856</v>
      </c>
      <c r="N31" s="22">
        <v>4.3114748447173348E-2</v>
      </c>
      <c r="O31" s="22">
        <v>6.1433713699445613E-2</v>
      </c>
      <c r="P31" s="3">
        <f t="shared" si="1"/>
        <v>0.13074061655535144</v>
      </c>
      <c r="Q31" s="3">
        <f t="shared" si="2"/>
        <v>5.7769077002272184E-2</v>
      </c>
      <c r="R31" s="3">
        <f t="shared" si="3"/>
        <v>0.81045121632997608</v>
      </c>
      <c r="S31" s="3">
        <f t="shared" si="6"/>
        <v>4.2851045238001686E-4</v>
      </c>
      <c r="T31" s="4">
        <f t="shared" si="7"/>
        <v>0.61436550042010296</v>
      </c>
      <c r="U31" s="5">
        <f t="shared" si="8"/>
        <v>0.27146367239504732</v>
      </c>
      <c r="V31" s="14"/>
      <c r="W31" s="3">
        <f t="shared" si="0"/>
        <v>0.88582917281515028</v>
      </c>
      <c r="X31" s="3">
        <f t="shared" si="4"/>
        <v>6.653734938693176E-2</v>
      </c>
    </row>
    <row r="32" spans="1:25" ht="15.6" x14ac:dyDescent="0.3">
      <c r="A32" s="1" t="s">
        <v>23</v>
      </c>
      <c r="B32" s="1">
        <v>60</v>
      </c>
      <c r="C32" s="12">
        <f>+'Flow rate'!E31</f>
        <v>74.526362000000006</v>
      </c>
      <c r="D32" s="1" t="s">
        <v>25</v>
      </c>
      <c r="E32" s="1" t="s">
        <v>26</v>
      </c>
      <c r="F32" s="1" t="s">
        <v>24</v>
      </c>
      <c r="G32" s="16">
        <v>-2.1</v>
      </c>
      <c r="H32" s="15">
        <v>45426.243750000001</v>
      </c>
      <c r="I32" s="2">
        <f t="shared" si="5"/>
        <v>13.450000000011642</v>
      </c>
      <c r="J32" s="22">
        <v>13.423978754583068</v>
      </c>
      <c r="K32" s="22">
        <v>6.789796708498308</v>
      </c>
      <c r="L32" s="22">
        <v>81.584468509634718</v>
      </c>
      <c r="N32" s="22">
        <v>4.3586875061079021E-2</v>
      </c>
      <c r="O32" s="22">
        <v>6.2627448424921017E-2</v>
      </c>
      <c r="P32" s="3">
        <f t="shared" si="1"/>
        <v>0.13173102510946147</v>
      </c>
      <c r="Q32" s="3">
        <f t="shared" si="2"/>
        <v>6.6629044715223795E-2</v>
      </c>
      <c r="R32" s="3">
        <f t="shared" si="3"/>
        <v>0.80059763697968955</v>
      </c>
      <c r="S32" s="3">
        <f t="shared" si="6"/>
        <v>4.2772294549063387E-4</v>
      </c>
      <c r="T32" s="4">
        <f t="shared" si="7"/>
        <v>0.61874395823315476</v>
      </c>
      <c r="U32" s="5">
        <f t="shared" si="8"/>
        <v>0.31295830899466964</v>
      </c>
      <c r="V32" s="14"/>
      <c r="W32" s="3">
        <f t="shared" si="0"/>
        <v>0.93170226722782434</v>
      </c>
      <c r="X32" s="3">
        <f t="shared" si="4"/>
        <v>7.6830021632871781E-2</v>
      </c>
      <c r="Y32" t="e">
        <f>+SUM(#REF!)</f>
        <v>#REF!</v>
      </c>
    </row>
    <row r="33" spans="1:25" ht="15.6" x14ac:dyDescent="0.3">
      <c r="A33" s="1" t="s">
        <v>23</v>
      </c>
      <c r="B33" s="1">
        <v>60</v>
      </c>
      <c r="C33" s="12">
        <f>+'Flow rate'!E32</f>
        <v>72.482560000000007</v>
      </c>
      <c r="D33" s="1" t="s">
        <v>25</v>
      </c>
      <c r="E33" s="1" t="s">
        <v>26</v>
      </c>
      <c r="F33" s="1" t="s">
        <v>24</v>
      </c>
      <c r="G33" s="16">
        <v>-2.1</v>
      </c>
      <c r="H33" s="15">
        <v>45426.261111111111</v>
      </c>
      <c r="I33" s="2">
        <f t="shared" si="5"/>
        <v>13.866666666639503</v>
      </c>
      <c r="J33" s="22">
        <v>13.733323498045822</v>
      </c>
      <c r="K33" s="22">
        <v>6.4488481787425291</v>
      </c>
      <c r="L33" s="22">
        <v>81.770844729569021</v>
      </c>
      <c r="N33" s="22">
        <v>4.3449214667621514E-2</v>
      </c>
      <c r="O33" s="22">
        <v>6.1602708029757036E-2</v>
      </c>
      <c r="P33" s="3">
        <f t="shared" si="1"/>
        <v>0.13456381962636174</v>
      </c>
      <c r="Q33" s="3">
        <f t="shared" si="2"/>
        <v>6.3188028975330088E-2</v>
      </c>
      <c r="R33" s="3">
        <f t="shared" si="3"/>
        <v>0.80121881658512462</v>
      </c>
      <c r="S33" s="3">
        <f t="shared" si="6"/>
        <v>4.2573032567628984E-4</v>
      </c>
      <c r="T33" s="4">
        <f t="shared" si="7"/>
        <v>0.61471641164224067</v>
      </c>
      <c r="U33" s="5">
        <f t="shared" si="8"/>
        <v>0.28865647941856848</v>
      </c>
      <c r="V33" s="14"/>
      <c r="W33" s="3">
        <f t="shared" si="0"/>
        <v>0.9033728910608092</v>
      </c>
      <c r="X33" s="3">
        <f t="shared" si="4"/>
        <v>7.3099871084848861E-2</v>
      </c>
    </row>
    <row r="34" spans="1:25" ht="15.6" x14ac:dyDescent="0.3">
      <c r="A34" s="1" t="s">
        <v>23</v>
      </c>
      <c r="B34" s="1">
        <v>60</v>
      </c>
      <c r="C34" s="12">
        <f>+'Flow rate'!E33</f>
        <v>82.279025000000004</v>
      </c>
      <c r="D34" s="1" t="s">
        <v>25</v>
      </c>
      <c r="E34" s="1" t="s">
        <v>26</v>
      </c>
      <c r="F34" s="1" t="s">
        <v>24</v>
      </c>
      <c r="G34" s="16">
        <v>-3.1</v>
      </c>
      <c r="H34" s="15">
        <v>45426.280555555553</v>
      </c>
      <c r="I34" s="2">
        <f t="shared" si="5"/>
        <v>14.333333333255723</v>
      </c>
      <c r="J34" s="22">
        <v>20.963437667208694</v>
      </c>
      <c r="K34" s="22">
        <v>6.1498249910644924</v>
      </c>
      <c r="L34" s="22">
        <v>75.614721874849465</v>
      </c>
      <c r="N34" s="22">
        <v>6.547917120953349E-2</v>
      </c>
      <c r="O34" s="22">
        <v>5.8038485265593909E-2</v>
      </c>
      <c r="P34" s="3">
        <f t="shared" si="1"/>
        <v>0.20382237712546408</v>
      </c>
      <c r="Q34" s="3">
        <f t="shared" si="2"/>
        <v>5.9793244241856829E-2</v>
      </c>
      <c r="R34" s="3">
        <f t="shared" si="3"/>
        <v>0.73518344666916302</v>
      </c>
      <c r="S34" s="3">
        <f t="shared" si="6"/>
        <v>6.3663796653964607E-4</v>
      </c>
      <c r="T34" s="4">
        <f t="shared" si="7"/>
        <v>0.71599761896051761</v>
      </c>
      <c r="U34" s="5">
        <f t="shared" si="8"/>
        <v>0.21004475127253122</v>
      </c>
      <c r="V34" s="14"/>
      <c r="W34" s="3">
        <f t="shared" si="0"/>
        <v>0.92604237023304881</v>
      </c>
      <c r="X34" s="3">
        <f t="shared" si="4"/>
        <v>7.5213833217343179E-2</v>
      </c>
      <c r="Y34" t="e">
        <f>+SUM(#REF!)</f>
        <v>#REF!</v>
      </c>
    </row>
    <row r="35" spans="1:25" ht="15.6" x14ac:dyDescent="0.3">
      <c r="A35" s="1" t="s">
        <v>23</v>
      </c>
      <c r="B35" s="1">
        <v>60</v>
      </c>
      <c r="C35" s="12">
        <f>+'Flow rate'!E34</f>
        <v>81.849530999999999</v>
      </c>
      <c r="D35" s="1" t="s">
        <v>25</v>
      </c>
      <c r="E35" s="1" t="s">
        <v>26</v>
      </c>
      <c r="F35" s="1" t="s">
        <v>24</v>
      </c>
      <c r="G35" s="16">
        <v>-3.1</v>
      </c>
      <c r="H35" s="15">
        <v>45426.29791666667</v>
      </c>
      <c r="I35" s="2">
        <f t="shared" si="5"/>
        <v>14.750000000058208</v>
      </c>
      <c r="J35" s="22">
        <v>21.725440113411725</v>
      </c>
      <c r="K35" s="22">
        <v>6.0700780686154614</v>
      </c>
      <c r="L35" s="22">
        <v>74.891073553328582</v>
      </c>
      <c r="N35" s="22">
        <v>6.3670665987868774E-2</v>
      </c>
      <c r="O35" s="22">
        <v>5.6761717289812663E-2</v>
      </c>
      <c r="P35" s="3">
        <f t="shared" si="1"/>
        <v>0.21132252683767799</v>
      </c>
      <c r="Q35" s="3">
        <f t="shared" si="2"/>
        <v>5.9043417710553874E-2</v>
      </c>
      <c r="R35" s="3">
        <f t="shared" si="3"/>
        <v>0.72846261425589509</v>
      </c>
      <c r="S35" s="3">
        <f t="shared" si="6"/>
        <v>6.1932213809045243E-4</v>
      </c>
      <c r="T35" s="4">
        <f t="shared" si="7"/>
        <v>0.73846951077672407</v>
      </c>
      <c r="U35" s="5">
        <f t="shared" si="8"/>
        <v>0.20632804483163344</v>
      </c>
      <c r="V35" s="14"/>
      <c r="W35" s="3">
        <f t="shared" si="0"/>
        <v>0.94479755560835754</v>
      </c>
      <c r="X35" s="3">
        <f t="shared" si="4"/>
        <v>7.4975194238346324E-2</v>
      </c>
    </row>
    <row r="36" spans="1:25" ht="15.6" x14ac:dyDescent="0.3">
      <c r="A36" s="1" t="s">
        <v>23</v>
      </c>
      <c r="B36" s="1">
        <v>60</v>
      </c>
      <c r="C36" s="12">
        <f>+'Flow rate'!E35</f>
        <v>81.388777000000005</v>
      </c>
      <c r="D36" s="1" t="s">
        <v>25</v>
      </c>
      <c r="E36" s="1" t="s">
        <v>26</v>
      </c>
      <c r="F36" s="1" t="s">
        <v>24</v>
      </c>
      <c r="G36" s="16">
        <v>-3.1</v>
      </c>
      <c r="H36" s="15">
        <v>45426.317361111112</v>
      </c>
      <c r="I36" s="2">
        <f t="shared" si="5"/>
        <v>15.216666666674428</v>
      </c>
      <c r="J36" s="22">
        <v>22.06592399908476</v>
      </c>
      <c r="K36" s="22">
        <v>5.8216056032471286</v>
      </c>
      <c r="L36" s="22">
        <v>74.770538592813338</v>
      </c>
      <c r="N36" s="22">
        <v>6.1302754122571843E-2</v>
      </c>
      <c r="O36" s="22">
        <v>5.6816526261805333E-2</v>
      </c>
      <c r="P36" s="3">
        <f t="shared" si="1"/>
        <v>0.214698798827681</v>
      </c>
      <c r="Q36" s="3">
        <f t="shared" si="2"/>
        <v>5.6643525569901272E-2</v>
      </c>
      <c r="R36" s="3">
        <f t="shared" si="3"/>
        <v>0.72750838914525562</v>
      </c>
      <c r="S36" s="3">
        <f t="shared" si="6"/>
        <v>5.9646845858305126E-4</v>
      </c>
      <c r="T36" s="4">
        <f t="shared" si="7"/>
        <v>0.74604447125787021</v>
      </c>
      <c r="U36" s="5">
        <f t="shared" si="8"/>
        <v>0.19682731955056595</v>
      </c>
      <c r="V36" s="14"/>
      <c r="W36" s="3">
        <f t="shared" si="0"/>
        <v>0.94287179080843619</v>
      </c>
      <c r="X36" s="3">
        <f t="shared" si="4"/>
        <v>7.2235397895415498E-2</v>
      </c>
      <c r="Y36" t="e">
        <f>+SUM(#REF!)</f>
        <v>#REF!</v>
      </c>
    </row>
    <row r="37" spans="1:25" ht="15.6" x14ac:dyDescent="0.3">
      <c r="A37" s="1" t="s">
        <v>23</v>
      </c>
      <c r="B37" s="1">
        <v>60</v>
      </c>
      <c r="C37" s="12">
        <f>+'Flow rate'!E36</f>
        <v>80.636014000000003</v>
      </c>
      <c r="D37" s="1" t="s">
        <v>25</v>
      </c>
      <c r="E37" s="1" t="s">
        <v>26</v>
      </c>
      <c r="F37" s="1" t="s">
        <v>24</v>
      </c>
      <c r="G37" s="16">
        <v>-3.1</v>
      </c>
      <c r="H37" s="15">
        <v>45426.334722222222</v>
      </c>
      <c r="I37" s="2">
        <f t="shared" si="5"/>
        <v>15.633333333302289</v>
      </c>
      <c r="J37" s="22">
        <v>22.335288726414621</v>
      </c>
      <c r="K37" s="22">
        <v>5.7331201276666244</v>
      </c>
      <c r="L37" s="22">
        <v>74.686273011526154</v>
      </c>
      <c r="N37" s="22">
        <v>6.0983650008363262E-2</v>
      </c>
      <c r="O37" s="22">
        <v>5.7208152762540265E-2</v>
      </c>
      <c r="P37" s="3">
        <f t="shared" si="1"/>
        <v>0.21711543509919642</v>
      </c>
      <c r="Q37" s="3">
        <f t="shared" si="2"/>
        <v>5.5730144626346782E-2</v>
      </c>
      <c r="R37" s="3">
        <f t="shared" si="3"/>
        <v>0.72600550901577154</v>
      </c>
      <c r="S37" s="3">
        <f t="shared" si="6"/>
        <v>5.9280593448716686E-4</v>
      </c>
      <c r="T37" s="4">
        <f t="shared" si="7"/>
        <v>0.74746408476196435</v>
      </c>
      <c r="U37" s="5">
        <f t="shared" si="8"/>
        <v>0.1918623681810192</v>
      </c>
      <c r="V37" s="14"/>
      <c r="W37" s="3">
        <f t="shared" si="0"/>
        <v>0.93932645294298356</v>
      </c>
      <c r="X37" s="3">
        <f t="shared" si="4"/>
        <v>7.1290268477200935E-2</v>
      </c>
    </row>
    <row r="38" spans="1:25" ht="15.6" x14ac:dyDescent="0.3">
      <c r="A38" s="1" t="s">
        <v>23</v>
      </c>
      <c r="B38" s="1">
        <v>60</v>
      </c>
      <c r="C38" s="12">
        <f>+'Flow rate'!E37</f>
        <v>66.638103000000001</v>
      </c>
      <c r="D38" s="1" t="s">
        <v>25</v>
      </c>
      <c r="E38" s="1" t="s">
        <v>26</v>
      </c>
      <c r="F38" s="1" t="s">
        <v>24</v>
      </c>
      <c r="G38" s="16">
        <v>-0.5</v>
      </c>
      <c r="H38" s="15">
        <v>45426.354166666664</v>
      </c>
      <c r="I38" s="2">
        <f t="shared" si="5"/>
        <v>16.099999999918509</v>
      </c>
      <c r="J38" s="22">
        <v>19.116563255857209</v>
      </c>
      <c r="K38" s="22">
        <v>5.7255020665047729</v>
      </c>
      <c r="L38" s="22">
        <v>78.072874025823353</v>
      </c>
      <c r="N38" s="22">
        <v>5.433502989818622E-2</v>
      </c>
      <c r="O38" s="22">
        <v>6.0327462525420872E-2</v>
      </c>
      <c r="P38" s="3">
        <f t="shared" si="1"/>
        <v>0.18554437670671894</v>
      </c>
      <c r="Q38" s="3">
        <f t="shared" si="2"/>
        <v>5.5571427669519308E-2</v>
      </c>
      <c r="R38" s="3">
        <f t="shared" si="3"/>
        <v>0.75777128738792299</v>
      </c>
      <c r="S38" s="3">
        <f t="shared" si="6"/>
        <v>5.2737299695911435E-4</v>
      </c>
      <c r="T38" s="4">
        <f t="shared" si="7"/>
        <v>3.2728996576813092</v>
      </c>
      <c r="U38" s="5">
        <f t="shared" si="8"/>
        <v>0.98024909094345569</v>
      </c>
      <c r="V38" s="14"/>
      <c r="W38" s="3">
        <f t="shared" si="0"/>
        <v>4.2531487486247652</v>
      </c>
      <c r="X38" s="3">
        <f t="shared" si="4"/>
        <v>6.8324737703705354E-2</v>
      </c>
      <c r="Y38" t="e">
        <f>+SUM(#REF!)</f>
        <v>#REF!</v>
      </c>
    </row>
    <row r="39" spans="1:25" ht="15.6" x14ac:dyDescent="0.3">
      <c r="A39" s="1" t="s">
        <v>23</v>
      </c>
      <c r="B39" s="1">
        <v>60</v>
      </c>
      <c r="C39" s="12">
        <f>+'Flow rate'!E38</f>
        <v>67.450271000000001</v>
      </c>
      <c r="D39" s="1" t="s">
        <v>25</v>
      </c>
      <c r="E39" s="1" t="s">
        <v>26</v>
      </c>
      <c r="F39" s="1" t="s">
        <v>24</v>
      </c>
      <c r="G39" s="16">
        <v>-0.5</v>
      </c>
      <c r="H39" s="15">
        <v>45426.382638888892</v>
      </c>
      <c r="I39" s="2">
        <f t="shared" si="5"/>
        <v>16.78333333338378</v>
      </c>
      <c r="J39" s="22">
        <v>11.116999448531953</v>
      </c>
      <c r="K39" s="22">
        <v>5.5058805035355718</v>
      </c>
      <c r="L39" s="22">
        <v>85.947627099068796</v>
      </c>
      <c r="N39" s="22">
        <v>3.9235130682694547E-2</v>
      </c>
      <c r="O39" s="22">
        <v>6.3082784499939204E-2</v>
      </c>
      <c r="P39" s="3">
        <f t="shared" si="1"/>
        <v>0.10827596739622973</v>
      </c>
      <c r="Q39" s="3">
        <f t="shared" si="2"/>
        <v>5.362548956203099E-2</v>
      </c>
      <c r="R39" s="3">
        <f t="shared" si="3"/>
        <v>0.83710199974787158</v>
      </c>
      <c r="S39" s="3">
        <f t="shared" si="6"/>
        <v>3.8213744187486157E-4</v>
      </c>
      <c r="T39" s="4">
        <f t="shared" si="7"/>
        <v>1.933205580283432</v>
      </c>
      <c r="U39" s="5">
        <f t="shared" si="8"/>
        <v>0.95745249993821901</v>
      </c>
      <c r="V39" s="14"/>
      <c r="W39" s="3">
        <f t="shared" si="0"/>
        <v>2.8906580802216508</v>
      </c>
      <c r="X39" s="3">
        <f t="shared" si="4"/>
        <v>6.0204147964017275E-2</v>
      </c>
    </row>
    <row r="40" spans="1:25" ht="15.6" x14ac:dyDescent="0.3">
      <c r="A40" s="1" t="s">
        <v>23</v>
      </c>
      <c r="B40" s="1">
        <v>60</v>
      </c>
      <c r="C40" s="12">
        <f>+'Flow rate'!E39</f>
        <v>69.429390999999995</v>
      </c>
      <c r="D40" s="1" t="s">
        <v>25</v>
      </c>
      <c r="E40" s="1" t="s">
        <v>26</v>
      </c>
      <c r="F40" s="1" t="s">
        <v>24</v>
      </c>
      <c r="G40" s="16">
        <v>-0.5</v>
      </c>
      <c r="H40" s="15">
        <v>45426.411805555559</v>
      </c>
      <c r="I40" s="2">
        <f t="shared" si="5"/>
        <v>17.483333333395422</v>
      </c>
      <c r="J40" s="22">
        <v>11.064631649867719</v>
      </c>
      <c r="K40" s="22">
        <v>5.2627920181340881</v>
      </c>
      <c r="L40" s="22">
        <v>85.671414090337407</v>
      </c>
      <c r="N40" s="22">
        <v>3.9465671254434662E-2</v>
      </c>
      <c r="O40" s="22">
        <v>6.7405666496086758E-2</v>
      </c>
      <c r="P40" s="3">
        <f t="shared" si="1"/>
        <v>0.10836447587328349</v>
      </c>
      <c r="Q40" s="3">
        <f t="shared" si="2"/>
        <v>5.1542583316094251E-2</v>
      </c>
      <c r="R40" s="3">
        <f t="shared" si="3"/>
        <v>0.83904626733176757</v>
      </c>
      <c r="S40" s="3">
        <f t="shared" si="6"/>
        <v>3.8651777264770055E-4</v>
      </c>
      <c r="T40" s="4">
        <f t="shared" si="7"/>
        <v>1.9915561671260105</v>
      </c>
      <c r="U40" s="5">
        <f t="shared" si="8"/>
        <v>0.94726568689178103</v>
      </c>
      <c r="V40" s="14"/>
      <c r="W40" s="3">
        <f t="shared" si="0"/>
        <v>2.9388218540177915</v>
      </c>
      <c r="X40" s="3">
        <f t="shared" si="4"/>
        <v>5.7874723312109085E-2</v>
      </c>
      <c r="Y40" t="e">
        <f>+SUM(#REF!)</f>
        <v>#REF!</v>
      </c>
    </row>
    <row r="41" spans="1:25" ht="15.6" x14ac:dyDescent="0.3">
      <c r="A41" s="1" t="s">
        <v>23</v>
      </c>
      <c r="B41" s="1">
        <v>60</v>
      </c>
      <c r="C41" s="12">
        <f>+'Flow rate'!E40</f>
        <v>67.794565000000006</v>
      </c>
      <c r="D41" s="1" t="s">
        <v>25</v>
      </c>
      <c r="E41" s="1" t="s">
        <v>26</v>
      </c>
      <c r="F41" s="1" t="s">
        <v>24</v>
      </c>
      <c r="G41" s="16">
        <v>-0.5</v>
      </c>
      <c r="H41" s="15">
        <v>45426.432638888888</v>
      </c>
      <c r="I41" s="2">
        <f t="shared" si="5"/>
        <v>17.983333333279006</v>
      </c>
      <c r="J41" s="23">
        <v>11.127158584739059</v>
      </c>
      <c r="K41" s="23">
        <v>5.2095004247801233</v>
      </c>
      <c r="L41" s="23">
        <v>86.293293343641466</v>
      </c>
      <c r="N41" s="23">
        <v>3.8521169633099414E-2</v>
      </c>
      <c r="O41" s="23">
        <v>6.1270340802160372E-2</v>
      </c>
      <c r="P41" s="3">
        <f t="shared" si="1"/>
        <v>0.10831486740114576</v>
      </c>
      <c r="Q41" s="3">
        <f t="shared" si="2"/>
        <v>5.07107311753573E-2</v>
      </c>
      <c r="R41" s="3">
        <f t="shared" si="3"/>
        <v>0.84000300300778818</v>
      </c>
      <c r="S41" s="3">
        <f t="shared" si="6"/>
        <v>3.7497581697709328E-4</v>
      </c>
      <c r="T41" s="4">
        <f t="shared" si="7"/>
        <v>1.9437715414124324</v>
      </c>
      <c r="U41" s="5">
        <f t="shared" si="8"/>
        <v>0.91003274497691977</v>
      </c>
      <c r="V41" s="14"/>
      <c r="W41" s="3">
        <f t="shared" si="0"/>
        <v>2.853804286389352</v>
      </c>
      <c r="X41" s="3">
        <f t="shared" si="4"/>
        <v>5.6932692546683393E-2</v>
      </c>
    </row>
    <row r="42" spans="1:25" x14ac:dyDescent="0.3">
      <c r="A42" s="1"/>
      <c r="B42" s="1"/>
      <c r="C42" s="12"/>
      <c r="D42" s="1"/>
      <c r="E42" s="1"/>
      <c r="F42" s="1"/>
      <c r="G42" s="1"/>
      <c r="H42" s="15"/>
      <c r="I42" s="2"/>
      <c r="P42" s="3"/>
      <c r="Q42" s="3"/>
      <c r="R42" s="3"/>
      <c r="S42" s="3"/>
      <c r="T42" s="3"/>
      <c r="U42" s="3"/>
      <c r="V42" s="3"/>
      <c r="W42" s="3"/>
      <c r="X42" s="3"/>
    </row>
    <row r="43" spans="1:25" x14ac:dyDescent="0.3">
      <c r="A43" s="1"/>
      <c r="B43" s="1"/>
      <c r="C43" s="12"/>
      <c r="D43" s="1"/>
      <c r="E43" s="1"/>
      <c r="F43" s="1"/>
      <c r="G43" s="1"/>
      <c r="H43" s="15"/>
      <c r="I43" s="2"/>
      <c r="P43" s="3"/>
      <c r="Q43" s="3"/>
      <c r="R43" s="3"/>
      <c r="S43" s="3"/>
      <c r="T43" s="3"/>
      <c r="U43" s="3"/>
      <c r="V43" s="3"/>
      <c r="W43" s="3"/>
      <c r="X43" s="3"/>
    </row>
    <row r="44" spans="1:25" x14ac:dyDescent="0.3">
      <c r="A44" s="16">
        <v>-0.13</v>
      </c>
      <c r="B44" s="1"/>
      <c r="C44" s="12"/>
      <c r="D44" s="1"/>
      <c r="E44" s="1"/>
      <c r="F44" s="1"/>
      <c r="G44" s="1"/>
      <c r="H44" s="15"/>
      <c r="I44" s="2"/>
      <c r="P44" s="3"/>
      <c r="Q44" s="3"/>
      <c r="R44" s="3"/>
      <c r="S44" s="3"/>
      <c r="T44" s="3"/>
      <c r="U44" s="3"/>
      <c r="V44" s="3"/>
      <c r="W44" s="3"/>
      <c r="X44" s="3"/>
    </row>
    <row r="45" spans="1:25" x14ac:dyDescent="0.3">
      <c r="A45" s="16">
        <v>-0.52</v>
      </c>
      <c r="B45" s="1"/>
      <c r="C45" s="12"/>
      <c r="D45" s="1"/>
      <c r="E45" s="1"/>
      <c r="F45" s="1"/>
      <c r="G45" s="1"/>
      <c r="H45" s="15"/>
      <c r="I45" s="2"/>
      <c r="P45" s="3"/>
      <c r="Q45" s="3"/>
      <c r="R45" s="3"/>
      <c r="S45" s="3"/>
      <c r="T45" s="3"/>
      <c r="U45" s="3"/>
      <c r="V45" s="3"/>
      <c r="W45" s="3"/>
      <c r="X45" s="3"/>
    </row>
    <row r="46" spans="1:25" x14ac:dyDescent="0.3">
      <c r="A46" s="16">
        <v>-0.52</v>
      </c>
      <c r="B46" s="1"/>
      <c r="C46" s="12"/>
      <c r="D46" s="1"/>
      <c r="E46" s="1"/>
      <c r="F46" s="1"/>
      <c r="G46" s="1"/>
      <c r="H46" s="15"/>
      <c r="I46" s="2"/>
      <c r="P46" s="3"/>
      <c r="Q46" s="3"/>
      <c r="R46" s="3"/>
      <c r="S46" s="3"/>
      <c r="T46" s="3"/>
      <c r="U46" s="3"/>
      <c r="V46" s="3"/>
      <c r="W46" s="3"/>
      <c r="X46" s="3"/>
    </row>
    <row r="47" spans="1:25" x14ac:dyDescent="0.3">
      <c r="A47" s="16">
        <v>-0.52</v>
      </c>
      <c r="B47" s="1"/>
      <c r="C47" s="12"/>
      <c r="D47" s="1"/>
      <c r="E47" s="1"/>
      <c r="F47" s="1"/>
      <c r="G47" s="1"/>
      <c r="H47" s="15"/>
      <c r="I47" s="2"/>
      <c r="P47" s="3"/>
      <c r="Q47" s="3"/>
      <c r="R47" s="3"/>
      <c r="S47" s="3"/>
      <c r="T47" s="3"/>
      <c r="U47" s="3"/>
      <c r="V47" s="3"/>
      <c r="W47" s="3"/>
      <c r="X47" s="3"/>
    </row>
    <row r="48" spans="1:25" x14ac:dyDescent="0.3">
      <c r="A48" s="16">
        <v>-0.52</v>
      </c>
      <c r="B48" s="1"/>
      <c r="C48" s="12"/>
      <c r="D48" s="1"/>
      <c r="E48" s="1"/>
      <c r="F48" s="1"/>
      <c r="G48" s="1"/>
      <c r="H48" s="15"/>
      <c r="I48" s="2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3">
      <c r="A49" s="16">
        <v>-0.76</v>
      </c>
      <c r="B49" s="1"/>
      <c r="C49" s="12"/>
      <c r="D49" s="1"/>
      <c r="E49" s="1"/>
      <c r="F49" s="1"/>
      <c r="G49" s="1"/>
      <c r="H49" s="15"/>
      <c r="I49" s="2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3">
      <c r="A50" s="16">
        <v>-0.76</v>
      </c>
      <c r="B50" s="1"/>
      <c r="C50" s="12"/>
      <c r="D50" s="1"/>
      <c r="E50" s="1"/>
      <c r="F50" s="1"/>
      <c r="G50" s="1"/>
      <c r="H50" s="15"/>
      <c r="I50" s="2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3">
      <c r="A51" s="16">
        <v>-0.76</v>
      </c>
      <c r="B51" s="1"/>
      <c r="C51" s="12"/>
      <c r="D51" s="1"/>
      <c r="E51" s="1"/>
      <c r="F51" s="1"/>
      <c r="G51" s="1"/>
      <c r="H51" s="15"/>
      <c r="I51" s="2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3">
      <c r="A52" s="16">
        <v>-0.76</v>
      </c>
      <c r="B52" s="1"/>
      <c r="C52" s="12"/>
      <c r="D52" s="1"/>
      <c r="E52" s="1"/>
      <c r="F52" s="1"/>
      <c r="G52" s="1"/>
      <c r="H52" s="15"/>
      <c r="I52" s="2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16">
        <v>-0.76</v>
      </c>
      <c r="B53" s="1"/>
      <c r="C53" s="12"/>
      <c r="D53" s="1"/>
      <c r="E53" s="1"/>
      <c r="F53" s="1"/>
      <c r="G53" s="1"/>
      <c r="H53" s="15"/>
      <c r="I53" s="2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16">
        <v>-0.76</v>
      </c>
      <c r="B54" s="1"/>
      <c r="C54" s="12"/>
      <c r="D54" s="1"/>
      <c r="E54" s="1"/>
      <c r="F54" s="1"/>
      <c r="G54" s="1"/>
      <c r="H54" s="15"/>
      <c r="I54" s="2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16">
        <v>-0.76</v>
      </c>
      <c r="B55" s="1"/>
      <c r="C55" s="12"/>
      <c r="D55" s="1"/>
      <c r="E55" s="1"/>
      <c r="F55" s="1"/>
      <c r="G55" s="1"/>
      <c r="H55" s="15"/>
      <c r="I55" s="2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16">
        <v>-0.76</v>
      </c>
      <c r="B56" s="1"/>
      <c r="C56" s="12"/>
      <c r="D56" s="1"/>
      <c r="E56" s="1"/>
      <c r="F56" s="1"/>
      <c r="G56" s="1"/>
      <c r="H56" s="15"/>
      <c r="I56" s="2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16">
        <v>-0.76</v>
      </c>
      <c r="B57" s="1"/>
      <c r="C57" s="12"/>
      <c r="D57" s="1"/>
      <c r="E57" s="1"/>
      <c r="F57" s="1"/>
      <c r="G57" s="1"/>
      <c r="H57" s="15"/>
      <c r="I57" s="2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16">
        <v>-0.76</v>
      </c>
      <c r="B58" s="1"/>
      <c r="C58" s="12"/>
      <c r="D58" s="1"/>
      <c r="E58" s="1"/>
      <c r="F58" s="1"/>
      <c r="G58" s="1"/>
      <c r="H58" s="15"/>
      <c r="I58" s="2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16">
        <v>-0.76</v>
      </c>
      <c r="B59" s="1"/>
      <c r="C59" s="12"/>
      <c r="D59" s="1"/>
      <c r="E59" s="1"/>
      <c r="F59" s="1"/>
      <c r="G59" s="1"/>
      <c r="H59" s="15"/>
      <c r="I59" s="2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16">
        <v>-0.76</v>
      </c>
      <c r="B60" s="1"/>
      <c r="C60" s="12"/>
      <c r="D60" s="1"/>
      <c r="E60" s="1"/>
      <c r="F60" s="1"/>
      <c r="G60" s="1"/>
      <c r="H60" s="15"/>
      <c r="I60" s="2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16">
        <v>-0.76</v>
      </c>
      <c r="B61" s="1"/>
      <c r="C61" s="12"/>
      <c r="D61" s="1"/>
      <c r="E61" s="1"/>
      <c r="F61" s="1"/>
      <c r="G61" s="1"/>
      <c r="H61" s="15"/>
      <c r="I61" s="2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">
      <c r="A62" s="16">
        <v>-0.76</v>
      </c>
      <c r="B62" s="1"/>
      <c r="C62" s="12"/>
      <c r="D62" s="1"/>
      <c r="E62" s="1"/>
      <c r="F62" s="1"/>
      <c r="G62" s="1"/>
      <c r="H62" s="15"/>
      <c r="I62" s="2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3">
      <c r="A63" s="16">
        <v>-0.76</v>
      </c>
      <c r="B63" s="1"/>
      <c r="C63" s="12"/>
      <c r="D63" s="1"/>
      <c r="E63" s="1"/>
      <c r="F63" s="1"/>
      <c r="G63" s="1"/>
      <c r="H63" s="15"/>
      <c r="I63" s="2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3">
      <c r="A64" s="16">
        <v>-0.76</v>
      </c>
    </row>
    <row r="65" spans="1:1" x14ac:dyDescent="0.3">
      <c r="A65" s="16">
        <v>-0.76</v>
      </c>
    </row>
    <row r="66" spans="1:1" x14ac:dyDescent="0.3">
      <c r="A66" s="16">
        <v>-0.76</v>
      </c>
    </row>
    <row r="67" spans="1:1" x14ac:dyDescent="0.3">
      <c r="A67" s="16">
        <v>-0.76</v>
      </c>
    </row>
    <row r="68" spans="1:1" x14ac:dyDescent="0.3">
      <c r="A68" s="16">
        <v>-0.76</v>
      </c>
    </row>
    <row r="69" spans="1:1" x14ac:dyDescent="0.3">
      <c r="A69" s="16">
        <v>-2</v>
      </c>
    </row>
    <row r="70" spans="1:1" x14ac:dyDescent="0.3">
      <c r="A70" s="16">
        <v>-2</v>
      </c>
    </row>
    <row r="71" spans="1:1" x14ac:dyDescent="0.3">
      <c r="A71" s="16">
        <v>-2</v>
      </c>
    </row>
    <row r="72" spans="1:1" x14ac:dyDescent="0.3">
      <c r="A72" s="16">
        <v>-2</v>
      </c>
    </row>
    <row r="73" spans="1:1" x14ac:dyDescent="0.3">
      <c r="A73" s="16">
        <v>-2</v>
      </c>
    </row>
    <row r="74" spans="1:1" x14ac:dyDescent="0.3">
      <c r="A74" s="16">
        <v>-2</v>
      </c>
    </row>
    <row r="75" spans="1:1" x14ac:dyDescent="0.3">
      <c r="A75" s="16">
        <v>-2</v>
      </c>
    </row>
    <row r="76" spans="1:1" x14ac:dyDescent="0.3">
      <c r="A76" s="16">
        <v>-3</v>
      </c>
    </row>
    <row r="77" spans="1:1" x14ac:dyDescent="0.3">
      <c r="A77" s="16">
        <v>-3</v>
      </c>
    </row>
    <row r="78" spans="1:1" x14ac:dyDescent="0.3">
      <c r="A78" s="16">
        <v>-3</v>
      </c>
    </row>
    <row r="79" spans="1:1" x14ac:dyDescent="0.3">
      <c r="A79" s="16">
        <v>-3</v>
      </c>
    </row>
    <row r="80" spans="1:1" x14ac:dyDescent="0.3">
      <c r="A80" s="16">
        <v>-3</v>
      </c>
    </row>
    <row r="81" spans="1:1" x14ac:dyDescent="0.3">
      <c r="A81" s="16">
        <v>-3</v>
      </c>
    </row>
    <row r="82" spans="1:1" x14ac:dyDescent="0.3">
      <c r="A82" s="16">
        <v>-3</v>
      </c>
    </row>
    <row r="83" spans="1:1" x14ac:dyDescent="0.3">
      <c r="A83" s="16">
        <v>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8231-E436-4DBF-8FBB-D71020633B3A}">
  <dimension ref="A1:E1098"/>
  <sheetViews>
    <sheetView workbookViewId="0">
      <selection activeCell="E1" sqref="E1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28</v>
      </c>
      <c r="C1" s="19">
        <f>+Sheet1!H2</f>
        <v>45425.683333333334</v>
      </c>
      <c r="D1" s="20">
        <f t="shared" ref="D1:D2" si="0">+C1-2/24</f>
        <v>45425.599999999999</v>
      </c>
      <c r="E1" cm="1">
        <f t="array" ref="E1">INDEX(B$1:B$224233, MATCH(D1,A$1:A$224233,1) +0)</f>
        <v>54.211965999999997</v>
      </c>
    </row>
    <row r="2" spans="1:5" x14ac:dyDescent="0.3">
      <c r="A2" s="21">
        <v>45425.59375</v>
      </c>
      <c r="B2" s="18">
        <v>0</v>
      </c>
      <c r="C2" s="19">
        <f>+Sheet1!H3</f>
        <v>45425.689583333333</v>
      </c>
      <c r="D2" s="20">
        <f t="shared" si="0"/>
        <v>45425.606249999997</v>
      </c>
      <c r="E2" cm="1">
        <f t="array" ref="E2">INDEX(B$1:B$224233, MATCH(D2,A$1:A$224233,1) +0)</f>
        <v>53.503743</v>
      </c>
    </row>
    <row r="3" spans="1:5" x14ac:dyDescent="0.3">
      <c r="A3" s="21">
        <v>45425.594444000002</v>
      </c>
      <c r="B3" s="18">
        <v>35.456614000000002</v>
      </c>
      <c r="C3" s="19">
        <f>+Sheet1!H4</f>
        <v>45425.714583333334</v>
      </c>
      <c r="D3" s="20">
        <f t="shared" ref="D3:D40" si="1">+C3-2/24</f>
        <v>45425.631249999999</v>
      </c>
      <c r="E3" cm="1">
        <f t="array" ref="E3">INDEX(B$1:B$224233, MATCH(D3,A$1:A$224233,1) +0)</f>
        <v>57.611277999999999</v>
      </c>
    </row>
    <row r="4" spans="1:5" x14ac:dyDescent="0.3">
      <c r="A4" s="21">
        <v>45425.595138999997</v>
      </c>
      <c r="B4" s="18">
        <v>60.054166000000002</v>
      </c>
      <c r="C4" s="19">
        <f>+Sheet1!H5</f>
        <v>45425.738194444442</v>
      </c>
      <c r="D4" s="20">
        <f t="shared" si="1"/>
        <v>45425.654861111107</v>
      </c>
      <c r="E4" cm="1">
        <f t="array" ref="E4">INDEX(B$1:B$224233, MATCH(D4,A$1:A$224233,1) +0)</f>
        <v>58.809843000000001</v>
      </c>
    </row>
    <row r="5" spans="1:5" x14ac:dyDescent="0.3">
      <c r="A5" s="21">
        <v>45425.595832999999</v>
      </c>
      <c r="B5" s="18">
        <v>58.368879</v>
      </c>
      <c r="C5" s="19">
        <f>+Sheet1!H6</f>
        <v>45425.757638888892</v>
      </c>
      <c r="D5" s="20">
        <f t="shared" si="1"/>
        <v>45425.674305555556</v>
      </c>
      <c r="E5" cm="1">
        <f t="array" ref="E5">INDEX(B$1:B$224233, MATCH(D5,A$1:A$224233,1) +0)</f>
        <v>60.316301000000003</v>
      </c>
    </row>
    <row r="6" spans="1:5" x14ac:dyDescent="0.3">
      <c r="A6" s="21">
        <v>45425.596528000002</v>
      </c>
      <c r="B6" s="18">
        <v>57.057307999999999</v>
      </c>
      <c r="C6" s="19">
        <f>+Sheet1!H7</f>
        <v>45425.782638888886</v>
      </c>
      <c r="D6" s="20">
        <f t="shared" si="1"/>
        <v>45425.69930555555</v>
      </c>
      <c r="E6" cm="1">
        <f t="array" ref="E6">INDEX(B$1:B$224233, MATCH(D6,A$1:A$224233,1) +0)</f>
        <v>60.825646999999996</v>
      </c>
    </row>
    <row r="7" spans="1:5" x14ac:dyDescent="0.3">
      <c r="A7" s="21">
        <v>45425.597221999997</v>
      </c>
      <c r="B7" s="18">
        <v>56.649166000000001</v>
      </c>
      <c r="C7" s="19">
        <f>+Sheet1!H8</f>
        <v>45425.801388888889</v>
      </c>
      <c r="D7" s="20">
        <f t="shared" si="1"/>
        <v>45425.718055555553</v>
      </c>
      <c r="E7" cm="1">
        <f t="array" ref="E7">INDEX(B$1:B$224233, MATCH(D7,A$1:A$224233,1) +0)</f>
        <v>61.303486999999997</v>
      </c>
    </row>
    <row r="8" spans="1:5" x14ac:dyDescent="0.3">
      <c r="A8" s="21">
        <v>45425.597916999999</v>
      </c>
      <c r="B8" s="18">
        <v>55.089500999999998</v>
      </c>
      <c r="C8" s="19">
        <f>+Sheet1!H9</f>
        <v>45425.819444444445</v>
      </c>
      <c r="D8" s="20">
        <f t="shared" si="1"/>
        <v>45425.736111111109</v>
      </c>
      <c r="E8" cm="1">
        <f t="array" ref="E8">INDEX(B$1:B$224233, MATCH(D8,A$1:A$224233,1) +0)</f>
        <v>61.767339999999997</v>
      </c>
    </row>
    <row r="9" spans="1:5" x14ac:dyDescent="0.3">
      <c r="A9" s="21">
        <v>45425.598611000001</v>
      </c>
      <c r="B9" s="18">
        <v>55.102477999999998</v>
      </c>
      <c r="C9" s="19">
        <f>+Sheet1!H10</f>
        <v>45425.838194444441</v>
      </c>
      <c r="D9" s="20">
        <f t="shared" si="1"/>
        <v>45425.754861111105</v>
      </c>
      <c r="E9" cm="1">
        <f t="array" ref="E9">INDEX(B$1:B$224233, MATCH(D9,A$1:A$224233,1) +0)</f>
        <v>62.268996999999999</v>
      </c>
    </row>
    <row r="10" spans="1:5" x14ac:dyDescent="0.3">
      <c r="A10" s="21">
        <v>45425.599305999996</v>
      </c>
      <c r="B10" s="18">
        <v>54.382759</v>
      </c>
      <c r="C10" s="19">
        <f>+Sheet1!H11</f>
        <v>45425.856249999997</v>
      </c>
      <c r="D10" s="20">
        <f t="shared" si="1"/>
        <v>45425.772916666661</v>
      </c>
      <c r="E10" cm="1">
        <f t="array" ref="E10">INDEX(B$1:B$224233, MATCH(D10,A$1:A$224233,1) +0)</f>
        <v>63.610120999999999</v>
      </c>
    </row>
    <row r="11" spans="1:5" x14ac:dyDescent="0.3">
      <c r="A11" s="21">
        <v>45425.599999999999</v>
      </c>
      <c r="B11" s="18">
        <v>54.211965999999997</v>
      </c>
      <c r="C11" s="19">
        <f>+Sheet1!H12</f>
        <v>45425.875</v>
      </c>
      <c r="D11" s="20">
        <f t="shared" si="1"/>
        <v>45425.791666666664</v>
      </c>
      <c r="E11" cm="1">
        <f t="array" ref="E11">INDEX(B$1:B$224233, MATCH(D11,A$1:A$224233,1) +0)</f>
        <v>63.468753</v>
      </c>
    </row>
    <row r="12" spans="1:5" x14ac:dyDescent="0.3">
      <c r="A12" s="21">
        <v>45425.600694000001</v>
      </c>
      <c r="B12" s="18">
        <v>53.585808</v>
      </c>
      <c r="C12" s="19">
        <f>+Sheet1!H13</f>
        <v>45425.893055555556</v>
      </c>
      <c r="D12" s="20">
        <f t="shared" si="1"/>
        <v>45425.80972222222</v>
      </c>
      <c r="E12" cm="1">
        <f t="array" ref="E12">INDEX(B$1:B$224233, MATCH(D12,A$1:A$224233,1) +0)</f>
        <v>63.193725999999998</v>
      </c>
    </row>
    <row r="13" spans="1:5" x14ac:dyDescent="0.3">
      <c r="A13" s="21">
        <v>45425.601389000003</v>
      </c>
      <c r="B13" s="18">
        <v>53.760736000000001</v>
      </c>
      <c r="C13" s="19">
        <f>+Sheet1!H14</f>
        <v>45425.912499999999</v>
      </c>
      <c r="D13" s="20">
        <f t="shared" si="1"/>
        <v>45425.829166666663</v>
      </c>
      <c r="E13" cm="1">
        <f t="array" ref="E13">INDEX(B$1:B$224233, MATCH(D13,A$1:A$224233,1) +0)</f>
        <v>63.279152000000003</v>
      </c>
    </row>
    <row r="14" spans="1:5" x14ac:dyDescent="0.3">
      <c r="A14" s="21">
        <v>45425.602082999998</v>
      </c>
      <c r="B14" s="18">
        <v>53.856482</v>
      </c>
      <c r="C14" s="19">
        <f>+Sheet1!H15</f>
        <v>45425.929861111108</v>
      </c>
      <c r="D14" s="20">
        <f t="shared" si="1"/>
        <v>45425.846527777772</v>
      </c>
      <c r="E14" cm="1">
        <f t="array" ref="E14">INDEX(B$1:B$224233, MATCH(D14,A$1:A$224233,1) +0)</f>
        <v>62.109763000000001</v>
      </c>
    </row>
    <row r="15" spans="1:5" x14ac:dyDescent="0.3">
      <c r="A15" s="21">
        <v>45425.602778</v>
      </c>
      <c r="B15" s="18">
        <v>53.170164999999997</v>
      </c>
      <c r="C15" s="19">
        <f>+Sheet1!H16</f>
        <v>45425.948611111111</v>
      </c>
      <c r="D15" s="20">
        <f t="shared" si="1"/>
        <v>45425.865277777775</v>
      </c>
      <c r="E15" cm="1">
        <f t="array" ref="E15">INDEX(B$1:B$224233, MATCH(D15,A$1:A$224233,1) +0)</f>
        <v>63.12688</v>
      </c>
    </row>
    <row r="16" spans="1:5" x14ac:dyDescent="0.3">
      <c r="A16" s="21">
        <v>45425.603472000003</v>
      </c>
      <c r="B16" s="18">
        <v>53.652754999999999</v>
      </c>
      <c r="C16" s="19">
        <f>+Sheet1!H17</f>
        <v>45425.966666666667</v>
      </c>
      <c r="D16" s="20">
        <f t="shared" si="1"/>
        <v>45425.883333333331</v>
      </c>
      <c r="E16" cm="1">
        <f t="array" ref="E16">INDEX(B$1:B$224233, MATCH(D16,A$1:A$224233,1) +0)</f>
        <v>63.417219000000003</v>
      </c>
    </row>
    <row r="17" spans="1:5" x14ac:dyDescent="0.3">
      <c r="A17" s="21">
        <v>45425.604166999998</v>
      </c>
      <c r="B17" s="18">
        <v>53.121993000000003</v>
      </c>
      <c r="C17" s="19">
        <f>+Sheet1!H18</f>
        <v>45425.986111111109</v>
      </c>
      <c r="D17" s="20">
        <f t="shared" si="1"/>
        <v>45425.902777777774</v>
      </c>
      <c r="E17" cm="1">
        <f t="array" ref="E17">INDEX(B$1:B$224233, MATCH(D17,A$1:A$224233,1) +0)</f>
        <v>63.255003000000002</v>
      </c>
    </row>
    <row r="18" spans="1:5" x14ac:dyDescent="0.3">
      <c r="A18" s="21">
        <v>45425.604861</v>
      </c>
      <c r="B18" s="18">
        <v>52.696587000000001</v>
      </c>
      <c r="C18" s="19">
        <f>+Sheet1!H19</f>
        <v>45426.003472222219</v>
      </c>
      <c r="D18" s="20">
        <f t="shared" si="1"/>
        <v>45425.920138888883</v>
      </c>
      <c r="E18" cm="1">
        <f t="array" ref="E18">INDEX(B$1:B$224233, MATCH(D18,A$1:A$224233,1) +0)</f>
        <v>63.321190000000001</v>
      </c>
    </row>
    <row r="19" spans="1:5" x14ac:dyDescent="0.3">
      <c r="A19" s="21">
        <v>45425.605556000002</v>
      </c>
      <c r="B19" s="18">
        <v>53.702029000000003</v>
      </c>
      <c r="C19" s="19">
        <f>+Sheet1!H20</f>
        <v>45426.022916666669</v>
      </c>
      <c r="D19" s="20">
        <f t="shared" si="1"/>
        <v>45425.939583333333</v>
      </c>
      <c r="E19" cm="1">
        <f t="array" ref="E19">INDEX(B$1:B$224233, MATCH(D19,A$1:A$224233,1) +0)</f>
        <v>65.362690000000001</v>
      </c>
    </row>
    <row r="20" spans="1:5" x14ac:dyDescent="0.3">
      <c r="A20" s="21">
        <v>45425.606249999997</v>
      </c>
      <c r="B20" s="18">
        <v>53.503743</v>
      </c>
      <c r="C20" s="19">
        <f>+Sheet1!H21</f>
        <v>45426.040277777778</v>
      </c>
      <c r="D20" s="20">
        <f t="shared" si="1"/>
        <v>45425.956944444442</v>
      </c>
      <c r="E20" cm="1">
        <f t="array" ref="E20">INDEX(B$1:B$224233, MATCH(D20,A$1:A$224233,1) +0)</f>
        <v>66.058053999999998</v>
      </c>
    </row>
    <row r="21" spans="1:5" x14ac:dyDescent="0.3">
      <c r="A21" s="21">
        <v>45425.606943999999</v>
      </c>
      <c r="B21" s="18">
        <v>53.032805000000003</v>
      </c>
      <c r="C21" s="19">
        <f>+Sheet1!H22</f>
        <v>45426.05972222222</v>
      </c>
      <c r="D21" s="20">
        <f t="shared" si="1"/>
        <v>45425.976388888885</v>
      </c>
      <c r="E21" cm="1">
        <f t="array" ref="E21">INDEX(B$1:B$224233, MATCH(D21,A$1:A$224233,1) +0)</f>
        <v>65.455342999999999</v>
      </c>
    </row>
    <row r="22" spans="1:5" x14ac:dyDescent="0.3">
      <c r="A22" s="21">
        <v>45425.607639000002</v>
      </c>
      <c r="B22" s="18">
        <v>53.702525000000001</v>
      </c>
      <c r="C22" s="19">
        <f>+Sheet1!H23</f>
        <v>45426.07708333333</v>
      </c>
      <c r="D22" s="20">
        <f t="shared" si="1"/>
        <v>45425.993749999994</v>
      </c>
      <c r="E22" cm="1">
        <f t="array" ref="E22">INDEX(B$1:B$224233, MATCH(D22,A$1:A$224233,1) +0)</f>
        <v>65.018460000000005</v>
      </c>
    </row>
    <row r="23" spans="1:5" x14ac:dyDescent="0.3">
      <c r="A23" s="21">
        <v>45425.608332999996</v>
      </c>
      <c r="B23" s="18">
        <v>53.113864999999997</v>
      </c>
      <c r="C23" s="19">
        <f>+Sheet1!H24</f>
        <v>45426.09652777778</v>
      </c>
      <c r="D23" s="20">
        <f t="shared" si="1"/>
        <v>45426.013194444444</v>
      </c>
      <c r="E23" cm="1">
        <f t="array" ref="E23">INDEX(B$1:B$224233, MATCH(D23,A$1:A$224233,1) +0)</f>
        <v>63.911928000000003</v>
      </c>
    </row>
    <row r="24" spans="1:5" x14ac:dyDescent="0.3">
      <c r="A24" s="21">
        <v>45425.609027999999</v>
      </c>
      <c r="B24" s="18">
        <v>53.794578000000001</v>
      </c>
      <c r="C24" s="19">
        <f>+Sheet1!H25</f>
        <v>45426.113888888889</v>
      </c>
      <c r="D24" s="20">
        <f t="shared" si="1"/>
        <v>45426.030555555553</v>
      </c>
      <c r="E24" cm="1">
        <f t="array" ref="E24">INDEX(B$1:B$224233, MATCH(D24,A$1:A$224233,1) +0)</f>
        <v>70.437456999999995</v>
      </c>
    </row>
    <row r="25" spans="1:5" x14ac:dyDescent="0.3">
      <c r="A25" s="21">
        <v>45425.609722000001</v>
      </c>
      <c r="B25" s="18">
        <v>54.289788999999999</v>
      </c>
      <c r="C25" s="19">
        <f>+Sheet1!H26</f>
        <v>45426.133333333331</v>
      </c>
      <c r="D25" s="20">
        <f t="shared" si="1"/>
        <v>45426.049999999996</v>
      </c>
      <c r="E25" cm="1">
        <f t="array" ref="E25">INDEX(B$1:B$224233, MATCH(D25,A$1:A$224233,1) +0)</f>
        <v>68.829363999999998</v>
      </c>
    </row>
    <row r="26" spans="1:5" x14ac:dyDescent="0.3">
      <c r="A26" s="21">
        <v>45425.610417000004</v>
      </c>
      <c r="B26" s="18">
        <v>53.700336999999998</v>
      </c>
      <c r="C26" s="19">
        <f>+Sheet1!H27</f>
        <v>45426.150694444441</v>
      </c>
      <c r="D26" s="20">
        <f t="shared" si="1"/>
        <v>45426.067361111105</v>
      </c>
      <c r="E26" cm="1">
        <f t="array" ref="E26">INDEX(B$1:B$224233, MATCH(D26,A$1:A$224233,1) +0)</f>
        <v>69.094131000000004</v>
      </c>
    </row>
    <row r="27" spans="1:5" x14ac:dyDescent="0.3">
      <c r="A27" s="21">
        <v>45425.611110999998</v>
      </c>
      <c r="B27" s="18">
        <v>54.092252000000002</v>
      </c>
      <c r="C27" s="19">
        <f>+Sheet1!H28</f>
        <v>45426.170138888891</v>
      </c>
      <c r="D27" s="20">
        <f t="shared" si="1"/>
        <v>45426.086805555555</v>
      </c>
      <c r="E27" cm="1">
        <f t="array" ref="E27">INDEX(B$1:B$224233, MATCH(D27,A$1:A$224233,1) +0)</f>
        <v>69.519161999999994</v>
      </c>
    </row>
    <row r="28" spans="1:5" x14ac:dyDescent="0.3">
      <c r="A28" s="21">
        <v>45425.611806000001</v>
      </c>
      <c r="B28" s="18">
        <v>54.566195</v>
      </c>
      <c r="C28" s="19">
        <f>+Sheet1!H29</f>
        <v>45426.1875</v>
      </c>
      <c r="D28" s="20">
        <f t="shared" si="1"/>
        <v>45426.104166666664</v>
      </c>
      <c r="E28" cm="1">
        <f t="array" ref="E28">INDEX(B$1:B$224233, MATCH(D28,A$1:A$224233,1) +0)</f>
        <v>73.488140000000001</v>
      </c>
    </row>
    <row r="29" spans="1:5" x14ac:dyDescent="0.3">
      <c r="A29" s="21">
        <v>45425.612500000003</v>
      </c>
      <c r="B29" s="18">
        <v>53.972166000000001</v>
      </c>
      <c r="C29" s="19">
        <f>+Sheet1!H30</f>
        <v>45426.206944444442</v>
      </c>
      <c r="D29" s="20">
        <f t="shared" si="1"/>
        <v>45426.123611111107</v>
      </c>
      <c r="E29" cm="1">
        <f t="array" ref="E29">INDEX(B$1:B$224233, MATCH(D29,A$1:A$224233,1) +0)</f>
        <v>73.177881999999997</v>
      </c>
    </row>
    <row r="30" spans="1:5" x14ac:dyDescent="0.3">
      <c r="A30" s="21">
        <v>45425.613193999998</v>
      </c>
      <c r="B30" s="18">
        <v>54.599462000000003</v>
      </c>
      <c r="C30" s="19">
        <f>+Sheet1!H31</f>
        <v>45426.224305555559</v>
      </c>
      <c r="D30" s="20">
        <f t="shared" si="1"/>
        <v>45426.140972222223</v>
      </c>
      <c r="E30" cm="1">
        <f t="array" ref="E30">INDEX(B$1:B$224233, MATCH(D30,A$1:A$224233,1) +0)</f>
        <v>74.559556000000001</v>
      </c>
    </row>
    <row r="31" spans="1:5" x14ac:dyDescent="0.3">
      <c r="A31" s="21">
        <v>45425.613889</v>
      </c>
      <c r="B31" s="18">
        <v>54.805835999999999</v>
      </c>
      <c r="C31" s="19">
        <f>+Sheet1!H32</f>
        <v>45426.243750000001</v>
      </c>
      <c r="D31" s="20">
        <f t="shared" si="1"/>
        <v>45426.160416666666</v>
      </c>
      <c r="E31" cm="1">
        <f t="array" ref="E31">INDEX(B$1:B$224233, MATCH(D31,A$1:A$224233,1) +0)</f>
        <v>74.526362000000006</v>
      </c>
    </row>
    <row r="32" spans="1:5" x14ac:dyDescent="0.3">
      <c r="A32" s="21">
        <v>45425.614583000002</v>
      </c>
      <c r="B32" s="18">
        <v>54.892510999999999</v>
      </c>
      <c r="C32" s="19">
        <f>+Sheet1!H33</f>
        <v>45426.261111111111</v>
      </c>
      <c r="D32" s="20">
        <f t="shared" si="1"/>
        <v>45426.177777777775</v>
      </c>
      <c r="E32" cm="1">
        <f t="array" ref="E32">INDEX(B$1:B$224233, MATCH(D32,A$1:A$224233,1) +0)</f>
        <v>72.482560000000007</v>
      </c>
    </row>
    <row r="33" spans="1:5" x14ac:dyDescent="0.3">
      <c r="A33" s="21">
        <v>45425.615277999997</v>
      </c>
      <c r="B33" s="18">
        <v>54.898235999999997</v>
      </c>
      <c r="C33" s="19">
        <f>+Sheet1!H34</f>
        <v>45426.280555555553</v>
      </c>
      <c r="D33" s="20">
        <f t="shared" si="1"/>
        <v>45426.197222222218</v>
      </c>
      <c r="E33" cm="1">
        <f t="array" ref="E33">INDEX(B$1:B$224233, MATCH(D33,A$1:A$224233,1) +0)</f>
        <v>82.279025000000004</v>
      </c>
    </row>
    <row r="34" spans="1:5" x14ac:dyDescent="0.3">
      <c r="A34" s="21">
        <v>45425.615972</v>
      </c>
      <c r="B34" s="18">
        <v>54.774579000000003</v>
      </c>
      <c r="C34" s="19">
        <f>+Sheet1!H35</f>
        <v>45426.29791666667</v>
      </c>
      <c r="D34" s="20">
        <f t="shared" si="1"/>
        <v>45426.214583333334</v>
      </c>
      <c r="E34" cm="1">
        <f t="array" ref="E34">INDEX(B$1:B$224233, MATCH(D34,A$1:A$224233,1) +0)</f>
        <v>81.849530999999999</v>
      </c>
    </row>
    <row r="35" spans="1:5" x14ac:dyDescent="0.3">
      <c r="A35" s="21">
        <v>45425.616667000002</v>
      </c>
      <c r="B35" s="18">
        <v>55.301957999999999</v>
      </c>
      <c r="C35" s="19">
        <f>+Sheet1!H36</f>
        <v>45426.317361111112</v>
      </c>
      <c r="D35" s="20">
        <f t="shared" si="1"/>
        <v>45426.234027777777</v>
      </c>
      <c r="E35" cm="1">
        <f t="array" ref="E35">INDEX(B$1:B$224233, MATCH(D35,A$1:A$224233,1) +0)</f>
        <v>81.388777000000005</v>
      </c>
    </row>
    <row r="36" spans="1:5" x14ac:dyDescent="0.3">
      <c r="A36" s="21">
        <v>45425.617360999997</v>
      </c>
      <c r="B36" s="18">
        <v>55.064450000000001</v>
      </c>
      <c r="C36" s="19">
        <f>+Sheet1!H37</f>
        <v>45426.334722222222</v>
      </c>
      <c r="D36" s="20">
        <f t="shared" si="1"/>
        <v>45426.251388888886</v>
      </c>
      <c r="E36" cm="1">
        <f t="array" ref="E36">INDEX(B$1:B$224233, MATCH(D36,A$1:A$224233,1) +0)</f>
        <v>80.636014000000003</v>
      </c>
    </row>
    <row r="37" spans="1:5" x14ac:dyDescent="0.3">
      <c r="A37" s="21">
        <v>45425.618055999999</v>
      </c>
      <c r="B37" s="18">
        <v>55.680177</v>
      </c>
      <c r="C37" s="19">
        <f>+Sheet1!H38</f>
        <v>45426.354166666664</v>
      </c>
      <c r="D37" s="20">
        <f t="shared" si="1"/>
        <v>45426.270833333328</v>
      </c>
      <c r="E37" cm="1">
        <f t="array" ref="E37">INDEX(B$1:B$224233, MATCH(D37,A$1:A$224233,1) +0)</f>
        <v>66.638103000000001</v>
      </c>
    </row>
    <row r="38" spans="1:5" x14ac:dyDescent="0.3">
      <c r="A38" s="21">
        <v>45425.618750000001</v>
      </c>
      <c r="B38" s="18">
        <v>55.238159000000003</v>
      </c>
      <c r="C38" s="19">
        <f>+Sheet1!H39</f>
        <v>45426.382638888892</v>
      </c>
      <c r="D38" s="20">
        <f t="shared" si="1"/>
        <v>45426.299305555556</v>
      </c>
      <c r="E38" cm="1">
        <f t="array" ref="E38">INDEX(B$1:B$224233, MATCH(D38,A$1:A$224233,1) +0)</f>
        <v>67.450271000000001</v>
      </c>
    </row>
    <row r="39" spans="1:5" x14ac:dyDescent="0.3">
      <c r="A39" s="21">
        <v>45425.619444000004</v>
      </c>
      <c r="B39" s="18">
        <v>55.601027999999999</v>
      </c>
      <c r="C39" s="19">
        <f>+Sheet1!H40</f>
        <v>45426.411805555559</v>
      </c>
      <c r="D39" s="20">
        <f t="shared" si="1"/>
        <v>45426.328472222223</v>
      </c>
      <c r="E39" cm="1">
        <f t="array" ref="E39">INDEX(B$1:B$224233, MATCH(D39,A$1:A$224233,1) +0)</f>
        <v>69.429390999999995</v>
      </c>
    </row>
    <row r="40" spans="1:5" x14ac:dyDescent="0.3">
      <c r="A40" s="21">
        <v>45425.620138999999</v>
      </c>
      <c r="B40" s="18">
        <v>55.699241999999998</v>
      </c>
      <c r="C40" s="19">
        <f>+Sheet1!H41</f>
        <v>45426.432638888888</v>
      </c>
      <c r="D40" s="20">
        <f t="shared" si="1"/>
        <v>45426.349305555552</v>
      </c>
      <c r="E40" cm="1">
        <f t="array" ref="E40">INDEX(B$1:B$224233, MATCH(D40,A$1:A$224233,1) +0)</f>
        <v>67.794565000000006</v>
      </c>
    </row>
    <row r="41" spans="1:5" x14ac:dyDescent="0.3">
      <c r="A41" s="21">
        <v>45425.620833000001</v>
      </c>
      <c r="B41" s="18">
        <v>55.719093000000001</v>
      </c>
      <c r="C41" s="19"/>
      <c r="D41" s="20"/>
    </row>
    <row r="42" spans="1:5" x14ac:dyDescent="0.3">
      <c r="A42" s="21">
        <v>45425.621528000003</v>
      </c>
      <c r="B42" s="18">
        <v>56.090300999999997</v>
      </c>
      <c r="C42" s="19"/>
      <c r="D42" s="20"/>
    </row>
    <row r="43" spans="1:5" x14ac:dyDescent="0.3">
      <c r="A43" s="21">
        <v>45425.622221999998</v>
      </c>
      <c r="B43" s="18">
        <v>55.459848000000001</v>
      </c>
      <c r="C43" s="19"/>
      <c r="D43" s="20"/>
    </row>
    <row r="44" spans="1:5" x14ac:dyDescent="0.3">
      <c r="A44" s="21">
        <v>45425.622917000001</v>
      </c>
      <c r="B44" s="18">
        <v>56.13653</v>
      </c>
      <c r="C44" s="19"/>
      <c r="D44" s="20"/>
    </row>
    <row r="45" spans="1:5" x14ac:dyDescent="0.3">
      <c r="A45" s="21">
        <v>45425.623611000003</v>
      </c>
      <c r="B45" s="18">
        <v>55.766969000000003</v>
      </c>
      <c r="C45" s="19"/>
      <c r="D45" s="20"/>
    </row>
    <row r="46" spans="1:5" x14ac:dyDescent="0.3">
      <c r="A46" s="21">
        <v>45425.624305999998</v>
      </c>
      <c r="B46" s="18">
        <v>56.700536999999997</v>
      </c>
    </row>
    <row r="47" spans="1:5" x14ac:dyDescent="0.3">
      <c r="A47" s="21">
        <v>45425.625</v>
      </c>
      <c r="B47" s="18">
        <v>56.729394999999997</v>
      </c>
    </row>
    <row r="48" spans="1:5" x14ac:dyDescent="0.3">
      <c r="A48" s="21">
        <v>45425.625694000002</v>
      </c>
      <c r="B48" s="18">
        <v>57.108787</v>
      </c>
    </row>
    <row r="49" spans="1:2" x14ac:dyDescent="0.3">
      <c r="A49" s="21">
        <v>45425.626388999997</v>
      </c>
      <c r="B49" s="18">
        <v>56.538851999999999</v>
      </c>
    </row>
    <row r="50" spans="1:2" x14ac:dyDescent="0.3">
      <c r="A50" s="21">
        <v>45425.627082999999</v>
      </c>
      <c r="B50" s="18">
        <v>56.288438999999997</v>
      </c>
    </row>
    <row r="51" spans="1:2" x14ac:dyDescent="0.3">
      <c r="A51" s="21">
        <v>45425.627778000002</v>
      </c>
      <c r="B51" s="18">
        <v>56.889918999999999</v>
      </c>
    </row>
    <row r="52" spans="1:2" x14ac:dyDescent="0.3">
      <c r="A52" s="21">
        <v>45425.628471999997</v>
      </c>
      <c r="B52" s="18">
        <v>56.809494999999998</v>
      </c>
    </row>
    <row r="53" spans="1:2" x14ac:dyDescent="0.3">
      <c r="A53" s="21">
        <v>45425.629166999999</v>
      </c>
      <c r="B53" s="18">
        <v>56.199806000000002</v>
      </c>
    </row>
    <row r="54" spans="1:2" x14ac:dyDescent="0.3">
      <c r="A54" s="21">
        <v>45425.629861000001</v>
      </c>
      <c r="B54" s="18">
        <v>56.551600000000001</v>
      </c>
    </row>
    <row r="55" spans="1:2" x14ac:dyDescent="0.3">
      <c r="A55" s="21">
        <v>45425.630555999996</v>
      </c>
      <c r="B55" s="18">
        <v>56.537463000000002</v>
      </c>
    </row>
    <row r="56" spans="1:2" x14ac:dyDescent="0.3">
      <c r="A56" s="21">
        <v>45425.631249999999</v>
      </c>
      <c r="B56" s="18">
        <v>57.611277999999999</v>
      </c>
    </row>
    <row r="57" spans="1:2" x14ac:dyDescent="0.3">
      <c r="A57" s="21">
        <v>45425.631944000001</v>
      </c>
      <c r="B57" s="18">
        <v>57.269154</v>
      </c>
    </row>
    <row r="58" spans="1:2" x14ac:dyDescent="0.3">
      <c r="A58" s="21">
        <v>45425.632639000003</v>
      </c>
      <c r="B58" s="18">
        <v>57.642921999999999</v>
      </c>
    </row>
    <row r="59" spans="1:2" x14ac:dyDescent="0.3">
      <c r="A59" s="21">
        <v>45425.633332999998</v>
      </c>
      <c r="B59" s="18">
        <v>57.329757000000001</v>
      </c>
    </row>
    <row r="60" spans="1:2" x14ac:dyDescent="0.3">
      <c r="A60" s="21">
        <v>45425.634028</v>
      </c>
      <c r="B60" s="18">
        <v>57.648510999999999</v>
      </c>
    </row>
    <row r="61" spans="1:2" x14ac:dyDescent="0.3">
      <c r="A61" s="21">
        <v>45425.634722000003</v>
      </c>
      <c r="B61" s="18">
        <v>57.580682000000003</v>
      </c>
    </row>
    <row r="62" spans="1:2" x14ac:dyDescent="0.3">
      <c r="A62" s="21">
        <v>45425.635416999998</v>
      </c>
      <c r="B62" s="18">
        <v>58.183222999999998</v>
      </c>
    </row>
    <row r="63" spans="1:2" x14ac:dyDescent="0.3">
      <c r="A63" s="21">
        <v>45425.636111</v>
      </c>
      <c r="B63" s="18">
        <v>56.368087000000003</v>
      </c>
    </row>
    <row r="64" spans="1:2" x14ac:dyDescent="0.3">
      <c r="A64" s="21">
        <v>45425.636806000002</v>
      </c>
      <c r="B64" s="18">
        <v>58.040348999999999</v>
      </c>
    </row>
    <row r="65" spans="1:2" x14ac:dyDescent="0.3">
      <c r="A65" s="21">
        <v>45425.637499999997</v>
      </c>
      <c r="B65" s="18">
        <v>56.934440000000002</v>
      </c>
    </row>
    <row r="66" spans="1:2" x14ac:dyDescent="0.3">
      <c r="A66" s="21">
        <v>45425.638193999999</v>
      </c>
      <c r="B66" s="18">
        <v>57.556885000000001</v>
      </c>
    </row>
    <row r="67" spans="1:2" x14ac:dyDescent="0.3">
      <c r="A67" s="21">
        <v>45425.638889000002</v>
      </c>
      <c r="B67" s="18">
        <v>57.960858000000002</v>
      </c>
    </row>
    <row r="68" spans="1:2" x14ac:dyDescent="0.3">
      <c r="A68" s="21">
        <v>45425.639582999996</v>
      </c>
      <c r="B68" s="18">
        <v>57.853729000000001</v>
      </c>
    </row>
    <row r="69" spans="1:2" x14ac:dyDescent="0.3">
      <c r="A69" s="21">
        <v>45425.640277999999</v>
      </c>
      <c r="B69" s="18">
        <v>57.981011000000002</v>
      </c>
    </row>
    <row r="70" spans="1:2" x14ac:dyDescent="0.3">
      <c r="A70" s="21">
        <v>45425.640972000001</v>
      </c>
      <c r="B70" s="18">
        <v>57.794455999999997</v>
      </c>
    </row>
    <row r="71" spans="1:2" x14ac:dyDescent="0.3">
      <c r="A71" s="21">
        <v>45425.641667000004</v>
      </c>
      <c r="B71" s="18">
        <v>58.205973</v>
      </c>
    </row>
    <row r="72" spans="1:2" x14ac:dyDescent="0.3">
      <c r="A72" s="21">
        <v>45425.642360999998</v>
      </c>
      <c r="B72" s="18">
        <v>58.341622999999998</v>
      </c>
    </row>
    <row r="73" spans="1:2" x14ac:dyDescent="0.3">
      <c r="A73" s="21">
        <v>45425.643056000001</v>
      </c>
      <c r="B73" s="18">
        <v>57.831041999999997</v>
      </c>
    </row>
    <row r="74" spans="1:2" x14ac:dyDescent="0.3">
      <c r="A74" s="21">
        <v>45425.643750000003</v>
      </c>
      <c r="B74" s="18">
        <v>58.472827000000002</v>
      </c>
    </row>
    <row r="75" spans="1:2" x14ac:dyDescent="0.3">
      <c r="A75" s="21">
        <v>45425.644443999998</v>
      </c>
      <c r="B75" s="18">
        <v>58.248404000000001</v>
      </c>
    </row>
    <row r="76" spans="1:2" x14ac:dyDescent="0.3">
      <c r="A76" s="21">
        <v>45425.645139</v>
      </c>
      <c r="B76" s="18">
        <v>58.420377000000002</v>
      </c>
    </row>
    <row r="77" spans="1:2" x14ac:dyDescent="0.3">
      <c r="A77" s="21">
        <v>45425.645833000002</v>
      </c>
      <c r="B77" s="18">
        <v>58.211449000000002</v>
      </c>
    </row>
    <row r="78" spans="1:2" x14ac:dyDescent="0.3">
      <c r="A78" s="21">
        <v>45425.646527999997</v>
      </c>
      <c r="B78" s="18">
        <v>58.867803000000002</v>
      </c>
    </row>
    <row r="79" spans="1:2" x14ac:dyDescent="0.3">
      <c r="A79" s="21">
        <v>45425.647222</v>
      </c>
      <c r="B79" s="18">
        <v>58.398431000000002</v>
      </c>
    </row>
    <row r="80" spans="1:2" x14ac:dyDescent="0.3">
      <c r="A80" s="21">
        <v>45425.647917000002</v>
      </c>
      <c r="B80" s="18">
        <v>58.493191000000003</v>
      </c>
    </row>
    <row r="81" spans="1:2" x14ac:dyDescent="0.3">
      <c r="A81" s="21">
        <v>45425.648610999997</v>
      </c>
      <c r="B81" s="18">
        <v>58.409235000000002</v>
      </c>
    </row>
    <row r="82" spans="1:2" x14ac:dyDescent="0.3">
      <c r="A82" s="21">
        <v>45425.649305999999</v>
      </c>
      <c r="B82" s="18">
        <v>58.270964999999997</v>
      </c>
    </row>
    <row r="83" spans="1:2" x14ac:dyDescent="0.3">
      <c r="A83" s="21">
        <v>45425.65</v>
      </c>
      <c r="B83" s="18">
        <v>58.468291999999998</v>
      </c>
    </row>
    <row r="84" spans="1:2" x14ac:dyDescent="0.3">
      <c r="A84" s="21">
        <v>45425.650694000004</v>
      </c>
      <c r="B84" s="18">
        <v>59.498362</v>
      </c>
    </row>
    <row r="85" spans="1:2" x14ac:dyDescent="0.3">
      <c r="A85" s="21">
        <v>45425.651388999999</v>
      </c>
      <c r="B85" s="18">
        <v>58.496693</v>
      </c>
    </row>
    <row r="86" spans="1:2" x14ac:dyDescent="0.3">
      <c r="A86" s="21">
        <v>45425.652083000001</v>
      </c>
      <c r="B86" s="18">
        <v>58.439830999999998</v>
      </c>
    </row>
    <row r="87" spans="1:2" x14ac:dyDescent="0.3">
      <c r="A87" s="21">
        <v>45425.652778000003</v>
      </c>
      <c r="B87" s="18">
        <v>58.293869000000001</v>
      </c>
    </row>
    <row r="88" spans="1:2" x14ac:dyDescent="0.3">
      <c r="A88" s="21">
        <v>45425.653471999998</v>
      </c>
      <c r="B88" s="18">
        <v>58.70628</v>
      </c>
    </row>
    <row r="89" spans="1:2" x14ac:dyDescent="0.3">
      <c r="A89" s="21">
        <v>45425.654167000001</v>
      </c>
      <c r="B89" s="18">
        <v>59.000312000000001</v>
      </c>
    </row>
    <row r="90" spans="1:2" x14ac:dyDescent="0.3">
      <c r="A90" s="21">
        <v>45425.654861000003</v>
      </c>
      <c r="B90" s="18">
        <v>58.809843000000001</v>
      </c>
    </row>
    <row r="91" spans="1:2" x14ac:dyDescent="0.3">
      <c r="A91" s="21">
        <v>45425.655555999998</v>
      </c>
      <c r="B91" s="18">
        <v>58.751517999999997</v>
      </c>
    </row>
    <row r="92" spans="1:2" x14ac:dyDescent="0.3">
      <c r="A92" s="21">
        <v>45425.65625</v>
      </c>
      <c r="B92" s="18">
        <v>58.796942999999999</v>
      </c>
    </row>
    <row r="93" spans="1:2" x14ac:dyDescent="0.3">
      <c r="A93" s="21">
        <v>45425.656944000002</v>
      </c>
      <c r="B93" s="18">
        <v>59.481796000000003</v>
      </c>
    </row>
    <row r="94" spans="1:2" x14ac:dyDescent="0.3">
      <c r="A94" s="21">
        <v>45425.657638999997</v>
      </c>
      <c r="B94" s="18">
        <v>59.413601999999997</v>
      </c>
    </row>
    <row r="95" spans="1:2" x14ac:dyDescent="0.3">
      <c r="A95" s="21">
        <v>45425.658332999999</v>
      </c>
      <c r="B95" s="18">
        <v>58.570220999999997</v>
      </c>
    </row>
    <row r="96" spans="1:2" x14ac:dyDescent="0.3">
      <c r="A96" s="21">
        <v>45425.659028000002</v>
      </c>
      <c r="B96" s="18">
        <v>59.156019999999998</v>
      </c>
    </row>
    <row r="97" spans="1:2" x14ac:dyDescent="0.3">
      <c r="A97" s="21">
        <v>45425.659721999997</v>
      </c>
      <c r="B97" s="18">
        <v>58.66001</v>
      </c>
    </row>
    <row r="98" spans="1:2" x14ac:dyDescent="0.3">
      <c r="A98" s="21">
        <v>45425.660416999999</v>
      </c>
      <c r="B98" s="18">
        <v>59.518323000000002</v>
      </c>
    </row>
    <row r="99" spans="1:2" x14ac:dyDescent="0.3">
      <c r="A99" s="21">
        <v>45425.661111000001</v>
      </c>
      <c r="B99" s="18">
        <v>59.073571000000001</v>
      </c>
    </row>
    <row r="100" spans="1:2" x14ac:dyDescent="0.3">
      <c r="A100" s="21">
        <v>45425.661805999996</v>
      </c>
      <c r="B100" s="18">
        <v>59.181502999999999</v>
      </c>
    </row>
    <row r="101" spans="1:2" x14ac:dyDescent="0.3">
      <c r="A101" s="21">
        <v>45425.662499999999</v>
      </c>
      <c r="B101" s="18">
        <v>59.301594000000001</v>
      </c>
    </row>
    <row r="102" spans="1:2" x14ac:dyDescent="0.3">
      <c r="A102" s="21">
        <v>45425.663194000001</v>
      </c>
      <c r="B102" s="18">
        <v>59.611454000000002</v>
      </c>
    </row>
    <row r="103" spans="1:2" x14ac:dyDescent="0.3">
      <c r="A103" s="21">
        <v>45425.663889000003</v>
      </c>
      <c r="B103" s="18">
        <v>60.448839</v>
      </c>
    </row>
    <row r="104" spans="1:2" x14ac:dyDescent="0.3">
      <c r="A104" s="21">
        <v>45425.664582999998</v>
      </c>
      <c r="B104" s="18">
        <v>59.975169000000001</v>
      </c>
    </row>
    <row r="105" spans="1:2" x14ac:dyDescent="0.3">
      <c r="A105" s="21">
        <v>45425.665278</v>
      </c>
      <c r="B105" s="18">
        <v>59.067287999999998</v>
      </c>
    </row>
    <row r="106" spans="1:2" x14ac:dyDescent="0.3">
      <c r="A106" s="21">
        <v>45425.665972000003</v>
      </c>
      <c r="B106" s="18">
        <v>58.948186999999997</v>
      </c>
    </row>
    <row r="107" spans="1:2" x14ac:dyDescent="0.3">
      <c r="A107" s="21">
        <v>45425.666666999998</v>
      </c>
      <c r="B107" s="18">
        <v>59.169606999999999</v>
      </c>
    </row>
    <row r="108" spans="1:2" x14ac:dyDescent="0.3">
      <c r="A108" s="21">
        <v>45425.667361</v>
      </c>
      <c r="B108" s="18">
        <v>60.194091999999998</v>
      </c>
    </row>
    <row r="109" spans="1:2" x14ac:dyDescent="0.3">
      <c r="A109" s="21">
        <v>45425.668056000002</v>
      </c>
      <c r="B109" s="18">
        <v>59.420307000000001</v>
      </c>
    </row>
    <row r="110" spans="1:2" x14ac:dyDescent="0.3">
      <c r="A110" s="21">
        <v>45425.668749999997</v>
      </c>
      <c r="B110" s="18">
        <v>59.169249999999998</v>
      </c>
    </row>
    <row r="111" spans="1:2" x14ac:dyDescent="0.3">
      <c r="A111" s="21">
        <v>45425.669443999999</v>
      </c>
      <c r="B111" s="18">
        <v>59.126002999999997</v>
      </c>
    </row>
    <row r="112" spans="1:2" x14ac:dyDescent="0.3">
      <c r="A112" s="21">
        <v>45425.670139000002</v>
      </c>
      <c r="B112" s="18">
        <v>60.863652999999999</v>
      </c>
    </row>
    <row r="113" spans="1:2" x14ac:dyDescent="0.3">
      <c r="A113" s="21">
        <v>45425.670832999996</v>
      </c>
      <c r="B113" s="18">
        <v>59.731406999999997</v>
      </c>
    </row>
    <row r="114" spans="1:2" x14ac:dyDescent="0.3">
      <c r="A114" s="21">
        <v>45425.671527999999</v>
      </c>
      <c r="B114" s="18">
        <v>59.704937000000001</v>
      </c>
    </row>
    <row r="115" spans="1:2" x14ac:dyDescent="0.3">
      <c r="A115" s="21">
        <v>45425.672222000001</v>
      </c>
      <c r="B115" s="18">
        <v>59.858831000000002</v>
      </c>
    </row>
    <row r="116" spans="1:2" x14ac:dyDescent="0.3">
      <c r="A116" s="21">
        <v>45425.672917000004</v>
      </c>
      <c r="B116" s="18">
        <v>59.983913000000001</v>
      </c>
    </row>
    <row r="117" spans="1:2" x14ac:dyDescent="0.3">
      <c r="A117" s="21">
        <v>45425.673610999998</v>
      </c>
      <c r="B117" s="18">
        <v>60.316301000000003</v>
      </c>
    </row>
    <row r="118" spans="1:2" x14ac:dyDescent="0.3">
      <c r="A118" s="21">
        <v>45425.674306000001</v>
      </c>
      <c r="B118" s="18">
        <v>59.647841999999997</v>
      </c>
    </row>
    <row r="119" spans="1:2" x14ac:dyDescent="0.3">
      <c r="A119" s="21">
        <v>45425.675000000003</v>
      </c>
      <c r="B119" s="18">
        <v>59.346384999999998</v>
      </c>
    </row>
    <row r="120" spans="1:2" x14ac:dyDescent="0.3">
      <c r="A120" s="21">
        <v>45425.675693999998</v>
      </c>
      <c r="B120" s="18">
        <v>60.492406000000003</v>
      </c>
    </row>
    <row r="121" spans="1:2" x14ac:dyDescent="0.3">
      <c r="A121" s="21">
        <v>45425.676389</v>
      </c>
      <c r="B121" s="18">
        <v>60.646351000000003</v>
      </c>
    </row>
    <row r="122" spans="1:2" x14ac:dyDescent="0.3">
      <c r="A122" s="21">
        <v>45425.677083000002</v>
      </c>
      <c r="B122" s="18">
        <v>60.542692000000002</v>
      </c>
    </row>
    <row r="123" spans="1:2" x14ac:dyDescent="0.3">
      <c r="A123" s="21">
        <v>45425.677777999997</v>
      </c>
      <c r="B123" s="18">
        <v>60.524900000000002</v>
      </c>
    </row>
    <row r="124" spans="1:2" x14ac:dyDescent="0.3">
      <c r="A124" s="21">
        <v>45425.678472</v>
      </c>
      <c r="B124" s="18">
        <v>60.622425</v>
      </c>
    </row>
    <row r="125" spans="1:2" x14ac:dyDescent="0.3">
      <c r="A125" s="21">
        <v>45425.679167000002</v>
      </c>
      <c r="B125" s="18">
        <v>60.382384000000002</v>
      </c>
    </row>
    <row r="126" spans="1:2" x14ac:dyDescent="0.3">
      <c r="A126" s="21">
        <v>45425.679860999997</v>
      </c>
      <c r="B126" s="18">
        <v>60.458730000000003</v>
      </c>
    </row>
    <row r="127" spans="1:2" x14ac:dyDescent="0.3">
      <c r="A127" s="21">
        <v>45425.680555999999</v>
      </c>
      <c r="B127" s="18">
        <v>60.514302000000001</v>
      </c>
    </row>
    <row r="128" spans="1:2" x14ac:dyDescent="0.3">
      <c r="A128" s="21">
        <v>45425.681250000001</v>
      </c>
      <c r="B128" s="18">
        <v>61.109836000000001</v>
      </c>
    </row>
    <row r="129" spans="1:2" x14ac:dyDescent="0.3">
      <c r="A129" s="21">
        <v>45425.681944000004</v>
      </c>
      <c r="B129" s="18">
        <v>60.993813000000003</v>
      </c>
    </row>
    <row r="130" spans="1:2" x14ac:dyDescent="0.3">
      <c r="A130" s="21">
        <v>45425.682638999999</v>
      </c>
      <c r="B130" s="18">
        <v>61.202845000000003</v>
      </c>
    </row>
    <row r="131" spans="1:2" x14ac:dyDescent="0.3">
      <c r="A131" s="21">
        <v>45425.683333000001</v>
      </c>
      <c r="B131" s="18">
        <v>60.585856999999997</v>
      </c>
    </row>
    <row r="132" spans="1:2" x14ac:dyDescent="0.3">
      <c r="A132" s="21">
        <v>45425.684028000003</v>
      </c>
      <c r="B132" s="18">
        <v>60.688864000000002</v>
      </c>
    </row>
    <row r="133" spans="1:2" x14ac:dyDescent="0.3">
      <c r="A133" s="21">
        <v>45425.684721999998</v>
      </c>
      <c r="B133" s="18">
        <v>60.151710000000001</v>
      </c>
    </row>
    <row r="134" spans="1:2" x14ac:dyDescent="0.3">
      <c r="A134" s="21">
        <v>45425.685417000001</v>
      </c>
      <c r="B134" s="18">
        <v>60.082022000000002</v>
      </c>
    </row>
    <row r="135" spans="1:2" x14ac:dyDescent="0.3">
      <c r="A135" s="21">
        <v>45425.686111000003</v>
      </c>
      <c r="B135" s="18">
        <v>60.618144000000001</v>
      </c>
    </row>
    <row r="136" spans="1:2" x14ac:dyDescent="0.3">
      <c r="A136" s="21">
        <v>45425.686805999998</v>
      </c>
      <c r="B136" s="18">
        <v>61.186532999999997</v>
      </c>
    </row>
    <row r="137" spans="1:2" x14ac:dyDescent="0.3">
      <c r="A137" s="21">
        <v>45425.6875</v>
      </c>
      <c r="B137" s="18">
        <v>60.448689000000002</v>
      </c>
    </row>
    <row r="138" spans="1:2" x14ac:dyDescent="0.3">
      <c r="A138" s="21">
        <v>45425.688194000002</v>
      </c>
      <c r="B138" s="18">
        <v>61.170211000000002</v>
      </c>
    </row>
    <row r="139" spans="1:2" x14ac:dyDescent="0.3">
      <c r="A139" s="21">
        <v>45425.688888999997</v>
      </c>
      <c r="B139" s="18">
        <v>60.831418999999997</v>
      </c>
    </row>
    <row r="140" spans="1:2" x14ac:dyDescent="0.3">
      <c r="A140" s="21">
        <v>45425.689582999999</v>
      </c>
      <c r="B140" s="18">
        <v>60.597769999999997</v>
      </c>
    </row>
    <row r="141" spans="1:2" x14ac:dyDescent="0.3">
      <c r="A141" s="21">
        <v>45425.690278000002</v>
      </c>
      <c r="B141" s="18">
        <v>61.206563000000003</v>
      </c>
    </row>
    <row r="142" spans="1:2" x14ac:dyDescent="0.3">
      <c r="A142" s="21">
        <v>45425.690971999997</v>
      </c>
      <c r="B142" s="18">
        <v>60.768298999999999</v>
      </c>
    </row>
    <row r="143" spans="1:2" x14ac:dyDescent="0.3">
      <c r="A143" s="21">
        <v>45425.691666999999</v>
      </c>
      <c r="B143" s="18">
        <v>61.285024</v>
      </c>
    </row>
    <row r="144" spans="1:2" x14ac:dyDescent="0.3">
      <c r="A144" s="21">
        <v>45425.692361000001</v>
      </c>
      <c r="B144" s="18">
        <v>60.809500999999997</v>
      </c>
    </row>
    <row r="145" spans="1:2" x14ac:dyDescent="0.3">
      <c r="A145" s="21">
        <v>45425.693055999996</v>
      </c>
      <c r="B145" s="18">
        <v>60.629792000000002</v>
      </c>
    </row>
    <row r="146" spans="1:2" x14ac:dyDescent="0.3">
      <c r="A146" s="21">
        <v>45425.693749999999</v>
      </c>
      <c r="B146" s="18">
        <v>61.603262999999998</v>
      </c>
    </row>
    <row r="147" spans="1:2" x14ac:dyDescent="0.3">
      <c r="A147" s="21">
        <v>45425.694444000001</v>
      </c>
      <c r="B147" s="18">
        <v>61.742204000000001</v>
      </c>
    </row>
    <row r="148" spans="1:2" x14ac:dyDescent="0.3">
      <c r="A148" s="21">
        <v>45425.695139000003</v>
      </c>
      <c r="B148" s="18">
        <v>61.075297999999997</v>
      </c>
    </row>
    <row r="149" spans="1:2" x14ac:dyDescent="0.3">
      <c r="A149" s="21">
        <v>45425.695832999998</v>
      </c>
      <c r="B149" s="18">
        <v>60.743450000000003</v>
      </c>
    </row>
    <row r="150" spans="1:2" x14ac:dyDescent="0.3">
      <c r="A150" s="21">
        <v>45425.696528</v>
      </c>
      <c r="B150" s="18">
        <v>61.349429000000001</v>
      </c>
    </row>
    <row r="151" spans="1:2" x14ac:dyDescent="0.3">
      <c r="A151" s="21">
        <v>45425.697222000003</v>
      </c>
      <c r="B151" s="18">
        <v>60.474285000000002</v>
      </c>
    </row>
    <row r="152" spans="1:2" x14ac:dyDescent="0.3">
      <c r="A152" s="21">
        <v>45425.697916999998</v>
      </c>
      <c r="B152" s="18">
        <v>61.715833000000003</v>
      </c>
    </row>
    <row r="153" spans="1:2" x14ac:dyDescent="0.3">
      <c r="A153" s="21">
        <v>45425.698611</v>
      </c>
      <c r="B153" s="18">
        <v>60.825646999999996</v>
      </c>
    </row>
    <row r="154" spans="1:2" x14ac:dyDescent="0.3">
      <c r="A154" s="21">
        <v>45425.699306000002</v>
      </c>
      <c r="B154" s="18">
        <v>60.615667000000002</v>
      </c>
    </row>
    <row r="155" spans="1:2" x14ac:dyDescent="0.3">
      <c r="A155" s="21">
        <v>45425.7</v>
      </c>
      <c r="B155" s="18">
        <v>61.517901999999999</v>
      </c>
    </row>
    <row r="156" spans="1:2" x14ac:dyDescent="0.3">
      <c r="A156" s="21">
        <v>45425.700693999999</v>
      </c>
      <c r="B156" s="18">
        <v>60.832343999999999</v>
      </c>
    </row>
    <row r="157" spans="1:2" x14ac:dyDescent="0.3">
      <c r="A157" s="21">
        <v>45425.701389000002</v>
      </c>
      <c r="B157" s="18">
        <v>61.827218999999999</v>
      </c>
    </row>
    <row r="158" spans="1:2" x14ac:dyDescent="0.3">
      <c r="A158" s="21">
        <v>45425.702082999996</v>
      </c>
      <c r="B158" s="18">
        <v>60.525686</v>
      </c>
    </row>
    <row r="159" spans="1:2" x14ac:dyDescent="0.3">
      <c r="A159" s="21">
        <v>45425.702777999999</v>
      </c>
      <c r="B159" s="18">
        <v>61.133496999999998</v>
      </c>
    </row>
    <row r="160" spans="1:2" x14ac:dyDescent="0.3">
      <c r="A160" s="21">
        <v>45425.703472000001</v>
      </c>
      <c r="B160" s="18">
        <v>61.376370000000001</v>
      </c>
    </row>
    <row r="161" spans="1:2" x14ac:dyDescent="0.3">
      <c r="A161" s="21">
        <v>45425.704167000004</v>
      </c>
      <c r="B161" s="18">
        <v>61.301606999999997</v>
      </c>
    </row>
    <row r="162" spans="1:2" x14ac:dyDescent="0.3">
      <c r="A162" s="21">
        <v>45425.704860999998</v>
      </c>
      <c r="B162" s="18">
        <v>61.404338000000003</v>
      </c>
    </row>
    <row r="163" spans="1:2" x14ac:dyDescent="0.3">
      <c r="A163" s="21">
        <v>45425.705556000001</v>
      </c>
      <c r="B163" s="18">
        <v>61.059589000000003</v>
      </c>
    </row>
    <row r="164" spans="1:2" x14ac:dyDescent="0.3">
      <c r="A164" s="21">
        <v>45425.706250000003</v>
      </c>
      <c r="B164" s="18">
        <v>60.911096999999998</v>
      </c>
    </row>
    <row r="165" spans="1:2" x14ac:dyDescent="0.3">
      <c r="A165" s="21">
        <v>45425.706943999998</v>
      </c>
      <c r="B165" s="18">
        <v>60.744639999999997</v>
      </c>
    </row>
    <row r="166" spans="1:2" x14ac:dyDescent="0.3">
      <c r="A166" s="21">
        <v>45425.707639</v>
      </c>
      <c r="B166" s="18">
        <v>61.647691000000002</v>
      </c>
    </row>
    <row r="167" spans="1:2" x14ac:dyDescent="0.3">
      <c r="A167" s="21">
        <v>45425.708333000002</v>
      </c>
      <c r="B167" s="18">
        <v>61.826255000000003</v>
      </c>
    </row>
    <row r="168" spans="1:2" x14ac:dyDescent="0.3">
      <c r="A168" s="21">
        <v>45425.709027999997</v>
      </c>
      <c r="B168" s="18">
        <v>61.200659000000002</v>
      </c>
    </row>
    <row r="169" spans="1:2" x14ac:dyDescent="0.3">
      <c r="A169" s="21">
        <v>45425.709722</v>
      </c>
      <c r="B169" s="18">
        <v>61.364896000000002</v>
      </c>
    </row>
    <row r="170" spans="1:2" x14ac:dyDescent="0.3">
      <c r="A170" s="21">
        <v>45425.710417000002</v>
      </c>
      <c r="B170" s="18">
        <v>61.640228999999998</v>
      </c>
    </row>
    <row r="171" spans="1:2" x14ac:dyDescent="0.3">
      <c r="A171" s="21">
        <v>45425.711110999997</v>
      </c>
      <c r="B171" s="18">
        <v>61.173292000000004</v>
      </c>
    </row>
    <row r="172" spans="1:2" x14ac:dyDescent="0.3">
      <c r="A172" s="21">
        <v>45425.711805999999</v>
      </c>
      <c r="B172" s="18">
        <v>61.546187000000003</v>
      </c>
    </row>
    <row r="173" spans="1:2" x14ac:dyDescent="0.3">
      <c r="A173" s="21">
        <v>45425.712500000001</v>
      </c>
      <c r="B173" s="18">
        <v>61.892443999999998</v>
      </c>
    </row>
    <row r="174" spans="1:2" x14ac:dyDescent="0.3">
      <c r="A174" s="21">
        <v>45425.713194000004</v>
      </c>
      <c r="B174" s="18">
        <v>61.659668000000003</v>
      </c>
    </row>
    <row r="175" spans="1:2" x14ac:dyDescent="0.3">
      <c r="A175" s="21">
        <v>45425.713888999999</v>
      </c>
      <c r="B175" s="18">
        <v>61.946402999999997</v>
      </c>
    </row>
    <row r="176" spans="1:2" x14ac:dyDescent="0.3">
      <c r="A176" s="21">
        <v>45425.714583000001</v>
      </c>
      <c r="B176" s="18">
        <v>61.616388999999998</v>
      </c>
    </row>
    <row r="177" spans="1:2" x14ac:dyDescent="0.3">
      <c r="A177" s="21">
        <v>45425.715278000003</v>
      </c>
      <c r="B177" s="18">
        <v>61.494096999999996</v>
      </c>
    </row>
    <row r="178" spans="1:2" x14ac:dyDescent="0.3">
      <c r="A178" s="21">
        <v>45425.715971999998</v>
      </c>
      <c r="B178" s="18">
        <v>61.625197</v>
      </c>
    </row>
    <row r="179" spans="1:2" x14ac:dyDescent="0.3">
      <c r="A179" s="21">
        <v>45425.716667000001</v>
      </c>
      <c r="B179" s="18">
        <v>61.693654000000002</v>
      </c>
    </row>
    <row r="180" spans="1:2" x14ac:dyDescent="0.3">
      <c r="A180" s="21">
        <v>45425.717361000003</v>
      </c>
      <c r="B180" s="18">
        <v>61.303486999999997</v>
      </c>
    </row>
    <row r="181" spans="1:2" x14ac:dyDescent="0.3">
      <c r="A181" s="21">
        <v>45425.718055999998</v>
      </c>
      <c r="B181" s="18">
        <v>61.452278</v>
      </c>
    </row>
    <row r="182" spans="1:2" x14ac:dyDescent="0.3">
      <c r="A182" s="21">
        <v>45425.71875</v>
      </c>
      <c r="B182" s="18">
        <v>61.456400000000002</v>
      </c>
    </row>
    <row r="183" spans="1:2" x14ac:dyDescent="0.3">
      <c r="A183" s="21">
        <v>45425.719444000002</v>
      </c>
      <c r="B183" s="18">
        <v>62.019447999999997</v>
      </c>
    </row>
    <row r="184" spans="1:2" x14ac:dyDescent="0.3">
      <c r="A184" s="21">
        <v>45425.720138999997</v>
      </c>
      <c r="B184" s="18">
        <v>61.617739999999998</v>
      </c>
    </row>
    <row r="185" spans="1:2" x14ac:dyDescent="0.3">
      <c r="A185" s="21">
        <v>45425.720832999999</v>
      </c>
      <c r="B185" s="18">
        <v>61.650295999999997</v>
      </c>
    </row>
    <row r="186" spans="1:2" x14ac:dyDescent="0.3">
      <c r="A186" s="21">
        <v>45425.721528000002</v>
      </c>
      <c r="B186" s="18">
        <v>62.210329000000002</v>
      </c>
    </row>
    <row r="187" spans="1:2" x14ac:dyDescent="0.3">
      <c r="A187" s="21">
        <v>45425.722221999997</v>
      </c>
      <c r="B187" s="18">
        <v>61.474792000000001</v>
      </c>
    </row>
    <row r="188" spans="1:2" x14ac:dyDescent="0.3">
      <c r="A188" s="21">
        <v>45425.722916999999</v>
      </c>
      <c r="B188" s="18">
        <v>61.924500999999999</v>
      </c>
    </row>
    <row r="189" spans="1:2" x14ac:dyDescent="0.3">
      <c r="A189" s="21">
        <v>45425.723611000001</v>
      </c>
      <c r="B189" s="18">
        <v>61.432056000000003</v>
      </c>
    </row>
    <row r="190" spans="1:2" x14ac:dyDescent="0.3">
      <c r="A190" s="21">
        <v>45425.724305999996</v>
      </c>
      <c r="B190" s="18">
        <v>61.826151000000003</v>
      </c>
    </row>
    <row r="191" spans="1:2" x14ac:dyDescent="0.3">
      <c r="A191" s="21">
        <v>45425.724999999999</v>
      </c>
      <c r="B191" s="18">
        <v>61.400531000000001</v>
      </c>
    </row>
    <row r="192" spans="1:2" x14ac:dyDescent="0.3">
      <c r="A192" s="21">
        <v>45425.725694000001</v>
      </c>
      <c r="B192" s="18">
        <v>62.207988999999998</v>
      </c>
    </row>
    <row r="193" spans="1:2" x14ac:dyDescent="0.3">
      <c r="A193" s="21">
        <v>45425.726389000003</v>
      </c>
      <c r="B193" s="18">
        <v>61.559519000000002</v>
      </c>
    </row>
    <row r="194" spans="1:2" x14ac:dyDescent="0.3">
      <c r="A194" s="21">
        <v>45425.727082999998</v>
      </c>
      <c r="B194" s="18">
        <v>62.406731999999998</v>
      </c>
    </row>
    <row r="195" spans="1:2" x14ac:dyDescent="0.3">
      <c r="A195" s="21">
        <v>45425.727778</v>
      </c>
      <c r="B195" s="18">
        <v>61.1143</v>
      </c>
    </row>
    <row r="196" spans="1:2" x14ac:dyDescent="0.3">
      <c r="A196" s="21">
        <v>45425.728472000003</v>
      </c>
      <c r="B196" s="18">
        <v>61.132055000000001</v>
      </c>
    </row>
    <row r="197" spans="1:2" x14ac:dyDescent="0.3">
      <c r="A197" s="21">
        <v>45425.729166999998</v>
      </c>
      <c r="B197" s="18">
        <v>62.349487000000003</v>
      </c>
    </row>
    <row r="198" spans="1:2" x14ac:dyDescent="0.3">
      <c r="A198" s="21">
        <v>45425.729861</v>
      </c>
      <c r="B198" s="18">
        <v>62.401530000000001</v>
      </c>
    </row>
    <row r="199" spans="1:2" x14ac:dyDescent="0.3">
      <c r="A199" s="21">
        <v>45425.730556000002</v>
      </c>
      <c r="B199" s="18">
        <v>62.119613999999999</v>
      </c>
    </row>
    <row r="200" spans="1:2" x14ac:dyDescent="0.3">
      <c r="A200" s="21">
        <v>45425.731249999997</v>
      </c>
      <c r="B200" s="18">
        <v>61.433951</v>
      </c>
    </row>
    <row r="201" spans="1:2" x14ac:dyDescent="0.3">
      <c r="A201" s="21">
        <v>45425.731943999999</v>
      </c>
      <c r="B201" s="18">
        <v>61.736246000000001</v>
      </c>
    </row>
    <row r="202" spans="1:2" x14ac:dyDescent="0.3">
      <c r="A202" s="21">
        <v>45425.732639000002</v>
      </c>
      <c r="B202" s="18">
        <v>61.360149</v>
      </c>
    </row>
    <row r="203" spans="1:2" x14ac:dyDescent="0.3">
      <c r="A203" s="21">
        <v>45425.733332999996</v>
      </c>
      <c r="B203" s="18">
        <v>62.416398999999998</v>
      </c>
    </row>
    <row r="204" spans="1:2" x14ac:dyDescent="0.3">
      <c r="A204" s="21">
        <v>45425.734027999999</v>
      </c>
      <c r="B204" s="18">
        <v>61.622033000000002</v>
      </c>
    </row>
    <row r="205" spans="1:2" x14ac:dyDescent="0.3">
      <c r="A205" s="21">
        <v>45425.734722000001</v>
      </c>
      <c r="B205" s="18">
        <v>62.998565999999997</v>
      </c>
    </row>
    <row r="206" spans="1:2" x14ac:dyDescent="0.3">
      <c r="A206" s="21">
        <v>45425.735417000004</v>
      </c>
      <c r="B206" s="18">
        <v>61.715096000000003</v>
      </c>
    </row>
    <row r="207" spans="1:2" x14ac:dyDescent="0.3">
      <c r="A207" s="21">
        <v>45425.736110999998</v>
      </c>
      <c r="B207" s="18">
        <v>61.767339999999997</v>
      </c>
    </row>
    <row r="208" spans="1:2" x14ac:dyDescent="0.3">
      <c r="A208" s="21">
        <v>45425.736806000001</v>
      </c>
      <c r="B208" s="18">
        <v>62.431018000000002</v>
      </c>
    </row>
    <row r="209" spans="1:2" x14ac:dyDescent="0.3">
      <c r="A209" s="21">
        <v>45425.737500000003</v>
      </c>
      <c r="B209" s="18">
        <v>62.228799000000002</v>
      </c>
    </row>
    <row r="210" spans="1:2" x14ac:dyDescent="0.3">
      <c r="A210" s="21">
        <v>45425.738193999998</v>
      </c>
      <c r="B210" s="18">
        <v>62.624198999999997</v>
      </c>
    </row>
    <row r="211" spans="1:2" x14ac:dyDescent="0.3">
      <c r="A211" s="21">
        <v>45425.738889</v>
      </c>
      <c r="B211" s="18">
        <v>61.894606000000003</v>
      </c>
    </row>
    <row r="212" spans="1:2" x14ac:dyDescent="0.3">
      <c r="A212" s="21">
        <v>45425.739583000002</v>
      </c>
      <c r="B212" s="18">
        <v>61.745302000000002</v>
      </c>
    </row>
    <row r="213" spans="1:2" x14ac:dyDescent="0.3">
      <c r="A213" s="21">
        <v>45425.740277999997</v>
      </c>
      <c r="B213" s="18">
        <v>62.682026999999998</v>
      </c>
    </row>
    <row r="214" spans="1:2" x14ac:dyDescent="0.3">
      <c r="A214" s="21">
        <v>45425.740972</v>
      </c>
      <c r="B214" s="18">
        <v>62.147244000000001</v>
      </c>
    </row>
    <row r="215" spans="1:2" x14ac:dyDescent="0.3">
      <c r="A215" s="21">
        <v>45425.741667000002</v>
      </c>
      <c r="B215" s="18">
        <v>62.054383999999999</v>
      </c>
    </row>
    <row r="216" spans="1:2" x14ac:dyDescent="0.3">
      <c r="A216" s="21">
        <v>45425.742360999997</v>
      </c>
      <c r="B216" s="18">
        <v>62.136423000000001</v>
      </c>
    </row>
    <row r="217" spans="1:2" x14ac:dyDescent="0.3">
      <c r="A217" s="21">
        <v>45425.743055999999</v>
      </c>
      <c r="B217" s="18">
        <v>62.315835999999997</v>
      </c>
    </row>
    <row r="218" spans="1:2" x14ac:dyDescent="0.3">
      <c r="A218" s="21">
        <v>45425.743750000001</v>
      </c>
      <c r="B218" s="18">
        <v>62.165644999999998</v>
      </c>
    </row>
    <row r="219" spans="1:2" x14ac:dyDescent="0.3">
      <c r="A219" s="21">
        <v>45425.744444000004</v>
      </c>
      <c r="B219" s="18">
        <v>61.966341999999997</v>
      </c>
    </row>
    <row r="220" spans="1:2" x14ac:dyDescent="0.3">
      <c r="A220" s="21">
        <v>45425.745138999999</v>
      </c>
      <c r="B220" s="18">
        <v>61.793565999999998</v>
      </c>
    </row>
    <row r="221" spans="1:2" x14ac:dyDescent="0.3">
      <c r="A221" s="21">
        <v>45425.745833000001</v>
      </c>
      <c r="B221" s="18">
        <v>61.592453999999996</v>
      </c>
    </row>
    <row r="222" spans="1:2" x14ac:dyDescent="0.3">
      <c r="A222" s="21">
        <v>45425.746528000003</v>
      </c>
      <c r="B222" s="18">
        <v>61.435482999999998</v>
      </c>
    </row>
    <row r="223" spans="1:2" x14ac:dyDescent="0.3">
      <c r="A223" s="21">
        <v>45425.747221999998</v>
      </c>
      <c r="B223" s="18">
        <v>62.316785000000003</v>
      </c>
    </row>
    <row r="224" spans="1:2" x14ac:dyDescent="0.3">
      <c r="A224" s="21">
        <v>45425.747917000001</v>
      </c>
      <c r="B224" s="18">
        <v>62.058670999999997</v>
      </c>
    </row>
    <row r="225" spans="1:2" x14ac:dyDescent="0.3">
      <c r="A225" s="21">
        <v>45425.748611000003</v>
      </c>
      <c r="B225" s="18">
        <v>62.184378000000002</v>
      </c>
    </row>
    <row r="226" spans="1:2" x14ac:dyDescent="0.3">
      <c r="A226" s="21">
        <v>45425.749305999998</v>
      </c>
      <c r="B226" s="18">
        <v>62.370147000000003</v>
      </c>
    </row>
    <row r="227" spans="1:2" x14ac:dyDescent="0.3">
      <c r="A227" s="21">
        <v>45425.75</v>
      </c>
      <c r="B227" s="18">
        <v>62.992834999999999</v>
      </c>
    </row>
    <row r="228" spans="1:2" x14ac:dyDescent="0.3">
      <c r="A228" s="21">
        <v>45425.750694000002</v>
      </c>
      <c r="B228" s="18">
        <v>62.079810999999999</v>
      </c>
    </row>
    <row r="229" spans="1:2" x14ac:dyDescent="0.3">
      <c r="A229" s="21">
        <v>45425.751388999997</v>
      </c>
      <c r="B229" s="18">
        <v>62.540767000000002</v>
      </c>
    </row>
    <row r="230" spans="1:2" x14ac:dyDescent="0.3">
      <c r="A230" s="21">
        <v>45425.752082999999</v>
      </c>
      <c r="B230" s="18">
        <v>62.789937000000002</v>
      </c>
    </row>
    <row r="231" spans="1:2" x14ac:dyDescent="0.3">
      <c r="A231" s="21">
        <v>45425.752778000002</v>
      </c>
      <c r="B231" s="18">
        <v>62.337806999999998</v>
      </c>
    </row>
    <row r="232" spans="1:2" x14ac:dyDescent="0.3">
      <c r="A232" s="21">
        <v>45425.753471999997</v>
      </c>
      <c r="B232" s="18">
        <v>62.240946000000001</v>
      </c>
    </row>
    <row r="233" spans="1:2" x14ac:dyDescent="0.3">
      <c r="A233" s="21">
        <v>45425.754166999999</v>
      </c>
      <c r="B233" s="18">
        <v>62.017215</v>
      </c>
    </row>
    <row r="234" spans="1:2" x14ac:dyDescent="0.3">
      <c r="A234" s="21">
        <v>45425.754861000001</v>
      </c>
      <c r="B234" s="18">
        <v>62.268996999999999</v>
      </c>
    </row>
    <row r="235" spans="1:2" x14ac:dyDescent="0.3">
      <c r="A235" s="21">
        <v>45425.755555999996</v>
      </c>
      <c r="B235" s="18">
        <v>62.518380999999998</v>
      </c>
    </row>
    <row r="236" spans="1:2" x14ac:dyDescent="0.3">
      <c r="A236" s="21">
        <v>45425.756249999999</v>
      </c>
      <c r="B236" s="18">
        <v>62.025775000000003</v>
      </c>
    </row>
    <row r="237" spans="1:2" x14ac:dyDescent="0.3">
      <c r="A237" s="21">
        <v>45425.756944000001</v>
      </c>
      <c r="B237" s="18">
        <v>61.815897999999997</v>
      </c>
    </row>
    <row r="238" spans="1:2" x14ac:dyDescent="0.3">
      <c r="A238" s="21">
        <v>45425.757639000003</v>
      </c>
      <c r="B238" s="18">
        <v>62.042776000000003</v>
      </c>
    </row>
    <row r="239" spans="1:2" x14ac:dyDescent="0.3">
      <c r="A239" s="21">
        <v>45425.758332999998</v>
      </c>
      <c r="B239" s="18">
        <v>62.284619999999997</v>
      </c>
    </row>
    <row r="240" spans="1:2" x14ac:dyDescent="0.3">
      <c r="A240" s="21">
        <v>45425.759028</v>
      </c>
      <c r="B240" s="18">
        <v>61.956952999999999</v>
      </c>
    </row>
    <row r="241" spans="1:2" x14ac:dyDescent="0.3">
      <c r="A241" s="21">
        <v>45425.759722000003</v>
      </c>
      <c r="B241" s="18">
        <v>62.120068000000003</v>
      </c>
    </row>
    <row r="242" spans="1:2" x14ac:dyDescent="0.3">
      <c r="A242" s="21">
        <v>45425.760416999998</v>
      </c>
      <c r="B242" s="18">
        <v>61.992368999999997</v>
      </c>
    </row>
    <row r="243" spans="1:2" x14ac:dyDescent="0.3">
      <c r="A243" s="21">
        <v>45425.761111</v>
      </c>
      <c r="B243" s="18">
        <v>62.483592999999999</v>
      </c>
    </row>
    <row r="244" spans="1:2" x14ac:dyDescent="0.3">
      <c r="A244" s="21">
        <v>45425.761806000002</v>
      </c>
      <c r="B244" s="18">
        <v>61.907699000000001</v>
      </c>
    </row>
    <row r="245" spans="1:2" x14ac:dyDescent="0.3">
      <c r="A245" s="21">
        <v>45425.762499999997</v>
      </c>
      <c r="B245" s="18">
        <v>62.368403999999998</v>
      </c>
    </row>
    <row r="246" spans="1:2" x14ac:dyDescent="0.3">
      <c r="A246" s="21">
        <v>45425.763193999999</v>
      </c>
      <c r="B246" s="18">
        <v>61.985000999999997</v>
      </c>
    </row>
    <row r="247" spans="1:2" x14ac:dyDescent="0.3">
      <c r="A247" s="21">
        <v>45425.763889000002</v>
      </c>
      <c r="B247" s="18">
        <v>62.047593999999997</v>
      </c>
    </row>
    <row r="248" spans="1:2" x14ac:dyDescent="0.3">
      <c r="A248" s="21">
        <v>45425.764582999996</v>
      </c>
      <c r="B248" s="18">
        <v>62.350653999999999</v>
      </c>
    </row>
    <row r="249" spans="1:2" x14ac:dyDescent="0.3">
      <c r="A249" s="21">
        <v>45425.765277999999</v>
      </c>
      <c r="B249" s="18">
        <v>61.614961000000001</v>
      </c>
    </row>
    <row r="250" spans="1:2" x14ac:dyDescent="0.3">
      <c r="A250" s="21">
        <v>45425.765972000001</v>
      </c>
      <c r="B250" s="18">
        <v>62.70214</v>
      </c>
    </row>
    <row r="251" spans="1:2" x14ac:dyDescent="0.3">
      <c r="A251" s="21">
        <v>45425.766667000004</v>
      </c>
      <c r="B251" s="18">
        <v>62.367651000000002</v>
      </c>
    </row>
    <row r="252" spans="1:2" x14ac:dyDescent="0.3">
      <c r="A252" s="21">
        <v>45425.767360999998</v>
      </c>
      <c r="B252" s="18">
        <v>62.814087000000001</v>
      </c>
    </row>
    <row r="253" spans="1:2" x14ac:dyDescent="0.3">
      <c r="A253" s="21">
        <v>45425.768056000001</v>
      </c>
      <c r="B253" s="18">
        <v>62.749065000000002</v>
      </c>
    </row>
    <row r="254" spans="1:2" x14ac:dyDescent="0.3">
      <c r="A254" s="21">
        <v>45425.768750000003</v>
      </c>
      <c r="B254" s="18">
        <v>62.232146</v>
      </c>
    </row>
    <row r="255" spans="1:2" x14ac:dyDescent="0.3">
      <c r="A255" s="21">
        <v>45425.769443999998</v>
      </c>
      <c r="B255" s="18">
        <v>62.172167999999999</v>
      </c>
    </row>
    <row r="256" spans="1:2" x14ac:dyDescent="0.3">
      <c r="A256" s="21">
        <v>45425.770139</v>
      </c>
      <c r="B256" s="18">
        <v>62.846632</v>
      </c>
    </row>
    <row r="257" spans="1:2" x14ac:dyDescent="0.3">
      <c r="A257" s="21">
        <v>45425.770833000002</v>
      </c>
      <c r="B257" s="18">
        <v>63.159630999999997</v>
      </c>
    </row>
    <row r="258" spans="1:2" x14ac:dyDescent="0.3">
      <c r="A258" s="21">
        <v>45425.771527999997</v>
      </c>
      <c r="B258" s="18">
        <v>62.443322000000002</v>
      </c>
    </row>
    <row r="259" spans="1:2" x14ac:dyDescent="0.3">
      <c r="A259" s="21">
        <v>45425.772222</v>
      </c>
      <c r="B259" s="18">
        <v>63.610120999999999</v>
      </c>
    </row>
    <row r="260" spans="1:2" x14ac:dyDescent="0.3">
      <c r="A260" s="21">
        <v>45425.772917000002</v>
      </c>
      <c r="B260" s="18">
        <v>63.323129999999999</v>
      </c>
    </row>
    <row r="261" spans="1:2" x14ac:dyDescent="0.3">
      <c r="A261" s="21">
        <v>45425.773610999997</v>
      </c>
      <c r="B261" s="18">
        <v>63.64199</v>
      </c>
    </row>
    <row r="262" spans="1:2" x14ac:dyDescent="0.3">
      <c r="A262" s="21">
        <v>45425.774305999999</v>
      </c>
      <c r="B262" s="18">
        <v>63.062942</v>
      </c>
    </row>
    <row r="263" spans="1:2" x14ac:dyDescent="0.3">
      <c r="A263" s="21">
        <v>45425.775000000001</v>
      </c>
      <c r="B263" s="18">
        <v>63.323498999999998</v>
      </c>
    </row>
    <row r="264" spans="1:2" x14ac:dyDescent="0.3">
      <c r="A264" s="21">
        <v>45425.775694000004</v>
      </c>
      <c r="B264" s="18">
        <v>62.847895000000001</v>
      </c>
    </row>
    <row r="265" spans="1:2" x14ac:dyDescent="0.3">
      <c r="A265" s="21">
        <v>45425.776388999999</v>
      </c>
      <c r="B265" s="18">
        <v>63.509698</v>
      </c>
    </row>
    <row r="266" spans="1:2" x14ac:dyDescent="0.3">
      <c r="A266" s="21">
        <v>45425.777083000001</v>
      </c>
      <c r="B266" s="18">
        <v>63.572505</v>
      </c>
    </row>
    <row r="267" spans="1:2" x14ac:dyDescent="0.3">
      <c r="A267" s="21">
        <v>45425.777778000003</v>
      </c>
      <c r="B267" s="18">
        <v>62.660097999999998</v>
      </c>
    </row>
    <row r="268" spans="1:2" x14ac:dyDescent="0.3">
      <c r="A268" s="21">
        <v>45425.778471999998</v>
      </c>
      <c r="B268" s="18">
        <v>63.363292999999999</v>
      </c>
    </row>
    <row r="269" spans="1:2" x14ac:dyDescent="0.3">
      <c r="A269" s="21">
        <v>45425.779167000001</v>
      </c>
      <c r="B269" s="18">
        <v>63.429552000000001</v>
      </c>
    </row>
    <row r="270" spans="1:2" x14ac:dyDescent="0.3">
      <c r="A270" s="21">
        <v>45425.779861000003</v>
      </c>
      <c r="B270" s="18">
        <v>62.898378000000001</v>
      </c>
    </row>
    <row r="271" spans="1:2" x14ac:dyDescent="0.3">
      <c r="A271" s="21">
        <v>45425.780555999998</v>
      </c>
      <c r="B271" s="18">
        <v>63.987793000000003</v>
      </c>
    </row>
    <row r="272" spans="1:2" x14ac:dyDescent="0.3">
      <c r="A272" s="21">
        <v>45425.78125</v>
      </c>
      <c r="B272" s="18">
        <v>62.485745999999999</v>
      </c>
    </row>
    <row r="273" spans="1:2" x14ac:dyDescent="0.3">
      <c r="A273" s="21">
        <v>45425.781944000002</v>
      </c>
      <c r="B273" s="18">
        <v>63.969439999999999</v>
      </c>
    </row>
    <row r="274" spans="1:2" x14ac:dyDescent="0.3">
      <c r="A274" s="21">
        <v>45425.782638999997</v>
      </c>
      <c r="B274" s="18">
        <v>62.412636999999997</v>
      </c>
    </row>
    <row r="275" spans="1:2" x14ac:dyDescent="0.3">
      <c r="A275" s="21">
        <v>45425.783332999999</v>
      </c>
      <c r="B275" s="18">
        <v>62.890813999999999</v>
      </c>
    </row>
    <row r="276" spans="1:2" x14ac:dyDescent="0.3">
      <c r="A276" s="21">
        <v>45425.784028000002</v>
      </c>
      <c r="B276" s="18">
        <v>61.964995000000002</v>
      </c>
    </row>
    <row r="277" spans="1:2" x14ac:dyDescent="0.3">
      <c r="A277" s="21">
        <v>45425.784721999997</v>
      </c>
      <c r="B277" s="18">
        <v>62.658490999999998</v>
      </c>
    </row>
    <row r="278" spans="1:2" x14ac:dyDescent="0.3">
      <c r="A278" s="21">
        <v>45425.785416999999</v>
      </c>
      <c r="B278" s="18">
        <v>62.634630999999999</v>
      </c>
    </row>
    <row r="279" spans="1:2" x14ac:dyDescent="0.3">
      <c r="A279" s="21">
        <v>45425.786111000001</v>
      </c>
      <c r="B279" s="18">
        <v>63.071658999999997</v>
      </c>
    </row>
    <row r="280" spans="1:2" x14ac:dyDescent="0.3">
      <c r="A280" s="21">
        <v>45425.786805999996</v>
      </c>
      <c r="B280" s="18">
        <v>61.509414</v>
      </c>
    </row>
    <row r="281" spans="1:2" x14ac:dyDescent="0.3">
      <c r="A281" s="21">
        <v>45425.787499999999</v>
      </c>
      <c r="B281" s="18">
        <v>63.378024000000003</v>
      </c>
    </row>
    <row r="282" spans="1:2" x14ac:dyDescent="0.3">
      <c r="A282" s="21">
        <v>45425.788194000001</v>
      </c>
      <c r="B282" s="18">
        <v>63.873596999999997</v>
      </c>
    </row>
    <row r="283" spans="1:2" x14ac:dyDescent="0.3">
      <c r="A283" s="21">
        <v>45425.788889000003</v>
      </c>
      <c r="B283" s="18">
        <v>61.9679</v>
      </c>
    </row>
    <row r="284" spans="1:2" x14ac:dyDescent="0.3">
      <c r="A284" s="21">
        <v>45425.789582999998</v>
      </c>
      <c r="B284" s="18">
        <v>63.047570999999998</v>
      </c>
    </row>
    <row r="285" spans="1:2" x14ac:dyDescent="0.3">
      <c r="A285" s="21">
        <v>45425.790278</v>
      </c>
      <c r="B285" s="18">
        <v>62.382776999999997</v>
      </c>
    </row>
    <row r="286" spans="1:2" x14ac:dyDescent="0.3">
      <c r="A286" s="21">
        <v>45425.790972000003</v>
      </c>
      <c r="B286" s="18">
        <v>63.468753</v>
      </c>
    </row>
    <row r="287" spans="1:2" x14ac:dyDescent="0.3">
      <c r="A287" s="21">
        <v>45425.791666999998</v>
      </c>
      <c r="B287" s="18">
        <v>63.531624999999998</v>
      </c>
    </row>
    <row r="288" spans="1:2" x14ac:dyDescent="0.3">
      <c r="A288" s="21">
        <v>45425.792361</v>
      </c>
      <c r="B288" s="18">
        <v>63.918733000000003</v>
      </c>
    </row>
    <row r="289" spans="1:2" x14ac:dyDescent="0.3">
      <c r="A289" s="21">
        <v>45425.793056000002</v>
      </c>
      <c r="B289" s="18">
        <v>62.334122999999998</v>
      </c>
    </row>
    <row r="290" spans="1:2" x14ac:dyDescent="0.3">
      <c r="A290" s="21">
        <v>45425.793749999997</v>
      </c>
      <c r="B290" s="18">
        <v>62.085948000000002</v>
      </c>
    </row>
    <row r="291" spans="1:2" x14ac:dyDescent="0.3">
      <c r="A291" s="21">
        <v>45425.794443999999</v>
      </c>
      <c r="B291" s="18">
        <v>62.875708000000003</v>
      </c>
    </row>
    <row r="292" spans="1:2" x14ac:dyDescent="0.3">
      <c r="A292" s="21">
        <v>45425.795139000002</v>
      </c>
      <c r="B292" s="18">
        <v>63.992804</v>
      </c>
    </row>
    <row r="293" spans="1:2" x14ac:dyDescent="0.3">
      <c r="A293" s="21">
        <v>45425.795832999996</v>
      </c>
      <c r="B293" s="18">
        <v>63.771251999999997</v>
      </c>
    </row>
    <row r="294" spans="1:2" x14ac:dyDescent="0.3">
      <c r="A294" s="21">
        <v>45425.796527999999</v>
      </c>
      <c r="B294" s="18">
        <v>63.464813999999997</v>
      </c>
    </row>
    <row r="295" spans="1:2" x14ac:dyDescent="0.3">
      <c r="A295" s="21">
        <v>45425.797222000001</v>
      </c>
      <c r="B295" s="18">
        <v>63.059314000000001</v>
      </c>
    </row>
    <row r="296" spans="1:2" x14ac:dyDescent="0.3">
      <c r="A296" s="21">
        <v>45425.797917000004</v>
      </c>
      <c r="B296" s="18">
        <v>62.968418</v>
      </c>
    </row>
    <row r="297" spans="1:2" x14ac:dyDescent="0.3">
      <c r="A297" s="21">
        <v>45425.798610999998</v>
      </c>
      <c r="B297" s="18">
        <v>63.007168</v>
      </c>
    </row>
    <row r="298" spans="1:2" x14ac:dyDescent="0.3">
      <c r="A298" s="21">
        <v>45425.799306000001</v>
      </c>
      <c r="B298" s="18">
        <v>63.415514000000002</v>
      </c>
    </row>
    <row r="299" spans="1:2" x14ac:dyDescent="0.3">
      <c r="A299" s="21">
        <v>45425.8</v>
      </c>
      <c r="B299" s="18">
        <v>62.683354000000001</v>
      </c>
    </row>
    <row r="300" spans="1:2" x14ac:dyDescent="0.3">
      <c r="A300" s="21">
        <v>45425.800693999998</v>
      </c>
      <c r="B300" s="18">
        <v>62.597351000000003</v>
      </c>
    </row>
    <row r="301" spans="1:2" x14ac:dyDescent="0.3">
      <c r="A301" s="21">
        <v>45425.801389</v>
      </c>
      <c r="B301" s="18">
        <v>62.446787</v>
      </c>
    </row>
    <row r="302" spans="1:2" x14ac:dyDescent="0.3">
      <c r="A302" s="21">
        <v>45425.802083000002</v>
      </c>
      <c r="B302" s="18">
        <v>64.090934000000004</v>
      </c>
    </row>
    <row r="303" spans="1:2" x14ac:dyDescent="0.3">
      <c r="A303" s="21">
        <v>45425.802777999997</v>
      </c>
      <c r="B303" s="18">
        <v>63.116464999999998</v>
      </c>
    </row>
    <row r="304" spans="1:2" x14ac:dyDescent="0.3">
      <c r="A304" s="21">
        <v>45425.803472</v>
      </c>
      <c r="B304" s="18">
        <v>63.307245999999999</v>
      </c>
    </row>
    <row r="305" spans="1:2" x14ac:dyDescent="0.3">
      <c r="A305" s="21">
        <v>45425.804167000002</v>
      </c>
      <c r="B305" s="18">
        <v>63.289667999999999</v>
      </c>
    </row>
    <row r="306" spans="1:2" x14ac:dyDescent="0.3">
      <c r="A306" s="21">
        <v>45425.804860999997</v>
      </c>
      <c r="B306" s="18">
        <v>62.741652000000002</v>
      </c>
    </row>
    <row r="307" spans="1:2" x14ac:dyDescent="0.3">
      <c r="A307" s="21">
        <v>45425.805555999999</v>
      </c>
      <c r="B307" s="18">
        <v>62.022806000000003</v>
      </c>
    </row>
    <row r="308" spans="1:2" x14ac:dyDescent="0.3">
      <c r="A308" s="21">
        <v>45425.806250000001</v>
      </c>
      <c r="B308" s="18">
        <v>62.506844000000001</v>
      </c>
    </row>
    <row r="309" spans="1:2" x14ac:dyDescent="0.3">
      <c r="A309" s="21">
        <v>45425.806944000004</v>
      </c>
      <c r="B309" s="18">
        <v>62.620747999999999</v>
      </c>
    </row>
    <row r="310" spans="1:2" x14ac:dyDescent="0.3">
      <c r="A310" s="21">
        <v>45425.807638999999</v>
      </c>
      <c r="B310" s="18">
        <v>63.317565000000002</v>
      </c>
    </row>
    <row r="311" spans="1:2" x14ac:dyDescent="0.3">
      <c r="A311" s="21">
        <v>45425.808333000001</v>
      </c>
      <c r="B311" s="18">
        <v>62.025706999999997</v>
      </c>
    </row>
    <row r="312" spans="1:2" x14ac:dyDescent="0.3">
      <c r="A312" s="21">
        <v>45425.809028000003</v>
      </c>
      <c r="B312" s="18">
        <v>62.306806000000002</v>
      </c>
    </row>
    <row r="313" spans="1:2" x14ac:dyDescent="0.3">
      <c r="A313" s="21">
        <v>45425.809721999998</v>
      </c>
      <c r="B313" s="18">
        <v>63.193725999999998</v>
      </c>
    </row>
    <row r="314" spans="1:2" x14ac:dyDescent="0.3">
      <c r="A314" s="21">
        <v>45425.810417000001</v>
      </c>
      <c r="B314" s="18">
        <v>63.205933000000002</v>
      </c>
    </row>
    <row r="315" spans="1:2" x14ac:dyDescent="0.3">
      <c r="A315" s="21">
        <v>45425.811111000003</v>
      </c>
      <c r="B315" s="18">
        <v>63.280869000000003</v>
      </c>
    </row>
    <row r="316" spans="1:2" x14ac:dyDescent="0.3">
      <c r="A316" s="21">
        <v>45425.811805999998</v>
      </c>
      <c r="B316" s="18">
        <v>62.761442000000002</v>
      </c>
    </row>
    <row r="317" spans="1:2" x14ac:dyDescent="0.3">
      <c r="A317" s="21">
        <v>45425.8125</v>
      </c>
      <c r="B317" s="18">
        <v>61.886653000000003</v>
      </c>
    </row>
    <row r="318" spans="1:2" x14ac:dyDescent="0.3">
      <c r="A318" s="21">
        <v>45425.813194000002</v>
      </c>
      <c r="B318" s="18">
        <v>62.768248999999997</v>
      </c>
    </row>
    <row r="319" spans="1:2" x14ac:dyDescent="0.3">
      <c r="A319" s="21">
        <v>45425.813888999997</v>
      </c>
      <c r="B319" s="18">
        <v>62.620134</v>
      </c>
    </row>
    <row r="320" spans="1:2" x14ac:dyDescent="0.3">
      <c r="A320" s="21">
        <v>45425.814582999999</v>
      </c>
      <c r="B320" s="18">
        <v>62.139223000000001</v>
      </c>
    </row>
    <row r="321" spans="1:2" x14ac:dyDescent="0.3">
      <c r="A321" s="21">
        <v>45425.815278000002</v>
      </c>
      <c r="B321" s="18">
        <v>64.121399999999994</v>
      </c>
    </row>
    <row r="322" spans="1:2" x14ac:dyDescent="0.3">
      <c r="A322" s="21">
        <v>45425.815971999997</v>
      </c>
      <c r="B322" s="18">
        <v>63.289363000000002</v>
      </c>
    </row>
    <row r="323" spans="1:2" x14ac:dyDescent="0.3">
      <c r="A323" s="21">
        <v>45425.816666999999</v>
      </c>
      <c r="B323" s="18">
        <v>62.148344999999999</v>
      </c>
    </row>
    <row r="324" spans="1:2" x14ac:dyDescent="0.3">
      <c r="A324" s="21">
        <v>45425.817361000001</v>
      </c>
      <c r="B324" s="18">
        <v>61.408619999999999</v>
      </c>
    </row>
    <row r="325" spans="1:2" x14ac:dyDescent="0.3">
      <c r="A325" s="21">
        <v>45425.818055999996</v>
      </c>
      <c r="B325" s="18">
        <v>63.203436000000004</v>
      </c>
    </row>
    <row r="326" spans="1:2" x14ac:dyDescent="0.3">
      <c r="A326" s="21">
        <v>45425.818749999999</v>
      </c>
      <c r="B326" s="18">
        <v>62.627361000000001</v>
      </c>
    </row>
    <row r="327" spans="1:2" x14ac:dyDescent="0.3">
      <c r="A327" s="21">
        <v>45425.819444000001</v>
      </c>
      <c r="B327" s="18">
        <v>63.696142999999999</v>
      </c>
    </row>
    <row r="328" spans="1:2" x14ac:dyDescent="0.3">
      <c r="A328" s="21">
        <v>45425.820139000003</v>
      </c>
      <c r="B328" s="18">
        <v>62.531728000000001</v>
      </c>
    </row>
    <row r="329" spans="1:2" x14ac:dyDescent="0.3">
      <c r="A329" s="21">
        <v>45425.820832999998</v>
      </c>
      <c r="B329" s="18">
        <v>62.200001</v>
      </c>
    </row>
    <row r="330" spans="1:2" x14ac:dyDescent="0.3">
      <c r="A330" s="21">
        <v>45425.821528</v>
      </c>
      <c r="B330" s="18">
        <v>62.574384000000002</v>
      </c>
    </row>
    <row r="331" spans="1:2" x14ac:dyDescent="0.3">
      <c r="A331" s="21">
        <v>45425.822222000003</v>
      </c>
      <c r="B331" s="18">
        <v>63.179822000000001</v>
      </c>
    </row>
    <row r="332" spans="1:2" x14ac:dyDescent="0.3">
      <c r="A332" s="21">
        <v>45425.822916999998</v>
      </c>
      <c r="B332" s="18">
        <v>62.312224999999998</v>
      </c>
    </row>
    <row r="333" spans="1:2" x14ac:dyDescent="0.3">
      <c r="A333" s="21">
        <v>45425.823611</v>
      </c>
      <c r="B333" s="18">
        <v>62.826272000000003</v>
      </c>
    </row>
    <row r="334" spans="1:2" x14ac:dyDescent="0.3">
      <c r="A334" s="21">
        <v>45425.824306000002</v>
      </c>
      <c r="B334" s="18">
        <v>62.243153999999997</v>
      </c>
    </row>
    <row r="335" spans="1:2" x14ac:dyDescent="0.3">
      <c r="A335" s="21">
        <v>45425.824999999997</v>
      </c>
      <c r="B335" s="18">
        <v>62.735374</v>
      </c>
    </row>
    <row r="336" spans="1:2" x14ac:dyDescent="0.3">
      <c r="A336" s="21">
        <v>45425.825693999999</v>
      </c>
      <c r="B336" s="18">
        <v>62.474082000000003</v>
      </c>
    </row>
    <row r="337" spans="1:2" x14ac:dyDescent="0.3">
      <c r="A337" s="21">
        <v>45425.826389000002</v>
      </c>
      <c r="B337" s="18">
        <v>62.585802000000001</v>
      </c>
    </row>
    <row r="338" spans="1:2" x14ac:dyDescent="0.3">
      <c r="A338" s="21">
        <v>45425.827082999996</v>
      </c>
      <c r="B338" s="18">
        <v>61.037112999999998</v>
      </c>
    </row>
    <row r="339" spans="1:2" x14ac:dyDescent="0.3">
      <c r="A339" s="21">
        <v>45425.827777999999</v>
      </c>
      <c r="B339" s="18">
        <v>63.646994999999997</v>
      </c>
    </row>
    <row r="340" spans="1:2" x14ac:dyDescent="0.3">
      <c r="A340" s="21">
        <v>45425.828472000001</v>
      </c>
      <c r="B340" s="18">
        <v>63.279152000000003</v>
      </c>
    </row>
    <row r="341" spans="1:2" x14ac:dyDescent="0.3">
      <c r="A341" s="21">
        <v>45425.829167000004</v>
      </c>
      <c r="B341" s="18">
        <v>61.656328999999999</v>
      </c>
    </row>
    <row r="342" spans="1:2" x14ac:dyDescent="0.3">
      <c r="A342" s="21">
        <v>45425.829860999998</v>
      </c>
      <c r="B342" s="18">
        <v>62.279888</v>
      </c>
    </row>
    <row r="343" spans="1:2" x14ac:dyDescent="0.3">
      <c r="A343" s="21">
        <v>45425.830556000001</v>
      </c>
      <c r="B343" s="18">
        <v>62.378028</v>
      </c>
    </row>
    <row r="344" spans="1:2" x14ac:dyDescent="0.3">
      <c r="A344" s="21">
        <v>45425.831250000003</v>
      </c>
      <c r="B344" s="18">
        <v>62.811602999999998</v>
      </c>
    </row>
    <row r="345" spans="1:2" x14ac:dyDescent="0.3">
      <c r="A345" s="21">
        <v>45425.831943999998</v>
      </c>
      <c r="B345" s="18">
        <v>62.972060999999997</v>
      </c>
    </row>
    <row r="346" spans="1:2" x14ac:dyDescent="0.3">
      <c r="A346" s="21">
        <v>45425.832639</v>
      </c>
      <c r="B346" s="18">
        <v>62.945166</v>
      </c>
    </row>
    <row r="347" spans="1:2" x14ac:dyDescent="0.3">
      <c r="A347" s="21">
        <v>45425.833333000002</v>
      </c>
      <c r="B347" s="18">
        <v>62.675156000000001</v>
      </c>
    </row>
    <row r="348" spans="1:2" x14ac:dyDescent="0.3">
      <c r="A348" s="21">
        <v>45425.834027999997</v>
      </c>
      <c r="B348" s="18">
        <v>62.787652999999999</v>
      </c>
    </row>
    <row r="349" spans="1:2" x14ac:dyDescent="0.3">
      <c r="A349" s="21">
        <v>45425.834722</v>
      </c>
      <c r="B349" s="18">
        <v>64.055380999999997</v>
      </c>
    </row>
    <row r="350" spans="1:2" x14ac:dyDescent="0.3">
      <c r="A350" s="21">
        <v>45425.835417000002</v>
      </c>
      <c r="B350" s="18">
        <v>63.747186999999997</v>
      </c>
    </row>
    <row r="351" spans="1:2" x14ac:dyDescent="0.3">
      <c r="A351" s="21">
        <v>45425.836110999997</v>
      </c>
      <c r="B351" s="18">
        <v>63.08511</v>
      </c>
    </row>
    <row r="352" spans="1:2" x14ac:dyDescent="0.3">
      <c r="A352" s="21">
        <v>45425.836805999999</v>
      </c>
      <c r="B352" s="18">
        <v>62.991002999999999</v>
      </c>
    </row>
    <row r="353" spans="1:2" x14ac:dyDescent="0.3">
      <c r="A353" s="21">
        <v>45425.837500000001</v>
      </c>
      <c r="B353" s="18">
        <v>61.948326000000002</v>
      </c>
    </row>
    <row r="354" spans="1:2" x14ac:dyDescent="0.3">
      <c r="A354" s="21">
        <v>45425.838194000004</v>
      </c>
      <c r="B354" s="18">
        <v>62.923658000000003</v>
      </c>
    </row>
    <row r="355" spans="1:2" x14ac:dyDescent="0.3">
      <c r="A355" s="21">
        <v>45425.838888999999</v>
      </c>
      <c r="B355" s="18">
        <v>63.334581</v>
      </c>
    </row>
    <row r="356" spans="1:2" x14ac:dyDescent="0.3">
      <c r="A356" s="21">
        <v>45425.839583000001</v>
      </c>
      <c r="B356" s="18">
        <v>62.152563999999998</v>
      </c>
    </row>
    <row r="357" spans="1:2" x14ac:dyDescent="0.3">
      <c r="A357" s="21">
        <v>45425.840278000003</v>
      </c>
      <c r="B357" s="18">
        <v>61.525601999999999</v>
      </c>
    </row>
    <row r="358" spans="1:2" x14ac:dyDescent="0.3">
      <c r="A358" s="21">
        <v>45425.840971999998</v>
      </c>
      <c r="B358" s="18">
        <v>61.715029000000001</v>
      </c>
    </row>
    <row r="359" spans="1:2" x14ac:dyDescent="0.3">
      <c r="A359" s="21">
        <v>45425.841667000001</v>
      </c>
      <c r="B359" s="18">
        <v>63.450913999999997</v>
      </c>
    </row>
    <row r="360" spans="1:2" x14ac:dyDescent="0.3">
      <c r="A360" s="21">
        <v>45425.842361000003</v>
      </c>
      <c r="B360" s="18">
        <v>62.12</v>
      </c>
    </row>
    <row r="361" spans="1:2" x14ac:dyDescent="0.3">
      <c r="A361" s="21">
        <v>45425.843055999998</v>
      </c>
      <c r="B361" s="18">
        <v>63.524873999999997</v>
      </c>
    </row>
    <row r="362" spans="1:2" x14ac:dyDescent="0.3">
      <c r="A362" s="21">
        <v>45425.84375</v>
      </c>
      <c r="B362" s="18">
        <v>62.641249000000002</v>
      </c>
    </row>
    <row r="363" spans="1:2" x14ac:dyDescent="0.3">
      <c r="A363" s="21">
        <v>45425.844444000002</v>
      </c>
      <c r="B363" s="18">
        <v>63.496260999999997</v>
      </c>
    </row>
    <row r="364" spans="1:2" x14ac:dyDescent="0.3">
      <c r="A364" s="21">
        <v>45425.845138999997</v>
      </c>
      <c r="B364" s="18">
        <v>62.559519999999999</v>
      </c>
    </row>
    <row r="365" spans="1:2" x14ac:dyDescent="0.3">
      <c r="A365" s="21">
        <v>45425.845832999999</v>
      </c>
      <c r="B365" s="18">
        <v>62.109763000000001</v>
      </c>
    </row>
    <row r="366" spans="1:2" x14ac:dyDescent="0.3">
      <c r="A366" s="21">
        <v>45425.846528000002</v>
      </c>
      <c r="B366" s="18">
        <v>62.908158</v>
      </c>
    </row>
    <row r="367" spans="1:2" x14ac:dyDescent="0.3">
      <c r="A367" s="21">
        <v>45425.847221999997</v>
      </c>
      <c r="B367" s="18">
        <v>62.507314999999998</v>
      </c>
    </row>
    <row r="368" spans="1:2" x14ac:dyDescent="0.3">
      <c r="A368" s="21">
        <v>45425.847916999999</v>
      </c>
      <c r="B368" s="18">
        <v>62.181379999999997</v>
      </c>
    </row>
    <row r="369" spans="1:2" x14ac:dyDescent="0.3">
      <c r="A369" s="21">
        <v>45425.848611000001</v>
      </c>
      <c r="B369" s="18">
        <v>62.896171000000002</v>
      </c>
    </row>
    <row r="370" spans="1:2" x14ac:dyDescent="0.3">
      <c r="A370" s="21">
        <v>45425.849305999996</v>
      </c>
      <c r="B370" s="18">
        <v>62.771120000000003</v>
      </c>
    </row>
    <row r="371" spans="1:2" x14ac:dyDescent="0.3">
      <c r="A371" s="21">
        <v>45425.85</v>
      </c>
      <c r="B371" s="18">
        <v>62.275748999999998</v>
      </c>
    </row>
    <row r="372" spans="1:2" x14ac:dyDescent="0.3">
      <c r="A372" s="21">
        <v>45425.850694000001</v>
      </c>
      <c r="B372" s="18">
        <v>64.572165999999996</v>
      </c>
    </row>
    <row r="373" spans="1:2" x14ac:dyDescent="0.3">
      <c r="A373" s="21">
        <v>45425.851389000003</v>
      </c>
      <c r="B373" s="18">
        <v>64.126489000000007</v>
      </c>
    </row>
    <row r="374" spans="1:2" x14ac:dyDescent="0.3">
      <c r="A374" s="21">
        <v>45425.852082999998</v>
      </c>
      <c r="B374" s="18">
        <v>63.219290000000001</v>
      </c>
    </row>
    <row r="375" spans="1:2" x14ac:dyDescent="0.3">
      <c r="A375" s="21">
        <v>45425.852778</v>
      </c>
      <c r="B375" s="18">
        <v>64.485804999999999</v>
      </c>
    </row>
    <row r="376" spans="1:2" x14ac:dyDescent="0.3">
      <c r="A376" s="21">
        <v>45425.853472000003</v>
      </c>
      <c r="B376" s="18">
        <v>63.544851999999999</v>
      </c>
    </row>
    <row r="377" spans="1:2" x14ac:dyDescent="0.3">
      <c r="A377" s="21">
        <v>45425.854166999998</v>
      </c>
      <c r="B377" s="18">
        <v>64.421533999999994</v>
      </c>
    </row>
    <row r="378" spans="1:2" x14ac:dyDescent="0.3">
      <c r="A378" s="21">
        <v>45425.854861</v>
      </c>
      <c r="B378" s="18">
        <v>64.359849999999994</v>
      </c>
    </row>
    <row r="379" spans="1:2" x14ac:dyDescent="0.3">
      <c r="A379" s="21">
        <v>45425.855556000002</v>
      </c>
      <c r="B379" s="18">
        <v>63.464582</v>
      </c>
    </row>
    <row r="380" spans="1:2" x14ac:dyDescent="0.3">
      <c r="A380" s="21">
        <v>45425.856249999997</v>
      </c>
      <c r="B380" s="18">
        <v>63.952857000000002</v>
      </c>
    </row>
    <row r="381" spans="1:2" x14ac:dyDescent="0.3">
      <c r="A381" s="21">
        <v>45425.856943999999</v>
      </c>
      <c r="B381" s="18">
        <v>63.945279999999997</v>
      </c>
    </row>
    <row r="382" spans="1:2" x14ac:dyDescent="0.3">
      <c r="A382" s="21">
        <v>45425.857639000002</v>
      </c>
      <c r="B382" s="18">
        <v>63.917366000000001</v>
      </c>
    </row>
    <row r="383" spans="1:2" x14ac:dyDescent="0.3">
      <c r="A383" s="21">
        <v>45425.858332999996</v>
      </c>
      <c r="B383" s="18">
        <v>65.332734000000002</v>
      </c>
    </row>
    <row r="384" spans="1:2" x14ac:dyDescent="0.3">
      <c r="A384" s="21">
        <v>45425.859027999999</v>
      </c>
      <c r="B384" s="18">
        <v>64.512486999999993</v>
      </c>
    </row>
    <row r="385" spans="1:2" x14ac:dyDescent="0.3">
      <c r="A385" s="21">
        <v>45425.859722000001</v>
      </c>
      <c r="B385" s="18">
        <v>64.953862000000001</v>
      </c>
    </row>
    <row r="386" spans="1:2" x14ac:dyDescent="0.3">
      <c r="A386" s="21">
        <v>45425.860417000004</v>
      </c>
      <c r="B386" s="18">
        <v>64.670850000000002</v>
      </c>
    </row>
    <row r="387" spans="1:2" x14ac:dyDescent="0.3">
      <c r="A387" s="21">
        <v>45425.861110999998</v>
      </c>
      <c r="B387" s="18">
        <v>63.116411999999997</v>
      </c>
    </row>
    <row r="388" spans="1:2" x14ac:dyDescent="0.3">
      <c r="A388" s="21">
        <v>45425.861806000001</v>
      </c>
      <c r="B388" s="18">
        <v>64.920359000000005</v>
      </c>
    </row>
    <row r="389" spans="1:2" x14ac:dyDescent="0.3">
      <c r="A389" s="21">
        <v>45425.862500000003</v>
      </c>
      <c r="B389" s="18">
        <v>62.774318000000001</v>
      </c>
    </row>
    <row r="390" spans="1:2" x14ac:dyDescent="0.3">
      <c r="A390" s="21">
        <v>45425.863193999998</v>
      </c>
      <c r="B390" s="18">
        <v>64.457400000000007</v>
      </c>
    </row>
    <row r="391" spans="1:2" x14ac:dyDescent="0.3">
      <c r="A391" s="21">
        <v>45425.863889</v>
      </c>
      <c r="B391" s="18">
        <v>63.859445999999998</v>
      </c>
    </row>
    <row r="392" spans="1:2" x14ac:dyDescent="0.3">
      <c r="A392" s="21">
        <v>45425.864583000002</v>
      </c>
      <c r="B392" s="18">
        <v>63.12688</v>
      </c>
    </row>
    <row r="393" spans="1:2" x14ac:dyDescent="0.3">
      <c r="A393" s="21">
        <v>45425.865277999997</v>
      </c>
      <c r="B393" s="18">
        <v>63.450659000000002</v>
      </c>
    </row>
    <row r="394" spans="1:2" x14ac:dyDescent="0.3">
      <c r="A394" s="21">
        <v>45425.865972</v>
      </c>
      <c r="B394" s="18">
        <v>64.523146999999994</v>
      </c>
    </row>
    <row r="395" spans="1:2" x14ac:dyDescent="0.3">
      <c r="A395" s="21">
        <v>45425.866667000002</v>
      </c>
      <c r="B395" s="18">
        <v>63.981178999999997</v>
      </c>
    </row>
    <row r="396" spans="1:2" x14ac:dyDescent="0.3">
      <c r="A396" s="21">
        <v>45425.867360999997</v>
      </c>
      <c r="B396" s="18">
        <v>64.767211000000003</v>
      </c>
    </row>
    <row r="397" spans="1:2" x14ac:dyDescent="0.3">
      <c r="A397" s="21">
        <v>45425.868055999999</v>
      </c>
      <c r="B397" s="18">
        <v>63.838146000000002</v>
      </c>
    </row>
    <row r="398" spans="1:2" x14ac:dyDescent="0.3">
      <c r="A398" s="21">
        <v>45425.868750000001</v>
      </c>
      <c r="B398" s="18">
        <v>63.272725000000001</v>
      </c>
    </row>
    <row r="399" spans="1:2" x14ac:dyDescent="0.3">
      <c r="A399" s="21">
        <v>45425.869444000004</v>
      </c>
      <c r="B399" s="18">
        <v>63.525511000000002</v>
      </c>
    </row>
    <row r="400" spans="1:2" x14ac:dyDescent="0.3">
      <c r="A400" s="21">
        <v>45425.870138999999</v>
      </c>
      <c r="B400" s="18">
        <v>64.350094999999996</v>
      </c>
    </row>
    <row r="401" spans="1:2" x14ac:dyDescent="0.3">
      <c r="A401" s="21">
        <v>45425.870833000001</v>
      </c>
      <c r="B401" s="18">
        <v>64.966024000000004</v>
      </c>
    </row>
    <row r="402" spans="1:2" x14ac:dyDescent="0.3">
      <c r="A402" s="21">
        <v>45425.871528000003</v>
      </c>
      <c r="B402" s="18">
        <v>63.249628999999999</v>
      </c>
    </row>
    <row r="403" spans="1:2" x14ac:dyDescent="0.3">
      <c r="A403" s="21">
        <v>45425.872221999998</v>
      </c>
      <c r="B403" s="18">
        <v>63.641162999999999</v>
      </c>
    </row>
    <row r="404" spans="1:2" x14ac:dyDescent="0.3">
      <c r="A404" s="21">
        <v>45425.872917000001</v>
      </c>
      <c r="B404" s="18">
        <v>64.152150000000006</v>
      </c>
    </row>
    <row r="405" spans="1:2" x14ac:dyDescent="0.3">
      <c r="A405" s="21">
        <v>45425.873611000003</v>
      </c>
      <c r="B405" s="18">
        <v>62.939391999999998</v>
      </c>
    </row>
    <row r="406" spans="1:2" x14ac:dyDescent="0.3">
      <c r="A406" s="21">
        <v>45425.874305999998</v>
      </c>
      <c r="B406" s="18">
        <v>64.583125999999993</v>
      </c>
    </row>
    <row r="407" spans="1:2" x14ac:dyDescent="0.3">
      <c r="A407" s="21">
        <v>45425.875</v>
      </c>
      <c r="B407" s="18">
        <v>64.288441000000006</v>
      </c>
    </row>
    <row r="408" spans="1:2" x14ac:dyDescent="0.3">
      <c r="A408" s="21">
        <v>45425.875694000002</v>
      </c>
      <c r="B408" s="18">
        <v>64.847363000000001</v>
      </c>
    </row>
    <row r="409" spans="1:2" x14ac:dyDescent="0.3">
      <c r="A409" s="21">
        <v>45425.876388999997</v>
      </c>
      <c r="B409" s="18">
        <v>63.931531</v>
      </c>
    </row>
    <row r="410" spans="1:2" x14ac:dyDescent="0.3">
      <c r="A410" s="21">
        <v>45425.877082999999</v>
      </c>
      <c r="B410" s="18">
        <v>64.004805000000005</v>
      </c>
    </row>
    <row r="411" spans="1:2" x14ac:dyDescent="0.3">
      <c r="A411" s="21">
        <v>45425.877778000002</v>
      </c>
      <c r="B411" s="18">
        <v>64.493707000000001</v>
      </c>
    </row>
    <row r="412" spans="1:2" x14ac:dyDescent="0.3">
      <c r="A412" s="21">
        <v>45425.878471999997</v>
      </c>
      <c r="B412" s="18">
        <v>63.923268</v>
      </c>
    </row>
    <row r="413" spans="1:2" x14ac:dyDescent="0.3">
      <c r="A413" s="21">
        <v>45425.879166999999</v>
      </c>
      <c r="B413" s="18">
        <v>64.631496999999996</v>
      </c>
    </row>
    <row r="414" spans="1:2" x14ac:dyDescent="0.3">
      <c r="A414" s="21">
        <v>45425.879861000001</v>
      </c>
      <c r="B414" s="18">
        <v>62.816983</v>
      </c>
    </row>
    <row r="415" spans="1:2" x14ac:dyDescent="0.3">
      <c r="A415" s="21">
        <v>45425.880555999996</v>
      </c>
      <c r="B415" s="18">
        <v>64.570621000000003</v>
      </c>
    </row>
    <row r="416" spans="1:2" x14ac:dyDescent="0.3">
      <c r="A416" s="21">
        <v>45425.881249999999</v>
      </c>
      <c r="B416" s="18">
        <v>63.597746000000001</v>
      </c>
    </row>
    <row r="417" spans="1:2" x14ac:dyDescent="0.3">
      <c r="A417" s="21">
        <v>45425.881944000001</v>
      </c>
      <c r="B417" s="18">
        <v>63.708955000000003</v>
      </c>
    </row>
    <row r="418" spans="1:2" x14ac:dyDescent="0.3">
      <c r="A418" s="21">
        <v>45425.882639000003</v>
      </c>
      <c r="B418" s="18">
        <v>63.890225000000001</v>
      </c>
    </row>
    <row r="419" spans="1:2" x14ac:dyDescent="0.3">
      <c r="A419" s="21">
        <v>45425.883332999998</v>
      </c>
      <c r="B419" s="18">
        <v>63.417219000000003</v>
      </c>
    </row>
    <row r="420" spans="1:2" x14ac:dyDescent="0.3">
      <c r="A420" s="21">
        <v>45425.884028</v>
      </c>
      <c r="B420" s="18">
        <v>64.120035000000001</v>
      </c>
    </row>
    <row r="421" spans="1:2" x14ac:dyDescent="0.3">
      <c r="A421" s="21">
        <v>45425.884722000003</v>
      </c>
      <c r="B421" s="18">
        <v>64.334633999999994</v>
      </c>
    </row>
    <row r="422" spans="1:2" x14ac:dyDescent="0.3">
      <c r="A422" s="21">
        <v>45425.885416999998</v>
      </c>
      <c r="B422" s="18">
        <v>64.054169999999999</v>
      </c>
    </row>
    <row r="423" spans="1:2" x14ac:dyDescent="0.3">
      <c r="A423" s="21">
        <v>45425.886111</v>
      </c>
      <c r="B423" s="18">
        <v>63.037458999999998</v>
      </c>
    </row>
    <row r="424" spans="1:2" x14ac:dyDescent="0.3">
      <c r="A424" s="21">
        <v>45425.886806000002</v>
      </c>
      <c r="B424" s="18">
        <v>64.034638999999999</v>
      </c>
    </row>
    <row r="425" spans="1:2" x14ac:dyDescent="0.3">
      <c r="A425" s="21">
        <v>45425.887499999997</v>
      </c>
      <c r="B425" s="18">
        <v>64.117718999999994</v>
      </c>
    </row>
    <row r="426" spans="1:2" x14ac:dyDescent="0.3">
      <c r="A426" s="21">
        <v>45425.888193999999</v>
      </c>
      <c r="B426" s="18">
        <v>63.139313000000001</v>
      </c>
    </row>
    <row r="427" spans="1:2" x14ac:dyDescent="0.3">
      <c r="A427" s="21">
        <v>45425.888889000002</v>
      </c>
      <c r="B427" s="18">
        <v>63.763295999999997</v>
      </c>
    </row>
    <row r="428" spans="1:2" x14ac:dyDescent="0.3">
      <c r="A428" s="21">
        <v>45425.889582999996</v>
      </c>
      <c r="B428" s="18">
        <v>64.396001999999996</v>
      </c>
    </row>
    <row r="429" spans="1:2" x14ac:dyDescent="0.3">
      <c r="A429" s="21">
        <v>45425.890277999999</v>
      </c>
      <c r="B429" s="18">
        <v>63.694338000000002</v>
      </c>
    </row>
    <row r="430" spans="1:2" x14ac:dyDescent="0.3">
      <c r="A430" s="21">
        <v>45425.890972000001</v>
      </c>
      <c r="B430" s="18">
        <v>63.145251999999999</v>
      </c>
    </row>
    <row r="431" spans="1:2" x14ac:dyDescent="0.3">
      <c r="A431" s="21">
        <v>45425.891667000004</v>
      </c>
      <c r="B431" s="18">
        <v>64.964501999999996</v>
      </c>
    </row>
    <row r="432" spans="1:2" x14ac:dyDescent="0.3">
      <c r="A432" s="21">
        <v>45425.892360999998</v>
      </c>
      <c r="B432" s="18">
        <v>63.753005000000002</v>
      </c>
    </row>
    <row r="433" spans="1:2" x14ac:dyDescent="0.3">
      <c r="A433" s="21">
        <v>45425.893056000001</v>
      </c>
      <c r="B433" s="18">
        <v>63.580345999999999</v>
      </c>
    </row>
    <row r="434" spans="1:2" x14ac:dyDescent="0.3">
      <c r="A434" s="21">
        <v>45425.893750000003</v>
      </c>
      <c r="B434" s="18">
        <v>63.255609</v>
      </c>
    </row>
    <row r="435" spans="1:2" x14ac:dyDescent="0.3">
      <c r="A435" s="21">
        <v>45425.894443999998</v>
      </c>
      <c r="B435" s="18">
        <v>63.945487999999997</v>
      </c>
    </row>
    <row r="436" spans="1:2" x14ac:dyDescent="0.3">
      <c r="A436" s="21">
        <v>45425.895139</v>
      </c>
      <c r="B436" s="18">
        <v>63.769992000000002</v>
      </c>
    </row>
    <row r="437" spans="1:2" x14ac:dyDescent="0.3">
      <c r="A437" s="21">
        <v>45425.895833000002</v>
      </c>
      <c r="B437" s="18">
        <v>63.238066000000003</v>
      </c>
    </row>
    <row r="438" spans="1:2" x14ac:dyDescent="0.3">
      <c r="A438" s="21">
        <v>45425.896527999997</v>
      </c>
      <c r="B438" s="18">
        <v>63.646523999999999</v>
      </c>
    </row>
    <row r="439" spans="1:2" x14ac:dyDescent="0.3">
      <c r="A439" s="21">
        <v>45425.897222</v>
      </c>
      <c r="B439" s="18">
        <v>64.101631999999995</v>
      </c>
    </row>
    <row r="440" spans="1:2" x14ac:dyDescent="0.3">
      <c r="A440" s="21">
        <v>45425.897917000002</v>
      </c>
      <c r="B440" s="18">
        <v>63.349752000000002</v>
      </c>
    </row>
    <row r="441" spans="1:2" x14ac:dyDescent="0.3">
      <c r="A441" s="21">
        <v>45425.898610999997</v>
      </c>
      <c r="B441" s="18">
        <v>63.302723</v>
      </c>
    </row>
    <row r="442" spans="1:2" x14ac:dyDescent="0.3">
      <c r="A442" s="21">
        <v>45425.899305999999</v>
      </c>
      <c r="B442" s="18">
        <v>63.331235</v>
      </c>
    </row>
    <row r="443" spans="1:2" x14ac:dyDescent="0.3">
      <c r="A443" s="21">
        <v>45425.9</v>
      </c>
      <c r="B443" s="18">
        <v>63.648536999999997</v>
      </c>
    </row>
    <row r="444" spans="1:2" x14ac:dyDescent="0.3">
      <c r="A444" s="21">
        <v>45425.900694000004</v>
      </c>
      <c r="B444" s="18">
        <v>62.974930999999998</v>
      </c>
    </row>
    <row r="445" spans="1:2" x14ac:dyDescent="0.3">
      <c r="A445" s="21">
        <v>45425.901388999999</v>
      </c>
      <c r="B445" s="18">
        <v>64.790745999999999</v>
      </c>
    </row>
    <row r="446" spans="1:2" x14ac:dyDescent="0.3">
      <c r="A446" s="21">
        <v>45425.902083000001</v>
      </c>
      <c r="B446" s="18">
        <v>63.255003000000002</v>
      </c>
    </row>
    <row r="447" spans="1:2" x14ac:dyDescent="0.3">
      <c r="A447" s="21">
        <v>45425.902778000003</v>
      </c>
      <c r="B447" s="18">
        <v>63.658951999999999</v>
      </c>
    </row>
    <row r="448" spans="1:2" x14ac:dyDescent="0.3">
      <c r="A448" s="21">
        <v>45425.903471999998</v>
      </c>
      <c r="B448" s="18">
        <v>64.042044000000004</v>
      </c>
    </row>
    <row r="449" spans="1:2" x14ac:dyDescent="0.3">
      <c r="A449" s="21">
        <v>45425.904167000001</v>
      </c>
      <c r="B449" s="18">
        <v>64.568661000000006</v>
      </c>
    </row>
    <row r="450" spans="1:2" x14ac:dyDescent="0.3">
      <c r="A450" s="21">
        <v>45425.904861000003</v>
      </c>
      <c r="B450" s="18">
        <v>62.747145000000003</v>
      </c>
    </row>
    <row r="451" spans="1:2" x14ac:dyDescent="0.3">
      <c r="A451" s="21">
        <v>45425.905555999998</v>
      </c>
      <c r="B451" s="18">
        <v>62.771906999999999</v>
      </c>
    </row>
    <row r="452" spans="1:2" x14ac:dyDescent="0.3">
      <c r="A452" s="21">
        <v>45425.90625</v>
      </c>
      <c r="B452" s="18">
        <v>63.829082</v>
      </c>
    </row>
    <row r="453" spans="1:2" x14ac:dyDescent="0.3">
      <c r="A453" s="21">
        <v>45425.906944000002</v>
      </c>
      <c r="B453" s="18">
        <v>63.837111</v>
      </c>
    </row>
    <row r="454" spans="1:2" x14ac:dyDescent="0.3">
      <c r="A454" s="21">
        <v>45425.907638999997</v>
      </c>
      <c r="B454" s="18">
        <v>64.153482999999994</v>
      </c>
    </row>
    <row r="455" spans="1:2" x14ac:dyDescent="0.3">
      <c r="A455" s="21">
        <v>45425.908332999999</v>
      </c>
      <c r="B455" s="18">
        <v>64.358891999999997</v>
      </c>
    </row>
    <row r="456" spans="1:2" x14ac:dyDescent="0.3">
      <c r="A456" s="21">
        <v>45425.909028000002</v>
      </c>
      <c r="B456" s="18">
        <v>63.257874000000001</v>
      </c>
    </row>
    <row r="457" spans="1:2" x14ac:dyDescent="0.3">
      <c r="A457" s="21">
        <v>45425.909721999997</v>
      </c>
      <c r="B457" s="18">
        <v>62.893279</v>
      </c>
    </row>
    <row r="458" spans="1:2" x14ac:dyDescent="0.3">
      <c r="A458" s="21">
        <v>45425.910416999999</v>
      </c>
      <c r="B458" s="18">
        <v>62.871003999999999</v>
      </c>
    </row>
    <row r="459" spans="1:2" x14ac:dyDescent="0.3">
      <c r="A459" s="21">
        <v>45425.911111000001</v>
      </c>
      <c r="B459" s="18">
        <v>63.706102000000001</v>
      </c>
    </row>
    <row r="460" spans="1:2" x14ac:dyDescent="0.3">
      <c r="A460" s="21">
        <v>45425.911805999996</v>
      </c>
      <c r="B460" s="18">
        <v>64.671166999999997</v>
      </c>
    </row>
    <row r="461" spans="1:2" x14ac:dyDescent="0.3">
      <c r="A461" s="21">
        <v>45425.912499999999</v>
      </c>
      <c r="B461" s="18">
        <v>64.234317000000004</v>
      </c>
    </row>
    <row r="462" spans="1:2" x14ac:dyDescent="0.3">
      <c r="A462" s="21">
        <v>45425.913194000001</v>
      </c>
      <c r="B462" s="18">
        <v>63.829200999999998</v>
      </c>
    </row>
    <row r="463" spans="1:2" x14ac:dyDescent="0.3">
      <c r="A463" s="21">
        <v>45425.913889000003</v>
      </c>
      <c r="B463" s="18">
        <v>63.511527999999998</v>
      </c>
    </row>
    <row r="464" spans="1:2" x14ac:dyDescent="0.3">
      <c r="A464" s="21">
        <v>45425.914582999998</v>
      </c>
      <c r="B464" s="18">
        <v>63.927619</v>
      </c>
    </row>
    <row r="465" spans="1:2" x14ac:dyDescent="0.3">
      <c r="A465" s="21">
        <v>45425.915278</v>
      </c>
      <c r="B465" s="18">
        <v>63.105581999999998</v>
      </c>
    </row>
    <row r="466" spans="1:2" x14ac:dyDescent="0.3">
      <c r="A466" s="21">
        <v>45425.915972000003</v>
      </c>
      <c r="B466" s="18">
        <v>64.221075999999996</v>
      </c>
    </row>
    <row r="467" spans="1:2" x14ac:dyDescent="0.3">
      <c r="A467" s="21">
        <v>45425.916666999998</v>
      </c>
      <c r="B467" s="18">
        <v>63.798107000000002</v>
      </c>
    </row>
    <row r="468" spans="1:2" x14ac:dyDescent="0.3">
      <c r="A468" s="21">
        <v>45425.917361</v>
      </c>
      <c r="B468" s="18">
        <v>62.219985000000001</v>
      </c>
    </row>
    <row r="469" spans="1:2" x14ac:dyDescent="0.3">
      <c r="A469" s="21">
        <v>45425.918056000002</v>
      </c>
      <c r="B469" s="18">
        <v>63.690314999999998</v>
      </c>
    </row>
    <row r="470" spans="1:2" x14ac:dyDescent="0.3">
      <c r="A470" s="21">
        <v>45425.918749999997</v>
      </c>
      <c r="B470" s="18">
        <v>63.846175000000002</v>
      </c>
    </row>
    <row r="471" spans="1:2" x14ac:dyDescent="0.3">
      <c r="A471" s="21">
        <v>45425.919443999999</v>
      </c>
      <c r="B471" s="18">
        <v>63.321190000000001</v>
      </c>
    </row>
    <row r="472" spans="1:2" x14ac:dyDescent="0.3">
      <c r="A472" s="21">
        <v>45425.920139000002</v>
      </c>
      <c r="B472" s="18">
        <v>63.502017000000002</v>
      </c>
    </row>
    <row r="473" spans="1:2" x14ac:dyDescent="0.3">
      <c r="A473" s="21">
        <v>45425.920832999996</v>
      </c>
      <c r="B473" s="18">
        <v>63.717008</v>
      </c>
    </row>
    <row r="474" spans="1:2" x14ac:dyDescent="0.3">
      <c r="A474" s="21">
        <v>45425.921527999999</v>
      </c>
      <c r="B474" s="18">
        <v>63.041027</v>
      </c>
    </row>
    <row r="475" spans="1:2" x14ac:dyDescent="0.3">
      <c r="A475" s="21">
        <v>45425.922222000001</v>
      </c>
      <c r="B475" s="18">
        <v>63.593010999999997</v>
      </c>
    </row>
    <row r="476" spans="1:2" x14ac:dyDescent="0.3">
      <c r="A476" s="21">
        <v>45425.922917000004</v>
      </c>
      <c r="B476" s="18">
        <v>62.807659000000001</v>
      </c>
    </row>
    <row r="477" spans="1:2" x14ac:dyDescent="0.3">
      <c r="A477" s="21">
        <v>45425.923610999998</v>
      </c>
      <c r="B477" s="18">
        <v>64.673851999999997</v>
      </c>
    </row>
    <row r="478" spans="1:2" x14ac:dyDescent="0.3">
      <c r="A478" s="21">
        <v>45425.924306000001</v>
      </c>
      <c r="B478" s="18">
        <v>63.609850000000002</v>
      </c>
    </row>
    <row r="479" spans="1:2" x14ac:dyDescent="0.3">
      <c r="A479" s="21">
        <v>45425.925000000003</v>
      </c>
      <c r="B479" s="18">
        <v>63.758011000000003</v>
      </c>
    </row>
    <row r="480" spans="1:2" x14ac:dyDescent="0.3">
      <c r="A480" s="21">
        <v>45425.925693999998</v>
      </c>
      <c r="B480" s="18">
        <v>63.485762999999999</v>
      </c>
    </row>
    <row r="481" spans="1:2" x14ac:dyDescent="0.3">
      <c r="A481" s="21">
        <v>45425.926389</v>
      </c>
      <c r="B481" s="18">
        <v>64.298762999999994</v>
      </c>
    </row>
    <row r="482" spans="1:2" x14ac:dyDescent="0.3">
      <c r="A482" s="21">
        <v>45425.927083000002</v>
      </c>
      <c r="B482" s="18">
        <v>62.780045000000001</v>
      </c>
    </row>
    <row r="483" spans="1:2" x14ac:dyDescent="0.3">
      <c r="A483" s="21">
        <v>45425.927777999997</v>
      </c>
      <c r="B483" s="18">
        <v>62.235691000000003</v>
      </c>
    </row>
    <row r="484" spans="1:2" x14ac:dyDescent="0.3">
      <c r="A484" s="21">
        <v>45425.928472</v>
      </c>
      <c r="B484" s="18">
        <v>63.937739000000001</v>
      </c>
    </row>
    <row r="485" spans="1:2" x14ac:dyDescent="0.3">
      <c r="A485" s="21">
        <v>45425.929167000002</v>
      </c>
      <c r="B485" s="18">
        <v>63.017100999999997</v>
      </c>
    </row>
    <row r="486" spans="1:2" x14ac:dyDescent="0.3">
      <c r="A486" s="21">
        <v>45425.929860999997</v>
      </c>
      <c r="B486" s="18">
        <v>64.823469000000003</v>
      </c>
    </row>
    <row r="487" spans="1:2" x14ac:dyDescent="0.3">
      <c r="A487" s="21">
        <v>45425.930555999999</v>
      </c>
      <c r="B487" s="18">
        <v>63.188279000000001</v>
      </c>
    </row>
    <row r="488" spans="1:2" x14ac:dyDescent="0.3">
      <c r="A488" s="21">
        <v>45425.931250000001</v>
      </c>
      <c r="B488" s="18">
        <v>63.953634999999998</v>
      </c>
    </row>
    <row r="489" spans="1:2" x14ac:dyDescent="0.3">
      <c r="A489" s="21">
        <v>45425.931944000004</v>
      </c>
      <c r="B489" s="18">
        <v>63.785276000000003</v>
      </c>
    </row>
    <row r="490" spans="1:2" x14ac:dyDescent="0.3">
      <c r="A490" s="21">
        <v>45425.932638999999</v>
      </c>
      <c r="B490" s="18">
        <v>62.748390000000001</v>
      </c>
    </row>
    <row r="491" spans="1:2" x14ac:dyDescent="0.3">
      <c r="A491" s="21">
        <v>45425.933333000001</v>
      </c>
      <c r="B491" s="18">
        <v>63.520826999999997</v>
      </c>
    </row>
    <row r="492" spans="1:2" x14ac:dyDescent="0.3">
      <c r="A492" s="21">
        <v>45425.934028000003</v>
      </c>
      <c r="B492" s="18">
        <v>64.896169999999998</v>
      </c>
    </row>
    <row r="493" spans="1:2" x14ac:dyDescent="0.3">
      <c r="A493" s="21">
        <v>45425.934721999998</v>
      </c>
      <c r="B493" s="18">
        <v>65.481143000000003</v>
      </c>
    </row>
    <row r="494" spans="1:2" x14ac:dyDescent="0.3">
      <c r="A494" s="21">
        <v>45425.935417000001</v>
      </c>
      <c r="B494" s="18">
        <v>65.073873000000006</v>
      </c>
    </row>
    <row r="495" spans="1:2" x14ac:dyDescent="0.3">
      <c r="A495" s="21">
        <v>45425.936111000003</v>
      </c>
      <c r="B495" s="18">
        <v>66.144437999999994</v>
      </c>
    </row>
    <row r="496" spans="1:2" x14ac:dyDescent="0.3">
      <c r="A496" s="21">
        <v>45425.936805999998</v>
      </c>
      <c r="B496" s="18">
        <v>65.509457999999995</v>
      </c>
    </row>
    <row r="497" spans="1:2" x14ac:dyDescent="0.3">
      <c r="A497" s="21">
        <v>45425.9375</v>
      </c>
      <c r="B497" s="18">
        <v>65.915975000000003</v>
      </c>
    </row>
    <row r="498" spans="1:2" x14ac:dyDescent="0.3">
      <c r="A498" s="21">
        <v>45425.938194000002</v>
      </c>
      <c r="B498" s="18">
        <v>66.003259999999997</v>
      </c>
    </row>
    <row r="499" spans="1:2" x14ac:dyDescent="0.3">
      <c r="A499" s="21">
        <v>45425.938888999997</v>
      </c>
      <c r="B499" s="18">
        <v>65.109233000000003</v>
      </c>
    </row>
    <row r="500" spans="1:2" x14ac:dyDescent="0.3">
      <c r="A500" s="21">
        <v>45425.939582999999</v>
      </c>
      <c r="B500" s="18">
        <v>65.362690000000001</v>
      </c>
    </row>
    <row r="501" spans="1:2" x14ac:dyDescent="0.3">
      <c r="A501" s="21">
        <v>45425.940278000002</v>
      </c>
      <c r="B501" s="18">
        <v>66.139604000000006</v>
      </c>
    </row>
    <row r="502" spans="1:2" x14ac:dyDescent="0.3">
      <c r="A502" s="21">
        <v>45425.940971999997</v>
      </c>
      <c r="B502" s="18">
        <v>64.844491000000005</v>
      </c>
    </row>
    <row r="503" spans="1:2" x14ac:dyDescent="0.3">
      <c r="A503" s="21">
        <v>45425.941666999999</v>
      </c>
      <c r="B503" s="18">
        <v>65.261394999999993</v>
      </c>
    </row>
    <row r="504" spans="1:2" x14ac:dyDescent="0.3">
      <c r="A504" s="21">
        <v>45425.942361000001</v>
      </c>
      <c r="B504" s="18">
        <v>65.196439999999996</v>
      </c>
    </row>
    <row r="505" spans="1:2" x14ac:dyDescent="0.3">
      <c r="A505" s="21">
        <v>45425.943055999996</v>
      </c>
      <c r="B505" s="18">
        <v>65.64273</v>
      </c>
    </row>
    <row r="506" spans="1:2" x14ac:dyDescent="0.3">
      <c r="A506" s="21">
        <v>45425.943749999999</v>
      </c>
      <c r="B506" s="18">
        <v>65.704396000000003</v>
      </c>
    </row>
    <row r="507" spans="1:2" x14ac:dyDescent="0.3">
      <c r="A507" s="21">
        <v>45425.944444000001</v>
      </c>
      <c r="B507" s="18">
        <v>65.735398000000004</v>
      </c>
    </row>
    <row r="508" spans="1:2" x14ac:dyDescent="0.3">
      <c r="A508" s="21">
        <v>45425.945139000003</v>
      </c>
      <c r="B508" s="18">
        <v>65.577251000000004</v>
      </c>
    </row>
    <row r="509" spans="1:2" x14ac:dyDescent="0.3">
      <c r="A509" s="21">
        <v>45425.945832999998</v>
      </c>
      <c r="B509" s="18">
        <v>65.010675000000006</v>
      </c>
    </row>
    <row r="510" spans="1:2" x14ac:dyDescent="0.3">
      <c r="A510" s="21">
        <v>45425.946528</v>
      </c>
      <c r="B510" s="18">
        <v>65.842327999999995</v>
      </c>
    </row>
    <row r="511" spans="1:2" x14ac:dyDescent="0.3">
      <c r="A511" s="21">
        <v>45425.947222000003</v>
      </c>
      <c r="B511" s="18">
        <v>65.834558999999999</v>
      </c>
    </row>
    <row r="512" spans="1:2" x14ac:dyDescent="0.3">
      <c r="A512" s="21">
        <v>45425.947916999998</v>
      </c>
      <c r="B512" s="18">
        <v>64.988972000000004</v>
      </c>
    </row>
    <row r="513" spans="1:2" x14ac:dyDescent="0.3">
      <c r="A513" s="21">
        <v>45425.948611</v>
      </c>
      <c r="B513" s="18">
        <v>65.802862000000005</v>
      </c>
    </row>
    <row r="514" spans="1:2" x14ac:dyDescent="0.3">
      <c r="A514" s="21">
        <v>45425.949306000002</v>
      </c>
      <c r="B514" s="18">
        <v>64.916565000000006</v>
      </c>
    </row>
    <row r="515" spans="1:2" x14ac:dyDescent="0.3">
      <c r="A515" s="21">
        <v>45425.95</v>
      </c>
      <c r="B515" s="18">
        <v>65.634951000000001</v>
      </c>
    </row>
    <row r="516" spans="1:2" x14ac:dyDescent="0.3">
      <c r="A516" s="21">
        <v>45425.950693999999</v>
      </c>
      <c r="B516" s="18">
        <v>66.251592000000002</v>
      </c>
    </row>
    <row r="517" spans="1:2" x14ac:dyDescent="0.3">
      <c r="A517" s="21">
        <v>45425.951389000002</v>
      </c>
      <c r="B517" s="18">
        <v>66.675267000000005</v>
      </c>
    </row>
    <row r="518" spans="1:2" x14ac:dyDescent="0.3">
      <c r="A518" s="21">
        <v>45425.952082999996</v>
      </c>
      <c r="B518" s="18">
        <v>65.119569999999996</v>
      </c>
    </row>
    <row r="519" spans="1:2" x14ac:dyDescent="0.3">
      <c r="A519" s="21">
        <v>45425.952777999999</v>
      </c>
      <c r="B519" s="18">
        <v>65.260836999999995</v>
      </c>
    </row>
    <row r="520" spans="1:2" x14ac:dyDescent="0.3">
      <c r="A520" s="21">
        <v>45425.953472000001</v>
      </c>
      <c r="B520" s="18">
        <v>64.684404999999998</v>
      </c>
    </row>
    <row r="521" spans="1:2" x14ac:dyDescent="0.3">
      <c r="A521" s="21">
        <v>45425.954167000004</v>
      </c>
      <c r="B521" s="18">
        <v>65.632864999999995</v>
      </c>
    </row>
    <row r="522" spans="1:2" x14ac:dyDescent="0.3">
      <c r="A522" s="21">
        <v>45425.954860999998</v>
      </c>
      <c r="B522" s="18">
        <v>65.222308999999996</v>
      </c>
    </row>
    <row r="523" spans="1:2" x14ac:dyDescent="0.3">
      <c r="A523" s="21">
        <v>45425.955556000001</v>
      </c>
      <c r="B523" s="18">
        <v>65.073248000000007</v>
      </c>
    </row>
    <row r="524" spans="1:2" x14ac:dyDescent="0.3">
      <c r="A524" s="21">
        <v>45425.956250000003</v>
      </c>
      <c r="B524" s="18">
        <v>66.019910999999993</v>
      </c>
    </row>
    <row r="525" spans="1:2" x14ac:dyDescent="0.3">
      <c r="A525" s="21">
        <v>45425.956943999998</v>
      </c>
      <c r="B525" s="18">
        <v>66.058053999999998</v>
      </c>
    </row>
    <row r="526" spans="1:2" x14ac:dyDescent="0.3">
      <c r="A526" s="21">
        <v>45425.957639</v>
      </c>
      <c r="B526" s="18">
        <v>64.572326000000004</v>
      </c>
    </row>
    <row r="527" spans="1:2" x14ac:dyDescent="0.3">
      <c r="A527" s="21">
        <v>45425.958333000002</v>
      </c>
      <c r="B527" s="18">
        <v>65.325686000000005</v>
      </c>
    </row>
    <row r="528" spans="1:2" x14ac:dyDescent="0.3">
      <c r="A528" s="21">
        <v>45425.959027999997</v>
      </c>
      <c r="B528" s="18">
        <v>64.887506000000002</v>
      </c>
    </row>
    <row r="529" spans="1:2" x14ac:dyDescent="0.3">
      <c r="A529" s="21">
        <v>45425.959722</v>
      </c>
      <c r="B529" s="18">
        <v>65.576233000000002</v>
      </c>
    </row>
    <row r="530" spans="1:2" x14ac:dyDescent="0.3">
      <c r="A530" s="21">
        <v>45425.960417000002</v>
      </c>
      <c r="B530" s="18">
        <v>66.005177000000003</v>
      </c>
    </row>
    <row r="531" spans="1:2" x14ac:dyDescent="0.3">
      <c r="A531" s="21">
        <v>45425.961110999997</v>
      </c>
      <c r="B531" s="18">
        <v>65.178061</v>
      </c>
    </row>
    <row r="532" spans="1:2" x14ac:dyDescent="0.3">
      <c r="A532" s="21">
        <v>45425.961805999999</v>
      </c>
      <c r="B532" s="18">
        <v>65.571101999999996</v>
      </c>
    </row>
    <row r="533" spans="1:2" x14ac:dyDescent="0.3">
      <c r="A533" s="21">
        <v>45425.962500000001</v>
      </c>
      <c r="B533" s="18">
        <v>65.121009999999998</v>
      </c>
    </row>
    <row r="534" spans="1:2" x14ac:dyDescent="0.3">
      <c r="A534" s="21">
        <v>45425.963194000004</v>
      </c>
      <c r="B534" s="18">
        <v>64.765710999999996</v>
      </c>
    </row>
    <row r="535" spans="1:2" x14ac:dyDescent="0.3">
      <c r="A535" s="21">
        <v>45425.963888999999</v>
      </c>
      <c r="B535" s="18">
        <v>65.373053999999996</v>
      </c>
    </row>
    <row r="536" spans="1:2" x14ac:dyDescent="0.3">
      <c r="A536" s="21">
        <v>45425.964583000001</v>
      </c>
      <c r="B536" s="18">
        <v>64.725633999999999</v>
      </c>
    </row>
    <row r="537" spans="1:2" x14ac:dyDescent="0.3">
      <c r="A537" s="21">
        <v>45425.965278000003</v>
      </c>
      <c r="B537" s="18">
        <v>64.827967000000001</v>
      </c>
    </row>
    <row r="538" spans="1:2" x14ac:dyDescent="0.3">
      <c r="A538" s="21">
        <v>45425.965971999998</v>
      </c>
      <c r="B538" s="18">
        <v>66.021215999999995</v>
      </c>
    </row>
    <row r="539" spans="1:2" x14ac:dyDescent="0.3">
      <c r="A539" s="21">
        <v>45425.966667000001</v>
      </c>
      <c r="B539" s="18">
        <v>65.097701999999998</v>
      </c>
    </row>
    <row r="540" spans="1:2" x14ac:dyDescent="0.3">
      <c r="A540" s="21">
        <v>45425.967361000003</v>
      </c>
      <c r="B540" s="18">
        <v>64.978348999999994</v>
      </c>
    </row>
    <row r="541" spans="1:2" x14ac:dyDescent="0.3">
      <c r="A541" s="21">
        <v>45425.968055999998</v>
      </c>
      <c r="B541" s="18">
        <v>64.664085</v>
      </c>
    </row>
    <row r="542" spans="1:2" x14ac:dyDescent="0.3">
      <c r="A542" s="21">
        <v>45425.96875</v>
      </c>
      <c r="B542" s="18">
        <v>64.751076999999995</v>
      </c>
    </row>
    <row r="543" spans="1:2" x14ac:dyDescent="0.3">
      <c r="A543" s="21">
        <v>45425.969444000002</v>
      </c>
      <c r="B543" s="18">
        <v>65.645343999999994</v>
      </c>
    </row>
    <row r="544" spans="1:2" x14ac:dyDescent="0.3">
      <c r="A544" s="21">
        <v>45425.970138999997</v>
      </c>
      <c r="B544" s="18">
        <v>64.842738999999995</v>
      </c>
    </row>
    <row r="545" spans="1:2" x14ac:dyDescent="0.3">
      <c r="A545" s="21">
        <v>45425.970832999999</v>
      </c>
      <c r="B545" s="18">
        <v>65.331998999999996</v>
      </c>
    </row>
    <row r="546" spans="1:2" x14ac:dyDescent="0.3">
      <c r="A546" s="21">
        <v>45425.971528000002</v>
      </c>
      <c r="B546" s="18">
        <v>65.203128000000007</v>
      </c>
    </row>
    <row r="547" spans="1:2" x14ac:dyDescent="0.3">
      <c r="A547" s="21">
        <v>45425.972221999997</v>
      </c>
      <c r="B547" s="18">
        <v>66.002184</v>
      </c>
    </row>
    <row r="548" spans="1:2" x14ac:dyDescent="0.3">
      <c r="A548" s="21">
        <v>45425.972916999999</v>
      </c>
      <c r="B548" s="18">
        <v>65.575136999999998</v>
      </c>
    </row>
    <row r="549" spans="1:2" x14ac:dyDescent="0.3">
      <c r="A549" s="21">
        <v>45425.973611000001</v>
      </c>
      <c r="B549" s="18">
        <v>65.745992999999999</v>
      </c>
    </row>
    <row r="550" spans="1:2" x14ac:dyDescent="0.3">
      <c r="A550" s="21">
        <v>45425.974305999996</v>
      </c>
      <c r="B550" s="18">
        <v>65.608299000000002</v>
      </c>
    </row>
    <row r="551" spans="1:2" x14ac:dyDescent="0.3">
      <c r="A551" s="21">
        <v>45425.974999999999</v>
      </c>
      <c r="B551" s="18">
        <v>65.173672999999994</v>
      </c>
    </row>
    <row r="552" spans="1:2" x14ac:dyDescent="0.3">
      <c r="A552" s="21">
        <v>45425.975694000001</v>
      </c>
      <c r="B552" s="18">
        <v>65.455342999999999</v>
      </c>
    </row>
    <row r="553" spans="1:2" x14ac:dyDescent="0.3">
      <c r="A553" s="21">
        <v>45425.976389000003</v>
      </c>
      <c r="B553" s="18">
        <v>64.985636</v>
      </c>
    </row>
    <row r="554" spans="1:2" x14ac:dyDescent="0.3">
      <c r="A554" s="21">
        <v>45425.977082999998</v>
      </c>
      <c r="B554" s="18">
        <v>65.479521000000005</v>
      </c>
    </row>
    <row r="555" spans="1:2" x14ac:dyDescent="0.3">
      <c r="A555" s="21">
        <v>45425.977778</v>
      </c>
      <c r="B555" s="18">
        <v>64.741525999999993</v>
      </c>
    </row>
    <row r="556" spans="1:2" x14ac:dyDescent="0.3">
      <c r="A556" s="21">
        <v>45425.978472000003</v>
      </c>
      <c r="B556" s="18">
        <v>65.182765000000003</v>
      </c>
    </row>
    <row r="557" spans="1:2" x14ac:dyDescent="0.3">
      <c r="A557" s="21">
        <v>45425.979166999998</v>
      </c>
      <c r="B557" s="18">
        <v>66.307095000000004</v>
      </c>
    </row>
    <row r="558" spans="1:2" x14ac:dyDescent="0.3">
      <c r="A558" s="21">
        <v>45425.979861</v>
      </c>
      <c r="B558" s="18">
        <v>65.812190999999999</v>
      </c>
    </row>
    <row r="559" spans="1:2" x14ac:dyDescent="0.3">
      <c r="A559" s="21">
        <v>45425.980556000002</v>
      </c>
      <c r="B559" s="18">
        <v>64.534353999999993</v>
      </c>
    </row>
    <row r="560" spans="1:2" x14ac:dyDescent="0.3">
      <c r="A560" s="21">
        <v>45425.981249999997</v>
      </c>
      <c r="B560" s="18">
        <v>64.632193000000001</v>
      </c>
    </row>
    <row r="561" spans="1:2" x14ac:dyDescent="0.3">
      <c r="A561" s="21">
        <v>45425.981943999999</v>
      </c>
      <c r="B561" s="18">
        <v>65.099611999999993</v>
      </c>
    </row>
    <row r="562" spans="1:2" x14ac:dyDescent="0.3">
      <c r="A562" s="21">
        <v>45425.982639000002</v>
      </c>
      <c r="B562" s="18">
        <v>66.019619000000006</v>
      </c>
    </row>
    <row r="563" spans="1:2" x14ac:dyDescent="0.3">
      <c r="A563" s="21">
        <v>45425.983332999996</v>
      </c>
      <c r="B563" s="18">
        <v>64.361001000000002</v>
      </c>
    </row>
    <row r="564" spans="1:2" x14ac:dyDescent="0.3">
      <c r="A564" s="21">
        <v>45425.984027999999</v>
      </c>
      <c r="B564" s="18">
        <v>65.593252000000007</v>
      </c>
    </row>
    <row r="565" spans="1:2" x14ac:dyDescent="0.3">
      <c r="A565" s="21">
        <v>45425.984722000001</v>
      </c>
      <c r="B565" s="18">
        <v>65.051489000000004</v>
      </c>
    </row>
    <row r="566" spans="1:2" x14ac:dyDescent="0.3">
      <c r="A566" s="21">
        <v>45425.985417000004</v>
      </c>
      <c r="B566" s="18">
        <v>65.990956999999995</v>
      </c>
    </row>
    <row r="567" spans="1:2" x14ac:dyDescent="0.3">
      <c r="A567" s="21">
        <v>45425.986110999998</v>
      </c>
      <c r="B567" s="18">
        <v>64.748057000000003</v>
      </c>
    </row>
    <row r="568" spans="1:2" x14ac:dyDescent="0.3">
      <c r="A568" s="21">
        <v>45425.986806000001</v>
      </c>
      <c r="B568" s="18">
        <v>64.504454999999993</v>
      </c>
    </row>
    <row r="569" spans="1:2" x14ac:dyDescent="0.3">
      <c r="A569" s="21">
        <v>45425.987500000003</v>
      </c>
      <c r="B569" s="18">
        <v>64.976114999999993</v>
      </c>
    </row>
    <row r="570" spans="1:2" x14ac:dyDescent="0.3">
      <c r="A570" s="21">
        <v>45425.988193999998</v>
      </c>
      <c r="B570" s="18">
        <v>65.428118999999995</v>
      </c>
    </row>
    <row r="571" spans="1:2" x14ac:dyDescent="0.3">
      <c r="A571" s="21">
        <v>45425.988889</v>
      </c>
      <c r="B571" s="18">
        <v>65.620979000000005</v>
      </c>
    </row>
    <row r="572" spans="1:2" x14ac:dyDescent="0.3">
      <c r="A572" s="21">
        <v>45425.989583000002</v>
      </c>
      <c r="B572" s="18">
        <v>64.04177</v>
      </c>
    </row>
    <row r="573" spans="1:2" x14ac:dyDescent="0.3">
      <c r="A573" s="21">
        <v>45425.990277999997</v>
      </c>
      <c r="B573" s="18">
        <v>65.491236999999998</v>
      </c>
    </row>
    <row r="574" spans="1:2" x14ac:dyDescent="0.3">
      <c r="A574" s="21">
        <v>45425.990972</v>
      </c>
      <c r="B574" s="18">
        <v>65.744304999999997</v>
      </c>
    </row>
    <row r="575" spans="1:2" x14ac:dyDescent="0.3">
      <c r="A575" s="21">
        <v>45425.991667000002</v>
      </c>
      <c r="B575" s="18">
        <v>65.210252999999994</v>
      </c>
    </row>
    <row r="576" spans="1:2" x14ac:dyDescent="0.3">
      <c r="A576" s="21">
        <v>45425.992360999997</v>
      </c>
      <c r="B576" s="18">
        <v>65.423822999999999</v>
      </c>
    </row>
    <row r="577" spans="1:2" x14ac:dyDescent="0.3">
      <c r="A577" s="21">
        <v>45425.993055999999</v>
      </c>
      <c r="B577" s="18">
        <v>65.018460000000005</v>
      </c>
    </row>
    <row r="578" spans="1:2" x14ac:dyDescent="0.3">
      <c r="A578" s="21">
        <v>45425.993750000001</v>
      </c>
      <c r="B578" s="18">
        <v>65.140163000000001</v>
      </c>
    </row>
    <row r="579" spans="1:2" x14ac:dyDescent="0.3">
      <c r="A579" s="21">
        <v>45425.994444000004</v>
      </c>
      <c r="B579" s="18">
        <v>65.046353999999994</v>
      </c>
    </row>
    <row r="580" spans="1:2" x14ac:dyDescent="0.3">
      <c r="A580" s="21">
        <v>45425.995138999999</v>
      </c>
      <c r="B580" s="18">
        <v>64.272029000000003</v>
      </c>
    </row>
    <row r="581" spans="1:2" x14ac:dyDescent="0.3">
      <c r="A581" s="21">
        <v>45425.995833000001</v>
      </c>
      <c r="B581" s="18">
        <v>64.441817999999998</v>
      </c>
    </row>
    <row r="582" spans="1:2" x14ac:dyDescent="0.3">
      <c r="A582" s="21">
        <v>45425.996528000003</v>
      </c>
      <c r="B582" s="18">
        <v>65.711606000000003</v>
      </c>
    </row>
    <row r="583" spans="1:2" x14ac:dyDescent="0.3">
      <c r="A583" s="21">
        <v>45425.997221999998</v>
      </c>
      <c r="B583" s="18">
        <v>65.370762999999997</v>
      </c>
    </row>
    <row r="584" spans="1:2" x14ac:dyDescent="0.3">
      <c r="A584" s="21">
        <v>45425.997917000001</v>
      </c>
      <c r="B584" s="18">
        <v>65.169613999999996</v>
      </c>
    </row>
    <row r="585" spans="1:2" x14ac:dyDescent="0.3">
      <c r="A585" s="21">
        <v>45425.998611000003</v>
      </c>
      <c r="B585" s="18">
        <v>64.29016</v>
      </c>
    </row>
    <row r="586" spans="1:2" x14ac:dyDescent="0.3">
      <c r="A586" s="21">
        <v>45425.999305999998</v>
      </c>
      <c r="B586" s="18">
        <v>64.999002000000004</v>
      </c>
    </row>
    <row r="587" spans="1:2" x14ac:dyDescent="0.3">
      <c r="A587" s="21">
        <v>45426</v>
      </c>
      <c r="B587" s="18">
        <v>66.034317000000001</v>
      </c>
    </row>
    <row r="588" spans="1:2" x14ac:dyDescent="0.3">
      <c r="A588" s="21">
        <v>45426.000694000002</v>
      </c>
      <c r="B588" s="18">
        <v>65.311395000000005</v>
      </c>
    </row>
    <row r="589" spans="1:2" x14ac:dyDescent="0.3">
      <c r="A589" s="21">
        <v>45426.001388999997</v>
      </c>
      <c r="B589" s="18">
        <v>64.732253999999998</v>
      </c>
    </row>
    <row r="590" spans="1:2" x14ac:dyDescent="0.3">
      <c r="A590" s="21">
        <v>45426.002082999999</v>
      </c>
      <c r="B590" s="18">
        <v>64.637159999999994</v>
      </c>
    </row>
    <row r="591" spans="1:2" x14ac:dyDescent="0.3">
      <c r="A591" s="21">
        <v>45426.002778000002</v>
      </c>
      <c r="B591" s="18">
        <v>64.165317000000002</v>
      </c>
    </row>
    <row r="592" spans="1:2" x14ac:dyDescent="0.3">
      <c r="A592" s="21">
        <v>45426.003471999997</v>
      </c>
      <c r="B592" s="18">
        <v>65.922987000000006</v>
      </c>
    </row>
    <row r="593" spans="1:2" x14ac:dyDescent="0.3">
      <c r="A593" s="21">
        <v>45426.004166999999</v>
      </c>
      <c r="B593" s="18">
        <v>64.648897000000005</v>
      </c>
    </row>
    <row r="594" spans="1:2" x14ac:dyDescent="0.3">
      <c r="A594" s="21">
        <v>45426.004861000001</v>
      </c>
      <c r="B594" s="18">
        <v>65.292823999999996</v>
      </c>
    </row>
    <row r="595" spans="1:2" x14ac:dyDescent="0.3">
      <c r="A595" s="21">
        <v>45426.005555999996</v>
      </c>
      <c r="B595" s="18">
        <v>64.872687999999997</v>
      </c>
    </row>
    <row r="596" spans="1:2" x14ac:dyDescent="0.3">
      <c r="A596" s="21">
        <v>45426.006249999999</v>
      </c>
      <c r="B596" s="18">
        <v>65.418988999999996</v>
      </c>
    </row>
    <row r="597" spans="1:2" x14ac:dyDescent="0.3">
      <c r="A597" s="21">
        <v>45426.006944000001</v>
      </c>
      <c r="B597" s="18">
        <v>65.553364000000002</v>
      </c>
    </row>
    <row r="598" spans="1:2" x14ac:dyDescent="0.3">
      <c r="A598" s="21">
        <v>45426.007639000003</v>
      </c>
      <c r="B598" s="18">
        <v>64.752122</v>
      </c>
    </row>
    <row r="599" spans="1:2" x14ac:dyDescent="0.3">
      <c r="A599" s="21">
        <v>45426.008332999998</v>
      </c>
      <c r="B599" s="18">
        <v>65.456194999999994</v>
      </c>
    </row>
    <row r="600" spans="1:2" x14ac:dyDescent="0.3">
      <c r="A600" s="21">
        <v>45426.009028</v>
      </c>
      <c r="B600" s="18">
        <v>65.139973999999995</v>
      </c>
    </row>
    <row r="601" spans="1:2" x14ac:dyDescent="0.3">
      <c r="A601" s="21">
        <v>45426.009722000003</v>
      </c>
      <c r="B601" s="18">
        <v>64.248238999999998</v>
      </c>
    </row>
    <row r="602" spans="1:2" x14ac:dyDescent="0.3">
      <c r="A602" s="21">
        <v>45426.010416999998</v>
      </c>
      <c r="B602" s="18">
        <v>64.752790000000005</v>
      </c>
    </row>
    <row r="603" spans="1:2" x14ac:dyDescent="0.3">
      <c r="A603" s="21">
        <v>45426.011111</v>
      </c>
      <c r="B603" s="18">
        <v>64.741237999999996</v>
      </c>
    </row>
    <row r="604" spans="1:2" x14ac:dyDescent="0.3">
      <c r="A604" s="21">
        <v>45426.011806000002</v>
      </c>
      <c r="B604" s="18">
        <v>64.158281000000002</v>
      </c>
    </row>
    <row r="605" spans="1:2" x14ac:dyDescent="0.3">
      <c r="A605" s="21">
        <v>45426.012499999997</v>
      </c>
      <c r="B605" s="18">
        <v>64.998603000000003</v>
      </c>
    </row>
    <row r="606" spans="1:2" x14ac:dyDescent="0.3">
      <c r="A606" s="21">
        <v>45426.013193999999</v>
      </c>
      <c r="B606" s="18">
        <v>63.911928000000003</v>
      </c>
    </row>
    <row r="607" spans="1:2" x14ac:dyDescent="0.3">
      <c r="A607" s="21">
        <v>45426.013889000002</v>
      </c>
      <c r="B607" s="18">
        <v>64.880206999999999</v>
      </c>
    </row>
    <row r="608" spans="1:2" x14ac:dyDescent="0.3">
      <c r="A608" s="21">
        <v>45426.014582999996</v>
      </c>
      <c r="B608" s="18">
        <v>65.948849999999993</v>
      </c>
    </row>
    <row r="609" spans="1:2" x14ac:dyDescent="0.3">
      <c r="A609" s="21">
        <v>45426.015277999999</v>
      </c>
      <c r="B609" s="18">
        <v>64.290111999999993</v>
      </c>
    </row>
    <row r="610" spans="1:2" x14ac:dyDescent="0.3">
      <c r="A610" s="21">
        <v>45426.015972000001</v>
      </c>
      <c r="B610" s="18">
        <v>64.460451000000006</v>
      </c>
    </row>
    <row r="611" spans="1:2" x14ac:dyDescent="0.3">
      <c r="A611" s="21">
        <v>45426.016667000004</v>
      </c>
      <c r="B611" s="18">
        <v>65.955354</v>
      </c>
    </row>
    <row r="612" spans="1:2" x14ac:dyDescent="0.3">
      <c r="A612" s="21">
        <v>45426.017360999998</v>
      </c>
      <c r="B612" s="18">
        <v>69.127925000000005</v>
      </c>
    </row>
    <row r="613" spans="1:2" x14ac:dyDescent="0.3">
      <c r="A613" s="21">
        <v>45426.018056000001</v>
      </c>
      <c r="B613" s="18">
        <v>68.823744000000005</v>
      </c>
    </row>
    <row r="614" spans="1:2" x14ac:dyDescent="0.3">
      <c r="A614" s="21">
        <v>45426.018750000003</v>
      </c>
      <c r="B614" s="18">
        <v>70.110097999999994</v>
      </c>
    </row>
    <row r="615" spans="1:2" x14ac:dyDescent="0.3">
      <c r="A615" s="21">
        <v>45426.019443999998</v>
      </c>
      <c r="B615" s="18">
        <v>69.695165000000003</v>
      </c>
    </row>
    <row r="616" spans="1:2" x14ac:dyDescent="0.3">
      <c r="A616" s="21">
        <v>45426.020139</v>
      </c>
      <c r="B616" s="18">
        <v>70.018669000000003</v>
      </c>
    </row>
    <row r="617" spans="1:2" x14ac:dyDescent="0.3">
      <c r="A617" s="21">
        <v>45426.020833000002</v>
      </c>
      <c r="B617" s="18">
        <v>69.992928000000006</v>
      </c>
    </row>
    <row r="618" spans="1:2" x14ac:dyDescent="0.3">
      <c r="A618" s="21">
        <v>45426.021527999997</v>
      </c>
      <c r="B618" s="18">
        <v>69.815284000000005</v>
      </c>
    </row>
    <row r="619" spans="1:2" x14ac:dyDescent="0.3">
      <c r="A619" s="21">
        <v>45426.022222</v>
      </c>
      <c r="B619" s="18">
        <v>69.872805</v>
      </c>
    </row>
    <row r="620" spans="1:2" x14ac:dyDescent="0.3">
      <c r="A620" s="21">
        <v>45426.022917000002</v>
      </c>
      <c r="B620" s="18">
        <v>69.731508000000005</v>
      </c>
    </row>
    <row r="621" spans="1:2" x14ac:dyDescent="0.3">
      <c r="A621" s="21">
        <v>45426.023610999997</v>
      </c>
      <c r="B621" s="18">
        <v>68.116748999999999</v>
      </c>
    </row>
    <row r="622" spans="1:2" x14ac:dyDescent="0.3">
      <c r="A622" s="21">
        <v>45426.024305999999</v>
      </c>
      <c r="B622" s="18">
        <v>70.164755999999997</v>
      </c>
    </row>
    <row r="623" spans="1:2" x14ac:dyDescent="0.3">
      <c r="A623" s="21">
        <v>45426.025000000001</v>
      </c>
      <c r="B623" s="18">
        <v>69.175835000000006</v>
      </c>
    </row>
    <row r="624" spans="1:2" x14ac:dyDescent="0.3">
      <c r="A624" s="21">
        <v>45426.025694000004</v>
      </c>
      <c r="B624" s="18">
        <v>69.310241000000005</v>
      </c>
    </row>
    <row r="625" spans="1:2" x14ac:dyDescent="0.3">
      <c r="A625" s="21">
        <v>45426.026388999999</v>
      </c>
      <c r="B625" s="18">
        <v>69.981510999999998</v>
      </c>
    </row>
    <row r="626" spans="1:2" x14ac:dyDescent="0.3">
      <c r="A626" s="21">
        <v>45426.027083000001</v>
      </c>
      <c r="B626" s="18">
        <v>69.489760000000004</v>
      </c>
    </row>
    <row r="627" spans="1:2" x14ac:dyDescent="0.3">
      <c r="A627" s="21">
        <v>45426.027778000003</v>
      </c>
      <c r="B627" s="18">
        <v>69.153912000000005</v>
      </c>
    </row>
    <row r="628" spans="1:2" x14ac:dyDescent="0.3">
      <c r="A628" s="21">
        <v>45426.028471999998</v>
      </c>
      <c r="B628" s="18">
        <v>70.008960999999999</v>
      </c>
    </row>
    <row r="629" spans="1:2" x14ac:dyDescent="0.3">
      <c r="A629" s="21">
        <v>45426.029167000001</v>
      </c>
      <c r="B629" s="18">
        <v>69.712104999999994</v>
      </c>
    </row>
    <row r="630" spans="1:2" x14ac:dyDescent="0.3">
      <c r="A630" s="21">
        <v>45426.029861000003</v>
      </c>
      <c r="B630" s="18">
        <v>70.437456999999995</v>
      </c>
    </row>
    <row r="631" spans="1:2" x14ac:dyDescent="0.3">
      <c r="A631" s="21">
        <v>45426.030555999998</v>
      </c>
      <c r="B631" s="18">
        <v>68.493018000000006</v>
      </c>
    </row>
    <row r="632" spans="1:2" x14ac:dyDescent="0.3">
      <c r="A632" s="21">
        <v>45426.03125</v>
      </c>
      <c r="B632" s="18">
        <v>70.042548999999994</v>
      </c>
    </row>
    <row r="633" spans="1:2" x14ac:dyDescent="0.3">
      <c r="A633" s="21">
        <v>45426.031944000002</v>
      </c>
      <c r="B633" s="18">
        <v>70.105716000000001</v>
      </c>
    </row>
    <row r="634" spans="1:2" x14ac:dyDescent="0.3">
      <c r="A634" s="21">
        <v>45426.032638999997</v>
      </c>
      <c r="B634" s="18">
        <v>69.911923999999999</v>
      </c>
    </row>
    <row r="635" spans="1:2" x14ac:dyDescent="0.3">
      <c r="A635" s="21">
        <v>45426.033332999999</v>
      </c>
      <c r="B635" s="18">
        <v>69.036848000000006</v>
      </c>
    </row>
    <row r="636" spans="1:2" x14ac:dyDescent="0.3">
      <c r="A636" s="21">
        <v>45426.034028000002</v>
      </c>
      <c r="B636" s="18">
        <v>69.083699999999993</v>
      </c>
    </row>
    <row r="637" spans="1:2" x14ac:dyDescent="0.3">
      <c r="A637" s="21">
        <v>45426.034721999997</v>
      </c>
      <c r="B637" s="18">
        <v>68.985499000000004</v>
      </c>
    </row>
    <row r="638" spans="1:2" x14ac:dyDescent="0.3">
      <c r="A638" s="21">
        <v>45426.035416999999</v>
      </c>
      <c r="B638" s="18">
        <v>69.572678999999994</v>
      </c>
    </row>
    <row r="639" spans="1:2" x14ac:dyDescent="0.3">
      <c r="A639" s="21">
        <v>45426.036111000001</v>
      </c>
      <c r="B639" s="18">
        <v>68.471541000000002</v>
      </c>
    </row>
    <row r="640" spans="1:2" x14ac:dyDescent="0.3">
      <c r="A640" s="21">
        <v>45426.036805999996</v>
      </c>
      <c r="B640" s="18">
        <v>69.154556999999997</v>
      </c>
    </row>
    <row r="641" spans="1:2" x14ac:dyDescent="0.3">
      <c r="A641" s="21">
        <v>45426.037499999999</v>
      </c>
      <c r="B641" s="18">
        <v>69.749942000000004</v>
      </c>
    </row>
    <row r="642" spans="1:2" x14ac:dyDescent="0.3">
      <c r="A642" s="21">
        <v>45426.038194000001</v>
      </c>
      <c r="B642" s="18">
        <v>69.966275999999993</v>
      </c>
    </row>
    <row r="643" spans="1:2" x14ac:dyDescent="0.3">
      <c r="A643" s="21">
        <v>45426.038889000003</v>
      </c>
      <c r="B643" s="18">
        <v>69.254154999999997</v>
      </c>
    </row>
    <row r="644" spans="1:2" x14ac:dyDescent="0.3">
      <c r="A644" s="21">
        <v>45426.039582999998</v>
      </c>
      <c r="B644" s="18">
        <v>69.363726</v>
      </c>
    </row>
    <row r="645" spans="1:2" x14ac:dyDescent="0.3">
      <c r="A645" s="21">
        <v>45426.040278</v>
      </c>
      <c r="B645" s="18">
        <v>69.433528999999993</v>
      </c>
    </row>
    <row r="646" spans="1:2" x14ac:dyDescent="0.3">
      <c r="A646" s="21">
        <v>45426.040972000003</v>
      </c>
      <c r="B646" s="18">
        <v>68.930577</v>
      </c>
    </row>
    <row r="647" spans="1:2" x14ac:dyDescent="0.3">
      <c r="A647" s="21">
        <v>45426.041666999998</v>
      </c>
      <c r="B647" s="18">
        <v>69.386731999999995</v>
      </c>
    </row>
    <row r="648" spans="1:2" x14ac:dyDescent="0.3">
      <c r="A648" s="21">
        <v>45426.042361</v>
      </c>
      <c r="B648" s="18">
        <v>69.038351000000006</v>
      </c>
    </row>
    <row r="649" spans="1:2" x14ac:dyDescent="0.3">
      <c r="A649" s="21">
        <v>45426.043056000002</v>
      </c>
      <c r="B649" s="18">
        <v>68.828534000000005</v>
      </c>
    </row>
    <row r="650" spans="1:2" x14ac:dyDescent="0.3">
      <c r="A650" s="21">
        <v>45426.043749999997</v>
      </c>
      <c r="B650" s="18">
        <v>69.186481000000001</v>
      </c>
    </row>
    <row r="651" spans="1:2" x14ac:dyDescent="0.3">
      <c r="A651" s="21">
        <v>45426.044443999999</v>
      </c>
      <c r="B651" s="18">
        <v>69.149912</v>
      </c>
    </row>
    <row r="652" spans="1:2" x14ac:dyDescent="0.3">
      <c r="A652" s="21">
        <v>45426.045139000002</v>
      </c>
      <c r="B652" s="18">
        <v>69.700985000000003</v>
      </c>
    </row>
    <row r="653" spans="1:2" x14ac:dyDescent="0.3">
      <c r="A653" s="21">
        <v>45426.045832999996</v>
      </c>
      <c r="B653" s="18">
        <v>68.203962000000004</v>
      </c>
    </row>
    <row r="654" spans="1:2" x14ac:dyDescent="0.3">
      <c r="A654" s="21">
        <v>45426.046527999999</v>
      </c>
      <c r="B654" s="18">
        <v>69.168873000000005</v>
      </c>
    </row>
    <row r="655" spans="1:2" x14ac:dyDescent="0.3">
      <c r="A655" s="21">
        <v>45426.047222000001</v>
      </c>
      <c r="B655" s="18">
        <v>69.288403000000002</v>
      </c>
    </row>
    <row r="656" spans="1:2" x14ac:dyDescent="0.3">
      <c r="A656" s="21">
        <v>45426.047917000004</v>
      </c>
      <c r="B656" s="18">
        <v>68.759778999999995</v>
      </c>
    </row>
    <row r="657" spans="1:2" x14ac:dyDescent="0.3">
      <c r="A657" s="21">
        <v>45426.048610999998</v>
      </c>
      <c r="B657" s="18">
        <v>69.675323000000006</v>
      </c>
    </row>
    <row r="658" spans="1:2" x14ac:dyDescent="0.3">
      <c r="A658" s="21">
        <v>45426.049306000001</v>
      </c>
      <c r="B658" s="18">
        <v>68.829363999999998</v>
      </c>
    </row>
    <row r="659" spans="1:2" x14ac:dyDescent="0.3">
      <c r="A659" s="21">
        <v>45426.05</v>
      </c>
      <c r="B659" s="18">
        <v>68.762163999999999</v>
      </c>
    </row>
    <row r="660" spans="1:2" x14ac:dyDescent="0.3">
      <c r="A660" s="21">
        <v>45426.050693999998</v>
      </c>
      <c r="B660" s="18">
        <v>69.129911000000007</v>
      </c>
    </row>
    <row r="661" spans="1:2" x14ac:dyDescent="0.3">
      <c r="A661" s="21">
        <v>45426.051389</v>
      </c>
      <c r="B661" s="18">
        <v>69.781591000000006</v>
      </c>
    </row>
    <row r="662" spans="1:2" x14ac:dyDescent="0.3">
      <c r="A662" s="21">
        <v>45426.052083000002</v>
      </c>
      <c r="B662" s="18">
        <v>68.800892000000005</v>
      </c>
    </row>
    <row r="663" spans="1:2" x14ac:dyDescent="0.3">
      <c r="A663" s="21">
        <v>45426.052777999997</v>
      </c>
      <c r="B663" s="18">
        <v>68.430195999999995</v>
      </c>
    </row>
    <row r="664" spans="1:2" x14ac:dyDescent="0.3">
      <c r="A664" s="21">
        <v>45426.053472</v>
      </c>
      <c r="B664" s="18">
        <v>69.489222999999996</v>
      </c>
    </row>
    <row r="665" spans="1:2" x14ac:dyDescent="0.3">
      <c r="A665" s="21">
        <v>45426.054167000002</v>
      </c>
      <c r="B665" s="18">
        <v>70.020962999999995</v>
      </c>
    </row>
    <row r="666" spans="1:2" x14ac:dyDescent="0.3">
      <c r="A666" s="21">
        <v>45426.054860999997</v>
      </c>
      <c r="B666" s="18">
        <v>69.213504</v>
      </c>
    </row>
    <row r="667" spans="1:2" x14ac:dyDescent="0.3">
      <c r="A667" s="21">
        <v>45426.055555999999</v>
      </c>
      <c r="B667" s="18">
        <v>68.760176999999999</v>
      </c>
    </row>
    <row r="668" spans="1:2" x14ac:dyDescent="0.3">
      <c r="A668" s="21">
        <v>45426.056250000001</v>
      </c>
      <c r="B668" s="18">
        <v>69.114074000000002</v>
      </c>
    </row>
    <row r="669" spans="1:2" x14ac:dyDescent="0.3">
      <c r="A669" s="21">
        <v>45426.056944000004</v>
      </c>
      <c r="B669" s="18">
        <v>67.752989999999997</v>
      </c>
    </row>
    <row r="670" spans="1:2" x14ac:dyDescent="0.3">
      <c r="A670" s="21">
        <v>45426.057638999999</v>
      </c>
      <c r="B670" s="18">
        <v>70.356317000000004</v>
      </c>
    </row>
    <row r="671" spans="1:2" x14ac:dyDescent="0.3">
      <c r="A671" s="21">
        <v>45426.058333000001</v>
      </c>
      <c r="B671" s="18">
        <v>69.193777999999995</v>
      </c>
    </row>
    <row r="672" spans="1:2" x14ac:dyDescent="0.3">
      <c r="A672" s="21">
        <v>45426.059028000003</v>
      </c>
      <c r="B672" s="18">
        <v>69.616736000000003</v>
      </c>
    </row>
    <row r="673" spans="1:2" x14ac:dyDescent="0.3">
      <c r="A673" s="21">
        <v>45426.059721999998</v>
      </c>
      <c r="B673" s="18">
        <v>68.956372999999999</v>
      </c>
    </row>
    <row r="674" spans="1:2" x14ac:dyDescent="0.3">
      <c r="A674" s="21">
        <v>45426.060417000001</v>
      </c>
      <c r="B674" s="18">
        <v>68.461906999999997</v>
      </c>
    </row>
    <row r="675" spans="1:2" x14ac:dyDescent="0.3">
      <c r="A675" s="21">
        <v>45426.061111000003</v>
      </c>
      <c r="B675" s="18">
        <v>68.571714999999998</v>
      </c>
    </row>
    <row r="676" spans="1:2" x14ac:dyDescent="0.3">
      <c r="A676" s="21">
        <v>45426.061805999998</v>
      </c>
      <c r="B676" s="18">
        <v>69.975038999999995</v>
      </c>
    </row>
    <row r="677" spans="1:2" x14ac:dyDescent="0.3">
      <c r="A677" s="21">
        <v>45426.0625</v>
      </c>
      <c r="B677" s="18">
        <v>68.591391999999999</v>
      </c>
    </row>
    <row r="678" spans="1:2" x14ac:dyDescent="0.3">
      <c r="A678" s="21">
        <v>45426.063194000002</v>
      </c>
      <c r="B678" s="18">
        <v>69.099211999999994</v>
      </c>
    </row>
    <row r="679" spans="1:2" x14ac:dyDescent="0.3">
      <c r="A679" s="21">
        <v>45426.063888999997</v>
      </c>
      <c r="B679" s="18">
        <v>69.746975000000006</v>
      </c>
    </row>
    <row r="680" spans="1:2" x14ac:dyDescent="0.3">
      <c r="A680" s="21">
        <v>45426.064582999999</v>
      </c>
      <c r="B680" s="18">
        <v>68.892245000000003</v>
      </c>
    </row>
    <row r="681" spans="1:2" x14ac:dyDescent="0.3">
      <c r="A681" s="21">
        <v>45426.065278000002</v>
      </c>
      <c r="B681" s="18">
        <v>69.128292000000002</v>
      </c>
    </row>
    <row r="682" spans="1:2" x14ac:dyDescent="0.3">
      <c r="A682" s="21">
        <v>45426.065971999997</v>
      </c>
      <c r="B682" s="18">
        <v>69.408260999999996</v>
      </c>
    </row>
    <row r="683" spans="1:2" x14ac:dyDescent="0.3">
      <c r="A683" s="21">
        <v>45426.066666999999</v>
      </c>
      <c r="B683" s="18">
        <v>68.895632000000006</v>
      </c>
    </row>
    <row r="684" spans="1:2" x14ac:dyDescent="0.3">
      <c r="A684" s="21">
        <v>45426.067361000001</v>
      </c>
      <c r="B684" s="18">
        <v>69.094131000000004</v>
      </c>
    </row>
    <row r="685" spans="1:2" x14ac:dyDescent="0.3">
      <c r="A685" s="21">
        <v>45426.068055999996</v>
      </c>
      <c r="B685" s="18">
        <v>69.234121000000002</v>
      </c>
    </row>
    <row r="686" spans="1:2" x14ac:dyDescent="0.3">
      <c r="A686" s="21">
        <v>45426.068749999999</v>
      </c>
      <c r="B686" s="18">
        <v>68.739654999999999</v>
      </c>
    </row>
    <row r="687" spans="1:2" x14ac:dyDescent="0.3">
      <c r="A687" s="21">
        <v>45426.069444000001</v>
      </c>
      <c r="B687" s="18">
        <v>69.304668000000007</v>
      </c>
    </row>
    <row r="688" spans="1:2" x14ac:dyDescent="0.3">
      <c r="A688" s="21">
        <v>45426.070139000003</v>
      </c>
      <c r="B688" s="18">
        <v>69.208158999999995</v>
      </c>
    </row>
    <row r="689" spans="1:2" x14ac:dyDescent="0.3">
      <c r="A689" s="21">
        <v>45426.070832999998</v>
      </c>
      <c r="B689" s="18">
        <v>69.211943000000005</v>
      </c>
    </row>
    <row r="690" spans="1:2" x14ac:dyDescent="0.3">
      <c r="A690" s="21">
        <v>45426.071528</v>
      </c>
      <c r="B690" s="18">
        <v>69.313406999999998</v>
      </c>
    </row>
    <row r="691" spans="1:2" x14ac:dyDescent="0.3">
      <c r="A691" s="21">
        <v>45426.072222000003</v>
      </c>
      <c r="B691" s="18">
        <v>69.109756000000004</v>
      </c>
    </row>
    <row r="692" spans="1:2" x14ac:dyDescent="0.3">
      <c r="A692" s="21">
        <v>45426.072916999998</v>
      </c>
      <c r="B692" s="18">
        <v>69.719988999999998</v>
      </c>
    </row>
    <row r="693" spans="1:2" x14ac:dyDescent="0.3">
      <c r="A693" s="21">
        <v>45426.073611</v>
      </c>
      <c r="B693" s="18">
        <v>68.870069999999998</v>
      </c>
    </row>
    <row r="694" spans="1:2" x14ac:dyDescent="0.3">
      <c r="A694" s="21">
        <v>45426.074306000002</v>
      </c>
      <c r="B694" s="18">
        <v>68.503851999999995</v>
      </c>
    </row>
    <row r="695" spans="1:2" x14ac:dyDescent="0.3">
      <c r="A695" s="21">
        <v>45426.074999999997</v>
      </c>
      <c r="B695" s="18">
        <v>69.437803000000002</v>
      </c>
    </row>
    <row r="696" spans="1:2" x14ac:dyDescent="0.3">
      <c r="A696" s="21">
        <v>45426.075693999999</v>
      </c>
      <c r="B696" s="18">
        <v>69.687807000000006</v>
      </c>
    </row>
    <row r="697" spans="1:2" x14ac:dyDescent="0.3">
      <c r="A697" s="21">
        <v>45426.076389000002</v>
      </c>
      <c r="B697" s="18">
        <v>68.213278000000003</v>
      </c>
    </row>
    <row r="698" spans="1:2" x14ac:dyDescent="0.3">
      <c r="A698" s="21">
        <v>45426.077082999996</v>
      </c>
      <c r="B698" s="18">
        <v>67.852189999999993</v>
      </c>
    </row>
    <row r="699" spans="1:2" x14ac:dyDescent="0.3">
      <c r="A699" s="21">
        <v>45426.077777999999</v>
      </c>
      <c r="B699" s="18">
        <v>70.060833000000002</v>
      </c>
    </row>
    <row r="700" spans="1:2" x14ac:dyDescent="0.3">
      <c r="A700" s="21">
        <v>45426.078472000001</v>
      </c>
      <c r="B700" s="18">
        <v>69.638262999999995</v>
      </c>
    </row>
    <row r="701" spans="1:2" x14ac:dyDescent="0.3">
      <c r="A701" s="21">
        <v>45426.079167000004</v>
      </c>
      <c r="B701" s="18">
        <v>68.652574000000001</v>
      </c>
    </row>
    <row r="702" spans="1:2" x14ac:dyDescent="0.3">
      <c r="A702" s="21">
        <v>45426.079860999998</v>
      </c>
      <c r="B702" s="18">
        <v>69.643721999999997</v>
      </c>
    </row>
    <row r="703" spans="1:2" x14ac:dyDescent="0.3">
      <c r="A703" s="21">
        <v>45426.080556000001</v>
      </c>
      <c r="B703" s="18">
        <v>67.704586000000006</v>
      </c>
    </row>
    <row r="704" spans="1:2" x14ac:dyDescent="0.3">
      <c r="A704" s="21">
        <v>45426.081250000003</v>
      </c>
      <c r="B704" s="18">
        <v>69.193915000000004</v>
      </c>
    </row>
    <row r="705" spans="1:2" x14ac:dyDescent="0.3">
      <c r="A705" s="21">
        <v>45426.081943999998</v>
      </c>
      <c r="B705" s="18">
        <v>69.015303000000003</v>
      </c>
    </row>
    <row r="706" spans="1:2" x14ac:dyDescent="0.3">
      <c r="A706" s="21">
        <v>45426.082639</v>
      </c>
      <c r="B706" s="18">
        <v>68.847671000000005</v>
      </c>
    </row>
    <row r="707" spans="1:2" x14ac:dyDescent="0.3">
      <c r="A707" s="21">
        <v>45426.083333000002</v>
      </c>
      <c r="B707" s="18">
        <v>69.314329000000001</v>
      </c>
    </row>
    <row r="708" spans="1:2" x14ac:dyDescent="0.3">
      <c r="A708" s="21">
        <v>45426.084027999997</v>
      </c>
      <c r="B708" s="18">
        <v>68.313579000000004</v>
      </c>
    </row>
    <row r="709" spans="1:2" x14ac:dyDescent="0.3">
      <c r="A709" s="21">
        <v>45426.084722</v>
      </c>
      <c r="B709" s="18">
        <v>68.646405999999999</v>
      </c>
    </row>
    <row r="710" spans="1:2" x14ac:dyDescent="0.3">
      <c r="A710" s="21">
        <v>45426.085417000002</v>
      </c>
      <c r="B710" s="18">
        <v>69.089005999999998</v>
      </c>
    </row>
    <row r="711" spans="1:2" x14ac:dyDescent="0.3">
      <c r="A711" s="21">
        <v>45426.086110999997</v>
      </c>
      <c r="B711" s="18">
        <v>69.519161999999994</v>
      </c>
    </row>
    <row r="712" spans="1:2" x14ac:dyDescent="0.3">
      <c r="A712" s="21">
        <v>45426.086805999999</v>
      </c>
      <c r="B712" s="18">
        <v>69.262794</v>
      </c>
    </row>
    <row r="713" spans="1:2" x14ac:dyDescent="0.3">
      <c r="A713" s="21">
        <v>45426.087500000001</v>
      </c>
      <c r="B713" s="18">
        <v>69.330374000000006</v>
      </c>
    </row>
    <row r="714" spans="1:2" x14ac:dyDescent="0.3">
      <c r="A714" s="21">
        <v>45426.088194000004</v>
      </c>
      <c r="B714" s="18">
        <v>68.013195999999994</v>
      </c>
    </row>
    <row r="715" spans="1:2" x14ac:dyDescent="0.3">
      <c r="A715" s="21">
        <v>45426.088888999999</v>
      </c>
      <c r="B715" s="18">
        <v>68.551023000000001</v>
      </c>
    </row>
    <row r="716" spans="1:2" x14ac:dyDescent="0.3">
      <c r="A716" s="21">
        <v>45426.089583000001</v>
      </c>
      <c r="B716" s="18">
        <v>69.630449999999996</v>
      </c>
    </row>
    <row r="717" spans="1:2" x14ac:dyDescent="0.3">
      <c r="A717" s="21">
        <v>45426.090278000003</v>
      </c>
      <c r="B717" s="18">
        <v>67.822537999999994</v>
      </c>
    </row>
    <row r="718" spans="1:2" x14ac:dyDescent="0.3">
      <c r="A718" s="21">
        <v>45426.090971999998</v>
      </c>
      <c r="B718" s="18">
        <v>69.468856000000002</v>
      </c>
    </row>
    <row r="719" spans="1:2" x14ac:dyDescent="0.3">
      <c r="A719" s="21">
        <v>45426.091667000001</v>
      </c>
      <c r="B719" s="18">
        <v>69.211274000000003</v>
      </c>
    </row>
    <row r="720" spans="1:2" x14ac:dyDescent="0.3">
      <c r="A720" s="21">
        <v>45426.092361000003</v>
      </c>
      <c r="B720" s="18">
        <v>69.014094999999998</v>
      </c>
    </row>
    <row r="721" spans="1:2" x14ac:dyDescent="0.3">
      <c r="A721" s="21">
        <v>45426.093055999998</v>
      </c>
      <c r="B721" s="18">
        <v>69.777234000000007</v>
      </c>
    </row>
    <row r="722" spans="1:2" x14ac:dyDescent="0.3">
      <c r="A722" s="21">
        <v>45426.09375</v>
      </c>
      <c r="B722" s="18">
        <v>69.082937000000001</v>
      </c>
    </row>
    <row r="723" spans="1:2" x14ac:dyDescent="0.3">
      <c r="A723" s="21">
        <v>45426.094444000002</v>
      </c>
      <c r="B723" s="18">
        <v>67.591577999999998</v>
      </c>
    </row>
    <row r="724" spans="1:2" x14ac:dyDescent="0.3">
      <c r="A724" s="21">
        <v>45426.095138999997</v>
      </c>
      <c r="B724" s="18">
        <v>69.036664999999999</v>
      </c>
    </row>
    <row r="725" spans="1:2" x14ac:dyDescent="0.3">
      <c r="A725" s="21">
        <v>45426.095832999999</v>
      </c>
      <c r="B725" s="18">
        <v>69.184971000000004</v>
      </c>
    </row>
    <row r="726" spans="1:2" x14ac:dyDescent="0.3">
      <c r="A726" s="21">
        <v>45426.096528000002</v>
      </c>
      <c r="B726" s="18">
        <v>68.774247000000003</v>
      </c>
    </row>
    <row r="727" spans="1:2" x14ac:dyDescent="0.3">
      <c r="A727" s="21">
        <v>45426.097221999997</v>
      </c>
      <c r="B727" s="18">
        <v>68.485945999999998</v>
      </c>
    </row>
    <row r="728" spans="1:2" x14ac:dyDescent="0.3">
      <c r="A728" s="21">
        <v>45426.097916999999</v>
      </c>
      <c r="B728" s="18">
        <v>68.910370999999998</v>
      </c>
    </row>
    <row r="729" spans="1:2" x14ac:dyDescent="0.3">
      <c r="A729" s="21">
        <v>45426.098611000001</v>
      </c>
      <c r="B729" s="18">
        <v>69.581890999999999</v>
      </c>
    </row>
    <row r="730" spans="1:2" x14ac:dyDescent="0.3">
      <c r="A730" s="21">
        <v>45426.099305999996</v>
      </c>
      <c r="B730" s="18">
        <v>68.756676999999996</v>
      </c>
    </row>
    <row r="731" spans="1:2" x14ac:dyDescent="0.3">
      <c r="A731" s="21">
        <v>45426.1</v>
      </c>
      <c r="B731" s="18">
        <v>69.329691999999994</v>
      </c>
    </row>
    <row r="732" spans="1:2" x14ac:dyDescent="0.3">
      <c r="A732" s="21">
        <v>45426.100694000001</v>
      </c>
      <c r="B732" s="18">
        <v>73.308667999999997</v>
      </c>
    </row>
    <row r="733" spans="1:2" x14ac:dyDescent="0.3">
      <c r="A733" s="21">
        <v>45426.101389000003</v>
      </c>
      <c r="B733" s="18">
        <v>73.529705000000007</v>
      </c>
    </row>
    <row r="734" spans="1:2" x14ac:dyDescent="0.3">
      <c r="A734" s="21">
        <v>45426.102082999998</v>
      </c>
      <c r="B734" s="18">
        <v>73.968710999999999</v>
      </c>
    </row>
    <row r="735" spans="1:2" x14ac:dyDescent="0.3">
      <c r="A735" s="21">
        <v>45426.102778</v>
      </c>
      <c r="B735" s="18">
        <v>74.287255000000002</v>
      </c>
    </row>
    <row r="736" spans="1:2" x14ac:dyDescent="0.3">
      <c r="A736" s="21">
        <v>45426.103472000003</v>
      </c>
      <c r="B736" s="18">
        <v>73.488140000000001</v>
      </c>
    </row>
    <row r="737" spans="1:2" x14ac:dyDescent="0.3">
      <c r="A737" s="21">
        <v>45426.104166999998</v>
      </c>
      <c r="B737" s="18">
        <v>74.107376000000002</v>
      </c>
    </row>
    <row r="738" spans="1:2" x14ac:dyDescent="0.3">
      <c r="A738" s="21">
        <v>45426.104861</v>
      </c>
      <c r="B738" s="18">
        <v>74.636266000000006</v>
      </c>
    </row>
    <row r="739" spans="1:2" x14ac:dyDescent="0.3">
      <c r="A739" s="21">
        <v>45426.105556000002</v>
      </c>
      <c r="B739" s="18">
        <v>74.247579000000002</v>
      </c>
    </row>
    <row r="740" spans="1:2" x14ac:dyDescent="0.3">
      <c r="A740" s="21">
        <v>45426.106249999997</v>
      </c>
      <c r="B740" s="18">
        <v>74.830988000000005</v>
      </c>
    </row>
    <row r="741" spans="1:2" x14ac:dyDescent="0.3">
      <c r="A741" s="21">
        <v>45426.106943999999</v>
      </c>
      <c r="B741" s="18">
        <v>74.882998999999998</v>
      </c>
    </row>
    <row r="742" spans="1:2" x14ac:dyDescent="0.3">
      <c r="A742" s="21">
        <v>45426.107639000002</v>
      </c>
      <c r="B742" s="18">
        <v>73.721278999999996</v>
      </c>
    </row>
    <row r="743" spans="1:2" x14ac:dyDescent="0.3">
      <c r="A743" s="21">
        <v>45426.108332999996</v>
      </c>
      <c r="B743" s="18">
        <v>74.186599000000001</v>
      </c>
    </row>
    <row r="744" spans="1:2" x14ac:dyDescent="0.3">
      <c r="A744" s="21">
        <v>45426.109027999999</v>
      </c>
      <c r="B744" s="18">
        <v>73.737335999999999</v>
      </c>
    </row>
    <row r="745" spans="1:2" x14ac:dyDescent="0.3">
      <c r="A745" s="21">
        <v>45426.109722000001</v>
      </c>
      <c r="B745" s="18">
        <v>74.039989000000006</v>
      </c>
    </row>
    <row r="746" spans="1:2" x14ac:dyDescent="0.3">
      <c r="A746" s="21">
        <v>45426.110417000004</v>
      </c>
      <c r="B746" s="18">
        <v>73.094260000000006</v>
      </c>
    </row>
    <row r="747" spans="1:2" x14ac:dyDescent="0.3">
      <c r="A747" s="21">
        <v>45426.111110999998</v>
      </c>
      <c r="B747" s="18">
        <v>74.334969000000001</v>
      </c>
    </row>
    <row r="748" spans="1:2" x14ac:dyDescent="0.3">
      <c r="A748" s="21">
        <v>45426.111806000001</v>
      </c>
      <c r="B748" s="18">
        <v>74.795343000000003</v>
      </c>
    </row>
    <row r="749" spans="1:2" x14ac:dyDescent="0.3">
      <c r="A749" s="21">
        <v>45426.112500000003</v>
      </c>
      <c r="B749" s="18">
        <v>74.316950000000006</v>
      </c>
    </row>
    <row r="750" spans="1:2" x14ac:dyDescent="0.3">
      <c r="A750" s="21">
        <v>45426.113193999998</v>
      </c>
      <c r="B750" s="18">
        <v>73.833072000000001</v>
      </c>
    </row>
    <row r="751" spans="1:2" x14ac:dyDescent="0.3">
      <c r="A751" s="21">
        <v>45426.113889</v>
      </c>
      <c r="B751" s="18">
        <v>75.395291</v>
      </c>
    </row>
    <row r="752" spans="1:2" x14ac:dyDescent="0.3">
      <c r="A752" s="21">
        <v>45426.114583000002</v>
      </c>
      <c r="B752" s="18">
        <v>73.670991000000001</v>
      </c>
    </row>
    <row r="753" spans="1:2" x14ac:dyDescent="0.3">
      <c r="A753" s="21">
        <v>45426.115277999997</v>
      </c>
      <c r="B753" s="18">
        <v>73.302964000000003</v>
      </c>
    </row>
    <row r="754" spans="1:2" x14ac:dyDescent="0.3">
      <c r="A754" s="21">
        <v>45426.115972</v>
      </c>
      <c r="B754" s="18">
        <v>73.944237999999999</v>
      </c>
    </row>
    <row r="755" spans="1:2" x14ac:dyDescent="0.3">
      <c r="A755" s="21">
        <v>45426.116667000002</v>
      </c>
      <c r="B755" s="18">
        <v>73.526859000000002</v>
      </c>
    </row>
    <row r="756" spans="1:2" x14ac:dyDescent="0.3">
      <c r="A756" s="21">
        <v>45426.117360999997</v>
      </c>
      <c r="B756" s="18">
        <v>73.072909999999993</v>
      </c>
    </row>
    <row r="757" spans="1:2" x14ac:dyDescent="0.3">
      <c r="A757" s="21">
        <v>45426.118055999999</v>
      </c>
      <c r="B757" s="18">
        <v>73.770678000000004</v>
      </c>
    </row>
    <row r="758" spans="1:2" x14ac:dyDescent="0.3">
      <c r="A758" s="21">
        <v>45426.118750000001</v>
      </c>
      <c r="B758" s="18">
        <v>73.750285000000005</v>
      </c>
    </row>
    <row r="759" spans="1:2" x14ac:dyDescent="0.3">
      <c r="A759" s="21">
        <v>45426.119444000004</v>
      </c>
      <c r="B759" s="18">
        <v>72.933454999999995</v>
      </c>
    </row>
    <row r="760" spans="1:2" x14ac:dyDescent="0.3">
      <c r="A760" s="21">
        <v>45426.120138999999</v>
      </c>
      <c r="B760" s="18">
        <v>72.253175999999996</v>
      </c>
    </row>
    <row r="761" spans="1:2" x14ac:dyDescent="0.3">
      <c r="A761" s="21">
        <v>45426.120833000001</v>
      </c>
      <c r="B761" s="18">
        <v>73.676941999999997</v>
      </c>
    </row>
    <row r="762" spans="1:2" x14ac:dyDescent="0.3">
      <c r="A762" s="21">
        <v>45426.121528000003</v>
      </c>
      <c r="B762" s="18">
        <v>74.058046000000004</v>
      </c>
    </row>
    <row r="763" spans="1:2" x14ac:dyDescent="0.3">
      <c r="A763" s="21">
        <v>45426.122221999998</v>
      </c>
      <c r="B763" s="18">
        <v>73.749623</v>
      </c>
    </row>
    <row r="764" spans="1:2" x14ac:dyDescent="0.3">
      <c r="A764" s="21">
        <v>45426.122917000001</v>
      </c>
      <c r="B764" s="18">
        <v>72.618514000000005</v>
      </c>
    </row>
    <row r="765" spans="1:2" x14ac:dyDescent="0.3">
      <c r="A765" s="21">
        <v>45426.123611000003</v>
      </c>
      <c r="B765" s="18">
        <v>73.177881999999997</v>
      </c>
    </row>
    <row r="766" spans="1:2" x14ac:dyDescent="0.3">
      <c r="A766" s="21">
        <v>45426.124305999998</v>
      </c>
      <c r="B766" s="18">
        <v>72.736373999999998</v>
      </c>
    </row>
    <row r="767" spans="1:2" x14ac:dyDescent="0.3">
      <c r="A767" s="21">
        <v>45426.125</v>
      </c>
      <c r="B767" s="18">
        <v>73.471593999999996</v>
      </c>
    </row>
    <row r="768" spans="1:2" x14ac:dyDescent="0.3">
      <c r="A768" s="21">
        <v>45426.125694000002</v>
      </c>
      <c r="B768" s="18">
        <v>73.235428999999996</v>
      </c>
    </row>
    <row r="769" spans="1:2" x14ac:dyDescent="0.3">
      <c r="A769" s="21">
        <v>45426.126388999997</v>
      </c>
      <c r="B769" s="18">
        <v>73.365272000000004</v>
      </c>
    </row>
    <row r="770" spans="1:2" x14ac:dyDescent="0.3">
      <c r="A770" s="21">
        <v>45426.127082999999</v>
      </c>
      <c r="B770" s="18">
        <v>74.314513000000005</v>
      </c>
    </row>
    <row r="771" spans="1:2" x14ac:dyDescent="0.3">
      <c r="A771" s="21">
        <v>45426.127778000002</v>
      </c>
      <c r="B771" s="18">
        <v>73.375293999999997</v>
      </c>
    </row>
    <row r="772" spans="1:2" x14ac:dyDescent="0.3">
      <c r="A772" s="21">
        <v>45426.128471999997</v>
      </c>
      <c r="B772" s="18">
        <v>73.204041000000004</v>
      </c>
    </row>
    <row r="773" spans="1:2" x14ac:dyDescent="0.3">
      <c r="A773" s="21">
        <v>45426.129166999999</v>
      </c>
      <c r="B773" s="18">
        <v>71.661646000000005</v>
      </c>
    </row>
    <row r="774" spans="1:2" x14ac:dyDescent="0.3">
      <c r="A774" s="21">
        <v>45426.129861000001</v>
      </c>
      <c r="B774" s="18">
        <v>73.350426999999996</v>
      </c>
    </row>
    <row r="775" spans="1:2" x14ac:dyDescent="0.3">
      <c r="A775" s="21">
        <v>45426.130555999996</v>
      </c>
      <c r="B775" s="18">
        <v>74.521090000000001</v>
      </c>
    </row>
    <row r="776" spans="1:2" x14ac:dyDescent="0.3">
      <c r="A776" s="21">
        <v>45426.131249999999</v>
      </c>
      <c r="B776" s="18">
        <v>73.610867999999996</v>
      </c>
    </row>
    <row r="777" spans="1:2" x14ac:dyDescent="0.3">
      <c r="A777" s="21">
        <v>45426.131944000001</v>
      </c>
      <c r="B777" s="18">
        <v>73.542468999999997</v>
      </c>
    </row>
    <row r="778" spans="1:2" x14ac:dyDescent="0.3">
      <c r="A778" s="21">
        <v>45426.132639000003</v>
      </c>
      <c r="B778" s="18">
        <v>73.743832999999995</v>
      </c>
    </row>
    <row r="779" spans="1:2" x14ac:dyDescent="0.3">
      <c r="A779" s="21">
        <v>45426.133332999998</v>
      </c>
      <c r="B779" s="18">
        <v>72.844587000000004</v>
      </c>
    </row>
    <row r="780" spans="1:2" x14ac:dyDescent="0.3">
      <c r="A780" s="21">
        <v>45426.134028</v>
      </c>
      <c r="B780" s="18">
        <v>72.468179000000006</v>
      </c>
    </row>
    <row r="781" spans="1:2" x14ac:dyDescent="0.3">
      <c r="A781" s="21">
        <v>45426.134722000003</v>
      </c>
      <c r="B781" s="18">
        <v>75.248290999999995</v>
      </c>
    </row>
    <row r="782" spans="1:2" x14ac:dyDescent="0.3">
      <c r="A782" s="21">
        <v>45426.135416999998</v>
      </c>
      <c r="B782" s="18">
        <v>72.619979999999998</v>
      </c>
    </row>
    <row r="783" spans="1:2" x14ac:dyDescent="0.3">
      <c r="A783" s="21">
        <v>45426.136111</v>
      </c>
      <c r="B783" s="18">
        <v>73.720934</v>
      </c>
    </row>
    <row r="784" spans="1:2" x14ac:dyDescent="0.3">
      <c r="A784" s="21">
        <v>45426.136806000002</v>
      </c>
      <c r="B784" s="18">
        <v>71.900758999999994</v>
      </c>
    </row>
    <row r="785" spans="1:2" x14ac:dyDescent="0.3">
      <c r="A785" s="21">
        <v>45426.137499999997</v>
      </c>
      <c r="B785" s="18">
        <v>72.724006000000003</v>
      </c>
    </row>
    <row r="786" spans="1:2" x14ac:dyDescent="0.3">
      <c r="A786" s="21">
        <v>45426.138193999999</v>
      </c>
      <c r="B786" s="18">
        <v>73.938930999999997</v>
      </c>
    </row>
    <row r="787" spans="1:2" x14ac:dyDescent="0.3">
      <c r="A787" s="21">
        <v>45426.138889000002</v>
      </c>
      <c r="B787" s="18">
        <v>74.032330999999999</v>
      </c>
    </row>
    <row r="788" spans="1:2" x14ac:dyDescent="0.3">
      <c r="A788" s="21">
        <v>45426.139582999996</v>
      </c>
      <c r="B788" s="18">
        <v>72.985615999999993</v>
      </c>
    </row>
    <row r="789" spans="1:2" x14ac:dyDescent="0.3">
      <c r="A789" s="21">
        <v>45426.140277999999</v>
      </c>
      <c r="B789" s="18">
        <v>72.636270999999994</v>
      </c>
    </row>
    <row r="790" spans="1:2" x14ac:dyDescent="0.3">
      <c r="A790" s="21">
        <v>45426.140972000001</v>
      </c>
      <c r="B790" s="18">
        <v>74.559556000000001</v>
      </c>
    </row>
    <row r="791" spans="1:2" x14ac:dyDescent="0.3">
      <c r="A791" s="21">
        <v>45426.141667000004</v>
      </c>
      <c r="B791" s="18">
        <v>72.232484999999997</v>
      </c>
    </row>
    <row r="792" spans="1:2" x14ac:dyDescent="0.3">
      <c r="A792" s="21">
        <v>45426.142360999998</v>
      </c>
      <c r="B792" s="18">
        <v>73.815055999999998</v>
      </c>
    </row>
    <row r="793" spans="1:2" x14ac:dyDescent="0.3">
      <c r="A793" s="21">
        <v>45426.143056000001</v>
      </c>
      <c r="B793" s="18">
        <v>74.168400000000005</v>
      </c>
    </row>
    <row r="794" spans="1:2" x14ac:dyDescent="0.3">
      <c r="A794" s="21">
        <v>45426.143750000003</v>
      </c>
      <c r="B794" s="18">
        <v>73.053392000000002</v>
      </c>
    </row>
    <row r="795" spans="1:2" x14ac:dyDescent="0.3">
      <c r="A795" s="21">
        <v>45426.144443999998</v>
      </c>
      <c r="B795" s="18">
        <v>73.041841000000005</v>
      </c>
    </row>
    <row r="796" spans="1:2" x14ac:dyDescent="0.3">
      <c r="A796" s="21">
        <v>45426.145139</v>
      </c>
      <c r="B796" s="18">
        <v>73.832014999999998</v>
      </c>
    </row>
    <row r="797" spans="1:2" x14ac:dyDescent="0.3">
      <c r="A797" s="21">
        <v>45426.145833000002</v>
      </c>
      <c r="B797" s="18">
        <v>72.440541999999994</v>
      </c>
    </row>
    <row r="798" spans="1:2" x14ac:dyDescent="0.3">
      <c r="A798" s="21">
        <v>45426.146527999997</v>
      </c>
      <c r="B798" s="18">
        <v>73.780738999999997</v>
      </c>
    </row>
    <row r="799" spans="1:2" x14ac:dyDescent="0.3">
      <c r="A799" s="21">
        <v>45426.147222</v>
      </c>
      <c r="B799" s="18">
        <v>74.303994000000003</v>
      </c>
    </row>
    <row r="800" spans="1:2" x14ac:dyDescent="0.3">
      <c r="A800" s="21">
        <v>45426.147917000002</v>
      </c>
      <c r="B800" s="18">
        <v>71.154437999999999</v>
      </c>
    </row>
    <row r="801" spans="1:2" x14ac:dyDescent="0.3">
      <c r="A801" s="21">
        <v>45426.148610999997</v>
      </c>
      <c r="B801" s="18">
        <v>72.861534000000006</v>
      </c>
    </row>
    <row r="802" spans="1:2" x14ac:dyDescent="0.3">
      <c r="A802" s="21">
        <v>45426.149305999999</v>
      </c>
      <c r="B802" s="18">
        <v>74.341840000000005</v>
      </c>
    </row>
    <row r="803" spans="1:2" x14ac:dyDescent="0.3">
      <c r="A803" s="21">
        <v>45426.15</v>
      </c>
      <c r="B803" s="18">
        <v>73.228227000000004</v>
      </c>
    </row>
    <row r="804" spans="1:2" x14ac:dyDescent="0.3">
      <c r="A804" s="21">
        <v>45426.150694000004</v>
      </c>
      <c r="B804" s="18">
        <v>72.074357000000006</v>
      </c>
    </row>
    <row r="805" spans="1:2" x14ac:dyDescent="0.3">
      <c r="A805" s="21">
        <v>45426.151388999999</v>
      </c>
      <c r="B805" s="18">
        <v>72.625603999999996</v>
      </c>
    </row>
    <row r="806" spans="1:2" x14ac:dyDescent="0.3">
      <c r="A806" s="21">
        <v>45426.152083000001</v>
      </c>
      <c r="B806" s="18">
        <v>72.282004000000001</v>
      </c>
    </row>
    <row r="807" spans="1:2" x14ac:dyDescent="0.3">
      <c r="A807" s="21">
        <v>45426.152778000003</v>
      </c>
      <c r="B807" s="18">
        <v>73.468078000000006</v>
      </c>
    </row>
    <row r="808" spans="1:2" x14ac:dyDescent="0.3">
      <c r="A808" s="21">
        <v>45426.153471999998</v>
      </c>
      <c r="B808" s="18">
        <v>73.493230999999994</v>
      </c>
    </row>
    <row r="809" spans="1:2" x14ac:dyDescent="0.3">
      <c r="A809" s="21">
        <v>45426.154167000001</v>
      </c>
      <c r="B809" s="18">
        <v>72.526278000000005</v>
      </c>
    </row>
    <row r="810" spans="1:2" x14ac:dyDescent="0.3">
      <c r="A810" s="21">
        <v>45426.154861000003</v>
      </c>
      <c r="B810" s="18">
        <v>73.118705000000006</v>
      </c>
    </row>
    <row r="811" spans="1:2" x14ac:dyDescent="0.3">
      <c r="A811" s="21">
        <v>45426.155555999998</v>
      </c>
      <c r="B811" s="18">
        <v>72.622574999999998</v>
      </c>
    </row>
    <row r="812" spans="1:2" x14ac:dyDescent="0.3">
      <c r="A812" s="21">
        <v>45426.15625</v>
      </c>
      <c r="B812" s="18">
        <v>73.702703999999997</v>
      </c>
    </row>
    <row r="813" spans="1:2" x14ac:dyDescent="0.3">
      <c r="A813" s="21">
        <v>45426.156944000002</v>
      </c>
      <c r="B813" s="18">
        <v>72.663197999999994</v>
      </c>
    </row>
    <row r="814" spans="1:2" x14ac:dyDescent="0.3">
      <c r="A814" s="21">
        <v>45426.157638999997</v>
      </c>
      <c r="B814" s="18">
        <v>73.367694999999998</v>
      </c>
    </row>
    <row r="815" spans="1:2" x14ac:dyDescent="0.3">
      <c r="A815" s="21">
        <v>45426.158332999999</v>
      </c>
      <c r="B815" s="18">
        <v>72.987371999999993</v>
      </c>
    </row>
    <row r="816" spans="1:2" x14ac:dyDescent="0.3">
      <c r="A816" s="21">
        <v>45426.159028000002</v>
      </c>
      <c r="B816" s="18">
        <v>72.356361000000007</v>
      </c>
    </row>
    <row r="817" spans="1:2" x14ac:dyDescent="0.3">
      <c r="A817" s="21">
        <v>45426.159721999997</v>
      </c>
      <c r="B817" s="18">
        <v>74.526362000000006</v>
      </c>
    </row>
    <row r="818" spans="1:2" x14ac:dyDescent="0.3">
      <c r="A818" s="21">
        <v>45426.160416999999</v>
      </c>
      <c r="B818" s="18">
        <v>73.199839999999995</v>
      </c>
    </row>
    <row r="819" spans="1:2" x14ac:dyDescent="0.3">
      <c r="A819" s="21">
        <v>45426.161111000001</v>
      </c>
      <c r="B819" s="18">
        <v>73.161305999999996</v>
      </c>
    </row>
    <row r="820" spans="1:2" x14ac:dyDescent="0.3">
      <c r="A820" s="21">
        <v>45426.161805999996</v>
      </c>
      <c r="B820" s="18">
        <v>73.951966999999996</v>
      </c>
    </row>
    <row r="821" spans="1:2" x14ac:dyDescent="0.3">
      <c r="A821" s="21">
        <v>45426.162499999999</v>
      </c>
      <c r="B821" s="18">
        <v>73.797503000000006</v>
      </c>
    </row>
    <row r="822" spans="1:2" x14ac:dyDescent="0.3">
      <c r="A822" s="21">
        <v>45426.163194000001</v>
      </c>
      <c r="B822" s="18">
        <v>73.803492000000006</v>
      </c>
    </row>
    <row r="823" spans="1:2" x14ac:dyDescent="0.3">
      <c r="A823" s="21">
        <v>45426.163889000003</v>
      </c>
      <c r="B823" s="18">
        <v>72.944466000000006</v>
      </c>
    </row>
    <row r="824" spans="1:2" x14ac:dyDescent="0.3">
      <c r="A824" s="21">
        <v>45426.164582999998</v>
      </c>
      <c r="B824" s="18">
        <v>73.054723999999993</v>
      </c>
    </row>
    <row r="825" spans="1:2" x14ac:dyDescent="0.3">
      <c r="A825" s="21">
        <v>45426.165278</v>
      </c>
      <c r="B825" s="18">
        <v>72.827152999999996</v>
      </c>
    </row>
    <row r="826" spans="1:2" x14ac:dyDescent="0.3">
      <c r="A826" s="21">
        <v>45426.165972000003</v>
      </c>
      <c r="B826" s="18">
        <v>72.811721000000006</v>
      </c>
    </row>
    <row r="827" spans="1:2" x14ac:dyDescent="0.3">
      <c r="A827" s="21">
        <v>45426.166666999998</v>
      </c>
      <c r="B827" s="18">
        <v>72.914162000000005</v>
      </c>
    </row>
    <row r="828" spans="1:2" x14ac:dyDescent="0.3">
      <c r="A828" s="21">
        <v>45426.167361</v>
      </c>
      <c r="B828" s="18">
        <v>72.467061000000001</v>
      </c>
    </row>
    <row r="829" spans="1:2" x14ac:dyDescent="0.3">
      <c r="A829" s="21">
        <v>45426.168056000002</v>
      </c>
      <c r="B829" s="18">
        <v>72.428593000000006</v>
      </c>
    </row>
    <row r="830" spans="1:2" x14ac:dyDescent="0.3">
      <c r="A830" s="21">
        <v>45426.168749999997</v>
      </c>
      <c r="B830" s="18">
        <v>74.455496999999994</v>
      </c>
    </row>
    <row r="831" spans="1:2" x14ac:dyDescent="0.3">
      <c r="A831" s="21">
        <v>45426.169443999999</v>
      </c>
      <c r="B831" s="18">
        <v>73.330732999999995</v>
      </c>
    </row>
    <row r="832" spans="1:2" x14ac:dyDescent="0.3">
      <c r="A832" s="21">
        <v>45426.170139000002</v>
      </c>
      <c r="B832" s="18">
        <v>72.710971000000001</v>
      </c>
    </row>
    <row r="833" spans="1:2" x14ac:dyDescent="0.3">
      <c r="A833" s="21">
        <v>45426.170832999996</v>
      </c>
      <c r="B833" s="18">
        <v>73.210644000000002</v>
      </c>
    </row>
    <row r="834" spans="1:2" x14ac:dyDescent="0.3">
      <c r="A834" s="21">
        <v>45426.171527999999</v>
      </c>
      <c r="B834" s="18">
        <v>73.431595999999999</v>
      </c>
    </row>
    <row r="835" spans="1:2" x14ac:dyDescent="0.3">
      <c r="A835" s="21">
        <v>45426.172222000001</v>
      </c>
      <c r="B835" s="18">
        <v>73.255663999999996</v>
      </c>
    </row>
    <row r="836" spans="1:2" x14ac:dyDescent="0.3">
      <c r="A836" s="21">
        <v>45426.172917000004</v>
      </c>
      <c r="B836" s="18">
        <v>74.337508999999997</v>
      </c>
    </row>
    <row r="837" spans="1:2" x14ac:dyDescent="0.3">
      <c r="A837" s="21">
        <v>45426.173610999998</v>
      </c>
      <c r="B837" s="18">
        <v>74.336506999999997</v>
      </c>
    </row>
    <row r="838" spans="1:2" x14ac:dyDescent="0.3">
      <c r="A838" s="21">
        <v>45426.174306000001</v>
      </c>
      <c r="B838" s="18">
        <v>73.768685000000005</v>
      </c>
    </row>
    <row r="839" spans="1:2" x14ac:dyDescent="0.3">
      <c r="A839" s="21">
        <v>45426.175000000003</v>
      </c>
      <c r="B839" s="18">
        <v>73.950259000000003</v>
      </c>
    </row>
    <row r="840" spans="1:2" x14ac:dyDescent="0.3">
      <c r="A840" s="21">
        <v>45426.175693999998</v>
      </c>
      <c r="B840" s="18">
        <v>73.088516999999996</v>
      </c>
    </row>
    <row r="841" spans="1:2" x14ac:dyDescent="0.3">
      <c r="A841" s="21">
        <v>45426.176389</v>
      </c>
      <c r="B841" s="18">
        <v>73.895808000000002</v>
      </c>
    </row>
    <row r="842" spans="1:2" x14ac:dyDescent="0.3">
      <c r="A842" s="21">
        <v>45426.177083000002</v>
      </c>
      <c r="B842" s="18">
        <v>72.482560000000007</v>
      </c>
    </row>
    <row r="843" spans="1:2" x14ac:dyDescent="0.3">
      <c r="A843" s="21">
        <v>45426.177777999997</v>
      </c>
      <c r="B843" s="18">
        <v>71.976532000000006</v>
      </c>
    </row>
    <row r="844" spans="1:2" x14ac:dyDescent="0.3">
      <c r="A844" s="21">
        <v>45426.178472</v>
      </c>
      <c r="B844" s="18">
        <v>72.681079999999994</v>
      </c>
    </row>
    <row r="845" spans="1:2" x14ac:dyDescent="0.3">
      <c r="A845" s="21">
        <v>45426.179167000002</v>
      </c>
      <c r="B845" s="18">
        <v>72.227487999999994</v>
      </c>
    </row>
    <row r="846" spans="1:2" x14ac:dyDescent="0.3">
      <c r="A846" s="21">
        <v>45426.179860999997</v>
      </c>
      <c r="B846" s="18">
        <v>71.964809000000002</v>
      </c>
    </row>
    <row r="847" spans="1:2" x14ac:dyDescent="0.3">
      <c r="A847" s="21">
        <v>45426.180555999999</v>
      </c>
      <c r="B847" s="18">
        <v>72.465598999999997</v>
      </c>
    </row>
    <row r="848" spans="1:2" x14ac:dyDescent="0.3">
      <c r="A848" s="21">
        <v>45426.181250000001</v>
      </c>
      <c r="B848" s="18">
        <v>74.401306000000005</v>
      </c>
    </row>
    <row r="849" spans="1:2" x14ac:dyDescent="0.3">
      <c r="A849" s="21">
        <v>45426.181944000004</v>
      </c>
      <c r="B849" s="18">
        <v>72.372669999999999</v>
      </c>
    </row>
    <row r="850" spans="1:2" x14ac:dyDescent="0.3">
      <c r="A850" s="21">
        <v>45426.182638999999</v>
      </c>
      <c r="B850" s="18">
        <v>73.682758000000007</v>
      </c>
    </row>
    <row r="851" spans="1:2" x14ac:dyDescent="0.3">
      <c r="A851" s="21">
        <v>45426.183333000001</v>
      </c>
      <c r="B851" s="18">
        <v>73.825577999999993</v>
      </c>
    </row>
    <row r="852" spans="1:2" x14ac:dyDescent="0.3">
      <c r="A852" s="21">
        <v>45426.184028000003</v>
      </c>
      <c r="B852" s="18">
        <v>83.178883999999996</v>
      </c>
    </row>
    <row r="853" spans="1:2" x14ac:dyDescent="0.3">
      <c r="A853" s="21">
        <v>45426.184721999998</v>
      </c>
      <c r="B853" s="18">
        <v>83.814746</v>
      </c>
    </row>
    <row r="854" spans="1:2" x14ac:dyDescent="0.3">
      <c r="A854" s="21">
        <v>45426.185417000001</v>
      </c>
      <c r="B854" s="18">
        <v>83.519029000000003</v>
      </c>
    </row>
    <row r="855" spans="1:2" x14ac:dyDescent="0.3">
      <c r="A855" s="21">
        <v>45426.186111000003</v>
      </c>
      <c r="B855" s="18">
        <v>83.397595999999993</v>
      </c>
    </row>
    <row r="856" spans="1:2" x14ac:dyDescent="0.3">
      <c r="A856" s="21">
        <v>45426.186805999998</v>
      </c>
      <c r="B856" s="18">
        <v>82.444451999999998</v>
      </c>
    </row>
    <row r="857" spans="1:2" x14ac:dyDescent="0.3">
      <c r="A857" s="21">
        <v>45426.1875</v>
      </c>
      <c r="B857" s="18">
        <v>84.198931999999999</v>
      </c>
    </row>
    <row r="858" spans="1:2" x14ac:dyDescent="0.3">
      <c r="A858" s="21">
        <v>45426.188194000002</v>
      </c>
      <c r="B858" s="18">
        <v>82.893524999999997</v>
      </c>
    </row>
    <row r="859" spans="1:2" x14ac:dyDescent="0.3">
      <c r="A859" s="21">
        <v>45426.188888999997</v>
      </c>
      <c r="B859" s="18">
        <v>82.833597999999995</v>
      </c>
    </row>
    <row r="860" spans="1:2" x14ac:dyDescent="0.3">
      <c r="A860" s="21">
        <v>45426.189582999999</v>
      </c>
      <c r="B860" s="18">
        <v>82.483214000000004</v>
      </c>
    </row>
    <row r="861" spans="1:2" x14ac:dyDescent="0.3">
      <c r="A861" s="21">
        <v>45426.190278000002</v>
      </c>
      <c r="B861" s="18">
        <v>82.749703999999994</v>
      </c>
    </row>
    <row r="862" spans="1:2" x14ac:dyDescent="0.3">
      <c r="A862" s="21">
        <v>45426.190971999997</v>
      </c>
      <c r="B862" s="18">
        <v>84.449586999999994</v>
      </c>
    </row>
    <row r="863" spans="1:2" x14ac:dyDescent="0.3">
      <c r="A863" s="21">
        <v>45426.191666999999</v>
      </c>
      <c r="B863" s="18">
        <v>83.189322000000004</v>
      </c>
    </row>
    <row r="864" spans="1:2" x14ac:dyDescent="0.3">
      <c r="A864" s="21">
        <v>45426.192361000001</v>
      </c>
      <c r="B864" s="18">
        <v>84.553192999999993</v>
      </c>
    </row>
    <row r="865" spans="1:2" x14ac:dyDescent="0.3">
      <c r="A865" s="21">
        <v>45426.193055999996</v>
      </c>
      <c r="B865" s="18">
        <v>81.997513999999995</v>
      </c>
    </row>
    <row r="866" spans="1:2" x14ac:dyDescent="0.3">
      <c r="A866" s="21">
        <v>45426.193749999999</v>
      </c>
      <c r="B866" s="18">
        <v>82.867529000000005</v>
      </c>
    </row>
    <row r="867" spans="1:2" x14ac:dyDescent="0.3">
      <c r="A867" s="21">
        <v>45426.194444000001</v>
      </c>
      <c r="B867" s="18">
        <v>82.573142000000004</v>
      </c>
    </row>
    <row r="868" spans="1:2" x14ac:dyDescent="0.3">
      <c r="A868" s="21">
        <v>45426.195139000003</v>
      </c>
      <c r="B868" s="18">
        <v>82.012545000000003</v>
      </c>
    </row>
    <row r="869" spans="1:2" x14ac:dyDescent="0.3">
      <c r="A869" s="21">
        <v>45426.195832999998</v>
      </c>
      <c r="B869" s="18">
        <v>82.626853999999994</v>
      </c>
    </row>
    <row r="870" spans="1:2" x14ac:dyDescent="0.3">
      <c r="A870" s="21">
        <v>45426.196528</v>
      </c>
      <c r="B870" s="18">
        <v>83.369596000000001</v>
      </c>
    </row>
    <row r="871" spans="1:2" x14ac:dyDescent="0.3">
      <c r="A871" s="21">
        <v>45426.197222000003</v>
      </c>
      <c r="B871" s="18">
        <v>82.279025000000004</v>
      </c>
    </row>
    <row r="872" spans="1:2" x14ac:dyDescent="0.3">
      <c r="A872" s="21">
        <v>45426.197916999998</v>
      </c>
      <c r="B872" s="18">
        <v>82.798612000000006</v>
      </c>
    </row>
    <row r="873" spans="1:2" x14ac:dyDescent="0.3">
      <c r="A873" s="21">
        <v>45426.198611</v>
      </c>
      <c r="B873" s="18">
        <v>81.847599000000002</v>
      </c>
    </row>
    <row r="874" spans="1:2" x14ac:dyDescent="0.3">
      <c r="A874" s="21">
        <v>45426.199306000002</v>
      </c>
      <c r="B874" s="18">
        <v>82.404809999999998</v>
      </c>
    </row>
    <row r="875" spans="1:2" x14ac:dyDescent="0.3">
      <c r="A875" s="21">
        <v>45426.2</v>
      </c>
      <c r="B875" s="18">
        <v>82.208322999999993</v>
      </c>
    </row>
    <row r="876" spans="1:2" x14ac:dyDescent="0.3">
      <c r="A876" s="21">
        <v>45426.200693999999</v>
      </c>
      <c r="B876" s="18">
        <v>81.845099000000005</v>
      </c>
    </row>
    <row r="877" spans="1:2" x14ac:dyDescent="0.3">
      <c r="A877" s="21">
        <v>45426.201389000002</v>
      </c>
      <c r="B877" s="18">
        <v>82.606819999999999</v>
      </c>
    </row>
    <row r="878" spans="1:2" x14ac:dyDescent="0.3">
      <c r="A878" s="21">
        <v>45426.202082999996</v>
      </c>
      <c r="B878" s="18">
        <v>81.687038999999999</v>
      </c>
    </row>
    <row r="879" spans="1:2" x14ac:dyDescent="0.3">
      <c r="A879" s="21">
        <v>45426.202777999999</v>
      </c>
      <c r="B879" s="18">
        <v>81.563553999999996</v>
      </c>
    </row>
    <row r="880" spans="1:2" x14ac:dyDescent="0.3">
      <c r="A880" s="21">
        <v>45426.203472000001</v>
      </c>
      <c r="B880" s="18">
        <v>80.896167000000005</v>
      </c>
    </row>
    <row r="881" spans="1:2" x14ac:dyDescent="0.3">
      <c r="A881" s="21">
        <v>45426.204167000004</v>
      </c>
      <c r="B881" s="18">
        <v>82.269285999999994</v>
      </c>
    </row>
    <row r="882" spans="1:2" x14ac:dyDescent="0.3">
      <c r="A882" s="21">
        <v>45426.204860999998</v>
      </c>
      <c r="B882" s="18">
        <v>81.662734</v>
      </c>
    </row>
    <row r="883" spans="1:2" x14ac:dyDescent="0.3">
      <c r="A883" s="21">
        <v>45426.205556000001</v>
      </c>
      <c r="B883" s="18">
        <v>82.602740999999995</v>
      </c>
    </row>
    <row r="884" spans="1:2" x14ac:dyDescent="0.3">
      <c r="A884" s="21">
        <v>45426.206250000003</v>
      </c>
      <c r="B884" s="18">
        <v>82.675310999999994</v>
      </c>
    </row>
    <row r="885" spans="1:2" x14ac:dyDescent="0.3">
      <c r="A885" s="21">
        <v>45426.206943999998</v>
      </c>
      <c r="B885" s="18">
        <v>82.357346000000007</v>
      </c>
    </row>
    <row r="886" spans="1:2" x14ac:dyDescent="0.3">
      <c r="A886" s="21">
        <v>45426.207639</v>
      </c>
      <c r="B886" s="18">
        <v>81.366394</v>
      </c>
    </row>
    <row r="887" spans="1:2" x14ac:dyDescent="0.3">
      <c r="A887" s="21">
        <v>45426.208333000002</v>
      </c>
      <c r="B887" s="18">
        <v>81.689015999999995</v>
      </c>
    </row>
    <row r="888" spans="1:2" x14ac:dyDescent="0.3">
      <c r="A888" s="21">
        <v>45426.209027999997</v>
      </c>
      <c r="B888" s="18">
        <v>81.168505999999994</v>
      </c>
    </row>
    <row r="889" spans="1:2" x14ac:dyDescent="0.3">
      <c r="A889" s="21">
        <v>45426.209722</v>
      </c>
      <c r="B889" s="18">
        <v>83.099502999999999</v>
      </c>
    </row>
    <row r="890" spans="1:2" x14ac:dyDescent="0.3">
      <c r="A890" s="21">
        <v>45426.210417000002</v>
      </c>
      <c r="B890" s="18">
        <v>82.303713999999999</v>
      </c>
    </row>
    <row r="891" spans="1:2" x14ac:dyDescent="0.3">
      <c r="A891" s="21">
        <v>45426.211110999997</v>
      </c>
      <c r="B891" s="18">
        <v>81.752309999999994</v>
      </c>
    </row>
    <row r="892" spans="1:2" x14ac:dyDescent="0.3">
      <c r="A892" s="21">
        <v>45426.211805999999</v>
      </c>
      <c r="B892" s="18">
        <v>81.421111999999994</v>
      </c>
    </row>
    <row r="893" spans="1:2" x14ac:dyDescent="0.3">
      <c r="A893" s="21">
        <v>45426.212500000001</v>
      </c>
      <c r="B893" s="18">
        <v>82.283728999999994</v>
      </c>
    </row>
    <row r="894" spans="1:2" x14ac:dyDescent="0.3">
      <c r="A894" s="21">
        <v>45426.213194000004</v>
      </c>
      <c r="B894" s="18">
        <v>80.321444999999997</v>
      </c>
    </row>
    <row r="895" spans="1:2" x14ac:dyDescent="0.3">
      <c r="A895" s="21">
        <v>45426.213888999999</v>
      </c>
      <c r="B895" s="18">
        <v>81.752904000000001</v>
      </c>
    </row>
    <row r="896" spans="1:2" x14ac:dyDescent="0.3">
      <c r="A896" s="21">
        <v>45426.214583000001</v>
      </c>
      <c r="B896" s="18">
        <v>81.849530999999999</v>
      </c>
    </row>
    <row r="897" spans="1:2" x14ac:dyDescent="0.3">
      <c r="A897" s="21">
        <v>45426.215278000003</v>
      </c>
      <c r="B897" s="18">
        <v>80.803673000000003</v>
      </c>
    </row>
    <row r="898" spans="1:2" x14ac:dyDescent="0.3">
      <c r="A898" s="21">
        <v>45426.215971999998</v>
      </c>
      <c r="B898" s="18">
        <v>81.800048000000004</v>
      </c>
    </row>
    <row r="899" spans="1:2" x14ac:dyDescent="0.3">
      <c r="A899" s="21">
        <v>45426.216667000001</v>
      </c>
      <c r="B899" s="18">
        <v>81.050096999999994</v>
      </c>
    </row>
    <row r="900" spans="1:2" x14ac:dyDescent="0.3">
      <c r="A900" s="21">
        <v>45426.217361000003</v>
      </c>
      <c r="B900" s="18">
        <v>81.159249000000003</v>
      </c>
    </row>
    <row r="901" spans="1:2" x14ac:dyDescent="0.3">
      <c r="A901" s="21">
        <v>45426.218055999998</v>
      </c>
      <c r="B901" s="18">
        <v>82.891219000000007</v>
      </c>
    </row>
    <row r="902" spans="1:2" x14ac:dyDescent="0.3">
      <c r="A902" s="21">
        <v>45426.21875</v>
      </c>
      <c r="B902" s="18">
        <v>79.960556999999994</v>
      </c>
    </row>
    <row r="903" spans="1:2" x14ac:dyDescent="0.3">
      <c r="A903" s="21">
        <v>45426.219444000002</v>
      </c>
      <c r="B903" s="18">
        <v>81.751542000000001</v>
      </c>
    </row>
    <row r="904" spans="1:2" x14ac:dyDescent="0.3">
      <c r="A904" s="21">
        <v>45426.220138999997</v>
      </c>
      <c r="B904" s="18">
        <v>81.845285000000004</v>
      </c>
    </row>
    <row r="905" spans="1:2" x14ac:dyDescent="0.3">
      <c r="A905" s="21">
        <v>45426.220832999999</v>
      </c>
      <c r="B905" s="18">
        <v>79.291132000000005</v>
      </c>
    </row>
    <row r="906" spans="1:2" x14ac:dyDescent="0.3">
      <c r="A906" s="21">
        <v>45426.221528000002</v>
      </c>
      <c r="B906" s="18">
        <v>81.402816000000001</v>
      </c>
    </row>
    <row r="907" spans="1:2" x14ac:dyDescent="0.3">
      <c r="A907" s="21">
        <v>45426.222221999997</v>
      </c>
      <c r="B907" s="18">
        <v>80.072092999999995</v>
      </c>
    </row>
    <row r="908" spans="1:2" x14ac:dyDescent="0.3">
      <c r="A908" s="21">
        <v>45426.222916999999</v>
      </c>
      <c r="B908" s="18">
        <v>81.836648999999994</v>
      </c>
    </row>
    <row r="909" spans="1:2" x14ac:dyDescent="0.3">
      <c r="A909" s="21">
        <v>45426.223611000001</v>
      </c>
      <c r="B909" s="18">
        <v>82.171465999999995</v>
      </c>
    </row>
    <row r="910" spans="1:2" x14ac:dyDescent="0.3">
      <c r="A910" s="21">
        <v>45426.224305999996</v>
      </c>
      <c r="B910" s="18">
        <v>82.114388000000005</v>
      </c>
    </row>
    <row r="911" spans="1:2" x14ac:dyDescent="0.3">
      <c r="A911" s="21">
        <v>45426.224999999999</v>
      </c>
      <c r="B911" s="18">
        <v>80.324538000000004</v>
      </c>
    </row>
    <row r="912" spans="1:2" x14ac:dyDescent="0.3">
      <c r="A912" s="21">
        <v>45426.225694000001</v>
      </c>
      <c r="B912" s="18">
        <v>79.913578999999999</v>
      </c>
    </row>
    <row r="913" spans="1:2" x14ac:dyDescent="0.3">
      <c r="A913" s="21">
        <v>45426.226389000003</v>
      </c>
      <c r="B913" s="18">
        <v>80.815195000000003</v>
      </c>
    </row>
    <row r="914" spans="1:2" x14ac:dyDescent="0.3">
      <c r="A914" s="21">
        <v>45426.227082999998</v>
      </c>
      <c r="B914" s="18">
        <v>81.894548999999998</v>
      </c>
    </row>
    <row r="915" spans="1:2" x14ac:dyDescent="0.3">
      <c r="A915" s="21">
        <v>45426.227778</v>
      </c>
      <c r="B915" s="18">
        <v>81.212670000000003</v>
      </c>
    </row>
    <row r="916" spans="1:2" x14ac:dyDescent="0.3">
      <c r="A916" s="21">
        <v>45426.228472000003</v>
      </c>
      <c r="B916" s="18">
        <v>81.340423000000001</v>
      </c>
    </row>
    <row r="917" spans="1:2" x14ac:dyDescent="0.3">
      <c r="A917" s="21">
        <v>45426.229166999998</v>
      </c>
      <c r="B917" s="18">
        <v>81.447655999999995</v>
      </c>
    </row>
    <row r="918" spans="1:2" x14ac:dyDescent="0.3">
      <c r="A918" s="21">
        <v>45426.229861</v>
      </c>
      <c r="B918" s="18">
        <v>81.429591000000002</v>
      </c>
    </row>
    <row r="919" spans="1:2" x14ac:dyDescent="0.3">
      <c r="A919" s="21">
        <v>45426.230556000002</v>
      </c>
      <c r="B919" s="18">
        <v>80.861248000000003</v>
      </c>
    </row>
    <row r="920" spans="1:2" x14ac:dyDescent="0.3">
      <c r="A920" s="21">
        <v>45426.231249999997</v>
      </c>
      <c r="B920" s="18">
        <v>81.792315000000002</v>
      </c>
    </row>
    <row r="921" spans="1:2" x14ac:dyDescent="0.3">
      <c r="A921" s="21">
        <v>45426.231943999999</v>
      </c>
      <c r="B921" s="18">
        <v>82.801867999999999</v>
      </c>
    </row>
    <row r="922" spans="1:2" x14ac:dyDescent="0.3">
      <c r="A922" s="21">
        <v>45426.232639000002</v>
      </c>
      <c r="B922" s="18">
        <v>81.721673999999993</v>
      </c>
    </row>
    <row r="923" spans="1:2" x14ac:dyDescent="0.3">
      <c r="A923" s="21">
        <v>45426.233332999996</v>
      </c>
      <c r="B923" s="18">
        <v>81.388777000000005</v>
      </c>
    </row>
    <row r="924" spans="1:2" x14ac:dyDescent="0.3">
      <c r="A924" s="21">
        <v>45426.234027999999</v>
      </c>
      <c r="B924" s="18">
        <v>80.663190999999998</v>
      </c>
    </row>
    <row r="925" spans="1:2" x14ac:dyDescent="0.3">
      <c r="A925" s="21">
        <v>45426.234722000001</v>
      </c>
      <c r="B925" s="18">
        <v>80.156867000000005</v>
      </c>
    </row>
    <row r="926" spans="1:2" x14ac:dyDescent="0.3">
      <c r="A926" s="21">
        <v>45426.235417000004</v>
      </c>
      <c r="B926" s="18">
        <v>82.443736999999999</v>
      </c>
    </row>
    <row r="927" spans="1:2" x14ac:dyDescent="0.3">
      <c r="A927" s="21">
        <v>45426.236110999998</v>
      </c>
      <c r="B927" s="18">
        <v>80.086618999999999</v>
      </c>
    </row>
    <row r="928" spans="1:2" x14ac:dyDescent="0.3">
      <c r="A928" s="21">
        <v>45426.236806000001</v>
      </c>
      <c r="B928" s="18">
        <v>81.142928999999995</v>
      </c>
    </row>
    <row r="929" spans="1:2" x14ac:dyDescent="0.3">
      <c r="A929" s="21">
        <v>45426.237500000003</v>
      </c>
      <c r="B929" s="18">
        <v>80.721018000000001</v>
      </c>
    </row>
    <row r="930" spans="1:2" x14ac:dyDescent="0.3">
      <c r="A930" s="21">
        <v>45426.238193999998</v>
      </c>
      <c r="B930" s="18">
        <v>81.086136999999994</v>
      </c>
    </row>
    <row r="931" spans="1:2" x14ac:dyDescent="0.3">
      <c r="A931" s="21">
        <v>45426.238889</v>
      </c>
      <c r="B931" s="18">
        <v>80.464472000000001</v>
      </c>
    </row>
    <row r="932" spans="1:2" x14ac:dyDescent="0.3">
      <c r="A932" s="21">
        <v>45426.239583000002</v>
      </c>
      <c r="B932" s="18">
        <v>80.966217</v>
      </c>
    </row>
    <row r="933" spans="1:2" x14ac:dyDescent="0.3">
      <c r="A933" s="21">
        <v>45426.240277999997</v>
      </c>
      <c r="B933" s="18">
        <v>80.465317999999996</v>
      </c>
    </row>
    <row r="934" spans="1:2" x14ac:dyDescent="0.3">
      <c r="A934" s="21">
        <v>45426.240972</v>
      </c>
      <c r="B934" s="18">
        <v>81.964168000000001</v>
      </c>
    </row>
    <row r="935" spans="1:2" x14ac:dyDescent="0.3">
      <c r="A935" s="21">
        <v>45426.241667000002</v>
      </c>
      <c r="B935" s="18">
        <v>79.529070000000004</v>
      </c>
    </row>
    <row r="936" spans="1:2" x14ac:dyDescent="0.3">
      <c r="A936" s="21">
        <v>45426.242360999997</v>
      </c>
      <c r="B936" s="18">
        <v>80.305169000000006</v>
      </c>
    </row>
    <row r="937" spans="1:2" x14ac:dyDescent="0.3">
      <c r="A937" s="21">
        <v>45426.243055999999</v>
      </c>
      <c r="B937" s="18">
        <v>82.102408999999994</v>
      </c>
    </row>
    <row r="938" spans="1:2" x14ac:dyDescent="0.3">
      <c r="A938" s="21">
        <v>45426.243750000001</v>
      </c>
      <c r="B938" s="18">
        <v>79.734074000000007</v>
      </c>
    </row>
    <row r="939" spans="1:2" x14ac:dyDescent="0.3">
      <c r="A939" s="21">
        <v>45426.244444000004</v>
      </c>
      <c r="B939" s="18">
        <v>81.504947000000001</v>
      </c>
    </row>
    <row r="940" spans="1:2" x14ac:dyDescent="0.3">
      <c r="A940" s="21">
        <v>45426.245138999999</v>
      </c>
      <c r="B940" s="18">
        <v>79.924285999999995</v>
      </c>
    </row>
    <row r="941" spans="1:2" x14ac:dyDescent="0.3">
      <c r="A941" s="21">
        <v>45426.245833000001</v>
      </c>
      <c r="B941" s="18">
        <v>79.901135999999994</v>
      </c>
    </row>
    <row r="942" spans="1:2" x14ac:dyDescent="0.3">
      <c r="A942" s="21">
        <v>45426.246528000003</v>
      </c>
      <c r="B942" s="18">
        <v>80.166262000000003</v>
      </c>
    </row>
    <row r="943" spans="1:2" x14ac:dyDescent="0.3">
      <c r="A943" s="21">
        <v>45426.247221999998</v>
      </c>
      <c r="B943" s="18">
        <v>79.193145999999999</v>
      </c>
    </row>
    <row r="944" spans="1:2" x14ac:dyDescent="0.3">
      <c r="A944" s="21">
        <v>45426.247917000001</v>
      </c>
      <c r="B944" s="18">
        <v>81.576352999999997</v>
      </c>
    </row>
    <row r="945" spans="1:2" x14ac:dyDescent="0.3">
      <c r="A945" s="21">
        <v>45426.248611000003</v>
      </c>
      <c r="B945" s="18">
        <v>81.372478000000001</v>
      </c>
    </row>
    <row r="946" spans="1:2" x14ac:dyDescent="0.3">
      <c r="A946" s="21">
        <v>45426.249305999998</v>
      </c>
      <c r="B946" s="18">
        <v>80.537550999999993</v>
      </c>
    </row>
    <row r="947" spans="1:2" x14ac:dyDescent="0.3">
      <c r="A947" s="21">
        <v>45426.25</v>
      </c>
      <c r="B947" s="18">
        <v>81.260439000000005</v>
      </c>
    </row>
    <row r="948" spans="1:2" x14ac:dyDescent="0.3">
      <c r="A948" s="21">
        <v>45426.250694000002</v>
      </c>
      <c r="B948" s="18">
        <v>80.636014000000003</v>
      </c>
    </row>
    <row r="949" spans="1:2" x14ac:dyDescent="0.3">
      <c r="A949" s="21">
        <v>45426.251388999997</v>
      </c>
      <c r="B949" s="18">
        <v>79.961153999999993</v>
      </c>
    </row>
    <row r="950" spans="1:2" x14ac:dyDescent="0.3">
      <c r="A950" s="21">
        <v>45426.252082999999</v>
      </c>
      <c r="B950" s="18">
        <v>81.409835999999999</v>
      </c>
    </row>
    <row r="951" spans="1:2" x14ac:dyDescent="0.3">
      <c r="A951" s="21">
        <v>45426.252778000002</v>
      </c>
      <c r="B951" s="18">
        <v>79.921687000000006</v>
      </c>
    </row>
    <row r="952" spans="1:2" x14ac:dyDescent="0.3">
      <c r="A952" s="21">
        <v>45426.253471999997</v>
      </c>
      <c r="B952" s="18">
        <v>79.513878000000005</v>
      </c>
    </row>
    <row r="953" spans="1:2" x14ac:dyDescent="0.3">
      <c r="A953" s="21">
        <v>45426.254166999999</v>
      </c>
      <c r="B953" s="18">
        <v>81.313843000000006</v>
      </c>
    </row>
    <row r="954" spans="1:2" x14ac:dyDescent="0.3">
      <c r="A954" s="21">
        <v>45426.254861000001</v>
      </c>
      <c r="B954" s="18">
        <v>80.147572999999994</v>
      </c>
    </row>
    <row r="955" spans="1:2" x14ac:dyDescent="0.3">
      <c r="A955" s="21">
        <v>45426.255555999996</v>
      </c>
      <c r="B955" s="18">
        <v>80.497981999999993</v>
      </c>
    </row>
    <row r="956" spans="1:2" x14ac:dyDescent="0.3">
      <c r="A956" s="21">
        <v>45426.256249999999</v>
      </c>
      <c r="B956" s="18">
        <v>81.060749999999999</v>
      </c>
    </row>
    <row r="957" spans="1:2" x14ac:dyDescent="0.3">
      <c r="A957" s="21">
        <v>45426.256944000001</v>
      </c>
      <c r="B957" s="18">
        <v>82.247287</v>
      </c>
    </row>
    <row r="958" spans="1:2" x14ac:dyDescent="0.3">
      <c r="A958" s="21">
        <v>45426.257639000003</v>
      </c>
      <c r="B958" s="18">
        <v>79.381068999999997</v>
      </c>
    </row>
    <row r="959" spans="1:2" x14ac:dyDescent="0.3">
      <c r="A959" s="21">
        <v>45426.258332999998</v>
      </c>
      <c r="B959" s="18">
        <v>82.197837000000007</v>
      </c>
    </row>
    <row r="960" spans="1:2" x14ac:dyDescent="0.3">
      <c r="A960" s="21">
        <v>45426.259028</v>
      </c>
      <c r="B960" s="18">
        <v>81.766891000000001</v>
      </c>
    </row>
    <row r="961" spans="1:2" x14ac:dyDescent="0.3">
      <c r="A961" s="21">
        <v>45426.259722000003</v>
      </c>
      <c r="B961" s="18">
        <v>80.360127000000006</v>
      </c>
    </row>
    <row r="962" spans="1:2" x14ac:dyDescent="0.3">
      <c r="A962" s="21">
        <v>45426.260416999998</v>
      </c>
      <c r="B962" s="18">
        <v>79.814521999999997</v>
      </c>
    </row>
    <row r="963" spans="1:2" x14ac:dyDescent="0.3">
      <c r="A963" s="21">
        <v>45426.261111</v>
      </c>
      <c r="B963" s="18">
        <v>80.380645999999999</v>
      </c>
    </row>
    <row r="964" spans="1:2" x14ac:dyDescent="0.3">
      <c r="A964" s="21">
        <v>45426.261806000002</v>
      </c>
      <c r="B964" s="18">
        <v>81.280707000000007</v>
      </c>
    </row>
    <row r="965" spans="1:2" x14ac:dyDescent="0.3">
      <c r="A965" s="21">
        <v>45426.262499999997</v>
      </c>
      <c r="B965" s="18">
        <v>81.810238999999996</v>
      </c>
    </row>
    <row r="966" spans="1:2" x14ac:dyDescent="0.3">
      <c r="A966" s="21">
        <v>45426.263193999999</v>
      </c>
      <c r="B966" s="18">
        <v>81.430036999999999</v>
      </c>
    </row>
    <row r="967" spans="1:2" x14ac:dyDescent="0.3">
      <c r="A967" s="21">
        <v>45426.263889000002</v>
      </c>
      <c r="B967" s="18">
        <v>80.743930000000006</v>
      </c>
    </row>
    <row r="968" spans="1:2" x14ac:dyDescent="0.3">
      <c r="A968" s="21">
        <v>45426.264582999996</v>
      </c>
      <c r="B968" s="18">
        <v>80.860836000000006</v>
      </c>
    </row>
    <row r="969" spans="1:2" x14ac:dyDescent="0.3">
      <c r="A969" s="21">
        <v>45426.265277999999</v>
      </c>
      <c r="B969" s="18">
        <v>80.725098000000003</v>
      </c>
    </row>
    <row r="970" spans="1:2" x14ac:dyDescent="0.3">
      <c r="A970" s="21">
        <v>45426.265972000001</v>
      </c>
      <c r="B970" s="18">
        <v>81.043272999999999</v>
      </c>
    </row>
    <row r="971" spans="1:2" x14ac:dyDescent="0.3">
      <c r="A971" s="21">
        <v>45426.266667000004</v>
      </c>
      <c r="B971" s="18">
        <v>81.142222000000004</v>
      </c>
    </row>
    <row r="972" spans="1:2" x14ac:dyDescent="0.3">
      <c r="A972" s="21">
        <v>45426.267360999998</v>
      </c>
      <c r="B972" s="18">
        <v>68.211155000000005</v>
      </c>
    </row>
    <row r="973" spans="1:2" x14ac:dyDescent="0.3">
      <c r="A973" s="21">
        <v>45426.268056000001</v>
      </c>
      <c r="B973" s="18">
        <v>66.256729000000007</v>
      </c>
    </row>
    <row r="974" spans="1:2" x14ac:dyDescent="0.3">
      <c r="A974" s="21">
        <v>45426.268750000003</v>
      </c>
      <c r="B974" s="18">
        <v>66.261859000000001</v>
      </c>
    </row>
    <row r="975" spans="1:2" x14ac:dyDescent="0.3">
      <c r="A975" s="21">
        <v>45426.269443999998</v>
      </c>
      <c r="B975" s="18">
        <v>66.399182999999994</v>
      </c>
    </row>
    <row r="976" spans="1:2" x14ac:dyDescent="0.3">
      <c r="A976" s="21">
        <v>45426.270139</v>
      </c>
      <c r="B976" s="18">
        <v>64.977260000000001</v>
      </c>
    </row>
    <row r="977" spans="1:2" x14ac:dyDescent="0.3">
      <c r="A977" s="21">
        <v>45426.270833000002</v>
      </c>
      <c r="B977" s="18">
        <v>66.638103000000001</v>
      </c>
    </row>
    <row r="978" spans="1:2" x14ac:dyDescent="0.3">
      <c r="A978" s="21">
        <v>45426.271527999997</v>
      </c>
      <c r="B978" s="18">
        <v>66.903734999999998</v>
      </c>
    </row>
    <row r="979" spans="1:2" x14ac:dyDescent="0.3">
      <c r="A979" s="21">
        <v>45426.272222</v>
      </c>
      <c r="B979" s="18">
        <v>65.461825000000005</v>
      </c>
    </row>
    <row r="980" spans="1:2" x14ac:dyDescent="0.3">
      <c r="A980" s="21">
        <v>45426.272917000002</v>
      </c>
      <c r="B980" s="18">
        <v>66.032463000000007</v>
      </c>
    </row>
    <row r="981" spans="1:2" x14ac:dyDescent="0.3">
      <c r="A981" s="21">
        <v>45426.273610999997</v>
      </c>
      <c r="B981" s="18">
        <v>66.223399999999998</v>
      </c>
    </row>
    <row r="982" spans="1:2" x14ac:dyDescent="0.3">
      <c r="A982" s="21">
        <v>45426.274305999999</v>
      </c>
      <c r="B982" s="18">
        <v>66.122843000000003</v>
      </c>
    </row>
    <row r="983" spans="1:2" x14ac:dyDescent="0.3">
      <c r="A983" s="21">
        <v>45426.275000000001</v>
      </c>
      <c r="B983" s="18">
        <v>66.299959999999999</v>
      </c>
    </row>
    <row r="984" spans="1:2" x14ac:dyDescent="0.3">
      <c r="A984" s="21">
        <v>45426.275694000004</v>
      </c>
      <c r="B984" s="18">
        <v>65.926801999999995</v>
      </c>
    </row>
    <row r="985" spans="1:2" x14ac:dyDescent="0.3">
      <c r="A985" s="21">
        <v>45426.276388999999</v>
      </c>
      <c r="B985" s="18">
        <v>66.270657999999997</v>
      </c>
    </row>
    <row r="986" spans="1:2" x14ac:dyDescent="0.3">
      <c r="A986" s="21">
        <v>45426.277083000001</v>
      </c>
      <c r="B986" s="18">
        <v>65.829509999999999</v>
      </c>
    </row>
    <row r="987" spans="1:2" x14ac:dyDescent="0.3">
      <c r="A987" s="21">
        <v>45426.277778000003</v>
      </c>
      <c r="B987" s="18">
        <v>65.799014</v>
      </c>
    </row>
    <row r="988" spans="1:2" x14ac:dyDescent="0.3">
      <c r="A988" s="21">
        <v>45426.278471999998</v>
      </c>
      <c r="B988" s="18">
        <v>64.989689999999996</v>
      </c>
    </row>
    <row r="989" spans="1:2" x14ac:dyDescent="0.3">
      <c r="A989" s="21">
        <v>45426.279167000001</v>
      </c>
      <c r="B989" s="18">
        <v>65.817128999999994</v>
      </c>
    </row>
    <row r="990" spans="1:2" x14ac:dyDescent="0.3">
      <c r="A990" s="21">
        <v>45426.279861000003</v>
      </c>
      <c r="B990" s="18">
        <v>65.557659000000001</v>
      </c>
    </row>
    <row r="991" spans="1:2" x14ac:dyDescent="0.3">
      <c r="A991" s="21">
        <v>45426.280555999998</v>
      </c>
      <c r="B991" s="18">
        <v>67.120152000000004</v>
      </c>
    </row>
    <row r="992" spans="1:2" x14ac:dyDescent="0.3">
      <c r="A992" s="21">
        <v>45426.28125</v>
      </c>
      <c r="B992" s="18">
        <v>66.369806999999994</v>
      </c>
    </row>
    <row r="993" spans="1:2" x14ac:dyDescent="0.3">
      <c r="A993" s="21">
        <v>45426.281944000002</v>
      </c>
      <c r="B993" s="18">
        <v>67.182867000000002</v>
      </c>
    </row>
    <row r="994" spans="1:2" x14ac:dyDescent="0.3">
      <c r="A994" s="21">
        <v>45426.282638999997</v>
      </c>
      <c r="B994" s="18">
        <v>66.108158000000003</v>
      </c>
    </row>
    <row r="995" spans="1:2" x14ac:dyDescent="0.3">
      <c r="A995" s="21">
        <v>45426.283332999999</v>
      </c>
      <c r="B995" s="18">
        <v>67.113370000000003</v>
      </c>
    </row>
    <row r="996" spans="1:2" x14ac:dyDescent="0.3">
      <c r="A996" s="21">
        <v>45426.284028000002</v>
      </c>
      <c r="B996" s="18">
        <v>66.043544999999995</v>
      </c>
    </row>
    <row r="997" spans="1:2" x14ac:dyDescent="0.3">
      <c r="A997" s="21">
        <v>45426.284721999997</v>
      </c>
      <c r="B997" s="18">
        <v>67.242180000000005</v>
      </c>
    </row>
    <row r="998" spans="1:2" x14ac:dyDescent="0.3">
      <c r="A998" s="21">
        <v>45426.285416999999</v>
      </c>
      <c r="B998" s="18">
        <v>67.187178000000003</v>
      </c>
    </row>
    <row r="999" spans="1:2" x14ac:dyDescent="0.3">
      <c r="A999" s="21">
        <v>45426.286111000001</v>
      </c>
      <c r="B999" s="18">
        <v>66.579755000000006</v>
      </c>
    </row>
    <row r="1000" spans="1:2" x14ac:dyDescent="0.3">
      <c r="A1000" s="21">
        <v>45426.286805999996</v>
      </c>
      <c r="B1000" s="18">
        <v>66.533811999999998</v>
      </c>
    </row>
    <row r="1001" spans="1:2" x14ac:dyDescent="0.3">
      <c r="A1001" s="21">
        <v>45426.287499999999</v>
      </c>
      <c r="B1001" s="18">
        <v>66.457897000000003</v>
      </c>
    </row>
    <row r="1002" spans="1:2" x14ac:dyDescent="0.3">
      <c r="A1002" s="21">
        <v>45426.288194000001</v>
      </c>
      <c r="B1002" s="18">
        <v>66.921091000000004</v>
      </c>
    </row>
    <row r="1003" spans="1:2" x14ac:dyDescent="0.3">
      <c r="A1003" s="21">
        <v>45426.288889000003</v>
      </c>
      <c r="B1003" s="18">
        <v>67.471564000000001</v>
      </c>
    </row>
    <row r="1004" spans="1:2" x14ac:dyDescent="0.3">
      <c r="A1004" s="21">
        <v>45426.289582999998</v>
      </c>
      <c r="B1004" s="18">
        <v>67.423721</v>
      </c>
    </row>
    <row r="1005" spans="1:2" x14ac:dyDescent="0.3">
      <c r="A1005" s="21">
        <v>45426.290278</v>
      </c>
      <c r="B1005" s="18">
        <v>67.50367</v>
      </c>
    </row>
    <row r="1006" spans="1:2" x14ac:dyDescent="0.3">
      <c r="A1006" s="21">
        <v>45426.290972000003</v>
      </c>
      <c r="B1006" s="18">
        <v>67.841323000000003</v>
      </c>
    </row>
    <row r="1007" spans="1:2" x14ac:dyDescent="0.3">
      <c r="A1007" s="21">
        <v>45426.291666999998</v>
      </c>
      <c r="B1007" s="18">
        <v>67.635585000000006</v>
      </c>
    </row>
    <row r="1008" spans="1:2" x14ac:dyDescent="0.3">
      <c r="A1008" s="21">
        <v>45426.292361</v>
      </c>
      <c r="B1008" s="18">
        <v>67.881827999999999</v>
      </c>
    </row>
    <row r="1009" spans="1:2" x14ac:dyDescent="0.3">
      <c r="A1009" s="21">
        <v>45426.293056000002</v>
      </c>
      <c r="B1009" s="18">
        <v>67.721067000000005</v>
      </c>
    </row>
    <row r="1010" spans="1:2" x14ac:dyDescent="0.3">
      <c r="A1010" s="21">
        <v>45426.293749999997</v>
      </c>
      <c r="B1010" s="18">
        <v>68.333837000000003</v>
      </c>
    </row>
    <row r="1011" spans="1:2" x14ac:dyDescent="0.3">
      <c r="A1011" s="21">
        <v>45426.294443999999</v>
      </c>
      <c r="B1011" s="18">
        <v>67.994067000000001</v>
      </c>
    </row>
    <row r="1012" spans="1:2" x14ac:dyDescent="0.3">
      <c r="A1012" s="21">
        <v>45426.295139000002</v>
      </c>
      <c r="B1012" s="18">
        <v>68.847010999999995</v>
      </c>
    </row>
    <row r="1013" spans="1:2" x14ac:dyDescent="0.3">
      <c r="A1013" s="21">
        <v>45426.295832999996</v>
      </c>
      <c r="B1013" s="18">
        <v>66.940781999999999</v>
      </c>
    </row>
    <row r="1014" spans="1:2" x14ac:dyDescent="0.3">
      <c r="A1014" s="21">
        <v>45426.296527999999</v>
      </c>
      <c r="B1014" s="18">
        <v>68.487144000000001</v>
      </c>
    </row>
    <row r="1015" spans="1:2" x14ac:dyDescent="0.3">
      <c r="A1015" s="21">
        <v>45426.297222000001</v>
      </c>
      <c r="B1015" s="18">
        <v>68.554111000000006</v>
      </c>
    </row>
    <row r="1016" spans="1:2" x14ac:dyDescent="0.3">
      <c r="A1016" s="21">
        <v>45426.297917000004</v>
      </c>
      <c r="B1016" s="18">
        <v>68.920012</v>
      </c>
    </row>
    <row r="1017" spans="1:2" x14ac:dyDescent="0.3">
      <c r="A1017" s="21">
        <v>45426.298610999998</v>
      </c>
      <c r="B1017" s="18">
        <v>67.450271000000001</v>
      </c>
    </row>
    <row r="1018" spans="1:2" x14ac:dyDescent="0.3">
      <c r="A1018" s="21">
        <v>45426.299306000001</v>
      </c>
      <c r="B1018" s="18">
        <v>68.416467999999995</v>
      </c>
    </row>
    <row r="1019" spans="1:2" x14ac:dyDescent="0.3">
      <c r="A1019" s="21">
        <v>45426.3</v>
      </c>
      <c r="B1019" s="18">
        <v>67.477697000000006</v>
      </c>
    </row>
    <row r="1020" spans="1:2" x14ac:dyDescent="0.3">
      <c r="A1020" s="21">
        <v>45426.300693999998</v>
      </c>
      <c r="B1020" s="18">
        <v>68.238260999999994</v>
      </c>
    </row>
    <row r="1021" spans="1:2" x14ac:dyDescent="0.3">
      <c r="A1021" s="21">
        <v>45426.301389</v>
      </c>
      <c r="B1021" s="18">
        <v>69.060169000000002</v>
      </c>
    </row>
    <row r="1022" spans="1:2" x14ac:dyDescent="0.3">
      <c r="A1022" s="21">
        <v>45426.302083000002</v>
      </c>
      <c r="B1022" s="18">
        <v>68.334041999999997</v>
      </c>
    </row>
    <row r="1023" spans="1:2" x14ac:dyDescent="0.3">
      <c r="A1023" s="21">
        <v>45426.302777999997</v>
      </c>
      <c r="B1023" s="18">
        <v>68.082714999999993</v>
      </c>
    </row>
    <row r="1024" spans="1:2" x14ac:dyDescent="0.3">
      <c r="A1024" s="21">
        <v>45426.303472</v>
      </c>
      <c r="B1024" s="18">
        <v>68.430179999999993</v>
      </c>
    </row>
    <row r="1025" spans="1:2" x14ac:dyDescent="0.3">
      <c r="A1025" s="21">
        <v>45426.304167000002</v>
      </c>
      <c r="B1025" s="18">
        <v>68.739203000000003</v>
      </c>
    </row>
    <row r="1026" spans="1:2" x14ac:dyDescent="0.3">
      <c r="A1026" s="21">
        <v>45426.304860999997</v>
      </c>
      <c r="B1026" s="18">
        <v>67.727688999999998</v>
      </c>
    </row>
    <row r="1027" spans="1:2" x14ac:dyDescent="0.3">
      <c r="A1027" s="21">
        <v>45426.305555999999</v>
      </c>
      <c r="B1027" s="18">
        <v>68.185017999999999</v>
      </c>
    </row>
    <row r="1028" spans="1:2" x14ac:dyDescent="0.3">
      <c r="A1028" s="21">
        <v>45426.306250000001</v>
      </c>
      <c r="B1028" s="18">
        <v>68.883187000000007</v>
      </c>
    </row>
    <row r="1029" spans="1:2" x14ac:dyDescent="0.3">
      <c r="A1029" s="21">
        <v>45426.306944000004</v>
      </c>
      <c r="B1029" s="18">
        <v>69.786630000000002</v>
      </c>
    </row>
    <row r="1030" spans="1:2" x14ac:dyDescent="0.3">
      <c r="A1030" s="21">
        <v>45426.307638999999</v>
      </c>
      <c r="B1030" s="18">
        <v>68.955087000000006</v>
      </c>
    </row>
    <row r="1031" spans="1:2" x14ac:dyDescent="0.3">
      <c r="A1031" s="21">
        <v>45426.308333000001</v>
      </c>
      <c r="B1031" s="18">
        <v>69.030972000000006</v>
      </c>
    </row>
    <row r="1032" spans="1:2" x14ac:dyDescent="0.3">
      <c r="A1032" s="21">
        <v>45426.309028000003</v>
      </c>
      <c r="B1032" s="18">
        <v>69.559825000000004</v>
      </c>
    </row>
    <row r="1033" spans="1:2" x14ac:dyDescent="0.3">
      <c r="A1033" s="21">
        <v>45426.309721999998</v>
      </c>
      <c r="B1033" s="18">
        <v>67.729335000000006</v>
      </c>
    </row>
    <row r="1034" spans="1:2" x14ac:dyDescent="0.3">
      <c r="A1034" s="21">
        <v>45426.310417000001</v>
      </c>
      <c r="B1034" s="18">
        <v>69.210532000000001</v>
      </c>
    </row>
    <row r="1035" spans="1:2" x14ac:dyDescent="0.3">
      <c r="A1035" s="21">
        <v>45426.311111000003</v>
      </c>
      <c r="B1035" s="18">
        <v>68.919212999999999</v>
      </c>
    </row>
    <row r="1036" spans="1:2" x14ac:dyDescent="0.3">
      <c r="A1036" s="21">
        <v>45426.311805999998</v>
      </c>
      <c r="B1036" s="18">
        <v>68.238589000000005</v>
      </c>
    </row>
    <row r="1037" spans="1:2" x14ac:dyDescent="0.3">
      <c r="A1037" s="21">
        <v>45426.3125</v>
      </c>
      <c r="B1037" s="18">
        <v>68.864560999999995</v>
      </c>
    </row>
    <row r="1038" spans="1:2" x14ac:dyDescent="0.3">
      <c r="A1038" s="21">
        <v>45426.313194000002</v>
      </c>
      <c r="B1038" s="18">
        <v>68.844978999999995</v>
      </c>
    </row>
    <row r="1039" spans="1:2" x14ac:dyDescent="0.3">
      <c r="A1039" s="21">
        <v>45426.313888999997</v>
      </c>
      <c r="B1039" s="18">
        <v>69.359166999999999</v>
      </c>
    </row>
    <row r="1040" spans="1:2" x14ac:dyDescent="0.3">
      <c r="A1040" s="21">
        <v>45426.314582999999</v>
      </c>
      <c r="B1040" s="18">
        <v>68.847915</v>
      </c>
    </row>
    <row r="1041" spans="1:2" x14ac:dyDescent="0.3">
      <c r="A1041" s="21">
        <v>45426.315278000002</v>
      </c>
      <c r="B1041" s="18">
        <v>69.6494</v>
      </c>
    </row>
    <row r="1042" spans="1:2" x14ac:dyDescent="0.3">
      <c r="A1042" s="21">
        <v>45426.315971999997</v>
      </c>
      <c r="B1042" s="18">
        <v>70.113501999999997</v>
      </c>
    </row>
    <row r="1043" spans="1:2" x14ac:dyDescent="0.3">
      <c r="A1043" s="21">
        <v>45426.316666999999</v>
      </c>
      <c r="B1043" s="18">
        <v>68.618070000000003</v>
      </c>
    </row>
    <row r="1044" spans="1:2" x14ac:dyDescent="0.3">
      <c r="A1044" s="21">
        <v>45426.317361000001</v>
      </c>
      <c r="B1044" s="18">
        <v>68.683290999999997</v>
      </c>
    </row>
    <row r="1045" spans="1:2" x14ac:dyDescent="0.3">
      <c r="A1045" s="21">
        <v>45426.318055999996</v>
      </c>
      <c r="B1045" s="18">
        <v>68.668315000000007</v>
      </c>
    </row>
    <row r="1046" spans="1:2" x14ac:dyDescent="0.3">
      <c r="A1046" s="21">
        <v>45426.318749999999</v>
      </c>
      <c r="B1046" s="18">
        <v>68.980373</v>
      </c>
    </row>
    <row r="1047" spans="1:2" x14ac:dyDescent="0.3">
      <c r="A1047" s="21">
        <v>45426.319444000001</v>
      </c>
      <c r="B1047" s="18">
        <v>69.048085999999998</v>
      </c>
    </row>
    <row r="1048" spans="1:2" x14ac:dyDescent="0.3">
      <c r="A1048" s="21">
        <v>45426.320139000003</v>
      </c>
      <c r="B1048" s="18">
        <v>68.939248000000006</v>
      </c>
    </row>
    <row r="1049" spans="1:2" x14ac:dyDescent="0.3">
      <c r="A1049" s="21">
        <v>45426.320832999998</v>
      </c>
      <c r="B1049" s="18">
        <v>69.391740999999996</v>
      </c>
    </row>
    <row r="1050" spans="1:2" x14ac:dyDescent="0.3">
      <c r="A1050" s="21">
        <v>45426.321528</v>
      </c>
      <c r="B1050" s="18">
        <v>68.613686999999999</v>
      </c>
    </row>
    <row r="1051" spans="1:2" x14ac:dyDescent="0.3">
      <c r="A1051" s="21">
        <v>45426.322222000003</v>
      </c>
      <c r="B1051" s="18">
        <v>69.068185</v>
      </c>
    </row>
    <row r="1052" spans="1:2" x14ac:dyDescent="0.3">
      <c r="A1052" s="21">
        <v>45426.322916999998</v>
      </c>
      <c r="B1052" s="18">
        <v>68.881488000000004</v>
      </c>
    </row>
    <row r="1053" spans="1:2" x14ac:dyDescent="0.3">
      <c r="A1053" s="21">
        <v>45426.323611</v>
      </c>
      <c r="B1053" s="18">
        <v>70.513418000000001</v>
      </c>
    </row>
    <row r="1054" spans="1:2" x14ac:dyDescent="0.3">
      <c r="A1054" s="21">
        <v>45426.324306000002</v>
      </c>
      <c r="B1054" s="18">
        <v>68.832117999999994</v>
      </c>
    </row>
    <row r="1055" spans="1:2" x14ac:dyDescent="0.3">
      <c r="A1055" s="21">
        <v>45426.324999999997</v>
      </c>
      <c r="B1055" s="18">
        <v>68.703213000000005</v>
      </c>
    </row>
    <row r="1056" spans="1:2" x14ac:dyDescent="0.3">
      <c r="A1056" s="21">
        <v>45426.325693999999</v>
      </c>
      <c r="B1056" s="18">
        <v>68.584827000000004</v>
      </c>
    </row>
    <row r="1057" spans="1:2" x14ac:dyDescent="0.3">
      <c r="A1057" s="21">
        <v>45426.326389000002</v>
      </c>
      <c r="B1057" s="18">
        <v>70.068988000000004</v>
      </c>
    </row>
    <row r="1058" spans="1:2" x14ac:dyDescent="0.3">
      <c r="A1058" s="21">
        <v>45426.327082999996</v>
      </c>
      <c r="B1058" s="18">
        <v>68.416891000000007</v>
      </c>
    </row>
    <row r="1059" spans="1:2" x14ac:dyDescent="0.3">
      <c r="A1059" s="21">
        <v>45426.327777999999</v>
      </c>
      <c r="B1059" s="18">
        <v>68.819456000000002</v>
      </c>
    </row>
    <row r="1060" spans="1:2" x14ac:dyDescent="0.3">
      <c r="A1060" s="21">
        <v>45426.328472000001</v>
      </c>
      <c r="B1060" s="18">
        <v>69.429390999999995</v>
      </c>
    </row>
    <row r="1061" spans="1:2" x14ac:dyDescent="0.3">
      <c r="A1061" s="21">
        <v>45426.329167000004</v>
      </c>
      <c r="B1061" s="18">
        <v>68.917281000000003</v>
      </c>
    </row>
    <row r="1062" spans="1:2" x14ac:dyDescent="0.3">
      <c r="A1062" s="21">
        <v>45426.329860999998</v>
      </c>
      <c r="B1062" s="18">
        <v>68.233958999999999</v>
      </c>
    </row>
    <row r="1063" spans="1:2" x14ac:dyDescent="0.3">
      <c r="A1063" s="21">
        <v>45426.330556000001</v>
      </c>
      <c r="B1063" s="18">
        <v>68.820663999999994</v>
      </c>
    </row>
    <row r="1064" spans="1:2" x14ac:dyDescent="0.3">
      <c r="A1064" s="21">
        <v>45426.331250000003</v>
      </c>
      <c r="B1064" s="18">
        <v>69.971523000000005</v>
      </c>
    </row>
    <row r="1065" spans="1:2" x14ac:dyDescent="0.3">
      <c r="A1065" s="21">
        <v>45426.331943999998</v>
      </c>
      <c r="B1065" s="18">
        <v>69.188764000000006</v>
      </c>
    </row>
    <row r="1066" spans="1:2" x14ac:dyDescent="0.3">
      <c r="A1066" s="21">
        <v>45426.332639</v>
      </c>
      <c r="B1066" s="18">
        <v>67.943693999999994</v>
      </c>
    </row>
    <row r="1067" spans="1:2" x14ac:dyDescent="0.3">
      <c r="A1067" s="21">
        <v>45426.333333000002</v>
      </c>
      <c r="B1067" s="18">
        <v>69.261317000000005</v>
      </c>
    </row>
    <row r="1068" spans="1:2" x14ac:dyDescent="0.3">
      <c r="A1068" s="21">
        <v>45426.334027999997</v>
      </c>
      <c r="B1068" s="18">
        <v>69.213392999999996</v>
      </c>
    </row>
    <row r="1069" spans="1:2" x14ac:dyDescent="0.3">
      <c r="A1069" s="21">
        <v>45426.334722</v>
      </c>
      <c r="B1069" s="18">
        <v>69.260164000000003</v>
      </c>
    </row>
    <row r="1070" spans="1:2" x14ac:dyDescent="0.3">
      <c r="A1070" s="21">
        <v>45426.335417000002</v>
      </c>
      <c r="B1070" s="18">
        <v>69.352192000000002</v>
      </c>
    </row>
    <row r="1071" spans="1:2" x14ac:dyDescent="0.3">
      <c r="A1071" s="21">
        <v>45426.336110999997</v>
      </c>
      <c r="B1071" s="18">
        <v>69.014236999999994</v>
      </c>
    </row>
    <row r="1072" spans="1:2" x14ac:dyDescent="0.3">
      <c r="A1072" s="21">
        <v>45426.336805999999</v>
      </c>
      <c r="B1072" s="18">
        <v>69.339146</v>
      </c>
    </row>
    <row r="1073" spans="1:2" x14ac:dyDescent="0.3">
      <c r="A1073" s="21">
        <v>45426.337500000001</v>
      </c>
      <c r="B1073" s="18">
        <v>69.747236000000001</v>
      </c>
    </row>
    <row r="1074" spans="1:2" x14ac:dyDescent="0.3">
      <c r="A1074" s="21">
        <v>45426.338194000004</v>
      </c>
      <c r="B1074" s="18">
        <v>68.541554000000005</v>
      </c>
    </row>
    <row r="1075" spans="1:2" x14ac:dyDescent="0.3">
      <c r="A1075" s="21">
        <v>45426.338888999999</v>
      </c>
      <c r="B1075" s="18">
        <v>69.586308000000002</v>
      </c>
    </row>
    <row r="1076" spans="1:2" x14ac:dyDescent="0.3">
      <c r="A1076" s="21">
        <v>45426.339583000001</v>
      </c>
      <c r="B1076" s="18">
        <v>69.402073000000001</v>
      </c>
    </row>
    <row r="1077" spans="1:2" x14ac:dyDescent="0.3">
      <c r="A1077" s="21">
        <v>45426.340278000003</v>
      </c>
      <c r="B1077" s="18">
        <v>69.203360000000004</v>
      </c>
    </row>
    <row r="1078" spans="1:2" x14ac:dyDescent="0.3">
      <c r="A1078" s="21">
        <v>45426.340971999998</v>
      </c>
      <c r="B1078" s="18">
        <v>68.707984999999994</v>
      </c>
    </row>
    <row r="1079" spans="1:2" x14ac:dyDescent="0.3">
      <c r="A1079" s="21">
        <v>45426.341667000001</v>
      </c>
      <c r="B1079" s="18">
        <v>69.132140000000007</v>
      </c>
    </row>
    <row r="1080" spans="1:2" x14ac:dyDescent="0.3">
      <c r="A1080" s="21">
        <v>45426.342361000003</v>
      </c>
      <c r="B1080" s="18">
        <v>69.136369000000002</v>
      </c>
    </row>
    <row r="1081" spans="1:2" x14ac:dyDescent="0.3">
      <c r="A1081" s="21">
        <v>45426.343055999998</v>
      </c>
      <c r="B1081" s="18">
        <v>69.619517999999999</v>
      </c>
    </row>
    <row r="1082" spans="1:2" x14ac:dyDescent="0.3">
      <c r="A1082" s="21">
        <v>45426.34375</v>
      </c>
      <c r="B1082" s="18">
        <v>69.174458999999999</v>
      </c>
    </row>
    <row r="1083" spans="1:2" x14ac:dyDescent="0.3">
      <c r="A1083" s="21">
        <v>45426.344444000002</v>
      </c>
      <c r="B1083" s="18">
        <v>68.761844999999994</v>
      </c>
    </row>
    <row r="1084" spans="1:2" x14ac:dyDescent="0.3">
      <c r="A1084" s="21">
        <v>45426.345138999997</v>
      </c>
      <c r="B1084" s="18">
        <v>69.618815999999995</v>
      </c>
    </row>
    <row r="1085" spans="1:2" x14ac:dyDescent="0.3">
      <c r="A1085" s="21">
        <v>45426.345832999999</v>
      </c>
      <c r="B1085" s="18">
        <v>68.337614000000002</v>
      </c>
    </row>
    <row r="1086" spans="1:2" x14ac:dyDescent="0.3">
      <c r="A1086" s="21">
        <v>45426.346528000002</v>
      </c>
      <c r="B1086" s="18">
        <v>68.921166999999997</v>
      </c>
    </row>
    <row r="1087" spans="1:2" x14ac:dyDescent="0.3">
      <c r="A1087" s="21">
        <v>45426.347221999997</v>
      </c>
      <c r="B1087" s="18">
        <v>69.032796000000005</v>
      </c>
    </row>
    <row r="1088" spans="1:2" x14ac:dyDescent="0.3">
      <c r="A1088" s="21">
        <v>45426.347916999999</v>
      </c>
      <c r="B1088" s="18">
        <v>68.409944999999993</v>
      </c>
    </row>
    <row r="1089" spans="1:2" x14ac:dyDescent="0.3">
      <c r="A1089" s="21">
        <v>45426.348611000001</v>
      </c>
      <c r="B1089" s="18">
        <v>67.794565000000006</v>
      </c>
    </row>
    <row r="1090" spans="1:2" x14ac:dyDescent="0.3">
      <c r="A1090" s="21">
        <v>45426.349305999996</v>
      </c>
      <c r="B1090" s="18">
        <v>69.386329000000003</v>
      </c>
    </row>
    <row r="1091" spans="1:2" x14ac:dyDescent="0.3">
      <c r="A1091" s="21">
        <v>45426.35</v>
      </c>
      <c r="B1091" s="18">
        <v>70.069149999999993</v>
      </c>
    </row>
    <row r="1092" spans="1:2" x14ac:dyDescent="0.3">
      <c r="A1092" s="21">
        <v>45426.350694000001</v>
      </c>
      <c r="B1092" s="18">
        <v>69.633193000000006</v>
      </c>
    </row>
    <row r="1093" spans="1:2" x14ac:dyDescent="0.3">
      <c r="A1093" s="21">
        <v>45426.351389000003</v>
      </c>
      <c r="B1093" s="18">
        <v>68.724795</v>
      </c>
    </row>
    <row r="1094" spans="1:2" x14ac:dyDescent="0.3">
      <c r="A1094" s="21">
        <v>45426.352082999998</v>
      </c>
      <c r="B1094" s="18">
        <v>69.421757999999997</v>
      </c>
    </row>
    <row r="1095" spans="1:2" x14ac:dyDescent="0.3">
      <c r="A1095" s="21">
        <v>45426.352778</v>
      </c>
      <c r="B1095" s="18">
        <v>69.432829999999996</v>
      </c>
    </row>
    <row r="1096" spans="1:2" x14ac:dyDescent="0.3">
      <c r="A1096" s="21">
        <v>45426.353472000003</v>
      </c>
      <c r="B1096" s="18">
        <v>69.093692000000004</v>
      </c>
    </row>
    <row r="1097" spans="1:2" x14ac:dyDescent="0.3">
      <c r="A1097" s="21">
        <v>45426.354166999998</v>
      </c>
      <c r="B1097" s="18">
        <v>69.080567000000002</v>
      </c>
    </row>
    <row r="1098" spans="1:2" x14ac:dyDescent="0.3">
      <c r="A1098" s="21">
        <v>45426.354861</v>
      </c>
      <c r="B1098" s="18">
        <v>17.962406999999999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2026-08-10T14:36:28Z</dcterms:modified>
</cp:coreProperties>
</file>