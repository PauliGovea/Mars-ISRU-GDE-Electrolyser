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toresearch-my.sharepoint.com/personal/paulina_goveaalvarez_vito_be/Documents/Documents/Experiments/2024/20240507 - Ag60 GDE_0.9 M Na2SO4_pH1/"/>
    </mc:Choice>
  </mc:AlternateContent>
  <xr:revisionPtr revIDLastSave="215" documentId="8_{99172C6E-3916-40BE-A50D-EF70DFCC63BC}" xr6:coauthVersionLast="47" xr6:coauthVersionMax="47" xr10:uidLastSave="{EBB52B41-35E0-4378-8C71-E34428D3EE79}"/>
  <bookViews>
    <workbookView xWindow="-96" yWindow="0" windowWidth="11712" windowHeight="12336" xr2:uid="{15374DF8-AA4F-49FF-8BB1-7BFD50C5D9E4}"/>
  </bookViews>
  <sheets>
    <sheet name="Sheet1" sheetId="1" r:id="rId1"/>
    <sheet name="Flow r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P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R3" i="1"/>
  <c r="Q3" i="1"/>
  <c r="C3" i="2"/>
  <c r="D3" i="2" s="1"/>
  <c r="E3" i="2" s="1" a="1"/>
  <c r="E3" i="2" s="1"/>
  <c r="C4" i="1" s="1"/>
  <c r="C4" i="2"/>
  <c r="D4" i="2"/>
  <c r="E4" i="2" s="1" a="1"/>
  <c r="E4" i="2" s="1"/>
  <c r="C5" i="1" s="1"/>
  <c r="C5" i="2"/>
  <c r="D5" i="2"/>
  <c r="E5" i="2" s="1" a="1"/>
  <c r="E5" i="2" s="1"/>
  <c r="C6" i="1" s="1"/>
  <c r="C6" i="2"/>
  <c r="D6" i="2" s="1"/>
  <c r="E6" i="2" s="1" a="1"/>
  <c r="E6" i="2" s="1"/>
  <c r="C7" i="1" s="1"/>
  <c r="C7" i="2"/>
  <c r="D7" i="2"/>
  <c r="E7" i="2" s="1" a="1"/>
  <c r="E7" i="2" s="1"/>
  <c r="C8" i="1" s="1"/>
  <c r="C8" i="2"/>
  <c r="D8" i="2"/>
  <c r="E8" i="2" s="1" a="1"/>
  <c r="E8" i="2" s="1"/>
  <c r="C9" i="1" s="1"/>
  <c r="C9" i="2"/>
  <c r="D9" i="2" s="1"/>
  <c r="E9" i="2" s="1" a="1"/>
  <c r="E9" i="2" s="1"/>
  <c r="C10" i="1" s="1"/>
  <c r="C10" i="2"/>
  <c r="D10" i="2"/>
  <c r="E10" i="2" s="1" a="1"/>
  <c r="E10" i="2" s="1"/>
  <c r="C11" i="1" s="1"/>
  <c r="C11" i="2"/>
  <c r="D11" i="2"/>
  <c r="E11" i="2" s="1" a="1"/>
  <c r="E11" i="2" s="1"/>
  <c r="C12" i="1" s="1"/>
  <c r="C12" i="2"/>
  <c r="D12" i="2" s="1"/>
  <c r="E12" i="2" s="1" a="1"/>
  <c r="E12" i="2" s="1"/>
  <c r="C13" i="1" s="1"/>
  <c r="C13" i="2"/>
  <c r="D13" i="2"/>
  <c r="E13" i="2" s="1" a="1"/>
  <c r="E13" i="2" s="1"/>
  <c r="C14" i="1" s="1"/>
  <c r="C14" i="2"/>
  <c r="D14" i="2"/>
  <c r="E14" i="2" s="1" a="1"/>
  <c r="E14" i="2" s="1"/>
  <c r="C15" i="1" s="1"/>
  <c r="C15" i="2"/>
  <c r="D15" i="2" s="1"/>
  <c r="E15" i="2" s="1" a="1"/>
  <c r="E15" i="2" s="1"/>
  <c r="C16" i="1" s="1"/>
  <c r="C16" i="2"/>
  <c r="D16" i="2"/>
  <c r="E16" i="2" s="1" a="1"/>
  <c r="E16" i="2" s="1"/>
  <c r="C17" i="1" s="1"/>
  <c r="C17" i="2"/>
  <c r="D17" i="2"/>
  <c r="E17" i="2" s="1" a="1"/>
  <c r="E17" i="2" s="1"/>
  <c r="C18" i="1" s="1"/>
  <c r="C18" i="2"/>
  <c r="D18" i="2"/>
  <c r="E18" i="2" a="1"/>
  <c r="E18" i="2" s="1"/>
  <c r="C19" i="1" s="1"/>
  <c r="C19" i="2"/>
  <c r="D19" i="2"/>
  <c r="E19" i="2" s="1" a="1"/>
  <c r="E19" i="2" s="1"/>
  <c r="C20" i="1" s="1"/>
  <c r="C20" i="2"/>
  <c r="D20" i="2"/>
  <c r="E20" i="2" s="1" a="1"/>
  <c r="E20" i="2" s="1"/>
  <c r="C21" i="1" s="1"/>
  <c r="C21" i="2"/>
  <c r="D21" i="2"/>
  <c r="E21" i="2" a="1"/>
  <c r="E21" i="2" s="1"/>
  <c r="C22" i="1" s="1"/>
  <c r="C22" i="2"/>
  <c r="D22" i="2"/>
  <c r="E22" i="2" s="1" a="1"/>
  <c r="E22" i="2" s="1"/>
  <c r="C23" i="1" s="1"/>
  <c r="C23" i="2"/>
  <c r="D23" i="2"/>
  <c r="E23" i="2" s="1" a="1"/>
  <c r="E23" i="2" s="1"/>
  <c r="C24" i="1" s="1"/>
  <c r="C24" i="2"/>
  <c r="D24" i="2"/>
  <c r="E24" i="2" a="1"/>
  <c r="E24" i="2" s="1"/>
  <c r="C25" i="1" s="1"/>
  <c r="C25" i="2"/>
  <c r="D25" i="2"/>
  <c r="E25" i="2" s="1" a="1"/>
  <c r="E25" i="2" s="1"/>
  <c r="C26" i="1" s="1"/>
  <c r="C26" i="2"/>
  <c r="D26" i="2"/>
  <c r="E26" i="2" s="1" a="1"/>
  <c r="E26" i="2" s="1"/>
  <c r="C27" i="1" s="1"/>
  <c r="C27" i="2"/>
  <c r="D27" i="2"/>
  <c r="E27" i="2" a="1"/>
  <c r="E27" i="2" s="1"/>
  <c r="C28" i="1" s="1"/>
  <c r="C28" i="2"/>
  <c r="D28" i="2"/>
  <c r="E28" i="2" s="1" a="1"/>
  <c r="E28" i="2" s="1"/>
  <c r="C29" i="1" s="1"/>
  <c r="C29" i="2"/>
  <c r="D29" i="2"/>
  <c r="E29" i="2" s="1" a="1"/>
  <c r="E29" i="2" s="1"/>
  <c r="C30" i="1" s="1"/>
  <c r="C30" i="2"/>
  <c r="D30" i="2"/>
  <c r="E30" i="2" a="1"/>
  <c r="E30" i="2"/>
  <c r="C31" i="1" s="1"/>
  <c r="C31" i="2"/>
  <c r="D31" i="2"/>
  <c r="E31" i="2" s="1" a="1"/>
  <c r="E31" i="2" s="1"/>
  <c r="C32" i="1" s="1"/>
  <c r="C32" i="2"/>
  <c r="D32" i="2"/>
  <c r="E32" i="2" s="1" a="1"/>
  <c r="E32" i="2" s="1"/>
  <c r="C33" i="1" s="1"/>
  <c r="C33" i="2"/>
  <c r="D33" i="2"/>
  <c r="E33" i="2" a="1"/>
  <c r="E33" i="2"/>
  <c r="C34" i="1" s="1"/>
  <c r="C34" i="2"/>
  <c r="D34" i="2"/>
  <c r="E34" i="2" s="1" a="1"/>
  <c r="E34" i="2" s="1"/>
  <c r="C35" i="1" s="1"/>
  <c r="C35" i="2"/>
  <c r="D35" i="2"/>
  <c r="E35" i="2" s="1" a="1"/>
  <c r="E35" i="2" s="1"/>
  <c r="C36" i="1" s="1"/>
  <c r="C36" i="2"/>
  <c r="D36" i="2"/>
  <c r="E36" i="2" a="1"/>
  <c r="E36" i="2" s="1"/>
  <c r="C37" i="1" s="1"/>
  <c r="C37" i="2"/>
  <c r="D37" i="2"/>
  <c r="E37" i="2" s="1" a="1"/>
  <c r="E37" i="2" s="1"/>
  <c r="C38" i="1" s="1"/>
  <c r="D2" i="2"/>
  <c r="C2" i="2"/>
  <c r="C1" i="2"/>
  <c r="D1" i="2" s="1"/>
  <c r="E1" i="2" s="1" a="1"/>
  <c r="E1" i="2" s="1"/>
  <c r="C2" i="1" s="1"/>
  <c r="E2" i="2" a="1"/>
  <c r="E2" i="2" s="1"/>
  <c r="C3" i="1" s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" i="1"/>
  <c r="Y38" i="1"/>
  <c r="X38" i="1"/>
  <c r="X37" i="1"/>
  <c r="Y36" i="1"/>
  <c r="X36" i="1"/>
  <c r="X35" i="1"/>
  <c r="Y34" i="1"/>
  <c r="X34" i="1"/>
  <c r="X33" i="1"/>
  <c r="Y32" i="1"/>
  <c r="X32" i="1"/>
  <c r="X31" i="1"/>
  <c r="Y30" i="1"/>
  <c r="X30" i="1"/>
  <c r="X29" i="1"/>
  <c r="Y28" i="1"/>
  <c r="X28" i="1"/>
  <c r="X27" i="1"/>
  <c r="Y26" i="1"/>
  <c r="X26" i="1"/>
  <c r="X25" i="1"/>
  <c r="Y24" i="1"/>
  <c r="X24" i="1"/>
  <c r="X23" i="1"/>
  <c r="Y22" i="1"/>
  <c r="X22" i="1"/>
  <c r="X21" i="1"/>
  <c r="Y20" i="1"/>
  <c r="X20" i="1"/>
  <c r="X19" i="1"/>
  <c r="Y18" i="1"/>
  <c r="X18" i="1"/>
  <c r="X17" i="1"/>
  <c r="Y16" i="1"/>
  <c r="X16" i="1"/>
  <c r="X15" i="1"/>
  <c r="Y14" i="1"/>
  <c r="X14" i="1"/>
  <c r="X13" i="1"/>
  <c r="Y12" i="1"/>
  <c r="X12" i="1"/>
  <c r="X11" i="1"/>
  <c r="Y10" i="1"/>
  <c r="X10" i="1"/>
  <c r="X9" i="1"/>
  <c r="Y8" i="1"/>
  <c r="X8" i="1"/>
  <c r="X7" i="1"/>
  <c r="Y6" i="1"/>
  <c r="X6" i="1"/>
  <c r="X5" i="1"/>
  <c r="Y4" i="1"/>
  <c r="X4" i="1"/>
  <c r="X3" i="1"/>
  <c r="S2" i="1"/>
  <c r="R2" i="1"/>
  <c r="Q2" i="1"/>
  <c r="P2" i="1"/>
  <c r="T17" i="1" l="1"/>
  <c r="U17" i="1"/>
  <c r="T10" i="1"/>
  <c r="U10" i="1"/>
  <c r="T35" i="1"/>
  <c r="U35" i="1"/>
  <c r="W35" i="1" s="1"/>
  <c r="T26" i="1"/>
  <c r="U26" i="1"/>
  <c r="T9" i="1"/>
  <c r="U9" i="1"/>
  <c r="T23" i="1"/>
  <c r="U23" i="1"/>
  <c r="T30" i="1"/>
  <c r="U30" i="1"/>
  <c r="T21" i="1"/>
  <c r="U21" i="1"/>
  <c r="U16" i="1"/>
  <c r="T16" i="1"/>
  <c r="U15" i="1"/>
  <c r="T15" i="1"/>
  <c r="U8" i="1"/>
  <c r="T8" i="1"/>
  <c r="W8" i="1" s="1"/>
  <c r="U32" i="1"/>
  <c r="T32" i="1"/>
  <c r="W32" i="1" s="1"/>
  <c r="T34" i="1"/>
  <c r="U34" i="1"/>
  <c r="T25" i="1"/>
  <c r="U25" i="1"/>
  <c r="T38" i="1"/>
  <c r="U38" i="1"/>
  <c r="W38" i="1" s="1"/>
  <c r="T29" i="1"/>
  <c r="U29" i="1"/>
  <c r="U20" i="1"/>
  <c r="T20" i="1"/>
  <c r="W20" i="1" s="1"/>
  <c r="T14" i="1"/>
  <c r="U14" i="1"/>
  <c r="T37" i="1"/>
  <c r="U37" i="1"/>
  <c r="T33" i="1"/>
  <c r="U33" i="1"/>
  <c r="U28" i="1"/>
  <c r="T28" i="1"/>
  <c r="W28" i="1" s="1"/>
  <c r="T24" i="1"/>
  <c r="U24" i="1"/>
  <c r="T19" i="1"/>
  <c r="U19" i="1"/>
  <c r="W19" i="1" s="1"/>
  <c r="T6" i="1"/>
  <c r="U6" i="1"/>
  <c r="U7" i="1"/>
  <c r="T7" i="1"/>
  <c r="T13" i="1"/>
  <c r="U13" i="1"/>
  <c r="T12" i="1"/>
  <c r="U12" i="1"/>
  <c r="T5" i="1"/>
  <c r="U5" i="1"/>
  <c r="T36" i="1"/>
  <c r="U36" i="1"/>
  <c r="T31" i="1"/>
  <c r="U31" i="1"/>
  <c r="W31" i="1" s="1"/>
  <c r="T27" i="1"/>
  <c r="U27" i="1"/>
  <c r="T22" i="1"/>
  <c r="U22" i="1"/>
  <c r="T18" i="1"/>
  <c r="U18" i="1"/>
  <c r="T11" i="1"/>
  <c r="U11" i="1"/>
  <c r="W11" i="1" s="1"/>
  <c r="U4" i="1"/>
  <c r="T4" i="1"/>
  <c r="U3" i="1"/>
  <c r="T3" i="1"/>
  <c r="W7" i="1" l="1"/>
  <c r="W4" i="1"/>
  <c r="W21" i="1"/>
  <c r="W17" i="1"/>
  <c r="W18" i="1"/>
  <c r="W10" i="1"/>
  <c r="W27" i="1"/>
  <c r="W24" i="1"/>
  <c r="W22" i="1"/>
  <c r="W16" i="1"/>
  <c r="W29" i="1"/>
  <c r="W25" i="1"/>
  <c r="W34" i="1"/>
  <c r="W37" i="1"/>
  <c r="W30" i="1"/>
  <c r="W26" i="1"/>
  <c r="W15" i="1"/>
  <c r="W13" i="1"/>
  <c r="W9" i="1"/>
  <c r="W36" i="1"/>
  <c r="W3" i="1"/>
  <c r="W14" i="1"/>
  <c r="W23" i="1"/>
  <c r="W5" i="1"/>
  <c r="W12" i="1"/>
  <c r="W6" i="1"/>
  <c r="W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<sst xmlns="http://schemas.openxmlformats.org/spreadsheetml/2006/main" count="173" uniqueCount="29">
  <si>
    <t>Electrode</t>
  </si>
  <si>
    <t>Inlet flow rate</t>
  </si>
  <si>
    <t>Flow rate (ml min-1)</t>
  </si>
  <si>
    <t>Catholyte</t>
  </si>
  <si>
    <t>Anolyte</t>
  </si>
  <si>
    <t>Membrane</t>
  </si>
  <si>
    <t>Applied current / A</t>
  </si>
  <si>
    <t>Duration / h</t>
  </si>
  <si>
    <t>area(H2)</t>
  </si>
  <si>
    <t>area(CO)</t>
  </si>
  <si>
    <t>area(CO2)</t>
  </si>
  <si>
    <t>area(CH4)</t>
  </si>
  <si>
    <t>area(O2)</t>
  </si>
  <si>
    <t>area(N2)</t>
  </si>
  <si>
    <t>c(H2)</t>
  </si>
  <si>
    <t>c(CO)</t>
  </si>
  <si>
    <t>c(CO2)</t>
  </si>
  <si>
    <t>c(O2)</t>
  </si>
  <si>
    <t>FE(H2)</t>
  </si>
  <si>
    <t>FE(CO)</t>
  </si>
  <si>
    <t>FE(CH4)</t>
  </si>
  <si>
    <t>Total FE</t>
  </si>
  <si>
    <t>Carbon efficiency</t>
  </si>
  <si>
    <t>Ag60 GDE in PTFE holder</t>
  </si>
  <si>
    <t>CCM-CEM</t>
  </si>
  <si>
    <r>
      <t>0.3 M Na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</si>
  <si>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r>
      <t>0.05 M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</si>
  <si>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t>Time</t>
  </si>
  <si>
    <t>0.9Mna2so4ph1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</si>
</sst>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09]m/d/yy\ h:mm\ AM/PM;@"/>
    <numFmt numFmtId="165" formatCode="0.0"/>
    <numFmt numFmtId="166" formatCode="m/d/yy\ h:mm;@"/>
    <numFmt numFmtId="167" formatCode="d/mm/yy\ h:mm;@"/>
    <numFmt numFmtId="168" formatCode="yyyy\-mm\-dd\ hh:mm:ss"/>
    <numFmt numFmtId="170" formatCode="0.0000"/>
  </numFmts>
  <fonts count="9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indexed="72"/>
      <name val="SansSerif"/>
    </font>
    <font>
      <sz val="9"/>
      <color rgb="FF000000"/>
      <name val="SansSerif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3" fillId="5" borderId="0" xfId="0" applyNumberFormat="1" applyFont="1" applyFill="1" applyAlignment="1">
      <alignment horizontal="center"/>
    </xf>
    <xf numFmtId="10" fontId="2" fillId="6" borderId="0" xfId="0" applyNumberFormat="1" applyFont="1" applyFill="1" applyAlignment="1">
      <alignment horizontal="center" vertical="center"/>
    </xf>
    <xf numFmtId="22" fontId="4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164" fontId="6" fillId="4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7" fillId="0" borderId="0" xfId="0" applyFont="1"/>
    <xf numFmtId="0" fontId="0" fillId="0" borderId="0" xfId="0" applyAlignment="1">
      <alignment horizontal="center"/>
    </xf>
    <xf numFmtId="164" fontId="8" fillId="0" borderId="0" xfId="0" applyNumberFormat="1" applyFont="1"/>
    <xf numFmtId="165" fontId="0" fillId="0" borderId="0" xfId="0" applyNumberFormat="1" applyAlignment="1">
      <alignment horizontal="center" vertical="center"/>
    </xf>
    <xf numFmtId="0" fontId="0" fillId="6" borderId="0" xfId="0" applyFill="1"/>
    <xf numFmtId="166" fontId="0" fillId="0" borderId="0" xfId="0" applyNumberFormat="1"/>
    <xf numFmtId="165" fontId="0" fillId="0" borderId="0" xfId="0" applyNumberFormat="1"/>
    <xf numFmtId="22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8" fontId="0" fillId="0" borderId="0" xfId="0" applyNumberFormat="1"/>
    <xf numFmtId="170" fontId="0" fillId="7" borderId="1" xfId="0" applyNumberFormat="1" applyFill="1" applyBorder="1" applyAlignment="1">
      <alignment horizontal="center" vertical="center"/>
    </xf>
    <xf numFmtId="170" fontId="0" fillId="7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EDDA-4846-4EA0-B855-5F628FF13338}">
  <dimension ref="A1:Y103"/>
  <sheetViews>
    <sheetView tabSelected="1" topLeftCell="J1" zoomScale="70" zoomScaleNormal="70" workbookViewId="0">
      <selection activeCell="S4" sqref="S4"/>
    </sheetView>
  </sheetViews>
  <sheetFormatPr defaultRowHeight="14.4" x14ac:dyDescent="0.3"/>
  <cols>
    <col min="1" max="1" width="22.44140625" bestFit="1" customWidth="1"/>
    <col min="2" max="2" width="5.21875" bestFit="1" customWidth="1"/>
    <col min="3" max="3" width="10.33203125" customWidth="1"/>
    <col min="4" max="4" width="14.33203125" customWidth="1"/>
    <col min="5" max="5" width="13.109375" customWidth="1"/>
    <col min="6" max="6" width="13.5546875" customWidth="1"/>
    <col min="7" max="7" width="14.88671875" customWidth="1"/>
    <col min="8" max="8" width="24.77734375" customWidth="1"/>
    <col min="9" max="9" width="11.5546875" bestFit="1" customWidth="1"/>
    <col min="12" max="12" width="10" bestFit="1" customWidth="1"/>
    <col min="13" max="13" width="11.5546875" customWidth="1"/>
    <col min="20" max="20" width="9.6640625" bestFit="1" customWidth="1"/>
    <col min="22" max="22" width="7.6640625" bestFit="1" customWidth="1"/>
    <col min="23" max="23" width="9.6640625" bestFit="1" customWidth="1"/>
  </cols>
  <sheetData>
    <row r="1" spans="1:25" s="11" customFormat="1" ht="34.200000000000003" x14ac:dyDescent="0.25">
      <c r="A1" s="6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27</v>
      </c>
      <c r="I1" s="7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7" t="s">
        <v>21</v>
      </c>
      <c r="X1" s="7" t="s">
        <v>22</v>
      </c>
      <c r="Y1" s="7"/>
    </row>
    <row r="2" spans="1:25" ht="15.6" x14ac:dyDescent="0.35">
      <c r="A2" s="1" t="s">
        <v>23</v>
      </c>
      <c r="B2" s="1">
        <v>60</v>
      </c>
      <c r="C2" s="14">
        <f>+'Flow rate'!E1</f>
        <v>0</v>
      </c>
      <c r="D2" s="1" t="s">
        <v>25</v>
      </c>
      <c r="E2" s="1" t="s">
        <v>26</v>
      </c>
      <c r="F2" s="1" t="s">
        <v>24</v>
      </c>
      <c r="G2" s="1">
        <v>0</v>
      </c>
      <c r="H2" s="13">
        <v>45419.717361111114</v>
      </c>
      <c r="I2" s="2">
        <v>0</v>
      </c>
      <c r="J2" s="12">
        <v>0</v>
      </c>
      <c r="K2" s="12">
        <v>0</v>
      </c>
      <c r="L2">
        <v>0</v>
      </c>
      <c r="N2">
        <v>0</v>
      </c>
      <c r="O2">
        <v>0</v>
      </c>
      <c r="P2" s="3">
        <f t="shared" ref="P2:R2" si="0">+J2/100</f>
        <v>0</v>
      </c>
      <c r="Q2" s="3">
        <f t="shared" si="0"/>
        <v>0</v>
      </c>
      <c r="R2" s="3">
        <f t="shared" si="0"/>
        <v>0</v>
      </c>
      <c r="S2" s="3">
        <f t="shared" ref="S2" si="1">+N2/100</f>
        <v>0</v>
      </c>
      <c r="T2" s="4">
        <v>0</v>
      </c>
      <c r="U2" s="5">
        <v>0</v>
      </c>
      <c r="V2" s="15"/>
      <c r="W2" s="3">
        <v>0</v>
      </c>
      <c r="X2" s="3">
        <v>0</v>
      </c>
    </row>
    <row r="3" spans="1:25" ht="15.6" x14ac:dyDescent="0.35">
      <c r="A3" s="1" t="s">
        <v>23</v>
      </c>
      <c r="B3" s="1">
        <v>60</v>
      </c>
      <c r="C3" s="14">
        <f>+'Flow rate'!E2</f>
        <v>46.687634000000003</v>
      </c>
      <c r="D3" s="1" t="s">
        <v>25</v>
      </c>
      <c r="E3" s="1" t="s">
        <v>26</v>
      </c>
      <c r="F3" s="1" t="s">
        <v>24</v>
      </c>
      <c r="G3" s="1">
        <v>-0.125</v>
      </c>
      <c r="H3" s="13">
        <v>45419.73333333333</v>
      </c>
      <c r="I3" s="2">
        <f>+(H3-H$2)*24</f>
        <v>0.38333333318587393</v>
      </c>
      <c r="J3" s="21">
        <v>1.7161828842284408</v>
      </c>
      <c r="K3" s="21">
        <v>0</v>
      </c>
      <c r="L3" s="21">
        <v>95.732223645077283</v>
      </c>
      <c r="N3" s="21">
        <v>1.3697779181785261</v>
      </c>
      <c r="O3" s="21">
        <v>5.0660288857236484</v>
      </c>
      <c r="P3" s="3">
        <f>+J3/SUM($J3:$O3)</f>
        <v>1.6520150936926246E-2</v>
      </c>
      <c r="Q3" s="3">
        <f>+K3/SUM($J3:$O3)</f>
        <v>0</v>
      </c>
      <c r="R3" s="3">
        <f>+L3/SUM($J3:$O3)</f>
        <v>0.9215281184063725</v>
      </c>
      <c r="S3" s="3">
        <f>+N3/SUM($J3:$O3)</f>
        <v>1.3185621512914313E-2</v>
      </c>
      <c r="T3" s="4">
        <f>+P3*C3/1000/60/24.3*2*96485/-1/G3</f>
        <v>0.81665408058601441</v>
      </c>
      <c r="U3" s="5">
        <f>+Q3*C3/1000/60/24.3*2*96485/-1/G3</f>
        <v>0</v>
      </c>
      <c r="V3" s="15"/>
      <c r="W3" s="3">
        <f t="shared" ref="W3:W38" si="2">+T3+U3</f>
        <v>0.81665408058601441</v>
      </c>
      <c r="X3" s="3">
        <f t="shared" ref="X3:X38" si="3">+K3/(K3+L3)</f>
        <v>0</v>
      </c>
    </row>
    <row r="4" spans="1:25" ht="15.6" x14ac:dyDescent="0.35">
      <c r="A4" s="1" t="s">
        <v>23</v>
      </c>
      <c r="B4" s="1">
        <v>60</v>
      </c>
      <c r="C4" s="14">
        <f>+'Flow rate'!E3</f>
        <v>55.572288999999998</v>
      </c>
      <c r="D4" s="1" t="s">
        <v>25</v>
      </c>
      <c r="E4" s="1" t="s">
        <v>26</v>
      </c>
      <c r="F4" s="1" t="s">
        <v>24</v>
      </c>
      <c r="G4" s="1">
        <v>-0.125</v>
      </c>
      <c r="H4" s="13">
        <v>45419.769444444442</v>
      </c>
      <c r="I4" s="2">
        <f t="shared" ref="I4:I38" si="4">+(H4-H$2)*24</f>
        <v>1.2499999998835847</v>
      </c>
      <c r="J4" s="21">
        <v>1.7495883365606133</v>
      </c>
      <c r="K4" s="21">
        <v>0</v>
      </c>
      <c r="L4" s="21">
        <v>100.51108537815904</v>
      </c>
      <c r="N4" s="21">
        <v>0.11419000436870715</v>
      </c>
      <c r="O4" s="21">
        <v>0.24038095700692233</v>
      </c>
      <c r="P4" s="3">
        <f t="shared" ref="P4:P38" si="5">+J4/SUM($J4:$O4)</f>
        <v>1.7049984552326352E-2</v>
      </c>
      <c r="Q4" s="3">
        <f t="shared" ref="Q4:Q38" si="6">+K4/SUM($J4:$O4)</f>
        <v>0</v>
      </c>
      <c r="R4" s="3">
        <f t="shared" ref="R4:R38" si="7">+L4/SUM($J4:$O4)</f>
        <v>0.97949467153172021</v>
      </c>
      <c r="S4" s="3">
        <f t="shared" ref="S4:S38" si="8">+N4/SUM($J4:$O4)</f>
        <v>1.1127976620739692E-3</v>
      </c>
      <c r="T4" s="4">
        <f t="shared" ref="T4:T38" si="9">+P4*C4/1000/60/24.3*2*96485/-1/G4</f>
        <v>1.0032392971989113</v>
      </c>
      <c r="U4" s="5">
        <f t="shared" ref="U4:U38" si="10">+Q4*C4/1000/60/24.3*2*96485/-1/G4</f>
        <v>0</v>
      </c>
      <c r="V4" s="15"/>
      <c r="W4" s="3">
        <f t="shared" si="2"/>
        <v>1.0032392971989113</v>
      </c>
      <c r="X4" s="3">
        <f t="shared" si="3"/>
        <v>0</v>
      </c>
      <c r="Y4">
        <f>+SUM(K4:L4)</f>
        <v>100.51108537815904</v>
      </c>
    </row>
    <row r="5" spans="1:25" ht="15.6" x14ac:dyDescent="0.35">
      <c r="A5" s="1" t="s">
        <v>23</v>
      </c>
      <c r="B5" s="1">
        <v>60</v>
      </c>
      <c r="C5" s="14">
        <f>+'Flow rate'!E4</f>
        <v>58.396965000000002</v>
      </c>
      <c r="D5" s="1" t="s">
        <v>25</v>
      </c>
      <c r="E5" s="1" t="s">
        <v>26</v>
      </c>
      <c r="F5" s="1" t="s">
        <v>24</v>
      </c>
      <c r="G5" s="1">
        <v>-0.125</v>
      </c>
      <c r="H5" s="13">
        <v>45419.794444444444</v>
      </c>
      <c r="I5" s="2">
        <f t="shared" si="4"/>
        <v>1.8499999999185093</v>
      </c>
      <c r="J5" s="21">
        <v>1.6959870798180552</v>
      </c>
      <c r="K5" s="21">
        <v>0</v>
      </c>
      <c r="L5" s="21">
        <v>100.77367994285203</v>
      </c>
      <c r="N5" s="21">
        <v>8.6353764592286622E-2</v>
      </c>
      <c r="O5" s="21">
        <v>0.194124547187154</v>
      </c>
      <c r="P5" s="3">
        <f t="shared" si="5"/>
        <v>1.650593363442605E-2</v>
      </c>
      <c r="Q5" s="3">
        <f t="shared" si="6"/>
        <v>0</v>
      </c>
      <c r="R5" s="3">
        <f t="shared" si="7"/>
        <v>0.98076435429688058</v>
      </c>
      <c r="S5" s="3">
        <f t="shared" si="8"/>
        <v>8.404247440352222E-4</v>
      </c>
      <c r="T5" s="4">
        <f t="shared" si="9"/>
        <v>1.0205931075683106</v>
      </c>
      <c r="U5" s="5">
        <f t="shared" si="10"/>
        <v>0</v>
      </c>
      <c r="V5" s="15"/>
      <c r="W5" s="3">
        <f t="shared" si="2"/>
        <v>1.0205931075683106</v>
      </c>
      <c r="X5" s="3">
        <f t="shared" si="3"/>
        <v>0</v>
      </c>
    </row>
    <row r="6" spans="1:25" ht="15.6" x14ac:dyDescent="0.35">
      <c r="A6" s="1" t="s">
        <v>23</v>
      </c>
      <c r="B6" s="1">
        <v>60</v>
      </c>
      <c r="C6" s="14">
        <f>+'Flow rate'!E5</f>
        <v>60.111221</v>
      </c>
      <c r="D6" s="1" t="s">
        <v>25</v>
      </c>
      <c r="E6" s="1" t="s">
        <v>26</v>
      </c>
      <c r="F6" s="1" t="s">
        <v>24</v>
      </c>
      <c r="G6" s="1">
        <v>-0.27</v>
      </c>
      <c r="H6" s="13">
        <v>45419.811805555553</v>
      </c>
      <c r="I6" s="2">
        <f t="shared" si="4"/>
        <v>2.2666666665463708</v>
      </c>
      <c r="J6" s="21">
        <v>3.1588748024925435</v>
      </c>
      <c r="K6" s="21">
        <v>0</v>
      </c>
      <c r="L6" s="21">
        <v>99.279628433628176</v>
      </c>
      <c r="N6" s="21">
        <v>6.7707935191447063E-2</v>
      </c>
      <c r="O6" s="21">
        <v>0.14234264683422718</v>
      </c>
      <c r="P6" s="3">
        <f t="shared" si="5"/>
        <v>3.0773690276132384E-2</v>
      </c>
      <c r="Q6" s="3">
        <f t="shared" si="6"/>
        <v>0</v>
      </c>
      <c r="R6" s="3">
        <f t="shared" si="7"/>
        <v>0.96718000147876748</v>
      </c>
      <c r="S6" s="3">
        <f t="shared" si="8"/>
        <v>6.5960924604353789E-4</v>
      </c>
      <c r="T6" s="4">
        <f t="shared" si="9"/>
        <v>0.9067835579731105</v>
      </c>
      <c r="U6" s="5">
        <f t="shared" si="10"/>
        <v>0</v>
      </c>
      <c r="V6" s="15"/>
      <c r="W6" s="3">
        <f t="shared" si="2"/>
        <v>0.9067835579731105</v>
      </c>
      <c r="X6" s="3">
        <f t="shared" si="3"/>
        <v>0</v>
      </c>
      <c r="Y6">
        <f>+SUM(K6:L6)</f>
        <v>99.279628433628176</v>
      </c>
    </row>
    <row r="7" spans="1:25" ht="15.6" x14ac:dyDescent="0.35">
      <c r="A7" s="1" t="s">
        <v>23</v>
      </c>
      <c r="B7" s="1">
        <v>60</v>
      </c>
      <c r="C7" s="14">
        <f>+'Flow rate'!E6</f>
        <v>60.401743000000003</v>
      </c>
      <c r="D7" s="1" t="s">
        <v>25</v>
      </c>
      <c r="E7" s="1" t="s">
        <v>26</v>
      </c>
      <c r="F7" s="1" t="s">
        <v>24</v>
      </c>
      <c r="G7" s="1">
        <v>-0.27</v>
      </c>
      <c r="H7" s="13">
        <v>45419.829861111109</v>
      </c>
      <c r="I7" s="2">
        <f t="shared" si="4"/>
        <v>2.6999999998952262</v>
      </c>
      <c r="J7" s="21">
        <v>3.417836095519764</v>
      </c>
      <c r="K7" s="21">
        <v>0</v>
      </c>
      <c r="L7" s="21">
        <v>99.087343861746305</v>
      </c>
      <c r="N7" s="21">
        <v>5.7000376641451182E-2</v>
      </c>
      <c r="O7" s="21">
        <v>0.11420716361808457</v>
      </c>
      <c r="P7" s="3">
        <f t="shared" si="5"/>
        <v>3.3287459549569076E-2</v>
      </c>
      <c r="Q7" s="3">
        <f t="shared" si="6"/>
        <v>0</v>
      </c>
      <c r="R7" s="3">
        <f t="shared" si="7"/>
        <v>0.96504509241849012</v>
      </c>
      <c r="S7" s="3">
        <f t="shared" si="8"/>
        <v>5.5514591066835913E-4</v>
      </c>
      <c r="T7" s="4">
        <f t="shared" si="9"/>
        <v>0.98559531756347241</v>
      </c>
      <c r="U7" s="5">
        <f t="shared" si="10"/>
        <v>0</v>
      </c>
      <c r="V7" s="15"/>
      <c r="W7" s="3">
        <f t="shared" si="2"/>
        <v>0.98559531756347241</v>
      </c>
      <c r="X7" s="3">
        <f t="shared" si="3"/>
        <v>0</v>
      </c>
    </row>
    <row r="8" spans="1:25" ht="15.6" x14ac:dyDescent="0.35">
      <c r="A8" s="1" t="s">
        <v>23</v>
      </c>
      <c r="B8" s="1">
        <v>60</v>
      </c>
      <c r="C8" s="14">
        <f>+'Flow rate'!E7</f>
        <v>60.878371999999999</v>
      </c>
      <c r="D8" s="1" t="s">
        <v>25</v>
      </c>
      <c r="E8" s="1" t="s">
        <v>26</v>
      </c>
      <c r="F8" s="1" t="s">
        <v>24</v>
      </c>
      <c r="G8" s="1">
        <v>-0.27</v>
      </c>
      <c r="H8" s="13">
        <v>45419.854861111111</v>
      </c>
      <c r="I8" s="2">
        <f t="shared" si="4"/>
        <v>3.2999999999301508</v>
      </c>
      <c r="J8" s="21">
        <v>3.4063758783411875</v>
      </c>
      <c r="K8" s="21">
        <v>0</v>
      </c>
      <c r="L8" s="21">
        <v>99.141916079016767</v>
      </c>
      <c r="N8" s="21">
        <v>5.1700289516652016E-2</v>
      </c>
      <c r="O8" s="21">
        <v>0.10948508928584495</v>
      </c>
      <c r="P8" s="3">
        <f t="shared" si="5"/>
        <v>3.3165156387588011E-2</v>
      </c>
      <c r="Q8" s="3">
        <f t="shared" si="6"/>
        <v>0</v>
      </c>
      <c r="R8" s="3">
        <f t="shared" si="7"/>
        <v>0.96526551054809362</v>
      </c>
      <c r="S8" s="3">
        <f t="shared" si="8"/>
        <v>5.0336435212731956E-4</v>
      </c>
      <c r="T8" s="4">
        <f t="shared" si="9"/>
        <v>0.98972283006274309</v>
      </c>
      <c r="U8" s="5">
        <f t="shared" si="10"/>
        <v>0</v>
      </c>
      <c r="V8" s="15"/>
      <c r="W8" s="3">
        <f t="shared" si="2"/>
        <v>0.98972283006274309</v>
      </c>
      <c r="X8" s="3">
        <f t="shared" si="3"/>
        <v>0</v>
      </c>
      <c r="Y8">
        <f>+SUM(K8:L8)</f>
        <v>99.141916079016767</v>
      </c>
    </row>
    <row r="9" spans="1:25" ht="15.6" x14ac:dyDescent="0.35">
      <c r="A9" s="1" t="s">
        <v>23</v>
      </c>
      <c r="B9" s="1">
        <v>60</v>
      </c>
      <c r="C9" s="14">
        <f>+'Flow rate'!E8</f>
        <v>62.011384999999997</v>
      </c>
      <c r="D9" s="1" t="s">
        <v>25</v>
      </c>
      <c r="E9" s="1" t="s">
        <v>26</v>
      </c>
      <c r="F9" s="1" t="s">
        <v>24</v>
      </c>
      <c r="G9" s="1">
        <v>-0.27</v>
      </c>
      <c r="H9" s="13">
        <v>45419.87222222222</v>
      </c>
      <c r="I9" s="2">
        <f t="shared" si="4"/>
        <v>3.7166666665580124</v>
      </c>
      <c r="J9" s="21">
        <v>3.3856516301815121</v>
      </c>
      <c r="K9" s="21">
        <v>0</v>
      </c>
      <c r="L9" s="21">
        <v>99.155556653831013</v>
      </c>
      <c r="N9" s="21">
        <v>4.2737254469181085E-2</v>
      </c>
      <c r="O9" s="21">
        <v>7.9868698770879071E-2</v>
      </c>
      <c r="P9" s="3">
        <f t="shared" si="5"/>
        <v>3.2978042510259611E-2</v>
      </c>
      <c r="Q9" s="3">
        <f t="shared" si="6"/>
        <v>0</v>
      </c>
      <c r="R9" s="3">
        <f t="shared" si="7"/>
        <v>0.96582771047923355</v>
      </c>
      <c r="S9" s="3">
        <f t="shared" si="8"/>
        <v>4.162835248884942E-4</v>
      </c>
      <c r="T9" s="4">
        <f t="shared" si="9"/>
        <v>1.002454831765343</v>
      </c>
      <c r="U9" s="5">
        <f t="shared" si="10"/>
        <v>0</v>
      </c>
      <c r="V9" s="15"/>
      <c r="W9" s="3">
        <f t="shared" si="2"/>
        <v>1.002454831765343</v>
      </c>
      <c r="X9" s="3">
        <f t="shared" si="3"/>
        <v>0</v>
      </c>
    </row>
    <row r="10" spans="1:25" ht="15.6" x14ac:dyDescent="0.35">
      <c r="A10" s="1" t="s">
        <v>23</v>
      </c>
      <c r="B10" s="1">
        <v>60</v>
      </c>
      <c r="C10" s="14">
        <f>+'Flow rate'!E9</f>
        <v>65.106014999999999</v>
      </c>
      <c r="D10" s="1" t="s">
        <v>25</v>
      </c>
      <c r="E10" s="1" t="s">
        <v>26</v>
      </c>
      <c r="F10" s="1" t="s">
        <v>24</v>
      </c>
      <c r="G10" s="1">
        <v>-0.52</v>
      </c>
      <c r="H10" s="13">
        <v>45419.895833333336</v>
      </c>
      <c r="I10" s="2">
        <f t="shared" si="4"/>
        <v>4.2833333333255723</v>
      </c>
      <c r="J10" s="21">
        <v>5.7731344648966045</v>
      </c>
      <c r="K10" s="21">
        <v>0</v>
      </c>
      <c r="L10" s="21">
        <v>96.8025254484958</v>
      </c>
      <c r="N10" s="21">
        <v>4.0965012798327732E-2</v>
      </c>
      <c r="O10" s="21">
        <v>7.5598597252614988E-2</v>
      </c>
      <c r="P10" s="3">
        <f t="shared" si="5"/>
        <v>5.6217834874114594E-2</v>
      </c>
      <c r="Q10" s="3">
        <f t="shared" si="6"/>
        <v>0</v>
      </c>
      <c r="R10" s="3">
        <f t="shared" si="7"/>
        <v>0.94264708784299522</v>
      </c>
      <c r="S10" s="3">
        <f t="shared" si="8"/>
        <v>3.9891056394329542E-4</v>
      </c>
      <c r="T10" s="4">
        <f t="shared" si="9"/>
        <v>0.93158858570253855</v>
      </c>
      <c r="U10" s="5">
        <f t="shared" si="10"/>
        <v>0</v>
      </c>
      <c r="V10" s="15"/>
      <c r="W10" s="3">
        <f t="shared" si="2"/>
        <v>0.93158858570253855</v>
      </c>
      <c r="X10" s="3">
        <f t="shared" si="3"/>
        <v>0</v>
      </c>
      <c r="Y10">
        <f>+SUM(K10:L10)</f>
        <v>96.8025254484958</v>
      </c>
    </row>
    <row r="11" spans="1:25" ht="15.6" x14ac:dyDescent="0.35">
      <c r="A11" s="1" t="s">
        <v>23</v>
      </c>
      <c r="B11" s="1">
        <v>60</v>
      </c>
      <c r="C11" s="14">
        <f>+'Flow rate'!E10</f>
        <v>64.538811999999993</v>
      </c>
      <c r="D11" s="1" t="s">
        <v>25</v>
      </c>
      <c r="E11" s="1" t="s">
        <v>26</v>
      </c>
      <c r="F11" s="1" t="s">
        <v>24</v>
      </c>
      <c r="G11" s="1">
        <v>-0.52</v>
      </c>
      <c r="H11" s="13">
        <v>45419.913888888892</v>
      </c>
      <c r="I11" s="2">
        <f t="shared" si="4"/>
        <v>4.7166666666744277</v>
      </c>
      <c r="J11" s="21">
        <v>6.1129780135867762</v>
      </c>
      <c r="K11" s="21">
        <v>0</v>
      </c>
      <c r="L11" s="21">
        <v>96.492471168008819</v>
      </c>
      <c r="N11" s="21">
        <v>3.8400539506600648E-2</v>
      </c>
      <c r="O11" s="21">
        <v>6.7148507905045479E-2</v>
      </c>
      <c r="P11" s="3">
        <f t="shared" si="5"/>
        <v>5.951629444742728E-2</v>
      </c>
      <c r="Q11" s="3">
        <f t="shared" si="6"/>
        <v>0</v>
      </c>
      <c r="R11" s="3">
        <f t="shared" si="7"/>
        <v>0.93945607414764465</v>
      </c>
      <c r="S11" s="3">
        <f t="shared" si="8"/>
        <v>3.7386979163596249E-4</v>
      </c>
      <c r="T11" s="4">
        <f t="shared" si="9"/>
        <v>0.9776553468393584</v>
      </c>
      <c r="U11" s="5">
        <f t="shared" si="10"/>
        <v>0</v>
      </c>
      <c r="V11" s="15"/>
      <c r="W11" s="3">
        <f t="shared" si="2"/>
        <v>0.9776553468393584</v>
      </c>
      <c r="X11" s="3">
        <f t="shared" si="3"/>
        <v>0</v>
      </c>
    </row>
    <row r="12" spans="1:25" ht="15.6" x14ac:dyDescent="0.35">
      <c r="A12" s="1" t="s">
        <v>23</v>
      </c>
      <c r="B12" s="1">
        <v>60</v>
      </c>
      <c r="C12" s="14">
        <f>+'Flow rate'!E11</f>
        <v>64.864506000000006</v>
      </c>
      <c r="D12" s="1" t="s">
        <v>25</v>
      </c>
      <c r="E12" s="1" t="s">
        <v>26</v>
      </c>
      <c r="F12" s="1" t="s">
        <v>24</v>
      </c>
      <c r="G12" s="1">
        <v>-0.52</v>
      </c>
      <c r="H12" s="13">
        <v>45419.938888888886</v>
      </c>
      <c r="I12" s="2">
        <f t="shared" si="4"/>
        <v>5.3166666665347293</v>
      </c>
      <c r="J12" s="21">
        <v>6.1329894771543865</v>
      </c>
      <c r="K12" s="21">
        <v>0</v>
      </c>
      <c r="L12" s="21">
        <v>96.488681017447874</v>
      </c>
      <c r="N12" s="21">
        <v>3.8455881651721389E-2</v>
      </c>
      <c r="O12" s="21">
        <v>7.2161169626488497E-2</v>
      </c>
      <c r="P12" s="3">
        <f t="shared" si="5"/>
        <v>5.9698753173537379E-2</v>
      </c>
      <c r="Q12" s="3">
        <f t="shared" si="6"/>
        <v>0</v>
      </c>
      <c r="R12" s="3">
        <f t="shared" si="7"/>
        <v>0.93922449623596493</v>
      </c>
      <c r="S12" s="3">
        <f t="shared" si="8"/>
        <v>3.7433101676575544E-4</v>
      </c>
      <c r="T12" s="4">
        <f t="shared" si="9"/>
        <v>0.98560138472823988</v>
      </c>
      <c r="U12" s="5">
        <f t="shared" si="10"/>
        <v>0</v>
      </c>
      <c r="V12" s="15"/>
      <c r="W12" s="3">
        <f t="shared" si="2"/>
        <v>0.98560138472823988</v>
      </c>
      <c r="X12" s="3">
        <f t="shared" si="3"/>
        <v>0</v>
      </c>
      <c r="Y12">
        <f>+SUM(K12:L12)</f>
        <v>96.488681017447874</v>
      </c>
    </row>
    <row r="13" spans="1:25" ht="15.6" x14ac:dyDescent="0.35">
      <c r="A13" s="1" t="s">
        <v>23</v>
      </c>
      <c r="B13" s="1">
        <v>60</v>
      </c>
      <c r="C13" s="14">
        <f>+'Flow rate'!E12</f>
        <v>65.142622000000003</v>
      </c>
      <c r="D13" s="1" t="s">
        <v>25</v>
      </c>
      <c r="E13" s="1" t="s">
        <v>26</v>
      </c>
      <c r="F13" s="1" t="s">
        <v>24</v>
      </c>
      <c r="G13" s="1">
        <v>-0.52</v>
      </c>
      <c r="H13" s="13">
        <v>45419.956250000003</v>
      </c>
      <c r="I13" s="2">
        <f t="shared" si="4"/>
        <v>5.7333333333372138</v>
      </c>
      <c r="J13" s="21">
        <v>6.1418638621972299</v>
      </c>
      <c r="K13" s="21">
        <v>0</v>
      </c>
      <c r="L13" s="21">
        <v>96.479371308607028</v>
      </c>
      <c r="N13" s="21">
        <v>3.558604600838014E-2</v>
      </c>
      <c r="O13" s="21">
        <v>6.5017845799596227E-2</v>
      </c>
      <c r="P13" s="3">
        <f t="shared" si="5"/>
        <v>5.9791217897233795E-2</v>
      </c>
      <c r="Q13" s="3">
        <f t="shared" si="6"/>
        <v>0</v>
      </c>
      <c r="R13" s="3">
        <f t="shared" si="7"/>
        <v>0.93922940037901559</v>
      </c>
      <c r="S13" s="3">
        <f t="shared" si="8"/>
        <v>3.4643116140754951E-4</v>
      </c>
      <c r="T13" s="4">
        <f t="shared" si="9"/>
        <v>0.99136039310151058</v>
      </c>
      <c r="U13" s="5">
        <f t="shared" si="10"/>
        <v>0</v>
      </c>
      <c r="V13" s="15"/>
      <c r="W13" s="3">
        <f t="shared" si="2"/>
        <v>0.99136039310151058</v>
      </c>
      <c r="X13" s="3">
        <f t="shared" si="3"/>
        <v>0</v>
      </c>
    </row>
    <row r="14" spans="1:25" ht="15.6" x14ac:dyDescent="0.35">
      <c r="A14" s="1" t="s">
        <v>23</v>
      </c>
      <c r="B14" s="1">
        <v>60</v>
      </c>
      <c r="C14" s="14">
        <f>+'Flow rate'!E13</f>
        <v>67.294870000000003</v>
      </c>
      <c r="D14" s="1" t="s">
        <v>25</v>
      </c>
      <c r="E14" s="1" t="s">
        <v>26</v>
      </c>
      <c r="F14" s="1" t="s">
        <v>24</v>
      </c>
      <c r="G14" s="1">
        <v>-0.77</v>
      </c>
      <c r="H14" s="13">
        <v>45419.979861111111</v>
      </c>
      <c r="I14" s="2">
        <f t="shared" si="4"/>
        <v>6.2999999999301508</v>
      </c>
      <c r="J14" s="21">
        <v>8.4669520205166933</v>
      </c>
      <c r="K14" s="21">
        <v>0</v>
      </c>
      <c r="L14" s="21">
        <v>94.197648509459782</v>
      </c>
      <c r="N14" s="21">
        <v>3.6593195995025515E-2</v>
      </c>
      <c r="O14" s="21">
        <v>6.3900904179558918E-2</v>
      </c>
      <c r="P14" s="3">
        <f t="shared" si="5"/>
        <v>8.2391322179861143E-2</v>
      </c>
      <c r="Q14" s="3">
        <f t="shared" si="6"/>
        <v>0</v>
      </c>
      <c r="R14" s="3">
        <f t="shared" si="7"/>
        <v>0.91663077670949178</v>
      </c>
      <c r="S14" s="3">
        <f t="shared" si="8"/>
        <v>3.5608584925381025E-4</v>
      </c>
      <c r="T14" s="4">
        <f t="shared" si="9"/>
        <v>0.95302650351697282</v>
      </c>
      <c r="U14" s="5">
        <f t="shared" si="10"/>
        <v>0</v>
      </c>
      <c r="V14" s="15"/>
      <c r="W14" s="3">
        <f t="shared" si="2"/>
        <v>0.95302650351697282</v>
      </c>
      <c r="X14" s="3">
        <f t="shared" si="3"/>
        <v>0</v>
      </c>
      <c r="Y14">
        <f>+SUM(K14:L14)</f>
        <v>94.197648509459782</v>
      </c>
    </row>
    <row r="15" spans="1:25" ht="15.6" x14ac:dyDescent="0.35">
      <c r="A15" s="1" t="s">
        <v>23</v>
      </c>
      <c r="B15" s="1">
        <v>60</v>
      </c>
      <c r="C15" s="14">
        <f>+'Flow rate'!E14</f>
        <v>67.479331000000002</v>
      </c>
      <c r="D15" s="1" t="s">
        <v>25</v>
      </c>
      <c r="E15" s="1" t="s">
        <v>26</v>
      </c>
      <c r="F15" s="1" t="s">
        <v>24</v>
      </c>
      <c r="G15" s="1">
        <v>-0.77</v>
      </c>
      <c r="H15" s="13">
        <v>45419.997916666667</v>
      </c>
      <c r="I15" s="2">
        <f t="shared" si="4"/>
        <v>6.7333333332790062</v>
      </c>
      <c r="J15" s="21">
        <v>8.7173237531757835</v>
      </c>
      <c r="K15" s="21">
        <v>0</v>
      </c>
      <c r="L15" s="21">
        <v>94.002853394448664</v>
      </c>
      <c r="N15" s="21">
        <v>3.8743554935682663E-2</v>
      </c>
      <c r="O15" s="21">
        <v>7.215508402671586E-2</v>
      </c>
      <c r="P15" s="3">
        <f t="shared" si="5"/>
        <v>8.4773242781856231E-2</v>
      </c>
      <c r="Q15" s="3">
        <f t="shared" si="6"/>
        <v>0</v>
      </c>
      <c r="R15" s="3">
        <f t="shared" si="7"/>
        <v>0.91414830269343816</v>
      </c>
      <c r="S15" s="3">
        <f t="shared" si="8"/>
        <v>3.7676893525931903E-4</v>
      </c>
      <c r="T15" s="4">
        <f t="shared" si="9"/>
        <v>0.98326620410936272</v>
      </c>
      <c r="U15" s="5">
        <f t="shared" si="10"/>
        <v>0</v>
      </c>
      <c r="V15" s="15"/>
      <c r="W15" s="3">
        <f t="shared" si="2"/>
        <v>0.98326620410936272</v>
      </c>
      <c r="X15" s="3">
        <f t="shared" si="3"/>
        <v>0</v>
      </c>
    </row>
    <row r="16" spans="1:25" ht="15.6" x14ac:dyDescent="0.35">
      <c r="A16" s="1" t="s">
        <v>23</v>
      </c>
      <c r="B16" s="1">
        <v>60</v>
      </c>
      <c r="C16" s="14">
        <f>+'Flow rate'!E15</f>
        <v>66.490838999999994</v>
      </c>
      <c r="D16" s="1" t="s">
        <v>25</v>
      </c>
      <c r="E16" s="1" t="s">
        <v>26</v>
      </c>
      <c r="F16" s="1" t="s">
        <v>24</v>
      </c>
      <c r="G16" s="1">
        <v>-0.77</v>
      </c>
      <c r="H16" s="13">
        <v>45420.022916666669</v>
      </c>
      <c r="I16" s="2">
        <f t="shared" si="4"/>
        <v>7.3333333333139308</v>
      </c>
      <c r="J16" s="21">
        <v>8.7572187260789534</v>
      </c>
      <c r="K16" s="21">
        <v>0</v>
      </c>
      <c r="L16" s="21">
        <v>93.942944091983136</v>
      </c>
      <c r="N16" s="21">
        <v>3.7467546496233677E-2</v>
      </c>
      <c r="O16" s="21">
        <v>6.7991480504495161E-2</v>
      </c>
      <c r="P16" s="3">
        <f t="shared" si="5"/>
        <v>8.5182294206408854E-2</v>
      </c>
      <c r="Q16" s="3">
        <f t="shared" si="6"/>
        <v>0</v>
      </c>
      <c r="R16" s="3">
        <f t="shared" si="7"/>
        <v>0.91379189587086473</v>
      </c>
      <c r="S16" s="3">
        <f t="shared" si="8"/>
        <v>3.6445036588271984E-4</v>
      </c>
      <c r="T16" s="4">
        <f t="shared" si="9"/>
        <v>0.97353751911656061</v>
      </c>
      <c r="U16" s="5">
        <f t="shared" si="10"/>
        <v>0</v>
      </c>
      <c r="V16" s="15"/>
      <c r="W16" s="3">
        <f t="shared" si="2"/>
        <v>0.97353751911656061</v>
      </c>
      <c r="X16" s="3">
        <f t="shared" si="3"/>
        <v>0</v>
      </c>
      <c r="Y16">
        <f>+SUM(K16:L16)</f>
        <v>93.942944091983136</v>
      </c>
    </row>
    <row r="17" spans="1:25" ht="15.6" x14ac:dyDescent="0.35">
      <c r="A17" s="1" t="s">
        <v>23</v>
      </c>
      <c r="B17" s="1">
        <v>60</v>
      </c>
      <c r="C17" s="14">
        <f>+'Flow rate'!E16</f>
        <v>67.513638</v>
      </c>
      <c r="D17" s="1" t="s">
        <v>25</v>
      </c>
      <c r="E17" s="1" t="s">
        <v>26</v>
      </c>
      <c r="F17" s="1" t="s">
        <v>24</v>
      </c>
      <c r="G17" s="1">
        <v>-0.77</v>
      </c>
      <c r="H17" s="13">
        <v>45420.040277777778</v>
      </c>
      <c r="I17" s="2">
        <f t="shared" si="4"/>
        <v>7.7499999999417923</v>
      </c>
      <c r="J17" s="21">
        <v>8.776457403917437</v>
      </c>
      <c r="K17" s="21">
        <v>0</v>
      </c>
      <c r="L17" s="21">
        <v>93.904986292461501</v>
      </c>
      <c r="N17" s="21">
        <v>3.5384652249910442E-2</v>
      </c>
      <c r="O17" s="21">
        <v>6.2186637535563E-2</v>
      </c>
      <c r="P17" s="3">
        <f t="shared" si="5"/>
        <v>8.5391530606699032E-2</v>
      </c>
      <c r="Q17" s="3">
        <f t="shared" si="6"/>
        <v>0</v>
      </c>
      <c r="R17" s="3">
        <f t="shared" si="7"/>
        <v>0.91365913854207026</v>
      </c>
      <c r="S17" s="3">
        <f t="shared" si="8"/>
        <v>3.4427895864417207E-4</v>
      </c>
      <c r="T17" s="4">
        <f t="shared" si="9"/>
        <v>0.99094113457611743</v>
      </c>
      <c r="U17" s="5">
        <f t="shared" si="10"/>
        <v>0</v>
      </c>
      <c r="V17" s="15"/>
      <c r="W17" s="3">
        <f t="shared" si="2"/>
        <v>0.99094113457611743</v>
      </c>
      <c r="X17" s="3">
        <f t="shared" si="3"/>
        <v>0</v>
      </c>
    </row>
    <row r="18" spans="1:25" ht="15.6" x14ac:dyDescent="0.35">
      <c r="A18" s="1" t="s">
        <v>23</v>
      </c>
      <c r="B18" s="1">
        <v>60</v>
      </c>
      <c r="C18" s="14">
        <f>+'Flow rate'!E17</f>
        <v>69.744369000000006</v>
      </c>
      <c r="D18" s="1" t="s">
        <v>25</v>
      </c>
      <c r="E18" s="1" t="s">
        <v>26</v>
      </c>
      <c r="F18" s="1" t="s">
        <v>24</v>
      </c>
      <c r="G18" s="1">
        <v>-1.1000000000000001</v>
      </c>
      <c r="H18" s="13">
        <v>45420.063888888886</v>
      </c>
      <c r="I18" s="2">
        <f t="shared" si="4"/>
        <v>8.3166666665347293</v>
      </c>
      <c r="J18" s="21">
        <v>11.04657006258406</v>
      </c>
      <c r="K18" s="21">
        <v>1.2368375837996045E-3</v>
      </c>
      <c r="L18" s="21">
        <v>91.757234552765297</v>
      </c>
      <c r="N18" s="21">
        <v>3.6071899474109929E-2</v>
      </c>
      <c r="O18" s="21">
        <v>6.1210600956443643E-2</v>
      </c>
      <c r="P18" s="3">
        <f t="shared" si="5"/>
        <v>0.10735005428633923</v>
      </c>
      <c r="Q18" s="3">
        <f t="shared" si="6"/>
        <v>1.2019530135783433E-5</v>
      </c>
      <c r="R18" s="3">
        <f t="shared" si="7"/>
        <v>0.89169253936724047</v>
      </c>
      <c r="S18" s="3">
        <f t="shared" si="8"/>
        <v>3.5054504201924584E-4</v>
      </c>
      <c r="T18" s="4">
        <f t="shared" si="9"/>
        <v>0.90084693554129591</v>
      </c>
      <c r="U18" s="5">
        <f t="shared" si="10"/>
        <v>1.0086400944507618E-4</v>
      </c>
      <c r="V18" s="15"/>
      <c r="W18" s="3">
        <f t="shared" si="2"/>
        <v>0.900947799550741</v>
      </c>
      <c r="X18" s="3">
        <f t="shared" si="3"/>
        <v>1.3479274066565277E-5</v>
      </c>
      <c r="Y18">
        <f>+SUM(K18:L18)</f>
        <v>91.758471390349101</v>
      </c>
    </row>
    <row r="19" spans="1:25" ht="15.6" x14ac:dyDescent="0.35">
      <c r="A19" s="1" t="s">
        <v>23</v>
      </c>
      <c r="B19" s="1">
        <v>60</v>
      </c>
      <c r="C19" s="14">
        <f>+'Flow rate'!E18</f>
        <v>68.365817000000007</v>
      </c>
      <c r="D19" s="1" t="s">
        <v>25</v>
      </c>
      <c r="E19" s="1" t="s">
        <v>26</v>
      </c>
      <c r="F19" s="1" t="s">
        <v>24</v>
      </c>
      <c r="G19" s="1">
        <v>-1.1000000000000001</v>
      </c>
      <c r="H19" s="13">
        <v>45420.081944444442</v>
      </c>
      <c r="I19" s="2">
        <f t="shared" si="4"/>
        <v>8.7499999998835847</v>
      </c>
      <c r="J19" s="21">
        <v>11.247805924327391</v>
      </c>
      <c r="K19" s="21">
        <v>1.9506176634360658E-3</v>
      </c>
      <c r="L19" s="21">
        <v>91.547415667364945</v>
      </c>
      <c r="N19" s="21">
        <v>3.6232067556733347E-2</v>
      </c>
      <c r="O19" s="21">
        <v>5.9163498817120942E-2</v>
      </c>
      <c r="P19" s="3">
        <f t="shared" si="5"/>
        <v>0.10931601929542407</v>
      </c>
      <c r="Q19" s="3">
        <f t="shared" si="6"/>
        <v>1.8957809155737471E-5</v>
      </c>
      <c r="R19" s="3">
        <f t="shared" si="7"/>
        <v>0.88973788531458142</v>
      </c>
      <c r="S19" s="3">
        <f t="shared" si="8"/>
        <v>3.5213493394106726E-4</v>
      </c>
      <c r="T19" s="4">
        <f t="shared" si="9"/>
        <v>0.8992126430368752</v>
      </c>
      <c r="U19" s="5">
        <f t="shared" si="10"/>
        <v>1.5594330809878799E-4</v>
      </c>
      <c r="V19" s="15"/>
      <c r="W19" s="3">
        <f t="shared" si="2"/>
        <v>0.89936858634497396</v>
      </c>
      <c r="X19" s="3">
        <f t="shared" si="3"/>
        <v>2.1306730374987445E-5</v>
      </c>
    </row>
    <row r="20" spans="1:25" ht="15.6" x14ac:dyDescent="0.35">
      <c r="A20" s="1" t="s">
        <v>23</v>
      </c>
      <c r="B20" s="1">
        <v>60</v>
      </c>
      <c r="C20" s="14">
        <f>+'Flow rate'!E19</f>
        <v>69.222313</v>
      </c>
      <c r="D20" s="1" t="s">
        <v>25</v>
      </c>
      <c r="E20" s="1" t="s">
        <v>26</v>
      </c>
      <c r="F20" s="1" t="s">
        <v>24</v>
      </c>
      <c r="G20" s="1">
        <v>-1.1000000000000001</v>
      </c>
      <c r="H20" s="13">
        <v>45420.106944444444</v>
      </c>
      <c r="I20" s="2">
        <f t="shared" si="4"/>
        <v>9.3499999999185093</v>
      </c>
      <c r="J20" s="21">
        <v>11.281426802428767</v>
      </c>
      <c r="K20" s="21">
        <v>2.3724273806192192E-3</v>
      </c>
      <c r="L20" s="21">
        <v>91.512160067404309</v>
      </c>
      <c r="N20" s="21">
        <v>3.5967583143339768E-2</v>
      </c>
      <c r="O20" s="21">
        <v>5.9718575734957681E-2</v>
      </c>
      <c r="P20" s="3">
        <f t="shared" si="5"/>
        <v>0.1096437592422701</v>
      </c>
      <c r="Q20" s="3">
        <f t="shared" si="6"/>
        <v>2.305753173742011E-5</v>
      </c>
      <c r="R20" s="3">
        <f t="shared" si="7"/>
        <v>0.88940321307677228</v>
      </c>
      <c r="S20" s="3">
        <f t="shared" si="8"/>
        <v>3.4956757649180157E-4</v>
      </c>
      <c r="T20" s="4">
        <f t="shared" si="9"/>
        <v>0.91320779895812088</v>
      </c>
      <c r="U20" s="5">
        <f t="shared" si="10"/>
        <v>1.92043012323302E-4</v>
      </c>
      <c r="V20" s="15"/>
      <c r="W20" s="3">
        <f t="shared" si="2"/>
        <v>0.91339984197044422</v>
      </c>
      <c r="X20" s="3">
        <f t="shared" si="3"/>
        <v>2.5924050704781941E-5</v>
      </c>
      <c r="Y20">
        <f>+SUM(K20:L20)</f>
        <v>91.51453249478493</v>
      </c>
    </row>
    <row r="21" spans="1:25" ht="15.6" x14ac:dyDescent="0.35">
      <c r="A21" s="1" t="s">
        <v>23</v>
      </c>
      <c r="B21" s="1">
        <v>60</v>
      </c>
      <c r="C21" s="14">
        <f>+'Flow rate'!E20</f>
        <v>68.066625000000002</v>
      </c>
      <c r="D21" s="1" t="s">
        <v>25</v>
      </c>
      <c r="E21" s="1" t="s">
        <v>26</v>
      </c>
      <c r="F21" s="1" t="s">
        <v>24</v>
      </c>
      <c r="G21" s="1">
        <v>-1.1000000000000001</v>
      </c>
      <c r="H21" s="13">
        <v>45420.124305555553</v>
      </c>
      <c r="I21" s="2">
        <f t="shared" si="4"/>
        <v>9.7666666665463708</v>
      </c>
      <c r="J21" s="21">
        <v>11.285871224002847</v>
      </c>
      <c r="K21" s="21">
        <v>1.4299147589697428E-3</v>
      </c>
      <c r="L21" s="21">
        <v>91.528032195296504</v>
      </c>
      <c r="N21" s="21">
        <v>3.5569380827874843E-2</v>
      </c>
      <c r="O21" s="21">
        <v>6.054516402732172E-2</v>
      </c>
      <c r="P21" s="3">
        <f t="shared" si="5"/>
        <v>0.10966584822790462</v>
      </c>
      <c r="Q21" s="3">
        <f t="shared" si="6"/>
        <v>1.38946131692967E-5</v>
      </c>
      <c r="R21" s="3">
        <f t="shared" si="7"/>
        <v>0.88938630329046731</v>
      </c>
      <c r="S21" s="3">
        <f t="shared" si="8"/>
        <v>3.4563094350519756E-4</v>
      </c>
      <c r="T21" s="4">
        <f t="shared" si="9"/>
        <v>0.89814241590952149</v>
      </c>
      <c r="U21" s="5">
        <f t="shared" si="10"/>
        <v>1.1379423623356433E-4</v>
      </c>
      <c r="V21" s="15"/>
      <c r="W21" s="3">
        <f t="shared" si="2"/>
        <v>0.89825621014575507</v>
      </c>
      <c r="X21" s="3">
        <f t="shared" si="3"/>
        <v>1.5622453426530643E-5</v>
      </c>
    </row>
    <row r="22" spans="1:25" ht="15.6" x14ac:dyDescent="0.35">
      <c r="A22" s="1" t="s">
        <v>23</v>
      </c>
      <c r="B22" s="1">
        <v>60</v>
      </c>
      <c r="C22" s="14">
        <f>+'Flow rate'!E21</f>
        <v>71.411427000000003</v>
      </c>
      <c r="D22" s="1" t="s">
        <v>25</v>
      </c>
      <c r="E22" s="1" t="s">
        <v>26</v>
      </c>
      <c r="F22" s="1" t="s">
        <v>24</v>
      </c>
      <c r="G22" s="1">
        <v>-1.52</v>
      </c>
      <c r="H22" s="13">
        <v>45420.147916666669</v>
      </c>
      <c r="I22" s="2">
        <f t="shared" si="4"/>
        <v>10.333333333313931</v>
      </c>
      <c r="J22" s="21">
        <v>14.413347359181062</v>
      </c>
      <c r="K22" s="21">
        <v>1.2704489899188782</v>
      </c>
      <c r="L22" s="21">
        <v>87.30716415651402</v>
      </c>
      <c r="N22" s="21">
        <v>3.7049563945612714E-2</v>
      </c>
      <c r="O22" s="21">
        <v>5.9789964501536466E-2</v>
      </c>
      <c r="P22" s="3">
        <f t="shared" si="5"/>
        <v>0.13981622805432617</v>
      </c>
      <c r="Q22" s="3">
        <f t="shared" si="6"/>
        <v>1.2323950937929715E-2</v>
      </c>
      <c r="R22" s="3">
        <f t="shared" si="7"/>
        <v>0.84692043217206081</v>
      </c>
      <c r="S22" s="3">
        <f t="shared" si="8"/>
        <v>3.5939814345995564E-4</v>
      </c>
      <c r="T22" s="4">
        <f t="shared" si="9"/>
        <v>0.86938867400849285</v>
      </c>
      <c r="U22" s="5">
        <f t="shared" si="10"/>
        <v>7.6631328949235786E-2</v>
      </c>
      <c r="V22" s="15"/>
      <c r="W22" s="3">
        <f t="shared" si="2"/>
        <v>0.94602000295772859</v>
      </c>
      <c r="X22" s="3">
        <f t="shared" si="3"/>
        <v>1.4342777421859673E-2</v>
      </c>
      <c r="Y22">
        <f>+SUM(K22:L22)</f>
        <v>88.577613146432896</v>
      </c>
    </row>
    <row r="23" spans="1:25" ht="15.6" x14ac:dyDescent="0.35">
      <c r="A23" s="1" t="s">
        <v>23</v>
      </c>
      <c r="B23" s="1">
        <v>60</v>
      </c>
      <c r="C23" s="14">
        <f>+'Flow rate'!E22</f>
        <v>71.814966999999996</v>
      </c>
      <c r="D23" s="1" t="s">
        <v>25</v>
      </c>
      <c r="E23" s="1" t="s">
        <v>26</v>
      </c>
      <c r="F23" s="1" t="s">
        <v>24</v>
      </c>
      <c r="G23" s="1">
        <v>-1.52</v>
      </c>
      <c r="H23" s="13">
        <v>45420.165972222225</v>
      </c>
      <c r="I23" s="2">
        <f t="shared" si="4"/>
        <v>10.766666666662786</v>
      </c>
      <c r="J23" s="21">
        <v>14.651979833228989</v>
      </c>
      <c r="K23" s="21">
        <v>1.3591963752915863</v>
      </c>
      <c r="L23" s="21">
        <v>87.023943337538469</v>
      </c>
      <c r="N23" s="21">
        <v>3.6533785346195509E-2</v>
      </c>
      <c r="O23" s="21">
        <v>5.9503590219869326E-2</v>
      </c>
      <c r="P23" s="3">
        <f t="shared" si="5"/>
        <v>0.1420713222907391</v>
      </c>
      <c r="Q23" s="3">
        <f t="shared" si="6"/>
        <v>1.3179299213374601E-2</v>
      </c>
      <c r="R23" s="3">
        <f t="shared" si="7"/>
        <v>0.8438181625720792</v>
      </c>
      <c r="S23" s="3">
        <f t="shared" si="8"/>
        <v>3.5424585970619425E-4</v>
      </c>
      <c r="T23" s="4">
        <f t="shared" si="9"/>
        <v>0.8884031151712013</v>
      </c>
      <c r="U23" s="5">
        <f t="shared" si="10"/>
        <v>8.241304640618928E-2</v>
      </c>
      <c r="V23" s="15"/>
      <c r="W23" s="3">
        <f t="shared" si="2"/>
        <v>0.97081616157739059</v>
      </c>
      <c r="X23" s="3">
        <f t="shared" si="3"/>
        <v>1.5378457698015902E-2</v>
      </c>
    </row>
    <row r="24" spans="1:25" ht="15.6" x14ac:dyDescent="0.35">
      <c r="A24" s="1" t="s">
        <v>23</v>
      </c>
      <c r="B24" s="1">
        <v>60</v>
      </c>
      <c r="C24" s="14">
        <f>+'Flow rate'!E23</f>
        <v>71.731206</v>
      </c>
      <c r="D24" s="1" t="s">
        <v>25</v>
      </c>
      <c r="E24" s="1" t="s">
        <v>26</v>
      </c>
      <c r="F24" s="1" t="s">
        <v>24</v>
      </c>
      <c r="G24" s="1">
        <v>-1.52</v>
      </c>
      <c r="H24" s="13">
        <v>45420.190972222219</v>
      </c>
      <c r="I24" s="2">
        <f t="shared" si="4"/>
        <v>11.366666666523088</v>
      </c>
      <c r="J24" s="21">
        <v>14.800655421812504</v>
      </c>
      <c r="K24" s="21">
        <v>1.2832213477906347</v>
      </c>
      <c r="L24" s="21">
        <v>86.958999632962517</v>
      </c>
      <c r="N24" s="21">
        <v>3.6671752069991119E-2</v>
      </c>
      <c r="O24" s="21">
        <v>5.8853484320946378E-2</v>
      </c>
      <c r="P24" s="3">
        <f t="shared" si="5"/>
        <v>0.14350285816550915</v>
      </c>
      <c r="Q24" s="3">
        <f t="shared" si="6"/>
        <v>1.2441741653924825E-2</v>
      </c>
      <c r="R24" s="3">
        <f t="shared" si="7"/>
        <v>0.84312921522061934</v>
      </c>
      <c r="S24" s="3">
        <f t="shared" si="8"/>
        <v>3.555586618295989E-4</v>
      </c>
      <c r="T24" s="4">
        <f t="shared" si="9"/>
        <v>0.89630819777216053</v>
      </c>
      <c r="U24" s="5">
        <f t="shared" si="10"/>
        <v>7.7710194636781596E-2</v>
      </c>
      <c r="V24" s="15"/>
      <c r="W24" s="3">
        <f t="shared" si="2"/>
        <v>0.97401839240894217</v>
      </c>
      <c r="X24" s="3">
        <f t="shared" si="3"/>
        <v>1.4542033660627411E-2</v>
      </c>
      <c r="Y24">
        <f>+SUM(K24:L24)</f>
        <v>88.242220980753146</v>
      </c>
    </row>
    <row r="25" spans="1:25" ht="15.6" x14ac:dyDescent="0.35">
      <c r="A25" s="1" t="s">
        <v>23</v>
      </c>
      <c r="B25" s="1">
        <v>60</v>
      </c>
      <c r="C25" s="14">
        <f>+'Flow rate'!E24</f>
        <v>72.757604000000001</v>
      </c>
      <c r="D25" s="1" t="s">
        <v>25</v>
      </c>
      <c r="E25" s="1" t="s">
        <v>26</v>
      </c>
      <c r="F25" s="1" t="s">
        <v>24</v>
      </c>
      <c r="G25" s="1">
        <v>-1.52</v>
      </c>
      <c r="H25" s="13">
        <v>45420.208333333336</v>
      </c>
      <c r="I25" s="2">
        <f t="shared" si="4"/>
        <v>11.783333333325572</v>
      </c>
      <c r="J25" s="21">
        <v>14.901160940915339</v>
      </c>
      <c r="K25" s="21">
        <v>1.2109274005448571</v>
      </c>
      <c r="L25" s="21">
        <v>86.925022905765701</v>
      </c>
      <c r="N25" s="21">
        <v>3.4928295648925252E-2</v>
      </c>
      <c r="O25" s="21">
        <v>5.9723373996318281E-2</v>
      </c>
      <c r="P25" s="3">
        <f t="shared" si="5"/>
        <v>0.14448663068938664</v>
      </c>
      <c r="Q25" s="3">
        <f t="shared" si="6"/>
        <v>1.1741556299400402E-2</v>
      </c>
      <c r="R25" s="3">
        <f t="shared" si="7"/>
        <v>0.84285403882634291</v>
      </c>
      <c r="S25" s="3">
        <f t="shared" si="8"/>
        <v>3.3867641414293516E-4</v>
      </c>
      <c r="T25" s="4">
        <f t="shared" si="9"/>
        <v>0.91536591642923348</v>
      </c>
      <c r="U25" s="5">
        <f t="shared" si="10"/>
        <v>7.4386262528409658E-2</v>
      </c>
      <c r="V25" s="15"/>
      <c r="W25" s="3">
        <f t="shared" si="2"/>
        <v>0.98975217895764311</v>
      </c>
      <c r="X25" s="3">
        <f t="shared" si="3"/>
        <v>1.3739312917559299E-2</v>
      </c>
    </row>
    <row r="26" spans="1:25" ht="15.6" x14ac:dyDescent="0.35">
      <c r="A26" s="1" t="s">
        <v>23</v>
      </c>
      <c r="B26" s="1">
        <v>60</v>
      </c>
      <c r="C26" s="14">
        <f>+'Flow rate'!E25</f>
        <v>72.375314000000003</v>
      </c>
      <c r="D26" s="1" t="s">
        <v>25</v>
      </c>
      <c r="E26" s="1" t="s">
        <v>26</v>
      </c>
      <c r="F26" s="1" t="s">
        <v>24</v>
      </c>
      <c r="G26" s="1">
        <v>-2.1</v>
      </c>
      <c r="H26" s="13">
        <v>45420.231944444444</v>
      </c>
      <c r="I26" s="2">
        <f t="shared" si="4"/>
        <v>12.349999999918509</v>
      </c>
      <c r="J26" s="21">
        <v>16.425253437917963</v>
      </c>
      <c r="K26" s="21">
        <v>4.1732063922354454</v>
      </c>
      <c r="L26" s="21">
        <v>82.690584269265145</v>
      </c>
      <c r="N26" s="21">
        <v>3.9618803361833412E-2</v>
      </c>
      <c r="O26" s="21">
        <v>6.0170899641228653E-2</v>
      </c>
      <c r="P26" s="3">
        <f t="shared" si="5"/>
        <v>0.1588687369209231</v>
      </c>
      <c r="Q26" s="3">
        <f t="shared" si="6"/>
        <v>4.0364188653201523E-2</v>
      </c>
      <c r="R26" s="3">
        <f t="shared" si="7"/>
        <v>0.79980188602657709</v>
      </c>
      <c r="S26" s="3">
        <f t="shared" si="8"/>
        <v>3.8320195619524858E-4</v>
      </c>
      <c r="T26" s="4">
        <f t="shared" si="9"/>
        <v>0.72467266823744569</v>
      </c>
      <c r="U26" s="5">
        <f t="shared" si="10"/>
        <v>0.18411944892036733</v>
      </c>
      <c r="V26" s="15"/>
      <c r="W26" s="3">
        <f t="shared" si="2"/>
        <v>0.90879211715781305</v>
      </c>
      <c r="X26" s="3">
        <f t="shared" si="3"/>
        <v>4.8043107035220335E-2</v>
      </c>
      <c r="Y26">
        <f>+SUM(K26:L26)</f>
        <v>86.863790661500587</v>
      </c>
    </row>
    <row r="27" spans="1:25" ht="15.6" x14ac:dyDescent="0.35">
      <c r="A27" s="1" t="s">
        <v>23</v>
      </c>
      <c r="B27" s="1">
        <v>60</v>
      </c>
      <c r="C27" s="14">
        <f>+'Flow rate'!E26</f>
        <v>72.951958000000005</v>
      </c>
      <c r="D27" s="1" t="s">
        <v>25</v>
      </c>
      <c r="E27" s="1" t="s">
        <v>26</v>
      </c>
      <c r="F27" s="1" t="s">
        <v>24</v>
      </c>
      <c r="G27" s="1">
        <v>-2.1</v>
      </c>
      <c r="H27" s="13">
        <v>45420.25</v>
      </c>
      <c r="I27" s="2">
        <f t="shared" si="4"/>
        <v>12.783333333267365</v>
      </c>
      <c r="J27" s="21">
        <v>16.6349393393131</v>
      </c>
      <c r="K27" s="21">
        <v>4.2338089110561787</v>
      </c>
      <c r="L27" s="21">
        <v>82.443573567233656</v>
      </c>
      <c r="N27" s="21">
        <v>3.9342062356392225E-2</v>
      </c>
      <c r="O27" s="21">
        <v>5.9033126545041878E-2</v>
      </c>
      <c r="P27" s="3">
        <f t="shared" si="5"/>
        <v>0.16086284901712622</v>
      </c>
      <c r="Q27" s="3">
        <f t="shared" si="6"/>
        <v>4.0941692045551904E-2</v>
      </c>
      <c r="R27" s="3">
        <f t="shared" si="7"/>
        <v>0.79724415320446085</v>
      </c>
      <c r="S27" s="3">
        <f t="shared" si="8"/>
        <v>3.8044480402175094E-4</v>
      </c>
      <c r="T27" s="4">
        <f t="shared" si="9"/>
        <v>0.73961496003023863</v>
      </c>
      <c r="U27" s="5">
        <f t="shared" si="10"/>
        <v>0.1882416487763271</v>
      </c>
      <c r="V27" s="15"/>
      <c r="W27" s="3">
        <f t="shared" si="2"/>
        <v>0.92785660880656573</v>
      </c>
      <c r="X27" s="3">
        <f t="shared" si="3"/>
        <v>4.884560181679027E-2</v>
      </c>
    </row>
    <row r="28" spans="1:25" ht="15.6" x14ac:dyDescent="0.35">
      <c r="A28" s="1" t="s">
        <v>23</v>
      </c>
      <c r="B28" s="1">
        <v>60</v>
      </c>
      <c r="C28" s="14">
        <f>+'Flow rate'!E27</f>
        <v>73.131943000000007</v>
      </c>
      <c r="D28" s="1" t="s">
        <v>25</v>
      </c>
      <c r="E28" s="1" t="s">
        <v>26</v>
      </c>
      <c r="F28" s="1" t="s">
        <v>24</v>
      </c>
      <c r="G28" s="1">
        <v>-2.1</v>
      </c>
      <c r="H28" s="13">
        <v>45420.275000000001</v>
      </c>
      <c r="I28" s="2">
        <f t="shared" si="4"/>
        <v>13.383333333302289</v>
      </c>
      <c r="J28" s="21">
        <v>17.246165862212575</v>
      </c>
      <c r="K28" s="21">
        <v>3.8641258265263967</v>
      </c>
      <c r="L28" s="21">
        <v>83.032779985250869</v>
      </c>
      <c r="N28" s="21">
        <v>3.9122608074840158E-2</v>
      </c>
      <c r="O28" s="21">
        <v>5.9305808227216761E-2</v>
      </c>
      <c r="P28" s="3">
        <f t="shared" si="5"/>
        <v>0.1654443369221883</v>
      </c>
      <c r="Q28" s="3">
        <f t="shared" si="6"/>
        <v>3.7068977549050697E-2</v>
      </c>
      <c r="R28" s="3">
        <f t="shared" si="7"/>
        <v>0.7965424510711141</v>
      </c>
      <c r="S28" s="3">
        <f t="shared" si="8"/>
        <v>3.7530741634524579E-4</v>
      </c>
      <c r="T28" s="4">
        <f t="shared" si="9"/>
        <v>0.76255644548842727</v>
      </c>
      <c r="U28" s="5">
        <f t="shared" si="10"/>
        <v>0.17085618210666842</v>
      </c>
      <c r="V28" s="15"/>
      <c r="W28" s="3">
        <f t="shared" si="2"/>
        <v>0.93341262759509569</v>
      </c>
      <c r="X28" s="3">
        <f t="shared" si="3"/>
        <v>4.4467933471604534E-2</v>
      </c>
      <c r="Y28">
        <f>+SUM(K28:L28)</f>
        <v>86.896905811777259</v>
      </c>
    </row>
    <row r="29" spans="1:25" ht="15.6" x14ac:dyDescent="0.35">
      <c r="A29" s="1" t="s">
        <v>23</v>
      </c>
      <c r="B29" s="1">
        <v>60</v>
      </c>
      <c r="C29" s="14">
        <f>+'Flow rate'!E28</f>
        <v>72.199910000000003</v>
      </c>
      <c r="D29" s="1" t="s">
        <v>25</v>
      </c>
      <c r="E29" s="1" t="s">
        <v>26</v>
      </c>
      <c r="F29" s="1" t="s">
        <v>24</v>
      </c>
      <c r="G29" s="1">
        <v>-2.1</v>
      </c>
      <c r="H29" s="13">
        <v>45420.293055555558</v>
      </c>
      <c r="I29" s="2">
        <f t="shared" si="4"/>
        <v>13.816666666651145</v>
      </c>
      <c r="J29" s="21">
        <v>17.609847212042204</v>
      </c>
      <c r="K29" s="21">
        <v>3.5258606703133784</v>
      </c>
      <c r="L29" s="21">
        <v>82.999055340901648</v>
      </c>
      <c r="N29" s="21">
        <v>3.791608128099113E-2</v>
      </c>
      <c r="O29" s="21">
        <v>5.6031521487337789E-2</v>
      </c>
      <c r="P29" s="3">
        <f t="shared" si="5"/>
        <v>0.16895390024957577</v>
      </c>
      <c r="Q29" s="3">
        <f t="shared" si="6"/>
        <v>3.3828113601046116E-2</v>
      </c>
      <c r="R29" s="3">
        <f t="shared" si="7"/>
        <v>0.79631662603445585</v>
      </c>
      <c r="S29" s="3">
        <f t="shared" si="8"/>
        <v>3.6377770559092062E-4</v>
      </c>
      <c r="T29" s="4">
        <f t="shared" si="9"/>
        <v>0.76880793324081453</v>
      </c>
      <c r="U29" s="5">
        <f t="shared" si="10"/>
        <v>0.15393146926255144</v>
      </c>
      <c r="V29" s="15"/>
      <c r="W29" s="3">
        <f t="shared" si="2"/>
        <v>0.92273940250336595</v>
      </c>
      <c r="X29" s="3">
        <f t="shared" si="3"/>
        <v>4.0749657241578481E-2</v>
      </c>
    </row>
    <row r="30" spans="1:25" ht="15.6" x14ac:dyDescent="0.35">
      <c r="A30" s="1" t="s">
        <v>23</v>
      </c>
      <c r="B30" s="1">
        <v>60</v>
      </c>
      <c r="C30" s="14">
        <f>+'Flow rate'!E29</f>
        <v>79.556003000000004</v>
      </c>
      <c r="D30" s="1" t="s">
        <v>25</v>
      </c>
      <c r="E30" s="1" t="s">
        <v>26</v>
      </c>
      <c r="F30" s="1" t="s">
        <v>24</v>
      </c>
      <c r="G30" s="1">
        <v>-3.1</v>
      </c>
      <c r="H30" s="13">
        <v>45420.316666666666</v>
      </c>
      <c r="I30" s="2">
        <f t="shared" si="4"/>
        <v>14.383333333244082</v>
      </c>
      <c r="J30" s="21">
        <v>22.980250430461712</v>
      </c>
      <c r="K30" s="21">
        <v>5.6695053895812126</v>
      </c>
      <c r="L30" s="21">
        <v>75.798748954289422</v>
      </c>
      <c r="N30" s="21">
        <v>5.6180657283476883E-2</v>
      </c>
      <c r="O30" s="21">
        <v>5.5916597276223071E-2</v>
      </c>
      <c r="P30" s="3">
        <f t="shared" si="5"/>
        <v>0.2197792474847442</v>
      </c>
      <c r="Q30" s="3">
        <f t="shared" si="6"/>
        <v>5.4222195354370881E-2</v>
      </c>
      <c r="R30" s="3">
        <f t="shared" si="7"/>
        <v>0.72492647788451725</v>
      </c>
      <c r="S30" s="3">
        <f t="shared" si="8"/>
        <v>5.3730235091753887E-4</v>
      </c>
      <c r="T30" s="4">
        <f t="shared" si="9"/>
        <v>0.74650069524912721</v>
      </c>
      <c r="U30" s="5">
        <f t="shared" si="10"/>
        <v>0.18417073947248605</v>
      </c>
      <c r="V30" s="15"/>
      <c r="W30" s="3">
        <f t="shared" si="2"/>
        <v>0.93067143472161329</v>
      </c>
      <c r="X30" s="3">
        <f t="shared" si="3"/>
        <v>6.9591590432890676E-2</v>
      </c>
      <c r="Y30">
        <f>+SUM(K30:L30)</f>
        <v>81.46825434387064</v>
      </c>
    </row>
    <row r="31" spans="1:25" ht="15.6" x14ac:dyDescent="0.35">
      <c r="A31" s="1" t="s">
        <v>23</v>
      </c>
      <c r="B31" s="1">
        <v>60</v>
      </c>
      <c r="C31" s="14">
        <f>+'Flow rate'!E30</f>
        <v>78.782939999999996</v>
      </c>
      <c r="D31" s="1" t="s">
        <v>25</v>
      </c>
      <c r="E31" s="1" t="s">
        <v>26</v>
      </c>
      <c r="F31" s="1" t="s">
        <v>24</v>
      </c>
      <c r="G31" s="1">
        <v>-3.1</v>
      </c>
      <c r="H31" s="13">
        <v>45420.334027777775</v>
      </c>
      <c r="I31" s="2">
        <f t="shared" si="4"/>
        <v>14.799999999871943</v>
      </c>
      <c r="J31" s="21">
        <v>23.551923191743469</v>
      </c>
      <c r="K31" s="21">
        <v>5.4288859873680106</v>
      </c>
      <c r="L31" s="21">
        <v>75.540656524972633</v>
      </c>
      <c r="N31" s="21">
        <v>5.5627173979388884E-2</v>
      </c>
      <c r="O31" s="21">
        <v>5.5228339347949768E-2</v>
      </c>
      <c r="P31" s="3">
        <f t="shared" si="5"/>
        <v>0.22509223648786153</v>
      </c>
      <c r="Q31" s="3">
        <f t="shared" si="6"/>
        <v>5.1885363186080322E-2</v>
      </c>
      <c r="R31" s="3">
        <f t="shared" si="7"/>
        <v>0.72196292355982083</v>
      </c>
      <c r="S31" s="3">
        <f t="shared" si="8"/>
        <v>5.3164426949683485E-4</v>
      </c>
      <c r="T31" s="4">
        <f t="shared" si="9"/>
        <v>0.7571174902343305</v>
      </c>
      <c r="U31" s="5">
        <f t="shared" si="10"/>
        <v>0.17452097223913041</v>
      </c>
      <c r="V31" s="15"/>
      <c r="W31" s="3">
        <f t="shared" si="2"/>
        <v>0.93163846247346094</v>
      </c>
      <c r="X31" s="3">
        <f t="shared" si="3"/>
        <v>6.7048495260308399E-2</v>
      </c>
    </row>
    <row r="32" spans="1:25" ht="15.6" x14ac:dyDescent="0.35">
      <c r="A32" s="1" t="s">
        <v>23</v>
      </c>
      <c r="B32" s="1">
        <v>60</v>
      </c>
      <c r="C32" s="14">
        <f>+'Flow rate'!E31</f>
        <v>79.521355999999997</v>
      </c>
      <c r="D32" s="1" t="s">
        <v>25</v>
      </c>
      <c r="E32" s="1" t="s">
        <v>26</v>
      </c>
      <c r="F32" s="1" t="s">
        <v>24</v>
      </c>
      <c r="G32" s="1">
        <v>-3.1</v>
      </c>
      <c r="H32" s="13">
        <v>45420.359027777777</v>
      </c>
      <c r="I32" s="2">
        <f t="shared" si="4"/>
        <v>15.399999999906868</v>
      </c>
      <c r="J32" s="21">
        <v>24.033427979223191</v>
      </c>
      <c r="K32" s="21">
        <v>4.8651571462641128</v>
      </c>
      <c r="L32" s="21">
        <v>75.451980850330273</v>
      </c>
      <c r="N32" s="21">
        <v>5.359527375538492E-2</v>
      </c>
      <c r="O32" s="21">
        <v>5.5894244400130765E-2</v>
      </c>
      <c r="P32" s="3">
        <f t="shared" si="5"/>
        <v>0.23007290074252179</v>
      </c>
      <c r="Q32" s="3">
        <f t="shared" si="6"/>
        <v>4.6574330477402545E-2</v>
      </c>
      <c r="R32" s="3">
        <f t="shared" si="7"/>
        <v>0.72230462154678376</v>
      </c>
      <c r="S32" s="3">
        <f t="shared" si="8"/>
        <v>5.1306955086269444E-4</v>
      </c>
      <c r="T32" s="4">
        <f t="shared" si="9"/>
        <v>0.78112371666602054</v>
      </c>
      <c r="U32" s="5">
        <f t="shared" si="10"/>
        <v>0.15812515948783543</v>
      </c>
      <c r="V32" s="15"/>
      <c r="W32" s="3">
        <f t="shared" si="2"/>
        <v>0.93924887615385599</v>
      </c>
      <c r="X32" s="3">
        <f t="shared" si="3"/>
        <v>6.0574334041514348E-2</v>
      </c>
      <c r="Y32">
        <f>+SUM(K32:L32)</f>
        <v>80.317137996594383</v>
      </c>
    </row>
    <row r="33" spans="1:25" ht="15.6" x14ac:dyDescent="0.35">
      <c r="A33" s="1" t="s">
        <v>23</v>
      </c>
      <c r="B33" s="1">
        <v>60</v>
      </c>
      <c r="C33" s="14">
        <f>+'Flow rate'!E32</f>
        <v>79.427383000000006</v>
      </c>
      <c r="D33" s="1" t="s">
        <v>25</v>
      </c>
      <c r="E33" s="1" t="s">
        <v>26</v>
      </c>
      <c r="F33" s="1" t="s">
        <v>24</v>
      </c>
      <c r="G33" s="1">
        <v>-3.1</v>
      </c>
      <c r="H33" s="13">
        <v>45420.370833333334</v>
      </c>
      <c r="I33" s="2">
        <f t="shared" si="4"/>
        <v>15.683333333290648</v>
      </c>
      <c r="J33" s="21">
        <v>24.342727334623163</v>
      </c>
      <c r="K33" s="21">
        <v>4.5278040610623727</v>
      </c>
      <c r="L33" s="21">
        <v>75.615992471215847</v>
      </c>
      <c r="N33" s="21">
        <v>4.5688461960955211E-2</v>
      </c>
      <c r="O33" s="21">
        <v>3.3713754624263972E-2</v>
      </c>
      <c r="P33" s="3">
        <f t="shared" si="5"/>
        <v>0.23279789360051822</v>
      </c>
      <c r="Q33" s="3">
        <f t="shared" si="6"/>
        <v>4.3300951186023291E-2</v>
      </c>
      <c r="R33" s="3">
        <f t="shared" si="7"/>
        <v>0.72314180444252185</v>
      </c>
      <c r="S33" s="3">
        <f t="shared" si="8"/>
        <v>4.3693451272527379E-4</v>
      </c>
      <c r="T33" s="4">
        <f t="shared" si="9"/>
        <v>0.78944136539236531</v>
      </c>
      <c r="U33" s="5">
        <f t="shared" si="10"/>
        <v>0.14683793525100131</v>
      </c>
      <c r="V33" s="15"/>
      <c r="W33" s="3">
        <f t="shared" si="2"/>
        <v>0.93627930064336662</v>
      </c>
      <c r="X33" s="3">
        <f t="shared" si="3"/>
        <v>5.6496001649220383E-2</v>
      </c>
    </row>
    <row r="34" spans="1:25" ht="15.6" x14ac:dyDescent="0.35">
      <c r="A34" s="1" t="s">
        <v>23</v>
      </c>
      <c r="B34" s="1">
        <v>60</v>
      </c>
      <c r="C34" s="14">
        <f>+'Flow rate'!E33</f>
        <v>68.664084000000003</v>
      </c>
      <c r="D34" s="1" t="s">
        <v>25</v>
      </c>
      <c r="E34" s="1" t="s">
        <v>26</v>
      </c>
      <c r="F34" s="1" t="s">
        <v>24</v>
      </c>
      <c r="G34" s="1">
        <v>-0.5</v>
      </c>
      <c r="H34" s="13">
        <v>45420.395833333336</v>
      </c>
      <c r="I34" s="2">
        <f t="shared" si="4"/>
        <v>16.283333333325572</v>
      </c>
      <c r="J34" s="21">
        <v>16.822386506016752</v>
      </c>
      <c r="K34" s="21">
        <v>1.0048834448423347</v>
      </c>
      <c r="L34" s="21">
        <v>86.361136166504423</v>
      </c>
      <c r="N34" s="21">
        <v>3.2637113513899814E-2</v>
      </c>
      <c r="O34" s="21">
        <v>5.8758338309097803E-2</v>
      </c>
      <c r="P34" s="3">
        <f t="shared" si="5"/>
        <v>0.16131970192574258</v>
      </c>
      <c r="Q34" s="3">
        <f t="shared" si="6"/>
        <v>9.6364150077100467E-3</v>
      </c>
      <c r="R34" s="3">
        <f t="shared" si="7"/>
        <v>0.82816743863102193</v>
      </c>
      <c r="S34" s="3">
        <f t="shared" si="8"/>
        <v>3.1297636764533032E-4</v>
      </c>
      <c r="T34" s="4">
        <f t="shared" si="9"/>
        <v>2.9321035936114193</v>
      </c>
      <c r="U34" s="5">
        <f t="shared" si="10"/>
        <v>0.17514889214612944</v>
      </c>
      <c r="V34" s="15"/>
      <c r="W34" s="3">
        <f t="shared" si="2"/>
        <v>3.1072524857575488</v>
      </c>
      <c r="X34" s="3">
        <f t="shared" si="3"/>
        <v>1.1501994131272342E-2</v>
      </c>
      <c r="Y34">
        <f>+SUM(K34:L34)</f>
        <v>87.366019611346758</v>
      </c>
    </row>
    <row r="35" spans="1:25" ht="15.6" x14ac:dyDescent="0.35">
      <c r="A35" s="1" t="s">
        <v>23</v>
      </c>
      <c r="B35" s="1">
        <v>60</v>
      </c>
      <c r="C35" s="14">
        <f>+'Flow rate'!E34</f>
        <v>68.955268000000004</v>
      </c>
      <c r="D35" s="1" t="s">
        <v>25</v>
      </c>
      <c r="E35" s="1" t="s">
        <v>26</v>
      </c>
      <c r="F35" s="1" t="s">
        <v>24</v>
      </c>
      <c r="G35" s="1">
        <v>-0.5</v>
      </c>
      <c r="H35" s="13">
        <v>45420.407638888886</v>
      </c>
      <c r="I35" s="2">
        <f t="shared" si="4"/>
        <v>16.566666666534729</v>
      </c>
      <c r="J35" s="21">
        <v>16.07553066586549</v>
      </c>
      <c r="K35" s="21">
        <v>0.65221146170936484</v>
      </c>
      <c r="L35" s="21">
        <v>87.375226249891156</v>
      </c>
      <c r="N35" s="21">
        <v>2.3831261017649336E-2</v>
      </c>
      <c r="O35" s="21">
        <v>3.3720542408626888E-2</v>
      </c>
      <c r="P35" s="3">
        <f t="shared" si="5"/>
        <v>0.15433420107683432</v>
      </c>
      <c r="Q35" s="3">
        <f t="shared" si="6"/>
        <v>6.2615995059998718E-3</v>
      </c>
      <c r="R35" s="3">
        <f t="shared" si="7"/>
        <v>0.83885166950154777</v>
      </c>
      <c r="S35" s="3">
        <f t="shared" si="8"/>
        <v>2.2879360602522276E-4</v>
      </c>
      <c r="T35" s="4">
        <f t="shared" si="9"/>
        <v>2.8170327589851336</v>
      </c>
      <c r="U35" s="5">
        <f t="shared" si="10"/>
        <v>0.11429178243690286</v>
      </c>
      <c r="V35" s="15"/>
      <c r="W35" s="3">
        <f t="shared" si="2"/>
        <v>2.9313245414220366</v>
      </c>
      <c r="X35" s="3">
        <f t="shared" si="3"/>
        <v>7.4091837575253469E-3</v>
      </c>
    </row>
    <row r="36" spans="1:25" ht="15.6" x14ac:dyDescent="0.35">
      <c r="A36" s="1" t="s">
        <v>23</v>
      </c>
      <c r="B36" s="1">
        <v>60</v>
      </c>
      <c r="C36" s="14">
        <f>+'Flow rate'!E35</f>
        <v>69.535658999999995</v>
      </c>
      <c r="D36" s="1" t="s">
        <v>25</v>
      </c>
      <c r="E36" s="1" t="s">
        <v>26</v>
      </c>
      <c r="F36" s="1" t="s">
        <v>24</v>
      </c>
      <c r="G36" s="1">
        <v>-0.5</v>
      </c>
      <c r="H36" s="13">
        <v>45420.427083333336</v>
      </c>
      <c r="I36" s="2">
        <f t="shared" si="4"/>
        <v>17.033333333325572</v>
      </c>
      <c r="J36" s="21">
        <v>15.891704531638187</v>
      </c>
      <c r="K36" s="21">
        <v>0.56929861865663467</v>
      </c>
      <c r="L36" s="21">
        <v>87.56431106852645</v>
      </c>
      <c r="N36" s="21">
        <v>3.0688663401618587E-2</v>
      </c>
      <c r="O36" s="21">
        <v>5.9592533601180081E-2</v>
      </c>
      <c r="P36" s="3">
        <f t="shared" si="5"/>
        <v>0.15263519810042672</v>
      </c>
      <c r="Q36" s="3">
        <f t="shared" si="6"/>
        <v>5.4679475863623544E-3</v>
      </c>
      <c r="R36" s="3">
        <f t="shared" si="7"/>
        <v>0.84102972968464562</v>
      </c>
      <c r="S36" s="3">
        <f t="shared" si="8"/>
        <v>2.9475568265303654E-4</v>
      </c>
      <c r="T36" s="4">
        <f t="shared" si="9"/>
        <v>2.8094708998951816</v>
      </c>
      <c r="U36" s="5">
        <f t="shared" si="10"/>
        <v>0.1006454593515818</v>
      </c>
      <c r="V36" s="15"/>
      <c r="W36" s="3">
        <f t="shared" si="2"/>
        <v>2.9101163592467634</v>
      </c>
      <c r="X36" s="3">
        <f t="shared" si="3"/>
        <v>6.4594950856690656E-3</v>
      </c>
      <c r="Y36">
        <f>+SUM(K36:L36)</f>
        <v>88.133609687183082</v>
      </c>
    </row>
    <row r="37" spans="1:25" ht="15.6" x14ac:dyDescent="0.35">
      <c r="A37" s="1" t="s">
        <v>23</v>
      </c>
      <c r="B37" s="1">
        <v>60</v>
      </c>
      <c r="C37" s="14">
        <f>+'Flow rate'!E36</f>
        <v>70.726527000000004</v>
      </c>
      <c r="D37" s="1" t="s">
        <v>25</v>
      </c>
      <c r="E37" s="1" t="s">
        <v>26</v>
      </c>
      <c r="F37" s="1" t="s">
        <v>24</v>
      </c>
      <c r="G37" s="1">
        <v>-0.5</v>
      </c>
      <c r="H37" s="13">
        <v>45420.438888888886</v>
      </c>
      <c r="I37" s="2">
        <f t="shared" si="4"/>
        <v>17.316666666534729</v>
      </c>
      <c r="J37" s="21">
        <v>15.896378837086791</v>
      </c>
      <c r="K37" s="21">
        <v>0.5515696453845329</v>
      </c>
      <c r="L37" s="21">
        <v>87.756029119793581</v>
      </c>
      <c r="N37" s="21">
        <v>2.2934334064203341E-2</v>
      </c>
      <c r="O37" s="21">
        <v>3.3118302092541983E-2</v>
      </c>
      <c r="P37" s="3">
        <f t="shared" si="5"/>
        <v>0.15246858072777247</v>
      </c>
      <c r="Q37" s="3">
        <f t="shared" si="6"/>
        <v>5.2903269270419776E-3</v>
      </c>
      <c r="R37" s="3">
        <f t="shared" si="7"/>
        <v>0.84170346890474956</v>
      </c>
      <c r="S37" s="3">
        <f t="shared" si="8"/>
        <v>2.1997244784753225E-4</v>
      </c>
      <c r="T37" s="4">
        <f t="shared" si="9"/>
        <v>2.8544665552300268</v>
      </c>
      <c r="U37" s="5">
        <f t="shared" si="10"/>
        <v>9.9043758441200461E-2</v>
      </c>
      <c r="V37" s="15"/>
      <c r="W37" s="3">
        <f t="shared" si="2"/>
        <v>2.9535103136712273</v>
      </c>
      <c r="X37" s="3">
        <f t="shared" si="3"/>
        <v>6.2460043427432724E-3</v>
      </c>
    </row>
    <row r="38" spans="1:25" ht="15.6" x14ac:dyDescent="0.35">
      <c r="A38" s="1" t="s">
        <v>23</v>
      </c>
      <c r="B38" s="1">
        <v>60</v>
      </c>
      <c r="C38" s="14">
        <f>+'Flow rate'!E37</f>
        <v>55.18929</v>
      </c>
      <c r="D38" s="1" t="s">
        <v>25</v>
      </c>
      <c r="E38" s="1" t="s">
        <v>26</v>
      </c>
      <c r="F38" s="1" t="s">
        <v>24</v>
      </c>
      <c r="G38" s="1">
        <v>-0.5</v>
      </c>
      <c r="H38" s="13">
        <v>45420.456250000003</v>
      </c>
      <c r="I38" s="2">
        <f t="shared" si="4"/>
        <v>17.733333333337214</v>
      </c>
      <c r="J38" s="22">
        <v>5.7194710383011911</v>
      </c>
      <c r="K38" s="22">
        <v>3.1976855518272684E-3</v>
      </c>
      <c r="L38" s="22">
        <v>97.85692573731491</v>
      </c>
      <c r="N38" s="22">
        <v>3.4659567125650978E-2</v>
      </c>
      <c r="O38" s="22">
        <v>6.1291001091918013E-2</v>
      </c>
      <c r="P38" s="3">
        <f t="shared" si="5"/>
        <v>5.5167021660509047E-2</v>
      </c>
      <c r="Q38" s="3">
        <f t="shared" si="6"/>
        <v>3.0843199820371576E-5</v>
      </c>
      <c r="R38" s="3">
        <f t="shared" si="7"/>
        <v>0.94387664621949774</v>
      </c>
      <c r="S38" s="3">
        <f t="shared" si="8"/>
        <v>3.3430802910973043E-4</v>
      </c>
      <c r="T38" s="4">
        <f t="shared" si="9"/>
        <v>0.80592868478862878</v>
      </c>
      <c r="U38" s="5">
        <f t="shared" si="10"/>
        <v>4.5058476455144507E-4</v>
      </c>
      <c r="V38" s="15"/>
      <c r="W38" s="3">
        <f t="shared" si="2"/>
        <v>0.80637926955318018</v>
      </c>
      <c r="X38" s="3">
        <f t="shared" si="3"/>
        <v>3.2676083372689398E-5</v>
      </c>
      <c r="Y38">
        <f>+SUM(K38:L38)</f>
        <v>97.860123422866735</v>
      </c>
    </row>
    <row r="39" spans="1:25" ht="15" x14ac:dyDescent="0.35">
      <c r="A39" s="1"/>
      <c r="B39" s="1"/>
      <c r="C39" s="14"/>
      <c r="D39" s="1"/>
      <c r="E39" s="1"/>
      <c r="F39" s="1"/>
      <c r="G39" s="1"/>
      <c r="H39" s="13"/>
      <c r="I39" s="2"/>
      <c r="J39" s="12"/>
      <c r="K39" s="12"/>
      <c r="P39" s="3"/>
      <c r="Q39" s="3"/>
      <c r="R39" s="3"/>
      <c r="V39" s="3"/>
      <c r="W39" s="3"/>
      <c r="X39" s="3"/>
    </row>
    <row r="40" spans="1:25" ht="15" x14ac:dyDescent="0.35">
      <c r="A40" s="1"/>
      <c r="B40" s="1"/>
      <c r="C40" s="14"/>
      <c r="D40" s="1"/>
      <c r="E40" s="1"/>
      <c r="F40" s="1"/>
      <c r="G40" s="1"/>
      <c r="H40" s="13"/>
      <c r="I40" s="2"/>
      <c r="J40" s="12"/>
      <c r="K40" s="12"/>
      <c r="P40" s="3"/>
      <c r="Q40" s="3"/>
      <c r="R40" s="3"/>
      <c r="V40" s="3"/>
      <c r="W40" s="3"/>
      <c r="X40" s="3"/>
    </row>
    <row r="41" spans="1:25" ht="15" x14ac:dyDescent="0.35">
      <c r="A41" s="1"/>
      <c r="B41" s="1"/>
      <c r="C41" s="14"/>
      <c r="D41" s="1"/>
      <c r="E41" s="1"/>
      <c r="F41" s="1"/>
      <c r="G41" s="1"/>
      <c r="H41" s="13"/>
      <c r="I41" s="2"/>
      <c r="J41" s="12"/>
      <c r="K41" s="12"/>
      <c r="P41" s="3"/>
      <c r="Q41" s="3"/>
      <c r="R41" s="3"/>
      <c r="V41" s="3"/>
      <c r="W41" s="3"/>
      <c r="X41" s="3"/>
    </row>
    <row r="42" spans="1:25" ht="15" x14ac:dyDescent="0.35">
      <c r="A42" s="1"/>
      <c r="B42" s="1"/>
      <c r="C42" s="14"/>
      <c r="D42" s="1"/>
      <c r="E42" s="1"/>
      <c r="F42" s="1"/>
      <c r="G42" s="1"/>
      <c r="H42" s="13"/>
      <c r="I42" s="2"/>
      <c r="J42" s="12"/>
      <c r="K42" s="12"/>
      <c r="P42" s="3"/>
      <c r="Q42" s="3"/>
      <c r="R42" s="3"/>
      <c r="V42" s="3"/>
      <c r="W42" s="3"/>
      <c r="X42" s="3"/>
    </row>
    <row r="43" spans="1:25" ht="15" x14ac:dyDescent="0.35">
      <c r="A43" s="1"/>
      <c r="B43" s="1"/>
      <c r="C43" s="14"/>
      <c r="D43" s="1"/>
      <c r="E43" s="1"/>
      <c r="F43" s="1"/>
      <c r="G43" s="1"/>
      <c r="H43" s="13"/>
      <c r="I43" s="2"/>
      <c r="J43" s="12"/>
      <c r="K43" s="12"/>
      <c r="P43" s="3"/>
      <c r="Q43" s="3"/>
      <c r="R43" s="3"/>
      <c r="V43" s="3"/>
      <c r="W43" s="3"/>
      <c r="X43" s="3"/>
    </row>
    <row r="44" spans="1:25" ht="15" x14ac:dyDescent="0.35">
      <c r="A44" s="1"/>
      <c r="B44" s="1"/>
      <c r="C44" s="14"/>
      <c r="D44" s="1"/>
      <c r="E44" s="1"/>
      <c r="F44" s="1"/>
      <c r="G44" s="1"/>
      <c r="H44" s="13"/>
      <c r="I44" s="2"/>
      <c r="J44" s="12"/>
      <c r="K44" s="12"/>
      <c r="P44" s="3"/>
      <c r="Q44" s="3"/>
      <c r="R44" s="3"/>
      <c r="V44" s="3"/>
      <c r="W44" s="3"/>
      <c r="X44" s="3"/>
    </row>
    <row r="45" spans="1:25" ht="15" x14ac:dyDescent="0.35">
      <c r="A45" s="1"/>
      <c r="B45" s="1"/>
      <c r="C45" s="14"/>
      <c r="D45" s="1"/>
      <c r="E45" s="1"/>
      <c r="F45" s="1"/>
      <c r="G45" s="1"/>
      <c r="H45" s="13"/>
      <c r="I45" s="2"/>
      <c r="J45" s="12"/>
      <c r="K45" s="12"/>
      <c r="P45" s="3"/>
      <c r="Q45" s="3"/>
      <c r="R45" s="3"/>
      <c r="V45" s="3"/>
      <c r="W45" s="3"/>
      <c r="X45" s="3"/>
    </row>
    <row r="46" spans="1:25" ht="15" x14ac:dyDescent="0.35">
      <c r="A46" s="1"/>
      <c r="B46" s="1"/>
      <c r="C46" s="14"/>
      <c r="D46" s="1"/>
      <c r="E46" s="1"/>
      <c r="F46" s="1"/>
      <c r="G46" s="1"/>
      <c r="H46" s="13"/>
      <c r="I46" s="2"/>
      <c r="J46" s="12"/>
      <c r="K46" s="12"/>
      <c r="P46" s="3"/>
      <c r="Q46" s="3"/>
      <c r="R46" s="3"/>
      <c r="V46" s="3"/>
      <c r="W46" s="3"/>
      <c r="X46" s="3"/>
    </row>
    <row r="47" spans="1:25" ht="15" x14ac:dyDescent="0.35">
      <c r="A47" s="1"/>
      <c r="B47" s="1"/>
      <c r="C47" s="14"/>
      <c r="D47" s="1"/>
      <c r="E47" s="1"/>
      <c r="F47" s="1"/>
      <c r="G47" s="1"/>
      <c r="H47" s="13"/>
      <c r="I47" s="2"/>
      <c r="J47" s="12"/>
      <c r="K47" s="12"/>
      <c r="P47" s="3"/>
      <c r="Q47" s="3"/>
      <c r="R47" s="3"/>
      <c r="V47" s="3"/>
      <c r="W47" s="3"/>
      <c r="X47" s="3"/>
    </row>
    <row r="48" spans="1:25" ht="15" x14ac:dyDescent="0.35">
      <c r="A48" s="1"/>
      <c r="B48" s="1"/>
      <c r="C48" s="14"/>
      <c r="D48" s="1"/>
      <c r="E48" s="1"/>
      <c r="F48" s="1"/>
      <c r="G48" s="1"/>
      <c r="H48" s="13"/>
      <c r="I48" s="2"/>
      <c r="J48" s="12"/>
      <c r="K48" s="12"/>
      <c r="P48" s="3"/>
      <c r="Q48" s="3"/>
      <c r="R48" s="3"/>
      <c r="V48" s="3"/>
      <c r="W48" s="3"/>
      <c r="X48" s="3"/>
    </row>
    <row r="49" spans="1:24" ht="15" x14ac:dyDescent="0.35">
      <c r="A49" s="1"/>
      <c r="B49" s="1"/>
      <c r="C49" s="14"/>
      <c r="D49" s="1"/>
      <c r="E49" s="1"/>
      <c r="F49" s="1"/>
      <c r="G49" s="1"/>
      <c r="H49" s="13"/>
      <c r="I49" s="2"/>
      <c r="J49" s="12"/>
      <c r="K49" s="12"/>
      <c r="P49" s="3"/>
      <c r="Q49" s="3"/>
      <c r="R49" s="3"/>
      <c r="V49" s="3"/>
      <c r="W49" s="3"/>
      <c r="X49" s="3"/>
    </row>
    <row r="50" spans="1:24" ht="15" x14ac:dyDescent="0.35">
      <c r="A50" s="1"/>
      <c r="B50" s="1"/>
      <c r="C50" s="14"/>
      <c r="D50" s="1"/>
      <c r="E50" s="1"/>
      <c r="F50" s="1"/>
      <c r="G50" s="1"/>
      <c r="H50" s="13"/>
      <c r="I50" s="2"/>
      <c r="J50" s="12"/>
      <c r="K50" s="12"/>
      <c r="P50" s="3"/>
      <c r="Q50" s="3"/>
      <c r="R50" s="3"/>
      <c r="V50" s="3"/>
      <c r="W50" s="3"/>
      <c r="X50" s="3"/>
    </row>
    <row r="51" spans="1:24" ht="15" x14ac:dyDescent="0.35">
      <c r="A51" s="1"/>
      <c r="B51" s="1"/>
      <c r="C51" s="14"/>
      <c r="D51" s="1"/>
      <c r="E51" s="1"/>
      <c r="F51" s="1"/>
      <c r="G51" s="1"/>
      <c r="H51" s="13"/>
      <c r="I51" s="2"/>
      <c r="J51" s="12"/>
      <c r="K51" s="12"/>
      <c r="P51" s="3"/>
      <c r="Q51" s="3"/>
      <c r="R51" s="3"/>
      <c r="V51" s="3"/>
      <c r="W51" s="3"/>
      <c r="X51" s="3"/>
    </row>
    <row r="52" spans="1:24" ht="15" x14ac:dyDescent="0.35">
      <c r="A52" s="1"/>
      <c r="B52" s="1"/>
      <c r="C52" s="14"/>
      <c r="D52" s="1"/>
      <c r="E52" s="1"/>
      <c r="F52" s="1"/>
      <c r="G52" s="1"/>
      <c r="H52" s="13"/>
      <c r="I52" s="2"/>
      <c r="J52" s="12"/>
      <c r="K52" s="12"/>
      <c r="P52" s="3"/>
      <c r="Q52" s="3"/>
      <c r="R52" s="3"/>
      <c r="V52" s="3"/>
      <c r="W52" s="3"/>
      <c r="X52" s="3"/>
    </row>
    <row r="53" spans="1:24" ht="15" x14ac:dyDescent="0.35">
      <c r="A53" s="1"/>
      <c r="B53" s="1"/>
      <c r="C53" s="14"/>
      <c r="D53" s="1"/>
      <c r="E53" s="1"/>
      <c r="F53" s="1"/>
      <c r="G53" s="1"/>
      <c r="H53" s="13"/>
      <c r="I53" s="2"/>
      <c r="J53" s="12"/>
      <c r="K53" s="12"/>
      <c r="P53" s="3"/>
      <c r="Q53" s="3"/>
      <c r="R53" s="3"/>
      <c r="V53" s="3"/>
      <c r="W53" s="3"/>
      <c r="X53" s="3"/>
    </row>
    <row r="54" spans="1:24" ht="15" x14ac:dyDescent="0.35">
      <c r="A54" s="1"/>
      <c r="B54" s="1"/>
      <c r="C54" s="14"/>
      <c r="D54" s="1"/>
      <c r="E54" s="1"/>
      <c r="F54" s="1"/>
      <c r="G54" s="1"/>
      <c r="H54" s="13"/>
      <c r="I54" s="2"/>
      <c r="J54" s="12"/>
      <c r="K54" s="12"/>
      <c r="P54" s="3"/>
      <c r="Q54" s="3"/>
      <c r="R54" s="3"/>
      <c r="V54" s="3"/>
      <c r="W54" s="3"/>
      <c r="X54" s="3"/>
    </row>
    <row r="55" spans="1:24" ht="15" x14ac:dyDescent="0.35">
      <c r="A55" s="1"/>
      <c r="B55" s="1"/>
      <c r="C55" s="14"/>
      <c r="D55" s="1"/>
      <c r="E55" s="1"/>
      <c r="F55" s="1"/>
      <c r="G55" s="1"/>
      <c r="H55" s="13"/>
      <c r="I55" s="2"/>
      <c r="J55" s="12"/>
      <c r="K55" s="12"/>
      <c r="P55" s="3"/>
      <c r="Q55" s="3"/>
      <c r="R55" s="3"/>
      <c r="V55" s="3"/>
      <c r="W55" s="3"/>
      <c r="X55" s="3"/>
    </row>
    <row r="56" spans="1:24" ht="15" x14ac:dyDescent="0.35">
      <c r="A56" s="1"/>
      <c r="B56" s="1"/>
      <c r="C56" s="14"/>
      <c r="D56" s="1"/>
      <c r="E56" s="1"/>
      <c r="F56" s="1"/>
      <c r="G56" s="1"/>
      <c r="H56" s="13"/>
      <c r="I56" s="2"/>
      <c r="J56" s="12"/>
      <c r="K56" s="12"/>
      <c r="P56" s="3"/>
      <c r="Q56" s="3"/>
      <c r="R56" s="3"/>
      <c r="V56" s="3"/>
      <c r="W56" s="3"/>
      <c r="X56" s="3"/>
    </row>
    <row r="57" spans="1:24" ht="15" x14ac:dyDescent="0.35">
      <c r="A57" s="1"/>
      <c r="B57" s="1"/>
      <c r="C57" s="14"/>
      <c r="D57" s="1"/>
      <c r="E57" s="1"/>
      <c r="F57" s="1"/>
      <c r="G57" s="1"/>
      <c r="H57" s="13"/>
      <c r="I57" s="2"/>
      <c r="J57" s="12"/>
      <c r="K57" s="12"/>
      <c r="P57" s="3"/>
      <c r="Q57" s="3"/>
      <c r="R57" s="3"/>
      <c r="V57" s="3"/>
      <c r="W57" s="3"/>
      <c r="X57" s="3"/>
    </row>
    <row r="58" spans="1:24" ht="15" x14ac:dyDescent="0.35">
      <c r="A58" s="1"/>
      <c r="B58" s="1"/>
      <c r="C58" s="14"/>
      <c r="D58" s="1"/>
      <c r="E58" s="1"/>
      <c r="F58" s="1"/>
      <c r="G58" s="1"/>
      <c r="H58" s="13"/>
      <c r="I58" s="2"/>
      <c r="J58" s="12"/>
      <c r="K58" s="12"/>
      <c r="P58" s="3"/>
      <c r="Q58" s="3"/>
      <c r="R58" s="3"/>
      <c r="V58" s="3"/>
      <c r="W58" s="3"/>
      <c r="X58" s="3"/>
    </row>
    <row r="59" spans="1:24" ht="15" x14ac:dyDescent="0.35">
      <c r="A59" s="1"/>
      <c r="B59" s="1"/>
      <c r="C59" s="14"/>
      <c r="D59" s="1"/>
      <c r="E59" s="1"/>
      <c r="F59" s="1"/>
      <c r="G59" s="1"/>
      <c r="H59" s="13"/>
      <c r="I59" s="2"/>
      <c r="J59" s="12"/>
      <c r="K59" s="12"/>
      <c r="P59" s="3"/>
      <c r="Q59" s="3"/>
      <c r="R59" s="3"/>
      <c r="V59" s="3"/>
      <c r="W59" s="3"/>
      <c r="X59" s="3"/>
    </row>
    <row r="60" spans="1:24" ht="15" x14ac:dyDescent="0.35">
      <c r="A60" s="1"/>
      <c r="B60" s="1"/>
      <c r="C60" s="14"/>
      <c r="D60" s="1"/>
      <c r="E60" s="1"/>
      <c r="F60" s="1"/>
      <c r="G60" s="1"/>
      <c r="H60" s="13"/>
      <c r="I60" s="2"/>
      <c r="J60" s="12"/>
      <c r="K60" s="12"/>
      <c r="P60" s="3"/>
      <c r="Q60" s="3"/>
      <c r="R60" s="3"/>
      <c r="V60" s="3"/>
      <c r="W60" s="3"/>
      <c r="X60" s="3"/>
    </row>
    <row r="61" spans="1:24" ht="15" x14ac:dyDescent="0.35">
      <c r="A61" s="1"/>
      <c r="B61" s="1"/>
      <c r="C61" s="14"/>
      <c r="D61" s="1"/>
      <c r="E61" s="1"/>
      <c r="F61" s="1"/>
      <c r="G61" s="1"/>
      <c r="H61" s="13"/>
      <c r="I61" s="2"/>
      <c r="J61" s="12"/>
      <c r="K61" s="12"/>
      <c r="P61" s="3"/>
      <c r="Q61" s="3"/>
      <c r="R61" s="3"/>
      <c r="V61" s="3"/>
      <c r="W61" s="3"/>
      <c r="X61" s="3"/>
    </row>
    <row r="62" spans="1:24" ht="15" x14ac:dyDescent="0.35">
      <c r="A62" s="1"/>
      <c r="B62" s="1"/>
      <c r="C62" s="14"/>
      <c r="D62" s="1"/>
      <c r="E62" s="1"/>
      <c r="F62" s="1"/>
      <c r="G62" s="1"/>
      <c r="H62" s="13"/>
      <c r="I62" s="2"/>
      <c r="J62" s="12"/>
      <c r="K62" s="12"/>
      <c r="P62" s="3"/>
      <c r="Q62" s="3"/>
      <c r="R62" s="3"/>
      <c r="V62" s="3"/>
      <c r="W62" s="3"/>
      <c r="X62" s="3"/>
    </row>
    <row r="63" spans="1:24" ht="15" x14ac:dyDescent="0.35">
      <c r="A63" s="1"/>
      <c r="B63" s="1"/>
      <c r="C63" s="14"/>
      <c r="D63" s="1"/>
      <c r="E63" s="1"/>
      <c r="F63" s="1"/>
      <c r="G63" s="1"/>
      <c r="H63" s="13"/>
      <c r="I63" s="2"/>
      <c r="J63" s="12"/>
      <c r="K63" s="12"/>
      <c r="P63" s="3"/>
      <c r="Q63" s="3"/>
      <c r="R63" s="3"/>
      <c r="V63" s="3"/>
      <c r="W63" s="3"/>
      <c r="X63" s="3"/>
    </row>
    <row r="64" spans="1:24" ht="15" x14ac:dyDescent="0.35">
      <c r="A64" s="1"/>
      <c r="B64" s="1"/>
      <c r="C64" s="14"/>
      <c r="D64" s="1"/>
      <c r="E64" s="1"/>
      <c r="F64" s="1"/>
      <c r="G64" s="1"/>
      <c r="H64" s="13"/>
      <c r="I64" s="2"/>
      <c r="J64" s="12"/>
      <c r="K64" s="12"/>
      <c r="P64" s="3"/>
      <c r="Q64" s="3"/>
      <c r="R64" s="3"/>
      <c r="V64" s="3"/>
      <c r="W64" s="3"/>
      <c r="X64" s="3"/>
    </row>
    <row r="65" spans="1:24" ht="15" x14ac:dyDescent="0.35">
      <c r="A65" s="1"/>
      <c r="B65" s="1"/>
      <c r="C65" s="14"/>
      <c r="D65" s="1"/>
      <c r="E65" s="1"/>
      <c r="F65" s="1"/>
      <c r="G65" s="1"/>
      <c r="H65" s="13"/>
      <c r="I65" s="2"/>
      <c r="J65" s="12"/>
      <c r="K65" s="12"/>
      <c r="P65" s="3"/>
      <c r="Q65" s="3"/>
      <c r="R65" s="3"/>
      <c r="V65" s="3"/>
      <c r="W65" s="3"/>
      <c r="X65" s="3"/>
    </row>
    <row r="66" spans="1:24" ht="15" x14ac:dyDescent="0.35">
      <c r="A66" s="1"/>
      <c r="B66" s="1"/>
      <c r="C66" s="14"/>
      <c r="D66" s="1"/>
      <c r="E66" s="1"/>
      <c r="F66" s="1"/>
      <c r="G66" s="1"/>
      <c r="H66" s="13"/>
      <c r="I66" s="2"/>
      <c r="J66" s="12"/>
      <c r="K66" s="12"/>
      <c r="P66" s="3"/>
      <c r="Q66" s="3"/>
      <c r="R66" s="3"/>
      <c r="V66" s="3"/>
      <c r="W66" s="3"/>
      <c r="X66" s="3"/>
    </row>
    <row r="67" spans="1:24" ht="15" x14ac:dyDescent="0.35">
      <c r="A67" s="1"/>
      <c r="B67" s="1"/>
      <c r="C67" s="14"/>
      <c r="D67" s="1"/>
      <c r="E67" s="1"/>
      <c r="F67" s="1"/>
      <c r="G67" s="1"/>
      <c r="H67" s="13"/>
      <c r="I67" s="2"/>
      <c r="J67" s="12"/>
      <c r="K67" s="12"/>
      <c r="P67" s="3"/>
      <c r="Q67" s="3"/>
      <c r="R67" s="3"/>
      <c r="V67" s="3"/>
      <c r="W67" s="3"/>
      <c r="X67" s="3"/>
    </row>
    <row r="68" spans="1:24" ht="15" x14ac:dyDescent="0.35">
      <c r="A68" s="1"/>
      <c r="B68" s="1"/>
      <c r="C68" s="14"/>
      <c r="D68" s="1"/>
      <c r="E68" s="1"/>
      <c r="F68" s="1"/>
      <c r="G68" s="1"/>
      <c r="H68" s="13"/>
      <c r="I68" s="2"/>
      <c r="J68" s="12"/>
      <c r="K68" s="12"/>
      <c r="P68" s="3"/>
      <c r="Q68" s="3"/>
      <c r="R68" s="3"/>
      <c r="V68" s="3"/>
      <c r="W68" s="3"/>
      <c r="X68" s="3"/>
    </row>
    <row r="69" spans="1:24" ht="15" x14ac:dyDescent="0.35">
      <c r="A69" s="1"/>
      <c r="B69" s="1"/>
      <c r="C69" s="14"/>
      <c r="D69" s="1"/>
      <c r="E69" s="1"/>
      <c r="F69" s="1"/>
      <c r="G69" s="1"/>
      <c r="H69" s="13"/>
      <c r="I69" s="2"/>
      <c r="J69" s="12"/>
      <c r="K69" s="12"/>
      <c r="P69" s="3"/>
      <c r="Q69" s="3"/>
      <c r="R69" s="3"/>
      <c r="V69" s="3"/>
      <c r="W69" s="3"/>
      <c r="X69" s="3"/>
    </row>
    <row r="70" spans="1:24" ht="15" x14ac:dyDescent="0.35">
      <c r="A70" s="1"/>
      <c r="B70" s="1"/>
      <c r="C70" s="14"/>
      <c r="D70" s="1"/>
      <c r="E70" s="1"/>
      <c r="F70" s="1"/>
      <c r="G70" s="1"/>
      <c r="H70" s="13"/>
      <c r="I70" s="2"/>
      <c r="J70" s="12"/>
      <c r="K70" s="12"/>
      <c r="P70" s="3"/>
      <c r="Q70" s="3"/>
      <c r="R70" s="3"/>
      <c r="V70" s="3"/>
      <c r="W70" s="3"/>
      <c r="X70" s="3"/>
    </row>
    <row r="71" spans="1:24" ht="15" x14ac:dyDescent="0.35">
      <c r="A71" s="1"/>
      <c r="B71" s="1"/>
      <c r="C71" s="14"/>
      <c r="D71" s="1"/>
      <c r="E71" s="1"/>
      <c r="F71" s="1"/>
      <c r="G71" s="1"/>
      <c r="H71" s="13"/>
      <c r="I71" s="2"/>
      <c r="J71" s="12"/>
      <c r="K71" s="12"/>
      <c r="P71" s="3"/>
      <c r="Q71" s="3"/>
      <c r="R71" s="3"/>
      <c r="V71" s="3"/>
      <c r="W71" s="3"/>
      <c r="X71" s="3"/>
    </row>
    <row r="72" spans="1:24" ht="15" x14ac:dyDescent="0.35">
      <c r="A72" s="1"/>
      <c r="B72" s="1"/>
      <c r="C72" s="14"/>
      <c r="D72" s="1"/>
      <c r="E72" s="1"/>
      <c r="F72" s="1"/>
      <c r="G72" s="1"/>
      <c r="H72" s="13"/>
      <c r="I72" s="2"/>
      <c r="J72" s="12"/>
      <c r="K72" s="12"/>
      <c r="P72" s="3"/>
      <c r="Q72" s="3"/>
      <c r="R72" s="3"/>
      <c r="V72" s="3"/>
      <c r="W72" s="3"/>
      <c r="X72" s="3"/>
    </row>
    <row r="73" spans="1:24" ht="15" x14ac:dyDescent="0.35">
      <c r="A73" s="1"/>
      <c r="B73" s="1"/>
      <c r="C73" s="14"/>
      <c r="D73" s="1"/>
      <c r="E73" s="1"/>
      <c r="F73" s="1"/>
      <c r="G73" s="1"/>
      <c r="H73" s="13"/>
      <c r="I73" s="2"/>
      <c r="J73" s="12"/>
      <c r="K73" s="12"/>
      <c r="P73" s="3"/>
      <c r="Q73" s="3"/>
      <c r="R73" s="3"/>
      <c r="V73" s="3"/>
      <c r="W73" s="3"/>
      <c r="X73" s="3"/>
    </row>
    <row r="74" spans="1:24" ht="15" x14ac:dyDescent="0.35">
      <c r="A74" s="1"/>
      <c r="B74" s="1"/>
      <c r="C74" s="14"/>
      <c r="D74" s="1"/>
      <c r="E74" s="1"/>
      <c r="F74" s="1"/>
      <c r="G74" s="1"/>
      <c r="H74" s="13"/>
      <c r="I74" s="2"/>
      <c r="J74" s="12"/>
      <c r="K74" s="12"/>
      <c r="P74" s="3"/>
      <c r="Q74" s="3"/>
      <c r="R74" s="3"/>
      <c r="V74" s="3"/>
      <c r="W74" s="3"/>
      <c r="X74" s="3"/>
    </row>
    <row r="75" spans="1:24" ht="15" x14ac:dyDescent="0.35">
      <c r="A75" s="1"/>
      <c r="B75" s="1"/>
      <c r="C75" s="14"/>
      <c r="D75" s="1"/>
      <c r="E75" s="1"/>
      <c r="F75" s="1"/>
      <c r="G75" s="1"/>
      <c r="H75" s="13"/>
      <c r="I75" s="2"/>
      <c r="J75" s="12"/>
      <c r="K75" s="12"/>
      <c r="P75" s="3"/>
      <c r="Q75" s="3"/>
      <c r="R75" s="3"/>
      <c r="V75" s="3"/>
      <c r="W75" s="3"/>
      <c r="X75" s="3"/>
    </row>
    <row r="76" spans="1:24" ht="15" x14ac:dyDescent="0.35">
      <c r="A76" s="1"/>
      <c r="B76" s="1"/>
      <c r="C76" s="14"/>
      <c r="D76" s="1"/>
      <c r="E76" s="1"/>
      <c r="F76" s="1"/>
      <c r="G76" s="1"/>
      <c r="H76" s="13"/>
      <c r="I76" s="2"/>
      <c r="J76" s="12"/>
      <c r="K76" s="12"/>
      <c r="P76" s="3"/>
      <c r="Q76" s="3"/>
      <c r="R76" s="3"/>
      <c r="V76" s="3"/>
      <c r="W76" s="3"/>
      <c r="X76" s="3"/>
    </row>
    <row r="77" spans="1:24" ht="15" x14ac:dyDescent="0.35">
      <c r="A77" s="1"/>
      <c r="B77" s="1"/>
      <c r="C77" s="14"/>
      <c r="D77" s="1"/>
      <c r="E77" s="1"/>
      <c r="F77" s="1"/>
      <c r="G77" s="1"/>
      <c r="H77" s="13"/>
      <c r="I77" s="2"/>
      <c r="J77" s="12"/>
      <c r="K77" s="12"/>
      <c r="P77" s="3"/>
      <c r="Q77" s="3"/>
      <c r="R77" s="3"/>
      <c r="V77" s="3"/>
      <c r="W77" s="3"/>
      <c r="X77" s="3"/>
    </row>
    <row r="78" spans="1:24" ht="15" x14ac:dyDescent="0.35">
      <c r="A78" s="1"/>
      <c r="B78" s="1"/>
      <c r="C78" s="14"/>
      <c r="D78" s="1"/>
      <c r="E78" s="1"/>
      <c r="F78" s="1"/>
      <c r="G78" s="1"/>
      <c r="H78" s="13"/>
      <c r="I78" s="2"/>
      <c r="J78" s="12"/>
      <c r="K78" s="12"/>
      <c r="P78" s="3"/>
      <c r="Q78" s="3"/>
      <c r="R78" s="3"/>
      <c r="V78" s="3"/>
      <c r="W78" s="3"/>
      <c r="X78" s="3"/>
    </row>
    <row r="79" spans="1:24" ht="15" x14ac:dyDescent="0.35">
      <c r="A79" s="1"/>
      <c r="B79" s="1"/>
      <c r="C79" s="14"/>
      <c r="D79" s="1"/>
      <c r="E79" s="1"/>
      <c r="F79" s="1"/>
      <c r="G79" s="1"/>
      <c r="H79" s="13"/>
      <c r="I79" s="2"/>
      <c r="J79" s="12"/>
      <c r="K79" s="12"/>
      <c r="P79" s="3"/>
      <c r="Q79" s="3"/>
      <c r="R79" s="3"/>
      <c r="V79" s="3"/>
      <c r="W79" s="3"/>
      <c r="X79" s="3"/>
    </row>
    <row r="80" spans="1:24" ht="15" x14ac:dyDescent="0.35">
      <c r="A80" s="1"/>
      <c r="B80" s="1"/>
      <c r="C80" s="14"/>
      <c r="D80" s="1"/>
      <c r="E80" s="1"/>
      <c r="F80" s="1"/>
      <c r="G80" s="1"/>
      <c r="H80" s="13"/>
      <c r="I80" s="2"/>
      <c r="J80" s="12"/>
      <c r="K80" s="12"/>
      <c r="P80" s="3"/>
      <c r="Q80" s="3"/>
      <c r="R80" s="3"/>
      <c r="V80" s="3"/>
      <c r="W80" s="3"/>
      <c r="X80" s="3"/>
    </row>
    <row r="81" spans="1:24" ht="15" x14ac:dyDescent="0.35">
      <c r="A81" s="1"/>
      <c r="B81" s="1"/>
      <c r="C81" s="14"/>
      <c r="D81" s="1"/>
      <c r="E81" s="1"/>
      <c r="F81" s="1"/>
      <c r="G81" s="1"/>
      <c r="H81" s="13"/>
      <c r="I81" s="2"/>
      <c r="J81" s="12"/>
      <c r="K81" s="12"/>
      <c r="P81" s="3"/>
      <c r="Q81" s="3"/>
      <c r="R81" s="3"/>
      <c r="V81" s="3"/>
      <c r="W81" s="3"/>
      <c r="X81" s="3"/>
    </row>
    <row r="82" spans="1:24" ht="15" x14ac:dyDescent="0.35">
      <c r="A82" s="1"/>
      <c r="B82" s="1"/>
      <c r="C82" s="14"/>
      <c r="D82" s="1"/>
      <c r="E82" s="1"/>
      <c r="F82" s="1"/>
      <c r="G82" s="1"/>
      <c r="H82" s="13"/>
      <c r="I82" s="2"/>
      <c r="J82" s="12"/>
      <c r="K82" s="12"/>
      <c r="P82" s="3"/>
      <c r="Q82" s="3"/>
      <c r="R82" s="3"/>
      <c r="V82" s="3"/>
      <c r="W82" s="3"/>
      <c r="X82" s="3"/>
    </row>
    <row r="83" spans="1:24" ht="15" x14ac:dyDescent="0.35">
      <c r="A83" s="1"/>
      <c r="B83" s="1"/>
      <c r="C83" s="14"/>
      <c r="D83" s="1"/>
      <c r="E83" s="1"/>
      <c r="F83" s="1"/>
      <c r="G83" s="1"/>
      <c r="H83" s="13"/>
      <c r="I83" s="2"/>
      <c r="J83" s="12"/>
      <c r="K83" s="12"/>
      <c r="P83" s="3"/>
      <c r="Q83" s="3"/>
      <c r="R83" s="3"/>
      <c r="V83" s="3"/>
      <c r="W83" s="3"/>
      <c r="X83" s="3"/>
    </row>
    <row r="84" spans="1:24" ht="15" x14ac:dyDescent="0.35">
      <c r="A84" s="1"/>
      <c r="B84" s="1"/>
      <c r="C84" s="14"/>
      <c r="D84" s="1"/>
      <c r="E84" s="1"/>
      <c r="F84" s="1"/>
      <c r="G84" s="1"/>
      <c r="H84" s="13"/>
      <c r="I84" s="2"/>
      <c r="J84" s="12"/>
      <c r="K84" s="12"/>
      <c r="P84" s="3"/>
      <c r="Q84" s="3"/>
      <c r="R84" s="3"/>
      <c r="V84" s="3"/>
      <c r="W84" s="3"/>
      <c r="X84" s="3"/>
    </row>
    <row r="85" spans="1:24" ht="15" x14ac:dyDescent="0.35">
      <c r="A85" s="1"/>
      <c r="B85" s="1"/>
      <c r="C85" s="14"/>
      <c r="D85" s="1"/>
      <c r="E85" s="1"/>
      <c r="F85" s="1"/>
      <c r="G85" s="1"/>
      <c r="H85" s="13"/>
      <c r="I85" s="2"/>
      <c r="J85" s="12"/>
      <c r="K85" s="12"/>
      <c r="P85" s="3"/>
      <c r="Q85" s="3"/>
      <c r="R85" s="3"/>
      <c r="V85" s="3"/>
      <c r="W85" s="3"/>
      <c r="X85" s="3"/>
    </row>
    <row r="86" spans="1:24" ht="15" x14ac:dyDescent="0.35">
      <c r="A86" s="1"/>
      <c r="B86" s="1"/>
      <c r="C86" s="14"/>
      <c r="D86" s="1"/>
      <c r="E86" s="1"/>
      <c r="F86" s="1"/>
      <c r="G86" s="1"/>
      <c r="H86" s="13"/>
      <c r="I86" s="2"/>
      <c r="J86" s="12"/>
      <c r="K86" s="12"/>
      <c r="P86" s="3"/>
      <c r="Q86" s="3"/>
      <c r="R86" s="3"/>
      <c r="V86" s="3"/>
      <c r="W86" s="3"/>
      <c r="X86" s="3"/>
    </row>
    <row r="87" spans="1:24" ht="15" x14ac:dyDescent="0.35">
      <c r="A87" s="1"/>
      <c r="B87" s="1"/>
      <c r="C87" s="14"/>
      <c r="D87" s="1"/>
      <c r="E87" s="1"/>
      <c r="F87" s="1"/>
      <c r="G87" s="1"/>
      <c r="H87" s="13"/>
      <c r="I87" s="2"/>
      <c r="J87" s="12"/>
      <c r="K87" s="12"/>
      <c r="P87" s="3"/>
      <c r="Q87" s="3"/>
      <c r="R87" s="3"/>
      <c r="V87" s="3"/>
      <c r="W87" s="3"/>
      <c r="X87" s="3"/>
    </row>
    <row r="88" spans="1:24" ht="15" x14ac:dyDescent="0.35">
      <c r="A88" s="1"/>
      <c r="B88" s="1"/>
      <c r="C88" s="14"/>
      <c r="D88" s="1"/>
      <c r="E88" s="1"/>
      <c r="F88" s="1"/>
      <c r="G88" s="1"/>
      <c r="H88" s="13"/>
      <c r="I88" s="2"/>
      <c r="J88" s="12"/>
      <c r="K88" s="12"/>
      <c r="P88" s="3"/>
      <c r="Q88" s="3"/>
      <c r="R88" s="3"/>
      <c r="V88" s="3"/>
      <c r="W88" s="3"/>
      <c r="X88" s="3"/>
    </row>
    <row r="89" spans="1:24" ht="15" x14ac:dyDescent="0.35">
      <c r="A89" s="1"/>
      <c r="B89" s="1"/>
      <c r="C89" s="14"/>
      <c r="D89" s="1"/>
      <c r="E89" s="1"/>
      <c r="F89" s="1"/>
      <c r="G89" s="1"/>
      <c r="H89" s="13"/>
      <c r="I89" s="2"/>
      <c r="J89" s="12"/>
      <c r="K89" s="12"/>
      <c r="P89" s="3"/>
      <c r="Q89" s="3"/>
      <c r="R89" s="3"/>
      <c r="V89" s="3"/>
      <c r="W89" s="3"/>
      <c r="X89" s="3"/>
    </row>
    <row r="90" spans="1:24" ht="15" x14ac:dyDescent="0.35">
      <c r="A90" s="1"/>
      <c r="B90" s="1"/>
      <c r="C90" s="14"/>
      <c r="D90" s="1"/>
      <c r="E90" s="1"/>
      <c r="F90" s="1"/>
      <c r="G90" s="1"/>
      <c r="H90" s="13"/>
      <c r="I90" s="2"/>
      <c r="J90" s="12"/>
      <c r="K90" s="12"/>
      <c r="P90" s="3"/>
      <c r="Q90" s="3"/>
      <c r="R90" s="3"/>
      <c r="V90" s="3"/>
      <c r="W90" s="3"/>
      <c r="X90" s="3"/>
    </row>
    <row r="91" spans="1:24" ht="15" x14ac:dyDescent="0.35">
      <c r="A91" s="1"/>
      <c r="B91" s="1"/>
      <c r="C91" s="14"/>
      <c r="D91" s="1"/>
      <c r="E91" s="1"/>
      <c r="F91" s="1"/>
      <c r="G91" s="1"/>
      <c r="H91" s="13"/>
      <c r="I91" s="2"/>
      <c r="J91" s="12"/>
      <c r="K91" s="12"/>
      <c r="P91" s="3"/>
      <c r="Q91" s="3"/>
      <c r="R91" s="3"/>
      <c r="V91" s="3"/>
      <c r="W91" s="3"/>
      <c r="X91" s="3"/>
    </row>
    <row r="92" spans="1:24" ht="15" x14ac:dyDescent="0.35">
      <c r="A92" s="1"/>
      <c r="B92" s="1"/>
      <c r="C92" s="14"/>
      <c r="D92" s="1"/>
      <c r="E92" s="1"/>
      <c r="F92" s="1"/>
      <c r="G92" s="1"/>
      <c r="H92" s="13"/>
      <c r="I92" s="2"/>
      <c r="J92" s="12"/>
      <c r="K92" s="12"/>
      <c r="P92" s="3"/>
      <c r="Q92" s="3"/>
      <c r="R92" s="3"/>
      <c r="V92" s="3"/>
      <c r="W92" s="3"/>
      <c r="X92" s="3"/>
    </row>
    <row r="93" spans="1:24" ht="15" x14ac:dyDescent="0.35">
      <c r="A93" s="1"/>
      <c r="B93" s="1"/>
      <c r="C93" s="14"/>
      <c r="D93" s="1"/>
      <c r="E93" s="1"/>
      <c r="F93" s="1"/>
      <c r="G93" s="1"/>
      <c r="H93" s="13"/>
      <c r="I93" s="2"/>
      <c r="J93" s="12"/>
      <c r="K93" s="12"/>
      <c r="P93" s="3"/>
      <c r="Q93" s="3"/>
      <c r="R93" s="3"/>
      <c r="V93" s="3"/>
      <c r="W93" s="3"/>
      <c r="X93" s="3"/>
    </row>
    <row r="94" spans="1:24" ht="15" x14ac:dyDescent="0.35">
      <c r="A94" s="1"/>
      <c r="B94" s="1"/>
      <c r="C94" s="14"/>
      <c r="D94" s="1"/>
      <c r="E94" s="1"/>
      <c r="F94" s="1"/>
      <c r="G94" s="1"/>
      <c r="H94" s="13"/>
      <c r="I94" s="2"/>
      <c r="J94" s="12"/>
      <c r="K94" s="12"/>
      <c r="P94" s="3"/>
      <c r="Q94" s="3"/>
      <c r="R94" s="3"/>
      <c r="V94" s="3"/>
      <c r="W94" s="3"/>
      <c r="X94" s="3"/>
    </row>
    <row r="95" spans="1:24" ht="15" x14ac:dyDescent="0.35">
      <c r="A95" s="1"/>
      <c r="B95" s="1"/>
      <c r="C95" s="14"/>
      <c r="D95" s="1"/>
      <c r="E95" s="1"/>
      <c r="F95" s="1"/>
      <c r="G95" s="1"/>
      <c r="H95" s="13"/>
      <c r="I95" s="2"/>
      <c r="J95" s="12"/>
      <c r="K95" s="12"/>
      <c r="P95" s="3"/>
      <c r="Q95" s="3"/>
      <c r="R95" s="3"/>
      <c r="V95" s="3"/>
      <c r="W95" s="3"/>
      <c r="X95" s="3"/>
    </row>
    <row r="96" spans="1:24" ht="15" x14ac:dyDescent="0.35">
      <c r="A96" s="1"/>
      <c r="B96" s="1"/>
      <c r="C96" s="14"/>
      <c r="D96" s="1"/>
      <c r="E96" s="1"/>
      <c r="F96" s="1"/>
      <c r="G96" s="1"/>
      <c r="H96" s="13"/>
      <c r="I96" s="2"/>
      <c r="J96" s="12"/>
      <c r="K96" s="12"/>
      <c r="P96" s="3"/>
      <c r="Q96" s="3"/>
      <c r="R96" s="3"/>
      <c r="V96" s="3"/>
      <c r="W96" s="3"/>
      <c r="X96" s="3"/>
    </row>
    <row r="97" spans="1:24" ht="15" x14ac:dyDescent="0.35">
      <c r="A97" s="1"/>
      <c r="B97" s="1"/>
      <c r="C97" s="14"/>
      <c r="D97" s="1"/>
      <c r="E97" s="1"/>
      <c r="F97" s="1"/>
      <c r="G97" s="1"/>
      <c r="H97" s="13"/>
      <c r="I97" s="2"/>
      <c r="J97" s="12"/>
      <c r="K97" s="12"/>
      <c r="P97" s="3"/>
      <c r="Q97" s="3"/>
      <c r="R97" s="3"/>
      <c r="V97" s="3"/>
      <c r="W97" s="3"/>
      <c r="X97" s="3"/>
    </row>
    <row r="98" spans="1:24" ht="15" x14ac:dyDescent="0.35">
      <c r="A98" s="1"/>
      <c r="B98" s="1"/>
      <c r="C98" s="14"/>
      <c r="D98" s="1"/>
      <c r="E98" s="1"/>
      <c r="F98" s="1"/>
      <c r="G98" s="1"/>
      <c r="H98" s="13"/>
      <c r="I98" s="2"/>
      <c r="J98" s="12"/>
      <c r="K98" s="12"/>
      <c r="P98" s="3"/>
      <c r="Q98" s="3"/>
      <c r="R98" s="3"/>
      <c r="V98" s="3"/>
      <c r="W98" s="3"/>
      <c r="X98" s="3"/>
    </row>
    <row r="99" spans="1:24" ht="15" x14ac:dyDescent="0.35">
      <c r="A99" s="1"/>
      <c r="B99" s="1"/>
      <c r="C99" s="14"/>
      <c r="D99" s="1"/>
      <c r="E99" s="1"/>
      <c r="F99" s="1"/>
      <c r="G99" s="1"/>
      <c r="H99" s="13"/>
      <c r="I99" s="2"/>
      <c r="J99" s="12"/>
      <c r="K99" s="12"/>
      <c r="P99" s="3"/>
      <c r="Q99" s="3"/>
      <c r="R99" s="3"/>
      <c r="V99" s="3"/>
      <c r="W99" s="3"/>
      <c r="X99" s="3"/>
    </row>
    <row r="100" spans="1:24" ht="15" x14ac:dyDescent="0.35">
      <c r="A100" s="1"/>
      <c r="B100" s="1"/>
      <c r="C100" s="14"/>
      <c r="D100" s="1"/>
      <c r="E100" s="1"/>
      <c r="F100" s="1"/>
      <c r="G100" s="1"/>
      <c r="H100" s="13"/>
      <c r="I100" s="2"/>
      <c r="J100" s="12"/>
      <c r="K100" s="12"/>
      <c r="P100" s="3"/>
      <c r="Q100" s="3"/>
      <c r="R100" s="3"/>
      <c r="V100" s="3"/>
      <c r="W100" s="3"/>
      <c r="X100" s="3"/>
    </row>
    <row r="101" spans="1:24" ht="15" x14ac:dyDescent="0.35">
      <c r="A101" s="1"/>
      <c r="B101" s="1"/>
      <c r="C101" s="14"/>
      <c r="D101" s="1"/>
      <c r="E101" s="1"/>
      <c r="F101" s="1"/>
      <c r="G101" s="1"/>
      <c r="H101" s="13"/>
      <c r="I101" s="2"/>
      <c r="J101" s="12"/>
      <c r="K101" s="12"/>
      <c r="P101" s="3"/>
      <c r="Q101" s="3"/>
      <c r="R101" s="3"/>
      <c r="V101" s="3"/>
      <c r="W101" s="3"/>
      <c r="X101" s="3"/>
    </row>
    <row r="102" spans="1:24" ht="15" x14ac:dyDescent="0.35">
      <c r="A102" s="1"/>
      <c r="B102" s="1"/>
      <c r="C102" s="14"/>
      <c r="D102" s="1"/>
      <c r="E102" s="1"/>
      <c r="F102" s="1"/>
      <c r="G102" s="1"/>
      <c r="H102" s="13"/>
      <c r="I102" s="2"/>
      <c r="J102" s="12"/>
      <c r="K102" s="12"/>
      <c r="P102" s="3"/>
      <c r="Q102" s="3"/>
      <c r="R102" s="3"/>
      <c r="V102" s="3"/>
      <c r="W102" s="3"/>
      <c r="X102" s="3"/>
    </row>
    <row r="103" spans="1:24" ht="15" x14ac:dyDescent="0.35">
      <c r="A103" s="1"/>
      <c r="B103" s="1"/>
      <c r="C103" s="14"/>
      <c r="D103" s="1"/>
      <c r="E103" s="1"/>
      <c r="F103" s="1"/>
      <c r="G103" s="1"/>
      <c r="H103" s="13"/>
      <c r="I103" s="2"/>
      <c r="J103" s="12"/>
      <c r="K103" s="12"/>
      <c r="P103" s="3"/>
      <c r="Q103" s="3"/>
      <c r="R10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85BAE-F0F0-450B-9B86-7D56453115D4}">
  <dimension ref="A1:E1049"/>
  <sheetViews>
    <sheetView workbookViewId="0">
      <selection activeCell="A2" sqref="A2:B1049"/>
    </sheetView>
  </sheetViews>
  <sheetFormatPr defaultRowHeight="14.4" x14ac:dyDescent="0.3"/>
  <cols>
    <col min="1" max="1" width="18.109375" bestFit="1" customWidth="1"/>
    <col min="3" max="3" width="13.44140625" bestFit="1" customWidth="1"/>
    <col min="4" max="4" width="12.33203125" bestFit="1" customWidth="1"/>
  </cols>
  <sheetData>
    <row r="1" spans="1:5" x14ac:dyDescent="0.3">
      <c r="A1" s="16"/>
      <c r="B1" s="17" t="s">
        <v>28</v>
      </c>
      <c r="C1" s="18">
        <f>+Sheet1!H2</f>
        <v>45419.717361111114</v>
      </c>
      <c r="D1" s="19">
        <f t="shared" ref="D1:D2" si="0">+C1-2/24</f>
        <v>45419.634027777778</v>
      </c>
      <c r="E1" cm="1">
        <f t="array" ref="E1">INDEX(B$1:B$224233, MATCH(D1,A$1:A$224233,1) +0)</f>
        <v>0</v>
      </c>
    </row>
    <row r="2" spans="1:5" x14ac:dyDescent="0.3">
      <c r="A2" s="20">
        <v>45419.633332999998</v>
      </c>
      <c r="B2" s="17">
        <v>0</v>
      </c>
      <c r="C2" s="18">
        <f>+Sheet1!H3</f>
        <v>45419.73333333333</v>
      </c>
      <c r="D2" s="19">
        <f t="shared" si="0"/>
        <v>45419.649999999994</v>
      </c>
      <c r="E2" cm="1">
        <f t="array" ref="E2">INDEX(B$1:B$224233, MATCH(D2,A$1:A$224233,1) +0)</f>
        <v>46.687634000000003</v>
      </c>
    </row>
    <row r="3" spans="1:5" x14ac:dyDescent="0.3">
      <c r="A3" s="20">
        <v>45419.634028</v>
      </c>
      <c r="B3" s="17">
        <v>20.088799999999999</v>
      </c>
      <c r="C3" s="18">
        <f>+Sheet1!H4</f>
        <v>45419.769444444442</v>
      </c>
      <c r="D3" s="19">
        <f t="shared" ref="D3:D37" si="1">+C3-2/24</f>
        <v>45419.686111111107</v>
      </c>
      <c r="E3" cm="1">
        <f t="array" ref="E3">INDEX(B$1:B$224233, MATCH(D3,A$1:A$224233,1) +0)</f>
        <v>55.572288999999998</v>
      </c>
    </row>
    <row r="4" spans="1:5" x14ac:dyDescent="0.3">
      <c r="A4" s="20">
        <v>45419.634722000003</v>
      </c>
      <c r="B4" s="17">
        <v>42.819138000000002</v>
      </c>
      <c r="C4" s="18">
        <f>+Sheet1!H5</f>
        <v>45419.794444444444</v>
      </c>
      <c r="D4" s="19">
        <f t="shared" si="1"/>
        <v>45419.711111111108</v>
      </c>
      <c r="E4" cm="1">
        <f t="array" ref="E4">INDEX(B$1:B$224233, MATCH(D4,A$1:A$224233,1) +0)</f>
        <v>58.396965000000002</v>
      </c>
    </row>
    <row r="5" spans="1:5" x14ac:dyDescent="0.3">
      <c r="A5" s="20">
        <v>45419.635416999998</v>
      </c>
      <c r="B5" s="17">
        <v>42.664690999999998</v>
      </c>
      <c r="C5" s="18">
        <f>+Sheet1!H6</f>
        <v>45419.811805555553</v>
      </c>
      <c r="D5" s="19">
        <f t="shared" si="1"/>
        <v>45419.728472222218</v>
      </c>
      <c r="E5" cm="1">
        <f t="array" ref="E5">INDEX(B$1:B$224233, MATCH(D5,A$1:A$224233,1) +0)</f>
        <v>60.111221</v>
      </c>
    </row>
    <row r="6" spans="1:5" x14ac:dyDescent="0.3">
      <c r="A6" s="20">
        <v>45419.636111</v>
      </c>
      <c r="B6" s="17">
        <v>42.686048</v>
      </c>
      <c r="C6" s="18">
        <f>+Sheet1!H7</f>
        <v>45419.829861111109</v>
      </c>
      <c r="D6" s="19">
        <f t="shared" si="1"/>
        <v>45419.746527777774</v>
      </c>
      <c r="E6" cm="1">
        <f t="array" ref="E6">INDEX(B$1:B$224233, MATCH(D6,A$1:A$224233,1) +0)</f>
        <v>60.401743000000003</v>
      </c>
    </row>
    <row r="7" spans="1:5" x14ac:dyDescent="0.3">
      <c r="A7" s="20">
        <v>45419.636806000002</v>
      </c>
      <c r="B7" s="17">
        <v>42.858254000000002</v>
      </c>
      <c r="C7" s="18">
        <f>+Sheet1!H8</f>
        <v>45419.854861111111</v>
      </c>
      <c r="D7" s="19">
        <f t="shared" si="1"/>
        <v>45419.771527777775</v>
      </c>
      <c r="E7" cm="1">
        <f t="array" ref="E7">INDEX(B$1:B$224233, MATCH(D7,A$1:A$224233,1) +0)</f>
        <v>60.878371999999999</v>
      </c>
    </row>
    <row r="8" spans="1:5" x14ac:dyDescent="0.3">
      <c r="A8" s="20">
        <v>45419.637499999997</v>
      </c>
      <c r="B8" s="17">
        <v>42.336238999999999</v>
      </c>
      <c r="C8" s="18">
        <f>+Sheet1!H9</f>
        <v>45419.87222222222</v>
      </c>
      <c r="D8" s="19">
        <f t="shared" si="1"/>
        <v>45419.788888888885</v>
      </c>
      <c r="E8" cm="1">
        <f t="array" ref="E8">INDEX(B$1:B$224233, MATCH(D8,A$1:A$224233,1) +0)</f>
        <v>62.011384999999997</v>
      </c>
    </row>
    <row r="9" spans="1:5" x14ac:dyDescent="0.3">
      <c r="A9" s="20">
        <v>45419.638193999999</v>
      </c>
      <c r="B9" s="17">
        <v>42.389828999999999</v>
      </c>
      <c r="C9" s="18">
        <f>+Sheet1!H10</f>
        <v>45419.895833333336</v>
      </c>
      <c r="D9" s="19">
        <f t="shared" si="1"/>
        <v>45419.8125</v>
      </c>
      <c r="E9" cm="1">
        <f t="array" ref="E9">INDEX(B$1:B$224233, MATCH(D9,A$1:A$224233,1) +0)</f>
        <v>65.106014999999999</v>
      </c>
    </row>
    <row r="10" spans="1:5" x14ac:dyDescent="0.3">
      <c r="A10" s="20">
        <v>45419.638889000002</v>
      </c>
      <c r="B10" s="17">
        <v>42.411982999999999</v>
      </c>
      <c r="C10" s="18">
        <f>+Sheet1!H11</f>
        <v>45419.913888888892</v>
      </c>
      <c r="D10" s="19">
        <f t="shared" si="1"/>
        <v>45419.830555555556</v>
      </c>
      <c r="E10" cm="1">
        <f t="array" ref="E10">INDEX(B$1:B$224233, MATCH(D10,A$1:A$224233,1) +0)</f>
        <v>64.538811999999993</v>
      </c>
    </row>
    <row r="11" spans="1:5" x14ac:dyDescent="0.3">
      <c r="A11" s="20">
        <v>45419.639582999996</v>
      </c>
      <c r="B11" s="17">
        <v>42.212544000000001</v>
      </c>
      <c r="C11" s="18">
        <f>+Sheet1!H12</f>
        <v>45419.938888888886</v>
      </c>
      <c r="D11" s="19">
        <f t="shared" si="1"/>
        <v>45419.85555555555</v>
      </c>
      <c r="E11" cm="1">
        <f t="array" ref="E11">INDEX(B$1:B$224233, MATCH(D11,A$1:A$224233,1) +0)</f>
        <v>64.864506000000006</v>
      </c>
    </row>
    <row r="12" spans="1:5" x14ac:dyDescent="0.3">
      <c r="A12" s="20">
        <v>45419.640277999999</v>
      </c>
      <c r="B12" s="17">
        <v>41.799402000000001</v>
      </c>
      <c r="C12" s="18">
        <f>+Sheet1!H13</f>
        <v>45419.956250000003</v>
      </c>
      <c r="D12" s="19">
        <f t="shared" si="1"/>
        <v>45419.872916666667</v>
      </c>
      <c r="E12" cm="1">
        <f t="array" ref="E12">INDEX(B$1:B$224233, MATCH(D12,A$1:A$224233,1) +0)</f>
        <v>65.142622000000003</v>
      </c>
    </row>
    <row r="13" spans="1:5" x14ac:dyDescent="0.3">
      <c r="A13" s="20">
        <v>45419.640972000001</v>
      </c>
      <c r="B13" s="17">
        <v>42.124417000000001</v>
      </c>
      <c r="C13" s="18">
        <f>+Sheet1!H14</f>
        <v>45419.979861111111</v>
      </c>
      <c r="D13" s="19">
        <f t="shared" si="1"/>
        <v>45419.896527777775</v>
      </c>
      <c r="E13" cm="1">
        <f t="array" ref="E13">INDEX(B$1:B$224233, MATCH(D13,A$1:A$224233,1) +0)</f>
        <v>67.294870000000003</v>
      </c>
    </row>
    <row r="14" spans="1:5" x14ac:dyDescent="0.3">
      <c r="A14" s="20">
        <v>45419.641667000004</v>
      </c>
      <c r="B14" s="17">
        <v>42.517926000000003</v>
      </c>
      <c r="C14" s="18">
        <f>+Sheet1!H15</f>
        <v>45419.997916666667</v>
      </c>
      <c r="D14" s="19">
        <f t="shared" si="1"/>
        <v>45419.914583333331</v>
      </c>
      <c r="E14" cm="1">
        <f t="array" ref="E14">INDEX(B$1:B$224233, MATCH(D14,A$1:A$224233,1) +0)</f>
        <v>67.479331000000002</v>
      </c>
    </row>
    <row r="15" spans="1:5" x14ac:dyDescent="0.3">
      <c r="A15" s="20">
        <v>45419.642360999998</v>
      </c>
      <c r="B15" s="17">
        <v>42.308501999999997</v>
      </c>
      <c r="C15" s="18">
        <f>+Sheet1!H16</f>
        <v>45420.022916666669</v>
      </c>
      <c r="D15" s="19">
        <f t="shared" si="1"/>
        <v>45419.939583333333</v>
      </c>
      <c r="E15" cm="1">
        <f t="array" ref="E15">INDEX(B$1:B$224233, MATCH(D15,A$1:A$224233,1) +0)</f>
        <v>66.490838999999994</v>
      </c>
    </row>
    <row r="16" spans="1:5" x14ac:dyDescent="0.3">
      <c r="A16" s="20">
        <v>45419.643056000001</v>
      </c>
      <c r="B16" s="17">
        <v>43.151105999999999</v>
      </c>
      <c r="C16" s="18">
        <f>+Sheet1!H17</f>
        <v>45420.040277777778</v>
      </c>
      <c r="D16" s="19">
        <f t="shared" si="1"/>
        <v>45419.956944444442</v>
      </c>
      <c r="E16" cm="1">
        <f t="array" ref="E16">INDEX(B$1:B$224233, MATCH(D16,A$1:A$224233,1) +0)</f>
        <v>67.513638</v>
      </c>
    </row>
    <row r="17" spans="1:5" x14ac:dyDescent="0.3">
      <c r="A17" s="20">
        <v>45419.643750000003</v>
      </c>
      <c r="B17" s="17">
        <v>43.651541000000002</v>
      </c>
      <c r="C17" s="18">
        <f>+Sheet1!H18</f>
        <v>45420.063888888886</v>
      </c>
      <c r="D17" s="19">
        <f t="shared" si="1"/>
        <v>45419.98055555555</v>
      </c>
      <c r="E17" cm="1">
        <f t="array" ref="E17">INDEX(B$1:B$224233, MATCH(D17,A$1:A$224233,1) +0)</f>
        <v>69.744369000000006</v>
      </c>
    </row>
    <row r="18" spans="1:5" x14ac:dyDescent="0.3">
      <c r="A18" s="20">
        <v>45419.644443999998</v>
      </c>
      <c r="B18" s="17">
        <v>43.159658</v>
      </c>
      <c r="C18" s="18">
        <f>+Sheet1!H19</f>
        <v>45420.081944444442</v>
      </c>
      <c r="D18" s="19">
        <f t="shared" si="1"/>
        <v>45419.998611111107</v>
      </c>
      <c r="E18" cm="1">
        <f t="array" ref="E18">INDEX(B$1:B$224233, MATCH(D18,A$1:A$224233,1) +0)</f>
        <v>68.365817000000007</v>
      </c>
    </row>
    <row r="19" spans="1:5" x14ac:dyDescent="0.3">
      <c r="A19" s="20">
        <v>45419.645139</v>
      </c>
      <c r="B19" s="17">
        <v>43.502935000000001</v>
      </c>
      <c r="C19" s="18">
        <f>+Sheet1!H20</f>
        <v>45420.106944444444</v>
      </c>
      <c r="D19" s="19">
        <f t="shared" si="1"/>
        <v>45420.023611111108</v>
      </c>
      <c r="E19" cm="1">
        <f t="array" ref="E19">INDEX(B$1:B$224233, MATCH(D19,A$1:A$224233,1) +0)</f>
        <v>69.222313</v>
      </c>
    </row>
    <row r="20" spans="1:5" x14ac:dyDescent="0.3">
      <c r="A20" s="20">
        <v>45419.645833000002</v>
      </c>
      <c r="B20" s="17">
        <v>44.050502999999999</v>
      </c>
      <c r="C20" s="18">
        <f>+Sheet1!H21</f>
        <v>45420.124305555553</v>
      </c>
      <c r="D20" s="19">
        <f t="shared" si="1"/>
        <v>45420.040972222218</v>
      </c>
      <c r="E20" cm="1">
        <f t="array" ref="E20">INDEX(B$1:B$224233, MATCH(D20,A$1:A$224233,1) +0)</f>
        <v>68.066625000000002</v>
      </c>
    </row>
    <row r="21" spans="1:5" x14ac:dyDescent="0.3">
      <c r="A21" s="20">
        <v>45419.646527999997</v>
      </c>
      <c r="B21" s="17">
        <v>44.911647000000002</v>
      </c>
      <c r="C21" s="18">
        <f>+Sheet1!H22</f>
        <v>45420.147916666669</v>
      </c>
      <c r="D21" s="19">
        <f t="shared" si="1"/>
        <v>45420.064583333333</v>
      </c>
      <c r="E21" cm="1">
        <f t="array" ref="E21">INDEX(B$1:B$224233, MATCH(D21,A$1:A$224233,1) +0)</f>
        <v>71.411427000000003</v>
      </c>
    </row>
    <row r="22" spans="1:5" x14ac:dyDescent="0.3">
      <c r="A22" s="20">
        <v>45419.647222</v>
      </c>
      <c r="B22" s="17">
        <v>44.736043000000002</v>
      </c>
      <c r="C22" s="18">
        <f>+Sheet1!H23</f>
        <v>45420.165972222225</v>
      </c>
      <c r="D22" s="19">
        <f t="shared" si="1"/>
        <v>45420.082638888889</v>
      </c>
      <c r="E22" cm="1">
        <f t="array" ref="E22">INDEX(B$1:B$224233, MATCH(D22,A$1:A$224233,1) +0)</f>
        <v>71.814966999999996</v>
      </c>
    </row>
    <row r="23" spans="1:5" x14ac:dyDescent="0.3">
      <c r="A23" s="20">
        <v>45419.647917000002</v>
      </c>
      <c r="B23" s="17">
        <v>45.626336999999999</v>
      </c>
      <c r="C23" s="18">
        <f>+Sheet1!H24</f>
        <v>45420.190972222219</v>
      </c>
      <c r="D23" s="19">
        <f t="shared" si="1"/>
        <v>45420.107638888883</v>
      </c>
      <c r="E23" cm="1">
        <f t="array" ref="E23">INDEX(B$1:B$224233, MATCH(D23,A$1:A$224233,1) +0)</f>
        <v>71.731206</v>
      </c>
    </row>
    <row r="24" spans="1:5" x14ac:dyDescent="0.3">
      <c r="A24" s="20">
        <v>45419.648610999997</v>
      </c>
      <c r="B24" s="17">
        <v>46.780855000000003</v>
      </c>
      <c r="C24" s="18">
        <f>+Sheet1!H25</f>
        <v>45420.208333333336</v>
      </c>
      <c r="D24" s="19">
        <f t="shared" si="1"/>
        <v>45420.125</v>
      </c>
      <c r="E24" cm="1">
        <f t="array" ref="E24">INDEX(B$1:B$224233, MATCH(D24,A$1:A$224233,1) +0)</f>
        <v>72.757604000000001</v>
      </c>
    </row>
    <row r="25" spans="1:5" x14ac:dyDescent="0.3">
      <c r="A25" s="20">
        <v>45419.649305999999</v>
      </c>
      <c r="B25" s="17">
        <v>46.687634000000003</v>
      </c>
      <c r="C25" s="18">
        <f>+Sheet1!H26</f>
        <v>45420.231944444444</v>
      </c>
      <c r="D25" s="19">
        <f t="shared" si="1"/>
        <v>45420.148611111108</v>
      </c>
      <c r="E25" cm="1">
        <f t="array" ref="E25">INDEX(B$1:B$224233, MATCH(D25,A$1:A$224233,1) +0)</f>
        <v>72.375314000000003</v>
      </c>
    </row>
    <row r="26" spans="1:5" x14ac:dyDescent="0.3">
      <c r="A26" s="20">
        <v>45419.65</v>
      </c>
      <c r="B26" s="17">
        <v>47.108511999999997</v>
      </c>
      <c r="C26" s="18">
        <f>+Sheet1!H27</f>
        <v>45420.25</v>
      </c>
      <c r="D26" s="19">
        <f t="shared" si="1"/>
        <v>45420.166666666664</v>
      </c>
      <c r="E26" cm="1">
        <f t="array" ref="E26">INDEX(B$1:B$224233, MATCH(D26,A$1:A$224233,1) +0)</f>
        <v>72.951958000000005</v>
      </c>
    </row>
    <row r="27" spans="1:5" x14ac:dyDescent="0.3">
      <c r="A27" s="20">
        <v>45419.650694000004</v>
      </c>
      <c r="B27" s="17">
        <v>48.206713000000001</v>
      </c>
      <c r="C27" s="18">
        <f>+Sheet1!H28</f>
        <v>45420.275000000001</v>
      </c>
      <c r="D27" s="19">
        <f t="shared" si="1"/>
        <v>45420.191666666666</v>
      </c>
      <c r="E27" cm="1">
        <f t="array" ref="E27">INDEX(B$1:B$224233, MATCH(D27,A$1:A$224233,1) +0)</f>
        <v>73.131943000000007</v>
      </c>
    </row>
    <row r="28" spans="1:5" x14ac:dyDescent="0.3">
      <c r="A28" s="20">
        <v>45419.651388999999</v>
      </c>
      <c r="B28" s="17">
        <v>49.193536000000002</v>
      </c>
      <c r="C28" s="18">
        <f>+Sheet1!H29</f>
        <v>45420.293055555558</v>
      </c>
      <c r="D28" s="19">
        <f t="shared" si="1"/>
        <v>45420.209722222222</v>
      </c>
      <c r="E28" cm="1">
        <f t="array" ref="E28">INDEX(B$1:B$224233, MATCH(D28,A$1:A$224233,1) +0)</f>
        <v>72.199910000000003</v>
      </c>
    </row>
    <row r="29" spans="1:5" x14ac:dyDescent="0.3">
      <c r="A29" s="20">
        <v>45419.652083000001</v>
      </c>
      <c r="B29" s="17">
        <v>50.085681999999998</v>
      </c>
      <c r="C29" s="18">
        <f>+Sheet1!H30</f>
        <v>45420.316666666666</v>
      </c>
      <c r="D29" s="19">
        <f t="shared" si="1"/>
        <v>45420.23333333333</v>
      </c>
      <c r="E29" cm="1">
        <f t="array" ref="E29">INDEX(B$1:B$224233, MATCH(D29,A$1:A$224233,1) +0)</f>
        <v>79.556003000000004</v>
      </c>
    </row>
    <row r="30" spans="1:5" x14ac:dyDescent="0.3">
      <c r="A30" s="20">
        <v>45419.652778000003</v>
      </c>
      <c r="B30" s="17">
        <v>50.565376000000001</v>
      </c>
      <c r="C30" s="18">
        <f>+Sheet1!H31</f>
        <v>45420.334027777775</v>
      </c>
      <c r="D30" s="19">
        <f t="shared" si="1"/>
        <v>45420.250694444439</v>
      </c>
      <c r="E30" cm="1">
        <f t="array" ref="E30">INDEX(B$1:B$224233, MATCH(D30,A$1:A$224233,1) +0)</f>
        <v>78.782939999999996</v>
      </c>
    </row>
    <row r="31" spans="1:5" x14ac:dyDescent="0.3">
      <c r="A31" s="20">
        <v>45419.653471999998</v>
      </c>
      <c r="B31" s="17">
        <v>50.496426999999997</v>
      </c>
      <c r="C31" s="18">
        <f>+Sheet1!H32</f>
        <v>45420.359027777777</v>
      </c>
      <c r="D31" s="19">
        <f t="shared" si="1"/>
        <v>45420.275694444441</v>
      </c>
      <c r="E31" cm="1">
        <f t="array" ref="E31">INDEX(B$1:B$224233, MATCH(D31,A$1:A$224233,1) +0)</f>
        <v>79.521355999999997</v>
      </c>
    </row>
    <row r="32" spans="1:5" x14ac:dyDescent="0.3">
      <c r="A32" s="20">
        <v>45419.654167000001</v>
      </c>
      <c r="B32" s="17">
        <v>50.677460000000004</v>
      </c>
      <c r="C32" s="18">
        <f>+Sheet1!H33</f>
        <v>45420.370833333334</v>
      </c>
      <c r="D32" s="19">
        <f t="shared" si="1"/>
        <v>45420.287499999999</v>
      </c>
      <c r="E32" cm="1">
        <f t="array" ref="E32">INDEX(B$1:B$224233, MATCH(D32,A$1:A$224233,1) +0)</f>
        <v>79.427383000000006</v>
      </c>
    </row>
    <row r="33" spans="1:5" x14ac:dyDescent="0.3">
      <c r="A33" s="20">
        <v>45419.654861000003</v>
      </c>
      <c r="B33" s="17">
        <v>51.376665000000003</v>
      </c>
      <c r="C33" s="18">
        <f>+Sheet1!H34</f>
        <v>45420.395833333336</v>
      </c>
      <c r="D33" s="19">
        <f t="shared" si="1"/>
        <v>45420.3125</v>
      </c>
      <c r="E33" cm="1">
        <f t="array" ref="E33">INDEX(B$1:B$224233, MATCH(D33,A$1:A$224233,1) +0)</f>
        <v>68.664084000000003</v>
      </c>
    </row>
    <row r="34" spans="1:5" x14ac:dyDescent="0.3">
      <c r="A34" s="20">
        <v>45419.655555999998</v>
      </c>
      <c r="B34" s="17">
        <v>51.462308999999998</v>
      </c>
      <c r="C34" s="18">
        <f>+Sheet1!H35</f>
        <v>45420.407638888886</v>
      </c>
      <c r="D34" s="19">
        <f t="shared" si="1"/>
        <v>45420.32430555555</v>
      </c>
      <c r="E34" cm="1">
        <f t="array" ref="E34">INDEX(B$1:B$224233, MATCH(D34,A$1:A$224233,1) +0)</f>
        <v>68.955268000000004</v>
      </c>
    </row>
    <row r="35" spans="1:5" x14ac:dyDescent="0.3">
      <c r="A35" s="20">
        <v>45419.65625</v>
      </c>
      <c r="B35" s="17">
        <v>52.206949999999999</v>
      </c>
      <c r="C35" s="18">
        <f>+Sheet1!H36</f>
        <v>45420.427083333336</v>
      </c>
      <c r="D35" s="19">
        <f t="shared" si="1"/>
        <v>45420.34375</v>
      </c>
      <c r="E35" cm="1">
        <f t="array" ref="E35">INDEX(B$1:B$224233, MATCH(D35,A$1:A$224233,1) +0)</f>
        <v>69.535658999999995</v>
      </c>
    </row>
    <row r="36" spans="1:5" x14ac:dyDescent="0.3">
      <c r="A36" s="20">
        <v>45419.656944000002</v>
      </c>
      <c r="B36" s="17">
        <v>52.588884</v>
      </c>
      <c r="C36" s="18">
        <f>+Sheet1!H37</f>
        <v>45420.438888888886</v>
      </c>
      <c r="D36" s="19">
        <f t="shared" si="1"/>
        <v>45420.35555555555</v>
      </c>
      <c r="E36" cm="1">
        <f t="array" ref="E36">INDEX(B$1:B$224233, MATCH(D36,A$1:A$224233,1) +0)</f>
        <v>70.726527000000004</v>
      </c>
    </row>
    <row r="37" spans="1:5" x14ac:dyDescent="0.3">
      <c r="A37" s="20">
        <v>45419.657638999997</v>
      </c>
      <c r="B37" s="17">
        <v>52.847397999999998</v>
      </c>
      <c r="C37" s="18">
        <f>+Sheet1!H38</f>
        <v>45420.456250000003</v>
      </c>
      <c r="D37" s="19">
        <f t="shared" si="1"/>
        <v>45420.372916666667</v>
      </c>
      <c r="E37" cm="1">
        <f t="array" ref="E37">INDEX(B$1:B$224233, MATCH(D37,A$1:A$224233,1) +0)</f>
        <v>55.18929</v>
      </c>
    </row>
    <row r="38" spans="1:5" x14ac:dyDescent="0.3">
      <c r="A38" s="20">
        <v>45419.658332999999</v>
      </c>
      <c r="B38" s="17">
        <v>52.912447999999998</v>
      </c>
      <c r="C38" s="18"/>
      <c r="D38" s="19"/>
    </row>
    <row r="39" spans="1:5" x14ac:dyDescent="0.3">
      <c r="A39" s="20">
        <v>45419.659028000002</v>
      </c>
      <c r="B39" s="17">
        <v>52.721955000000001</v>
      </c>
      <c r="C39" s="18"/>
      <c r="D39" s="19"/>
    </row>
    <row r="40" spans="1:5" x14ac:dyDescent="0.3">
      <c r="A40" s="20">
        <v>45419.659721999997</v>
      </c>
      <c r="B40" s="17">
        <v>53.341506000000003</v>
      </c>
      <c r="C40" s="18"/>
      <c r="D40" s="19"/>
    </row>
    <row r="41" spans="1:5" x14ac:dyDescent="0.3">
      <c r="A41" s="20">
        <v>45419.660416999999</v>
      </c>
      <c r="B41" s="17">
        <v>53.037764000000003</v>
      </c>
      <c r="C41" s="18"/>
      <c r="D41" s="19"/>
    </row>
    <row r="42" spans="1:5" x14ac:dyDescent="0.3">
      <c r="A42" s="20">
        <v>45419.661111000001</v>
      </c>
      <c r="B42" s="17">
        <v>53.176482</v>
      </c>
      <c r="C42" s="18"/>
      <c r="D42" s="19"/>
    </row>
    <row r="43" spans="1:5" x14ac:dyDescent="0.3">
      <c r="A43" s="20">
        <v>45419.661805999996</v>
      </c>
      <c r="B43" s="17">
        <v>53.434704000000004</v>
      </c>
      <c r="C43" s="18"/>
      <c r="D43" s="19"/>
    </row>
    <row r="44" spans="1:5" x14ac:dyDescent="0.3">
      <c r="A44" s="20">
        <v>45419.662499999999</v>
      </c>
      <c r="B44" s="17">
        <v>53.872290999999997</v>
      </c>
      <c r="C44" s="18"/>
      <c r="D44" s="19"/>
    </row>
    <row r="45" spans="1:5" x14ac:dyDescent="0.3">
      <c r="A45" s="20">
        <v>45419.663194000001</v>
      </c>
      <c r="B45" s="17">
        <v>53.166088000000002</v>
      </c>
      <c r="C45" s="18"/>
      <c r="D45" s="19"/>
    </row>
    <row r="46" spans="1:5" x14ac:dyDescent="0.3">
      <c r="A46" s="20">
        <v>45419.663889000003</v>
      </c>
      <c r="B46" s="17">
        <v>53.595913000000003</v>
      </c>
      <c r="C46" s="18"/>
      <c r="D46" s="19"/>
    </row>
    <row r="47" spans="1:5" x14ac:dyDescent="0.3">
      <c r="A47" s="20">
        <v>45419.664582999998</v>
      </c>
      <c r="B47" s="17">
        <v>53.699207000000001</v>
      </c>
      <c r="C47" s="18"/>
      <c r="D47" s="19"/>
    </row>
    <row r="48" spans="1:5" x14ac:dyDescent="0.3">
      <c r="A48" s="20">
        <v>45419.665278</v>
      </c>
      <c r="B48" s="17">
        <v>54.101080000000003</v>
      </c>
      <c r="C48" s="18"/>
      <c r="D48" s="19"/>
    </row>
    <row r="49" spans="1:4" x14ac:dyDescent="0.3">
      <c r="A49" s="20">
        <v>45419.665972000003</v>
      </c>
      <c r="B49" s="17">
        <v>53.062060000000002</v>
      </c>
      <c r="C49" s="18"/>
      <c r="D49" s="19"/>
    </row>
    <row r="50" spans="1:4" x14ac:dyDescent="0.3">
      <c r="A50" s="20">
        <v>45419.666666999998</v>
      </c>
      <c r="B50" s="17">
        <v>53.826165000000003</v>
      </c>
      <c r="C50" s="18"/>
      <c r="D50" s="19"/>
    </row>
    <row r="51" spans="1:4" x14ac:dyDescent="0.3">
      <c r="A51" s="20">
        <v>45419.667361</v>
      </c>
      <c r="B51" s="17">
        <v>54.731451</v>
      </c>
      <c r="C51" s="18"/>
      <c r="D51" s="19"/>
    </row>
    <row r="52" spans="1:4" x14ac:dyDescent="0.3">
      <c r="A52" s="20">
        <v>45419.668056000002</v>
      </c>
      <c r="B52" s="17">
        <v>53.945819</v>
      </c>
      <c r="C52" s="18"/>
      <c r="D52" s="19"/>
    </row>
    <row r="53" spans="1:4" x14ac:dyDescent="0.3">
      <c r="A53" s="20">
        <v>45419.668749999997</v>
      </c>
      <c r="B53" s="17">
        <v>55.082765999999999</v>
      </c>
      <c r="C53" s="18"/>
      <c r="D53" s="19"/>
    </row>
    <row r="54" spans="1:4" x14ac:dyDescent="0.3">
      <c r="A54" s="20">
        <v>45419.669443999999</v>
      </c>
      <c r="B54" s="17">
        <v>54.406488000000003</v>
      </c>
      <c r="C54" s="18"/>
      <c r="D54" s="19"/>
    </row>
    <row r="55" spans="1:4" x14ac:dyDescent="0.3">
      <c r="A55" s="20">
        <v>45419.670139000002</v>
      </c>
      <c r="B55" s="17">
        <v>54.973621000000001</v>
      </c>
      <c r="C55" s="18"/>
      <c r="D55" s="19"/>
    </row>
    <row r="56" spans="1:4" x14ac:dyDescent="0.3">
      <c r="A56" s="20">
        <v>45419.670832999996</v>
      </c>
      <c r="B56" s="17">
        <v>54.483559</v>
      </c>
      <c r="C56" s="18"/>
      <c r="D56" s="19"/>
    </row>
    <row r="57" spans="1:4" x14ac:dyDescent="0.3">
      <c r="A57" s="20">
        <v>45419.671527999999</v>
      </c>
      <c r="B57" s="17">
        <v>54.973602999999997</v>
      </c>
      <c r="C57" s="18"/>
      <c r="D57" s="19"/>
    </row>
    <row r="58" spans="1:4" x14ac:dyDescent="0.3">
      <c r="A58" s="20">
        <v>45419.672222000001</v>
      </c>
      <c r="B58" s="17">
        <v>54.837189000000002</v>
      </c>
      <c r="C58" s="18"/>
      <c r="D58" s="19"/>
    </row>
    <row r="59" spans="1:4" x14ac:dyDescent="0.3">
      <c r="A59" s="20">
        <v>45419.672917000004</v>
      </c>
      <c r="B59" s="17">
        <v>54.628655000000002</v>
      </c>
      <c r="C59" s="18"/>
      <c r="D59" s="19"/>
    </row>
    <row r="60" spans="1:4" x14ac:dyDescent="0.3">
      <c r="A60" s="20">
        <v>45419.673610999998</v>
      </c>
      <c r="B60" s="17">
        <v>54.757080999999999</v>
      </c>
      <c r="C60" s="18"/>
      <c r="D60" s="19"/>
    </row>
    <row r="61" spans="1:4" x14ac:dyDescent="0.3">
      <c r="A61" s="20">
        <v>45419.674306000001</v>
      </c>
      <c r="B61" s="17">
        <v>54.674134000000002</v>
      </c>
      <c r="C61" s="18"/>
      <c r="D61" s="19"/>
    </row>
    <row r="62" spans="1:4" x14ac:dyDescent="0.3">
      <c r="A62" s="20">
        <v>45419.675000000003</v>
      </c>
      <c r="B62" s="17">
        <v>55.792395999999997</v>
      </c>
      <c r="C62" s="18"/>
      <c r="D62" s="19"/>
    </row>
    <row r="63" spans="1:4" x14ac:dyDescent="0.3">
      <c r="A63" s="20">
        <v>45419.675693999998</v>
      </c>
      <c r="B63" s="17">
        <v>55.210990000000002</v>
      </c>
      <c r="C63" s="18"/>
      <c r="D63" s="19"/>
    </row>
    <row r="64" spans="1:4" x14ac:dyDescent="0.3">
      <c r="A64" s="20">
        <v>45419.676389</v>
      </c>
      <c r="B64" s="17">
        <v>55.625942000000002</v>
      </c>
      <c r="C64" s="18"/>
      <c r="D64" s="19"/>
    </row>
    <row r="65" spans="1:4" x14ac:dyDescent="0.3">
      <c r="A65" s="20">
        <v>45419.677083000002</v>
      </c>
      <c r="B65" s="17">
        <v>56.035803000000001</v>
      </c>
      <c r="C65" s="18"/>
      <c r="D65" s="19"/>
    </row>
    <row r="66" spans="1:4" x14ac:dyDescent="0.3">
      <c r="A66" s="20">
        <v>45419.677777999997</v>
      </c>
      <c r="B66" s="17">
        <v>55.441057999999998</v>
      </c>
      <c r="C66" s="18"/>
      <c r="D66" s="19"/>
    </row>
    <row r="67" spans="1:4" x14ac:dyDescent="0.3">
      <c r="A67" s="20">
        <v>45419.678472</v>
      </c>
      <c r="B67" s="17">
        <v>56.475579000000003</v>
      </c>
      <c r="C67" s="18"/>
      <c r="D67" s="19"/>
    </row>
    <row r="68" spans="1:4" x14ac:dyDescent="0.3">
      <c r="A68" s="20">
        <v>45419.679167000002</v>
      </c>
      <c r="B68" s="17">
        <v>55.667816000000002</v>
      </c>
      <c r="C68" s="18"/>
      <c r="D68" s="19"/>
    </row>
    <row r="69" spans="1:4" x14ac:dyDescent="0.3">
      <c r="A69" s="20">
        <v>45419.679860999997</v>
      </c>
      <c r="B69" s="17">
        <v>55.413173999999998</v>
      </c>
      <c r="C69" s="18"/>
      <c r="D69" s="19"/>
    </row>
    <row r="70" spans="1:4" x14ac:dyDescent="0.3">
      <c r="A70" s="20">
        <v>45419.680555999999</v>
      </c>
      <c r="B70" s="17">
        <v>54.837876000000001</v>
      </c>
      <c r="C70" s="18"/>
      <c r="D70" s="19"/>
    </row>
    <row r="71" spans="1:4" x14ac:dyDescent="0.3">
      <c r="A71" s="20">
        <v>45419.681250000001</v>
      </c>
      <c r="B71" s="17">
        <v>55.336931</v>
      </c>
      <c r="C71" s="18"/>
      <c r="D71" s="19"/>
    </row>
    <row r="72" spans="1:4" x14ac:dyDescent="0.3">
      <c r="A72" s="20">
        <v>45419.681944000004</v>
      </c>
      <c r="B72" s="17">
        <v>54.747137000000002</v>
      </c>
      <c r="C72" s="18"/>
      <c r="D72" s="19"/>
    </row>
    <row r="73" spans="1:4" x14ac:dyDescent="0.3">
      <c r="A73" s="20">
        <v>45419.682638999999</v>
      </c>
      <c r="B73" s="17">
        <v>55.230701000000003</v>
      </c>
      <c r="C73" s="18"/>
      <c r="D73" s="19"/>
    </row>
    <row r="74" spans="1:4" x14ac:dyDescent="0.3">
      <c r="A74" s="20">
        <v>45419.683333000001</v>
      </c>
      <c r="B74" s="17">
        <v>55.433943999999997</v>
      </c>
      <c r="C74" s="18"/>
      <c r="D74" s="19"/>
    </row>
    <row r="75" spans="1:4" x14ac:dyDescent="0.3">
      <c r="A75" s="20">
        <v>45419.684028000003</v>
      </c>
      <c r="B75" s="17">
        <v>55.132136000000003</v>
      </c>
      <c r="C75" s="18"/>
      <c r="D75" s="19"/>
    </row>
    <row r="76" spans="1:4" x14ac:dyDescent="0.3">
      <c r="A76" s="20">
        <v>45419.684721999998</v>
      </c>
      <c r="B76" s="17">
        <v>55.761327000000001</v>
      </c>
      <c r="C76" s="18"/>
      <c r="D76" s="19"/>
    </row>
    <row r="77" spans="1:4" x14ac:dyDescent="0.3">
      <c r="A77" s="20">
        <v>45419.685417000001</v>
      </c>
      <c r="B77" s="17">
        <v>55.625180999999998</v>
      </c>
      <c r="C77" s="18"/>
      <c r="D77" s="19"/>
    </row>
    <row r="78" spans="1:4" x14ac:dyDescent="0.3">
      <c r="A78" s="20">
        <v>45419.686111000003</v>
      </c>
      <c r="B78" s="17">
        <v>55.572288999999998</v>
      </c>
      <c r="C78" s="18"/>
      <c r="D78" s="19"/>
    </row>
    <row r="79" spans="1:4" x14ac:dyDescent="0.3">
      <c r="A79" s="20">
        <v>45419.686805999998</v>
      </c>
      <c r="B79" s="17">
        <v>55.309426000000002</v>
      </c>
      <c r="C79" s="18"/>
      <c r="D79" s="19"/>
    </row>
    <row r="80" spans="1:4" x14ac:dyDescent="0.3">
      <c r="A80" s="20">
        <v>45419.6875</v>
      </c>
      <c r="B80" s="17">
        <v>56.147922999999999</v>
      </c>
      <c r="C80" s="18"/>
      <c r="D80" s="19"/>
    </row>
    <row r="81" spans="1:4" x14ac:dyDescent="0.3">
      <c r="A81" s="20">
        <v>45419.688194000002</v>
      </c>
      <c r="B81" s="17">
        <v>55.277321000000001</v>
      </c>
      <c r="C81" s="18"/>
      <c r="D81" s="19"/>
    </row>
    <row r="82" spans="1:4" x14ac:dyDescent="0.3">
      <c r="A82" s="20">
        <v>45419.688888999997</v>
      </c>
      <c r="B82" s="17">
        <v>56.129939999999998</v>
      </c>
      <c r="C82" s="18"/>
      <c r="D82" s="19"/>
    </row>
    <row r="83" spans="1:4" x14ac:dyDescent="0.3">
      <c r="A83" s="20">
        <v>45419.689582999999</v>
      </c>
      <c r="B83" s="17">
        <v>56.466625999999998</v>
      </c>
      <c r="C83" s="18"/>
      <c r="D83" s="19"/>
    </row>
    <row r="84" spans="1:4" x14ac:dyDescent="0.3">
      <c r="A84" s="20">
        <v>45419.690278000002</v>
      </c>
      <c r="B84" s="17">
        <v>56.135235000000002</v>
      </c>
      <c r="C84" s="18"/>
      <c r="D84" s="19"/>
    </row>
    <row r="85" spans="1:4" x14ac:dyDescent="0.3">
      <c r="A85" s="20">
        <v>45419.690971999997</v>
      </c>
      <c r="B85" s="17">
        <v>56.682366000000002</v>
      </c>
      <c r="C85" s="18"/>
      <c r="D85" s="19"/>
    </row>
    <row r="86" spans="1:4" x14ac:dyDescent="0.3">
      <c r="A86" s="20">
        <v>45419.691666999999</v>
      </c>
      <c r="B86" s="17">
        <v>55.773919999999997</v>
      </c>
    </row>
    <row r="87" spans="1:4" x14ac:dyDescent="0.3">
      <c r="A87" s="20">
        <v>45419.692361000001</v>
      </c>
      <c r="B87" s="17">
        <v>55.975814999999997</v>
      </c>
    </row>
    <row r="88" spans="1:4" x14ac:dyDescent="0.3">
      <c r="A88" s="20">
        <v>45419.693055999996</v>
      </c>
      <c r="B88" s="17">
        <v>56.696233999999997</v>
      </c>
    </row>
    <row r="89" spans="1:4" x14ac:dyDescent="0.3">
      <c r="A89" s="20">
        <v>45419.693749999999</v>
      </c>
      <c r="B89" s="17">
        <v>56.617063000000002</v>
      </c>
    </row>
    <row r="90" spans="1:4" x14ac:dyDescent="0.3">
      <c r="A90" s="20">
        <v>45419.694444000001</v>
      </c>
      <c r="B90" s="17">
        <v>56.760460000000002</v>
      </c>
    </row>
    <row r="91" spans="1:4" x14ac:dyDescent="0.3">
      <c r="A91" s="20">
        <v>45419.695139000003</v>
      </c>
      <c r="B91" s="17">
        <v>56.613810000000001</v>
      </c>
    </row>
    <row r="92" spans="1:4" x14ac:dyDescent="0.3">
      <c r="A92" s="20">
        <v>45419.695832999998</v>
      </c>
      <c r="B92" s="17">
        <v>56.309488999999999</v>
      </c>
    </row>
    <row r="93" spans="1:4" x14ac:dyDescent="0.3">
      <c r="A93" s="20">
        <v>45419.696528</v>
      </c>
      <c r="B93" s="17">
        <v>56.908478000000002</v>
      </c>
    </row>
    <row r="94" spans="1:4" x14ac:dyDescent="0.3">
      <c r="A94" s="20">
        <v>45419.697222000003</v>
      </c>
      <c r="B94" s="17">
        <v>56.641964999999999</v>
      </c>
    </row>
    <row r="95" spans="1:4" x14ac:dyDescent="0.3">
      <c r="A95" s="20">
        <v>45419.697916999998</v>
      </c>
      <c r="B95" s="17">
        <v>57.087609</v>
      </c>
    </row>
    <row r="96" spans="1:4" x14ac:dyDescent="0.3">
      <c r="A96" s="20">
        <v>45419.698611</v>
      </c>
      <c r="B96" s="17">
        <v>56.260399</v>
      </c>
    </row>
    <row r="97" spans="1:2" x14ac:dyDescent="0.3">
      <c r="A97" s="20">
        <v>45419.699306000002</v>
      </c>
      <c r="B97" s="17">
        <v>57.177469000000002</v>
      </c>
    </row>
    <row r="98" spans="1:2" x14ac:dyDescent="0.3">
      <c r="A98" s="20">
        <v>45419.7</v>
      </c>
      <c r="B98" s="17">
        <v>56.958606000000003</v>
      </c>
    </row>
    <row r="99" spans="1:2" x14ac:dyDescent="0.3">
      <c r="A99" s="20">
        <v>45419.700693999999</v>
      </c>
      <c r="B99" s="17">
        <v>56.830725999999999</v>
      </c>
    </row>
    <row r="100" spans="1:2" x14ac:dyDescent="0.3">
      <c r="A100" s="20">
        <v>45419.701389000002</v>
      </c>
      <c r="B100" s="17">
        <v>56.792397000000001</v>
      </c>
    </row>
    <row r="101" spans="1:2" x14ac:dyDescent="0.3">
      <c r="A101" s="20">
        <v>45419.702082999996</v>
      </c>
      <c r="B101" s="17">
        <v>57.166159</v>
      </c>
    </row>
    <row r="102" spans="1:2" x14ac:dyDescent="0.3">
      <c r="A102" s="20">
        <v>45419.702777999999</v>
      </c>
      <c r="B102" s="17">
        <v>57.194541000000001</v>
      </c>
    </row>
    <row r="103" spans="1:2" x14ac:dyDescent="0.3">
      <c r="A103" s="20">
        <v>45419.703472000001</v>
      </c>
      <c r="B103" s="17">
        <v>57.219473999999998</v>
      </c>
    </row>
    <row r="104" spans="1:2" x14ac:dyDescent="0.3">
      <c r="A104" s="20">
        <v>45419.704167000004</v>
      </c>
      <c r="B104" s="17">
        <v>57.390832000000003</v>
      </c>
    </row>
    <row r="105" spans="1:2" x14ac:dyDescent="0.3">
      <c r="A105" s="20">
        <v>45419.704860999998</v>
      </c>
      <c r="B105" s="17">
        <v>58.132452000000001</v>
      </c>
    </row>
    <row r="106" spans="1:2" x14ac:dyDescent="0.3">
      <c r="A106" s="20">
        <v>45419.705556000001</v>
      </c>
      <c r="B106" s="17">
        <v>57.967573999999999</v>
      </c>
    </row>
    <row r="107" spans="1:2" x14ac:dyDescent="0.3">
      <c r="A107" s="20">
        <v>45419.706250000003</v>
      </c>
      <c r="B107" s="17">
        <v>57.378036999999999</v>
      </c>
    </row>
    <row r="108" spans="1:2" x14ac:dyDescent="0.3">
      <c r="A108" s="20">
        <v>45419.706943999998</v>
      </c>
      <c r="B108" s="17">
        <v>57.410542</v>
      </c>
    </row>
    <row r="109" spans="1:2" x14ac:dyDescent="0.3">
      <c r="A109" s="20">
        <v>45419.707639</v>
      </c>
      <c r="B109" s="17">
        <v>57.385370999999999</v>
      </c>
    </row>
    <row r="110" spans="1:2" x14ac:dyDescent="0.3">
      <c r="A110" s="20">
        <v>45419.708333000002</v>
      </c>
      <c r="B110" s="17">
        <v>57.860880000000002</v>
      </c>
    </row>
    <row r="111" spans="1:2" x14ac:dyDescent="0.3">
      <c r="A111" s="20">
        <v>45419.709027999997</v>
      </c>
      <c r="B111" s="17">
        <v>57.654358000000002</v>
      </c>
    </row>
    <row r="112" spans="1:2" x14ac:dyDescent="0.3">
      <c r="A112" s="20">
        <v>45419.709722</v>
      </c>
      <c r="B112" s="17">
        <v>58.309443999999999</v>
      </c>
    </row>
    <row r="113" spans="1:2" x14ac:dyDescent="0.3">
      <c r="A113" s="20">
        <v>45419.710417000002</v>
      </c>
      <c r="B113" s="17">
        <v>58.129644999999996</v>
      </c>
    </row>
    <row r="114" spans="1:2" x14ac:dyDescent="0.3">
      <c r="A114" s="20">
        <v>45419.711110999997</v>
      </c>
      <c r="B114" s="17">
        <v>58.396965000000002</v>
      </c>
    </row>
    <row r="115" spans="1:2" x14ac:dyDescent="0.3">
      <c r="A115" s="20">
        <v>45419.711805999999</v>
      </c>
      <c r="B115" s="17">
        <v>57.892935000000001</v>
      </c>
    </row>
    <row r="116" spans="1:2" x14ac:dyDescent="0.3">
      <c r="A116" s="20">
        <v>45419.712500000001</v>
      </c>
      <c r="B116" s="17">
        <v>58.053840000000001</v>
      </c>
    </row>
    <row r="117" spans="1:2" x14ac:dyDescent="0.3">
      <c r="A117" s="20">
        <v>45419.713194000004</v>
      </c>
      <c r="B117" s="17">
        <v>58.320762000000002</v>
      </c>
    </row>
    <row r="118" spans="1:2" x14ac:dyDescent="0.3">
      <c r="A118" s="20">
        <v>45419.713888999999</v>
      </c>
      <c r="B118" s="17">
        <v>57.826970000000003</v>
      </c>
    </row>
    <row r="119" spans="1:2" x14ac:dyDescent="0.3">
      <c r="A119" s="20">
        <v>45419.714583000001</v>
      </c>
      <c r="B119" s="17">
        <v>58.683936000000003</v>
      </c>
    </row>
    <row r="120" spans="1:2" x14ac:dyDescent="0.3">
      <c r="A120" s="20">
        <v>45419.715278000003</v>
      </c>
      <c r="B120" s="17">
        <v>57.787194999999997</v>
      </c>
    </row>
    <row r="121" spans="1:2" x14ac:dyDescent="0.3">
      <c r="A121" s="20">
        <v>45419.715971999998</v>
      </c>
      <c r="B121" s="17">
        <v>56.983528999999997</v>
      </c>
    </row>
    <row r="122" spans="1:2" x14ac:dyDescent="0.3">
      <c r="A122" s="20">
        <v>45419.716667000001</v>
      </c>
      <c r="B122" s="17">
        <v>56.915064000000001</v>
      </c>
    </row>
    <row r="123" spans="1:2" x14ac:dyDescent="0.3">
      <c r="A123" s="20">
        <v>45419.717361000003</v>
      </c>
      <c r="B123" s="17">
        <v>57.107720999999998</v>
      </c>
    </row>
    <row r="124" spans="1:2" x14ac:dyDescent="0.3">
      <c r="A124" s="20">
        <v>45419.718055999998</v>
      </c>
      <c r="B124" s="17">
        <v>58.604559000000002</v>
      </c>
    </row>
    <row r="125" spans="1:2" x14ac:dyDescent="0.3">
      <c r="A125" s="20">
        <v>45419.71875</v>
      </c>
      <c r="B125" s="17">
        <v>58.531419</v>
      </c>
    </row>
    <row r="126" spans="1:2" x14ac:dyDescent="0.3">
      <c r="A126" s="20">
        <v>45419.719444000002</v>
      </c>
      <c r="B126" s="17">
        <v>58.739927999999999</v>
      </c>
    </row>
    <row r="127" spans="1:2" x14ac:dyDescent="0.3">
      <c r="A127" s="20">
        <v>45419.720138999997</v>
      </c>
      <c r="B127" s="17">
        <v>58.878304999999997</v>
      </c>
    </row>
    <row r="128" spans="1:2" x14ac:dyDescent="0.3">
      <c r="A128" s="20">
        <v>45419.720832999999</v>
      </c>
      <c r="B128" s="17">
        <v>59.495800000000003</v>
      </c>
    </row>
    <row r="129" spans="1:2" x14ac:dyDescent="0.3">
      <c r="A129" s="20">
        <v>45419.721528000002</v>
      </c>
      <c r="B129" s="17">
        <v>59.783639000000001</v>
      </c>
    </row>
    <row r="130" spans="1:2" x14ac:dyDescent="0.3">
      <c r="A130" s="20">
        <v>45419.722221999997</v>
      </c>
      <c r="B130" s="17">
        <v>59.524614</v>
      </c>
    </row>
    <row r="131" spans="1:2" x14ac:dyDescent="0.3">
      <c r="A131" s="20">
        <v>45419.722916999999</v>
      </c>
      <c r="B131" s="17">
        <v>60.225099999999998</v>
      </c>
    </row>
    <row r="132" spans="1:2" x14ac:dyDescent="0.3">
      <c r="A132" s="20">
        <v>45419.723611000001</v>
      </c>
      <c r="B132" s="17">
        <v>59.934559999999998</v>
      </c>
    </row>
    <row r="133" spans="1:2" x14ac:dyDescent="0.3">
      <c r="A133" s="20">
        <v>45419.724305999996</v>
      </c>
      <c r="B133" s="17">
        <v>59.008954000000003</v>
      </c>
    </row>
    <row r="134" spans="1:2" x14ac:dyDescent="0.3">
      <c r="A134" s="20">
        <v>45419.724999999999</v>
      </c>
      <c r="B134" s="17">
        <v>59.628422999999998</v>
      </c>
    </row>
    <row r="135" spans="1:2" x14ac:dyDescent="0.3">
      <c r="A135" s="20">
        <v>45419.725694000001</v>
      </c>
      <c r="B135" s="17">
        <v>59.803432000000001</v>
      </c>
    </row>
    <row r="136" spans="1:2" x14ac:dyDescent="0.3">
      <c r="A136" s="20">
        <v>45419.726389000003</v>
      </c>
      <c r="B136" s="17">
        <v>58.887034</v>
      </c>
    </row>
    <row r="137" spans="1:2" x14ac:dyDescent="0.3">
      <c r="A137" s="20">
        <v>45419.727082999998</v>
      </c>
      <c r="B137" s="17">
        <v>59.346879999999999</v>
      </c>
    </row>
    <row r="138" spans="1:2" x14ac:dyDescent="0.3">
      <c r="A138" s="20">
        <v>45419.727778</v>
      </c>
      <c r="B138" s="17">
        <v>59.576433000000002</v>
      </c>
    </row>
    <row r="139" spans="1:2" x14ac:dyDescent="0.3">
      <c r="A139" s="20">
        <v>45419.728472000003</v>
      </c>
      <c r="B139" s="17">
        <v>60.111221</v>
      </c>
    </row>
    <row r="140" spans="1:2" x14ac:dyDescent="0.3">
      <c r="A140" s="20">
        <v>45419.729166999998</v>
      </c>
      <c r="B140" s="17">
        <v>58.984752</v>
      </c>
    </row>
    <row r="141" spans="1:2" x14ac:dyDescent="0.3">
      <c r="A141" s="20">
        <v>45419.729861</v>
      </c>
      <c r="B141" s="17">
        <v>60.233128000000001</v>
      </c>
    </row>
    <row r="142" spans="1:2" x14ac:dyDescent="0.3">
      <c r="A142" s="20">
        <v>45419.730556000002</v>
      </c>
      <c r="B142" s="17">
        <v>59.913608000000004</v>
      </c>
    </row>
    <row r="143" spans="1:2" x14ac:dyDescent="0.3">
      <c r="A143" s="20">
        <v>45419.731249999997</v>
      </c>
      <c r="B143" s="17">
        <v>59.728577999999999</v>
      </c>
    </row>
    <row r="144" spans="1:2" x14ac:dyDescent="0.3">
      <c r="A144" s="20">
        <v>45419.731943999999</v>
      </c>
      <c r="B144" s="17">
        <v>60.154761000000001</v>
      </c>
    </row>
    <row r="145" spans="1:2" x14ac:dyDescent="0.3">
      <c r="A145" s="20">
        <v>45419.732639000002</v>
      </c>
      <c r="B145" s="17">
        <v>60.534343999999997</v>
      </c>
    </row>
    <row r="146" spans="1:2" x14ac:dyDescent="0.3">
      <c r="A146" s="20">
        <v>45419.733332999996</v>
      </c>
      <c r="B146" s="17">
        <v>59.700868</v>
      </c>
    </row>
    <row r="147" spans="1:2" x14ac:dyDescent="0.3">
      <c r="A147" s="20">
        <v>45419.734027999999</v>
      </c>
      <c r="B147" s="17">
        <v>60.266764000000002</v>
      </c>
    </row>
    <row r="148" spans="1:2" x14ac:dyDescent="0.3">
      <c r="A148" s="20">
        <v>45419.734722000001</v>
      </c>
      <c r="B148" s="17">
        <v>60.350489000000003</v>
      </c>
    </row>
    <row r="149" spans="1:2" x14ac:dyDescent="0.3">
      <c r="A149" s="20">
        <v>45419.735417000004</v>
      </c>
      <c r="B149" s="17">
        <v>60.412734999999998</v>
      </c>
    </row>
    <row r="150" spans="1:2" x14ac:dyDescent="0.3">
      <c r="A150" s="20">
        <v>45419.736110999998</v>
      </c>
      <c r="B150" s="17">
        <v>60.085577999999998</v>
      </c>
    </row>
    <row r="151" spans="1:2" x14ac:dyDescent="0.3">
      <c r="A151" s="20">
        <v>45419.736806000001</v>
      </c>
      <c r="B151" s="17">
        <v>60.236915000000003</v>
      </c>
    </row>
    <row r="152" spans="1:2" x14ac:dyDescent="0.3">
      <c r="A152" s="20">
        <v>45419.737500000003</v>
      </c>
      <c r="B152" s="17">
        <v>60.597011000000002</v>
      </c>
    </row>
    <row r="153" spans="1:2" x14ac:dyDescent="0.3">
      <c r="A153" s="20">
        <v>45419.738193999998</v>
      </c>
      <c r="B153" s="17">
        <v>60.473807999999998</v>
      </c>
    </row>
    <row r="154" spans="1:2" x14ac:dyDescent="0.3">
      <c r="A154" s="20">
        <v>45419.738889</v>
      </c>
      <c r="B154" s="17">
        <v>60.081845999999999</v>
      </c>
    </row>
    <row r="155" spans="1:2" x14ac:dyDescent="0.3">
      <c r="A155" s="20">
        <v>45419.739583000002</v>
      </c>
      <c r="B155" s="17">
        <v>60.983108999999999</v>
      </c>
    </row>
    <row r="156" spans="1:2" x14ac:dyDescent="0.3">
      <c r="A156" s="20">
        <v>45419.740277999997</v>
      </c>
      <c r="B156" s="17">
        <v>60.670499</v>
      </c>
    </row>
    <row r="157" spans="1:2" x14ac:dyDescent="0.3">
      <c r="A157" s="20">
        <v>45419.740972</v>
      </c>
      <c r="B157" s="17">
        <v>60.278002999999998</v>
      </c>
    </row>
    <row r="158" spans="1:2" x14ac:dyDescent="0.3">
      <c r="A158" s="20">
        <v>45419.741667000002</v>
      </c>
      <c r="B158" s="17">
        <v>60.998099000000003</v>
      </c>
    </row>
    <row r="159" spans="1:2" x14ac:dyDescent="0.3">
      <c r="A159" s="20">
        <v>45419.742360999997</v>
      </c>
      <c r="B159" s="17">
        <v>61.372140999999999</v>
      </c>
    </row>
    <row r="160" spans="1:2" x14ac:dyDescent="0.3">
      <c r="A160" s="20">
        <v>45419.743055999999</v>
      </c>
      <c r="B160" s="17">
        <v>60.455350000000003</v>
      </c>
    </row>
    <row r="161" spans="1:2" x14ac:dyDescent="0.3">
      <c r="A161" s="20">
        <v>45419.743750000001</v>
      </c>
      <c r="B161" s="17">
        <v>61.171619</v>
      </c>
    </row>
    <row r="162" spans="1:2" x14ac:dyDescent="0.3">
      <c r="A162" s="20">
        <v>45419.744444000004</v>
      </c>
      <c r="B162" s="17">
        <v>60.421261000000001</v>
      </c>
    </row>
    <row r="163" spans="1:2" x14ac:dyDescent="0.3">
      <c r="A163" s="20">
        <v>45419.745138999999</v>
      </c>
      <c r="B163" s="17">
        <v>60.124899999999997</v>
      </c>
    </row>
    <row r="164" spans="1:2" x14ac:dyDescent="0.3">
      <c r="A164" s="20">
        <v>45419.745833000001</v>
      </c>
      <c r="B164" s="17">
        <v>60.401743000000003</v>
      </c>
    </row>
    <row r="165" spans="1:2" x14ac:dyDescent="0.3">
      <c r="A165" s="20">
        <v>45419.746528000003</v>
      </c>
      <c r="B165" s="17">
        <v>61.154516999999998</v>
      </c>
    </row>
    <row r="166" spans="1:2" x14ac:dyDescent="0.3">
      <c r="A166" s="20">
        <v>45419.747221999998</v>
      </c>
      <c r="B166" s="17">
        <v>60.946894</v>
      </c>
    </row>
    <row r="167" spans="1:2" x14ac:dyDescent="0.3">
      <c r="A167" s="20">
        <v>45419.747917000001</v>
      </c>
      <c r="B167" s="17">
        <v>61.062826999999999</v>
      </c>
    </row>
    <row r="168" spans="1:2" x14ac:dyDescent="0.3">
      <c r="A168" s="20">
        <v>45419.748611000003</v>
      </c>
      <c r="B168" s="17">
        <v>60.837612999999997</v>
      </c>
    </row>
    <row r="169" spans="1:2" x14ac:dyDescent="0.3">
      <c r="A169" s="20">
        <v>45419.749305999998</v>
      </c>
      <c r="B169" s="17">
        <v>60.492922</v>
      </c>
    </row>
    <row r="170" spans="1:2" x14ac:dyDescent="0.3">
      <c r="A170" s="20">
        <v>45419.75</v>
      </c>
      <c r="B170" s="17">
        <v>60.893723999999999</v>
      </c>
    </row>
    <row r="171" spans="1:2" x14ac:dyDescent="0.3">
      <c r="A171" s="20">
        <v>45419.750694000002</v>
      </c>
      <c r="B171" s="17">
        <v>60.774348000000003</v>
      </c>
    </row>
    <row r="172" spans="1:2" x14ac:dyDescent="0.3">
      <c r="A172" s="20">
        <v>45419.751388999997</v>
      </c>
      <c r="B172" s="17">
        <v>61.985590999999999</v>
      </c>
    </row>
    <row r="173" spans="1:2" x14ac:dyDescent="0.3">
      <c r="A173" s="20">
        <v>45419.752082999999</v>
      </c>
      <c r="B173" s="17">
        <v>61.004873000000003</v>
      </c>
    </row>
    <row r="174" spans="1:2" x14ac:dyDescent="0.3">
      <c r="A174" s="20">
        <v>45419.752778000002</v>
      </c>
      <c r="B174" s="17">
        <v>60.939019999999999</v>
      </c>
    </row>
    <row r="175" spans="1:2" x14ac:dyDescent="0.3">
      <c r="A175" s="20">
        <v>45419.753471999997</v>
      </c>
      <c r="B175" s="17">
        <v>60.426943999999999</v>
      </c>
    </row>
    <row r="176" spans="1:2" x14ac:dyDescent="0.3">
      <c r="A176" s="20">
        <v>45419.754166999999</v>
      </c>
      <c r="B176" s="17">
        <v>60.934538000000003</v>
      </c>
    </row>
    <row r="177" spans="1:2" x14ac:dyDescent="0.3">
      <c r="A177" s="20">
        <v>45419.754861000001</v>
      </c>
      <c r="B177" s="17">
        <v>61.429831999999998</v>
      </c>
    </row>
    <row r="178" spans="1:2" x14ac:dyDescent="0.3">
      <c r="A178" s="20">
        <v>45419.755555999996</v>
      </c>
      <c r="B178" s="17">
        <v>61.201709000000001</v>
      </c>
    </row>
    <row r="179" spans="1:2" x14ac:dyDescent="0.3">
      <c r="A179" s="20">
        <v>45419.756249999999</v>
      </c>
      <c r="B179" s="17">
        <v>60.830164000000003</v>
      </c>
    </row>
    <row r="180" spans="1:2" x14ac:dyDescent="0.3">
      <c r="A180" s="20">
        <v>45419.756944000001</v>
      </c>
      <c r="B180" s="17">
        <v>61.060780999999999</v>
      </c>
    </row>
    <row r="181" spans="1:2" x14ac:dyDescent="0.3">
      <c r="A181" s="20">
        <v>45419.757639000003</v>
      </c>
      <c r="B181" s="17">
        <v>60.645986000000001</v>
      </c>
    </row>
    <row r="182" spans="1:2" x14ac:dyDescent="0.3">
      <c r="A182" s="20">
        <v>45419.758332999998</v>
      </c>
      <c r="B182" s="17">
        <v>60.67324</v>
      </c>
    </row>
    <row r="183" spans="1:2" x14ac:dyDescent="0.3">
      <c r="A183" s="20">
        <v>45419.759028</v>
      </c>
      <c r="B183" s="17">
        <v>61.114899000000001</v>
      </c>
    </row>
    <row r="184" spans="1:2" x14ac:dyDescent="0.3">
      <c r="A184" s="20">
        <v>45419.759722000003</v>
      </c>
      <c r="B184" s="17">
        <v>61.501452</v>
      </c>
    </row>
    <row r="185" spans="1:2" x14ac:dyDescent="0.3">
      <c r="A185" s="20">
        <v>45419.760416999998</v>
      </c>
      <c r="B185" s="17">
        <v>60.915300999999999</v>
      </c>
    </row>
    <row r="186" spans="1:2" x14ac:dyDescent="0.3">
      <c r="A186" s="20">
        <v>45419.761111</v>
      </c>
      <c r="B186" s="17">
        <v>62.141012000000003</v>
      </c>
    </row>
    <row r="187" spans="1:2" x14ac:dyDescent="0.3">
      <c r="A187" s="20">
        <v>45419.761806000002</v>
      </c>
      <c r="B187" s="17">
        <v>62.602283</v>
      </c>
    </row>
    <row r="188" spans="1:2" x14ac:dyDescent="0.3">
      <c r="A188" s="20">
        <v>45419.762499999997</v>
      </c>
      <c r="B188" s="17">
        <v>60.988053000000001</v>
      </c>
    </row>
    <row r="189" spans="1:2" x14ac:dyDescent="0.3">
      <c r="A189" s="20">
        <v>45419.763193999999</v>
      </c>
      <c r="B189" s="17">
        <v>61.597830999999999</v>
      </c>
    </row>
    <row r="190" spans="1:2" x14ac:dyDescent="0.3">
      <c r="A190" s="20">
        <v>45419.763889000002</v>
      </c>
      <c r="B190" s="17">
        <v>61.821139000000002</v>
      </c>
    </row>
    <row r="191" spans="1:2" x14ac:dyDescent="0.3">
      <c r="A191" s="20">
        <v>45419.764582999996</v>
      </c>
      <c r="B191" s="17">
        <v>61.357199000000001</v>
      </c>
    </row>
    <row r="192" spans="1:2" x14ac:dyDescent="0.3">
      <c r="A192" s="20">
        <v>45419.765277999999</v>
      </c>
      <c r="B192" s="17">
        <v>61.834873000000002</v>
      </c>
    </row>
    <row r="193" spans="1:2" x14ac:dyDescent="0.3">
      <c r="A193" s="20">
        <v>45419.765972000001</v>
      </c>
      <c r="B193" s="17">
        <v>60.799489000000001</v>
      </c>
    </row>
    <row r="194" spans="1:2" x14ac:dyDescent="0.3">
      <c r="A194" s="20">
        <v>45419.766667000004</v>
      </c>
      <c r="B194" s="17">
        <v>61.106909000000002</v>
      </c>
    </row>
    <row r="195" spans="1:2" x14ac:dyDescent="0.3">
      <c r="A195" s="20">
        <v>45419.767360999998</v>
      </c>
      <c r="B195" s="17">
        <v>60.701661999999999</v>
      </c>
    </row>
    <row r="196" spans="1:2" x14ac:dyDescent="0.3">
      <c r="A196" s="20">
        <v>45419.768056000001</v>
      </c>
      <c r="B196" s="17">
        <v>60.734344999999998</v>
      </c>
    </row>
    <row r="197" spans="1:2" x14ac:dyDescent="0.3">
      <c r="A197" s="20">
        <v>45419.768750000003</v>
      </c>
      <c r="B197" s="17">
        <v>61.359813000000003</v>
      </c>
    </row>
    <row r="198" spans="1:2" x14ac:dyDescent="0.3">
      <c r="A198" s="20">
        <v>45419.769443999998</v>
      </c>
      <c r="B198" s="17">
        <v>61.634853</v>
      </c>
    </row>
    <row r="199" spans="1:2" x14ac:dyDescent="0.3">
      <c r="A199" s="20">
        <v>45419.770139</v>
      </c>
      <c r="B199" s="17">
        <v>60.618408000000002</v>
      </c>
    </row>
    <row r="200" spans="1:2" x14ac:dyDescent="0.3">
      <c r="A200" s="20">
        <v>45419.770833000002</v>
      </c>
      <c r="B200" s="17">
        <v>60.878371999999999</v>
      </c>
    </row>
    <row r="201" spans="1:2" x14ac:dyDescent="0.3">
      <c r="A201" s="20">
        <v>45419.771527999997</v>
      </c>
      <c r="B201" s="17">
        <v>61.092709999999997</v>
      </c>
    </row>
    <row r="202" spans="1:2" x14ac:dyDescent="0.3">
      <c r="A202" s="20">
        <v>45419.772222</v>
      </c>
      <c r="B202" s="17">
        <v>61.554943000000002</v>
      </c>
    </row>
    <row r="203" spans="1:2" x14ac:dyDescent="0.3">
      <c r="A203" s="20">
        <v>45419.772917000002</v>
      </c>
      <c r="B203" s="17">
        <v>61.277607000000003</v>
      </c>
    </row>
    <row r="204" spans="1:2" x14ac:dyDescent="0.3">
      <c r="A204" s="20">
        <v>45419.773610999997</v>
      </c>
      <c r="B204" s="17">
        <v>61.178345</v>
      </c>
    </row>
    <row r="205" spans="1:2" x14ac:dyDescent="0.3">
      <c r="A205" s="20">
        <v>45419.774305999999</v>
      </c>
      <c r="B205" s="17">
        <v>61.59234</v>
      </c>
    </row>
    <row r="206" spans="1:2" x14ac:dyDescent="0.3">
      <c r="A206" s="20">
        <v>45419.775000000001</v>
      </c>
      <c r="B206" s="17">
        <v>61.815595999999999</v>
      </c>
    </row>
    <row r="207" spans="1:2" x14ac:dyDescent="0.3">
      <c r="A207" s="20">
        <v>45419.775694000004</v>
      </c>
      <c r="B207" s="17">
        <v>61.214213999999998</v>
      </c>
    </row>
    <row r="208" spans="1:2" x14ac:dyDescent="0.3">
      <c r="A208" s="20">
        <v>45419.776388999999</v>
      </c>
      <c r="B208" s="17">
        <v>60.844822000000001</v>
      </c>
    </row>
    <row r="209" spans="1:2" x14ac:dyDescent="0.3">
      <c r="A209" s="20">
        <v>45419.777083000001</v>
      </c>
      <c r="B209" s="17">
        <v>61.282755999999999</v>
      </c>
    </row>
    <row r="210" spans="1:2" x14ac:dyDescent="0.3">
      <c r="A210" s="20">
        <v>45419.777778000003</v>
      </c>
      <c r="B210" s="17">
        <v>62.486552000000003</v>
      </c>
    </row>
    <row r="211" spans="1:2" x14ac:dyDescent="0.3">
      <c r="A211" s="20">
        <v>45419.778471999998</v>
      </c>
      <c r="B211" s="17">
        <v>61.616416000000001</v>
      </c>
    </row>
    <row r="212" spans="1:2" x14ac:dyDescent="0.3">
      <c r="A212" s="20">
        <v>45419.779167000001</v>
      </c>
      <c r="B212" s="17">
        <v>62.207743999999998</v>
      </c>
    </row>
    <row r="213" spans="1:2" x14ac:dyDescent="0.3">
      <c r="A213" s="20">
        <v>45419.779861000003</v>
      </c>
      <c r="B213" s="17">
        <v>62.063761</v>
      </c>
    </row>
    <row r="214" spans="1:2" x14ac:dyDescent="0.3">
      <c r="A214" s="20">
        <v>45419.780555999998</v>
      </c>
      <c r="B214" s="17">
        <v>61.433387000000003</v>
      </c>
    </row>
    <row r="215" spans="1:2" x14ac:dyDescent="0.3">
      <c r="A215" s="20">
        <v>45419.78125</v>
      </c>
      <c r="B215" s="17">
        <v>61.812081999999997</v>
      </c>
    </row>
    <row r="216" spans="1:2" x14ac:dyDescent="0.3">
      <c r="A216" s="20">
        <v>45419.781944000002</v>
      </c>
      <c r="B216" s="17">
        <v>61.050611000000004</v>
      </c>
    </row>
    <row r="217" spans="1:2" x14ac:dyDescent="0.3">
      <c r="A217" s="20">
        <v>45419.782638999997</v>
      </c>
      <c r="B217" s="17">
        <v>61.126810999999996</v>
      </c>
    </row>
    <row r="218" spans="1:2" x14ac:dyDescent="0.3">
      <c r="A218" s="20">
        <v>45419.783332999999</v>
      </c>
      <c r="B218" s="17">
        <v>61.651952000000001</v>
      </c>
    </row>
    <row r="219" spans="1:2" x14ac:dyDescent="0.3">
      <c r="A219" s="20">
        <v>45419.784028000002</v>
      </c>
      <c r="B219" s="17">
        <v>62.271354000000002</v>
      </c>
    </row>
    <row r="220" spans="1:2" x14ac:dyDescent="0.3">
      <c r="A220" s="20">
        <v>45419.784721999997</v>
      </c>
      <c r="B220" s="17">
        <v>60.241537000000001</v>
      </c>
    </row>
    <row r="221" spans="1:2" x14ac:dyDescent="0.3">
      <c r="A221" s="20">
        <v>45419.785416999999</v>
      </c>
      <c r="B221" s="17">
        <v>62.428893000000002</v>
      </c>
    </row>
    <row r="222" spans="1:2" x14ac:dyDescent="0.3">
      <c r="A222" s="20">
        <v>45419.786111000001</v>
      </c>
      <c r="B222" s="17">
        <v>61.929296999999998</v>
      </c>
    </row>
    <row r="223" spans="1:2" x14ac:dyDescent="0.3">
      <c r="A223" s="20">
        <v>45419.786805999996</v>
      </c>
      <c r="B223" s="17">
        <v>62.362076999999999</v>
      </c>
    </row>
    <row r="224" spans="1:2" x14ac:dyDescent="0.3">
      <c r="A224" s="20">
        <v>45419.787499999999</v>
      </c>
      <c r="B224" s="17">
        <v>60.960089000000004</v>
      </c>
    </row>
    <row r="225" spans="1:2" x14ac:dyDescent="0.3">
      <c r="A225" s="20">
        <v>45419.788194000001</v>
      </c>
      <c r="B225" s="17">
        <v>62.011384999999997</v>
      </c>
    </row>
    <row r="226" spans="1:2" x14ac:dyDescent="0.3">
      <c r="A226" s="20">
        <v>45419.788889000003</v>
      </c>
      <c r="B226" s="17">
        <v>61.597988999999998</v>
      </c>
    </row>
    <row r="227" spans="1:2" x14ac:dyDescent="0.3">
      <c r="A227" s="20">
        <v>45419.789582999998</v>
      </c>
      <c r="B227" s="17">
        <v>62.061884999999997</v>
      </c>
    </row>
    <row r="228" spans="1:2" x14ac:dyDescent="0.3">
      <c r="A228" s="20">
        <v>45419.790278</v>
      </c>
      <c r="B228" s="17">
        <v>61.055276999999997</v>
      </c>
    </row>
    <row r="229" spans="1:2" x14ac:dyDescent="0.3">
      <c r="A229" s="20">
        <v>45419.790972000003</v>
      </c>
      <c r="B229" s="17">
        <v>61.920037999999998</v>
      </c>
    </row>
    <row r="230" spans="1:2" x14ac:dyDescent="0.3">
      <c r="A230" s="20">
        <v>45419.791666999998</v>
      </c>
      <c r="B230" s="17">
        <v>61.499977000000001</v>
      </c>
    </row>
    <row r="231" spans="1:2" x14ac:dyDescent="0.3">
      <c r="A231" s="20">
        <v>45419.792361</v>
      </c>
      <c r="B231" s="17">
        <v>62.167538</v>
      </c>
    </row>
    <row r="232" spans="1:2" x14ac:dyDescent="0.3">
      <c r="A232" s="20">
        <v>45419.793056000002</v>
      </c>
      <c r="B232" s="17">
        <v>61.856231000000001</v>
      </c>
    </row>
    <row r="233" spans="1:2" x14ac:dyDescent="0.3">
      <c r="A233" s="20">
        <v>45419.793749999997</v>
      </c>
      <c r="B233" s="17">
        <v>61.487772999999997</v>
      </c>
    </row>
    <row r="234" spans="1:2" x14ac:dyDescent="0.3">
      <c r="A234" s="20">
        <v>45419.794443999999</v>
      </c>
      <c r="B234" s="17">
        <v>61.531084999999997</v>
      </c>
    </row>
    <row r="235" spans="1:2" x14ac:dyDescent="0.3">
      <c r="A235" s="20">
        <v>45419.795139000002</v>
      </c>
      <c r="B235" s="17">
        <v>62.538508</v>
      </c>
    </row>
    <row r="236" spans="1:2" x14ac:dyDescent="0.3">
      <c r="A236" s="20">
        <v>45419.795832999996</v>
      </c>
      <c r="B236" s="17">
        <v>61.784610000000001</v>
      </c>
    </row>
    <row r="237" spans="1:2" x14ac:dyDescent="0.3">
      <c r="A237" s="20">
        <v>45419.796527999999</v>
      </c>
      <c r="B237" s="17">
        <v>62.296295999999998</v>
      </c>
    </row>
    <row r="238" spans="1:2" x14ac:dyDescent="0.3">
      <c r="A238" s="20">
        <v>45419.797222000001</v>
      </c>
      <c r="B238" s="17">
        <v>61.176684000000002</v>
      </c>
    </row>
    <row r="239" spans="1:2" x14ac:dyDescent="0.3">
      <c r="A239" s="20">
        <v>45419.797917000004</v>
      </c>
      <c r="B239" s="17">
        <v>61.724037000000003</v>
      </c>
    </row>
    <row r="240" spans="1:2" x14ac:dyDescent="0.3">
      <c r="A240" s="20">
        <v>45419.798610999998</v>
      </c>
      <c r="B240" s="17">
        <v>61.936400999999996</v>
      </c>
    </row>
    <row r="241" spans="1:2" x14ac:dyDescent="0.3">
      <c r="A241" s="20">
        <v>45419.799306000001</v>
      </c>
      <c r="B241" s="17">
        <v>61.226790999999999</v>
      </c>
    </row>
    <row r="242" spans="1:2" x14ac:dyDescent="0.3">
      <c r="A242" s="20">
        <v>45419.8</v>
      </c>
      <c r="B242" s="17">
        <v>62.529071000000002</v>
      </c>
    </row>
    <row r="243" spans="1:2" x14ac:dyDescent="0.3">
      <c r="A243" s="20">
        <v>45419.800693999998</v>
      </c>
      <c r="B243" s="17">
        <v>61.970419</v>
      </c>
    </row>
    <row r="244" spans="1:2" x14ac:dyDescent="0.3">
      <c r="A244" s="20">
        <v>45419.801389</v>
      </c>
      <c r="B244" s="17">
        <v>64.279426999999998</v>
      </c>
    </row>
    <row r="245" spans="1:2" x14ac:dyDescent="0.3">
      <c r="A245" s="20">
        <v>45419.802083000002</v>
      </c>
      <c r="B245" s="17">
        <v>64.067700000000002</v>
      </c>
    </row>
    <row r="246" spans="1:2" x14ac:dyDescent="0.3">
      <c r="A246" s="20">
        <v>45419.802777999997</v>
      </c>
      <c r="B246" s="17">
        <v>64.146316999999996</v>
      </c>
    </row>
    <row r="247" spans="1:2" x14ac:dyDescent="0.3">
      <c r="A247" s="20">
        <v>45419.803472</v>
      </c>
      <c r="B247" s="17">
        <v>64.775236000000007</v>
      </c>
    </row>
    <row r="248" spans="1:2" x14ac:dyDescent="0.3">
      <c r="A248" s="20">
        <v>45419.804167000002</v>
      </c>
      <c r="B248" s="17">
        <v>64.382373999999999</v>
      </c>
    </row>
    <row r="249" spans="1:2" x14ac:dyDescent="0.3">
      <c r="A249" s="20">
        <v>45419.804860999997</v>
      </c>
      <c r="B249" s="17">
        <v>64.793167999999994</v>
      </c>
    </row>
    <row r="250" spans="1:2" x14ac:dyDescent="0.3">
      <c r="A250" s="20">
        <v>45419.805555999999</v>
      </c>
      <c r="B250" s="17">
        <v>64.671594999999996</v>
      </c>
    </row>
    <row r="251" spans="1:2" x14ac:dyDescent="0.3">
      <c r="A251" s="20">
        <v>45419.806250000001</v>
      </c>
      <c r="B251" s="17">
        <v>64.982067000000001</v>
      </c>
    </row>
    <row r="252" spans="1:2" x14ac:dyDescent="0.3">
      <c r="A252" s="20">
        <v>45419.806944000004</v>
      </c>
      <c r="B252" s="17">
        <v>64.789090000000002</v>
      </c>
    </row>
    <row r="253" spans="1:2" x14ac:dyDescent="0.3">
      <c r="A253" s="20">
        <v>45419.807638999999</v>
      </c>
      <c r="B253" s="17">
        <v>63.854005999999998</v>
      </c>
    </row>
    <row r="254" spans="1:2" x14ac:dyDescent="0.3">
      <c r="A254" s="20">
        <v>45419.808333000001</v>
      </c>
      <c r="B254" s="17">
        <v>64.401972000000001</v>
      </c>
    </row>
    <row r="255" spans="1:2" x14ac:dyDescent="0.3">
      <c r="A255" s="20">
        <v>45419.809028000003</v>
      </c>
      <c r="B255" s="17">
        <v>64.797469000000007</v>
      </c>
    </row>
    <row r="256" spans="1:2" x14ac:dyDescent="0.3">
      <c r="A256" s="20">
        <v>45419.809721999998</v>
      </c>
      <c r="B256" s="17">
        <v>65.111819999999994</v>
      </c>
    </row>
    <row r="257" spans="1:2" x14ac:dyDescent="0.3">
      <c r="A257" s="20">
        <v>45419.810417000001</v>
      </c>
      <c r="B257" s="17">
        <v>64.974945000000005</v>
      </c>
    </row>
    <row r="258" spans="1:2" x14ac:dyDescent="0.3">
      <c r="A258" s="20">
        <v>45419.811111000003</v>
      </c>
      <c r="B258" s="17">
        <v>65.267503000000005</v>
      </c>
    </row>
    <row r="259" spans="1:2" x14ac:dyDescent="0.3">
      <c r="A259" s="20">
        <v>45419.811805999998</v>
      </c>
      <c r="B259" s="17">
        <v>64.313569999999999</v>
      </c>
    </row>
    <row r="260" spans="1:2" x14ac:dyDescent="0.3">
      <c r="A260" s="20">
        <v>45419.8125</v>
      </c>
      <c r="B260" s="17">
        <v>65.106014999999999</v>
      </c>
    </row>
    <row r="261" spans="1:2" x14ac:dyDescent="0.3">
      <c r="A261" s="20">
        <v>45419.813194000002</v>
      </c>
      <c r="B261" s="17">
        <v>64.611144999999993</v>
      </c>
    </row>
    <row r="262" spans="1:2" x14ac:dyDescent="0.3">
      <c r="A262" s="20">
        <v>45419.813888999997</v>
      </c>
      <c r="B262" s="17">
        <v>64.186665000000005</v>
      </c>
    </row>
    <row r="263" spans="1:2" x14ac:dyDescent="0.3">
      <c r="A263" s="20">
        <v>45419.814582999999</v>
      </c>
      <c r="B263" s="17">
        <v>64.614694999999998</v>
      </c>
    </row>
    <row r="264" spans="1:2" x14ac:dyDescent="0.3">
      <c r="A264" s="20">
        <v>45419.815278000002</v>
      </c>
      <c r="B264" s="17">
        <v>64.369738999999996</v>
      </c>
    </row>
    <row r="265" spans="1:2" x14ac:dyDescent="0.3">
      <c r="A265" s="20">
        <v>45419.815971999997</v>
      </c>
      <c r="B265" s="17">
        <v>64.916880000000006</v>
      </c>
    </row>
    <row r="266" spans="1:2" x14ac:dyDescent="0.3">
      <c r="A266" s="20">
        <v>45419.816666999999</v>
      </c>
      <c r="B266" s="17">
        <v>64.302392999999995</v>
      </c>
    </row>
    <row r="267" spans="1:2" x14ac:dyDescent="0.3">
      <c r="A267" s="20">
        <v>45419.817361000001</v>
      </c>
      <c r="B267" s="17">
        <v>64.770086000000006</v>
      </c>
    </row>
    <row r="268" spans="1:2" x14ac:dyDescent="0.3">
      <c r="A268" s="20">
        <v>45419.818055999996</v>
      </c>
      <c r="B268" s="17">
        <v>65.092540999999997</v>
      </c>
    </row>
    <row r="269" spans="1:2" x14ac:dyDescent="0.3">
      <c r="A269" s="20">
        <v>45419.818749999999</v>
      </c>
      <c r="B269" s="17">
        <v>64.507240999999993</v>
      </c>
    </row>
    <row r="270" spans="1:2" x14ac:dyDescent="0.3">
      <c r="A270" s="20">
        <v>45419.819444000001</v>
      </c>
      <c r="B270" s="17">
        <v>64.973562999999999</v>
      </c>
    </row>
    <row r="271" spans="1:2" x14ac:dyDescent="0.3">
      <c r="A271" s="20">
        <v>45419.820139000003</v>
      </c>
      <c r="B271" s="17">
        <v>65.048015000000007</v>
      </c>
    </row>
    <row r="272" spans="1:2" x14ac:dyDescent="0.3">
      <c r="A272" s="20">
        <v>45419.820832999998</v>
      </c>
      <c r="B272" s="17">
        <v>63.945205000000001</v>
      </c>
    </row>
    <row r="273" spans="1:2" x14ac:dyDescent="0.3">
      <c r="A273" s="20">
        <v>45419.821528</v>
      </c>
      <c r="B273" s="17">
        <v>63.64141</v>
      </c>
    </row>
    <row r="274" spans="1:2" x14ac:dyDescent="0.3">
      <c r="A274" s="20">
        <v>45419.822222000003</v>
      </c>
      <c r="B274" s="17">
        <v>63.861956999999997</v>
      </c>
    </row>
    <row r="275" spans="1:2" x14ac:dyDescent="0.3">
      <c r="A275" s="20">
        <v>45419.822916999998</v>
      </c>
      <c r="B275" s="17">
        <v>64.874146999999994</v>
      </c>
    </row>
    <row r="276" spans="1:2" x14ac:dyDescent="0.3">
      <c r="A276" s="20">
        <v>45419.823611</v>
      </c>
      <c r="B276" s="17">
        <v>64.573632000000003</v>
      </c>
    </row>
    <row r="277" spans="1:2" x14ac:dyDescent="0.3">
      <c r="A277" s="20">
        <v>45419.824306000002</v>
      </c>
      <c r="B277" s="17">
        <v>65.194712999999993</v>
      </c>
    </row>
    <row r="278" spans="1:2" x14ac:dyDescent="0.3">
      <c r="A278" s="20">
        <v>45419.824999999997</v>
      </c>
      <c r="B278" s="17">
        <v>63.793601000000002</v>
      </c>
    </row>
    <row r="279" spans="1:2" x14ac:dyDescent="0.3">
      <c r="A279" s="20">
        <v>45419.825693999999</v>
      </c>
      <c r="B279" s="17">
        <v>64.601748000000001</v>
      </c>
    </row>
    <row r="280" spans="1:2" x14ac:dyDescent="0.3">
      <c r="A280" s="20">
        <v>45419.826389000002</v>
      </c>
      <c r="B280" s="17">
        <v>64.465648999999999</v>
      </c>
    </row>
    <row r="281" spans="1:2" x14ac:dyDescent="0.3">
      <c r="A281" s="20">
        <v>45419.827082999996</v>
      </c>
      <c r="B281" s="17">
        <v>64.325196000000005</v>
      </c>
    </row>
    <row r="282" spans="1:2" x14ac:dyDescent="0.3">
      <c r="A282" s="20">
        <v>45419.827777999999</v>
      </c>
      <c r="B282" s="17">
        <v>64.779486000000006</v>
      </c>
    </row>
    <row r="283" spans="1:2" x14ac:dyDescent="0.3">
      <c r="A283" s="20">
        <v>45419.828472000001</v>
      </c>
      <c r="B283" s="17">
        <v>63.859293999999998</v>
      </c>
    </row>
    <row r="284" spans="1:2" x14ac:dyDescent="0.3">
      <c r="A284" s="20">
        <v>45419.829167000004</v>
      </c>
      <c r="B284" s="17">
        <v>64.241988000000006</v>
      </c>
    </row>
    <row r="285" spans="1:2" x14ac:dyDescent="0.3">
      <c r="A285" s="20">
        <v>45419.829860999998</v>
      </c>
      <c r="B285" s="17">
        <v>64.538811999999993</v>
      </c>
    </row>
    <row r="286" spans="1:2" x14ac:dyDescent="0.3">
      <c r="A286" s="20">
        <v>45419.830556000001</v>
      </c>
      <c r="B286" s="17">
        <v>64.505235999999996</v>
      </c>
    </row>
    <row r="287" spans="1:2" x14ac:dyDescent="0.3">
      <c r="A287" s="20">
        <v>45419.831250000003</v>
      </c>
      <c r="B287" s="17">
        <v>64.771574999999999</v>
      </c>
    </row>
    <row r="288" spans="1:2" x14ac:dyDescent="0.3">
      <c r="A288" s="20">
        <v>45419.831943999998</v>
      </c>
      <c r="B288" s="17">
        <v>65.067497000000003</v>
      </c>
    </row>
    <row r="289" spans="1:2" x14ac:dyDescent="0.3">
      <c r="A289" s="20">
        <v>45419.832639</v>
      </c>
      <c r="B289" s="17">
        <v>63.981395999999997</v>
      </c>
    </row>
    <row r="290" spans="1:2" x14ac:dyDescent="0.3">
      <c r="A290" s="20">
        <v>45419.833333000002</v>
      </c>
      <c r="B290" s="17">
        <v>64.290036999999998</v>
      </c>
    </row>
    <row r="291" spans="1:2" x14ac:dyDescent="0.3">
      <c r="A291" s="20">
        <v>45419.834027999997</v>
      </c>
      <c r="B291" s="17">
        <v>64.612095999999994</v>
      </c>
    </row>
    <row r="292" spans="1:2" x14ac:dyDescent="0.3">
      <c r="A292" s="20">
        <v>45419.834722</v>
      </c>
      <c r="B292" s="17">
        <v>65.009698999999998</v>
      </c>
    </row>
    <row r="293" spans="1:2" x14ac:dyDescent="0.3">
      <c r="A293" s="20">
        <v>45419.835417000002</v>
      </c>
      <c r="B293" s="17">
        <v>64.918374</v>
      </c>
    </row>
    <row r="294" spans="1:2" x14ac:dyDescent="0.3">
      <c r="A294" s="20">
        <v>45419.836110999997</v>
      </c>
      <c r="B294" s="17">
        <v>64.589702000000003</v>
      </c>
    </row>
    <row r="295" spans="1:2" x14ac:dyDescent="0.3">
      <c r="A295" s="20">
        <v>45419.836805999999</v>
      </c>
      <c r="B295" s="17">
        <v>65.218174000000005</v>
      </c>
    </row>
    <row r="296" spans="1:2" x14ac:dyDescent="0.3">
      <c r="A296" s="20">
        <v>45419.837500000001</v>
      </c>
      <c r="B296" s="17">
        <v>64.436071999999996</v>
      </c>
    </row>
    <row r="297" spans="1:2" x14ac:dyDescent="0.3">
      <c r="A297" s="20">
        <v>45419.838194000004</v>
      </c>
      <c r="B297" s="17">
        <v>65.031955999999994</v>
      </c>
    </row>
    <row r="298" spans="1:2" x14ac:dyDescent="0.3">
      <c r="A298" s="20">
        <v>45419.838888999999</v>
      </c>
      <c r="B298" s="17">
        <v>64.341196999999994</v>
      </c>
    </row>
    <row r="299" spans="1:2" x14ac:dyDescent="0.3">
      <c r="A299" s="20">
        <v>45419.839583000001</v>
      </c>
      <c r="B299" s="17">
        <v>64.584208000000004</v>
      </c>
    </row>
    <row r="300" spans="1:2" x14ac:dyDescent="0.3">
      <c r="A300" s="20">
        <v>45419.840278000003</v>
      </c>
      <c r="B300" s="17">
        <v>64.913397000000003</v>
      </c>
    </row>
    <row r="301" spans="1:2" x14ac:dyDescent="0.3">
      <c r="A301" s="20">
        <v>45419.840971999998</v>
      </c>
      <c r="B301" s="17">
        <v>64.911698000000001</v>
      </c>
    </row>
    <row r="302" spans="1:2" x14ac:dyDescent="0.3">
      <c r="A302" s="20">
        <v>45419.841667000001</v>
      </c>
      <c r="B302" s="17">
        <v>64.463539999999995</v>
      </c>
    </row>
    <row r="303" spans="1:2" x14ac:dyDescent="0.3">
      <c r="A303" s="20">
        <v>45419.842361000003</v>
      </c>
      <c r="B303" s="17">
        <v>65.060709000000003</v>
      </c>
    </row>
    <row r="304" spans="1:2" x14ac:dyDescent="0.3">
      <c r="A304" s="20">
        <v>45419.843055999998</v>
      </c>
      <c r="B304" s="17">
        <v>64.859122999999997</v>
      </c>
    </row>
    <row r="305" spans="1:2" x14ac:dyDescent="0.3">
      <c r="A305" s="20">
        <v>45419.84375</v>
      </c>
      <c r="B305" s="17">
        <v>65.290724999999995</v>
      </c>
    </row>
    <row r="306" spans="1:2" x14ac:dyDescent="0.3">
      <c r="A306" s="20">
        <v>45419.844444000002</v>
      </c>
      <c r="B306" s="17">
        <v>64.709489000000005</v>
      </c>
    </row>
    <row r="307" spans="1:2" x14ac:dyDescent="0.3">
      <c r="A307" s="20">
        <v>45419.845138999997</v>
      </c>
      <c r="B307" s="17">
        <v>64.992382000000006</v>
      </c>
    </row>
    <row r="308" spans="1:2" x14ac:dyDescent="0.3">
      <c r="A308" s="20">
        <v>45419.845832999999</v>
      </c>
      <c r="B308" s="17">
        <v>64.738896999999994</v>
      </c>
    </row>
    <row r="309" spans="1:2" x14ac:dyDescent="0.3">
      <c r="A309" s="20">
        <v>45419.846528000002</v>
      </c>
      <c r="B309" s="17">
        <v>65.589459000000005</v>
      </c>
    </row>
    <row r="310" spans="1:2" x14ac:dyDescent="0.3">
      <c r="A310" s="20">
        <v>45419.847221999997</v>
      </c>
      <c r="B310" s="17">
        <v>64.960836</v>
      </c>
    </row>
    <row r="311" spans="1:2" x14ac:dyDescent="0.3">
      <c r="A311" s="20">
        <v>45419.847916999999</v>
      </c>
      <c r="B311" s="17">
        <v>65.363819000000007</v>
      </c>
    </row>
    <row r="312" spans="1:2" x14ac:dyDescent="0.3">
      <c r="A312" s="20">
        <v>45419.848611000001</v>
      </c>
      <c r="B312" s="17">
        <v>65.137986999999995</v>
      </c>
    </row>
    <row r="313" spans="1:2" x14ac:dyDescent="0.3">
      <c r="A313" s="20">
        <v>45419.849305999996</v>
      </c>
      <c r="B313" s="17">
        <v>65.360197999999997</v>
      </c>
    </row>
    <row r="314" spans="1:2" x14ac:dyDescent="0.3">
      <c r="A314" s="20">
        <v>45419.85</v>
      </c>
      <c r="B314" s="17">
        <v>64.837334999999996</v>
      </c>
    </row>
    <row r="315" spans="1:2" x14ac:dyDescent="0.3">
      <c r="A315" s="20">
        <v>45419.850694000001</v>
      </c>
      <c r="B315" s="17">
        <v>64.662222</v>
      </c>
    </row>
    <row r="316" spans="1:2" x14ac:dyDescent="0.3">
      <c r="A316" s="20">
        <v>45419.851389000003</v>
      </c>
      <c r="B316" s="17">
        <v>65.251814999999993</v>
      </c>
    </row>
    <row r="317" spans="1:2" x14ac:dyDescent="0.3">
      <c r="A317" s="20">
        <v>45419.852082999998</v>
      </c>
      <c r="B317" s="17">
        <v>65.243819999999999</v>
      </c>
    </row>
    <row r="318" spans="1:2" x14ac:dyDescent="0.3">
      <c r="A318" s="20">
        <v>45419.852778</v>
      </c>
      <c r="B318" s="17">
        <v>65.403671000000003</v>
      </c>
    </row>
    <row r="319" spans="1:2" x14ac:dyDescent="0.3">
      <c r="A319" s="20">
        <v>45419.853472000003</v>
      </c>
      <c r="B319" s="17">
        <v>64.424571999999998</v>
      </c>
    </row>
    <row r="320" spans="1:2" x14ac:dyDescent="0.3">
      <c r="A320" s="20">
        <v>45419.854166999998</v>
      </c>
      <c r="B320" s="17">
        <v>64.868965000000003</v>
      </c>
    </row>
    <row r="321" spans="1:2" x14ac:dyDescent="0.3">
      <c r="A321" s="20">
        <v>45419.854861</v>
      </c>
      <c r="B321" s="17">
        <v>64.864506000000006</v>
      </c>
    </row>
    <row r="322" spans="1:2" x14ac:dyDescent="0.3">
      <c r="A322" s="20">
        <v>45419.855556000002</v>
      </c>
      <c r="B322" s="17">
        <v>65.328705999999997</v>
      </c>
    </row>
    <row r="323" spans="1:2" x14ac:dyDescent="0.3">
      <c r="A323" s="20">
        <v>45419.856249999997</v>
      </c>
      <c r="B323" s="17">
        <v>64.373107000000005</v>
      </c>
    </row>
    <row r="324" spans="1:2" x14ac:dyDescent="0.3">
      <c r="A324" s="20">
        <v>45419.856943999999</v>
      </c>
      <c r="B324" s="17">
        <v>64.878546999999998</v>
      </c>
    </row>
    <row r="325" spans="1:2" x14ac:dyDescent="0.3">
      <c r="A325" s="20">
        <v>45419.857639000002</v>
      </c>
      <c r="B325" s="17">
        <v>65.224024999999997</v>
      </c>
    </row>
    <row r="326" spans="1:2" x14ac:dyDescent="0.3">
      <c r="A326" s="20">
        <v>45419.858332999996</v>
      </c>
      <c r="B326" s="17">
        <v>64.929884999999999</v>
      </c>
    </row>
    <row r="327" spans="1:2" x14ac:dyDescent="0.3">
      <c r="A327" s="20">
        <v>45419.859027999999</v>
      </c>
      <c r="B327" s="17">
        <v>65.053684000000004</v>
      </c>
    </row>
    <row r="328" spans="1:2" x14ac:dyDescent="0.3">
      <c r="A328" s="20">
        <v>45419.859722000001</v>
      </c>
      <c r="B328" s="17">
        <v>65.758435000000006</v>
      </c>
    </row>
    <row r="329" spans="1:2" x14ac:dyDescent="0.3">
      <c r="A329" s="20">
        <v>45419.860417000004</v>
      </c>
      <c r="B329" s="17">
        <v>65.796171999999999</v>
      </c>
    </row>
    <row r="330" spans="1:2" x14ac:dyDescent="0.3">
      <c r="A330" s="20">
        <v>45419.861110999998</v>
      </c>
      <c r="B330" s="17">
        <v>65.186334000000002</v>
      </c>
    </row>
    <row r="331" spans="1:2" x14ac:dyDescent="0.3">
      <c r="A331" s="20">
        <v>45419.861806000001</v>
      </c>
      <c r="B331" s="17">
        <v>65.082751999999999</v>
      </c>
    </row>
    <row r="332" spans="1:2" x14ac:dyDescent="0.3">
      <c r="A332" s="20">
        <v>45419.862500000003</v>
      </c>
      <c r="B332" s="17">
        <v>65.983969999999999</v>
      </c>
    </row>
    <row r="333" spans="1:2" x14ac:dyDescent="0.3">
      <c r="A333" s="20">
        <v>45419.863193999998</v>
      </c>
      <c r="B333" s="17">
        <v>64.507202000000007</v>
      </c>
    </row>
    <row r="334" spans="1:2" x14ac:dyDescent="0.3">
      <c r="A334" s="20">
        <v>45419.863889</v>
      </c>
      <c r="B334" s="17">
        <v>64.995088999999993</v>
      </c>
    </row>
    <row r="335" spans="1:2" x14ac:dyDescent="0.3">
      <c r="A335" s="20">
        <v>45419.864583000002</v>
      </c>
      <c r="B335" s="17">
        <v>65.124879000000007</v>
      </c>
    </row>
    <row r="336" spans="1:2" x14ac:dyDescent="0.3">
      <c r="A336" s="20">
        <v>45419.865277999997</v>
      </c>
      <c r="B336" s="17">
        <v>65.248203000000004</v>
      </c>
    </row>
    <row r="337" spans="1:2" x14ac:dyDescent="0.3">
      <c r="A337" s="20">
        <v>45419.865972</v>
      </c>
      <c r="B337" s="17">
        <v>64.955496999999994</v>
      </c>
    </row>
    <row r="338" spans="1:2" x14ac:dyDescent="0.3">
      <c r="A338" s="20">
        <v>45419.866667000002</v>
      </c>
      <c r="B338" s="17">
        <v>64.639060999999998</v>
      </c>
    </row>
    <row r="339" spans="1:2" x14ac:dyDescent="0.3">
      <c r="A339" s="20">
        <v>45419.867360999997</v>
      </c>
      <c r="B339" s="17">
        <v>65.048803000000007</v>
      </c>
    </row>
    <row r="340" spans="1:2" x14ac:dyDescent="0.3">
      <c r="A340" s="20">
        <v>45419.868055999999</v>
      </c>
      <c r="B340" s="17">
        <v>64.798089000000004</v>
      </c>
    </row>
    <row r="341" spans="1:2" x14ac:dyDescent="0.3">
      <c r="A341" s="20">
        <v>45419.868750000001</v>
      </c>
      <c r="B341" s="17">
        <v>64.004402999999996</v>
      </c>
    </row>
    <row r="342" spans="1:2" x14ac:dyDescent="0.3">
      <c r="A342" s="20">
        <v>45419.869444000004</v>
      </c>
      <c r="B342" s="17">
        <v>65.370215999999999</v>
      </c>
    </row>
    <row r="343" spans="1:2" x14ac:dyDescent="0.3">
      <c r="A343" s="20">
        <v>45419.870138999999</v>
      </c>
      <c r="B343" s="17">
        <v>65.143218000000005</v>
      </c>
    </row>
    <row r="344" spans="1:2" x14ac:dyDescent="0.3">
      <c r="A344" s="20">
        <v>45419.870833000001</v>
      </c>
      <c r="B344" s="17">
        <v>65.269118000000006</v>
      </c>
    </row>
    <row r="345" spans="1:2" x14ac:dyDescent="0.3">
      <c r="A345" s="20">
        <v>45419.871528000003</v>
      </c>
      <c r="B345" s="17">
        <v>65.068353999999999</v>
      </c>
    </row>
    <row r="346" spans="1:2" x14ac:dyDescent="0.3">
      <c r="A346" s="20">
        <v>45419.872221999998</v>
      </c>
      <c r="B346" s="17">
        <v>65.142622000000003</v>
      </c>
    </row>
    <row r="347" spans="1:2" x14ac:dyDescent="0.3">
      <c r="A347" s="20">
        <v>45419.872917000001</v>
      </c>
      <c r="B347" s="17">
        <v>65.868945999999994</v>
      </c>
    </row>
    <row r="348" spans="1:2" x14ac:dyDescent="0.3">
      <c r="A348" s="20">
        <v>45419.873611000003</v>
      </c>
      <c r="B348" s="17">
        <v>64.823142000000004</v>
      </c>
    </row>
    <row r="349" spans="1:2" x14ac:dyDescent="0.3">
      <c r="A349" s="20">
        <v>45419.874305999998</v>
      </c>
      <c r="B349" s="17">
        <v>64.831027000000006</v>
      </c>
    </row>
    <row r="350" spans="1:2" x14ac:dyDescent="0.3">
      <c r="A350" s="20">
        <v>45419.875</v>
      </c>
      <c r="B350" s="17">
        <v>64.210023000000007</v>
      </c>
    </row>
    <row r="351" spans="1:2" x14ac:dyDescent="0.3">
      <c r="A351" s="20">
        <v>45419.875694000002</v>
      </c>
      <c r="B351" s="17">
        <v>64.561098000000001</v>
      </c>
    </row>
    <row r="352" spans="1:2" x14ac:dyDescent="0.3">
      <c r="A352" s="20">
        <v>45419.876388999997</v>
      </c>
      <c r="B352" s="17">
        <v>65.428026000000003</v>
      </c>
    </row>
    <row r="353" spans="1:2" x14ac:dyDescent="0.3">
      <c r="A353" s="20">
        <v>45419.877082999999</v>
      </c>
      <c r="B353" s="17">
        <v>65.397622999999996</v>
      </c>
    </row>
    <row r="354" spans="1:2" x14ac:dyDescent="0.3">
      <c r="A354" s="20">
        <v>45419.877778000002</v>
      </c>
      <c r="B354" s="17">
        <v>64.661443000000006</v>
      </c>
    </row>
    <row r="355" spans="1:2" x14ac:dyDescent="0.3">
      <c r="A355" s="20">
        <v>45419.878471999997</v>
      </c>
      <c r="B355" s="17">
        <v>64.109888999999995</v>
      </c>
    </row>
    <row r="356" spans="1:2" x14ac:dyDescent="0.3">
      <c r="A356" s="20">
        <v>45419.879166999999</v>
      </c>
      <c r="B356" s="17">
        <v>65.499555999999998</v>
      </c>
    </row>
    <row r="357" spans="1:2" x14ac:dyDescent="0.3">
      <c r="A357" s="20">
        <v>45419.879861000001</v>
      </c>
      <c r="B357" s="17">
        <v>65.503511000000003</v>
      </c>
    </row>
    <row r="358" spans="1:2" x14ac:dyDescent="0.3">
      <c r="A358" s="20">
        <v>45419.880555999996</v>
      </c>
      <c r="B358" s="17">
        <v>64.494761999999994</v>
      </c>
    </row>
    <row r="359" spans="1:2" x14ac:dyDescent="0.3">
      <c r="A359" s="20">
        <v>45419.881249999999</v>
      </c>
      <c r="B359" s="17">
        <v>64.647035000000002</v>
      </c>
    </row>
    <row r="360" spans="1:2" x14ac:dyDescent="0.3">
      <c r="A360" s="20">
        <v>45419.881944000001</v>
      </c>
      <c r="B360" s="17">
        <v>64.109893999999997</v>
      </c>
    </row>
    <row r="361" spans="1:2" x14ac:dyDescent="0.3">
      <c r="A361" s="20">
        <v>45419.882639000003</v>
      </c>
      <c r="B361" s="17">
        <v>64.396753000000004</v>
      </c>
    </row>
    <row r="362" spans="1:2" x14ac:dyDescent="0.3">
      <c r="A362" s="20">
        <v>45419.883332999998</v>
      </c>
      <c r="B362" s="17">
        <v>65.457336999999995</v>
      </c>
    </row>
    <row r="363" spans="1:2" x14ac:dyDescent="0.3">
      <c r="A363" s="20">
        <v>45419.884028</v>
      </c>
      <c r="B363" s="17">
        <v>65.072356999999997</v>
      </c>
    </row>
    <row r="364" spans="1:2" x14ac:dyDescent="0.3">
      <c r="A364" s="20">
        <v>45419.884722000003</v>
      </c>
      <c r="B364" s="17">
        <v>67.248979000000006</v>
      </c>
    </row>
    <row r="365" spans="1:2" x14ac:dyDescent="0.3">
      <c r="A365" s="20">
        <v>45419.885416999998</v>
      </c>
      <c r="B365" s="17">
        <v>67.637117000000003</v>
      </c>
    </row>
    <row r="366" spans="1:2" x14ac:dyDescent="0.3">
      <c r="A366" s="20">
        <v>45419.886111</v>
      </c>
      <c r="B366" s="17">
        <v>66.941471000000007</v>
      </c>
    </row>
    <row r="367" spans="1:2" x14ac:dyDescent="0.3">
      <c r="A367" s="20">
        <v>45419.886806000002</v>
      </c>
      <c r="B367" s="17">
        <v>67.682079000000002</v>
      </c>
    </row>
    <row r="368" spans="1:2" x14ac:dyDescent="0.3">
      <c r="A368" s="20">
        <v>45419.887499999997</v>
      </c>
      <c r="B368" s="17">
        <v>67.935169000000002</v>
      </c>
    </row>
    <row r="369" spans="1:2" x14ac:dyDescent="0.3">
      <c r="A369" s="20">
        <v>45419.888193999999</v>
      </c>
      <c r="B369" s="17">
        <v>67.883284000000003</v>
      </c>
    </row>
    <row r="370" spans="1:2" x14ac:dyDescent="0.3">
      <c r="A370" s="20">
        <v>45419.888889000002</v>
      </c>
      <c r="B370" s="17">
        <v>67.411647000000002</v>
      </c>
    </row>
    <row r="371" spans="1:2" x14ac:dyDescent="0.3">
      <c r="A371" s="20">
        <v>45419.889582999996</v>
      </c>
      <c r="B371" s="17">
        <v>68.422487000000004</v>
      </c>
    </row>
    <row r="372" spans="1:2" x14ac:dyDescent="0.3">
      <c r="A372" s="20">
        <v>45419.890277999999</v>
      </c>
      <c r="B372" s="17">
        <v>68.721574000000004</v>
      </c>
    </row>
    <row r="373" spans="1:2" x14ac:dyDescent="0.3">
      <c r="A373" s="20">
        <v>45419.890972000001</v>
      </c>
      <c r="B373" s="17">
        <v>67.636368000000004</v>
      </c>
    </row>
    <row r="374" spans="1:2" x14ac:dyDescent="0.3">
      <c r="A374" s="20">
        <v>45419.891667000004</v>
      </c>
      <c r="B374" s="17">
        <v>67.050297</v>
      </c>
    </row>
    <row r="375" spans="1:2" x14ac:dyDescent="0.3">
      <c r="A375" s="20">
        <v>45419.892360999998</v>
      </c>
      <c r="B375" s="17">
        <v>66.905877000000004</v>
      </c>
    </row>
    <row r="376" spans="1:2" x14ac:dyDescent="0.3">
      <c r="A376" s="20">
        <v>45419.893056000001</v>
      </c>
      <c r="B376" s="17">
        <v>67.244815000000003</v>
      </c>
    </row>
    <row r="377" spans="1:2" x14ac:dyDescent="0.3">
      <c r="A377" s="20">
        <v>45419.893750000003</v>
      </c>
      <c r="B377" s="17">
        <v>67.154661000000004</v>
      </c>
    </row>
    <row r="378" spans="1:2" x14ac:dyDescent="0.3">
      <c r="A378" s="20">
        <v>45419.894443999998</v>
      </c>
      <c r="B378" s="17">
        <v>67.246922999999995</v>
      </c>
    </row>
    <row r="379" spans="1:2" x14ac:dyDescent="0.3">
      <c r="A379" s="20">
        <v>45419.895139</v>
      </c>
      <c r="B379" s="17">
        <v>68.520453000000003</v>
      </c>
    </row>
    <row r="380" spans="1:2" x14ac:dyDescent="0.3">
      <c r="A380" s="20">
        <v>45419.895833000002</v>
      </c>
      <c r="B380" s="17">
        <v>67.294870000000003</v>
      </c>
    </row>
    <row r="381" spans="1:2" x14ac:dyDescent="0.3">
      <c r="A381" s="20">
        <v>45419.896527999997</v>
      </c>
      <c r="B381" s="17">
        <v>66.839799999999997</v>
      </c>
    </row>
    <row r="382" spans="1:2" x14ac:dyDescent="0.3">
      <c r="A382" s="20">
        <v>45419.897222</v>
      </c>
      <c r="B382" s="17">
        <v>67.151043000000001</v>
      </c>
    </row>
    <row r="383" spans="1:2" x14ac:dyDescent="0.3">
      <c r="A383" s="20">
        <v>45419.897917000002</v>
      </c>
      <c r="B383" s="17">
        <v>67.592652000000001</v>
      </c>
    </row>
    <row r="384" spans="1:2" x14ac:dyDescent="0.3">
      <c r="A384" s="20">
        <v>45419.898610999997</v>
      </c>
      <c r="B384" s="17">
        <v>67.541504000000003</v>
      </c>
    </row>
    <row r="385" spans="1:2" x14ac:dyDescent="0.3">
      <c r="A385" s="20">
        <v>45419.899305999999</v>
      </c>
      <c r="B385" s="17">
        <v>67.838560000000001</v>
      </c>
    </row>
    <row r="386" spans="1:2" x14ac:dyDescent="0.3">
      <c r="A386" s="20">
        <v>45419.9</v>
      </c>
      <c r="B386" s="17">
        <v>68.171912000000006</v>
      </c>
    </row>
    <row r="387" spans="1:2" x14ac:dyDescent="0.3">
      <c r="A387" s="20">
        <v>45419.900694000004</v>
      </c>
      <c r="B387" s="17">
        <v>67.580946999999995</v>
      </c>
    </row>
    <row r="388" spans="1:2" x14ac:dyDescent="0.3">
      <c r="A388" s="20">
        <v>45419.901388999999</v>
      </c>
      <c r="B388" s="17">
        <v>67.090068000000002</v>
      </c>
    </row>
    <row r="389" spans="1:2" x14ac:dyDescent="0.3">
      <c r="A389" s="20">
        <v>45419.902083000001</v>
      </c>
      <c r="B389" s="17">
        <v>67.556942000000006</v>
      </c>
    </row>
    <row r="390" spans="1:2" x14ac:dyDescent="0.3">
      <c r="A390" s="20">
        <v>45419.902778000003</v>
      </c>
      <c r="B390" s="17">
        <v>67.802792999999994</v>
      </c>
    </row>
    <row r="391" spans="1:2" x14ac:dyDescent="0.3">
      <c r="A391" s="20">
        <v>45419.903471999998</v>
      </c>
      <c r="B391" s="17">
        <v>67.565263000000002</v>
      </c>
    </row>
    <row r="392" spans="1:2" x14ac:dyDescent="0.3">
      <c r="A392" s="20">
        <v>45419.904167000001</v>
      </c>
      <c r="B392" s="17">
        <v>67.061110999999997</v>
      </c>
    </row>
    <row r="393" spans="1:2" x14ac:dyDescent="0.3">
      <c r="A393" s="20">
        <v>45419.904861000003</v>
      </c>
      <c r="B393" s="17">
        <v>66.521838000000002</v>
      </c>
    </row>
    <row r="394" spans="1:2" x14ac:dyDescent="0.3">
      <c r="A394" s="20">
        <v>45419.905555999998</v>
      </c>
      <c r="B394" s="17">
        <v>66.160842000000002</v>
      </c>
    </row>
    <row r="395" spans="1:2" x14ac:dyDescent="0.3">
      <c r="A395" s="20">
        <v>45419.90625</v>
      </c>
      <c r="B395" s="17">
        <v>67.191481999999993</v>
      </c>
    </row>
    <row r="396" spans="1:2" x14ac:dyDescent="0.3">
      <c r="A396" s="20">
        <v>45419.906944000002</v>
      </c>
      <c r="B396" s="17">
        <v>66.956580000000002</v>
      </c>
    </row>
    <row r="397" spans="1:2" x14ac:dyDescent="0.3">
      <c r="A397" s="20">
        <v>45419.907638999997</v>
      </c>
      <c r="B397" s="17">
        <v>68.154690000000002</v>
      </c>
    </row>
    <row r="398" spans="1:2" x14ac:dyDescent="0.3">
      <c r="A398" s="20">
        <v>45419.908332999999</v>
      </c>
      <c r="B398" s="17">
        <v>67.195528999999993</v>
      </c>
    </row>
    <row r="399" spans="1:2" x14ac:dyDescent="0.3">
      <c r="A399" s="20">
        <v>45419.909028000002</v>
      </c>
      <c r="B399" s="17">
        <v>66.289569999999998</v>
      </c>
    </row>
    <row r="400" spans="1:2" x14ac:dyDescent="0.3">
      <c r="A400" s="20">
        <v>45419.909721999997</v>
      </c>
      <c r="B400" s="17">
        <v>66.960656</v>
      </c>
    </row>
    <row r="401" spans="1:2" x14ac:dyDescent="0.3">
      <c r="A401" s="20">
        <v>45419.910416999999</v>
      </c>
      <c r="B401" s="17">
        <v>66.982954000000007</v>
      </c>
    </row>
    <row r="402" spans="1:2" x14ac:dyDescent="0.3">
      <c r="A402" s="20">
        <v>45419.911111000001</v>
      </c>
      <c r="B402" s="17">
        <v>67.243577999999999</v>
      </c>
    </row>
    <row r="403" spans="1:2" x14ac:dyDescent="0.3">
      <c r="A403" s="20">
        <v>45419.911805999996</v>
      </c>
      <c r="B403" s="17">
        <v>66.702670999999995</v>
      </c>
    </row>
    <row r="404" spans="1:2" x14ac:dyDescent="0.3">
      <c r="A404" s="20">
        <v>45419.912499999999</v>
      </c>
      <c r="B404" s="17">
        <v>66.635372000000004</v>
      </c>
    </row>
    <row r="405" spans="1:2" x14ac:dyDescent="0.3">
      <c r="A405" s="20">
        <v>45419.913194000001</v>
      </c>
      <c r="B405" s="17">
        <v>67.210680999999994</v>
      </c>
    </row>
    <row r="406" spans="1:2" x14ac:dyDescent="0.3">
      <c r="A406" s="20">
        <v>45419.913889000003</v>
      </c>
      <c r="B406" s="17">
        <v>67.019204000000002</v>
      </c>
    </row>
    <row r="407" spans="1:2" x14ac:dyDescent="0.3">
      <c r="A407" s="20">
        <v>45419.914582999998</v>
      </c>
      <c r="B407" s="17">
        <v>67.479331000000002</v>
      </c>
    </row>
    <row r="408" spans="1:2" x14ac:dyDescent="0.3">
      <c r="A408" s="20">
        <v>45419.915278</v>
      </c>
      <c r="B408" s="17">
        <v>67.384832000000003</v>
      </c>
    </row>
    <row r="409" spans="1:2" x14ac:dyDescent="0.3">
      <c r="A409" s="20">
        <v>45419.915972000003</v>
      </c>
      <c r="B409" s="17">
        <v>67.448626000000004</v>
      </c>
    </row>
    <row r="410" spans="1:2" x14ac:dyDescent="0.3">
      <c r="A410" s="20">
        <v>45419.916666999998</v>
      </c>
      <c r="B410" s="17">
        <v>66.827815000000001</v>
      </c>
    </row>
    <row r="411" spans="1:2" x14ac:dyDescent="0.3">
      <c r="A411" s="20">
        <v>45419.917361</v>
      </c>
      <c r="B411" s="17">
        <v>67.483395000000002</v>
      </c>
    </row>
    <row r="412" spans="1:2" x14ac:dyDescent="0.3">
      <c r="A412" s="20">
        <v>45419.918056000002</v>
      </c>
      <c r="B412" s="17">
        <v>67.222748999999993</v>
      </c>
    </row>
    <row r="413" spans="1:2" x14ac:dyDescent="0.3">
      <c r="A413" s="20">
        <v>45419.918749999997</v>
      </c>
      <c r="B413" s="17">
        <v>67.094372000000007</v>
      </c>
    </row>
    <row r="414" spans="1:2" x14ac:dyDescent="0.3">
      <c r="A414" s="20">
        <v>45419.919443999999</v>
      </c>
      <c r="B414" s="17">
        <v>67.458637999999993</v>
      </c>
    </row>
    <row r="415" spans="1:2" x14ac:dyDescent="0.3">
      <c r="A415" s="20">
        <v>45419.920139000002</v>
      </c>
      <c r="B415" s="17">
        <v>66.532201999999998</v>
      </c>
    </row>
    <row r="416" spans="1:2" x14ac:dyDescent="0.3">
      <c r="A416" s="20">
        <v>45419.920832999996</v>
      </c>
      <c r="B416" s="17">
        <v>66.568389999999994</v>
      </c>
    </row>
    <row r="417" spans="1:2" x14ac:dyDescent="0.3">
      <c r="A417" s="20">
        <v>45419.921527999999</v>
      </c>
      <c r="B417" s="17">
        <v>67.518412999999995</v>
      </c>
    </row>
    <row r="418" spans="1:2" x14ac:dyDescent="0.3">
      <c r="A418" s="20">
        <v>45419.922222000001</v>
      </c>
      <c r="B418" s="17">
        <v>65.746302999999997</v>
      </c>
    </row>
    <row r="419" spans="1:2" x14ac:dyDescent="0.3">
      <c r="A419" s="20">
        <v>45419.922917000004</v>
      </c>
      <c r="B419" s="17">
        <v>67.930918000000005</v>
      </c>
    </row>
    <row r="420" spans="1:2" x14ac:dyDescent="0.3">
      <c r="A420" s="20">
        <v>45419.923610999998</v>
      </c>
      <c r="B420" s="17">
        <v>66.941991999999999</v>
      </c>
    </row>
    <row r="421" spans="1:2" x14ac:dyDescent="0.3">
      <c r="A421" s="20">
        <v>45419.924306000001</v>
      </c>
      <c r="B421" s="17">
        <v>66.749221000000006</v>
      </c>
    </row>
    <row r="422" spans="1:2" x14ac:dyDescent="0.3">
      <c r="A422" s="20">
        <v>45419.925000000003</v>
      </c>
      <c r="B422" s="17">
        <v>66.952982000000006</v>
      </c>
    </row>
    <row r="423" spans="1:2" x14ac:dyDescent="0.3">
      <c r="A423" s="20">
        <v>45419.925693999998</v>
      </c>
      <c r="B423" s="17">
        <v>67.174901000000006</v>
      </c>
    </row>
    <row r="424" spans="1:2" x14ac:dyDescent="0.3">
      <c r="A424" s="20">
        <v>45419.926389</v>
      </c>
      <c r="B424" s="17">
        <v>67.780642</v>
      </c>
    </row>
    <row r="425" spans="1:2" x14ac:dyDescent="0.3">
      <c r="A425" s="20">
        <v>45419.927083000002</v>
      </c>
      <c r="B425" s="17">
        <v>67.259345999999994</v>
      </c>
    </row>
    <row r="426" spans="1:2" x14ac:dyDescent="0.3">
      <c r="A426" s="20">
        <v>45419.927777999997</v>
      </c>
      <c r="B426" s="17">
        <v>67.685056000000003</v>
      </c>
    </row>
    <row r="427" spans="1:2" x14ac:dyDescent="0.3">
      <c r="A427" s="20">
        <v>45419.928472</v>
      </c>
      <c r="B427" s="17">
        <v>67.844307000000001</v>
      </c>
    </row>
    <row r="428" spans="1:2" x14ac:dyDescent="0.3">
      <c r="A428" s="20">
        <v>45419.929167000002</v>
      </c>
      <c r="B428" s="17">
        <v>67.100408999999999</v>
      </c>
    </row>
    <row r="429" spans="1:2" x14ac:dyDescent="0.3">
      <c r="A429" s="20">
        <v>45419.929860999997</v>
      </c>
      <c r="B429" s="17">
        <v>66.924181000000004</v>
      </c>
    </row>
    <row r="430" spans="1:2" x14ac:dyDescent="0.3">
      <c r="A430" s="20">
        <v>45419.930555999999</v>
      </c>
      <c r="B430" s="17">
        <v>66.851421999999999</v>
      </c>
    </row>
    <row r="431" spans="1:2" x14ac:dyDescent="0.3">
      <c r="A431" s="20">
        <v>45419.931250000001</v>
      </c>
      <c r="B431" s="17">
        <v>66.539687999999998</v>
      </c>
    </row>
    <row r="432" spans="1:2" x14ac:dyDescent="0.3">
      <c r="A432" s="20">
        <v>45419.931944000004</v>
      </c>
      <c r="B432" s="17">
        <v>66.987379000000004</v>
      </c>
    </row>
    <row r="433" spans="1:2" x14ac:dyDescent="0.3">
      <c r="A433" s="20">
        <v>45419.932638999999</v>
      </c>
      <c r="B433" s="17">
        <v>67.212098999999995</v>
      </c>
    </row>
    <row r="434" spans="1:2" x14ac:dyDescent="0.3">
      <c r="A434" s="20">
        <v>45419.933333000001</v>
      </c>
      <c r="B434" s="17">
        <v>66.652885999999995</v>
      </c>
    </row>
    <row r="435" spans="1:2" x14ac:dyDescent="0.3">
      <c r="A435" s="20">
        <v>45419.934028000003</v>
      </c>
      <c r="B435" s="17">
        <v>67.356031999999999</v>
      </c>
    </row>
    <row r="436" spans="1:2" x14ac:dyDescent="0.3">
      <c r="A436" s="20">
        <v>45419.934721999998</v>
      </c>
      <c r="B436" s="17">
        <v>68.105352999999994</v>
      </c>
    </row>
    <row r="437" spans="1:2" x14ac:dyDescent="0.3">
      <c r="A437" s="20">
        <v>45419.935417000001</v>
      </c>
      <c r="B437" s="17">
        <v>67.563102999999998</v>
      </c>
    </row>
    <row r="438" spans="1:2" x14ac:dyDescent="0.3">
      <c r="A438" s="20">
        <v>45419.936111000003</v>
      </c>
      <c r="B438" s="17">
        <v>67.075068000000002</v>
      </c>
    </row>
    <row r="439" spans="1:2" x14ac:dyDescent="0.3">
      <c r="A439" s="20">
        <v>45419.936805999998</v>
      </c>
      <c r="B439" s="17">
        <v>67.607462999999996</v>
      </c>
    </row>
    <row r="440" spans="1:2" x14ac:dyDescent="0.3">
      <c r="A440" s="20">
        <v>45419.9375</v>
      </c>
      <c r="B440" s="17">
        <v>67.617626000000001</v>
      </c>
    </row>
    <row r="441" spans="1:2" x14ac:dyDescent="0.3">
      <c r="A441" s="20">
        <v>45419.938194000002</v>
      </c>
      <c r="B441" s="17">
        <v>68.499615000000006</v>
      </c>
    </row>
    <row r="442" spans="1:2" x14ac:dyDescent="0.3">
      <c r="A442" s="20">
        <v>45419.938888999997</v>
      </c>
      <c r="B442" s="17">
        <v>66.242904999999993</v>
      </c>
    </row>
    <row r="443" spans="1:2" x14ac:dyDescent="0.3">
      <c r="A443" s="20">
        <v>45419.939582999999</v>
      </c>
      <c r="B443" s="17">
        <v>66.490838999999994</v>
      </c>
    </row>
    <row r="444" spans="1:2" x14ac:dyDescent="0.3">
      <c r="A444" s="20">
        <v>45419.940278000002</v>
      </c>
      <c r="B444" s="17">
        <v>67.309150000000002</v>
      </c>
    </row>
    <row r="445" spans="1:2" x14ac:dyDescent="0.3">
      <c r="A445" s="20">
        <v>45419.940971999997</v>
      </c>
      <c r="B445" s="17">
        <v>67.297124999999994</v>
      </c>
    </row>
    <row r="446" spans="1:2" x14ac:dyDescent="0.3">
      <c r="A446" s="20">
        <v>45419.941666999999</v>
      </c>
      <c r="B446" s="17">
        <v>66.308047000000002</v>
      </c>
    </row>
    <row r="447" spans="1:2" x14ac:dyDescent="0.3">
      <c r="A447" s="20">
        <v>45419.942361000001</v>
      </c>
      <c r="B447" s="17">
        <v>66.729984000000002</v>
      </c>
    </row>
    <row r="448" spans="1:2" x14ac:dyDescent="0.3">
      <c r="A448" s="20">
        <v>45419.943055999996</v>
      </c>
      <c r="B448" s="17">
        <v>67.008307000000002</v>
      </c>
    </row>
    <row r="449" spans="1:2" x14ac:dyDescent="0.3">
      <c r="A449" s="20">
        <v>45419.943749999999</v>
      </c>
      <c r="B449" s="17">
        <v>66.211798999999999</v>
      </c>
    </row>
    <row r="450" spans="1:2" x14ac:dyDescent="0.3">
      <c r="A450" s="20">
        <v>45419.944444000001</v>
      </c>
      <c r="B450" s="17">
        <v>67.111555999999993</v>
      </c>
    </row>
    <row r="451" spans="1:2" x14ac:dyDescent="0.3">
      <c r="A451" s="20">
        <v>45419.945139000003</v>
      </c>
      <c r="B451" s="17">
        <v>66.392159000000007</v>
      </c>
    </row>
    <row r="452" spans="1:2" x14ac:dyDescent="0.3">
      <c r="A452" s="20">
        <v>45419.945832999998</v>
      </c>
      <c r="B452" s="17">
        <v>67.022108000000003</v>
      </c>
    </row>
    <row r="453" spans="1:2" x14ac:dyDescent="0.3">
      <c r="A453" s="20">
        <v>45419.946528</v>
      </c>
      <c r="B453" s="17">
        <v>66.868708999999996</v>
      </c>
    </row>
    <row r="454" spans="1:2" x14ac:dyDescent="0.3">
      <c r="A454" s="20">
        <v>45419.947222000003</v>
      </c>
      <c r="B454" s="17">
        <v>66.995160999999996</v>
      </c>
    </row>
    <row r="455" spans="1:2" x14ac:dyDescent="0.3">
      <c r="A455" s="20">
        <v>45419.947916999998</v>
      </c>
      <c r="B455" s="17">
        <v>66.506978000000004</v>
      </c>
    </row>
    <row r="456" spans="1:2" x14ac:dyDescent="0.3">
      <c r="A456" s="20">
        <v>45419.948611</v>
      </c>
      <c r="B456" s="17">
        <v>66.877184999999997</v>
      </c>
    </row>
    <row r="457" spans="1:2" x14ac:dyDescent="0.3">
      <c r="A457" s="20">
        <v>45419.949306000002</v>
      </c>
      <c r="B457" s="17">
        <v>67.244794999999996</v>
      </c>
    </row>
    <row r="458" spans="1:2" x14ac:dyDescent="0.3">
      <c r="A458" s="20">
        <v>45419.95</v>
      </c>
      <c r="B458" s="17">
        <v>66.618758999999997</v>
      </c>
    </row>
    <row r="459" spans="1:2" x14ac:dyDescent="0.3">
      <c r="A459" s="20">
        <v>45419.950693999999</v>
      </c>
      <c r="B459" s="17">
        <v>67.180081999999999</v>
      </c>
    </row>
    <row r="460" spans="1:2" x14ac:dyDescent="0.3">
      <c r="A460" s="20">
        <v>45419.951389000002</v>
      </c>
      <c r="B460" s="17">
        <v>67.224485999999999</v>
      </c>
    </row>
    <row r="461" spans="1:2" x14ac:dyDescent="0.3">
      <c r="A461" s="20">
        <v>45419.952082999996</v>
      </c>
      <c r="B461" s="17">
        <v>66.584198000000001</v>
      </c>
    </row>
    <row r="462" spans="1:2" x14ac:dyDescent="0.3">
      <c r="A462" s="20">
        <v>45419.952777999999</v>
      </c>
      <c r="B462" s="17">
        <v>66.397249000000002</v>
      </c>
    </row>
    <row r="463" spans="1:2" x14ac:dyDescent="0.3">
      <c r="A463" s="20">
        <v>45419.953472000001</v>
      </c>
      <c r="B463" s="17">
        <v>67.93056</v>
      </c>
    </row>
    <row r="464" spans="1:2" x14ac:dyDescent="0.3">
      <c r="A464" s="20">
        <v>45419.954167000004</v>
      </c>
      <c r="B464" s="17">
        <v>66.687230999999997</v>
      </c>
    </row>
    <row r="465" spans="1:2" x14ac:dyDescent="0.3">
      <c r="A465" s="20">
        <v>45419.954860999998</v>
      </c>
      <c r="B465" s="17">
        <v>65.702098000000007</v>
      </c>
    </row>
    <row r="466" spans="1:2" x14ac:dyDescent="0.3">
      <c r="A466" s="20">
        <v>45419.955556000001</v>
      </c>
      <c r="B466" s="17">
        <v>67.163006999999993</v>
      </c>
    </row>
    <row r="467" spans="1:2" x14ac:dyDescent="0.3">
      <c r="A467" s="20">
        <v>45419.956250000003</v>
      </c>
      <c r="B467" s="17">
        <v>66.827986999999993</v>
      </c>
    </row>
    <row r="468" spans="1:2" x14ac:dyDescent="0.3">
      <c r="A468" s="20">
        <v>45419.956943999998</v>
      </c>
      <c r="B468" s="17">
        <v>67.513638</v>
      </c>
    </row>
    <row r="469" spans="1:2" x14ac:dyDescent="0.3">
      <c r="A469" s="20">
        <v>45419.957639</v>
      </c>
      <c r="B469" s="17">
        <v>67.010959999999997</v>
      </c>
    </row>
    <row r="470" spans="1:2" x14ac:dyDescent="0.3">
      <c r="A470" s="20">
        <v>45419.958333000002</v>
      </c>
      <c r="B470" s="17">
        <v>66.861998999999997</v>
      </c>
    </row>
    <row r="471" spans="1:2" x14ac:dyDescent="0.3">
      <c r="A471" s="20">
        <v>45419.959027999997</v>
      </c>
      <c r="B471" s="17">
        <v>67.223849999999999</v>
      </c>
    </row>
    <row r="472" spans="1:2" x14ac:dyDescent="0.3">
      <c r="A472" s="20">
        <v>45419.959722</v>
      </c>
      <c r="B472" s="17">
        <v>66.437916000000001</v>
      </c>
    </row>
    <row r="473" spans="1:2" x14ac:dyDescent="0.3">
      <c r="A473" s="20">
        <v>45419.960417000002</v>
      </c>
      <c r="B473" s="17">
        <v>68.035272000000006</v>
      </c>
    </row>
    <row r="474" spans="1:2" x14ac:dyDescent="0.3">
      <c r="A474" s="20">
        <v>45419.961110999997</v>
      </c>
      <c r="B474" s="17">
        <v>66.593211999999994</v>
      </c>
    </row>
    <row r="475" spans="1:2" x14ac:dyDescent="0.3">
      <c r="A475" s="20">
        <v>45419.961805999999</v>
      </c>
      <c r="B475" s="17">
        <v>65.756528000000003</v>
      </c>
    </row>
    <row r="476" spans="1:2" x14ac:dyDescent="0.3">
      <c r="A476" s="20">
        <v>45419.962500000001</v>
      </c>
      <c r="B476" s="17">
        <v>67.636059000000003</v>
      </c>
    </row>
    <row r="477" spans="1:2" x14ac:dyDescent="0.3">
      <c r="A477" s="20">
        <v>45419.963194000004</v>
      </c>
      <c r="B477" s="17">
        <v>66.515754999999999</v>
      </c>
    </row>
    <row r="478" spans="1:2" x14ac:dyDescent="0.3">
      <c r="A478" s="20">
        <v>45419.963888999999</v>
      </c>
      <c r="B478" s="17">
        <v>67.24194</v>
      </c>
    </row>
    <row r="479" spans="1:2" x14ac:dyDescent="0.3">
      <c r="A479" s="20">
        <v>45419.964583000001</v>
      </c>
      <c r="B479" s="17">
        <v>67.261076000000003</v>
      </c>
    </row>
    <row r="480" spans="1:2" x14ac:dyDescent="0.3">
      <c r="A480" s="20">
        <v>45419.965278000003</v>
      </c>
      <c r="B480" s="17">
        <v>66.224721000000002</v>
      </c>
    </row>
    <row r="481" spans="1:2" x14ac:dyDescent="0.3">
      <c r="A481" s="20">
        <v>45419.965971999998</v>
      </c>
      <c r="B481" s="17">
        <v>67.244432000000003</v>
      </c>
    </row>
    <row r="482" spans="1:2" x14ac:dyDescent="0.3">
      <c r="A482" s="20">
        <v>45419.966667000001</v>
      </c>
      <c r="B482" s="17">
        <v>67.206912000000003</v>
      </c>
    </row>
    <row r="483" spans="1:2" x14ac:dyDescent="0.3">
      <c r="A483" s="20">
        <v>45419.967361000003</v>
      </c>
      <c r="B483" s="17">
        <v>67.614844000000005</v>
      </c>
    </row>
    <row r="484" spans="1:2" x14ac:dyDescent="0.3">
      <c r="A484" s="20">
        <v>45419.968055999998</v>
      </c>
      <c r="B484" s="17">
        <v>69.300669999999997</v>
      </c>
    </row>
    <row r="485" spans="1:2" x14ac:dyDescent="0.3">
      <c r="A485" s="20">
        <v>45419.96875</v>
      </c>
      <c r="B485" s="17">
        <v>69.417173000000005</v>
      </c>
    </row>
    <row r="486" spans="1:2" x14ac:dyDescent="0.3">
      <c r="A486" s="20">
        <v>45419.969444000002</v>
      </c>
      <c r="B486" s="17">
        <v>69.167473000000001</v>
      </c>
    </row>
    <row r="487" spans="1:2" x14ac:dyDescent="0.3">
      <c r="A487" s="20">
        <v>45419.970138999997</v>
      </c>
      <c r="B487" s="17">
        <v>69.456297000000006</v>
      </c>
    </row>
    <row r="488" spans="1:2" x14ac:dyDescent="0.3">
      <c r="A488" s="20">
        <v>45419.970832999999</v>
      </c>
      <c r="B488" s="17">
        <v>69.052222</v>
      </c>
    </row>
    <row r="489" spans="1:2" x14ac:dyDescent="0.3">
      <c r="A489" s="20">
        <v>45419.971528000002</v>
      </c>
      <c r="B489" s="17">
        <v>68.636771999999993</v>
      </c>
    </row>
    <row r="490" spans="1:2" x14ac:dyDescent="0.3">
      <c r="A490" s="20">
        <v>45419.972221999997</v>
      </c>
      <c r="B490" s="17">
        <v>70.111569000000003</v>
      </c>
    </row>
    <row r="491" spans="1:2" x14ac:dyDescent="0.3">
      <c r="A491" s="20">
        <v>45419.972916999999</v>
      </c>
      <c r="B491" s="17">
        <v>69.998160999999996</v>
      </c>
    </row>
    <row r="492" spans="1:2" x14ac:dyDescent="0.3">
      <c r="A492" s="20">
        <v>45419.973611000001</v>
      </c>
      <c r="B492" s="17">
        <v>69.257728999999998</v>
      </c>
    </row>
    <row r="493" spans="1:2" x14ac:dyDescent="0.3">
      <c r="A493" s="20">
        <v>45419.974305999996</v>
      </c>
      <c r="B493" s="17">
        <v>68.727842999999993</v>
      </c>
    </row>
    <row r="494" spans="1:2" x14ac:dyDescent="0.3">
      <c r="A494" s="20">
        <v>45419.974999999999</v>
      </c>
      <c r="B494" s="17">
        <v>69.806229999999999</v>
      </c>
    </row>
    <row r="495" spans="1:2" x14ac:dyDescent="0.3">
      <c r="A495" s="20">
        <v>45419.975694000001</v>
      </c>
      <c r="B495" s="17">
        <v>69.485917999999998</v>
      </c>
    </row>
    <row r="496" spans="1:2" x14ac:dyDescent="0.3">
      <c r="A496" s="20">
        <v>45419.976389000003</v>
      </c>
      <c r="B496" s="17">
        <v>69.516313999999994</v>
      </c>
    </row>
    <row r="497" spans="1:2" x14ac:dyDescent="0.3">
      <c r="A497" s="20">
        <v>45419.977082999998</v>
      </c>
      <c r="B497" s="17">
        <v>68.620006000000004</v>
      </c>
    </row>
    <row r="498" spans="1:2" x14ac:dyDescent="0.3">
      <c r="A498" s="20">
        <v>45419.977778</v>
      </c>
      <c r="B498" s="17">
        <v>69.024716999999995</v>
      </c>
    </row>
    <row r="499" spans="1:2" x14ac:dyDescent="0.3">
      <c r="A499" s="20">
        <v>45419.978472000003</v>
      </c>
      <c r="B499" s="17">
        <v>68.759685000000005</v>
      </c>
    </row>
    <row r="500" spans="1:2" x14ac:dyDescent="0.3">
      <c r="A500" s="20">
        <v>45419.979166999998</v>
      </c>
      <c r="B500" s="17">
        <v>68.575160999999994</v>
      </c>
    </row>
    <row r="501" spans="1:2" x14ac:dyDescent="0.3">
      <c r="A501" s="20">
        <v>45419.979861</v>
      </c>
      <c r="B501" s="17">
        <v>69.744369000000006</v>
      </c>
    </row>
    <row r="502" spans="1:2" x14ac:dyDescent="0.3">
      <c r="A502" s="20">
        <v>45419.980556000002</v>
      </c>
      <c r="B502" s="17">
        <v>68.881653999999997</v>
      </c>
    </row>
    <row r="503" spans="1:2" x14ac:dyDescent="0.3">
      <c r="A503" s="20">
        <v>45419.981249999997</v>
      </c>
      <c r="B503" s="17">
        <v>69.756069999999994</v>
      </c>
    </row>
    <row r="504" spans="1:2" x14ac:dyDescent="0.3">
      <c r="A504" s="20">
        <v>45419.981943999999</v>
      </c>
      <c r="B504" s="17">
        <v>68.873310000000004</v>
      </c>
    </row>
    <row r="505" spans="1:2" x14ac:dyDescent="0.3">
      <c r="A505" s="20">
        <v>45419.982639000002</v>
      </c>
      <c r="B505" s="17">
        <v>69.013693000000004</v>
      </c>
    </row>
    <row r="506" spans="1:2" x14ac:dyDescent="0.3">
      <c r="A506" s="20">
        <v>45419.983332999996</v>
      </c>
      <c r="B506" s="17">
        <v>68.723425000000006</v>
      </c>
    </row>
    <row r="507" spans="1:2" x14ac:dyDescent="0.3">
      <c r="A507" s="20">
        <v>45419.984027999999</v>
      </c>
      <c r="B507" s="17">
        <v>68.249604000000005</v>
      </c>
    </row>
    <row r="508" spans="1:2" x14ac:dyDescent="0.3">
      <c r="A508" s="20">
        <v>45419.984722000001</v>
      </c>
      <c r="B508" s="17">
        <v>69.442029000000005</v>
      </c>
    </row>
    <row r="509" spans="1:2" x14ac:dyDescent="0.3">
      <c r="A509" s="20">
        <v>45419.985417000004</v>
      </c>
      <c r="B509" s="17">
        <v>68.118864000000002</v>
      </c>
    </row>
    <row r="510" spans="1:2" x14ac:dyDescent="0.3">
      <c r="A510" s="20">
        <v>45419.986110999998</v>
      </c>
      <c r="B510" s="17">
        <v>68.422477000000001</v>
      </c>
    </row>
    <row r="511" spans="1:2" x14ac:dyDescent="0.3">
      <c r="A511" s="20">
        <v>45419.986806000001</v>
      </c>
      <c r="B511" s="17">
        <v>68.798634000000007</v>
      </c>
    </row>
    <row r="512" spans="1:2" x14ac:dyDescent="0.3">
      <c r="A512" s="20">
        <v>45419.987500000003</v>
      </c>
      <c r="B512" s="17">
        <v>69.151803999999998</v>
      </c>
    </row>
    <row r="513" spans="1:2" x14ac:dyDescent="0.3">
      <c r="A513" s="20">
        <v>45419.988193999998</v>
      </c>
      <c r="B513" s="17">
        <v>69.717431000000005</v>
      </c>
    </row>
    <row r="514" spans="1:2" x14ac:dyDescent="0.3">
      <c r="A514" s="20">
        <v>45419.988889</v>
      </c>
      <c r="B514" s="17">
        <v>68.733373</v>
      </c>
    </row>
    <row r="515" spans="1:2" x14ac:dyDescent="0.3">
      <c r="A515" s="20">
        <v>45419.989583000002</v>
      </c>
      <c r="B515" s="17">
        <v>67.807705999999996</v>
      </c>
    </row>
    <row r="516" spans="1:2" x14ac:dyDescent="0.3">
      <c r="A516" s="20">
        <v>45419.990277999997</v>
      </c>
      <c r="B516" s="17">
        <v>70.434229999999999</v>
      </c>
    </row>
    <row r="517" spans="1:2" x14ac:dyDescent="0.3">
      <c r="A517" s="20">
        <v>45419.990972</v>
      </c>
      <c r="B517" s="17">
        <v>69.675768000000005</v>
      </c>
    </row>
    <row r="518" spans="1:2" x14ac:dyDescent="0.3">
      <c r="A518" s="20">
        <v>45419.991667000002</v>
      </c>
      <c r="B518" s="17">
        <v>68.696001999999993</v>
      </c>
    </row>
    <row r="519" spans="1:2" x14ac:dyDescent="0.3">
      <c r="A519" s="20">
        <v>45419.992360999997</v>
      </c>
      <c r="B519" s="17">
        <v>69.158398000000005</v>
      </c>
    </row>
    <row r="520" spans="1:2" x14ac:dyDescent="0.3">
      <c r="A520" s="20">
        <v>45419.993055999999</v>
      </c>
      <c r="B520" s="17">
        <v>69.38158</v>
      </c>
    </row>
    <row r="521" spans="1:2" x14ac:dyDescent="0.3">
      <c r="A521" s="20">
        <v>45419.993750000001</v>
      </c>
      <c r="B521" s="17">
        <v>69.840633999999994</v>
      </c>
    </row>
    <row r="522" spans="1:2" x14ac:dyDescent="0.3">
      <c r="A522" s="20">
        <v>45419.994444000004</v>
      </c>
      <c r="B522" s="17">
        <v>68.710213999999993</v>
      </c>
    </row>
    <row r="523" spans="1:2" x14ac:dyDescent="0.3">
      <c r="A523" s="20">
        <v>45419.995138999999</v>
      </c>
      <c r="B523" s="17">
        <v>69.108447999999996</v>
      </c>
    </row>
    <row r="524" spans="1:2" x14ac:dyDescent="0.3">
      <c r="A524" s="20">
        <v>45419.995833000001</v>
      </c>
      <c r="B524" s="17">
        <v>68.763720000000006</v>
      </c>
    </row>
    <row r="525" spans="1:2" x14ac:dyDescent="0.3">
      <c r="A525" s="20">
        <v>45419.996528000003</v>
      </c>
      <c r="B525" s="17">
        <v>69.461899000000003</v>
      </c>
    </row>
    <row r="526" spans="1:2" x14ac:dyDescent="0.3">
      <c r="A526" s="20">
        <v>45419.997221999998</v>
      </c>
      <c r="B526" s="17">
        <v>69.023492000000005</v>
      </c>
    </row>
    <row r="527" spans="1:2" x14ac:dyDescent="0.3">
      <c r="A527" s="20">
        <v>45419.997917000001</v>
      </c>
      <c r="B527" s="17">
        <v>68.625597999999997</v>
      </c>
    </row>
    <row r="528" spans="1:2" x14ac:dyDescent="0.3">
      <c r="A528" s="20">
        <v>45419.998611000003</v>
      </c>
      <c r="B528" s="17">
        <v>68.365817000000007</v>
      </c>
    </row>
    <row r="529" spans="1:2" x14ac:dyDescent="0.3">
      <c r="A529" s="20">
        <v>45419.999305999998</v>
      </c>
      <c r="B529" s="17">
        <v>67.745013</v>
      </c>
    </row>
    <row r="530" spans="1:2" x14ac:dyDescent="0.3">
      <c r="A530" s="20">
        <v>45420</v>
      </c>
      <c r="B530" s="17">
        <v>68.852870999999993</v>
      </c>
    </row>
    <row r="531" spans="1:2" x14ac:dyDescent="0.3">
      <c r="A531" s="20">
        <v>45420.000694000002</v>
      </c>
      <c r="B531" s="17">
        <v>69.537796999999998</v>
      </c>
    </row>
    <row r="532" spans="1:2" x14ac:dyDescent="0.3">
      <c r="A532" s="20">
        <v>45420.001388999997</v>
      </c>
      <c r="B532" s="17">
        <v>69.091693000000006</v>
      </c>
    </row>
    <row r="533" spans="1:2" x14ac:dyDescent="0.3">
      <c r="A533" s="20">
        <v>45420.002082999999</v>
      </c>
      <c r="B533" s="17">
        <v>69.308785</v>
      </c>
    </row>
    <row r="534" spans="1:2" x14ac:dyDescent="0.3">
      <c r="A534" s="20">
        <v>45420.002778000002</v>
      </c>
      <c r="B534" s="17">
        <v>69.108654999999999</v>
      </c>
    </row>
    <row r="535" spans="1:2" x14ac:dyDescent="0.3">
      <c r="A535" s="20">
        <v>45420.003471999997</v>
      </c>
      <c r="B535" s="17">
        <v>67.891542000000001</v>
      </c>
    </row>
    <row r="536" spans="1:2" x14ac:dyDescent="0.3">
      <c r="A536" s="20">
        <v>45420.004166999999</v>
      </c>
      <c r="B536" s="17">
        <v>68.362893</v>
      </c>
    </row>
    <row r="537" spans="1:2" x14ac:dyDescent="0.3">
      <c r="A537" s="20">
        <v>45420.004861000001</v>
      </c>
      <c r="B537" s="17">
        <v>68.137928000000002</v>
      </c>
    </row>
    <row r="538" spans="1:2" x14ac:dyDescent="0.3">
      <c r="A538" s="20">
        <v>45420.005555999996</v>
      </c>
      <c r="B538" s="17">
        <v>69.060398000000006</v>
      </c>
    </row>
    <row r="539" spans="1:2" x14ac:dyDescent="0.3">
      <c r="A539" s="20">
        <v>45420.006249999999</v>
      </c>
      <c r="B539" s="17">
        <v>69.502723000000003</v>
      </c>
    </row>
    <row r="540" spans="1:2" x14ac:dyDescent="0.3">
      <c r="A540" s="20">
        <v>45420.006944000001</v>
      </c>
      <c r="B540" s="17">
        <v>68.945053000000001</v>
      </c>
    </row>
    <row r="541" spans="1:2" x14ac:dyDescent="0.3">
      <c r="A541" s="20">
        <v>45420.007639000003</v>
      </c>
      <c r="B541" s="17">
        <v>68.759403000000006</v>
      </c>
    </row>
    <row r="542" spans="1:2" x14ac:dyDescent="0.3">
      <c r="A542" s="20">
        <v>45420.008332999998</v>
      </c>
      <c r="B542" s="17">
        <v>69.610292999999999</v>
      </c>
    </row>
    <row r="543" spans="1:2" x14ac:dyDescent="0.3">
      <c r="A543" s="20">
        <v>45420.009028</v>
      </c>
      <c r="B543" s="17">
        <v>68.066507000000001</v>
      </c>
    </row>
    <row r="544" spans="1:2" x14ac:dyDescent="0.3">
      <c r="A544" s="20">
        <v>45420.009722000003</v>
      </c>
      <c r="B544" s="17">
        <v>68.476097999999993</v>
      </c>
    </row>
    <row r="545" spans="1:2" x14ac:dyDescent="0.3">
      <c r="A545" s="20">
        <v>45420.010416999998</v>
      </c>
      <c r="B545" s="17">
        <v>68.971689999999995</v>
      </c>
    </row>
    <row r="546" spans="1:2" x14ac:dyDescent="0.3">
      <c r="A546" s="20">
        <v>45420.011111</v>
      </c>
      <c r="B546" s="17">
        <v>68.182980999999998</v>
      </c>
    </row>
    <row r="547" spans="1:2" x14ac:dyDescent="0.3">
      <c r="A547" s="20">
        <v>45420.011806000002</v>
      </c>
      <c r="B547" s="17">
        <v>67.787504999999996</v>
      </c>
    </row>
    <row r="548" spans="1:2" x14ac:dyDescent="0.3">
      <c r="A548" s="20">
        <v>45420.012499999997</v>
      </c>
      <c r="B548" s="17">
        <v>68.294875000000005</v>
      </c>
    </row>
    <row r="549" spans="1:2" x14ac:dyDescent="0.3">
      <c r="A549" s="20">
        <v>45420.013193999999</v>
      </c>
      <c r="B549" s="17">
        <v>70.284390999999999</v>
      </c>
    </row>
    <row r="550" spans="1:2" x14ac:dyDescent="0.3">
      <c r="A550" s="20">
        <v>45420.013889000002</v>
      </c>
      <c r="B550" s="17">
        <v>68.971829999999997</v>
      </c>
    </row>
    <row r="551" spans="1:2" x14ac:dyDescent="0.3">
      <c r="A551" s="20">
        <v>45420.014582999996</v>
      </c>
      <c r="B551" s="17">
        <v>69.293886000000001</v>
      </c>
    </row>
    <row r="552" spans="1:2" x14ac:dyDescent="0.3">
      <c r="A552" s="20">
        <v>45420.015277999999</v>
      </c>
      <c r="B552" s="17">
        <v>69.462429999999998</v>
      </c>
    </row>
    <row r="553" spans="1:2" x14ac:dyDescent="0.3">
      <c r="A553" s="20">
        <v>45420.015972000001</v>
      </c>
      <c r="B553" s="17">
        <v>69.216701999999998</v>
      </c>
    </row>
    <row r="554" spans="1:2" x14ac:dyDescent="0.3">
      <c r="A554" s="20">
        <v>45420.016667000004</v>
      </c>
      <c r="B554" s="17">
        <v>68.560826000000006</v>
      </c>
    </row>
    <row r="555" spans="1:2" x14ac:dyDescent="0.3">
      <c r="A555" s="20">
        <v>45420.017360999998</v>
      </c>
      <c r="B555" s="17">
        <v>68.947246000000007</v>
      </c>
    </row>
    <row r="556" spans="1:2" x14ac:dyDescent="0.3">
      <c r="A556" s="20">
        <v>45420.018056000001</v>
      </c>
      <c r="B556" s="17">
        <v>68.203383000000002</v>
      </c>
    </row>
    <row r="557" spans="1:2" x14ac:dyDescent="0.3">
      <c r="A557" s="20">
        <v>45420.018750000003</v>
      </c>
      <c r="B557" s="17">
        <v>68.630551999999994</v>
      </c>
    </row>
    <row r="558" spans="1:2" x14ac:dyDescent="0.3">
      <c r="A558" s="20">
        <v>45420.019443999998</v>
      </c>
      <c r="B558" s="17">
        <v>69.625626999999994</v>
      </c>
    </row>
    <row r="559" spans="1:2" x14ac:dyDescent="0.3">
      <c r="A559" s="20">
        <v>45420.020139</v>
      </c>
      <c r="B559" s="17">
        <v>69.411869999999993</v>
      </c>
    </row>
    <row r="560" spans="1:2" x14ac:dyDescent="0.3">
      <c r="A560" s="20">
        <v>45420.020833000002</v>
      </c>
      <c r="B560" s="17">
        <v>67.360365999999999</v>
      </c>
    </row>
    <row r="561" spans="1:2" x14ac:dyDescent="0.3">
      <c r="A561" s="20">
        <v>45420.021527999997</v>
      </c>
      <c r="B561" s="17">
        <v>68.515131999999994</v>
      </c>
    </row>
    <row r="562" spans="1:2" x14ac:dyDescent="0.3">
      <c r="A562" s="20">
        <v>45420.022222</v>
      </c>
      <c r="B562" s="17">
        <v>68.767353999999997</v>
      </c>
    </row>
    <row r="563" spans="1:2" x14ac:dyDescent="0.3">
      <c r="A563" s="20">
        <v>45420.022917000002</v>
      </c>
      <c r="B563" s="17">
        <v>69.212356999999997</v>
      </c>
    </row>
    <row r="564" spans="1:2" x14ac:dyDescent="0.3">
      <c r="A564" s="20">
        <v>45420.023610999997</v>
      </c>
      <c r="B564" s="17">
        <v>69.222313</v>
      </c>
    </row>
    <row r="565" spans="1:2" x14ac:dyDescent="0.3">
      <c r="A565" s="20">
        <v>45420.024305999999</v>
      </c>
      <c r="B565" s="17">
        <v>69.673451999999997</v>
      </c>
    </row>
    <row r="566" spans="1:2" x14ac:dyDescent="0.3">
      <c r="A566" s="20">
        <v>45420.025000000001</v>
      </c>
      <c r="B566" s="17">
        <v>69.6477</v>
      </c>
    </row>
    <row r="567" spans="1:2" x14ac:dyDescent="0.3">
      <c r="A567" s="20">
        <v>45420.025694000004</v>
      </c>
      <c r="B567" s="17">
        <v>68.183605999999997</v>
      </c>
    </row>
    <row r="568" spans="1:2" x14ac:dyDescent="0.3">
      <c r="A568" s="20">
        <v>45420.026388999999</v>
      </c>
      <c r="B568" s="17">
        <v>68.065332999999995</v>
      </c>
    </row>
    <row r="569" spans="1:2" x14ac:dyDescent="0.3">
      <c r="A569" s="20">
        <v>45420.027083000001</v>
      </c>
      <c r="B569" s="17">
        <v>68.393624000000003</v>
      </c>
    </row>
    <row r="570" spans="1:2" x14ac:dyDescent="0.3">
      <c r="A570" s="20">
        <v>45420.027778000003</v>
      </c>
      <c r="B570" s="17">
        <v>68.741404000000003</v>
      </c>
    </row>
    <row r="571" spans="1:2" x14ac:dyDescent="0.3">
      <c r="A571" s="20">
        <v>45420.028471999998</v>
      </c>
      <c r="B571" s="17">
        <v>69.689077999999995</v>
      </c>
    </row>
    <row r="572" spans="1:2" x14ac:dyDescent="0.3">
      <c r="A572" s="20">
        <v>45420.029167000001</v>
      </c>
      <c r="B572" s="17">
        <v>69.360309000000001</v>
      </c>
    </row>
    <row r="573" spans="1:2" x14ac:dyDescent="0.3">
      <c r="A573" s="20">
        <v>45420.029861000003</v>
      </c>
      <c r="B573" s="17">
        <v>69.721778</v>
      </c>
    </row>
    <row r="574" spans="1:2" x14ac:dyDescent="0.3">
      <c r="A574" s="20">
        <v>45420.030555999998</v>
      </c>
      <c r="B574" s="17">
        <v>68.708578000000003</v>
      </c>
    </row>
    <row r="575" spans="1:2" x14ac:dyDescent="0.3">
      <c r="A575" s="20">
        <v>45420.03125</v>
      </c>
      <c r="B575" s="17">
        <v>70.866802000000007</v>
      </c>
    </row>
    <row r="576" spans="1:2" x14ac:dyDescent="0.3">
      <c r="A576" s="20">
        <v>45420.031944000002</v>
      </c>
      <c r="B576" s="17">
        <v>68.306246999999999</v>
      </c>
    </row>
    <row r="577" spans="1:2" x14ac:dyDescent="0.3">
      <c r="A577" s="20">
        <v>45420.032638999997</v>
      </c>
      <c r="B577" s="17">
        <v>67.211061000000001</v>
      </c>
    </row>
    <row r="578" spans="1:2" x14ac:dyDescent="0.3">
      <c r="A578" s="20">
        <v>45420.033332999999</v>
      </c>
      <c r="B578" s="17">
        <v>68.717316999999994</v>
      </c>
    </row>
    <row r="579" spans="1:2" x14ac:dyDescent="0.3">
      <c r="A579" s="20">
        <v>45420.034028000002</v>
      </c>
      <c r="B579" s="17">
        <v>70.125113999999996</v>
      </c>
    </row>
    <row r="580" spans="1:2" x14ac:dyDescent="0.3">
      <c r="A580" s="20">
        <v>45420.034721999997</v>
      </c>
      <c r="B580" s="17">
        <v>68.650304000000006</v>
      </c>
    </row>
    <row r="581" spans="1:2" x14ac:dyDescent="0.3">
      <c r="A581" s="20">
        <v>45420.035416999999</v>
      </c>
      <c r="B581" s="17">
        <v>68.420107999999999</v>
      </c>
    </row>
    <row r="582" spans="1:2" x14ac:dyDescent="0.3">
      <c r="A582" s="20">
        <v>45420.036111000001</v>
      </c>
      <c r="B582" s="17">
        <v>68.345584000000002</v>
      </c>
    </row>
    <row r="583" spans="1:2" x14ac:dyDescent="0.3">
      <c r="A583" s="20">
        <v>45420.036805999996</v>
      </c>
      <c r="B583" s="17">
        <v>70.582329000000001</v>
      </c>
    </row>
    <row r="584" spans="1:2" x14ac:dyDescent="0.3">
      <c r="A584" s="20">
        <v>45420.037499999999</v>
      </c>
      <c r="B584" s="17">
        <v>69.197784999999996</v>
      </c>
    </row>
    <row r="585" spans="1:2" x14ac:dyDescent="0.3">
      <c r="A585" s="20">
        <v>45420.038194000001</v>
      </c>
      <c r="B585" s="17">
        <v>67.699426000000003</v>
      </c>
    </row>
    <row r="586" spans="1:2" x14ac:dyDescent="0.3">
      <c r="A586" s="20">
        <v>45420.038889000003</v>
      </c>
      <c r="B586" s="17">
        <v>68.716043999999997</v>
      </c>
    </row>
    <row r="587" spans="1:2" x14ac:dyDescent="0.3">
      <c r="A587" s="20">
        <v>45420.039582999998</v>
      </c>
      <c r="B587" s="17">
        <v>68.574547999999993</v>
      </c>
    </row>
    <row r="588" spans="1:2" x14ac:dyDescent="0.3">
      <c r="A588" s="20">
        <v>45420.040278</v>
      </c>
      <c r="B588" s="17">
        <v>69.218180000000004</v>
      </c>
    </row>
    <row r="589" spans="1:2" x14ac:dyDescent="0.3">
      <c r="A589" s="20">
        <v>45420.040972000003</v>
      </c>
      <c r="B589" s="17">
        <v>68.066625000000002</v>
      </c>
    </row>
    <row r="590" spans="1:2" x14ac:dyDescent="0.3">
      <c r="A590" s="20">
        <v>45420.041666999998</v>
      </c>
      <c r="B590" s="17">
        <v>68.790811000000005</v>
      </c>
    </row>
    <row r="591" spans="1:2" x14ac:dyDescent="0.3">
      <c r="A591" s="20">
        <v>45420.042361</v>
      </c>
      <c r="B591" s="17">
        <v>68.314209000000005</v>
      </c>
    </row>
    <row r="592" spans="1:2" x14ac:dyDescent="0.3">
      <c r="A592" s="20">
        <v>45420.043056000002</v>
      </c>
      <c r="B592" s="17">
        <v>68.514041000000006</v>
      </c>
    </row>
    <row r="593" spans="1:2" x14ac:dyDescent="0.3">
      <c r="A593" s="20">
        <v>45420.043749999997</v>
      </c>
      <c r="B593" s="17">
        <v>68.135164000000003</v>
      </c>
    </row>
    <row r="594" spans="1:2" x14ac:dyDescent="0.3">
      <c r="A594" s="20">
        <v>45420.044443999999</v>
      </c>
      <c r="B594" s="17">
        <v>69.098063999999994</v>
      </c>
    </row>
    <row r="595" spans="1:2" x14ac:dyDescent="0.3">
      <c r="A595" s="20">
        <v>45420.045139000002</v>
      </c>
      <c r="B595" s="17">
        <v>68.698455999999993</v>
      </c>
    </row>
    <row r="596" spans="1:2" x14ac:dyDescent="0.3">
      <c r="A596" s="20">
        <v>45420.045832999996</v>
      </c>
      <c r="B596" s="17">
        <v>68.977374999999995</v>
      </c>
    </row>
    <row r="597" spans="1:2" x14ac:dyDescent="0.3">
      <c r="A597" s="20">
        <v>45420.046527999999</v>
      </c>
      <c r="B597" s="17">
        <v>69.001693000000003</v>
      </c>
    </row>
    <row r="598" spans="1:2" x14ac:dyDescent="0.3">
      <c r="A598" s="20">
        <v>45420.047222000001</v>
      </c>
      <c r="B598" s="17">
        <v>68.396567000000005</v>
      </c>
    </row>
    <row r="599" spans="1:2" x14ac:dyDescent="0.3">
      <c r="A599" s="20">
        <v>45420.047917000004</v>
      </c>
      <c r="B599" s="17">
        <v>69.438445000000002</v>
      </c>
    </row>
    <row r="600" spans="1:2" x14ac:dyDescent="0.3">
      <c r="A600" s="20">
        <v>45420.048610999998</v>
      </c>
      <c r="B600" s="17">
        <v>69.017891000000006</v>
      </c>
    </row>
    <row r="601" spans="1:2" x14ac:dyDescent="0.3">
      <c r="A601" s="20">
        <v>45420.049306000001</v>
      </c>
      <c r="B601" s="17">
        <v>67.401144000000002</v>
      </c>
    </row>
    <row r="602" spans="1:2" x14ac:dyDescent="0.3">
      <c r="A602" s="20">
        <v>45420.05</v>
      </c>
      <c r="B602" s="17">
        <v>70.358349000000004</v>
      </c>
    </row>
    <row r="603" spans="1:2" x14ac:dyDescent="0.3">
      <c r="A603" s="20">
        <v>45420.050693999998</v>
      </c>
      <c r="B603" s="17">
        <v>67.921897999999999</v>
      </c>
    </row>
    <row r="604" spans="1:2" x14ac:dyDescent="0.3">
      <c r="A604" s="20">
        <v>45420.051389</v>
      </c>
      <c r="B604" s="17">
        <v>72.696220999999994</v>
      </c>
    </row>
    <row r="605" spans="1:2" x14ac:dyDescent="0.3">
      <c r="A605" s="20">
        <v>45420.052083000002</v>
      </c>
      <c r="B605" s="17">
        <v>72.708448000000004</v>
      </c>
    </row>
    <row r="606" spans="1:2" x14ac:dyDescent="0.3">
      <c r="A606" s="20">
        <v>45420.052777999997</v>
      </c>
      <c r="B606" s="17">
        <v>72.405618000000004</v>
      </c>
    </row>
    <row r="607" spans="1:2" x14ac:dyDescent="0.3">
      <c r="A607" s="20">
        <v>45420.053472</v>
      </c>
      <c r="B607" s="17">
        <v>72.227931999999996</v>
      </c>
    </row>
    <row r="608" spans="1:2" x14ac:dyDescent="0.3">
      <c r="A608" s="20">
        <v>45420.054167000002</v>
      </c>
      <c r="B608" s="17">
        <v>74.701706000000001</v>
      </c>
    </row>
    <row r="609" spans="1:2" x14ac:dyDescent="0.3">
      <c r="A609" s="20">
        <v>45420.054860999997</v>
      </c>
      <c r="B609" s="17">
        <v>72.437811999999994</v>
      </c>
    </row>
    <row r="610" spans="1:2" x14ac:dyDescent="0.3">
      <c r="A610" s="20">
        <v>45420.055555999999</v>
      </c>
      <c r="B610" s="17">
        <v>74.183850000000007</v>
      </c>
    </row>
    <row r="611" spans="1:2" x14ac:dyDescent="0.3">
      <c r="A611" s="20">
        <v>45420.056250000001</v>
      </c>
      <c r="B611" s="17">
        <v>72.047006999999994</v>
      </c>
    </row>
    <row r="612" spans="1:2" x14ac:dyDescent="0.3">
      <c r="A612" s="20">
        <v>45420.056944000004</v>
      </c>
      <c r="B612" s="17">
        <v>72.399652000000003</v>
      </c>
    </row>
    <row r="613" spans="1:2" x14ac:dyDescent="0.3">
      <c r="A613" s="20">
        <v>45420.057638999999</v>
      </c>
      <c r="B613" s="17">
        <v>71.870852999999997</v>
      </c>
    </row>
    <row r="614" spans="1:2" x14ac:dyDescent="0.3">
      <c r="A614" s="20">
        <v>45420.058333000001</v>
      </c>
      <c r="B614" s="17">
        <v>72.115691999999996</v>
      </c>
    </row>
    <row r="615" spans="1:2" x14ac:dyDescent="0.3">
      <c r="A615" s="20">
        <v>45420.059028000003</v>
      </c>
      <c r="B615" s="17">
        <v>72.686721000000006</v>
      </c>
    </row>
    <row r="616" spans="1:2" x14ac:dyDescent="0.3">
      <c r="A616" s="20">
        <v>45420.059721999998</v>
      </c>
      <c r="B616" s="17">
        <v>72.596473000000003</v>
      </c>
    </row>
    <row r="617" spans="1:2" x14ac:dyDescent="0.3">
      <c r="A617" s="20">
        <v>45420.060417000001</v>
      </c>
      <c r="B617" s="17">
        <v>70.774703000000002</v>
      </c>
    </row>
    <row r="618" spans="1:2" x14ac:dyDescent="0.3">
      <c r="A618" s="20">
        <v>45420.061111000003</v>
      </c>
      <c r="B618" s="17">
        <v>71.834394000000003</v>
      </c>
    </row>
    <row r="619" spans="1:2" x14ac:dyDescent="0.3">
      <c r="A619" s="20">
        <v>45420.061805999998</v>
      </c>
      <c r="B619" s="17">
        <v>71.657267000000004</v>
      </c>
    </row>
    <row r="620" spans="1:2" x14ac:dyDescent="0.3">
      <c r="A620" s="20">
        <v>45420.0625</v>
      </c>
      <c r="B620" s="17">
        <v>73.578881999999993</v>
      </c>
    </row>
    <row r="621" spans="1:2" x14ac:dyDescent="0.3">
      <c r="A621" s="20">
        <v>45420.063194000002</v>
      </c>
      <c r="B621" s="17">
        <v>74.809576000000007</v>
      </c>
    </row>
    <row r="622" spans="1:2" x14ac:dyDescent="0.3">
      <c r="A622" s="20">
        <v>45420.063888999997</v>
      </c>
      <c r="B622" s="17">
        <v>72.632891999999998</v>
      </c>
    </row>
    <row r="623" spans="1:2" x14ac:dyDescent="0.3">
      <c r="A623" s="20">
        <v>45420.064582999999</v>
      </c>
      <c r="B623" s="17">
        <v>71.411427000000003</v>
      </c>
    </row>
    <row r="624" spans="1:2" x14ac:dyDescent="0.3">
      <c r="A624" s="20">
        <v>45420.065278000002</v>
      </c>
      <c r="B624" s="17">
        <v>72.418949999999995</v>
      </c>
    </row>
    <row r="625" spans="1:2" x14ac:dyDescent="0.3">
      <c r="A625" s="20">
        <v>45420.065971999997</v>
      </c>
      <c r="B625" s="17">
        <v>72.974252000000007</v>
      </c>
    </row>
    <row r="626" spans="1:2" x14ac:dyDescent="0.3">
      <c r="A626" s="20">
        <v>45420.066666999999</v>
      </c>
      <c r="B626" s="17">
        <v>73.136770999999996</v>
      </c>
    </row>
    <row r="627" spans="1:2" x14ac:dyDescent="0.3">
      <c r="A627" s="20">
        <v>45420.067361000001</v>
      </c>
      <c r="B627" s="17">
        <v>72.531882999999993</v>
      </c>
    </row>
    <row r="628" spans="1:2" x14ac:dyDescent="0.3">
      <c r="A628" s="20">
        <v>45420.068055999996</v>
      </c>
      <c r="B628" s="17">
        <v>71.346531999999996</v>
      </c>
    </row>
    <row r="629" spans="1:2" x14ac:dyDescent="0.3">
      <c r="A629" s="20">
        <v>45420.068749999999</v>
      </c>
      <c r="B629" s="17">
        <v>72.876467000000005</v>
      </c>
    </row>
    <row r="630" spans="1:2" x14ac:dyDescent="0.3">
      <c r="A630" s="20">
        <v>45420.069444000001</v>
      </c>
      <c r="B630" s="17">
        <v>72.006573000000003</v>
      </c>
    </row>
    <row r="631" spans="1:2" x14ac:dyDescent="0.3">
      <c r="A631" s="20">
        <v>45420.070139000003</v>
      </c>
      <c r="B631" s="17">
        <v>72.581187999999997</v>
      </c>
    </row>
    <row r="632" spans="1:2" x14ac:dyDescent="0.3">
      <c r="A632" s="20">
        <v>45420.070832999998</v>
      </c>
      <c r="B632" s="17">
        <v>72.575192999999999</v>
      </c>
    </row>
    <row r="633" spans="1:2" x14ac:dyDescent="0.3">
      <c r="A633" s="20">
        <v>45420.071528</v>
      </c>
      <c r="B633" s="17">
        <v>71.133888999999996</v>
      </c>
    </row>
    <row r="634" spans="1:2" x14ac:dyDescent="0.3">
      <c r="A634" s="20">
        <v>45420.072222000003</v>
      </c>
      <c r="B634" s="17">
        <v>71.878056000000001</v>
      </c>
    </row>
    <row r="635" spans="1:2" x14ac:dyDescent="0.3">
      <c r="A635" s="20">
        <v>45420.072916999998</v>
      </c>
      <c r="B635" s="17">
        <v>71.610883000000001</v>
      </c>
    </row>
    <row r="636" spans="1:2" x14ac:dyDescent="0.3">
      <c r="A636" s="20">
        <v>45420.073611</v>
      </c>
      <c r="B636" s="17">
        <v>72.706970999999996</v>
      </c>
    </row>
    <row r="637" spans="1:2" x14ac:dyDescent="0.3">
      <c r="A637" s="20">
        <v>45420.074306000002</v>
      </c>
      <c r="B637" s="17">
        <v>72.318392000000003</v>
      </c>
    </row>
    <row r="638" spans="1:2" x14ac:dyDescent="0.3">
      <c r="A638" s="20">
        <v>45420.074999999997</v>
      </c>
      <c r="B638" s="17">
        <v>71.242264000000006</v>
      </c>
    </row>
    <row r="639" spans="1:2" x14ac:dyDescent="0.3">
      <c r="A639" s="20">
        <v>45420.075693999999</v>
      </c>
      <c r="B639" s="17">
        <v>72.555601999999993</v>
      </c>
    </row>
    <row r="640" spans="1:2" x14ac:dyDescent="0.3">
      <c r="A640" s="20">
        <v>45420.076389000002</v>
      </c>
      <c r="B640" s="17">
        <v>72.174603000000005</v>
      </c>
    </row>
    <row r="641" spans="1:2" x14ac:dyDescent="0.3">
      <c r="A641" s="20">
        <v>45420.077082999996</v>
      </c>
      <c r="B641" s="17">
        <v>71.733530999999999</v>
      </c>
    </row>
    <row r="642" spans="1:2" x14ac:dyDescent="0.3">
      <c r="A642" s="20">
        <v>45420.077777999999</v>
      </c>
      <c r="B642" s="17">
        <v>72.281954999999996</v>
      </c>
    </row>
    <row r="643" spans="1:2" x14ac:dyDescent="0.3">
      <c r="A643" s="20">
        <v>45420.078472000001</v>
      </c>
      <c r="B643" s="17">
        <v>71.801749999999998</v>
      </c>
    </row>
    <row r="644" spans="1:2" x14ac:dyDescent="0.3">
      <c r="A644" s="20">
        <v>45420.079167000004</v>
      </c>
      <c r="B644" s="17">
        <v>71.015642999999997</v>
      </c>
    </row>
    <row r="645" spans="1:2" x14ac:dyDescent="0.3">
      <c r="A645" s="20">
        <v>45420.079860999998</v>
      </c>
      <c r="B645" s="17">
        <v>72.814313999999996</v>
      </c>
    </row>
    <row r="646" spans="1:2" x14ac:dyDescent="0.3">
      <c r="A646" s="20">
        <v>45420.080556000001</v>
      </c>
      <c r="B646" s="17">
        <v>72.323704000000006</v>
      </c>
    </row>
    <row r="647" spans="1:2" x14ac:dyDescent="0.3">
      <c r="A647" s="20">
        <v>45420.081250000003</v>
      </c>
      <c r="B647" s="17">
        <v>71.951639</v>
      </c>
    </row>
    <row r="648" spans="1:2" x14ac:dyDescent="0.3">
      <c r="A648" s="20">
        <v>45420.081943999998</v>
      </c>
      <c r="B648" s="17">
        <v>71.814966999999996</v>
      </c>
    </row>
    <row r="649" spans="1:2" x14ac:dyDescent="0.3">
      <c r="A649" s="20">
        <v>45420.082639</v>
      </c>
      <c r="B649" s="17">
        <v>71.966735</v>
      </c>
    </row>
    <row r="650" spans="1:2" x14ac:dyDescent="0.3">
      <c r="A650" s="20">
        <v>45420.083333000002</v>
      </c>
      <c r="B650" s="17">
        <v>71.579562999999993</v>
      </c>
    </row>
    <row r="651" spans="1:2" x14ac:dyDescent="0.3">
      <c r="A651" s="20">
        <v>45420.084027999997</v>
      </c>
      <c r="B651" s="17">
        <v>73.178524999999993</v>
      </c>
    </row>
    <row r="652" spans="1:2" x14ac:dyDescent="0.3">
      <c r="A652" s="20">
        <v>45420.084722</v>
      </c>
      <c r="B652" s="17">
        <v>73.972471999999996</v>
      </c>
    </row>
    <row r="653" spans="1:2" x14ac:dyDescent="0.3">
      <c r="A653" s="20">
        <v>45420.085417000002</v>
      </c>
      <c r="B653" s="17">
        <v>72.428849</v>
      </c>
    </row>
    <row r="654" spans="1:2" x14ac:dyDescent="0.3">
      <c r="A654" s="20">
        <v>45420.086110999997</v>
      </c>
      <c r="B654" s="17">
        <v>71.741045999999997</v>
      </c>
    </row>
    <row r="655" spans="1:2" x14ac:dyDescent="0.3">
      <c r="A655" s="20">
        <v>45420.086805999999</v>
      </c>
      <c r="B655" s="17">
        <v>71.363900000000001</v>
      </c>
    </row>
    <row r="656" spans="1:2" x14ac:dyDescent="0.3">
      <c r="A656" s="20">
        <v>45420.087500000001</v>
      </c>
      <c r="B656" s="17">
        <v>72.035663</v>
      </c>
    </row>
    <row r="657" spans="1:2" x14ac:dyDescent="0.3">
      <c r="A657" s="20">
        <v>45420.088194000004</v>
      </c>
      <c r="B657" s="17">
        <v>73.002512999999993</v>
      </c>
    </row>
    <row r="658" spans="1:2" x14ac:dyDescent="0.3">
      <c r="A658" s="20">
        <v>45420.088888999999</v>
      </c>
      <c r="B658" s="17">
        <v>72.022723999999997</v>
      </c>
    </row>
    <row r="659" spans="1:2" x14ac:dyDescent="0.3">
      <c r="A659" s="20">
        <v>45420.089583000001</v>
      </c>
      <c r="B659" s="17">
        <v>73.166404999999997</v>
      </c>
    </row>
    <row r="660" spans="1:2" x14ac:dyDescent="0.3">
      <c r="A660" s="20">
        <v>45420.090278000003</v>
      </c>
      <c r="B660" s="17">
        <v>71.131998999999993</v>
      </c>
    </row>
    <row r="661" spans="1:2" x14ac:dyDescent="0.3">
      <c r="A661" s="20">
        <v>45420.090971999998</v>
      </c>
      <c r="B661" s="17">
        <v>72.217444</v>
      </c>
    </row>
    <row r="662" spans="1:2" x14ac:dyDescent="0.3">
      <c r="A662" s="20">
        <v>45420.091667000001</v>
      </c>
      <c r="B662" s="17">
        <v>72.312695000000005</v>
      </c>
    </row>
    <row r="663" spans="1:2" x14ac:dyDescent="0.3">
      <c r="A663" s="20">
        <v>45420.092361000003</v>
      </c>
      <c r="B663" s="17">
        <v>71.657756000000006</v>
      </c>
    </row>
    <row r="664" spans="1:2" x14ac:dyDescent="0.3">
      <c r="A664" s="20">
        <v>45420.093055999998</v>
      </c>
      <c r="B664" s="17">
        <v>70.741586999999996</v>
      </c>
    </row>
    <row r="665" spans="1:2" x14ac:dyDescent="0.3">
      <c r="A665" s="20">
        <v>45420.09375</v>
      </c>
      <c r="B665" s="17">
        <v>71.350550999999996</v>
      </c>
    </row>
    <row r="666" spans="1:2" x14ac:dyDescent="0.3">
      <c r="A666" s="20">
        <v>45420.094444000002</v>
      </c>
      <c r="B666" s="17">
        <v>71.351566000000005</v>
      </c>
    </row>
    <row r="667" spans="1:2" x14ac:dyDescent="0.3">
      <c r="A667" s="20">
        <v>45420.095138999997</v>
      </c>
      <c r="B667" s="17">
        <v>71.409602000000007</v>
      </c>
    </row>
    <row r="668" spans="1:2" x14ac:dyDescent="0.3">
      <c r="A668" s="20">
        <v>45420.095832999999</v>
      </c>
      <c r="B668" s="17">
        <v>70.154574999999994</v>
      </c>
    </row>
    <row r="669" spans="1:2" x14ac:dyDescent="0.3">
      <c r="A669" s="20">
        <v>45420.096528000002</v>
      </c>
      <c r="B669" s="17">
        <v>70.410337999999996</v>
      </c>
    </row>
    <row r="670" spans="1:2" x14ac:dyDescent="0.3">
      <c r="A670" s="20">
        <v>45420.097221999997</v>
      </c>
      <c r="B670" s="17">
        <v>70.176888000000005</v>
      </c>
    </row>
    <row r="671" spans="1:2" x14ac:dyDescent="0.3">
      <c r="A671" s="20">
        <v>45420.097916999999</v>
      </c>
      <c r="B671" s="17">
        <v>73.697526999999994</v>
      </c>
    </row>
    <row r="672" spans="1:2" x14ac:dyDescent="0.3">
      <c r="A672" s="20">
        <v>45420.098611000001</v>
      </c>
      <c r="B672" s="17">
        <v>73.066839000000002</v>
      </c>
    </row>
    <row r="673" spans="1:2" x14ac:dyDescent="0.3">
      <c r="A673" s="20">
        <v>45420.099305999996</v>
      </c>
      <c r="B673" s="17">
        <v>70.935170999999997</v>
      </c>
    </row>
    <row r="674" spans="1:2" x14ac:dyDescent="0.3">
      <c r="A674" s="20">
        <v>45420.1</v>
      </c>
      <c r="B674" s="17">
        <v>72.223636999999997</v>
      </c>
    </row>
    <row r="675" spans="1:2" x14ac:dyDescent="0.3">
      <c r="A675" s="20">
        <v>45420.100694000001</v>
      </c>
      <c r="B675" s="17">
        <v>71.635768999999996</v>
      </c>
    </row>
    <row r="676" spans="1:2" x14ac:dyDescent="0.3">
      <c r="A676" s="20">
        <v>45420.101389000003</v>
      </c>
      <c r="B676" s="17">
        <v>71.893658000000002</v>
      </c>
    </row>
    <row r="677" spans="1:2" x14ac:dyDescent="0.3">
      <c r="A677" s="20">
        <v>45420.102082999998</v>
      </c>
      <c r="B677" s="17">
        <v>72.176445000000001</v>
      </c>
    </row>
    <row r="678" spans="1:2" x14ac:dyDescent="0.3">
      <c r="A678" s="20">
        <v>45420.102778</v>
      </c>
      <c r="B678" s="17">
        <v>72.308762000000002</v>
      </c>
    </row>
    <row r="679" spans="1:2" x14ac:dyDescent="0.3">
      <c r="A679" s="20">
        <v>45420.103472000003</v>
      </c>
      <c r="B679" s="17">
        <v>71.599495000000005</v>
      </c>
    </row>
    <row r="680" spans="1:2" x14ac:dyDescent="0.3">
      <c r="A680" s="20">
        <v>45420.104166999998</v>
      </c>
      <c r="B680" s="17">
        <v>72.272062000000005</v>
      </c>
    </row>
    <row r="681" spans="1:2" x14ac:dyDescent="0.3">
      <c r="A681" s="20">
        <v>45420.104861</v>
      </c>
      <c r="B681" s="17">
        <v>72.875451999999996</v>
      </c>
    </row>
    <row r="682" spans="1:2" x14ac:dyDescent="0.3">
      <c r="A682" s="20">
        <v>45420.105556000002</v>
      </c>
      <c r="B682" s="17">
        <v>72.054108999999997</v>
      </c>
    </row>
    <row r="683" spans="1:2" x14ac:dyDescent="0.3">
      <c r="A683" s="20">
        <v>45420.106249999997</v>
      </c>
      <c r="B683" s="17">
        <v>71.807331000000005</v>
      </c>
    </row>
    <row r="684" spans="1:2" x14ac:dyDescent="0.3">
      <c r="A684" s="20">
        <v>45420.106943999999</v>
      </c>
      <c r="B684" s="17">
        <v>71.731206</v>
      </c>
    </row>
    <row r="685" spans="1:2" x14ac:dyDescent="0.3">
      <c r="A685" s="20">
        <v>45420.107639000002</v>
      </c>
      <c r="B685" s="17">
        <v>71.128786000000005</v>
      </c>
    </row>
    <row r="686" spans="1:2" x14ac:dyDescent="0.3">
      <c r="A686" s="20">
        <v>45420.108332999996</v>
      </c>
      <c r="B686" s="17">
        <v>72.089623000000003</v>
      </c>
    </row>
    <row r="687" spans="1:2" x14ac:dyDescent="0.3">
      <c r="A687" s="20">
        <v>45420.109027999999</v>
      </c>
      <c r="B687" s="17">
        <v>72.688010000000006</v>
      </c>
    </row>
    <row r="688" spans="1:2" x14ac:dyDescent="0.3">
      <c r="A688" s="20">
        <v>45420.109722000001</v>
      </c>
      <c r="B688" s="17">
        <v>72.105953</v>
      </c>
    </row>
    <row r="689" spans="1:2" x14ac:dyDescent="0.3">
      <c r="A689" s="20">
        <v>45420.110417000004</v>
      </c>
      <c r="B689" s="17">
        <v>70.889295000000004</v>
      </c>
    </row>
    <row r="690" spans="1:2" x14ac:dyDescent="0.3">
      <c r="A690" s="20">
        <v>45420.111110999998</v>
      </c>
      <c r="B690" s="17">
        <v>71.074049000000002</v>
      </c>
    </row>
    <row r="691" spans="1:2" x14ac:dyDescent="0.3">
      <c r="A691" s="20">
        <v>45420.111806000001</v>
      </c>
      <c r="B691" s="17">
        <v>73.374144000000001</v>
      </c>
    </row>
    <row r="692" spans="1:2" x14ac:dyDescent="0.3">
      <c r="A692" s="20">
        <v>45420.112500000003</v>
      </c>
      <c r="B692" s="17">
        <v>72.312668000000002</v>
      </c>
    </row>
    <row r="693" spans="1:2" x14ac:dyDescent="0.3">
      <c r="A693" s="20">
        <v>45420.113193999998</v>
      </c>
      <c r="B693" s="17">
        <v>73.173570999999995</v>
      </c>
    </row>
    <row r="694" spans="1:2" x14ac:dyDescent="0.3">
      <c r="A694" s="20">
        <v>45420.113889</v>
      </c>
      <c r="B694" s="17">
        <v>72.337213000000006</v>
      </c>
    </row>
    <row r="695" spans="1:2" x14ac:dyDescent="0.3">
      <c r="A695" s="20">
        <v>45420.114583000002</v>
      </c>
      <c r="B695" s="17">
        <v>72.140834999999996</v>
      </c>
    </row>
    <row r="696" spans="1:2" x14ac:dyDescent="0.3">
      <c r="A696" s="20">
        <v>45420.115277999997</v>
      </c>
      <c r="B696" s="17">
        <v>71.874098000000004</v>
      </c>
    </row>
    <row r="697" spans="1:2" x14ac:dyDescent="0.3">
      <c r="A697" s="20">
        <v>45420.115972</v>
      </c>
      <c r="B697" s="17">
        <v>72.074938000000003</v>
      </c>
    </row>
    <row r="698" spans="1:2" x14ac:dyDescent="0.3">
      <c r="A698" s="20">
        <v>45420.116667000002</v>
      </c>
      <c r="B698" s="17">
        <v>71.537661999999997</v>
      </c>
    </row>
    <row r="699" spans="1:2" x14ac:dyDescent="0.3">
      <c r="A699" s="20">
        <v>45420.117360999997</v>
      </c>
      <c r="B699" s="17">
        <v>72.534413000000001</v>
      </c>
    </row>
    <row r="700" spans="1:2" x14ac:dyDescent="0.3">
      <c r="A700" s="20">
        <v>45420.118055999999</v>
      </c>
      <c r="B700" s="17">
        <v>71.756080999999995</v>
      </c>
    </row>
    <row r="701" spans="1:2" x14ac:dyDescent="0.3">
      <c r="A701" s="20">
        <v>45420.118750000001</v>
      </c>
      <c r="B701" s="17">
        <v>71.916904000000002</v>
      </c>
    </row>
    <row r="702" spans="1:2" x14ac:dyDescent="0.3">
      <c r="A702" s="20">
        <v>45420.119444000004</v>
      </c>
      <c r="B702" s="17">
        <v>71.740556999999995</v>
      </c>
    </row>
    <row r="703" spans="1:2" x14ac:dyDescent="0.3">
      <c r="A703" s="20">
        <v>45420.120138999999</v>
      </c>
      <c r="B703" s="17">
        <v>72.459800999999999</v>
      </c>
    </row>
    <row r="704" spans="1:2" x14ac:dyDescent="0.3">
      <c r="A704" s="20">
        <v>45420.120833000001</v>
      </c>
      <c r="B704" s="17">
        <v>73.617343000000005</v>
      </c>
    </row>
    <row r="705" spans="1:2" x14ac:dyDescent="0.3">
      <c r="A705" s="20">
        <v>45420.121528000003</v>
      </c>
      <c r="B705" s="17">
        <v>72.386255000000006</v>
      </c>
    </row>
    <row r="706" spans="1:2" x14ac:dyDescent="0.3">
      <c r="A706" s="20">
        <v>45420.122221999998</v>
      </c>
      <c r="B706" s="17">
        <v>72.337228999999994</v>
      </c>
    </row>
    <row r="707" spans="1:2" x14ac:dyDescent="0.3">
      <c r="A707" s="20">
        <v>45420.122917000001</v>
      </c>
      <c r="B707" s="17">
        <v>71.624117999999996</v>
      </c>
    </row>
    <row r="708" spans="1:2" x14ac:dyDescent="0.3">
      <c r="A708" s="20">
        <v>45420.123611000003</v>
      </c>
      <c r="B708" s="17">
        <v>71.647013999999999</v>
      </c>
    </row>
    <row r="709" spans="1:2" x14ac:dyDescent="0.3">
      <c r="A709" s="20">
        <v>45420.124305999998</v>
      </c>
      <c r="B709" s="17">
        <v>71.683629999999994</v>
      </c>
    </row>
    <row r="710" spans="1:2" x14ac:dyDescent="0.3">
      <c r="A710" s="20">
        <v>45420.125</v>
      </c>
      <c r="B710" s="17">
        <v>72.757604000000001</v>
      </c>
    </row>
    <row r="711" spans="1:2" x14ac:dyDescent="0.3">
      <c r="A711" s="20">
        <v>45420.125694000002</v>
      </c>
      <c r="B711" s="17">
        <v>71.807612000000006</v>
      </c>
    </row>
    <row r="712" spans="1:2" x14ac:dyDescent="0.3">
      <c r="A712" s="20">
        <v>45420.126388999997</v>
      </c>
      <c r="B712" s="17">
        <v>70.587964999999997</v>
      </c>
    </row>
    <row r="713" spans="1:2" x14ac:dyDescent="0.3">
      <c r="A713" s="20">
        <v>45420.127082999999</v>
      </c>
      <c r="B713" s="17">
        <v>72.356610000000003</v>
      </c>
    </row>
    <row r="714" spans="1:2" x14ac:dyDescent="0.3">
      <c r="A714" s="20">
        <v>45420.127778000002</v>
      </c>
      <c r="B714" s="17">
        <v>71.971773999999996</v>
      </c>
    </row>
    <row r="715" spans="1:2" x14ac:dyDescent="0.3">
      <c r="A715" s="20">
        <v>45420.128471999997</v>
      </c>
      <c r="B715" s="17">
        <v>72.773146999999994</v>
      </c>
    </row>
    <row r="716" spans="1:2" x14ac:dyDescent="0.3">
      <c r="A716" s="20">
        <v>45420.129166999999</v>
      </c>
      <c r="B716" s="17">
        <v>71.476256000000006</v>
      </c>
    </row>
    <row r="717" spans="1:2" x14ac:dyDescent="0.3">
      <c r="A717" s="20">
        <v>45420.129861000001</v>
      </c>
      <c r="B717" s="17">
        <v>71.934482000000003</v>
      </c>
    </row>
    <row r="718" spans="1:2" x14ac:dyDescent="0.3">
      <c r="A718" s="20">
        <v>45420.130555999996</v>
      </c>
      <c r="B718" s="17">
        <v>71.207696999999996</v>
      </c>
    </row>
    <row r="719" spans="1:2" x14ac:dyDescent="0.3">
      <c r="A719" s="20">
        <v>45420.131249999999</v>
      </c>
      <c r="B719" s="17">
        <v>71.518421000000004</v>
      </c>
    </row>
    <row r="720" spans="1:2" x14ac:dyDescent="0.3">
      <c r="A720" s="20">
        <v>45420.131944000001</v>
      </c>
      <c r="B720" s="17">
        <v>71.879240999999993</v>
      </c>
    </row>
    <row r="721" spans="1:2" x14ac:dyDescent="0.3">
      <c r="A721" s="20">
        <v>45420.132639000003</v>
      </c>
      <c r="B721" s="17">
        <v>72.403126</v>
      </c>
    </row>
    <row r="722" spans="1:2" x14ac:dyDescent="0.3">
      <c r="A722" s="20">
        <v>45420.133332999998</v>
      </c>
      <c r="B722" s="17">
        <v>72.197975</v>
      </c>
    </row>
    <row r="723" spans="1:2" x14ac:dyDescent="0.3">
      <c r="A723" s="20">
        <v>45420.134028</v>
      </c>
      <c r="B723" s="17">
        <v>72.258116999999999</v>
      </c>
    </row>
    <row r="724" spans="1:2" x14ac:dyDescent="0.3">
      <c r="A724" s="20">
        <v>45420.134722000003</v>
      </c>
      <c r="B724" s="17">
        <v>74.464377999999996</v>
      </c>
    </row>
    <row r="725" spans="1:2" x14ac:dyDescent="0.3">
      <c r="A725" s="20">
        <v>45420.135416999998</v>
      </c>
      <c r="B725" s="17">
        <v>74.556318000000005</v>
      </c>
    </row>
    <row r="726" spans="1:2" x14ac:dyDescent="0.3">
      <c r="A726" s="20">
        <v>45420.136111</v>
      </c>
      <c r="B726" s="17">
        <v>73.095296000000005</v>
      </c>
    </row>
    <row r="727" spans="1:2" x14ac:dyDescent="0.3">
      <c r="A727" s="20">
        <v>45420.136806000002</v>
      </c>
      <c r="B727" s="17">
        <v>74.475581000000005</v>
      </c>
    </row>
    <row r="728" spans="1:2" x14ac:dyDescent="0.3">
      <c r="A728" s="20">
        <v>45420.137499999997</v>
      </c>
      <c r="B728" s="17">
        <v>73.801287000000002</v>
      </c>
    </row>
    <row r="729" spans="1:2" x14ac:dyDescent="0.3">
      <c r="A729" s="20">
        <v>45420.138193999999</v>
      </c>
      <c r="B729" s="17">
        <v>74.395150999999998</v>
      </c>
    </row>
    <row r="730" spans="1:2" x14ac:dyDescent="0.3">
      <c r="A730" s="20">
        <v>45420.138889000002</v>
      </c>
      <c r="B730" s="17">
        <v>73.308807999999999</v>
      </c>
    </row>
    <row r="731" spans="1:2" x14ac:dyDescent="0.3">
      <c r="A731" s="20">
        <v>45420.139582999996</v>
      </c>
      <c r="B731" s="17">
        <v>73.579680999999994</v>
      </c>
    </row>
    <row r="732" spans="1:2" x14ac:dyDescent="0.3">
      <c r="A732" s="20">
        <v>45420.140277999999</v>
      </c>
      <c r="B732" s="17">
        <v>74.214315999999997</v>
      </c>
    </row>
    <row r="733" spans="1:2" x14ac:dyDescent="0.3">
      <c r="A733" s="20">
        <v>45420.140972000001</v>
      </c>
      <c r="B733" s="17">
        <v>74.249161000000001</v>
      </c>
    </row>
    <row r="734" spans="1:2" x14ac:dyDescent="0.3">
      <c r="A734" s="20">
        <v>45420.141667000004</v>
      </c>
      <c r="B734" s="17">
        <v>74.402553999999995</v>
      </c>
    </row>
    <row r="735" spans="1:2" x14ac:dyDescent="0.3">
      <c r="A735" s="20">
        <v>45420.142360999998</v>
      </c>
      <c r="B735" s="17">
        <v>73.346377000000004</v>
      </c>
    </row>
    <row r="736" spans="1:2" x14ac:dyDescent="0.3">
      <c r="A736" s="20">
        <v>45420.143056000001</v>
      </c>
      <c r="B736" s="17">
        <v>72.890072000000004</v>
      </c>
    </row>
    <row r="737" spans="1:2" x14ac:dyDescent="0.3">
      <c r="A737" s="20">
        <v>45420.143750000003</v>
      </c>
      <c r="B737" s="17">
        <v>73.618232000000006</v>
      </c>
    </row>
    <row r="738" spans="1:2" x14ac:dyDescent="0.3">
      <c r="A738" s="20">
        <v>45420.144443999998</v>
      </c>
      <c r="B738" s="17">
        <v>72.867234999999994</v>
      </c>
    </row>
    <row r="739" spans="1:2" x14ac:dyDescent="0.3">
      <c r="A739" s="20">
        <v>45420.145139</v>
      </c>
      <c r="B739" s="17">
        <v>73.028698000000006</v>
      </c>
    </row>
    <row r="740" spans="1:2" x14ac:dyDescent="0.3">
      <c r="A740" s="20">
        <v>45420.145833000002</v>
      </c>
      <c r="B740" s="17">
        <v>73.589533000000003</v>
      </c>
    </row>
    <row r="741" spans="1:2" x14ac:dyDescent="0.3">
      <c r="A741" s="20">
        <v>45420.146527999997</v>
      </c>
      <c r="B741" s="17">
        <v>74.250448000000006</v>
      </c>
    </row>
    <row r="742" spans="1:2" x14ac:dyDescent="0.3">
      <c r="A742" s="20">
        <v>45420.147222</v>
      </c>
      <c r="B742" s="17">
        <v>73.218750999999997</v>
      </c>
    </row>
    <row r="743" spans="1:2" x14ac:dyDescent="0.3">
      <c r="A743" s="20">
        <v>45420.147917000002</v>
      </c>
      <c r="B743" s="17">
        <v>73.666996999999995</v>
      </c>
    </row>
    <row r="744" spans="1:2" x14ac:dyDescent="0.3">
      <c r="A744" s="20">
        <v>45420.148610999997</v>
      </c>
      <c r="B744" s="17">
        <v>72.375314000000003</v>
      </c>
    </row>
    <row r="745" spans="1:2" x14ac:dyDescent="0.3">
      <c r="A745" s="20">
        <v>45420.149305999999</v>
      </c>
      <c r="B745" s="17">
        <v>74.171976000000001</v>
      </c>
    </row>
    <row r="746" spans="1:2" x14ac:dyDescent="0.3">
      <c r="A746" s="20">
        <v>45420.15</v>
      </c>
      <c r="B746" s="17">
        <v>75.486277999999999</v>
      </c>
    </row>
    <row r="747" spans="1:2" x14ac:dyDescent="0.3">
      <c r="A747" s="20">
        <v>45420.150694000004</v>
      </c>
      <c r="B747" s="17">
        <v>72.710076000000001</v>
      </c>
    </row>
    <row r="748" spans="1:2" x14ac:dyDescent="0.3">
      <c r="A748" s="20">
        <v>45420.151388999999</v>
      </c>
      <c r="B748" s="17">
        <v>73.377488</v>
      </c>
    </row>
    <row r="749" spans="1:2" x14ac:dyDescent="0.3">
      <c r="A749" s="20">
        <v>45420.152083000001</v>
      </c>
      <c r="B749" s="17">
        <v>73.504761999999999</v>
      </c>
    </row>
    <row r="750" spans="1:2" x14ac:dyDescent="0.3">
      <c r="A750" s="20">
        <v>45420.152778000003</v>
      </c>
      <c r="B750" s="17">
        <v>74.636792</v>
      </c>
    </row>
    <row r="751" spans="1:2" x14ac:dyDescent="0.3">
      <c r="A751" s="20">
        <v>45420.153471999998</v>
      </c>
      <c r="B751" s="17">
        <v>73.66507</v>
      </c>
    </row>
    <row r="752" spans="1:2" x14ac:dyDescent="0.3">
      <c r="A752" s="20">
        <v>45420.154167000001</v>
      </c>
      <c r="B752" s="17">
        <v>74.291162</v>
      </c>
    </row>
    <row r="753" spans="1:2" x14ac:dyDescent="0.3">
      <c r="A753" s="20">
        <v>45420.154861000003</v>
      </c>
      <c r="B753" s="17">
        <v>73.145053000000004</v>
      </c>
    </row>
    <row r="754" spans="1:2" x14ac:dyDescent="0.3">
      <c r="A754" s="20">
        <v>45420.155555999998</v>
      </c>
      <c r="B754" s="17">
        <v>74.628529</v>
      </c>
    </row>
    <row r="755" spans="1:2" x14ac:dyDescent="0.3">
      <c r="A755" s="20">
        <v>45420.15625</v>
      </c>
      <c r="B755" s="17">
        <v>73.375229000000004</v>
      </c>
    </row>
    <row r="756" spans="1:2" x14ac:dyDescent="0.3">
      <c r="A756" s="20">
        <v>45420.156944000002</v>
      </c>
      <c r="B756" s="17">
        <v>73.633172000000002</v>
      </c>
    </row>
    <row r="757" spans="1:2" x14ac:dyDescent="0.3">
      <c r="A757" s="20">
        <v>45420.157638999997</v>
      </c>
      <c r="B757" s="17">
        <v>74.490230999999994</v>
      </c>
    </row>
    <row r="758" spans="1:2" x14ac:dyDescent="0.3">
      <c r="A758" s="20">
        <v>45420.158332999999</v>
      </c>
      <c r="B758" s="17">
        <v>72.510175000000004</v>
      </c>
    </row>
    <row r="759" spans="1:2" x14ac:dyDescent="0.3">
      <c r="A759" s="20">
        <v>45420.159028000002</v>
      </c>
      <c r="B759" s="17">
        <v>73.946651000000003</v>
      </c>
    </row>
    <row r="760" spans="1:2" x14ac:dyDescent="0.3">
      <c r="A760" s="20">
        <v>45420.159721999997</v>
      </c>
      <c r="B760" s="17">
        <v>74.284830999999997</v>
      </c>
    </row>
    <row r="761" spans="1:2" x14ac:dyDescent="0.3">
      <c r="A761" s="20">
        <v>45420.160416999999</v>
      </c>
      <c r="B761" s="17">
        <v>73.890653</v>
      </c>
    </row>
    <row r="762" spans="1:2" x14ac:dyDescent="0.3">
      <c r="A762" s="20">
        <v>45420.161111000001</v>
      </c>
      <c r="B762" s="17">
        <v>73.100706000000002</v>
      </c>
    </row>
    <row r="763" spans="1:2" x14ac:dyDescent="0.3">
      <c r="A763" s="20">
        <v>45420.161805999996</v>
      </c>
      <c r="B763" s="17">
        <v>73.358166999999995</v>
      </c>
    </row>
    <row r="764" spans="1:2" x14ac:dyDescent="0.3">
      <c r="A764" s="20">
        <v>45420.162499999999</v>
      </c>
      <c r="B764" s="17">
        <v>72.471097999999998</v>
      </c>
    </row>
    <row r="765" spans="1:2" x14ac:dyDescent="0.3">
      <c r="A765" s="20">
        <v>45420.163194000001</v>
      </c>
      <c r="B765" s="17">
        <v>71.750084000000001</v>
      </c>
    </row>
    <row r="766" spans="1:2" x14ac:dyDescent="0.3">
      <c r="A766" s="20">
        <v>45420.163889000003</v>
      </c>
      <c r="B766" s="17">
        <v>74.032893000000001</v>
      </c>
    </row>
    <row r="767" spans="1:2" x14ac:dyDescent="0.3">
      <c r="A767" s="20">
        <v>45420.164582999998</v>
      </c>
      <c r="B767" s="17">
        <v>74.443323000000007</v>
      </c>
    </row>
    <row r="768" spans="1:2" x14ac:dyDescent="0.3">
      <c r="A768" s="20">
        <v>45420.165278</v>
      </c>
      <c r="B768" s="17">
        <v>72.218073000000004</v>
      </c>
    </row>
    <row r="769" spans="1:2" x14ac:dyDescent="0.3">
      <c r="A769" s="20">
        <v>45420.165972000003</v>
      </c>
      <c r="B769" s="17">
        <v>72.951958000000005</v>
      </c>
    </row>
    <row r="770" spans="1:2" x14ac:dyDescent="0.3">
      <c r="A770" s="20">
        <v>45420.166666999998</v>
      </c>
      <c r="B770" s="17">
        <v>73.879568000000006</v>
      </c>
    </row>
    <row r="771" spans="1:2" x14ac:dyDescent="0.3">
      <c r="A771" s="20">
        <v>45420.167361</v>
      </c>
      <c r="B771" s="17">
        <v>72.330025000000006</v>
      </c>
    </row>
    <row r="772" spans="1:2" x14ac:dyDescent="0.3">
      <c r="A772" s="20">
        <v>45420.168056000002</v>
      </c>
      <c r="B772" s="17">
        <v>73.227254000000002</v>
      </c>
    </row>
    <row r="773" spans="1:2" x14ac:dyDescent="0.3">
      <c r="A773" s="20">
        <v>45420.168749999997</v>
      </c>
      <c r="B773" s="17">
        <v>72.637767999999994</v>
      </c>
    </row>
    <row r="774" spans="1:2" x14ac:dyDescent="0.3">
      <c r="A774" s="20">
        <v>45420.169443999999</v>
      </c>
      <c r="B774" s="17">
        <v>73.869620999999995</v>
      </c>
    </row>
    <row r="775" spans="1:2" x14ac:dyDescent="0.3">
      <c r="A775" s="20">
        <v>45420.170139000002</v>
      </c>
      <c r="B775" s="17">
        <v>74.568712000000005</v>
      </c>
    </row>
    <row r="776" spans="1:2" x14ac:dyDescent="0.3">
      <c r="A776" s="20">
        <v>45420.170832999996</v>
      </c>
      <c r="B776" s="17">
        <v>74.034248000000005</v>
      </c>
    </row>
    <row r="777" spans="1:2" x14ac:dyDescent="0.3">
      <c r="A777" s="20">
        <v>45420.171527999999</v>
      </c>
      <c r="B777" s="17">
        <v>73.099383000000003</v>
      </c>
    </row>
    <row r="778" spans="1:2" x14ac:dyDescent="0.3">
      <c r="A778" s="20">
        <v>45420.172222000001</v>
      </c>
      <c r="B778" s="17">
        <v>73.343288999999999</v>
      </c>
    </row>
    <row r="779" spans="1:2" x14ac:dyDescent="0.3">
      <c r="A779" s="20">
        <v>45420.172917000004</v>
      </c>
      <c r="B779" s="17">
        <v>72.604558999999995</v>
      </c>
    </row>
    <row r="780" spans="1:2" x14ac:dyDescent="0.3">
      <c r="A780" s="20">
        <v>45420.173610999998</v>
      </c>
      <c r="B780" s="17">
        <v>73.244780000000006</v>
      </c>
    </row>
    <row r="781" spans="1:2" x14ac:dyDescent="0.3">
      <c r="A781" s="20">
        <v>45420.174306000001</v>
      </c>
      <c r="B781" s="17">
        <v>72.870401000000001</v>
      </c>
    </row>
    <row r="782" spans="1:2" x14ac:dyDescent="0.3">
      <c r="A782" s="20">
        <v>45420.175000000003</v>
      </c>
      <c r="B782" s="17">
        <v>72.283676999999997</v>
      </c>
    </row>
    <row r="783" spans="1:2" x14ac:dyDescent="0.3">
      <c r="A783" s="20">
        <v>45420.175693999998</v>
      </c>
      <c r="B783" s="17">
        <v>72.631304999999998</v>
      </c>
    </row>
    <row r="784" spans="1:2" x14ac:dyDescent="0.3">
      <c r="A784" s="20">
        <v>45420.176389</v>
      </c>
      <c r="B784" s="17">
        <v>73.487132000000003</v>
      </c>
    </row>
    <row r="785" spans="1:2" x14ac:dyDescent="0.3">
      <c r="A785" s="20">
        <v>45420.177083000002</v>
      </c>
      <c r="B785" s="17">
        <v>72.683206999999996</v>
      </c>
    </row>
    <row r="786" spans="1:2" x14ac:dyDescent="0.3">
      <c r="A786" s="20">
        <v>45420.177777999997</v>
      </c>
      <c r="B786" s="17">
        <v>73.187678000000005</v>
      </c>
    </row>
    <row r="787" spans="1:2" x14ac:dyDescent="0.3">
      <c r="A787" s="20">
        <v>45420.178472</v>
      </c>
      <c r="B787" s="17">
        <v>72.389852000000005</v>
      </c>
    </row>
    <row r="788" spans="1:2" x14ac:dyDescent="0.3">
      <c r="A788" s="20">
        <v>45420.179167000002</v>
      </c>
      <c r="B788" s="17">
        <v>74.650268999999994</v>
      </c>
    </row>
    <row r="789" spans="1:2" x14ac:dyDescent="0.3">
      <c r="A789" s="20">
        <v>45420.179860999997</v>
      </c>
      <c r="B789" s="17">
        <v>73.737437999999997</v>
      </c>
    </row>
    <row r="790" spans="1:2" x14ac:dyDescent="0.3">
      <c r="A790" s="20">
        <v>45420.180555999999</v>
      </c>
      <c r="B790" s="17">
        <v>73.229275999999999</v>
      </c>
    </row>
    <row r="791" spans="1:2" x14ac:dyDescent="0.3">
      <c r="A791" s="20">
        <v>45420.181250000001</v>
      </c>
      <c r="B791" s="17">
        <v>73.240020999999999</v>
      </c>
    </row>
    <row r="792" spans="1:2" x14ac:dyDescent="0.3">
      <c r="A792" s="20">
        <v>45420.181944000004</v>
      </c>
      <c r="B792" s="17">
        <v>73.572666999999996</v>
      </c>
    </row>
    <row r="793" spans="1:2" x14ac:dyDescent="0.3">
      <c r="A793" s="20">
        <v>45420.182638999999</v>
      </c>
      <c r="B793" s="17">
        <v>72.799870999999996</v>
      </c>
    </row>
    <row r="794" spans="1:2" x14ac:dyDescent="0.3">
      <c r="A794" s="20">
        <v>45420.183333000001</v>
      </c>
      <c r="B794" s="17">
        <v>74.407617000000002</v>
      </c>
    </row>
    <row r="795" spans="1:2" x14ac:dyDescent="0.3">
      <c r="A795" s="20">
        <v>45420.184028000003</v>
      </c>
      <c r="B795" s="17">
        <v>73.254239999999996</v>
      </c>
    </row>
    <row r="796" spans="1:2" x14ac:dyDescent="0.3">
      <c r="A796" s="20">
        <v>45420.184721999998</v>
      </c>
      <c r="B796" s="17">
        <v>73.508215000000007</v>
      </c>
    </row>
    <row r="797" spans="1:2" x14ac:dyDescent="0.3">
      <c r="A797" s="20">
        <v>45420.185417000001</v>
      </c>
      <c r="B797" s="17">
        <v>73.700906000000003</v>
      </c>
    </row>
    <row r="798" spans="1:2" x14ac:dyDescent="0.3">
      <c r="A798" s="20">
        <v>45420.186111000003</v>
      </c>
      <c r="B798" s="17">
        <v>74.081244999999996</v>
      </c>
    </row>
    <row r="799" spans="1:2" x14ac:dyDescent="0.3">
      <c r="A799" s="20">
        <v>45420.186805999998</v>
      </c>
      <c r="B799" s="17">
        <v>71.528228999999996</v>
      </c>
    </row>
    <row r="800" spans="1:2" x14ac:dyDescent="0.3">
      <c r="A800" s="20">
        <v>45420.1875</v>
      </c>
      <c r="B800" s="17">
        <v>73.085624999999993</v>
      </c>
    </row>
    <row r="801" spans="1:2" x14ac:dyDescent="0.3">
      <c r="A801" s="20">
        <v>45420.188194000002</v>
      </c>
      <c r="B801" s="17">
        <v>72.349586000000002</v>
      </c>
    </row>
    <row r="802" spans="1:2" x14ac:dyDescent="0.3">
      <c r="A802" s="20">
        <v>45420.188888999997</v>
      </c>
      <c r="B802" s="17">
        <v>73.740764999999996</v>
      </c>
    </row>
    <row r="803" spans="1:2" x14ac:dyDescent="0.3">
      <c r="A803" s="20">
        <v>45420.189582999999</v>
      </c>
      <c r="B803" s="17">
        <v>73.853346999999999</v>
      </c>
    </row>
    <row r="804" spans="1:2" x14ac:dyDescent="0.3">
      <c r="A804" s="20">
        <v>45420.190278000002</v>
      </c>
      <c r="B804" s="17">
        <v>73.058115000000001</v>
      </c>
    </row>
    <row r="805" spans="1:2" x14ac:dyDescent="0.3">
      <c r="A805" s="20">
        <v>45420.190971999997</v>
      </c>
      <c r="B805" s="17">
        <v>73.131943000000007</v>
      </c>
    </row>
    <row r="806" spans="1:2" x14ac:dyDescent="0.3">
      <c r="A806" s="20">
        <v>45420.191666999999</v>
      </c>
      <c r="B806" s="17">
        <v>73.183310000000006</v>
      </c>
    </row>
    <row r="807" spans="1:2" x14ac:dyDescent="0.3">
      <c r="A807" s="20">
        <v>45420.192361000001</v>
      </c>
      <c r="B807" s="17">
        <v>73.079969000000006</v>
      </c>
    </row>
    <row r="808" spans="1:2" x14ac:dyDescent="0.3">
      <c r="A808" s="20">
        <v>45420.193055999996</v>
      </c>
      <c r="B808" s="17">
        <v>72.459181000000001</v>
      </c>
    </row>
    <row r="809" spans="1:2" x14ac:dyDescent="0.3">
      <c r="A809" s="20">
        <v>45420.193749999999</v>
      </c>
      <c r="B809" s="17">
        <v>72.907144000000002</v>
      </c>
    </row>
    <row r="810" spans="1:2" x14ac:dyDescent="0.3">
      <c r="A810" s="20">
        <v>45420.194444000001</v>
      </c>
      <c r="B810" s="17">
        <v>74.076699000000005</v>
      </c>
    </row>
    <row r="811" spans="1:2" x14ac:dyDescent="0.3">
      <c r="A811" s="20">
        <v>45420.195139000003</v>
      </c>
      <c r="B811" s="17">
        <v>71.935236000000003</v>
      </c>
    </row>
    <row r="812" spans="1:2" x14ac:dyDescent="0.3">
      <c r="A812" s="20">
        <v>45420.195832999998</v>
      </c>
      <c r="B812" s="17">
        <v>73.044398999999999</v>
      </c>
    </row>
    <row r="813" spans="1:2" x14ac:dyDescent="0.3">
      <c r="A813" s="20">
        <v>45420.196528</v>
      </c>
      <c r="B813" s="17">
        <v>71.541815999999997</v>
      </c>
    </row>
    <row r="814" spans="1:2" x14ac:dyDescent="0.3">
      <c r="A814" s="20">
        <v>45420.197222000003</v>
      </c>
      <c r="B814" s="17">
        <v>72.962097999999997</v>
      </c>
    </row>
    <row r="815" spans="1:2" x14ac:dyDescent="0.3">
      <c r="A815" s="20">
        <v>45420.197916999998</v>
      </c>
      <c r="B815" s="17">
        <v>71.855759000000006</v>
      </c>
    </row>
    <row r="816" spans="1:2" x14ac:dyDescent="0.3">
      <c r="A816" s="20">
        <v>45420.198611</v>
      </c>
      <c r="B816" s="17">
        <v>72.807428999999999</v>
      </c>
    </row>
    <row r="817" spans="1:2" x14ac:dyDescent="0.3">
      <c r="A817" s="20">
        <v>45420.199306000002</v>
      </c>
      <c r="B817" s="17">
        <v>71.376329999999996</v>
      </c>
    </row>
    <row r="818" spans="1:2" x14ac:dyDescent="0.3">
      <c r="A818" s="20">
        <v>45420.2</v>
      </c>
      <c r="B818" s="17">
        <v>72.138996000000006</v>
      </c>
    </row>
    <row r="819" spans="1:2" x14ac:dyDescent="0.3">
      <c r="A819" s="20">
        <v>45420.200693999999</v>
      </c>
      <c r="B819" s="17">
        <v>72.706427000000005</v>
      </c>
    </row>
    <row r="820" spans="1:2" x14ac:dyDescent="0.3">
      <c r="A820" s="20">
        <v>45420.201389000002</v>
      </c>
      <c r="B820" s="17">
        <v>73.351218000000003</v>
      </c>
    </row>
    <row r="821" spans="1:2" x14ac:dyDescent="0.3">
      <c r="A821" s="20">
        <v>45420.202082999996</v>
      </c>
      <c r="B821" s="17">
        <v>71.878409000000005</v>
      </c>
    </row>
    <row r="822" spans="1:2" x14ac:dyDescent="0.3">
      <c r="A822" s="20">
        <v>45420.202777999999</v>
      </c>
      <c r="B822" s="17">
        <v>73.580357000000006</v>
      </c>
    </row>
    <row r="823" spans="1:2" x14ac:dyDescent="0.3">
      <c r="A823" s="20">
        <v>45420.203472000001</v>
      </c>
      <c r="B823" s="17">
        <v>73.888400000000004</v>
      </c>
    </row>
    <row r="824" spans="1:2" x14ac:dyDescent="0.3">
      <c r="A824" s="20">
        <v>45420.204167000004</v>
      </c>
      <c r="B824" s="17">
        <v>72.982056999999998</v>
      </c>
    </row>
    <row r="825" spans="1:2" x14ac:dyDescent="0.3">
      <c r="A825" s="20">
        <v>45420.204860999998</v>
      </c>
      <c r="B825" s="17">
        <v>73.799137999999999</v>
      </c>
    </row>
    <row r="826" spans="1:2" x14ac:dyDescent="0.3">
      <c r="A826" s="20">
        <v>45420.205556000001</v>
      </c>
      <c r="B826" s="17">
        <v>72.597769999999997</v>
      </c>
    </row>
    <row r="827" spans="1:2" x14ac:dyDescent="0.3">
      <c r="A827" s="20">
        <v>45420.206250000003</v>
      </c>
      <c r="B827" s="17">
        <v>73.387107999999998</v>
      </c>
    </row>
    <row r="828" spans="1:2" x14ac:dyDescent="0.3">
      <c r="A828" s="20">
        <v>45420.206943999998</v>
      </c>
      <c r="B828" s="17">
        <v>73.747456999999997</v>
      </c>
    </row>
    <row r="829" spans="1:2" x14ac:dyDescent="0.3">
      <c r="A829" s="20">
        <v>45420.207639</v>
      </c>
      <c r="B829" s="17">
        <v>72.649628000000007</v>
      </c>
    </row>
    <row r="830" spans="1:2" x14ac:dyDescent="0.3">
      <c r="A830" s="20">
        <v>45420.208333000002</v>
      </c>
      <c r="B830" s="17">
        <v>73.644765000000007</v>
      </c>
    </row>
    <row r="831" spans="1:2" x14ac:dyDescent="0.3">
      <c r="A831" s="20">
        <v>45420.209027999997</v>
      </c>
      <c r="B831" s="17">
        <v>71.346780999999993</v>
      </c>
    </row>
    <row r="832" spans="1:2" x14ac:dyDescent="0.3">
      <c r="A832" s="20">
        <v>45420.209722</v>
      </c>
      <c r="B832" s="17">
        <v>72.199910000000003</v>
      </c>
    </row>
    <row r="833" spans="1:2" x14ac:dyDescent="0.3">
      <c r="A833" s="20">
        <v>45420.210417000002</v>
      </c>
      <c r="B833" s="17">
        <v>73.255521999999999</v>
      </c>
    </row>
    <row r="834" spans="1:2" x14ac:dyDescent="0.3">
      <c r="A834" s="20">
        <v>45420.211110999997</v>
      </c>
      <c r="B834" s="17">
        <v>72.060935999999998</v>
      </c>
    </row>
    <row r="835" spans="1:2" x14ac:dyDescent="0.3">
      <c r="A835" s="20">
        <v>45420.211805999999</v>
      </c>
      <c r="B835" s="17">
        <v>72.462350999999998</v>
      </c>
    </row>
    <row r="836" spans="1:2" x14ac:dyDescent="0.3">
      <c r="A836" s="20">
        <v>45420.212500000001</v>
      </c>
      <c r="B836" s="17">
        <v>73.151769999999999</v>
      </c>
    </row>
    <row r="837" spans="1:2" x14ac:dyDescent="0.3">
      <c r="A837" s="20">
        <v>45420.213194000004</v>
      </c>
      <c r="B837" s="17">
        <v>72.685637</v>
      </c>
    </row>
    <row r="838" spans="1:2" x14ac:dyDescent="0.3">
      <c r="A838" s="20">
        <v>45420.213888999999</v>
      </c>
      <c r="B838" s="17">
        <v>73.844401000000005</v>
      </c>
    </row>
    <row r="839" spans="1:2" x14ac:dyDescent="0.3">
      <c r="A839" s="20">
        <v>45420.214583000001</v>
      </c>
      <c r="B839" s="17">
        <v>72.777502999999996</v>
      </c>
    </row>
    <row r="840" spans="1:2" x14ac:dyDescent="0.3">
      <c r="A840" s="20">
        <v>45420.215278000003</v>
      </c>
      <c r="B840" s="17">
        <v>72.348481000000007</v>
      </c>
    </row>
    <row r="841" spans="1:2" x14ac:dyDescent="0.3">
      <c r="A841" s="20">
        <v>45420.215971999998</v>
      </c>
      <c r="B841" s="17">
        <v>73.437751000000006</v>
      </c>
    </row>
    <row r="842" spans="1:2" x14ac:dyDescent="0.3">
      <c r="A842" s="20">
        <v>45420.216667000001</v>
      </c>
      <c r="B842" s="17">
        <v>72.504233999999997</v>
      </c>
    </row>
    <row r="843" spans="1:2" x14ac:dyDescent="0.3">
      <c r="A843" s="20">
        <v>45420.217361000003</v>
      </c>
      <c r="B843" s="17">
        <v>72.930325999999994</v>
      </c>
    </row>
    <row r="844" spans="1:2" x14ac:dyDescent="0.3">
      <c r="A844" s="20">
        <v>45420.218055999998</v>
      </c>
      <c r="B844" s="17">
        <v>77.794773000000006</v>
      </c>
    </row>
    <row r="845" spans="1:2" x14ac:dyDescent="0.3">
      <c r="A845" s="20">
        <v>45420.21875</v>
      </c>
      <c r="B845" s="17">
        <v>79.429867000000002</v>
      </c>
    </row>
    <row r="846" spans="1:2" x14ac:dyDescent="0.3">
      <c r="A846" s="20">
        <v>45420.219444000002</v>
      </c>
      <c r="B846" s="17">
        <v>79.329597000000007</v>
      </c>
    </row>
    <row r="847" spans="1:2" x14ac:dyDescent="0.3">
      <c r="A847" s="20">
        <v>45420.220138999997</v>
      </c>
      <c r="B847" s="17">
        <v>81.080202999999997</v>
      </c>
    </row>
    <row r="848" spans="1:2" x14ac:dyDescent="0.3">
      <c r="A848" s="20">
        <v>45420.220832999999</v>
      </c>
      <c r="B848" s="17">
        <v>79.602637000000001</v>
      </c>
    </row>
    <row r="849" spans="1:2" x14ac:dyDescent="0.3">
      <c r="A849" s="20">
        <v>45420.221528000002</v>
      </c>
      <c r="B849" s="17">
        <v>79.391694000000001</v>
      </c>
    </row>
    <row r="850" spans="1:2" x14ac:dyDescent="0.3">
      <c r="A850" s="20">
        <v>45420.222221999997</v>
      </c>
      <c r="B850" s="17">
        <v>80.267510000000001</v>
      </c>
    </row>
    <row r="851" spans="1:2" x14ac:dyDescent="0.3">
      <c r="A851" s="20">
        <v>45420.222916999999</v>
      </c>
      <c r="B851" s="17">
        <v>77.626016000000007</v>
      </c>
    </row>
    <row r="852" spans="1:2" x14ac:dyDescent="0.3">
      <c r="A852" s="20">
        <v>45420.223611000001</v>
      </c>
      <c r="B852" s="17">
        <v>79.240413000000004</v>
      </c>
    </row>
    <row r="853" spans="1:2" x14ac:dyDescent="0.3">
      <c r="A853" s="20">
        <v>45420.224305999996</v>
      </c>
      <c r="B853" s="17">
        <v>80.096312999999995</v>
      </c>
    </row>
    <row r="854" spans="1:2" x14ac:dyDescent="0.3">
      <c r="A854" s="20">
        <v>45420.224999999999</v>
      </c>
      <c r="B854" s="17">
        <v>79.621992000000006</v>
      </c>
    </row>
    <row r="855" spans="1:2" x14ac:dyDescent="0.3">
      <c r="A855" s="20">
        <v>45420.225694000001</v>
      </c>
      <c r="B855" s="17">
        <v>79.809312000000006</v>
      </c>
    </row>
    <row r="856" spans="1:2" x14ac:dyDescent="0.3">
      <c r="A856" s="20">
        <v>45420.226389000003</v>
      </c>
      <c r="B856" s="17">
        <v>80.626953</v>
      </c>
    </row>
    <row r="857" spans="1:2" x14ac:dyDescent="0.3">
      <c r="A857" s="20">
        <v>45420.227082999998</v>
      </c>
      <c r="B857" s="17">
        <v>78.973763000000005</v>
      </c>
    </row>
    <row r="858" spans="1:2" x14ac:dyDescent="0.3">
      <c r="A858" s="20">
        <v>45420.227778</v>
      </c>
      <c r="B858" s="17">
        <v>79.209237000000002</v>
      </c>
    </row>
    <row r="859" spans="1:2" x14ac:dyDescent="0.3">
      <c r="A859" s="20">
        <v>45420.228472000003</v>
      </c>
      <c r="B859" s="17">
        <v>80.003735000000006</v>
      </c>
    </row>
    <row r="860" spans="1:2" x14ac:dyDescent="0.3">
      <c r="A860" s="20">
        <v>45420.229166999998</v>
      </c>
      <c r="B860" s="17">
        <v>78.816562000000005</v>
      </c>
    </row>
    <row r="861" spans="1:2" x14ac:dyDescent="0.3">
      <c r="A861" s="20">
        <v>45420.229861</v>
      </c>
      <c r="B861" s="17">
        <v>80.135544999999993</v>
      </c>
    </row>
    <row r="862" spans="1:2" x14ac:dyDescent="0.3">
      <c r="A862" s="20">
        <v>45420.230556000002</v>
      </c>
      <c r="B862" s="17">
        <v>77.881348000000003</v>
      </c>
    </row>
    <row r="863" spans="1:2" x14ac:dyDescent="0.3">
      <c r="A863" s="20">
        <v>45420.231249999997</v>
      </c>
      <c r="B863" s="17">
        <v>80.583543000000006</v>
      </c>
    </row>
    <row r="864" spans="1:2" x14ac:dyDescent="0.3">
      <c r="A864" s="20">
        <v>45420.231943999999</v>
      </c>
      <c r="B864" s="17">
        <v>78.017650000000003</v>
      </c>
    </row>
    <row r="865" spans="1:2" x14ac:dyDescent="0.3">
      <c r="A865" s="20">
        <v>45420.232639000002</v>
      </c>
      <c r="B865" s="17">
        <v>80.164883000000003</v>
      </c>
    </row>
    <row r="866" spans="1:2" x14ac:dyDescent="0.3">
      <c r="A866" s="20">
        <v>45420.233332999996</v>
      </c>
      <c r="B866" s="17">
        <v>79.556003000000004</v>
      </c>
    </row>
    <row r="867" spans="1:2" x14ac:dyDescent="0.3">
      <c r="A867" s="20">
        <v>45420.234027999999</v>
      </c>
      <c r="B867" s="17">
        <v>80.961427999999998</v>
      </c>
    </row>
    <row r="868" spans="1:2" x14ac:dyDescent="0.3">
      <c r="A868" s="20">
        <v>45420.234722000001</v>
      </c>
      <c r="B868" s="17">
        <v>78.068899000000002</v>
      </c>
    </row>
    <row r="869" spans="1:2" x14ac:dyDescent="0.3">
      <c r="A869" s="20">
        <v>45420.235417000004</v>
      </c>
      <c r="B869" s="17">
        <v>79.148657999999998</v>
      </c>
    </row>
    <row r="870" spans="1:2" x14ac:dyDescent="0.3">
      <c r="A870" s="20">
        <v>45420.236110999998</v>
      </c>
      <c r="B870" s="17">
        <v>78.099570999999997</v>
      </c>
    </row>
    <row r="871" spans="1:2" x14ac:dyDescent="0.3">
      <c r="A871" s="20">
        <v>45420.236806000001</v>
      </c>
      <c r="B871" s="17">
        <v>79.064290999999997</v>
      </c>
    </row>
    <row r="872" spans="1:2" x14ac:dyDescent="0.3">
      <c r="A872" s="20">
        <v>45420.237500000003</v>
      </c>
      <c r="B872" s="17">
        <v>79.171312999999998</v>
      </c>
    </row>
    <row r="873" spans="1:2" x14ac:dyDescent="0.3">
      <c r="A873" s="20">
        <v>45420.238193999998</v>
      </c>
      <c r="B873" s="17">
        <v>79.005217000000002</v>
      </c>
    </row>
    <row r="874" spans="1:2" x14ac:dyDescent="0.3">
      <c r="A874" s="20">
        <v>45420.238889</v>
      </c>
      <c r="B874" s="17">
        <v>80.238484</v>
      </c>
    </row>
    <row r="875" spans="1:2" x14ac:dyDescent="0.3">
      <c r="A875" s="20">
        <v>45420.239583000002</v>
      </c>
      <c r="B875" s="17">
        <v>79.573532</v>
      </c>
    </row>
    <row r="876" spans="1:2" x14ac:dyDescent="0.3">
      <c r="A876" s="20">
        <v>45420.240277999997</v>
      </c>
      <c r="B876" s="17">
        <v>79.016336999999993</v>
      </c>
    </row>
    <row r="877" spans="1:2" x14ac:dyDescent="0.3">
      <c r="A877" s="20">
        <v>45420.240972</v>
      </c>
      <c r="B877" s="17">
        <v>77.842252000000002</v>
      </c>
    </row>
    <row r="878" spans="1:2" x14ac:dyDescent="0.3">
      <c r="A878" s="20">
        <v>45420.241667000002</v>
      </c>
      <c r="B878" s="17">
        <v>79.446135999999996</v>
      </c>
    </row>
    <row r="879" spans="1:2" x14ac:dyDescent="0.3">
      <c r="A879" s="20">
        <v>45420.242360999997</v>
      </c>
      <c r="B879" s="17">
        <v>79.48236</v>
      </c>
    </row>
    <row r="880" spans="1:2" x14ac:dyDescent="0.3">
      <c r="A880" s="20">
        <v>45420.243055999999</v>
      </c>
      <c r="B880" s="17">
        <v>79.173057</v>
      </c>
    </row>
    <row r="881" spans="1:2" x14ac:dyDescent="0.3">
      <c r="A881" s="20">
        <v>45420.243750000001</v>
      </c>
      <c r="B881" s="17">
        <v>78.735347000000004</v>
      </c>
    </row>
    <row r="882" spans="1:2" x14ac:dyDescent="0.3">
      <c r="A882" s="20">
        <v>45420.244444000004</v>
      </c>
      <c r="B882" s="17">
        <v>77.520517999999996</v>
      </c>
    </row>
    <row r="883" spans="1:2" x14ac:dyDescent="0.3">
      <c r="A883" s="20">
        <v>45420.245138999999</v>
      </c>
      <c r="B883" s="17">
        <v>78.718556000000007</v>
      </c>
    </row>
    <row r="884" spans="1:2" x14ac:dyDescent="0.3">
      <c r="A884" s="20">
        <v>45420.245833000001</v>
      </c>
      <c r="B884" s="17">
        <v>77.789895999999999</v>
      </c>
    </row>
    <row r="885" spans="1:2" x14ac:dyDescent="0.3">
      <c r="A885" s="20">
        <v>45420.246528000003</v>
      </c>
      <c r="B885" s="17">
        <v>78.004694000000001</v>
      </c>
    </row>
    <row r="886" spans="1:2" x14ac:dyDescent="0.3">
      <c r="A886" s="20">
        <v>45420.247221999998</v>
      </c>
      <c r="B886" s="17">
        <v>76.916049999999998</v>
      </c>
    </row>
    <row r="887" spans="1:2" x14ac:dyDescent="0.3">
      <c r="A887" s="20">
        <v>45420.247917000001</v>
      </c>
      <c r="B887" s="17">
        <v>78.699094000000002</v>
      </c>
    </row>
    <row r="888" spans="1:2" x14ac:dyDescent="0.3">
      <c r="A888" s="20">
        <v>45420.248611000003</v>
      </c>
      <c r="B888" s="17">
        <v>79.125039999999998</v>
      </c>
    </row>
    <row r="889" spans="1:2" x14ac:dyDescent="0.3">
      <c r="A889" s="20">
        <v>45420.249305999998</v>
      </c>
      <c r="B889" s="17">
        <v>79.292376000000004</v>
      </c>
    </row>
    <row r="890" spans="1:2" x14ac:dyDescent="0.3">
      <c r="A890" s="20">
        <v>45420.25</v>
      </c>
      <c r="B890" s="17">
        <v>79.176586999999998</v>
      </c>
    </row>
    <row r="891" spans="1:2" x14ac:dyDescent="0.3">
      <c r="A891" s="20">
        <v>45420.250694000002</v>
      </c>
      <c r="B891" s="17">
        <v>78.782939999999996</v>
      </c>
    </row>
    <row r="892" spans="1:2" x14ac:dyDescent="0.3">
      <c r="A892" s="20">
        <v>45420.251388999997</v>
      </c>
      <c r="B892" s="17">
        <v>78.192563000000007</v>
      </c>
    </row>
    <row r="893" spans="1:2" x14ac:dyDescent="0.3">
      <c r="A893" s="20">
        <v>45420.252082999999</v>
      </c>
      <c r="B893" s="17">
        <v>79.191174000000004</v>
      </c>
    </row>
    <row r="894" spans="1:2" x14ac:dyDescent="0.3">
      <c r="A894" s="20">
        <v>45420.252778000002</v>
      </c>
      <c r="B894" s="17">
        <v>78.638126</v>
      </c>
    </row>
    <row r="895" spans="1:2" x14ac:dyDescent="0.3">
      <c r="A895" s="20">
        <v>45420.253471999997</v>
      </c>
      <c r="B895" s="17">
        <v>78.401488000000001</v>
      </c>
    </row>
    <row r="896" spans="1:2" x14ac:dyDescent="0.3">
      <c r="A896" s="20">
        <v>45420.254166999999</v>
      </c>
      <c r="B896" s="17">
        <v>77.952130999999994</v>
      </c>
    </row>
    <row r="897" spans="1:2" x14ac:dyDescent="0.3">
      <c r="A897" s="20">
        <v>45420.254861000001</v>
      </c>
      <c r="B897" s="17">
        <v>79.129574000000005</v>
      </c>
    </row>
    <row r="898" spans="1:2" x14ac:dyDescent="0.3">
      <c r="A898" s="20">
        <v>45420.255555999996</v>
      </c>
      <c r="B898" s="17">
        <v>78.744872999999998</v>
      </c>
    </row>
    <row r="899" spans="1:2" x14ac:dyDescent="0.3">
      <c r="A899" s="20">
        <v>45420.256249999999</v>
      </c>
      <c r="B899" s="17">
        <v>78.961504000000005</v>
      </c>
    </row>
    <row r="900" spans="1:2" x14ac:dyDescent="0.3">
      <c r="A900" s="20">
        <v>45420.256944000001</v>
      </c>
      <c r="B900" s="17">
        <v>78.915807000000001</v>
      </c>
    </row>
    <row r="901" spans="1:2" x14ac:dyDescent="0.3">
      <c r="A901" s="20">
        <v>45420.257639000003</v>
      </c>
      <c r="B901" s="17">
        <v>78.869175999999996</v>
      </c>
    </row>
    <row r="902" spans="1:2" x14ac:dyDescent="0.3">
      <c r="A902" s="20">
        <v>45420.258332999998</v>
      </c>
      <c r="B902" s="17">
        <v>77.302064000000001</v>
      </c>
    </row>
    <row r="903" spans="1:2" x14ac:dyDescent="0.3">
      <c r="A903" s="20">
        <v>45420.259028</v>
      </c>
      <c r="B903" s="17">
        <v>80.103453999999999</v>
      </c>
    </row>
    <row r="904" spans="1:2" x14ac:dyDescent="0.3">
      <c r="A904" s="20">
        <v>45420.259722000003</v>
      </c>
      <c r="B904" s="17">
        <v>78.413017999999994</v>
      </c>
    </row>
    <row r="905" spans="1:2" x14ac:dyDescent="0.3">
      <c r="A905" s="20">
        <v>45420.260416999998</v>
      </c>
      <c r="B905" s="17">
        <v>78.756794999999997</v>
      </c>
    </row>
    <row r="906" spans="1:2" x14ac:dyDescent="0.3">
      <c r="A906" s="20">
        <v>45420.261111</v>
      </c>
      <c r="B906" s="17">
        <v>78.927826999999994</v>
      </c>
    </row>
    <row r="907" spans="1:2" x14ac:dyDescent="0.3">
      <c r="A907" s="20">
        <v>45420.261806000002</v>
      </c>
      <c r="B907" s="17">
        <v>78.950896999999998</v>
      </c>
    </row>
    <row r="908" spans="1:2" x14ac:dyDescent="0.3">
      <c r="A908" s="20">
        <v>45420.262499999997</v>
      </c>
      <c r="B908" s="17">
        <v>78.658265</v>
      </c>
    </row>
    <row r="909" spans="1:2" x14ac:dyDescent="0.3">
      <c r="A909" s="20">
        <v>45420.263193999999</v>
      </c>
      <c r="B909" s="17">
        <v>78.836020000000005</v>
      </c>
    </row>
    <row r="910" spans="1:2" x14ac:dyDescent="0.3">
      <c r="A910" s="20">
        <v>45420.263889000002</v>
      </c>
      <c r="B910" s="17">
        <v>79.786293000000001</v>
      </c>
    </row>
    <row r="911" spans="1:2" x14ac:dyDescent="0.3">
      <c r="A911" s="20">
        <v>45420.264582999996</v>
      </c>
      <c r="B911" s="17">
        <v>78.660632000000007</v>
      </c>
    </row>
    <row r="912" spans="1:2" x14ac:dyDescent="0.3">
      <c r="A912" s="20">
        <v>45420.265277999999</v>
      </c>
      <c r="B912" s="17">
        <v>79.911657000000005</v>
      </c>
    </row>
    <row r="913" spans="1:2" x14ac:dyDescent="0.3">
      <c r="A913" s="20">
        <v>45420.265972000001</v>
      </c>
      <c r="B913" s="17">
        <v>78.023227000000006</v>
      </c>
    </row>
    <row r="914" spans="1:2" x14ac:dyDescent="0.3">
      <c r="A914" s="20">
        <v>45420.266667000004</v>
      </c>
      <c r="B914" s="17">
        <v>79.469835000000003</v>
      </c>
    </row>
    <row r="915" spans="1:2" x14ac:dyDescent="0.3">
      <c r="A915" s="20">
        <v>45420.267360999998</v>
      </c>
      <c r="B915" s="17">
        <v>77.787616</v>
      </c>
    </row>
    <row r="916" spans="1:2" x14ac:dyDescent="0.3">
      <c r="A916" s="20">
        <v>45420.268056000001</v>
      </c>
      <c r="B916" s="17">
        <v>79.295188999999993</v>
      </c>
    </row>
    <row r="917" spans="1:2" x14ac:dyDescent="0.3">
      <c r="A917" s="20">
        <v>45420.268750000003</v>
      </c>
      <c r="B917" s="17">
        <v>78.649973000000003</v>
      </c>
    </row>
    <row r="918" spans="1:2" x14ac:dyDescent="0.3">
      <c r="A918" s="20">
        <v>45420.269443999998</v>
      </c>
      <c r="B918" s="17">
        <v>78.312423999999993</v>
      </c>
    </row>
    <row r="919" spans="1:2" x14ac:dyDescent="0.3">
      <c r="A919" s="20">
        <v>45420.270139</v>
      </c>
      <c r="B919" s="17">
        <v>80.143704999999997</v>
      </c>
    </row>
    <row r="920" spans="1:2" x14ac:dyDescent="0.3">
      <c r="A920" s="20">
        <v>45420.270833000002</v>
      </c>
      <c r="B920" s="17">
        <v>78.295638999999994</v>
      </c>
    </row>
    <row r="921" spans="1:2" x14ac:dyDescent="0.3">
      <c r="A921" s="20">
        <v>45420.271527999997</v>
      </c>
      <c r="B921" s="17">
        <v>78.165974000000006</v>
      </c>
    </row>
    <row r="922" spans="1:2" x14ac:dyDescent="0.3">
      <c r="A922" s="20">
        <v>45420.272222</v>
      </c>
      <c r="B922" s="17">
        <v>78.748327000000003</v>
      </c>
    </row>
    <row r="923" spans="1:2" x14ac:dyDescent="0.3">
      <c r="A923" s="20">
        <v>45420.272917000002</v>
      </c>
      <c r="B923" s="17">
        <v>78.518366999999998</v>
      </c>
    </row>
    <row r="924" spans="1:2" x14ac:dyDescent="0.3">
      <c r="A924" s="20">
        <v>45420.273610999997</v>
      </c>
      <c r="B924" s="17">
        <v>79.138339000000002</v>
      </c>
    </row>
    <row r="925" spans="1:2" x14ac:dyDescent="0.3">
      <c r="A925" s="20">
        <v>45420.274305999999</v>
      </c>
      <c r="B925" s="17">
        <v>79.495936999999998</v>
      </c>
    </row>
    <row r="926" spans="1:2" x14ac:dyDescent="0.3">
      <c r="A926" s="20">
        <v>45420.275000000001</v>
      </c>
      <c r="B926" s="17">
        <v>78.280445999999998</v>
      </c>
    </row>
    <row r="927" spans="1:2" x14ac:dyDescent="0.3">
      <c r="A927" s="20">
        <v>45420.275694000004</v>
      </c>
      <c r="B927" s="17">
        <v>79.521355999999997</v>
      </c>
    </row>
    <row r="928" spans="1:2" x14ac:dyDescent="0.3">
      <c r="A928" s="20">
        <v>45420.276388999999</v>
      </c>
      <c r="B928" s="17">
        <v>78.223331000000002</v>
      </c>
    </row>
    <row r="929" spans="1:2" x14ac:dyDescent="0.3">
      <c r="A929" s="20">
        <v>45420.277083000001</v>
      </c>
      <c r="B929" s="17">
        <v>77.982151000000002</v>
      </c>
    </row>
    <row r="930" spans="1:2" x14ac:dyDescent="0.3">
      <c r="A930" s="20">
        <v>45420.277778000003</v>
      </c>
      <c r="B930" s="17">
        <v>78.132530000000003</v>
      </c>
    </row>
    <row r="931" spans="1:2" x14ac:dyDescent="0.3">
      <c r="A931" s="20">
        <v>45420.278471999998</v>
      </c>
      <c r="B931" s="17">
        <v>79.698070000000001</v>
      </c>
    </row>
    <row r="932" spans="1:2" x14ac:dyDescent="0.3">
      <c r="A932" s="20">
        <v>45420.279167000001</v>
      </c>
      <c r="B932" s="17">
        <v>78.822423000000001</v>
      </c>
    </row>
    <row r="933" spans="1:2" x14ac:dyDescent="0.3">
      <c r="A933" s="20">
        <v>45420.279861000003</v>
      </c>
      <c r="B933" s="17">
        <v>78.176416000000003</v>
      </c>
    </row>
    <row r="934" spans="1:2" x14ac:dyDescent="0.3">
      <c r="A934" s="20">
        <v>45420.280555999998</v>
      </c>
      <c r="B934" s="17">
        <v>77.418057000000005</v>
      </c>
    </row>
    <row r="935" spans="1:2" x14ac:dyDescent="0.3">
      <c r="A935" s="20">
        <v>45420.28125</v>
      </c>
      <c r="B935" s="17">
        <v>78.698734999999999</v>
      </c>
    </row>
    <row r="936" spans="1:2" x14ac:dyDescent="0.3">
      <c r="A936" s="20">
        <v>45420.281944000002</v>
      </c>
      <c r="B936" s="17">
        <v>77.535066</v>
      </c>
    </row>
    <row r="937" spans="1:2" x14ac:dyDescent="0.3">
      <c r="A937" s="20">
        <v>45420.282638999997</v>
      </c>
      <c r="B937" s="17">
        <v>77.861694</v>
      </c>
    </row>
    <row r="938" spans="1:2" x14ac:dyDescent="0.3">
      <c r="A938" s="20">
        <v>45420.283332999999</v>
      </c>
      <c r="B938" s="17">
        <v>77.885447999999997</v>
      </c>
    </row>
    <row r="939" spans="1:2" x14ac:dyDescent="0.3">
      <c r="A939" s="20">
        <v>45420.284028000002</v>
      </c>
      <c r="B939" s="17">
        <v>78.871544</v>
      </c>
    </row>
    <row r="940" spans="1:2" x14ac:dyDescent="0.3">
      <c r="A940" s="20">
        <v>45420.284721999997</v>
      </c>
      <c r="B940" s="17">
        <v>79.894165000000001</v>
      </c>
    </row>
    <row r="941" spans="1:2" x14ac:dyDescent="0.3">
      <c r="A941" s="20">
        <v>45420.285416999999</v>
      </c>
      <c r="B941" s="17">
        <v>77.972194999999999</v>
      </c>
    </row>
    <row r="942" spans="1:2" x14ac:dyDescent="0.3">
      <c r="A942" s="20">
        <v>45420.286111000001</v>
      </c>
      <c r="B942" s="17">
        <v>80.215907999999999</v>
      </c>
    </row>
    <row r="943" spans="1:2" x14ac:dyDescent="0.3">
      <c r="A943" s="20">
        <v>45420.286805999996</v>
      </c>
      <c r="B943" s="17">
        <v>79.467095</v>
      </c>
    </row>
    <row r="944" spans="1:2" x14ac:dyDescent="0.3">
      <c r="A944" s="20">
        <v>45420.287499999999</v>
      </c>
      <c r="B944" s="17">
        <v>79.427383000000006</v>
      </c>
    </row>
    <row r="945" spans="1:2" x14ac:dyDescent="0.3">
      <c r="A945" s="20">
        <v>45420.288194000001</v>
      </c>
      <c r="B945" s="17">
        <v>79.438001999999997</v>
      </c>
    </row>
    <row r="946" spans="1:2" x14ac:dyDescent="0.3">
      <c r="A946" s="20">
        <v>45420.288889000003</v>
      </c>
      <c r="B946" s="17">
        <v>78.739609000000002</v>
      </c>
    </row>
    <row r="947" spans="1:2" x14ac:dyDescent="0.3">
      <c r="A947" s="20">
        <v>45420.289582999998</v>
      </c>
      <c r="B947" s="17">
        <v>78.061982999999998</v>
      </c>
    </row>
    <row r="948" spans="1:2" x14ac:dyDescent="0.3">
      <c r="A948" s="20">
        <v>45420.290278</v>
      </c>
      <c r="B948" s="17">
        <v>79.023081000000005</v>
      </c>
    </row>
    <row r="949" spans="1:2" x14ac:dyDescent="0.3">
      <c r="A949" s="20">
        <v>45420.290972000003</v>
      </c>
      <c r="B949" s="17">
        <v>79.368959000000004</v>
      </c>
    </row>
    <row r="950" spans="1:2" x14ac:dyDescent="0.3">
      <c r="A950" s="20">
        <v>45420.291666999998</v>
      </c>
      <c r="B950" s="17">
        <v>79.385582999999997</v>
      </c>
    </row>
    <row r="951" spans="1:2" x14ac:dyDescent="0.3">
      <c r="A951" s="20">
        <v>45420.292361</v>
      </c>
      <c r="B951" s="17">
        <v>78.941153</v>
      </c>
    </row>
    <row r="952" spans="1:2" x14ac:dyDescent="0.3">
      <c r="A952" s="20">
        <v>45420.293056000002</v>
      </c>
      <c r="B952" s="17">
        <v>79.900647000000006</v>
      </c>
    </row>
    <row r="953" spans="1:2" x14ac:dyDescent="0.3">
      <c r="A953" s="20">
        <v>45420.293749999997</v>
      </c>
      <c r="B953" s="17">
        <v>79.807030999999995</v>
      </c>
    </row>
    <row r="954" spans="1:2" x14ac:dyDescent="0.3">
      <c r="A954" s="20">
        <v>45420.294443999999</v>
      </c>
      <c r="B954" s="17">
        <v>79.081811999999999</v>
      </c>
    </row>
    <row r="955" spans="1:2" x14ac:dyDescent="0.3">
      <c r="A955" s="20">
        <v>45420.295139000002</v>
      </c>
      <c r="B955" s="17">
        <v>76.849198000000001</v>
      </c>
    </row>
    <row r="956" spans="1:2" x14ac:dyDescent="0.3">
      <c r="A956" s="20">
        <v>45420.295832999996</v>
      </c>
      <c r="B956" s="17">
        <v>79.438533000000007</v>
      </c>
    </row>
    <row r="957" spans="1:2" x14ac:dyDescent="0.3">
      <c r="A957" s="20">
        <v>45420.296527999999</v>
      </c>
      <c r="B957" s="17">
        <v>79.472708999999995</v>
      </c>
    </row>
    <row r="958" spans="1:2" x14ac:dyDescent="0.3">
      <c r="A958" s="20">
        <v>45420.297222000001</v>
      </c>
      <c r="B958" s="17">
        <v>78.908000999999999</v>
      </c>
    </row>
    <row r="959" spans="1:2" x14ac:dyDescent="0.3">
      <c r="A959" s="20">
        <v>45420.297917000004</v>
      </c>
      <c r="B959" s="17">
        <v>79.314515</v>
      </c>
    </row>
    <row r="960" spans="1:2" x14ac:dyDescent="0.3">
      <c r="A960" s="20">
        <v>45420.298610999998</v>
      </c>
      <c r="B960" s="17">
        <v>78.552751999999998</v>
      </c>
    </row>
    <row r="961" spans="1:2" x14ac:dyDescent="0.3">
      <c r="A961" s="20">
        <v>45420.299306000001</v>
      </c>
      <c r="B961" s="17">
        <v>78.964912999999996</v>
      </c>
    </row>
    <row r="962" spans="1:2" x14ac:dyDescent="0.3">
      <c r="A962" s="20">
        <v>45420.3</v>
      </c>
      <c r="B962" s="17">
        <v>78.465615</v>
      </c>
    </row>
    <row r="963" spans="1:2" x14ac:dyDescent="0.3">
      <c r="A963" s="20">
        <v>45420.300693999998</v>
      </c>
      <c r="B963" s="17">
        <v>79.226939000000002</v>
      </c>
    </row>
    <row r="964" spans="1:2" x14ac:dyDescent="0.3">
      <c r="A964" s="20">
        <v>45420.301389</v>
      </c>
      <c r="B964" s="17">
        <v>69.228218999999996</v>
      </c>
    </row>
    <row r="965" spans="1:2" x14ac:dyDescent="0.3">
      <c r="A965" s="20">
        <v>45420.302083000002</v>
      </c>
      <c r="B965" s="17">
        <v>68.265945000000002</v>
      </c>
    </row>
    <row r="966" spans="1:2" x14ac:dyDescent="0.3">
      <c r="A966" s="20">
        <v>45420.302777999997</v>
      </c>
      <c r="B966" s="17">
        <v>68.846834999999999</v>
      </c>
    </row>
    <row r="967" spans="1:2" x14ac:dyDescent="0.3">
      <c r="A967" s="20">
        <v>45420.303472</v>
      </c>
      <c r="B967" s="17">
        <v>68.649609999999996</v>
      </c>
    </row>
    <row r="968" spans="1:2" x14ac:dyDescent="0.3">
      <c r="A968" s="20">
        <v>45420.304167000002</v>
      </c>
      <c r="B968" s="17">
        <v>67.722465999999997</v>
      </c>
    </row>
    <row r="969" spans="1:2" x14ac:dyDescent="0.3">
      <c r="A969" s="20">
        <v>45420.304860999997</v>
      </c>
      <c r="B969" s="17">
        <v>69.950061000000005</v>
      </c>
    </row>
    <row r="970" spans="1:2" x14ac:dyDescent="0.3">
      <c r="A970" s="20">
        <v>45420.305555999999</v>
      </c>
      <c r="B970" s="17">
        <v>69.190555000000003</v>
      </c>
    </row>
    <row r="971" spans="1:2" x14ac:dyDescent="0.3">
      <c r="A971" s="20">
        <v>45420.306250000001</v>
      </c>
      <c r="B971" s="17">
        <v>68.574466000000001</v>
      </c>
    </row>
    <row r="972" spans="1:2" x14ac:dyDescent="0.3">
      <c r="A972" s="20">
        <v>45420.306944000004</v>
      </c>
      <c r="B972" s="17">
        <v>67.796885000000003</v>
      </c>
    </row>
    <row r="973" spans="1:2" x14ac:dyDescent="0.3">
      <c r="A973" s="20">
        <v>45420.307638999999</v>
      </c>
      <c r="B973" s="17">
        <v>69.204517999999993</v>
      </c>
    </row>
    <row r="974" spans="1:2" x14ac:dyDescent="0.3">
      <c r="A974" s="20">
        <v>45420.308333000001</v>
      </c>
      <c r="B974" s="17">
        <v>69.347662</v>
      </c>
    </row>
    <row r="975" spans="1:2" x14ac:dyDescent="0.3">
      <c r="A975" s="20">
        <v>45420.309028000003</v>
      </c>
      <c r="B975" s="17">
        <v>69.153096000000005</v>
      </c>
    </row>
    <row r="976" spans="1:2" x14ac:dyDescent="0.3">
      <c r="A976" s="20">
        <v>45420.309721999998</v>
      </c>
      <c r="B976" s="17">
        <v>69.465204999999997</v>
      </c>
    </row>
    <row r="977" spans="1:2" x14ac:dyDescent="0.3">
      <c r="A977" s="20">
        <v>45420.310417000001</v>
      </c>
      <c r="B977" s="17">
        <v>68.245881999999995</v>
      </c>
    </row>
    <row r="978" spans="1:2" x14ac:dyDescent="0.3">
      <c r="A978" s="20">
        <v>45420.311111000003</v>
      </c>
      <c r="B978" s="17">
        <v>68.666169999999994</v>
      </c>
    </row>
    <row r="979" spans="1:2" x14ac:dyDescent="0.3">
      <c r="A979" s="20">
        <v>45420.311805999998</v>
      </c>
      <c r="B979" s="17">
        <v>69.047415000000001</v>
      </c>
    </row>
    <row r="980" spans="1:2" x14ac:dyDescent="0.3">
      <c r="A980" s="20">
        <v>45420.3125</v>
      </c>
      <c r="B980" s="17">
        <v>68.664084000000003</v>
      </c>
    </row>
    <row r="981" spans="1:2" x14ac:dyDescent="0.3">
      <c r="A981" s="20">
        <v>45420.313194000002</v>
      </c>
      <c r="B981" s="17">
        <v>68.113021000000003</v>
      </c>
    </row>
    <row r="982" spans="1:2" x14ac:dyDescent="0.3">
      <c r="A982" s="20">
        <v>45420.313888999997</v>
      </c>
      <c r="B982" s="17">
        <v>69.663805999999994</v>
      </c>
    </row>
    <row r="983" spans="1:2" x14ac:dyDescent="0.3">
      <c r="A983" s="20">
        <v>45420.314582999999</v>
      </c>
      <c r="B983" s="17">
        <v>68.601913999999994</v>
      </c>
    </row>
    <row r="984" spans="1:2" x14ac:dyDescent="0.3">
      <c r="A984" s="20">
        <v>45420.315278000002</v>
      </c>
      <c r="B984" s="17">
        <v>68.844683000000003</v>
      </c>
    </row>
    <row r="985" spans="1:2" x14ac:dyDescent="0.3">
      <c r="A985" s="20">
        <v>45420.315971999997</v>
      </c>
      <c r="B985" s="17">
        <v>68.818753999999998</v>
      </c>
    </row>
    <row r="986" spans="1:2" x14ac:dyDescent="0.3">
      <c r="A986" s="20">
        <v>45420.316666999999</v>
      </c>
      <c r="B986" s="17">
        <v>69.907212999999999</v>
      </c>
    </row>
    <row r="987" spans="1:2" x14ac:dyDescent="0.3">
      <c r="A987" s="20">
        <v>45420.317361000001</v>
      </c>
      <c r="B987" s="17">
        <v>68.767493999999999</v>
      </c>
    </row>
    <row r="988" spans="1:2" x14ac:dyDescent="0.3">
      <c r="A988" s="20">
        <v>45420.318055999996</v>
      </c>
      <c r="B988" s="17">
        <v>68.515772999999996</v>
      </c>
    </row>
    <row r="989" spans="1:2" x14ac:dyDescent="0.3">
      <c r="A989" s="20">
        <v>45420.318749999999</v>
      </c>
      <c r="B989" s="17">
        <v>69.660514000000006</v>
      </c>
    </row>
    <row r="990" spans="1:2" x14ac:dyDescent="0.3">
      <c r="A990" s="20">
        <v>45420.319444000001</v>
      </c>
      <c r="B990" s="17">
        <v>68.621211000000002</v>
      </c>
    </row>
    <row r="991" spans="1:2" x14ac:dyDescent="0.3">
      <c r="A991" s="20">
        <v>45420.320139000003</v>
      </c>
      <c r="B991" s="17">
        <v>67.933924000000005</v>
      </c>
    </row>
    <row r="992" spans="1:2" x14ac:dyDescent="0.3">
      <c r="A992" s="20">
        <v>45420.320832999998</v>
      </c>
      <c r="B992" s="17">
        <v>66.785832999999997</v>
      </c>
    </row>
    <row r="993" spans="1:2" x14ac:dyDescent="0.3">
      <c r="A993" s="20">
        <v>45420.321528</v>
      </c>
      <c r="B993" s="17">
        <v>69.790451000000004</v>
      </c>
    </row>
    <row r="994" spans="1:2" x14ac:dyDescent="0.3">
      <c r="A994" s="20">
        <v>45420.322222000003</v>
      </c>
      <c r="B994" s="17">
        <v>69.247397000000007</v>
      </c>
    </row>
    <row r="995" spans="1:2" x14ac:dyDescent="0.3">
      <c r="A995" s="20">
        <v>45420.322916999998</v>
      </c>
      <c r="B995" s="17">
        <v>69.992468000000002</v>
      </c>
    </row>
    <row r="996" spans="1:2" x14ac:dyDescent="0.3">
      <c r="A996" s="20">
        <v>45420.323611</v>
      </c>
      <c r="B996" s="17">
        <v>68.955268000000004</v>
      </c>
    </row>
    <row r="997" spans="1:2" x14ac:dyDescent="0.3">
      <c r="A997" s="20">
        <v>45420.324306000002</v>
      </c>
      <c r="B997" s="17">
        <v>69.550362000000007</v>
      </c>
    </row>
    <row r="998" spans="1:2" x14ac:dyDescent="0.3">
      <c r="A998" s="20">
        <v>45420.324999999997</v>
      </c>
      <c r="B998" s="17">
        <v>68.778032999999994</v>
      </c>
    </row>
    <row r="999" spans="1:2" x14ac:dyDescent="0.3">
      <c r="A999" s="20">
        <v>45420.325693999999</v>
      </c>
      <c r="B999" s="17">
        <v>70.204589999999996</v>
      </c>
    </row>
    <row r="1000" spans="1:2" x14ac:dyDescent="0.3">
      <c r="A1000" s="20">
        <v>45420.326389000002</v>
      </c>
      <c r="B1000" s="17">
        <v>69.771610999999993</v>
      </c>
    </row>
    <row r="1001" spans="1:2" x14ac:dyDescent="0.3">
      <c r="A1001" s="20">
        <v>45420.327082999996</v>
      </c>
      <c r="B1001" s="17">
        <v>68.860849000000002</v>
      </c>
    </row>
    <row r="1002" spans="1:2" x14ac:dyDescent="0.3">
      <c r="A1002" s="20">
        <v>45420.327777999999</v>
      </c>
      <c r="B1002" s="17">
        <v>67.879844000000006</v>
      </c>
    </row>
    <row r="1003" spans="1:2" x14ac:dyDescent="0.3">
      <c r="A1003" s="20">
        <v>45420.328472000001</v>
      </c>
      <c r="B1003" s="17">
        <v>68.930458999999999</v>
      </c>
    </row>
    <row r="1004" spans="1:2" x14ac:dyDescent="0.3">
      <c r="A1004" s="20">
        <v>45420.329167000004</v>
      </c>
      <c r="B1004" s="17">
        <v>68.973419000000007</v>
      </c>
    </row>
    <row r="1005" spans="1:2" x14ac:dyDescent="0.3">
      <c r="A1005" s="20">
        <v>45420.329860999998</v>
      </c>
      <c r="B1005" s="17">
        <v>68.259815000000003</v>
      </c>
    </row>
    <row r="1006" spans="1:2" x14ac:dyDescent="0.3">
      <c r="A1006" s="20">
        <v>45420.330556000001</v>
      </c>
      <c r="B1006" s="17">
        <v>68.320514000000003</v>
      </c>
    </row>
    <row r="1007" spans="1:2" x14ac:dyDescent="0.3">
      <c r="A1007" s="20">
        <v>45420.331250000003</v>
      </c>
      <c r="B1007" s="17">
        <v>69.007029000000003</v>
      </c>
    </row>
    <row r="1008" spans="1:2" x14ac:dyDescent="0.3">
      <c r="A1008" s="20">
        <v>45420.331943999998</v>
      </c>
      <c r="B1008" s="17">
        <v>70.209902999999997</v>
      </c>
    </row>
    <row r="1009" spans="1:2" x14ac:dyDescent="0.3">
      <c r="A1009" s="20">
        <v>45420.332639</v>
      </c>
      <c r="B1009" s="17">
        <v>70.306578999999999</v>
      </c>
    </row>
    <row r="1010" spans="1:2" x14ac:dyDescent="0.3">
      <c r="A1010" s="20">
        <v>45420.333333000002</v>
      </c>
      <c r="B1010" s="17">
        <v>69.689722000000003</v>
      </c>
    </row>
    <row r="1011" spans="1:2" x14ac:dyDescent="0.3">
      <c r="A1011" s="20">
        <v>45420.334027999997</v>
      </c>
      <c r="B1011" s="17">
        <v>69.714305999999993</v>
      </c>
    </row>
    <row r="1012" spans="1:2" x14ac:dyDescent="0.3">
      <c r="A1012" s="20">
        <v>45420.334722</v>
      </c>
      <c r="B1012" s="17">
        <v>69.995502000000002</v>
      </c>
    </row>
    <row r="1013" spans="1:2" x14ac:dyDescent="0.3">
      <c r="A1013" s="20">
        <v>45420.335417000002</v>
      </c>
      <c r="B1013" s="17">
        <v>70.229229000000004</v>
      </c>
    </row>
    <row r="1014" spans="1:2" x14ac:dyDescent="0.3">
      <c r="A1014" s="20">
        <v>45420.336110999997</v>
      </c>
      <c r="B1014" s="17">
        <v>70.229750999999993</v>
      </c>
    </row>
    <row r="1015" spans="1:2" x14ac:dyDescent="0.3">
      <c r="A1015" s="20">
        <v>45420.336805999999</v>
      </c>
      <c r="B1015" s="17">
        <v>69.713554000000002</v>
      </c>
    </row>
    <row r="1016" spans="1:2" x14ac:dyDescent="0.3">
      <c r="A1016" s="20">
        <v>45420.337500000001</v>
      </c>
      <c r="B1016" s="17">
        <v>69.638981000000001</v>
      </c>
    </row>
    <row r="1017" spans="1:2" x14ac:dyDescent="0.3">
      <c r="A1017" s="20">
        <v>45420.338194000004</v>
      </c>
      <c r="B1017" s="17">
        <v>69.585065</v>
      </c>
    </row>
    <row r="1018" spans="1:2" x14ac:dyDescent="0.3">
      <c r="A1018" s="20">
        <v>45420.338888999999</v>
      </c>
      <c r="B1018" s="17">
        <v>70.309718000000004</v>
      </c>
    </row>
    <row r="1019" spans="1:2" x14ac:dyDescent="0.3">
      <c r="A1019" s="20">
        <v>45420.339583000001</v>
      </c>
      <c r="B1019" s="17">
        <v>69.100031999999999</v>
      </c>
    </row>
    <row r="1020" spans="1:2" x14ac:dyDescent="0.3">
      <c r="A1020" s="20">
        <v>45420.340278000003</v>
      </c>
      <c r="B1020" s="17">
        <v>69.992582999999996</v>
      </c>
    </row>
    <row r="1021" spans="1:2" x14ac:dyDescent="0.3">
      <c r="A1021" s="20">
        <v>45420.340971999998</v>
      </c>
      <c r="B1021" s="17">
        <v>69.765039000000002</v>
      </c>
    </row>
    <row r="1022" spans="1:2" x14ac:dyDescent="0.3">
      <c r="A1022" s="20">
        <v>45420.341667000001</v>
      </c>
      <c r="B1022" s="17">
        <v>69.725768000000002</v>
      </c>
    </row>
    <row r="1023" spans="1:2" x14ac:dyDescent="0.3">
      <c r="A1023" s="20">
        <v>45420.342361000003</v>
      </c>
      <c r="B1023" s="17">
        <v>71.211810999999997</v>
      </c>
    </row>
    <row r="1024" spans="1:2" x14ac:dyDescent="0.3">
      <c r="A1024" s="20">
        <v>45420.343055999998</v>
      </c>
      <c r="B1024" s="17">
        <v>71.498389000000003</v>
      </c>
    </row>
    <row r="1025" spans="1:2" x14ac:dyDescent="0.3">
      <c r="A1025" s="20">
        <v>45420.34375</v>
      </c>
      <c r="B1025" s="17">
        <v>69.535658999999995</v>
      </c>
    </row>
    <row r="1026" spans="1:2" x14ac:dyDescent="0.3">
      <c r="A1026" s="20">
        <v>45420.344444000002</v>
      </c>
      <c r="B1026" s="17">
        <v>69.457558000000006</v>
      </c>
    </row>
    <row r="1027" spans="1:2" x14ac:dyDescent="0.3">
      <c r="A1027" s="20">
        <v>45420.345138999997</v>
      </c>
      <c r="B1027" s="17">
        <v>69.927096000000006</v>
      </c>
    </row>
    <row r="1028" spans="1:2" x14ac:dyDescent="0.3">
      <c r="A1028" s="20">
        <v>45420.345832999999</v>
      </c>
      <c r="B1028" s="17">
        <v>70.645201999999998</v>
      </c>
    </row>
    <row r="1029" spans="1:2" x14ac:dyDescent="0.3">
      <c r="A1029" s="20">
        <v>45420.346528000002</v>
      </c>
      <c r="B1029" s="17">
        <v>70.647912000000005</v>
      </c>
    </row>
    <row r="1030" spans="1:2" x14ac:dyDescent="0.3">
      <c r="A1030" s="20">
        <v>45420.347221999997</v>
      </c>
      <c r="B1030" s="17">
        <v>70.585975000000005</v>
      </c>
    </row>
    <row r="1031" spans="1:2" x14ac:dyDescent="0.3">
      <c r="A1031" s="20">
        <v>45420.347916999999</v>
      </c>
      <c r="B1031" s="17">
        <v>69.762533000000005</v>
      </c>
    </row>
    <row r="1032" spans="1:2" x14ac:dyDescent="0.3">
      <c r="A1032" s="20">
        <v>45420.348611000001</v>
      </c>
      <c r="B1032" s="17">
        <v>70.852621999999997</v>
      </c>
    </row>
    <row r="1033" spans="1:2" x14ac:dyDescent="0.3">
      <c r="A1033" s="20">
        <v>45420.349305999996</v>
      </c>
      <c r="B1033" s="17">
        <v>70.152541999999997</v>
      </c>
    </row>
    <row r="1034" spans="1:2" x14ac:dyDescent="0.3">
      <c r="A1034" s="20">
        <v>45420.35</v>
      </c>
      <c r="B1034" s="17">
        <v>71.482196000000002</v>
      </c>
    </row>
    <row r="1035" spans="1:2" x14ac:dyDescent="0.3">
      <c r="A1035" s="20">
        <v>45420.350694000001</v>
      </c>
      <c r="B1035" s="17">
        <v>70.437940999999995</v>
      </c>
    </row>
    <row r="1036" spans="1:2" x14ac:dyDescent="0.3">
      <c r="A1036" s="20">
        <v>45420.351389000003</v>
      </c>
      <c r="B1036" s="17">
        <v>71.016052000000002</v>
      </c>
    </row>
    <row r="1037" spans="1:2" x14ac:dyDescent="0.3">
      <c r="A1037" s="20">
        <v>45420.352082999998</v>
      </c>
      <c r="B1037" s="17">
        <v>70.196247999999997</v>
      </c>
    </row>
    <row r="1038" spans="1:2" x14ac:dyDescent="0.3">
      <c r="A1038" s="20">
        <v>45420.352778</v>
      </c>
      <c r="B1038" s="17">
        <v>70.073183</v>
      </c>
    </row>
    <row r="1039" spans="1:2" x14ac:dyDescent="0.3">
      <c r="A1039" s="20">
        <v>45420.353472000003</v>
      </c>
      <c r="B1039" s="17">
        <v>69.841783000000007</v>
      </c>
    </row>
    <row r="1040" spans="1:2" x14ac:dyDescent="0.3">
      <c r="A1040" s="20">
        <v>45420.354166999998</v>
      </c>
      <c r="B1040" s="17">
        <v>70.262698</v>
      </c>
    </row>
    <row r="1041" spans="1:2" x14ac:dyDescent="0.3">
      <c r="A1041" s="20">
        <v>45420.354861</v>
      </c>
      <c r="B1041" s="17">
        <v>70.726527000000004</v>
      </c>
    </row>
    <row r="1042" spans="1:2" x14ac:dyDescent="0.3">
      <c r="A1042" s="20">
        <v>45420.355556000002</v>
      </c>
      <c r="B1042" s="17">
        <v>70.418318999999997</v>
      </c>
    </row>
    <row r="1043" spans="1:2" x14ac:dyDescent="0.3">
      <c r="A1043" s="20">
        <v>45420.356249999997</v>
      </c>
      <c r="B1043" s="17">
        <v>71.140100000000004</v>
      </c>
    </row>
    <row r="1044" spans="1:2" x14ac:dyDescent="0.3">
      <c r="A1044" s="20">
        <v>45420.356943999999</v>
      </c>
      <c r="B1044" s="17">
        <v>69.102748000000005</v>
      </c>
    </row>
    <row r="1045" spans="1:2" x14ac:dyDescent="0.3">
      <c r="A1045" s="20">
        <v>45420.357639000002</v>
      </c>
      <c r="B1045" s="17">
        <v>68.894510999999994</v>
      </c>
    </row>
    <row r="1046" spans="1:2" x14ac:dyDescent="0.3">
      <c r="A1046" s="20">
        <v>45420.358332999996</v>
      </c>
      <c r="B1046" s="17">
        <v>70.565568999999996</v>
      </c>
    </row>
    <row r="1047" spans="1:2" x14ac:dyDescent="0.3">
      <c r="A1047" s="20">
        <v>45420.359027999999</v>
      </c>
      <c r="B1047" s="17">
        <v>69.553246000000001</v>
      </c>
    </row>
    <row r="1048" spans="1:2" x14ac:dyDescent="0.3">
      <c r="A1048" s="20">
        <v>45420.359722000001</v>
      </c>
      <c r="B1048" s="17">
        <v>70.518493000000007</v>
      </c>
    </row>
    <row r="1049" spans="1:2" x14ac:dyDescent="0.3">
      <c r="A1049" s="20">
        <v>45420.360417000004</v>
      </c>
      <c r="B1049" s="17">
        <v>55.18929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2777ed-8237-4ab9-9278-2c144d6f6da3}" enabled="0" method="" siteId="{9e2777ed-8237-4ab9-9278-2c144d6f6da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Flow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Govea Alvarez</dc:creator>
  <cp:lastModifiedBy>Paulina Govea Alvarez</cp:lastModifiedBy>
  <dcterms:created xsi:type="dcterms:W3CDTF">2024-05-17T15:35:51Z</dcterms:created>
  <dcterms:modified xsi:type="dcterms:W3CDTF">2026-08-10T14:34:05Z</dcterms:modified>
</cp:coreProperties>
</file>