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20240426 - Ag60 GDE_0.6 M Na2SO4_pH3/"/>
    </mc:Choice>
  </mc:AlternateContent>
  <xr:revisionPtr revIDLastSave="100" documentId="13_ncr:1_{2BDC1A9A-0972-4A11-BAC6-AA582E7D2364}" xr6:coauthVersionLast="47" xr6:coauthVersionMax="47" xr10:uidLastSave="{66C20142-335C-42E4-A643-D0E00DC183A1}"/>
  <bookViews>
    <workbookView xWindow="11424" yWindow="0" windowWidth="11712" windowHeight="12336" xr2:uid="{15374DF8-AA4F-49FF-8BB1-7BFD50C5D9E4}"/>
  </bookViews>
  <sheets>
    <sheet name="Acidic catholyte_Cs2SO4" sheetId="1" r:id="rId1"/>
    <sheet name="Flow r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Q4" i="1"/>
  <c r="U4" i="1" s="1"/>
  <c r="R4" i="1"/>
  <c r="S4" i="1"/>
  <c r="P5" i="1"/>
  <c r="Q5" i="1"/>
  <c r="R5" i="1"/>
  <c r="S5" i="1"/>
  <c r="P6" i="1"/>
  <c r="Q6" i="1"/>
  <c r="R6" i="1"/>
  <c r="S6" i="1"/>
  <c r="P7" i="1"/>
  <c r="Q7" i="1"/>
  <c r="R7" i="1"/>
  <c r="S7" i="1"/>
  <c r="P8" i="1"/>
  <c r="Q8" i="1"/>
  <c r="R8" i="1"/>
  <c r="S8" i="1"/>
  <c r="P9" i="1"/>
  <c r="Q9" i="1"/>
  <c r="R9" i="1"/>
  <c r="S9" i="1"/>
  <c r="P10" i="1"/>
  <c r="Q10" i="1"/>
  <c r="R10" i="1"/>
  <c r="S10" i="1"/>
  <c r="P11" i="1"/>
  <c r="Q11" i="1"/>
  <c r="R11" i="1"/>
  <c r="S11" i="1"/>
  <c r="P12" i="1"/>
  <c r="Q12" i="1"/>
  <c r="R12" i="1"/>
  <c r="S12" i="1"/>
  <c r="P13" i="1"/>
  <c r="Q13" i="1"/>
  <c r="R13" i="1"/>
  <c r="S13" i="1"/>
  <c r="P14" i="1"/>
  <c r="Q14" i="1"/>
  <c r="R14" i="1"/>
  <c r="S14" i="1"/>
  <c r="P15" i="1"/>
  <c r="Q15" i="1"/>
  <c r="R15" i="1"/>
  <c r="S15" i="1"/>
  <c r="P16" i="1"/>
  <c r="Q16" i="1"/>
  <c r="R16" i="1"/>
  <c r="S16" i="1"/>
  <c r="P17" i="1"/>
  <c r="Q17" i="1"/>
  <c r="R17" i="1"/>
  <c r="S17" i="1"/>
  <c r="P18" i="1"/>
  <c r="Q18" i="1"/>
  <c r="R18" i="1"/>
  <c r="S18" i="1"/>
  <c r="P19" i="1"/>
  <c r="Q19" i="1"/>
  <c r="R19" i="1"/>
  <c r="S19" i="1"/>
  <c r="P20" i="1"/>
  <c r="Q20" i="1"/>
  <c r="R20" i="1"/>
  <c r="S20" i="1"/>
  <c r="P21" i="1"/>
  <c r="Q21" i="1"/>
  <c r="R21" i="1"/>
  <c r="S21" i="1"/>
  <c r="P22" i="1"/>
  <c r="Q22" i="1"/>
  <c r="R22" i="1"/>
  <c r="S22" i="1"/>
  <c r="P23" i="1"/>
  <c r="Q23" i="1"/>
  <c r="R23" i="1"/>
  <c r="S23" i="1"/>
  <c r="P24" i="1"/>
  <c r="Q24" i="1"/>
  <c r="R24" i="1"/>
  <c r="S24" i="1"/>
  <c r="P25" i="1"/>
  <c r="Q25" i="1"/>
  <c r="R25" i="1"/>
  <c r="S25" i="1"/>
  <c r="P26" i="1"/>
  <c r="Q26" i="1"/>
  <c r="R26" i="1"/>
  <c r="S26" i="1"/>
  <c r="P27" i="1"/>
  <c r="Q27" i="1"/>
  <c r="R27" i="1"/>
  <c r="S27" i="1"/>
  <c r="P28" i="1"/>
  <c r="Q28" i="1"/>
  <c r="R28" i="1"/>
  <c r="S28" i="1"/>
  <c r="P29" i="1"/>
  <c r="Q29" i="1"/>
  <c r="R29" i="1"/>
  <c r="S29" i="1"/>
  <c r="P30" i="1"/>
  <c r="Q30" i="1"/>
  <c r="R30" i="1"/>
  <c r="S30" i="1"/>
  <c r="P31" i="1"/>
  <c r="Q31" i="1"/>
  <c r="R31" i="1"/>
  <c r="S31" i="1"/>
  <c r="P32" i="1"/>
  <c r="Q32" i="1"/>
  <c r="R32" i="1"/>
  <c r="S32" i="1"/>
  <c r="P33" i="1"/>
  <c r="Q33" i="1"/>
  <c r="R33" i="1"/>
  <c r="S33" i="1"/>
  <c r="P34" i="1"/>
  <c r="Q34" i="1"/>
  <c r="R34" i="1"/>
  <c r="S34" i="1"/>
  <c r="P35" i="1"/>
  <c r="Q35" i="1"/>
  <c r="R35" i="1"/>
  <c r="S35" i="1"/>
  <c r="P36" i="1"/>
  <c r="Q36" i="1"/>
  <c r="R36" i="1"/>
  <c r="S36" i="1"/>
  <c r="P37" i="1"/>
  <c r="Q37" i="1"/>
  <c r="R37" i="1"/>
  <c r="S37" i="1"/>
  <c r="P38" i="1"/>
  <c r="Q38" i="1"/>
  <c r="R38" i="1"/>
  <c r="S38" i="1"/>
  <c r="P39" i="1"/>
  <c r="Q39" i="1"/>
  <c r="R39" i="1"/>
  <c r="S39" i="1"/>
  <c r="P40" i="1"/>
  <c r="Q40" i="1"/>
  <c r="R40" i="1"/>
  <c r="S40" i="1"/>
  <c r="P41" i="1"/>
  <c r="Q41" i="1"/>
  <c r="R41" i="1"/>
  <c r="S41" i="1"/>
  <c r="P42" i="1"/>
  <c r="Q42" i="1"/>
  <c r="R42" i="1"/>
  <c r="S42" i="1"/>
  <c r="P43" i="1"/>
  <c r="Q43" i="1"/>
  <c r="R43" i="1"/>
  <c r="S43" i="1"/>
  <c r="P44" i="1"/>
  <c r="Q44" i="1"/>
  <c r="R44" i="1"/>
  <c r="S44" i="1"/>
  <c r="P45" i="1"/>
  <c r="Q45" i="1"/>
  <c r="R45" i="1"/>
  <c r="S45" i="1"/>
  <c r="P46" i="1"/>
  <c r="Q46" i="1"/>
  <c r="R46" i="1"/>
  <c r="S46" i="1"/>
  <c r="P47" i="1"/>
  <c r="Q47" i="1"/>
  <c r="R47" i="1"/>
  <c r="S47" i="1"/>
  <c r="P48" i="1"/>
  <c r="Q48" i="1"/>
  <c r="R48" i="1"/>
  <c r="S48" i="1"/>
  <c r="P49" i="1"/>
  <c r="Q49" i="1"/>
  <c r="R49" i="1"/>
  <c r="S49" i="1"/>
  <c r="P50" i="1"/>
  <c r="Q50" i="1"/>
  <c r="R50" i="1"/>
  <c r="S50" i="1"/>
  <c r="P51" i="1"/>
  <c r="Q51" i="1"/>
  <c r="R51" i="1"/>
  <c r="S51" i="1"/>
  <c r="P52" i="1"/>
  <c r="Q52" i="1"/>
  <c r="R52" i="1"/>
  <c r="S52" i="1"/>
  <c r="P53" i="1"/>
  <c r="Q53" i="1"/>
  <c r="R53" i="1"/>
  <c r="S53" i="1"/>
  <c r="P54" i="1"/>
  <c r="Q54" i="1"/>
  <c r="R54" i="1"/>
  <c r="S54" i="1"/>
  <c r="P55" i="1"/>
  <c r="Q55" i="1"/>
  <c r="R55" i="1"/>
  <c r="S55" i="1"/>
  <c r="P56" i="1"/>
  <c r="Q56" i="1"/>
  <c r="R56" i="1"/>
  <c r="S56" i="1"/>
  <c r="P57" i="1"/>
  <c r="Q57" i="1"/>
  <c r="R57" i="1"/>
  <c r="S57" i="1"/>
  <c r="P58" i="1"/>
  <c r="Q58" i="1"/>
  <c r="R58" i="1"/>
  <c r="S58" i="1"/>
  <c r="P59" i="1"/>
  <c r="Q59" i="1"/>
  <c r="R59" i="1"/>
  <c r="S59" i="1"/>
  <c r="P60" i="1"/>
  <c r="Q60" i="1"/>
  <c r="R60" i="1"/>
  <c r="S60" i="1"/>
  <c r="P61" i="1"/>
  <c r="Q61" i="1"/>
  <c r="R61" i="1"/>
  <c r="S61" i="1"/>
  <c r="P62" i="1"/>
  <c r="Q62" i="1"/>
  <c r="R62" i="1"/>
  <c r="S62" i="1"/>
  <c r="P63" i="1"/>
  <c r="Q63" i="1"/>
  <c r="R63" i="1"/>
  <c r="S63" i="1"/>
  <c r="P64" i="1"/>
  <c r="Q64" i="1"/>
  <c r="R64" i="1"/>
  <c r="S64" i="1"/>
  <c r="P65" i="1"/>
  <c r="Q65" i="1"/>
  <c r="R65" i="1"/>
  <c r="S65" i="1"/>
  <c r="P66" i="1"/>
  <c r="Q66" i="1"/>
  <c r="R66" i="1"/>
  <c r="S66" i="1"/>
  <c r="P67" i="1"/>
  <c r="Q67" i="1"/>
  <c r="R67" i="1"/>
  <c r="S67" i="1"/>
  <c r="P68" i="1"/>
  <c r="Q68" i="1"/>
  <c r="R68" i="1"/>
  <c r="S68" i="1"/>
  <c r="P69" i="1"/>
  <c r="Q69" i="1"/>
  <c r="R69" i="1"/>
  <c r="S69" i="1"/>
  <c r="P70" i="1"/>
  <c r="Q70" i="1"/>
  <c r="R70" i="1"/>
  <c r="S70" i="1"/>
  <c r="P71" i="1"/>
  <c r="Q71" i="1"/>
  <c r="R71" i="1"/>
  <c r="S71" i="1"/>
  <c r="P72" i="1"/>
  <c r="Q72" i="1"/>
  <c r="R72" i="1"/>
  <c r="S72" i="1"/>
  <c r="P73" i="1"/>
  <c r="Q73" i="1"/>
  <c r="R73" i="1"/>
  <c r="S73" i="1"/>
  <c r="P74" i="1"/>
  <c r="Q74" i="1"/>
  <c r="R74" i="1"/>
  <c r="S74" i="1"/>
  <c r="P75" i="1"/>
  <c r="Q75" i="1"/>
  <c r="R75" i="1"/>
  <c r="S75" i="1"/>
  <c r="P76" i="1"/>
  <c r="Q76" i="1"/>
  <c r="R76" i="1"/>
  <c r="S76" i="1"/>
  <c r="P77" i="1"/>
  <c r="Q77" i="1"/>
  <c r="R77" i="1"/>
  <c r="S77" i="1"/>
  <c r="P78" i="1"/>
  <c r="Q78" i="1"/>
  <c r="R78" i="1"/>
  <c r="S78" i="1"/>
  <c r="P79" i="1"/>
  <c r="Q79" i="1"/>
  <c r="R79" i="1"/>
  <c r="S79" i="1"/>
  <c r="P80" i="1"/>
  <c r="Q80" i="1"/>
  <c r="R80" i="1"/>
  <c r="S80" i="1"/>
  <c r="P81" i="1"/>
  <c r="Q81" i="1"/>
  <c r="R81" i="1"/>
  <c r="S81" i="1"/>
  <c r="P82" i="1"/>
  <c r="Q82" i="1"/>
  <c r="R82" i="1"/>
  <c r="S82" i="1"/>
  <c r="P83" i="1"/>
  <c r="Q83" i="1"/>
  <c r="R83" i="1"/>
  <c r="S83" i="1"/>
  <c r="P84" i="1"/>
  <c r="Q84" i="1"/>
  <c r="R84" i="1"/>
  <c r="S84" i="1"/>
  <c r="P85" i="1"/>
  <c r="Q85" i="1"/>
  <c r="R85" i="1"/>
  <c r="S85" i="1"/>
  <c r="P86" i="1"/>
  <c r="Q86" i="1"/>
  <c r="R86" i="1"/>
  <c r="S86" i="1"/>
  <c r="P87" i="1"/>
  <c r="Q87" i="1"/>
  <c r="R87" i="1"/>
  <c r="S87" i="1"/>
  <c r="P88" i="1"/>
  <c r="Q88" i="1"/>
  <c r="R88" i="1"/>
  <c r="S88" i="1"/>
  <c r="P89" i="1"/>
  <c r="Q89" i="1"/>
  <c r="R89" i="1"/>
  <c r="S89" i="1"/>
  <c r="P90" i="1"/>
  <c r="Q90" i="1"/>
  <c r="R90" i="1"/>
  <c r="S90" i="1"/>
  <c r="P91" i="1"/>
  <c r="Q91" i="1"/>
  <c r="R91" i="1"/>
  <c r="S91" i="1"/>
  <c r="P92" i="1"/>
  <c r="Q92" i="1"/>
  <c r="R92" i="1"/>
  <c r="S92" i="1"/>
  <c r="P93" i="1"/>
  <c r="Q93" i="1"/>
  <c r="R93" i="1"/>
  <c r="S93" i="1"/>
  <c r="P94" i="1"/>
  <c r="Q94" i="1"/>
  <c r="R94" i="1"/>
  <c r="S94" i="1"/>
  <c r="P95" i="1"/>
  <c r="Q95" i="1"/>
  <c r="R95" i="1"/>
  <c r="S95" i="1"/>
  <c r="P96" i="1"/>
  <c r="Q96" i="1"/>
  <c r="R96" i="1"/>
  <c r="S96" i="1"/>
  <c r="P97" i="1"/>
  <c r="Q97" i="1"/>
  <c r="R97" i="1"/>
  <c r="S97" i="1"/>
  <c r="P98" i="1"/>
  <c r="Q98" i="1"/>
  <c r="R98" i="1"/>
  <c r="S98" i="1"/>
  <c r="P99" i="1"/>
  <c r="Q99" i="1"/>
  <c r="U99" i="1" s="1"/>
  <c r="R99" i="1"/>
  <c r="S99" i="1"/>
  <c r="P100" i="1"/>
  <c r="Q100" i="1"/>
  <c r="R100" i="1"/>
  <c r="S100" i="1"/>
  <c r="P101" i="1"/>
  <c r="Q101" i="1"/>
  <c r="R101" i="1"/>
  <c r="S101" i="1"/>
  <c r="P102" i="1"/>
  <c r="Q102" i="1"/>
  <c r="R102" i="1"/>
  <c r="S102" i="1"/>
  <c r="P103" i="1"/>
  <c r="Q103" i="1"/>
  <c r="R103" i="1"/>
  <c r="S103" i="1"/>
  <c r="P104" i="1"/>
  <c r="Q104" i="1"/>
  <c r="R104" i="1"/>
  <c r="S104" i="1"/>
  <c r="P105" i="1"/>
  <c r="Q105" i="1"/>
  <c r="R105" i="1"/>
  <c r="S105" i="1"/>
  <c r="P106" i="1"/>
  <c r="Q106" i="1"/>
  <c r="R106" i="1"/>
  <c r="S106" i="1"/>
  <c r="P107" i="1"/>
  <c r="Q107" i="1"/>
  <c r="R107" i="1"/>
  <c r="S107" i="1"/>
  <c r="P108" i="1"/>
  <c r="Q108" i="1"/>
  <c r="R108" i="1"/>
  <c r="S108" i="1"/>
  <c r="P109" i="1"/>
  <c r="Q109" i="1"/>
  <c r="R109" i="1"/>
  <c r="S109" i="1"/>
  <c r="P110" i="1"/>
  <c r="Q110" i="1"/>
  <c r="R110" i="1"/>
  <c r="S110" i="1"/>
  <c r="P111" i="1"/>
  <c r="Q111" i="1"/>
  <c r="R111" i="1"/>
  <c r="S111" i="1"/>
  <c r="P112" i="1"/>
  <c r="Q112" i="1"/>
  <c r="R112" i="1"/>
  <c r="S112" i="1"/>
  <c r="P113" i="1"/>
  <c r="Q113" i="1"/>
  <c r="R113" i="1"/>
  <c r="S113" i="1"/>
  <c r="P114" i="1"/>
  <c r="Q114" i="1"/>
  <c r="R114" i="1"/>
  <c r="S114" i="1"/>
  <c r="P115" i="1"/>
  <c r="Q115" i="1"/>
  <c r="R115" i="1"/>
  <c r="S115" i="1"/>
  <c r="P116" i="1"/>
  <c r="Q116" i="1"/>
  <c r="R116" i="1"/>
  <c r="S116" i="1"/>
  <c r="P117" i="1"/>
  <c r="Q117" i="1"/>
  <c r="R117" i="1"/>
  <c r="S117" i="1"/>
  <c r="P118" i="1"/>
  <c r="Q118" i="1"/>
  <c r="R118" i="1"/>
  <c r="S118" i="1"/>
  <c r="P119" i="1"/>
  <c r="Q119" i="1"/>
  <c r="R119" i="1"/>
  <c r="S119" i="1"/>
  <c r="S3" i="1"/>
  <c r="Q3" i="1"/>
  <c r="R3" i="1"/>
  <c r="P3" i="1"/>
  <c r="S2" i="1"/>
  <c r="R120" i="1"/>
  <c r="Q120" i="1"/>
  <c r="P120" i="1"/>
  <c r="C3" i="2"/>
  <c r="D3" i="2" s="1"/>
  <c r="E3" i="2" s="1" a="1"/>
  <c r="E3" i="2" s="1"/>
  <c r="C4" i="1" s="1"/>
  <c r="C4" i="2"/>
  <c r="D4" i="2" s="1"/>
  <c r="E4" i="2" s="1" a="1"/>
  <c r="E4" i="2" s="1"/>
  <c r="C5" i="1" s="1"/>
  <c r="C5" i="2"/>
  <c r="D5" i="2" s="1"/>
  <c r="E5" i="2" s="1" a="1"/>
  <c r="E5" i="2" s="1"/>
  <c r="C6" i="1" s="1"/>
  <c r="C6" i="2"/>
  <c r="D6" i="2" s="1"/>
  <c r="E6" i="2" s="1" a="1"/>
  <c r="E6" i="2" s="1"/>
  <c r="C7" i="1" s="1"/>
  <c r="C7" i="2"/>
  <c r="D7" i="2" s="1"/>
  <c r="E7" i="2" s="1" a="1"/>
  <c r="E7" i="2" s="1"/>
  <c r="C8" i="1" s="1"/>
  <c r="C8" i="2"/>
  <c r="D8" i="2" s="1"/>
  <c r="E8" i="2" s="1" a="1"/>
  <c r="E8" i="2" s="1"/>
  <c r="C9" i="1" s="1"/>
  <c r="C9" i="2"/>
  <c r="D9" i="2" s="1"/>
  <c r="E9" i="2" s="1" a="1"/>
  <c r="E9" i="2" s="1"/>
  <c r="C10" i="1" s="1"/>
  <c r="C10" i="2"/>
  <c r="D10" i="2" s="1"/>
  <c r="E10" i="2" s="1" a="1"/>
  <c r="E10" i="2" s="1"/>
  <c r="C11" i="1" s="1"/>
  <c r="C11" i="2"/>
  <c r="D11" i="2" s="1"/>
  <c r="E11" i="2" s="1" a="1"/>
  <c r="E11" i="2" s="1"/>
  <c r="C12" i="1" s="1"/>
  <c r="C12" i="2"/>
  <c r="D12" i="2" s="1"/>
  <c r="E12" i="2" s="1" a="1"/>
  <c r="E12" i="2" s="1"/>
  <c r="C13" i="1" s="1"/>
  <c r="C13" i="2"/>
  <c r="D13" i="2" s="1"/>
  <c r="E13" i="2" s="1" a="1"/>
  <c r="E13" i="2" s="1"/>
  <c r="C14" i="1" s="1"/>
  <c r="C14" i="2"/>
  <c r="D14" i="2" s="1"/>
  <c r="E14" i="2" s="1" a="1"/>
  <c r="E14" i="2" s="1"/>
  <c r="C15" i="1" s="1"/>
  <c r="C15" i="2"/>
  <c r="D15" i="2" s="1"/>
  <c r="E15" i="2" s="1" a="1"/>
  <c r="E15" i="2" s="1"/>
  <c r="C16" i="1" s="1"/>
  <c r="C16" i="2"/>
  <c r="D16" i="2" s="1"/>
  <c r="E16" i="2" s="1" a="1"/>
  <c r="E16" i="2" s="1"/>
  <c r="C17" i="1" s="1"/>
  <c r="C17" i="2"/>
  <c r="D17" i="2" s="1"/>
  <c r="E17" i="2" s="1" a="1"/>
  <c r="E17" i="2" s="1"/>
  <c r="C18" i="1" s="1"/>
  <c r="C18" i="2"/>
  <c r="D18" i="2" s="1"/>
  <c r="E18" i="2" s="1" a="1"/>
  <c r="E18" i="2" s="1"/>
  <c r="C19" i="1" s="1"/>
  <c r="C19" i="2"/>
  <c r="D19" i="2" s="1"/>
  <c r="E19" i="2" s="1" a="1"/>
  <c r="E19" i="2" s="1"/>
  <c r="C20" i="1" s="1"/>
  <c r="C20" i="2"/>
  <c r="D20" i="2" s="1"/>
  <c r="E20" i="2" s="1" a="1"/>
  <c r="E20" i="2" s="1"/>
  <c r="C21" i="1" s="1"/>
  <c r="C21" i="2"/>
  <c r="D21" i="2" s="1"/>
  <c r="E21" i="2" s="1" a="1"/>
  <c r="E21" i="2" s="1"/>
  <c r="C22" i="1" s="1"/>
  <c r="C22" i="2"/>
  <c r="D22" i="2" s="1"/>
  <c r="E22" i="2" s="1" a="1"/>
  <c r="E22" i="2" s="1"/>
  <c r="C23" i="1" s="1"/>
  <c r="C23" i="2"/>
  <c r="D23" i="2" s="1"/>
  <c r="E23" i="2" s="1" a="1"/>
  <c r="E23" i="2" s="1"/>
  <c r="C24" i="1" s="1"/>
  <c r="C24" i="2"/>
  <c r="D24" i="2" s="1"/>
  <c r="E24" i="2" s="1" a="1"/>
  <c r="E24" i="2" s="1"/>
  <c r="C25" i="1" s="1"/>
  <c r="C25" i="2"/>
  <c r="D25" i="2" s="1"/>
  <c r="E25" i="2" s="1" a="1"/>
  <c r="E25" i="2" s="1"/>
  <c r="C26" i="1" s="1"/>
  <c r="C26" i="2"/>
  <c r="D26" i="2" s="1"/>
  <c r="E26" i="2" s="1" a="1"/>
  <c r="E26" i="2" s="1"/>
  <c r="C27" i="1" s="1"/>
  <c r="C27" i="2"/>
  <c r="D27" i="2" s="1"/>
  <c r="E27" i="2" s="1" a="1"/>
  <c r="E27" i="2" s="1"/>
  <c r="C28" i="1" s="1"/>
  <c r="C28" i="2"/>
  <c r="D28" i="2" s="1"/>
  <c r="E28" i="2" s="1" a="1"/>
  <c r="E28" i="2" s="1"/>
  <c r="C29" i="1" s="1"/>
  <c r="C29" i="2"/>
  <c r="D29" i="2" s="1"/>
  <c r="E29" i="2" s="1" a="1"/>
  <c r="E29" i="2" s="1"/>
  <c r="C30" i="1" s="1"/>
  <c r="C30" i="2"/>
  <c r="D30" i="2" s="1"/>
  <c r="E30" i="2" s="1" a="1"/>
  <c r="E30" i="2" s="1"/>
  <c r="C31" i="1" s="1"/>
  <c r="C31" i="2"/>
  <c r="D31" i="2" s="1"/>
  <c r="E31" i="2" s="1" a="1"/>
  <c r="E31" i="2" s="1"/>
  <c r="C32" i="1" s="1"/>
  <c r="C32" i="2"/>
  <c r="D32" i="2" s="1"/>
  <c r="E32" i="2" s="1" a="1"/>
  <c r="E32" i="2" s="1"/>
  <c r="C33" i="1" s="1"/>
  <c r="C33" i="2"/>
  <c r="D33" i="2" s="1"/>
  <c r="E33" i="2" s="1" a="1"/>
  <c r="E33" i="2" s="1"/>
  <c r="C34" i="1" s="1"/>
  <c r="C34" i="2"/>
  <c r="D34" i="2" s="1"/>
  <c r="E34" i="2" s="1" a="1"/>
  <c r="E34" i="2" s="1"/>
  <c r="C35" i="1" s="1"/>
  <c r="C35" i="2"/>
  <c r="D35" i="2" s="1"/>
  <c r="E35" i="2" s="1" a="1"/>
  <c r="E35" i="2" s="1"/>
  <c r="C36" i="1" s="1"/>
  <c r="C36" i="2"/>
  <c r="D36" i="2" s="1"/>
  <c r="E36" i="2" s="1" a="1"/>
  <c r="E36" i="2" s="1"/>
  <c r="C37" i="1" s="1"/>
  <c r="C37" i="2"/>
  <c r="D37" i="2" s="1"/>
  <c r="E37" i="2" s="1" a="1"/>
  <c r="E37" i="2" s="1"/>
  <c r="C38" i="1" s="1"/>
  <c r="C38" i="2"/>
  <c r="D38" i="2" s="1"/>
  <c r="E38" i="2" s="1" a="1"/>
  <c r="E38" i="2" s="1"/>
  <c r="C39" i="1" s="1"/>
  <c r="C39" i="2"/>
  <c r="D39" i="2" s="1"/>
  <c r="E39" i="2" s="1" a="1"/>
  <c r="E39" i="2" s="1"/>
  <c r="C40" i="1" s="1"/>
  <c r="C40" i="2"/>
  <c r="D40" i="2" s="1"/>
  <c r="E40" i="2" s="1" a="1"/>
  <c r="E40" i="2" s="1"/>
  <c r="C41" i="1" s="1"/>
  <c r="C41" i="2"/>
  <c r="D41" i="2" s="1"/>
  <c r="E41" i="2" s="1" a="1"/>
  <c r="E41" i="2" s="1"/>
  <c r="C42" i="1" s="1"/>
  <c r="C42" i="2"/>
  <c r="D42" i="2" s="1"/>
  <c r="E42" i="2" s="1" a="1"/>
  <c r="E42" i="2" s="1"/>
  <c r="C43" i="1" s="1"/>
  <c r="C43" i="2"/>
  <c r="D43" i="2" s="1"/>
  <c r="E43" i="2" s="1" a="1"/>
  <c r="E43" i="2" s="1"/>
  <c r="C44" i="1" s="1"/>
  <c r="C44" i="2"/>
  <c r="D44" i="2" s="1"/>
  <c r="E44" i="2" s="1" a="1"/>
  <c r="E44" i="2" s="1"/>
  <c r="C45" i="1" s="1"/>
  <c r="C45" i="2"/>
  <c r="D45" i="2" s="1"/>
  <c r="E45" i="2" s="1" a="1"/>
  <c r="E45" i="2" s="1"/>
  <c r="C46" i="1" s="1"/>
  <c r="C46" i="2"/>
  <c r="D46" i="2" s="1"/>
  <c r="E46" i="2" s="1" a="1"/>
  <c r="E46" i="2" s="1"/>
  <c r="C47" i="1" s="1"/>
  <c r="C47" i="2"/>
  <c r="D47" i="2" s="1"/>
  <c r="E47" i="2" s="1" a="1"/>
  <c r="E47" i="2" s="1"/>
  <c r="C48" i="1" s="1"/>
  <c r="C48" i="2"/>
  <c r="D48" i="2" s="1"/>
  <c r="E48" i="2" s="1" a="1"/>
  <c r="E48" i="2" s="1"/>
  <c r="C49" i="1" s="1"/>
  <c r="C49" i="2"/>
  <c r="D49" i="2" s="1"/>
  <c r="E49" i="2" s="1" a="1"/>
  <c r="E49" i="2" s="1"/>
  <c r="C50" i="1" s="1"/>
  <c r="C50" i="2"/>
  <c r="D50" i="2" s="1"/>
  <c r="E50" i="2" s="1" a="1"/>
  <c r="E50" i="2" s="1"/>
  <c r="C51" i="1" s="1"/>
  <c r="C51" i="2"/>
  <c r="D51" i="2" s="1"/>
  <c r="E51" i="2" s="1" a="1"/>
  <c r="E51" i="2" s="1"/>
  <c r="C52" i="1" s="1"/>
  <c r="C52" i="2"/>
  <c r="D52" i="2" s="1"/>
  <c r="E52" i="2" s="1" a="1"/>
  <c r="E52" i="2" s="1"/>
  <c r="C53" i="1" s="1"/>
  <c r="C53" i="2"/>
  <c r="D53" i="2" s="1"/>
  <c r="E53" i="2" s="1" a="1"/>
  <c r="E53" i="2" s="1"/>
  <c r="C54" i="1" s="1"/>
  <c r="C54" i="2"/>
  <c r="D54" i="2" s="1"/>
  <c r="E54" i="2" s="1" a="1"/>
  <c r="E54" i="2" s="1"/>
  <c r="C55" i="1" s="1"/>
  <c r="C55" i="2"/>
  <c r="D55" i="2" s="1"/>
  <c r="E55" i="2" s="1" a="1"/>
  <c r="E55" i="2" s="1"/>
  <c r="C56" i="1" s="1"/>
  <c r="C56" i="2"/>
  <c r="D56" i="2" s="1"/>
  <c r="E56" i="2" s="1" a="1"/>
  <c r="E56" i="2" s="1"/>
  <c r="C57" i="1" s="1"/>
  <c r="C57" i="2"/>
  <c r="D57" i="2" s="1"/>
  <c r="E57" i="2" s="1" a="1"/>
  <c r="E57" i="2" s="1"/>
  <c r="C58" i="1" s="1"/>
  <c r="C58" i="2"/>
  <c r="D58" i="2" s="1"/>
  <c r="E58" i="2" s="1" a="1"/>
  <c r="E58" i="2" s="1"/>
  <c r="C59" i="1" s="1"/>
  <c r="C59" i="2"/>
  <c r="D59" i="2" s="1"/>
  <c r="E59" i="2" s="1" a="1"/>
  <c r="E59" i="2" s="1"/>
  <c r="C60" i="1" s="1"/>
  <c r="C60" i="2"/>
  <c r="D60" i="2" s="1"/>
  <c r="E60" i="2" s="1" a="1"/>
  <c r="E60" i="2" s="1"/>
  <c r="C61" i="1" s="1"/>
  <c r="C61" i="2"/>
  <c r="D61" i="2" s="1"/>
  <c r="E61" i="2" s="1" a="1"/>
  <c r="E61" i="2" s="1"/>
  <c r="C62" i="1" s="1"/>
  <c r="C62" i="2"/>
  <c r="D62" i="2" s="1"/>
  <c r="E62" i="2" s="1" a="1"/>
  <c r="E62" i="2" s="1"/>
  <c r="C63" i="1" s="1"/>
  <c r="C63" i="2"/>
  <c r="D63" i="2" s="1"/>
  <c r="E63" i="2" s="1" a="1"/>
  <c r="E63" i="2" s="1"/>
  <c r="C64" i="1" s="1"/>
  <c r="C64" i="2"/>
  <c r="D64" i="2" s="1"/>
  <c r="E64" i="2" s="1" a="1"/>
  <c r="E64" i="2" s="1"/>
  <c r="C65" i="1" s="1"/>
  <c r="C65" i="2"/>
  <c r="D65" i="2" s="1"/>
  <c r="E65" i="2" s="1" a="1"/>
  <c r="E65" i="2" s="1"/>
  <c r="C66" i="1" s="1"/>
  <c r="C66" i="2"/>
  <c r="D66" i="2" s="1"/>
  <c r="E66" i="2" s="1" a="1"/>
  <c r="E66" i="2" s="1"/>
  <c r="C67" i="1" s="1"/>
  <c r="C67" i="2"/>
  <c r="D67" i="2" s="1"/>
  <c r="E67" i="2" s="1" a="1"/>
  <c r="E67" i="2" s="1"/>
  <c r="C68" i="1" s="1"/>
  <c r="C68" i="2"/>
  <c r="D68" i="2" s="1"/>
  <c r="E68" i="2" s="1" a="1"/>
  <c r="E68" i="2" s="1"/>
  <c r="C69" i="1" s="1"/>
  <c r="C69" i="2"/>
  <c r="D69" i="2" s="1"/>
  <c r="E69" i="2" s="1" a="1"/>
  <c r="E69" i="2" s="1"/>
  <c r="C70" i="1" s="1"/>
  <c r="C70" i="2"/>
  <c r="D70" i="2" s="1"/>
  <c r="E70" i="2" s="1" a="1"/>
  <c r="E70" i="2" s="1"/>
  <c r="C71" i="1" s="1"/>
  <c r="C71" i="2"/>
  <c r="D71" i="2" s="1"/>
  <c r="E71" i="2" s="1" a="1"/>
  <c r="E71" i="2" s="1"/>
  <c r="C72" i="1" s="1"/>
  <c r="C72" i="2"/>
  <c r="D72" i="2" s="1"/>
  <c r="E72" i="2" s="1" a="1"/>
  <c r="E72" i="2" s="1"/>
  <c r="C73" i="1" s="1"/>
  <c r="C73" i="2"/>
  <c r="D73" i="2" s="1"/>
  <c r="E73" i="2" s="1" a="1"/>
  <c r="E73" i="2" s="1"/>
  <c r="C74" i="1" s="1"/>
  <c r="C74" i="2"/>
  <c r="D74" i="2" s="1"/>
  <c r="E74" i="2" s="1" a="1"/>
  <c r="E74" i="2" s="1"/>
  <c r="C75" i="1" s="1"/>
  <c r="C75" i="2"/>
  <c r="D75" i="2" s="1"/>
  <c r="E75" i="2" s="1" a="1"/>
  <c r="E75" i="2" s="1"/>
  <c r="C76" i="1" s="1"/>
  <c r="C76" i="2"/>
  <c r="D76" i="2" s="1"/>
  <c r="E76" i="2" s="1" a="1"/>
  <c r="E76" i="2" s="1"/>
  <c r="C77" i="1" s="1"/>
  <c r="C77" i="2"/>
  <c r="D77" i="2" s="1"/>
  <c r="E77" i="2" s="1" a="1"/>
  <c r="E77" i="2" s="1"/>
  <c r="C78" i="1" s="1"/>
  <c r="C78" i="2"/>
  <c r="D78" i="2" s="1"/>
  <c r="E78" i="2" s="1" a="1"/>
  <c r="E78" i="2" s="1"/>
  <c r="C79" i="1" s="1"/>
  <c r="C79" i="2"/>
  <c r="D79" i="2" s="1"/>
  <c r="E79" i="2" s="1" a="1"/>
  <c r="E79" i="2" s="1"/>
  <c r="C80" i="1" s="1"/>
  <c r="C80" i="2"/>
  <c r="D80" i="2" s="1"/>
  <c r="E80" i="2" s="1" a="1"/>
  <c r="E80" i="2" s="1"/>
  <c r="C81" i="1" s="1"/>
  <c r="C81" i="2"/>
  <c r="D81" i="2" s="1"/>
  <c r="E81" i="2" s="1" a="1"/>
  <c r="E81" i="2" s="1"/>
  <c r="C82" i="1" s="1"/>
  <c r="C82" i="2"/>
  <c r="D82" i="2" s="1"/>
  <c r="E82" i="2" s="1" a="1"/>
  <c r="E82" i="2" s="1"/>
  <c r="C83" i="1" s="1"/>
  <c r="C83" i="2"/>
  <c r="D83" i="2" s="1"/>
  <c r="E83" i="2" s="1" a="1"/>
  <c r="E83" i="2" s="1"/>
  <c r="C84" i="1" s="1"/>
  <c r="C84" i="2"/>
  <c r="D84" i="2" s="1"/>
  <c r="E84" i="2" s="1" a="1"/>
  <c r="E84" i="2" s="1"/>
  <c r="C85" i="1" s="1"/>
  <c r="C85" i="2"/>
  <c r="D85" i="2" s="1"/>
  <c r="E85" i="2" s="1" a="1"/>
  <c r="E85" i="2" s="1"/>
  <c r="C86" i="1" s="1"/>
  <c r="C86" i="2"/>
  <c r="D86" i="2" s="1"/>
  <c r="E86" i="2" s="1" a="1"/>
  <c r="E86" i="2" s="1"/>
  <c r="C87" i="1" s="1"/>
  <c r="C87" i="2"/>
  <c r="D87" i="2" s="1"/>
  <c r="E87" i="2" s="1" a="1"/>
  <c r="E87" i="2" s="1"/>
  <c r="C88" i="1" s="1"/>
  <c r="C88" i="2"/>
  <c r="D88" i="2" s="1"/>
  <c r="E88" i="2" s="1" a="1"/>
  <c r="E88" i="2" s="1"/>
  <c r="C89" i="1" s="1"/>
  <c r="C89" i="2"/>
  <c r="D89" i="2" s="1"/>
  <c r="E89" i="2" s="1" a="1"/>
  <c r="E89" i="2" s="1"/>
  <c r="C90" i="1" s="1"/>
  <c r="C90" i="2"/>
  <c r="D90" i="2" s="1"/>
  <c r="E90" i="2" s="1" a="1"/>
  <c r="E90" i="2" s="1"/>
  <c r="C91" i="1" s="1"/>
  <c r="C91" i="2"/>
  <c r="D91" i="2" s="1"/>
  <c r="E91" i="2" s="1" a="1"/>
  <c r="E91" i="2" s="1"/>
  <c r="C92" i="1" s="1"/>
  <c r="C92" i="2"/>
  <c r="D92" i="2" s="1"/>
  <c r="E92" i="2" s="1" a="1"/>
  <c r="E92" i="2" s="1"/>
  <c r="C93" i="1" s="1"/>
  <c r="C93" i="2"/>
  <c r="D93" i="2" s="1"/>
  <c r="E93" i="2" s="1" a="1"/>
  <c r="E93" i="2" s="1"/>
  <c r="C94" i="1" s="1"/>
  <c r="C94" i="2"/>
  <c r="D94" i="2" s="1"/>
  <c r="E94" i="2" s="1" a="1"/>
  <c r="E94" i="2" s="1"/>
  <c r="C95" i="1" s="1"/>
  <c r="C95" i="2"/>
  <c r="D95" i="2" s="1"/>
  <c r="E95" i="2" s="1" a="1"/>
  <c r="E95" i="2" s="1"/>
  <c r="C96" i="1" s="1"/>
  <c r="C96" i="2"/>
  <c r="D96" i="2" s="1"/>
  <c r="E96" i="2" s="1" a="1"/>
  <c r="E96" i="2" s="1"/>
  <c r="C97" i="1" s="1"/>
  <c r="C97" i="2"/>
  <c r="D97" i="2" s="1"/>
  <c r="E97" i="2" s="1" a="1"/>
  <c r="E97" i="2" s="1"/>
  <c r="C98" i="1" s="1"/>
  <c r="C98" i="2"/>
  <c r="D98" i="2" s="1"/>
  <c r="E98" i="2" s="1" a="1"/>
  <c r="E98" i="2" s="1"/>
  <c r="C99" i="1" s="1"/>
  <c r="C99" i="2"/>
  <c r="D99" i="2" s="1"/>
  <c r="E99" i="2" s="1" a="1"/>
  <c r="E99" i="2" s="1"/>
  <c r="C100" i="1" s="1"/>
  <c r="C100" i="2"/>
  <c r="D100" i="2" s="1"/>
  <c r="E100" i="2" s="1" a="1"/>
  <c r="E100" i="2" s="1"/>
  <c r="C101" i="1" s="1"/>
  <c r="C101" i="2"/>
  <c r="D101" i="2" s="1"/>
  <c r="E101" i="2" s="1" a="1"/>
  <c r="E101" i="2" s="1"/>
  <c r="C102" i="1" s="1"/>
  <c r="C102" i="2"/>
  <c r="D102" i="2" s="1"/>
  <c r="E102" i="2" s="1" a="1"/>
  <c r="E102" i="2" s="1"/>
  <c r="C103" i="1" s="1"/>
  <c r="C103" i="2"/>
  <c r="D103" i="2" s="1"/>
  <c r="E103" i="2" s="1" a="1"/>
  <c r="E103" i="2" s="1"/>
  <c r="C104" i="1" s="1"/>
  <c r="C104" i="2"/>
  <c r="D104" i="2" s="1"/>
  <c r="E104" i="2" s="1" a="1"/>
  <c r="E104" i="2" s="1"/>
  <c r="C105" i="1" s="1"/>
  <c r="C105" i="2"/>
  <c r="D105" i="2" s="1"/>
  <c r="E105" i="2" s="1" a="1"/>
  <c r="E105" i="2" s="1"/>
  <c r="C106" i="1" s="1"/>
  <c r="C106" i="2"/>
  <c r="D106" i="2" s="1"/>
  <c r="E106" i="2" s="1" a="1"/>
  <c r="E106" i="2" s="1"/>
  <c r="C107" i="1" s="1"/>
  <c r="C107" i="2"/>
  <c r="D107" i="2" s="1"/>
  <c r="E107" i="2" s="1" a="1"/>
  <c r="E107" i="2" s="1"/>
  <c r="C108" i="1" s="1"/>
  <c r="C108" i="2"/>
  <c r="D108" i="2" s="1"/>
  <c r="E108" i="2" s="1" a="1"/>
  <c r="E108" i="2" s="1"/>
  <c r="C109" i="1" s="1"/>
  <c r="C109" i="2"/>
  <c r="D109" i="2" s="1"/>
  <c r="E109" i="2" s="1" a="1"/>
  <c r="E109" i="2" s="1"/>
  <c r="C110" i="1" s="1"/>
  <c r="C110" i="2"/>
  <c r="D110" i="2" s="1"/>
  <c r="E110" i="2" s="1" a="1"/>
  <c r="E110" i="2" s="1"/>
  <c r="C111" i="1" s="1"/>
  <c r="C111" i="2"/>
  <c r="D111" i="2" s="1"/>
  <c r="E111" i="2" s="1" a="1"/>
  <c r="E111" i="2" s="1"/>
  <c r="C112" i="1" s="1"/>
  <c r="C112" i="2"/>
  <c r="D112" i="2" s="1"/>
  <c r="E112" i="2" s="1" a="1"/>
  <c r="E112" i="2" s="1"/>
  <c r="C113" i="1" s="1"/>
  <c r="C113" i="2"/>
  <c r="D113" i="2" s="1"/>
  <c r="E113" i="2" s="1" a="1"/>
  <c r="E113" i="2" s="1"/>
  <c r="C114" i="1" s="1"/>
  <c r="C114" i="2"/>
  <c r="D114" i="2" s="1"/>
  <c r="E114" i="2" s="1" a="1"/>
  <c r="E114" i="2" s="1"/>
  <c r="C115" i="1" s="1"/>
  <c r="C115" i="2"/>
  <c r="D115" i="2" s="1"/>
  <c r="E115" i="2" s="1" a="1"/>
  <c r="E115" i="2" s="1"/>
  <c r="C116" i="1" s="1"/>
  <c r="C116" i="2"/>
  <c r="D116" i="2" s="1"/>
  <c r="E116" i="2" s="1" a="1"/>
  <c r="E116" i="2" s="1"/>
  <c r="C117" i="1" s="1"/>
  <c r="C117" i="2"/>
  <c r="D117" i="2" s="1"/>
  <c r="E117" i="2" s="1" a="1"/>
  <c r="E117" i="2" s="1"/>
  <c r="C118" i="1" s="1"/>
  <c r="C118" i="2"/>
  <c r="D118" i="2" s="1"/>
  <c r="E118" i="2" s="1" a="1"/>
  <c r="E118" i="2" s="1"/>
  <c r="C119" i="1" s="1"/>
  <c r="C119" i="2"/>
  <c r="D119" i="2" s="1"/>
  <c r="E119" i="2" s="1" a="1"/>
  <c r="E119" i="2" s="1"/>
  <c r="C120" i="1" s="1"/>
  <c r="C2" i="2"/>
  <c r="D2" i="2" s="1"/>
  <c r="C1" i="2"/>
  <c r="D1" i="2" s="1"/>
  <c r="E1" i="2" s="1" a="1"/>
  <c r="E1" i="2" s="1"/>
  <c r="C2" i="1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3" i="1"/>
  <c r="X120" i="1"/>
  <c r="Y119" i="1"/>
  <c r="X119" i="1"/>
  <c r="X118" i="1"/>
  <c r="Y117" i="1"/>
  <c r="X117" i="1"/>
  <c r="X116" i="1"/>
  <c r="Y115" i="1"/>
  <c r="X115" i="1"/>
  <c r="X114" i="1"/>
  <c r="Y113" i="1"/>
  <c r="X113" i="1"/>
  <c r="X112" i="1"/>
  <c r="Y111" i="1"/>
  <c r="X111" i="1"/>
  <c r="X110" i="1"/>
  <c r="Y109" i="1"/>
  <c r="X109" i="1"/>
  <c r="X108" i="1"/>
  <c r="Y107" i="1"/>
  <c r="X107" i="1"/>
  <c r="X106" i="1"/>
  <c r="Y105" i="1"/>
  <c r="X105" i="1"/>
  <c r="X104" i="1"/>
  <c r="Y103" i="1"/>
  <c r="X103" i="1"/>
  <c r="X102" i="1"/>
  <c r="Y101" i="1"/>
  <c r="X101" i="1"/>
  <c r="X100" i="1"/>
  <c r="Y99" i="1"/>
  <c r="X99" i="1"/>
  <c r="X98" i="1"/>
  <c r="Y97" i="1"/>
  <c r="X97" i="1"/>
  <c r="X96" i="1"/>
  <c r="Y95" i="1"/>
  <c r="X95" i="1"/>
  <c r="X94" i="1"/>
  <c r="Y93" i="1"/>
  <c r="X93" i="1"/>
  <c r="X92" i="1"/>
  <c r="Y91" i="1"/>
  <c r="X91" i="1"/>
  <c r="X90" i="1"/>
  <c r="Y89" i="1"/>
  <c r="X89" i="1"/>
  <c r="X88" i="1"/>
  <c r="Y87" i="1"/>
  <c r="X87" i="1"/>
  <c r="X86" i="1"/>
  <c r="Y85" i="1"/>
  <c r="X85" i="1"/>
  <c r="X84" i="1"/>
  <c r="Y83" i="1"/>
  <c r="X83" i="1"/>
  <c r="X82" i="1"/>
  <c r="Y81" i="1"/>
  <c r="X81" i="1"/>
  <c r="X80" i="1"/>
  <c r="Y79" i="1"/>
  <c r="X79" i="1"/>
  <c r="X78" i="1"/>
  <c r="Y77" i="1"/>
  <c r="X77" i="1"/>
  <c r="X76" i="1"/>
  <c r="Y75" i="1"/>
  <c r="X75" i="1"/>
  <c r="X74" i="1"/>
  <c r="Y73" i="1"/>
  <c r="X73" i="1"/>
  <c r="X72" i="1"/>
  <c r="Y71" i="1"/>
  <c r="X71" i="1"/>
  <c r="X70" i="1"/>
  <c r="Y69" i="1"/>
  <c r="X69" i="1"/>
  <c r="X68" i="1"/>
  <c r="Y67" i="1"/>
  <c r="X67" i="1"/>
  <c r="X66" i="1"/>
  <c r="Y65" i="1"/>
  <c r="X65" i="1"/>
  <c r="X64" i="1"/>
  <c r="Y63" i="1"/>
  <c r="X63" i="1"/>
  <c r="X62" i="1"/>
  <c r="Y61" i="1"/>
  <c r="X61" i="1"/>
  <c r="X60" i="1"/>
  <c r="Y59" i="1"/>
  <c r="X59" i="1"/>
  <c r="X58" i="1"/>
  <c r="Y57" i="1"/>
  <c r="X57" i="1"/>
  <c r="X56" i="1"/>
  <c r="Y55" i="1"/>
  <c r="X55" i="1"/>
  <c r="X54" i="1"/>
  <c r="Y53" i="1"/>
  <c r="X53" i="1"/>
  <c r="X52" i="1"/>
  <c r="Y51" i="1"/>
  <c r="X51" i="1"/>
  <c r="X50" i="1"/>
  <c r="Y49" i="1"/>
  <c r="X49" i="1"/>
  <c r="X48" i="1"/>
  <c r="Y47" i="1"/>
  <c r="X47" i="1"/>
  <c r="X46" i="1"/>
  <c r="Y45" i="1"/>
  <c r="X45" i="1"/>
  <c r="X44" i="1"/>
  <c r="Y43" i="1"/>
  <c r="X43" i="1"/>
  <c r="X42" i="1"/>
  <c r="Y41" i="1"/>
  <c r="X41" i="1"/>
  <c r="X40" i="1"/>
  <c r="Y39" i="1"/>
  <c r="X39" i="1"/>
  <c r="X38" i="1"/>
  <c r="Y37" i="1"/>
  <c r="X37" i="1"/>
  <c r="X36" i="1"/>
  <c r="Y35" i="1"/>
  <c r="X35" i="1"/>
  <c r="X34" i="1"/>
  <c r="Y33" i="1"/>
  <c r="X33" i="1"/>
  <c r="X32" i="1"/>
  <c r="Y31" i="1"/>
  <c r="X31" i="1"/>
  <c r="X30" i="1"/>
  <c r="Y29" i="1"/>
  <c r="X29" i="1"/>
  <c r="X28" i="1"/>
  <c r="Y27" i="1"/>
  <c r="X27" i="1"/>
  <c r="X26" i="1"/>
  <c r="Y25" i="1"/>
  <c r="X25" i="1"/>
  <c r="X24" i="1"/>
  <c r="Y23" i="1"/>
  <c r="X23" i="1"/>
  <c r="X22" i="1"/>
  <c r="Y21" i="1"/>
  <c r="X21" i="1"/>
  <c r="X20" i="1"/>
  <c r="Y19" i="1"/>
  <c r="X19" i="1"/>
  <c r="X18" i="1"/>
  <c r="Y17" i="1"/>
  <c r="X17" i="1"/>
  <c r="X16" i="1"/>
  <c r="Y15" i="1"/>
  <c r="X15" i="1"/>
  <c r="X14" i="1"/>
  <c r="Y13" i="1"/>
  <c r="X13" i="1"/>
  <c r="X12" i="1"/>
  <c r="Y11" i="1"/>
  <c r="X11" i="1"/>
  <c r="X10" i="1"/>
  <c r="Y9" i="1"/>
  <c r="X9" i="1"/>
  <c r="X8" i="1"/>
  <c r="Y7" i="1"/>
  <c r="X7" i="1"/>
  <c r="X6" i="1"/>
  <c r="Y5" i="1"/>
  <c r="X5" i="1"/>
  <c r="X4" i="1"/>
  <c r="Y3" i="1"/>
  <c r="X3" i="1"/>
  <c r="R2" i="1"/>
  <c r="Q2" i="1"/>
  <c r="P2" i="1"/>
  <c r="U120" i="1" l="1"/>
  <c r="T120" i="1"/>
  <c r="E2" i="2" a="1"/>
  <c r="E2" i="2" s="1"/>
  <c r="C3" i="1" s="1"/>
  <c r="W2" i="1"/>
  <c r="W120" i="1" l="1"/>
  <c r="T3" i="1"/>
  <c r="U3" i="1"/>
  <c r="T85" i="1"/>
  <c r="T10" i="1"/>
  <c r="T57" i="1"/>
  <c r="T32" i="1"/>
  <c r="U24" i="1"/>
  <c r="T118" i="1"/>
  <c r="T73" i="1"/>
  <c r="T27" i="1"/>
  <c r="U22" i="1"/>
  <c r="U64" i="1"/>
  <c r="U89" i="1"/>
  <c r="U88" i="1"/>
  <c r="T52" i="1"/>
  <c r="T58" i="1"/>
  <c r="T72" i="1"/>
  <c r="U95" i="1"/>
  <c r="T16" i="1"/>
  <c r="U30" i="1"/>
  <c r="T84" i="1"/>
  <c r="T90" i="1"/>
  <c r="U69" i="1"/>
  <c r="T107" i="1"/>
  <c r="U66" i="1"/>
  <c r="T68" i="1"/>
  <c r="T25" i="1"/>
  <c r="T53" i="1"/>
  <c r="U29" i="1"/>
  <c r="U97" i="1"/>
  <c r="U36" i="1"/>
  <c r="U73" i="1"/>
  <c r="T111" i="1"/>
  <c r="T78" i="1"/>
  <c r="U72" i="1"/>
  <c r="U25" i="1"/>
  <c r="U45" i="1"/>
  <c r="U79" i="1"/>
  <c r="T22" i="1"/>
  <c r="U76" i="1"/>
  <c r="U101" i="1"/>
  <c r="U16" i="1"/>
  <c r="U115" i="1"/>
  <c r="T49" i="1"/>
  <c r="T5" i="1"/>
  <c r="T83" i="1"/>
  <c r="U84" i="1"/>
  <c r="U23" i="1"/>
  <c r="U6" i="1"/>
  <c r="U41" i="1"/>
  <c r="T97" i="1"/>
  <c r="U13" i="1"/>
  <c r="U93" i="1"/>
  <c r="U94" i="1"/>
  <c r="U82" i="1"/>
  <c r="U117" i="1"/>
  <c r="T15" i="1"/>
  <c r="T59" i="1"/>
  <c r="U19" i="1"/>
  <c r="U100" i="1"/>
  <c r="U37" i="1"/>
  <c r="T108" i="1"/>
  <c r="U20" i="1"/>
  <c r="U104" i="1"/>
  <c r="U55" i="1"/>
  <c r="T104" i="1"/>
  <c r="U111" i="1"/>
  <c r="T106" i="1"/>
  <c r="T98" i="1"/>
  <c r="U5" i="1"/>
  <c r="W5" i="1" s="1"/>
  <c r="T46" i="1"/>
  <c r="T48" i="1"/>
  <c r="U27" i="1"/>
  <c r="U59" i="1"/>
  <c r="T17" i="1"/>
  <c r="U71" i="1"/>
  <c r="U35" i="1"/>
  <c r="T103" i="1"/>
  <c r="T21" i="1"/>
  <c r="T4" i="1"/>
  <c r="U96" i="1"/>
  <c r="T69" i="1"/>
  <c r="T39" i="1"/>
  <c r="U74" i="1"/>
  <c r="U58" i="1"/>
  <c r="U32" i="1"/>
  <c r="U102" i="1"/>
  <c r="T102" i="1"/>
  <c r="U98" i="1"/>
  <c r="U87" i="1"/>
  <c r="T45" i="1"/>
  <c r="T7" i="1"/>
  <c r="T13" i="1"/>
  <c r="T89" i="1"/>
  <c r="T80" i="1"/>
  <c r="T8" i="1"/>
  <c r="T110" i="1"/>
  <c r="T109" i="1"/>
  <c r="T12" i="1"/>
  <c r="T76" i="1"/>
  <c r="W76" i="1" s="1"/>
  <c r="T38" i="1"/>
  <c r="U15" i="1"/>
  <c r="U112" i="1"/>
  <c r="T60" i="1"/>
  <c r="U90" i="1"/>
  <c r="U61" i="1"/>
  <c r="T112" i="1"/>
  <c r="U106" i="1"/>
  <c r="T70" i="1"/>
  <c r="U53" i="1"/>
  <c r="T67" i="1"/>
  <c r="U65" i="1"/>
  <c r="U119" i="1"/>
  <c r="T42" i="1"/>
  <c r="T87" i="1"/>
  <c r="U48" i="1"/>
  <c r="U14" i="1"/>
  <c r="U67" i="1"/>
  <c r="T75" i="1"/>
  <c r="T96" i="1"/>
  <c r="U43" i="1"/>
  <c r="T51" i="1"/>
  <c r="U51" i="1"/>
  <c r="U68" i="1"/>
  <c r="T74" i="1"/>
  <c r="U92" i="1"/>
  <c r="U10" i="1"/>
  <c r="T95" i="1"/>
  <c r="U80" i="1"/>
  <c r="U38" i="1"/>
  <c r="U39" i="1"/>
  <c r="T91" i="1"/>
  <c r="U47" i="1"/>
  <c r="U105" i="1"/>
  <c r="T14" i="1"/>
  <c r="U56" i="1"/>
  <c r="U42" i="1"/>
  <c r="U31" i="1"/>
  <c r="U50" i="1"/>
  <c r="T20" i="1"/>
  <c r="T18" i="1"/>
  <c r="T116" i="1"/>
  <c r="U18" i="1"/>
  <c r="T44" i="1"/>
  <c r="U83" i="1"/>
  <c r="T65" i="1"/>
  <c r="T9" i="1"/>
  <c r="T77" i="1"/>
  <c r="T6" i="1"/>
  <c r="U85" i="1"/>
  <c r="T37" i="1"/>
  <c r="U26" i="1"/>
  <c r="T26" i="1"/>
  <c r="T86" i="1"/>
  <c r="U52" i="1"/>
  <c r="U7" i="1"/>
  <c r="T11" i="1"/>
  <c r="T113" i="1"/>
  <c r="T81" i="1"/>
  <c r="U21" i="1"/>
  <c r="U81" i="1"/>
  <c r="U107" i="1"/>
  <c r="U33" i="1"/>
  <c r="U40" i="1"/>
  <c r="T64" i="1"/>
  <c r="U9" i="1"/>
  <c r="T24" i="1"/>
  <c r="T79" i="1"/>
  <c r="T119" i="1"/>
  <c r="T71" i="1"/>
  <c r="U34" i="1"/>
  <c r="T63" i="1"/>
  <c r="T88" i="1"/>
  <c r="T41" i="1"/>
  <c r="T100" i="1"/>
  <c r="T56" i="1"/>
  <c r="T43" i="1"/>
  <c r="U28" i="1"/>
  <c r="T47" i="1"/>
  <c r="T101" i="1"/>
  <c r="U57" i="1"/>
  <c r="U54" i="1"/>
  <c r="U114" i="1"/>
  <c r="U75" i="1"/>
  <c r="T105" i="1"/>
  <c r="T31" i="1"/>
  <c r="T62" i="1"/>
  <c r="T34" i="1"/>
  <c r="U17" i="1"/>
  <c r="U113" i="1"/>
  <c r="U116" i="1"/>
  <c r="U103" i="1"/>
  <c r="T66" i="1"/>
  <c r="U44" i="1"/>
  <c r="T40" i="1"/>
  <c r="U60" i="1"/>
  <c r="U62" i="1"/>
  <c r="U46" i="1"/>
  <c r="U109" i="1"/>
  <c r="T94" i="1"/>
  <c r="T54" i="1"/>
  <c r="T28" i="1"/>
  <c r="T29" i="1"/>
  <c r="T93" i="1"/>
  <c r="U11" i="1"/>
  <c r="T19" i="1"/>
  <c r="U86" i="1"/>
  <c r="U70" i="1"/>
  <c r="T50" i="1"/>
  <c r="U77" i="1"/>
  <c r="T23" i="1"/>
  <c r="T99" i="1"/>
  <c r="W99" i="1" s="1"/>
  <c r="T36" i="1"/>
  <c r="U91" i="1"/>
  <c r="T61" i="1"/>
  <c r="T117" i="1"/>
  <c r="U110" i="1"/>
  <c r="U78" i="1"/>
  <c r="T55" i="1"/>
  <c r="T114" i="1"/>
  <c r="T35" i="1"/>
  <c r="T92" i="1"/>
  <c r="U63" i="1"/>
  <c r="T33" i="1"/>
  <c r="T115" i="1"/>
  <c r="U49" i="1"/>
  <c r="U8" i="1"/>
  <c r="U12" i="1"/>
  <c r="U108" i="1"/>
  <c r="T82" i="1"/>
  <c r="U118" i="1"/>
  <c r="T30" i="1"/>
  <c r="W33" i="1" l="1"/>
  <c r="W94" i="1"/>
  <c r="W26" i="1"/>
  <c r="W55" i="1"/>
  <c r="W63" i="1"/>
  <c r="W35" i="1"/>
  <c r="W98" i="1"/>
  <c r="W87" i="1"/>
  <c r="W89" i="1"/>
  <c r="W3" i="1"/>
  <c r="W111" i="1"/>
  <c r="W64" i="1"/>
  <c r="W56" i="1"/>
  <c r="W77" i="1"/>
  <c r="W30" i="1"/>
  <c r="W95" i="1"/>
  <c r="W4" i="1"/>
  <c r="W93" i="1"/>
  <c r="W101" i="1"/>
  <c r="W74" i="1"/>
  <c r="W23" i="1"/>
  <c r="W107" i="1"/>
  <c r="W40" i="1"/>
  <c r="W31" i="1"/>
  <c r="W19" i="1"/>
  <c r="W102" i="1"/>
  <c r="W53" i="1"/>
  <c r="W58" i="1"/>
  <c r="W25" i="1"/>
  <c r="W41" i="1"/>
  <c r="W91" i="1"/>
  <c r="W114" i="1"/>
  <c r="W69" i="1"/>
  <c r="W59" i="1"/>
  <c r="W88" i="1"/>
  <c r="W20" i="1"/>
  <c r="W50" i="1"/>
  <c r="W60" i="1"/>
  <c r="W106" i="1"/>
  <c r="W45" i="1"/>
  <c r="W66" i="1"/>
  <c r="W103" i="1"/>
  <c r="W65" i="1"/>
  <c r="W37" i="1"/>
  <c r="W62" i="1"/>
  <c r="W92" i="1"/>
  <c r="W13" i="1"/>
  <c r="W61" i="1"/>
  <c r="W7" i="1"/>
  <c r="W71" i="1"/>
  <c r="W21" i="1"/>
  <c r="W115" i="1"/>
  <c r="W36" i="1"/>
  <c r="W28" i="1"/>
  <c r="W104" i="1"/>
  <c r="W24" i="1"/>
  <c r="W47" i="1"/>
  <c r="W9" i="1"/>
  <c r="W51" i="1"/>
  <c r="W12" i="1"/>
  <c r="W17" i="1"/>
  <c r="W22" i="1"/>
  <c r="W110" i="1"/>
  <c r="W68" i="1"/>
  <c r="W44" i="1"/>
  <c r="W52" i="1"/>
  <c r="W48" i="1"/>
  <c r="W85" i="1"/>
  <c r="W116" i="1"/>
  <c r="W82" i="1"/>
  <c r="W39" i="1"/>
  <c r="W46" i="1"/>
  <c r="W67" i="1"/>
  <c r="W84" i="1"/>
  <c r="W73" i="1"/>
  <c r="W34" i="1"/>
  <c r="W43" i="1"/>
  <c r="W119" i="1"/>
  <c r="W113" i="1"/>
  <c r="W109" i="1"/>
  <c r="W118" i="1"/>
  <c r="W54" i="1"/>
  <c r="W90" i="1"/>
  <c r="W81" i="1"/>
  <c r="W49" i="1"/>
  <c r="W11" i="1"/>
  <c r="W18" i="1"/>
  <c r="W70" i="1"/>
  <c r="W16" i="1"/>
  <c r="W86" i="1"/>
  <c r="W80" i="1"/>
  <c r="W96" i="1"/>
  <c r="W8" i="1"/>
  <c r="W29" i="1"/>
  <c r="W32" i="1"/>
  <c r="W42" i="1"/>
  <c r="W27" i="1"/>
  <c r="W6" i="1"/>
  <c r="W79" i="1"/>
  <c r="W38" i="1"/>
  <c r="W117" i="1"/>
  <c r="W105" i="1"/>
  <c r="W100" i="1"/>
  <c r="W75" i="1"/>
  <c r="W112" i="1"/>
  <c r="W108" i="1"/>
  <c r="W97" i="1"/>
  <c r="W72" i="1"/>
  <c r="W57" i="1"/>
  <c r="W10" i="1"/>
  <c r="W14" i="1"/>
  <c r="W83" i="1"/>
  <c r="W15" i="1"/>
  <c r="W78" i="1"/>
  <c r="S12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<sst xmlns="http://schemas.openxmlformats.org/spreadsheetml/2006/main" count="501" uniqueCount="29">
  <si>
    <t>Electrode</t>
  </si>
  <si>
    <t>Inlet flow rate</t>
  </si>
  <si>
    <t>Flow rate (ml min-1)</t>
  </si>
  <si>
    <t>Catholyte</t>
  </si>
  <si>
    <t>Anolyte</t>
  </si>
  <si>
    <t>Membrane</t>
  </si>
  <si>
    <t>Applied current / A</t>
  </si>
  <si>
    <t>Duration / h</t>
  </si>
  <si>
    <t>area(H2)</t>
  </si>
  <si>
    <t>area(CO)</t>
  </si>
  <si>
    <t>area(CO2)</t>
  </si>
  <si>
    <t>area(CH4)</t>
  </si>
  <si>
    <t>area(O2)</t>
  </si>
  <si>
    <t>area(N2)</t>
  </si>
  <si>
    <t>c(H2)</t>
  </si>
  <si>
    <t>c(CO)</t>
  </si>
  <si>
    <t>c(CO2)</t>
  </si>
  <si>
    <t>c(O2)</t>
  </si>
  <si>
    <t>FE(H2)</t>
  </si>
  <si>
    <t>FE(CO)</t>
  </si>
  <si>
    <t>FE(CH4)</t>
  </si>
  <si>
    <t>Total FE</t>
  </si>
  <si>
    <t>Carbon efficiency</t>
  </si>
  <si>
    <t>Ag60 GDE in PTFE holder</t>
  </si>
  <si>
    <t>CCM-CEM</t>
  </si>
  <si>
    <r>
      <t>0.3 M 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</si>
  <si>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r>
      <t>0.05 M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</si>
  <si>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t>Time</t>
  </si>
  <si>
    <t>0.6Mna2so4ph3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</si>
</sst>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/d/yy\ h:mm\ AM/PM;@"/>
    <numFmt numFmtId="165" formatCode="m/d/yy\ h:mm;@"/>
    <numFmt numFmtId="166" formatCode="0.0"/>
    <numFmt numFmtId="167" formatCode="d/mm/yy\ h:mm;@"/>
    <numFmt numFmtId="168" formatCode="0.0000"/>
  </numFmts>
  <fonts count="9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indexed="72"/>
      <name val="SansSerif"/>
    </font>
    <font>
      <sz val="9"/>
      <color rgb="FF000000"/>
      <name val="SansSerif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3" fillId="5" borderId="0" xfId="0" applyNumberFormat="1" applyFont="1" applyFill="1" applyAlignment="1">
      <alignment horizontal="center"/>
    </xf>
    <xf numFmtId="10" fontId="2" fillId="6" borderId="0" xfId="0" applyNumberFormat="1" applyFont="1" applyFill="1" applyAlignment="1">
      <alignment horizontal="center" vertical="center"/>
    </xf>
    <xf numFmtId="22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horizontal="center"/>
    </xf>
    <xf numFmtId="164" fontId="8" fillId="0" borderId="0" xfId="0" applyNumberFormat="1" applyFont="1"/>
    <xf numFmtId="165" fontId="0" fillId="0" borderId="0" xfId="0" applyNumberFormat="1"/>
    <xf numFmtId="166" fontId="0" fillId="0" borderId="0" xfId="0" applyNumberFormat="1"/>
    <xf numFmtId="22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7" borderId="1" xfId="0" applyNumberFormat="1" applyFill="1" applyBorder="1" applyAlignment="1">
      <alignment horizontal="center" vertical="center"/>
    </xf>
    <xf numFmtId="168" fontId="0" fillId="7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EDDA-4846-4EA0-B855-5F628FF13338}">
  <dimension ref="A1:Y120"/>
  <sheetViews>
    <sheetView tabSelected="1" topLeftCell="O4" zoomScale="85" zoomScaleNormal="85" workbookViewId="0">
      <selection activeCell="J3" sqref="J3:J120"/>
    </sheetView>
  </sheetViews>
  <sheetFormatPr defaultRowHeight="14.4"/>
  <cols>
    <col min="1" max="1" width="21" bestFit="1" customWidth="1"/>
    <col min="2" max="2" width="5.21875" bestFit="1" customWidth="1"/>
    <col min="3" max="3" width="10.33203125" customWidth="1"/>
    <col min="4" max="4" width="12" bestFit="1" customWidth="1"/>
    <col min="5" max="5" width="11.88671875" bestFit="1" customWidth="1"/>
    <col min="6" max="6" width="13.5546875" customWidth="1"/>
    <col min="7" max="7" width="14.88671875" customWidth="1"/>
    <col min="8" max="8" width="24.77734375" customWidth="1"/>
    <col min="9" max="9" width="11.5546875" bestFit="1" customWidth="1"/>
  </cols>
  <sheetData>
    <row r="1" spans="1:25" s="11" customFormat="1" ht="34.200000000000003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27</v>
      </c>
      <c r="I1" s="7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7" t="s">
        <v>21</v>
      </c>
      <c r="X1" s="7" t="s">
        <v>22</v>
      </c>
      <c r="Y1" s="7"/>
    </row>
    <row r="2" spans="1:25" ht="15.6">
      <c r="A2" s="1" t="s">
        <v>23</v>
      </c>
      <c r="B2" s="1">
        <v>60</v>
      </c>
      <c r="C2" s="2">
        <f>+'Flow rate'!E1</f>
        <v>56.151373999999997</v>
      </c>
      <c r="D2" s="1" t="s">
        <v>25</v>
      </c>
      <c r="E2" s="1" t="s">
        <v>26</v>
      </c>
      <c r="F2" s="1" t="s">
        <v>24</v>
      </c>
      <c r="G2" s="1">
        <v>0</v>
      </c>
      <c r="H2" s="13">
        <v>45408.584722222222</v>
      </c>
      <c r="I2" s="1">
        <v>0</v>
      </c>
      <c r="J2" s="12">
        <v>0</v>
      </c>
      <c r="K2" s="12">
        <v>0</v>
      </c>
      <c r="L2">
        <v>0</v>
      </c>
      <c r="N2">
        <v>0</v>
      </c>
      <c r="O2">
        <v>0</v>
      </c>
      <c r="P2" s="3">
        <f t="shared" ref="P2:R2" si="0">+J2/100</f>
        <v>0</v>
      </c>
      <c r="Q2" s="3">
        <f t="shared" si="0"/>
        <v>0</v>
      </c>
      <c r="R2" s="3">
        <f t="shared" si="0"/>
        <v>0</v>
      </c>
      <c r="S2" s="3">
        <f>+AD2/100</f>
        <v>0</v>
      </c>
      <c r="T2" s="4">
        <v>0</v>
      </c>
      <c r="U2" s="5">
        <v>0</v>
      </c>
      <c r="V2" s="5"/>
      <c r="W2" s="3">
        <f t="shared" ref="W2:W65" si="1">+T2+U2</f>
        <v>0</v>
      </c>
      <c r="X2" s="3">
        <v>0</v>
      </c>
    </row>
    <row r="3" spans="1:25" ht="15.6">
      <c r="A3" s="1" t="s">
        <v>23</v>
      </c>
      <c r="B3" s="1">
        <v>60</v>
      </c>
      <c r="C3" s="2">
        <f>+'Flow rate'!E2</f>
        <v>55.082611</v>
      </c>
      <c r="D3" s="1" t="s">
        <v>25</v>
      </c>
      <c r="E3" s="1" t="s">
        <v>26</v>
      </c>
      <c r="F3" s="1" t="s">
        <v>24</v>
      </c>
      <c r="G3" s="1">
        <v>-0.124</v>
      </c>
      <c r="H3" s="13">
        <v>45408.59097222222</v>
      </c>
      <c r="I3" s="2">
        <f>+(H3-H$2)*24</f>
        <v>0.1499999999650754</v>
      </c>
      <c r="J3" s="18">
        <v>0.12269199629315899</v>
      </c>
      <c r="K3" s="18">
        <v>0.87906504229632021</v>
      </c>
      <c r="L3" s="18">
        <v>100.52734871659078</v>
      </c>
      <c r="N3" s="18">
        <v>9.5383865685688449E-2</v>
      </c>
      <c r="O3" s="18">
        <v>0.21200766727653775</v>
      </c>
      <c r="P3" s="3">
        <f>+J3/SUM($J3:$O3)</f>
        <v>1.2047939546271577E-3</v>
      </c>
      <c r="Q3" s="3">
        <f>+K3/SUM($J3:$O3)</f>
        <v>8.6321217412755197E-3</v>
      </c>
      <c r="R3" s="3">
        <f t="shared" ref="R3" si="2">+L3/SUM($J3:$O3)</f>
        <v>0.98714460329632592</v>
      </c>
      <c r="S3" s="3">
        <f>+N3/SUM($J3:$O3)</f>
        <v>9.3663733755299384E-4</v>
      </c>
      <c r="T3" s="4">
        <f>+P3*C3/1000/60/24.3*2*96485/-1/G3</f>
        <v>7.0833366932765748E-2</v>
      </c>
      <c r="U3" s="5">
        <f>+Q3*C3/1000/60/24.3*2*96485/-1/G3</f>
        <v>0.50750773139237226</v>
      </c>
      <c r="V3" s="5"/>
      <c r="W3" s="3">
        <f t="shared" si="1"/>
        <v>0.57834109832513803</v>
      </c>
      <c r="X3" s="3">
        <f t="shared" ref="X3:X65" si="3">+K3/(K3+L3)</f>
        <v>8.6687321808506454E-3</v>
      </c>
      <c r="Y3">
        <f t="shared" ref="Y3" si="4">+SUM(J3:L3)</f>
        <v>101.52910575518025</v>
      </c>
    </row>
    <row r="4" spans="1:25" ht="15.6">
      <c r="A4" s="1" t="s">
        <v>23</v>
      </c>
      <c r="B4" s="1">
        <v>60</v>
      </c>
      <c r="C4" s="2">
        <f>+'Flow rate'!E3</f>
        <v>57.183323999999999</v>
      </c>
      <c r="D4" s="1" t="s">
        <v>25</v>
      </c>
      <c r="E4" s="1" t="s">
        <v>26</v>
      </c>
      <c r="F4" s="1" t="s">
        <v>24</v>
      </c>
      <c r="G4" s="1">
        <v>-0.124</v>
      </c>
      <c r="H4" s="13">
        <v>45408.60833333333</v>
      </c>
      <c r="I4" s="2">
        <f t="shared" ref="I4:I67" si="5">+(H4-H$2)*24</f>
        <v>0.56666666659293696</v>
      </c>
      <c r="J4" s="18">
        <v>0.16651957384223101</v>
      </c>
      <c r="K4" s="18">
        <v>1.4971956377001701</v>
      </c>
      <c r="L4" s="18">
        <v>99.74016194000211</v>
      </c>
      <c r="N4" s="18">
        <v>7.0937424225757356E-2</v>
      </c>
      <c r="O4" s="18">
        <v>0.15299291456158404</v>
      </c>
      <c r="P4" s="3">
        <f t="shared" ref="P4:P67" si="6">+J4/SUM($J4:$O4)</f>
        <v>1.6385237264719354E-3</v>
      </c>
      <c r="Q4" s="3">
        <f t="shared" ref="Q4:Q67" si="7">+K4/SUM($J4:$O4)</f>
        <v>1.4732145410522634E-2</v>
      </c>
      <c r="R4" s="3">
        <f t="shared" ref="R4:R67" si="8">+L4/SUM($J4:$O4)</f>
        <v>0.98142589516644529</v>
      </c>
      <c r="S4" s="3">
        <f t="shared" ref="S4:S67" si="9">+N4/SUM($J4:$O4)</f>
        <v>6.9801195142880402E-4</v>
      </c>
      <c r="T4" s="4">
        <f t="shared" ref="T4:T67" si="10">+P4*C4/1000/60/24.3*2*96485/-1/G4</f>
        <v>0.10000753411425677</v>
      </c>
      <c r="U4" s="5">
        <f>+Q4*C4/1000/60/24.3*2*96485/-1/G4</f>
        <v>0.8991786392323986</v>
      </c>
      <c r="V4" s="5"/>
      <c r="W4" s="3">
        <f t="shared" si="1"/>
        <v>0.99918617334665538</v>
      </c>
      <c r="X4" s="3">
        <f t="shared" si="3"/>
        <v>1.4788964010158343E-2</v>
      </c>
    </row>
    <row r="5" spans="1:25" ht="15.6">
      <c r="A5" s="1" t="s">
        <v>23</v>
      </c>
      <c r="B5" s="1">
        <v>60</v>
      </c>
      <c r="C5" s="2">
        <f>+'Flow rate'!E4</f>
        <v>58.115887000000001</v>
      </c>
      <c r="D5" s="1" t="s">
        <v>25</v>
      </c>
      <c r="E5" s="1" t="s">
        <v>26</v>
      </c>
      <c r="F5" s="1" t="s">
        <v>24</v>
      </c>
      <c r="G5" s="1">
        <v>-0.124</v>
      </c>
      <c r="H5" s="13">
        <v>45408.626388888886</v>
      </c>
      <c r="I5" s="2">
        <f t="shared" si="5"/>
        <v>0.99999999994179234</v>
      </c>
      <c r="J5" s="18">
        <v>0.177212065628536</v>
      </c>
      <c r="K5" s="18">
        <v>1.50475094790375</v>
      </c>
      <c r="L5" s="18">
        <v>99.641809681846382</v>
      </c>
      <c r="N5" s="18">
        <v>5.7896133750757535E-2</v>
      </c>
      <c r="O5" s="18">
        <v>0.12503999933865739</v>
      </c>
      <c r="P5" s="3">
        <f t="shared" si="6"/>
        <v>1.7458162881430746E-3</v>
      </c>
      <c r="Q5" s="3">
        <f t="shared" si="7"/>
        <v>1.4824152662131577E-2</v>
      </c>
      <c r="R5" s="3">
        <f t="shared" si="8"/>
        <v>0.98162782373554136</v>
      </c>
      <c r="S5" s="3">
        <f t="shared" si="9"/>
        <v>5.703675591393055E-4</v>
      </c>
      <c r="T5" s="4">
        <f t="shared" si="10"/>
        <v>0.10829390127971017</v>
      </c>
      <c r="U5" s="5">
        <f t="shared" ref="U5:U67" si="11">+Q5*C5/1000/60/24.3*2*96485/-1/G5</f>
        <v>0.91954997547638051</v>
      </c>
      <c r="V5" s="5"/>
      <c r="W5" s="3">
        <f t="shared" si="1"/>
        <v>1.0278438767560907</v>
      </c>
      <c r="X5" s="3">
        <f t="shared" si="3"/>
        <v>1.4876936383550735E-2</v>
      </c>
      <c r="Y5">
        <f t="shared" ref="Y5" si="12">+SUM(J5:L5)</f>
        <v>101.32377269537866</v>
      </c>
    </row>
    <row r="6" spans="1:25" ht="15.6">
      <c r="A6" s="1" t="s">
        <v>23</v>
      </c>
      <c r="B6" s="1">
        <v>60</v>
      </c>
      <c r="C6" s="2">
        <f>+'Flow rate'!E5</f>
        <v>58.045684999999999</v>
      </c>
      <c r="D6" s="1" t="s">
        <v>25</v>
      </c>
      <c r="E6" s="1" t="s">
        <v>26</v>
      </c>
      <c r="F6" s="1" t="s">
        <v>24</v>
      </c>
      <c r="G6" s="1">
        <v>-0.124</v>
      </c>
      <c r="H6" s="13">
        <v>45408.643750000003</v>
      </c>
      <c r="I6" s="2">
        <f t="shared" si="5"/>
        <v>1.4166666667442769</v>
      </c>
      <c r="J6" s="18">
        <v>0.18322374581884901</v>
      </c>
      <c r="K6" s="18">
        <v>1.4635365856022999</v>
      </c>
      <c r="L6" s="18">
        <v>99.738351167837763</v>
      </c>
      <c r="N6" s="18">
        <v>5.0546182002661352E-2</v>
      </c>
      <c r="O6" s="18">
        <v>0.11022846870437672</v>
      </c>
      <c r="P6" s="3">
        <f t="shared" si="6"/>
        <v>1.8043443488026565E-3</v>
      </c>
      <c r="Q6" s="3">
        <f t="shared" si="7"/>
        <v>1.4412564024906987E-2</v>
      </c>
      <c r="R6" s="3">
        <f t="shared" si="8"/>
        <v>0.98219982068541145</v>
      </c>
      <c r="S6" s="3">
        <f t="shared" si="9"/>
        <v>4.9776691030115451E-4</v>
      </c>
      <c r="T6" s="4">
        <f t="shared" si="10"/>
        <v>0.11178922674897041</v>
      </c>
      <c r="U6" s="5">
        <f t="shared" si="11"/>
        <v>0.89293897192270166</v>
      </c>
      <c r="V6" s="5"/>
      <c r="W6" s="3">
        <f t="shared" si="1"/>
        <v>1.0047281986716721</v>
      </c>
      <c r="X6" s="3">
        <f t="shared" si="3"/>
        <v>1.4461554207051353E-2</v>
      </c>
    </row>
    <row r="7" spans="1:25" ht="15.6">
      <c r="A7" s="1" t="s">
        <v>23</v>
      </c>
      <c r="B7" s="1">
        <v>60</v>
      </c>
      <c r="C7" s="2">
        <f>+'Flow rate'!E6</f>
        <v>58.903171</v>
      </c>
      <c r="D7" s="1" t="s">
        <v>25</v>
      </c>
      <c r="E7" s="1" t="s">
        <v>26</v>
      </c>
      <c r="F7" s="1" t="s">
        <v>24</v>
      </c>
      <c r="G7" s="1">
        <v>-0.124</v>
      </c>
      <c r="H7" s="13">
        <v>45408.661805555559</v>
      </c>
      <c r="I7" s="2">
        <f t="shared" si="5"/>
        <v>1.8500000000931323</v>
      </c>
      <c r="J7" s="18">
        <v>0.186012714334268</v>
      </c>
      <c r="K7" s="18">
        <v>1.4357084233397599</v>
      </c>
      <c r="L7" s="18">
        <v>99.810069426757678</v>
      </c>
      <c r="N7" s="18">
        <v>4.3427940109948791E-2</v>
      </c>
      <c r="O7" s="18">
        <v>8.9881265860392662E-2</v>
      </c>
      <c r="P7" s="3">
        <f t="shared" si="6"/>
        <v>1.8314629213653914E-3</v>
      </c>
      <c r="Q7" s="3">
        <f t="shared" si="7"/>
        <v>1.4135844168767821E-2</v>
      </c>
      <c r="R7" s="3">
        <f t="shared" si="8"/>
        <v>0.98272014355707027</v>
      </c>
      <c r="S7" s="3">
        <f t="shared" si="9"/>
        <v>4.2758723427754159E-4</v>
      </c>
      <c r="T7" s="4">
        <f t="shared" si="10"/>
        <v>0.11514561232133338</v>
      </c>
      <c r="U7" s="5">
        <f t="shared" si="11"/>
        <v>0.88873239720204267</v>
      </c>
      <c r="V7" s="5"/>
      <c r="W7" s="3">
        <f t="shared" si="1"/>
        <v>1.0038780095233761</v>
      </c>
      <c r="X7" s="3">
        <f t="shared" si="3"/>
        <v>1.4180427607217777E-2</v>
      </c>
      <c r="Y7">
        <f t="shared" ref="Y7" si="13">+SUM(J7:L7)</f>
        <v>101.43179056443171</v>
      </c>
    </row>
    <row r="8" spans="1:25" ht="15.6">
      <c r="A8" s="1" t="s">
        <v>23</v>
      </c>
      <c r="B8" s="1">
        <v>60</v>
      </c>
      <c r="C8" s="2">
        <f>+'Flow rate'!E7</f>
        <v>58.602159</v>
      </c>
      <c r="D8" s="1" t="s">
        <v>25</v>
      </c>
      <c r="E8" s="1" t="s">
        <v>26</v>
      </c>
      <c r="F8" s="1" t="s">
        <v>24</v>
      </c>
      <c r="G8" s="1">
        <v>-0.27</v>
      </c>
      <c r="H8" s="13">
        <v>45408.679166666669</v>
      </c>
      <c r="I8" s="2">
        <f t="shared" si="5"/>
        <v>2.2666666667209938</v>
      </c>
      <c r="J8" s="18">
        <v>0.672239228370897</v>
      </c>
      <c r="K8" s="18">
        <v>2.6302013228783698</v>
      </c>
      <c r="L8" s="18">
        <v>98.419341029046279</v>
      </c>
      <c r="N8" s="18">
        <v>3.9449018030475382E-2</v>
      </c>
      <c r="O8" s="18">
        <v>7.957343015108051E-2</v>
      </c>
      <c r="P8" s="3">
        <f t="shared" si="6"/>
        <v>6.6008829641891172E-3</v>
      </c>
      <c r="Q8" s="3">
        <f t="shared" si="7"/>
        <v>2.5826596205415886E-2</v>
      </c>
      <c r="R8" s="3">
        <f t="shared" si="8"/>
        <v>0.96640381002418141</v>
      </c>
      <c r="S8" s="3">
        <f t="shared" si="9"/>
        <v>3.8735964829425833E-4</v>
      </c>
      <c r="T8" s="4">
        <f t="shared" si="10"/>
        <v>0.18962000678432034</v>
      </c>
      <c r="U8" s="5">
        <f t="shared" si="11"/>
        <v>0.74190670767156375</v>
      </c>
      <c r="V8" s="5"/>
      <c r="W8" s="3">
        <f t="shared" si="1"/>
        <v>0.93152671445588409</v>
      </c>
      <c r="X8" s="3">
        <f t="shared" si="3"/>
        <v>2.602882963802234E-2</v>
      </c>
    </row>
    <row r="9" spans="1:25" ht="15.6">
      <c r="A9" s="1" t="s">
        <v>23</v>
      </c>
      <c r="B9" s="1">
        <v>60</v>
      </c>
      <c r="C9" s="2">
        <f>+'Flow rate'!E8</f>
        <v>58.569921000000001</v>
      </c>
      <c r="D9" s="1" t="s">
        <v>25</v>
      </c>
      <c r="E9" s="1" t="s">
        <v>26</v>
      </c>
      <c r="F9" s="1" t="s">
        <v>24</v>
      </c>
      <c r="G9" s="1">
        <v>-0.27</v>
      </c>
      <c r="H9" s="13">
        <v>45408.697222222225</v>
      </c>
      <c r="I9" s="2">
        <f t="shared" si="5"/>
        <v>2.7000000000698492</v>
      </c>
      <c r="J9" s="18">
        <v>0.57202911325921302</v>
      </c>
      <c r="K9" s="18">
        <v>2.81272065851749</v>
      </c>
      <c r="L9" s="18">
        <v>98.161719154378574</v>
      </c>
      <c r="N9" s="18">
        <v>3.2456871467567858E-2</v>
      </c>
      <c r="O9" s="18">
        <v>5.3495347781570023E-2</v>
      </c>
      <c r="P9" s="3">
        <f t="shared" si="6"/>
        <v>5.6284117490502088E-3</v>
      </c>
      <c r="Q9" s="3">
        <f t="shared" si="7"/>
        <v>2.7675427061738114E-2</v>
      </c>
      <c r="R9" s="3">
        <f t="shared" si="8"/>
        <v>0.96585044465229908</v>
      </c>
      <c r="S9" s="3">
        <f t="shared" si="9"/>
        <v>3.1935548815797829E-4</v>
      </c>
      <c r="T9" s="4">
        <f t="shared" si="10"/>
        <v>0.16159540519748564</v>
      </c>
      <c r="U9" s="5">
        <f t="shared" si="11"/>
        <v>0.7945797232780123</v>
      </c>
      <c r="V9" s="5"/>
      <c r="W9" s="3">
        <f t="shared" si="1"/>
        <v>0.9561751284754979</v>
      </c>
      <c r="X9" s="3">
        <f t="shared" si="3"/>
        <v>2.7855768882990725E-2</v>
      </c>
      <c r="Y9">
        <f t="shared" ref="Y9" si="14">+SUM(J9:L9)</f>
        <v>101.54646892615527</v>
      </c>
    </row>
    <row r="10" spans="1:25" ht="15.6">
      <c r="A10" s="1" t="s">
        <v>23</v>
      </c>
      <c r="B10" s="1">
        <v>60</v>
      </c>
      <c r="C10" s="2">
        <f>+'Flow rate'!E9</f>
        <v>58.313673000000001</v>
      </c>
      <c r="D10" s="1" t="s">
        <v>25</v>
      </c>
      <c r="E10" s="1" t="s">
        <v>26</v>
      </c>
      <c r="F10" s="1" t="s">
        <v>24</v>
      </c>
      <c r="G10" s="1">
        <v>-0.27</v>
      </c>
      <c r="H10" s="13">
        <v>45408.714583333334</v>
      </c>
      <c r="I10" s="2">
        <f t="shared" si="5"/>
        <v>3.1166666666977108</v>
      </c>
      <c r="J10" s="18">
        <v>0.58795909613127895</v>
      </c>
      <c r="K10" s="18">
        <v>2.8312488353490601</v>
      </c>
      <c r="L10" s="18">
        <v>98.174443414929343</v>
      </c>
      <c r="N10" s="18">
        <v>3.1006276993086366E-2</v>
      </c>
      <c r="O10" s="18">
        <v>4.9395408995444923E-2</v>
      </c>
      <c r="P10" s="3">
        <f t="shared" si="6"/>
        <v>5.7827840889152615E-3</v>
      </c>
      <c r="Q10" s="3">
        <f t="shared" si="7"/>
        <v>2.7846326087216065E-2</v>
      </c>
      <c r="R10" s="3">
        <f t="shared" si="8"/>
        <v>0.96558011102052033</v>
      </c>
      <c r="S10" s="3">
        <f t="shared" si="9"/>
        <v>3.0495761768448712E-4</v>
      </c>
      <c r="T10" s="4">
        <f t="shared" si="10"/>
        <v>0.16530115316256547</v>
      </c>
      <c r="U10" s="5">
        <f t="shared" si="11"/>
        <v>0.795988531264892</v>
      </c>
      <c r="V10" s="5"/>
      <c r="W10" s="3">
        <f t="shared" si="1"/>
        <v>0.96128968442745744</v>
      </c>
      <c r="X10" s="3">
        <f t="shared" si="3"/>
        <v>2.8030586913197028E-2</v>
      </c>
    </row>
    <row r="11" spans="1:25" ht="15.6">
      <c r="A11" s="1" t="s">
        <v>23</v>
      </c>
      <c r="B11" s="1">
        <v>60</v>
      </c>
      <c r="C11" s="2">
        <f>+'Flow rate'!E10</f>
        <v>59.759112999999999</v>
      </c>
      <c r="D11" s="1" t="s">
        <v>25</v>
      </c>
      <c r="E11" s="1" t="s">
        <v>26</v>
      </c>
      <c r="F11" s="1" t="s">
        <v>24</v>
      </c>
      <c r="G11" s="1">
        <v>-0.27</v>
      </c>
      <c r="H11" s="13">
        <v>45408.732638888891</v>
      </c>
      <c r="I11" s="2">
        <f t="shared" si="5"/>
        <v>3.5500000000465661</v>
      </c>
      <c r="J11" s="18">
        <v>0.56502257663433597</v>
      </c>
      <c r="K11" s="18">
        <v>2.7202590776337701</v>
      </c>
      <c r="L11" s="18">
        <v>98.077553053623092</v>
      </c>
      <c r="N11" s="18">
        <v>3.202168205451842E-2</v>
      </c>
      <c r="O11" s="18">
        <v>5.464845190795628E-2</v>
      </c>
      <c r="P11" s="3">
        <f t="shared" si="6"/>
        <v>5.5694956571264815E-3</v>
      </c>
      <c r="Q11" s="3">
        <f t="shared" si="7"/>
        <v>2.6813921683248167E-2</v>
      </c>
      <c r="R11" s="3">
        <f t="shared" si="8"/>
        <v>0.96676226470018756</v>
      </c>
      <c r="S11" s="3">
        <f t="shared" si="9"/>
        <v>3.1564158055217694E-4</v>
      </c>
      <c r="T11" s="4">
        <f t="shared" si="10"/>
        <v>0.16315054204020141</v>
      </c>
      <c r="U11" s="5">
        <f t="shared" si="11"/>
        <v>0.78547612318321258</v>
      </c>
      <c r="V11" s="5"/>
      <c r="W11" s="3">
        <f t="shared" si="1"/>
        <v>0.94862666522341399</v>
      </c>
      <c r="X11" s="3">
        <f t="shared" si="3"/>
        <v>2.6987282958994229E-2</v>
      </c>
      <c r="Y11">
        <f t="shared" ref="Y11" si="15">+SUM(J11:L11)</f>
        <v>101.3628347078912</v>
      </c>
    </row>
    <row r="12" spans="1:25" ht="15.6">
      <c r="A12" s="1" t="s">
        <v>23</v>
      </c>
      <c r="B12" s="1">
        <v>60</v>
      </c>
      <c r="C12" s="2">
        <f>+'Flow rate'!E11</f>
        <v>59.335780999999997</v>
      </c>
      <c r="D12" s="1" t="s">
        <v>25</v>
      </c>
      <c r="E12" s="1" t="s">
        <v>26</v>
      </c>
      <c r="F12" s="1" t="s">
        <v>24</v>
      </c>
      <c r="G12" s="1">
        <v>-0.27</v>
      </c>
      <c r="H12" s="13">
        <v>45408.75</v>
      </c>
      <c r="I12" s="2">
        <f t="shared" si="5"/>
        <v>3.9666666666744277</v>
      </c>
      <c r="J12" s="18">
        <v>0.57483176854895601</v>
      </c>
      <c r="K12" s="18">
        <v>2.8333412335513799</v>
      </c>
      <c r="L12" s="18">
        <v>98.263296511815881</v>
      </c>
      <c r="N12" s="18">
        <v>3.1977731355718977E-2</v>
      </c>
      <c r="O12" s="18">
        <v>5.7874287911174764E-2</v>
      </c>
      <c r="P12" s="3">
        <f t="shared" si="6"/>
        <v>5.6488237366444814E-3</v>
      </c>
      <c r="Q12" s="3">
        <f t="shared" si="7"/>
        <v>2.7843007449814435E-2</v>
      </c>
      <c r="R12" s="3">
        <f t="shared" si="8"/>
        <v>0.96562520053135736</v>
      </c>
      <c r="S12" s="3">
        <f t="shared" si="9"/>
        <v>3.142424928639653E-4</v>
      </c>
      <c r="T12" s="4">
        <f t="shared" si="10"/>
        <v>0.16430213059738705</v>
      </c>
      <c r="U12" s="5">
        <f t="shared" si="11"/>
        <v>0.80984390016759111</v>
      </c>
      <c r="V12" s="5"/>
      <c r="W12" s="3">
        <f t="shared" si="1"/>
        <v>0.97414603076497819</v>
      </c>
      <c r="X12" s="3">
        <f t="shared" si="3"/>
        <v>2.8026067896419409E-2</v>
      </c>
    </row>
    <row r="13" spans="1:25" ht="15.6">
      <c r="A13" s="1" t="s">
        <v>23</v>
      </c>
      <c r="B13" s="1">
        <v>60</v>
      </c>
      <c r="C13" s="2">
        <f>+'Flow rate'!E12</f>
        <v>60.443483000000001</v>
      </c>
      <c r="D13" s="1" t="s">
        <v>25</v>
      </c>
      <c r="E13" s="1" t="s">
        <v>26</v>
      </c>
      <c r="F13" s="1" t="s">
        <v>24</v>
      </c>
      <c r="G13" s="1">
        <v>-0.52</v>
      </c>
      <c r="H13" s="13">
        <v>45408.768055555556</v>
      </c>
      <c r="I13" s="2">
        <f t="shared" si="5"/>
        <v>4.4000000000232831</v>
      </c>
      <c r="J13" s="18">
        <v>0.84790145390373395</v>
      </c>
      <c r="K13" s="18">
        <v>5.0359288672016396</v>
      </c>
      <c r="L13" s="18">
        <v>95.197768703244478</v>
      </c>
      <c r="N13" s="18">
        <v>3.1885180262025428E-2</v>
      </c>
      <c r="O13" s="18">
        <v>5.0033577756348688E-2</v>
      </c>
      <c r="P13" s="3">
        <f t="shared" si="6"/>
        <v>8.3814943617106456E-3</v>
      </c>
      <c r="Q13" s="3">
        <f t="shared" si="7"/>
        <v>4.9780088490352502E-2</v>
      </c>
      <c r="R13" s="3">
        <f t="shared" si="8"/>
        <v>0.94102865133695934</v>
      </c>
      <c r="S13" s="3">
        <f t="shared" si="9"/>
        <v>3.1518457405385608E-4</v>
      </c>
      <c r="T13" s="4">
        <f t="shared" si="10"/>
        <v>0.12894362299277867</v>
      </c>
      <c r="U13" s="5">
        <f t="shared" si="11"/>
        <v>0.76583299896620172</v>
      </c>
      <c r="V13" s="5"/>
      <c r="W13" s="3">
        <f t="shared" si="1"/>
        <v>0.89477662195898033</v>
      </c>
      <c r="X13" s="3">
        <f t="shared" si="3"/>
        <v>5.0241874631655636E-2</v>
      </c>
      <c r="Y13">
        <f t="shared" ref="Y13" si="16">+SUM(J13:L13)</f>
        <v>101.08159902434986</v>
      </c>
    </row>
    <row r="14" spans="1:25" ht="15.6">
      <c r="A14" s="1" t="s">
        <v>23</v>
      </c>
      <c r="B14" s="1">
        <v>60</v>
      </c>
      <c r="C14" s="2">
        <f>+'Flow rate'!E13</f>
        <v>60.575346000000003</v>
      </c>
      <c r="D14" s="1" t="s">
        <v>25</v>
      </c>
      <c r="E14" s="1" t="s">
        <v>26</v>
      </c>
      <c r="F14" s="1" t="s">
        <v>24</v>
      </c>
      <c r="G14" s="1">
        <v>-0.52</v>
      </c>
      <c r="H14" s="13">
        <v>45408.785416666666</v>
      </c>
      <c r="I14" s="2">
        <f t="shared" si="5"/>
        <v>4.8166666666511446</v>
      </c>
      <c r="J14" s="18">
        <v>0.83145185332631499</v>
      </c>
      <c r="K14" s="18">
        <v>5.2392838700499604</v>
      </c>
      <c r="L14" s="18">
        <v>94.999932155871278</v>
      </c>
      <c r="N14" s="18">
        <v>3.0877967522283941E-2</v>
      </c>
      <c r="O14" s="18">
        <v>4.6373089492356918E-2</v>
      </c>
      <c r="P14" s="3">
        <f t="shared" si="6"/>
        <v>8.2201577854533001E-3</v>
      </c>
      <c r="Q14" s="3">
        <f t="shared" si="7"/>
        <v>5.1798236930128694E-2</v>
      </c>
      <c r="R14" s="3">
        <f t="shared" si="8"/>
        <v>0.93921786186955525</v>
      </c>
      <c r="S14" s="3">
        <f t="shared" si="9"/>
        <v>3.0527536153997909E-4</v>
      </c>
      <c r="T14" s="4">
        <f t="shared" si="10"/>
        <v>0.12673745637388628</v>
      </c>
      <c r="U14" s="5">
        <f t="shared" si="11"/>
        <v>0.79861931662597607</v>
      </c>
      <c r="V14" s="5"/>
      <c r="W14" s="3">
        <f t="shared" si="1"/>
        <v>0.92535677299986241</v>
      </c>
      <c r="X14" s="3">
        <f t="shared" si="3"/>
        <v>5.2267805732789392E-2</v>
      </c>
    </row>
    <row r="15" spans="1:25" ht="15.6">
      <c r="A15" s="1" t="s">
        <v>23</v>
      </c>
      <c r="B15" s="1">
        <v>60</v>
      </c>
      <c r="C15" s="2">
        <f>+'Flow rate'!E14</f>
        <v>61.293407999999999</v>
      </c>
      <c r="D15" s="1" t="s">
        <v>25</v>
      </c>
      <c r="E15" s="1" t="s">
        <v>26</v>
      </c>
      <c r="F15" s="1" t="s">
        <v>24</v>
      </c>
      <c r="G15" s="1">
        <v>-0.52</v>
      </c>
      <c r="H15" s="13">
        <v>45408.803472222222</v>
      </c>
      <c r="I15" s="2">
        <f t="shared" si="5"/>
        <v>5.25</v>
      </c>
      <c r="J15" s="18">
        <v>0.832451045937458</v>
      </c>
      <c r="K15" s="18">
        <v>5.2938813187143996</v>
      </c>
      <c r="L15" s="18">
        <v>94.931053112033922</v>
      </c>
      <c r="N15" s="18">
        <v>2.9318326603677839E-2</v>
      </c>
      <c r="O15" s="18">
        <v>4.1714445834683235E-2</v>
      </c>
      <c r="P15" s="3">
        <f t="shared" si="6"/>
        <v>8.2316233196366422E-3</v>
      </c>
      <c r="Q15" s="3">
        <f t="shared" si="7"/>
        <v>5.2348107588049309E-2</v>
      </c>
      <c r="R15" s="3">
        <f t="shared" si="8"/>
        <v>0.93871786739684426</v>
      </c>
      <c r="S15" s="3">
        <f t="shared" si="9"/>
        <v>2.8991184783938578E-4</v>
      </c>
      <c r="T15" s="4">
        <f t="shared" si="10"/>
        <v>0.1284186758372006</v>
      </c>
      <c r="U15" s="5">
        <f t="shared" si="11"/>
        <v>0.81666451415531327</v>
      </c>
      <c r="V15" s="5"/>
      <c r="W15" s="3">
        <f t="shared" si="1"/>
        <v>0.94508318999251384</v>
      </c>
      <c r="X15" s="3">
        <f t="shared" si="3"/>
        <v>5.2820002814491972E-2</v>
      </c>
      <c r="Y15">
        <f t="shared" ref="Y15" si="17">+SUM(J15:L15)</f>
        <v>101.05738547668578</v>
      </c>
    </row>
    <row r="16" spans="1:25" ht="15.6">
      <c r="A16" s="1" t="s">
        <v>23</v>
      </c>
      <c r="B16" s="1">
        <v>60</v>
      </c>
      <c r="C16" s="2">
        <f>+'Flow rate'!E15</f>
        <v>59.994160000000001</v>
      </c>
      <c r="D16" s="1" t="s">
        <v>25</v>
      </c>
      <c r="E16" s="1" t="s">
        <v>26</v>
      </c>
      <c r="F16" s="1" t="s">
        <v>24</v>
      </c>
      <c r="G16" s="1">
        <v>-0.52</v>
      </c>
      <c r="H16" s="13">
        <v>45408.820833333331</v>
      </c>
      <c r="I16" s="2">
        <f t="shared" si="5"/>
        <v>5.6666666666278616</v>
      </c>
      <c r="J16" s="18">
        <v>0.63518818504079</v>
      </c>
      <c r="K16" s="18">
        <v>5.3015480635141596</v>
      </c>
      <c r="L16" s="18">
        <v>94.936371004036019</v>
      </c>
      <c r="N16" s="18">
        <v>3.1755874427774167E-2</v>
      </c>
      <c r="O16" s="18">
        <v>5.0913883169794089E-2</v>
      </c>
      <c r="P16" s="3">
        <f t="shared" si="6"/>
        <v>6.2917467811345381E-3</v>
      </c>
      <c r="Q16" s="3">
        <f t="shared" si="7"/>
        <v>5.2513568024731491E-2</v>
      </c>
      <c r="R16" s="3">
        <f t="shared" si="8"/>
        <v>0.94037581419887406</v>
      </c>
      <c r="S16" s="3">
        <f t="shared" si="9"/>
        <v>3.1455232546592494E-4</v>
      </c>
      <c r="T16" s="4">
        <f t="shared" si="10"/>
        <v>9.6074723185098118E-2</v>
      </c>
      <c r="U16" s="5">
        <f t="shared" si="11"/>
        <v>0.80188009577336083</v>
      </c>
      <c r="V16" s="5"/>
      <c r="W16" s="3">
        <f t="shared" si="1"/>
        <v>0.89795481895845897</v>
      </c>
      <c r="X16" s="3">
        <f t="shared" si="3"/>
        <v>5.2889646082351874E-2</v>
      </c>
    </row>
    <row r="17" spans="1:25" ht="15.6">
      <c r="A17" s="1" t="s">
        <v>23</v>
      </c>
      <c r="B17" s="1">
        <v>60</v>
      </c>
      <c r="C17" s="2">
        <f>+'Flow rate'!E16</f>
        <v>60.571302000000003</v>
      </c>
      <c r="D17" s="1" t="s">
        <v>25</v>
      </c>
      <c r="E17" s="1" t="s">
        <v>26</v>
      </c>
      <c r="F17" s="1" t="s">
        <v>24</v>
      </c>
      <c r="G17" s="1">
        <v>-0.77</v>
      </c>
      <c r="H17" s="13">
        <v>45408.838888888888</v>
      </c>
      <c r="I17" s="2">
        <f t="shared" si="5"/>
        <v>6.0999999999767169</v>
      </c>
      <c r="J17" s="18">
        <v>0.86346229038426803</v>
      </c>
      <c r="K17" s="18">
        <v>6.0868919963037902</v>
      </c>
      <c r="L17" s="18">
        <v>94.111568415730716</v>
      </c>
      <c r="N17" s="18">
        <v>3.0378014485058988E-2</v>
      </c>
      <c r="O17" s="18">
        <v>4.4517332653616667E-2</v>
      </c>
      <c r="P17" s="3">
        <f t="shared" si="6"/>
        <v>8.5375663090484829E-3</v>
      </c>
      <c r="Q17" s="3">
        <f t="shared" si="7"/>
        <v>6.0184729099556897E-2</v>
      </c>
      <c r="R17" s="3">
        <f t="shared" si="8"/>
        <v>0.93053716965483013</v>
      </c>
      <c r="S17" s="3">
        <f t="shared" si="9"/>
        <v>3.0036553523142919E-4</v>
      </c>
      <c r="T17" s="4">
        <f t="shared" si="10"/>
        <v>8.888787963774418E-2</v>
      </c>
      <c r="U17" s="5">
        <f t="shared" si="11"/>
        <v>0.62660631409232126</v>
      </c>
      <c r="V17" s="5"/>
      <c r="W17" s="3">
        <f t="shared" si="1"/>
        <v>0.7154941937300654</v>
      </c>
      <c r="X17" s="3">
        <f t="shared" si="3"/>
        <v>6.0748358520414089E-2</v>
      </c>
      <c r="Y17">
        <f t="shared" ref="Y17" si="18">+SUM(J17:L17)</f>
        <v>101.06192270241877</v>
      </c>
    </row>
    <row r="18" spans="1:25" ht="15.6">
      <c r="A18" s="1" t="s">
        <v>23</v>
      </c>
      <c r="B18" s="1">
        <v>60</v>
      </c>
      <c r="C18" s="2">
        <f>+'Flow rate'!E17</f>
        <v>61.548425999999999</v>
      </c>
      <c r="D18" s="1" t="s">
        <v>25</v>
      </c>
      <c r="E18" s="1" t="s">
        <v>26</v>
      </c>
      <c r="F18" s="1" t="s">
        <v>24</v>
      </c>
      <c r="G18" s="1">
        <v>-0.77</v>
      </c>
      <c r="H18" s="13">
        <v>45408.856249999997</v>
      </c>
      <c r="I18" s="2">
        <f t="shared" si="5"/>
        <v>6.5166666666045785</v>
      </c>
      <c r="J18" s="18">
        <v>0.95002593411671699</v>
      </c>
      <c r="K18" s="18">
        <v>7.4247213884574901</v>
      </c>
      <c r="L18" s="18">
        <v>92.559688366578399</v>
      </c>
      <c r="N18" s="18">
        <v>3.206142588542274E-2</v>
      </c>
      <c r="O18" s="18">
        <v>4.3372537711536971E-2</v>
      </c>
      <c r="P18" s="3">
        <f t="shared" si="6"/>
        <v>9.4052782899602186E-3</v>
      </c>
      <c r="Q18" s="3">
        <f t="shared" si="7"/>
        <v>7.3504910104152221E-2</v>
      </c>
      <c r="R18" s="3">
        <f t="shared" si="8"/>
        <v>0.91634301365578352</v>
      </c>
      <c r="S18" s="3">
        <f t="shared" si="9"/>
        <v>3.1740884327089125E-4</v>
      </c>
      <c r="T18" s="4">
        <f t="shared" si="10"/>
        <v>9.9501619405417713E-2</v>
      </c>
      <c r="U18" s="5">
        <f t="shared" si="11"/>
        <v>0.77763329952927229</v>
      </c>
      <c r="V18" s="5"/>
      <c r="W18" s="3">
        <f t="shared" si="1"/>
        <v>0.87713491893468998</v>
      </c>
      <c r="X18" s="3">
        <f t="shared" si="3"/>
        <v>7.4258791012001057E-2</v>
      </c>
    </row>
    <row r="19" spans="1:25" ht="15.6">
      <c r="A19" s="1" t="s">
        <v>23</v>
      </c>
      <c r="B19" s="1">
        <v>60</v>
      </c>
      <c r="C19" s="2">
        <f>+'Flow rate'!E18</f>
        <v>61.343175000000002</v>
      </c>
      <c r="D19" s="1" t="s">
        <v>25</v>
      </c>
      <c r="E19" s="1" t="s">
        <v>26</v>
      </c>
      <c r="F19" s="1" t="s">
        <v>24</v>
      </c>
      <c r="G19" s="1">
        <v>-0.77</v>
      </c>
      <c r="H19" s="13">
        <v>45408.874305555553</v>
      </c>
      <c r="I19" s="2">
        <f t="shared" si="5"/>
        <v>6.9499999999534339</v>
      </c>
      <c r="J19" s="18">
        <v>0.98961019263673999</v>
      </c>
      <c r="K19" s="18">
        <v>7.5179596681955401</v>
      </c>
      <c r="L19" s="18">
        <v>92.433428562763226</v>
      </c>
      <c r="N19" s="18">
        <v>3.137814197360865E-2</v>
      </c>
      <c r="O19" s="18">
        <v>3.9977475222298733E-2</v>
      </c>
      <c r="P19" s="3">
        <f t="shared" si="6"/>
        <v>9.7969223867123197E-3</v>
      </c>
      <c r="Q19" s="3">
        <f t="shared" si="7"/>
        <v>7.442614063978345E-2</v>
      </c>
      <c r="R19" s="3">
        <f t="shared" si="8"/>
        <v>0.91507053211962774</v>
      </c>
      <c r="S19" s="3">
        <f t="shared" si="9"/>
        <v>3.1063667678645862E-4</v>
      </c>
      <c r="T19" s="4">
        <f t="shared" si="10"/>
        <v>0.10329932070721573</v>
      </c>
      <c r="U19" s="5">
        <f t="shared" si="11"/>
        <v>0.78475356519889228</v>
      </c>
      <c r="V19" s="5"/>
      <c r="W19" s="3">
        <f t="shared" si="1"/>
        <v>0.88805288590610798</v>
      </c>
      <c r="X19" s="3">
        <f t="shared" si="3"/>
        <v>7.5216160588222225E-2</v>
      </c>
      <c r="Y19">
        <f t="shared" ref="Y19" si="19">+SUM(J19:L19)</f>
        <v>100.9409984235955</v>
      </c>
    </row>
    <row r="20" spans="1:25" ht="15.6">
      <c r="A20" s="1" t="s">
        <v>23</v>
      </c>
      <c r="B20" s="1">
        <v>60</v>
      </c>
      <c r="C20" s="2">
        <f>+'Flow rate'!E19</f>
        <v>61.845123000000001</v>
      </c>
      <c r="D20" s="1" t="s">
        <v>25</v>
      </c>
      <c r="E20" s="1" t="s">
        <v>26</v>
      </c>
      <c r="F20" s="1" t="s">
        <v>24</v>
      </c>
      <c r="G20" s="1">
        <v>-0.77</v>
      </c>
      <c r="H20" s="13">
        <v>45408.893055555556</v>
      </c>
      <c r="I20" s="2">
        <f t="shared" si="5"/>
        <v>7.4000000000232831</v>
      </c>
      <c r="J20" s="18">
        <v>0.99972128224988699</v>
      </c>
      <c r="K20" s="18">
        <v>7.5444909612121398</v>
      </c>
      <c r="L20" s="18">
        <v>92.37353138231471</v>
      </c>
      <c r="N20" s="18">
        <v>3.226612322063728E-2</v>
      </c>
      <c r="O20" s="18">
        <v>4.5130105738540878E-2</v>
      </c>
      <c r="P20" s="3">
        <f t="shared" si="6"/>
        <v>9.8987068455750806E-3</v>
      </c>
      <c r="Q20" s="3">
        <f t="shared" si="7"/>
        <v>7.4701524965098215E-2</v>
      </c>
      <c r="R20" s="3">
        <f t="shared" si="8"/>
        <v>0.9146334320164129</v>
      </c>
      <c r="S20" s="3">
        <f t="shared" si="9"/>
        <v>3.1948194009183542E-4</v>
      </c>
      <c r="T20" s="4">
        <f t="shared" si="10"/>
        <v>0.10522658300999027</v>
      </c>
      <c r="U20" s="5">
        <f t="shared" si="11"/>
        <v>0.79410233481422943</v>
      </c>
      <c r="V20" s="5"/>
      <c r="W20" s="3">
        <f t="shared" si="1"/>
        <v>0.89932891782421964</v>
      </c>
      <c r="X20" s="3">
        <f t="shared" si="3"/>
        <v>7.5506808324063146E-2</v>
      </c>
    </row>
    <row r="21" spans="1:25" ht="15.6">
      <c r="A21" s="1" t="s">
        <v>23</v>
      </c>
      <c r="B21" s="1">
        <v>60</v>
      </c>
      <c r="C21" s="2">
        <f>+'Flow rate'!E20</f>
        <v>61.024411000000001</v>
      </c>
      <c r="D21" s="1" t="s">
        <v>25</v>
      </c>
      <c r="E21" s="1" t="s">
        <v>26</v>
      </c>
      <c r="F21" s="1" t="s">
        <v>24</v>
      </c>
      <c r="G21" s="1">
        <v>-0.77</v>
      </c>
      <c r="H21" s="13">
        <v>45408.904861111114</v>
      </c>
      <c r="I21" s="2">
        <f t="shared" si="5"/>
        <v>7.683333333407063</v>
      </c>
      <c r="J21" s="18">
        <v>0.95336395042588296</v>
      </c>
      <c r="K21" s="18">
        <v>7.5815555559741599</v>
      </c>
      <c r="L21" s="18">
        <v>92.341911009867871</v>
      </c>
      <c r="N21" s="18">
        <v>3.1677383129414469E-2</v>
      </c>
      <c r="O21" s="18">
        <v>4.1888002459003745E-2</v>
      </c>
      <c r="P21" s="3">
        <f t="shared" si="6"/>
        <v>9.4438852062823063E-3</v>
      </c>
      <c r="Q21" s="3">
        <f t="shared" si="7"/>
        <v>7.5101791213824709E-2</v>
      </c>
      <c r="R21" s="3">
        <f t="shared" si="8"/>
        <v>0.91472559552557264</v>
      </c>
      <c r="S21" s="3">
        <f t="shared" si="9"/>
        <v>3.13791569081226E-4</v>
      </c>
      <c r="T21" s="4">
        <f t="shared" si="10"/>
        <v>9.905943429103678E-2</v>
      </c>
      <c r="U21" s="5">
        <f t="shared" si="11"/>
        <v>0.78776274693979387</v>
      </c>
      <c r="V21" s="5"/>
      <c r="W21" s="3">
        <f t="shared" si="1"/>
        <v>0.88682218123083068</v>
      </c>
      <c r="X21" s="3">
        <f t="shared" si="3"/>
        <v>7.5873624250000229E-2</v>
      </c>
      <c r="Y21">
        <f t="shared" ref="Y21" si="20">+SUM(J21:L21)</f>
        <v>100.87683051626792</v>
      </c>
    </row>
    <row r="22" spans="1:25" ht="15.6">
      <c r="A22" s="1" t="s">
        <v>23</v>
      </c>
      <c r="B22" s="1">
        <v>60</v>
      </c>
      <c r="C22" s="2">
        <f>+'Flow rate'!E21</f>
        <v>60.666041999999997</v>
      </c>
      <c r="D22" s="1" t="s">
        <v>25</v>
      </c>
      <c r="E22" s="1" t="s">
        <v>26</v>
      </c>
      <c r="F22" s="1" t="s">
        <v>24</v>
      </c>
      <c r="G22" s="1">
        <v>-0.77</v>
      </c>
      <c r="H22" s="13">
        <v>45408.916666666664</v>
      </c>
      <c r="I22" s="2">
        <f t="shared" si="5"/>
        <v>7.96666666661622</v>
      </c>
      <c r="J22" s="18">
        <v>0.84366173593706695</v>
      </c>
      <c r="K22" s="18">
        <v>7.5531742203383301</v>
      </c>
      <c r="L22" s="18">
        <v>92.338879771020459</v>
      </c>
      <c r="N22" s="18">
        <v>3.0749658051481544E-2</v>
      </c>
      <c r="O22" s="18">
        <v>3.9615850158811854E-2</v>
      </c>
      <c r="P22" s="3">
        <f t="shared" si="6"/>
        <v>8.3691551699751083E-3</v>
      </c>
      <c r="Q22" s="3">
        <f t="shared" si="7"/>
        <v>7.4927763561132607E-2</v>
      </c>
      <c r="R22" s="3">
        <f t="shared" si="8"/>
        <v>0.91600505286278955</v>
      </c>
      <c r="S22" s="3">
        <f t="shared" si="9"/>
        <v>3.0503772862316991E-4</v>
      </c>
      <c r="T22" s="4">
        <f t="shared" si="10"/>
        <v>8.7270774295290135E-2</v>
      </c>
      <c r="U22" s="5">
        <f t="shared" si="11"/>
        <v>0.78132186694943506</v>
      </c>
      <c r="V22" s="5"/>
      <c r="W22" s="3">
        <f t="shared" si="1"/>
        <v>0.86859264124472524</v>
      </c>
      <c r="X22" s="3">
        <f t="shared" si="3"/>
        <v>7.561336381161729E-2</v>
      </c>
    </row>
    <row r="23" spans="1:25" ht="15.6">
      <c r="A23" s="1" t="s">
        <v>23</v>
      </c>
      <c r="B23" s="1">
        <v>60</v>
      </c>
      <c r="C23" s="2">
        <f>+'Flow rate'!E22</f>
        <v>62.499085000000001</v>
      </c>
      <c r="D23" s="1" t="s">
        <v>25</v>
      </c>
      <c r="E23" s="1" t="s">
        <v>26</v>
      </c>
      <c r="F23" s="1" t="s">
        <v>24</v>
      </c>
      <c r="G23" s="1">
        <v>-1.1000000000000001</v>
      </c>
      <c r="H23" s="13">
        <v>45408.928472222222</v>
      </c>
      <c r="I23" s="2">
        <f t="shared" si="5"/>
        <v>8.25</v>
      </c>
      <c r="J23" s="18">
        <v>2.8564526283204699</v>
      </c>
      <c r="K23" s="18">
        <v>8.7598643505423706</v>
      </c>
      <c r="L23" s="18">
        <v>90.501276441107024</v>
      </c>
      <c r="N23" s="18">
        <v>3.2962802685485938E-2</v>
      </c>
      <c r="O23" s="18">
        <v>4.1501917965656894E-2</v>
      </c>
      <c r="P23" s="3">
        <f t="shared" si="6"/>
        <v>2.7951806434800035E-2</v>
      </c>
      <c r="Q23" s="3">
        <f t="shared" si="7"/>
        <v>8.5719619605746575E-2</v>
      </c>
      <c r="R23" s="3">
        <f t="shared" si="8"/>
        <v>0.88559989971601383</v>
      </c>
      <c r="S23" s="3">
        <f t="shared" si="9"/>
        <v>3.2255738151518187E-4</v>
      </c>
      <c r="T23" s="4">
        <f t="shared" si="10"/>
        <v>0.21019536108039022</v>
      </c>
      <c r="U23" s="5">
        <f t="shared" si="11"/>
        <v>0.6446047212272954</v>
      </c>
      <c r="V23" s="5"/>
      <c r="W23" s="3">
        <f t="shared" si="1"/>
        <v>0.85480008230768556</v>
      </c>
      <c r="X23" s="3">
        <f t="shared" si="3"/>
        <v>8.8250691868728928E-2</v>
      </c>
      <c r="Y23">
        <f t="shared" ref="Y23" si="21">+SUM(J23:L23)</f>
        <v>102.11759341996986</v>
      </c>
    </row>
    <row r="24" spans="1:25" ht="15.6">
      <c r="A24" s="1" t="s">
        <v>23</v>
      </c>
      <c r="B24" s="1">
        <v>60</v>
      </c>
      <c r="C24" s="2">
        <f>+'Flow rate'!E23</f>
        <v>62.456899</v>
      </c>
      <c r="D24" s="1" t="s">
        <v>25</v>
      </c>
      <c r="E24" s="1" t="s">
        <v>26</v>
      </c>
      <c r="F24" s="1" t="s">
        <v>24</v>
      </c>
      <c r="G24" s="1">
        <v>-1.1000000000000001</v>
      </c>
      <c r="H24" s="13">
        <v>45408.94027777778</v>
      </c>
      <c r="I24" s="2">
        <f t="shared" si="5"/>
        <v>8.53333333338378</v>
      </c>
      <c r="J24" s="18">
        <v>2.8678677191113899</v>
      </c>
      <c r="K24" s="18">
        <v>9.0223228331327991</v>
      </c>
      <c r="L24" s="18">
        <v>90.036768933585094</v>
      </c>
      <c r="N24" s="18">
        <v>3.2506689640010557E-2</v>
      </c>
      <c r="O24" s="18">
        <v>4.037865668431545E-2</v>
      </c>
      <c r="P24" s="3">
        <f t="shared" si="6"/>
        <v>2.8116392959524839E-2</v>
      </c>
      <c r="Q24" s="3">
        <f t="shared" si="7"/>
        <v>8.8454279984244391E-2</v>
      </c>
      <c r="R24" s="3">
        <f t="shared" si="8"/>
        <v>0.88271476375033298</v>
      </c>
      <c r="S24" s="3">
        <f t="shared" si="9"/>
        <v>3.1869352049997834E-4</v>
      </c>
      <c r="T24" s="4">
        <f t="shared" si="10"/>
        <v>0.21129032433893863</v>
      </c>
      <c r="U24" s="5">
        <f t="shared" si="11"/>
        <v>0.66472016997140915</v>
      </c>
      <c r="V24" s="5"/>
      <c r="W24" s="3">
        <f t="shared" si="1"/>
        <v>0.87601049431034772</v>
      </c>
      <c r="X24" s="3">
        <f t="shared" si="3"/>
        <v>9.1080209521607378E-2</v>
      </c>
    </row>
    <row r="25" spans="1:25" ht="15.6">
      <c r="A25" s="1" t="s">
        <v>23</v>
      </c>
      <c r="B25" s="1">
        <v>60</v>
      </c>
      <c r="C25" s="2">
        <f>+'Flow rate'!E24</f>
        <v>61.365043</v>
      </c>
      <c r="D25" s="1" t="s">
        <v>25</v>
      </c>
      <c r="E25" s="1" t="s">
        <v>26</v>
      </c>
      <c r="F25" s="1" t="s">
        <v>24</v>
      </c>
      <c r="G25" s="1">
        <v>-1.1000000000000001</v>
      </c>
      <c r="H25" s="13">
        <v>45408.95208333333</v>
      </c>
      <c r="I25" s="2">
        <f t="shared" si="5"/>
        <v>8.816666666592937</v>
      </c>
      <c r="J25" s="18">
        <v>2.92968985453652</v>
      </c>
      <c r="K25" s="18">
        <v>9.0299613227362006</v>
      </c>
      <c r="L25" s="18">
        <v>89.962792214383398</v>
      </c>
      <c r="N25" s="18">
        <v>3.3137276996085256E-2</v>
      </c>
      <c r="O25" s="18">
        <v>4.2251148922433861E-2</v>
      </c>
      <c r="P25" s="3">
        <f t="shared" si="6"/>
        <v>2.8723060111477024E-2</v>
      </c>
      <c r="Q25" s="3">
        <f t="shared" si="7"/>
        <v>8.8530914450088358E-2</v>
      </c>
      <c r="R25" s="3">
        <f t="shared" si="8"/>
        <v>0.88200690751234623</v>
      </c>
      <c r="S25" s="3">
        <f t="shared" si="9"/>
        <v>3.2488217058723371E-4</v>
      </c>
      <c r="T25" s="4">
        <f t="shared" si="10"/>
        <v>0.21207590926554609</v>
      </c>
      <c r="U25" s="5">
        <f t="shared" si="11"/>
        <v>0.65366552544346168</v>
      </c>
      <c r="V25" s="5"/>
      <c r="W25" s="3">
        <f t="shared" si="1"/>
        <v>0.86574143470900777</v>
      </c>
      <c r="X25" s="3">
        <f t="shared" si="3"/>
        <v>9.1218407409489929E-2</v>
      </c>
      <c r="Y25">
        <f t="shared" ref="Y25" si="22">+SUM(J25:L25)</f>
        <v>101.92244339165612</v>
      </c>
    </row>
    <row r="26" spans="1:25" ht="15.6">
      <c r="A26" s="1" t="s">
        <v>23</v>
      </c>
      <c r="B26" s="1">
        <v>60</v>
      </c>
      <c r="C26" s="2">
        <f>+'Flow rate'!E25</f>
        <v>61.664237999999997</v>
      </c>
      <c r="D26" s="1" t="s">
        <v>25</v>
      </c>
      <c r="E26" s="1" t="s">
        <v>26</v>
      </c>
      <c r="F26" s="1" t="s">
        <v>24</v>
      </c>
      <c r="G26" s="1">
        <v>-1.1000000000000001</v>
      </c>
      <c r="H26" s="13">
        <v>45408.963888888888</v>
      </c>
      <c r="I26" s="2">
        <f t="shared" si="5"/>
        <v>9.0999999999767169</v>
      </c>
      <c r="J26" s="18">
        <v>2.8887577208989801</v>
      </c>
      <c r="K26" s="18">
        <v>9.0539657939063005</v>
      </c>
      <c r="L26" s="18">
        <v>89.891289121260456</v>
      </c>
      <c r="N26" s="18">
        <v>3.2324244421820393E-2</v>
      </c>
      <c r="O26" s="18">
        <v>3.1602753687313967E-2</v>
      </c>
      <c r="P26" s="3">
        <f t="shared" si="6"/>
        <v>2.8349520424749974E-2</v>
      </c>
      <c r="Q26" s="3">
        <f t="shared" si="7"/>
        <v>8.8853276390190639E-2</v>
      </c>
      <c r="R26" s="3">
        <f t="shared" si="8"/>
        <v>0.88216984017518274</v>
      </c>
      <c r="S26" s="3">
        <f t="shared" si="9"/>
        <v>3.1722176658201419E-4</v>
      </c>
      <c r="T26" s="4">
        <f t="shared" si="10"/>
        <v>0.21033845202748808</v>
      </c>
      <c r="U26" s="5">
        <f t="shared" si="11"/>
        <v>0.65924433053784481</v>
      </c>
      <c r="V26" s="5"/>
      <c r="W26" s="3">
        <f t="shared" si="1"/>
        <v>0.86958278256533283</v>
      </c>
      <c r="X26" s="3">
        <f t="shared" si="3"/>
        <v>9.1504800322854796E-2</v>
      </c>
    </row>
    <row r="27" spans="1:25" ht="15.6">
      <c r="A27" s="1" t="s">
        <v>23</v>
      </c>
      <c r="B27" s="1">
        <v>60</v>
      </c>
      <c r="C27" s="2">
        <f>+'Flow rate'!E26</f>
        <v>62.305059</v>
      </c>
      <c r="D27" s="1" t="s">
        <v>25</v>
      </c>
      <c r="E27" s="1" t="s">
        <v>26</v>
      </c>
      <c r="F27" s="1" t="s">
        <v>24</v>
      </c>
      <c r="G27" s="1">
        <v>-1.1000000000000001</v>
      </c>
      <c r="H27" s="13">
        <v>45408.975694444445</v>
      </c>
      <c r="I27" s="2">
        <f t="shared" si="5"/>
        <v>9.3833333333604969</v>
      </c>
      <c r="J27" s="18">
        <v>2.9054286392333699</v>
      </c>
      <c r="K27" s="18">
        <v>9.0687550346044006</v>
      </c>
      <c r="L27" s="18">
        <v>89.880040165245063</v>
      </c>
      <c r="N27" s="18">
        <v>3.2156855362412945E-2</v>
      </c>
      <c r="O27" s="18">
        <v>4.0334653116719681E-2</v>
      </c>
      <c r="P27" s="3">
        <f t="shared" si="6"/>
        <v>2.8505074742437152E-2</v>
      </c>
      <c r="Q27" s="3">
        <f t="shared" si="7"/>
        <v>8.8973288344284127E-2</v>
      </c>
      <c r="R27" s="3">
        <f t="shared" si="8"/>
        <v>0.88181042486026651</v>
      </c>
      <c r="S27" s="3">
        <f t="shared" si="9"/>
        <v>3.1548996014205534E-4</v>
      </c>
      <c r="T27" s="4">
        <f t="shared" si="10"/>
        <v>0.21369043513473862</v>
      </c>
      <c r="U27" s="5">
        <f t="shared" si="11"/>
        <v>0.66699494295144846</v>
      </c>
      <c r="V27" s="5"/>
      <c r="W27" s="3">
        <f t="shared" si="1"/>
        <v>0.88068537808618708</v>
      </c>
      <c r="X27" s="3">
        <f t="shared" si="3"/>
        <v>9.1650989951802847E-2</v>
      </c>
      <c r="Y27">
        <f t="shared" ref="Y27" si="23">+SUM(J27:L27)</f>
        <v>101.85422383908283</v>
      </c>
    </row>
    <row r="28" spans="1:25" ht="15.6">
      <c r="A28" s="1" t="s">
        <v>23</v>
      </c>
      <c r="B28" s="1">
        <v>60</v>
      </c>
      <c r="C28" s="2">
        <f>+'Flow rate'!E27</f>
        <v>61.961996999999997</v>
      </c>
      <c r="D28" s="1" t="s">
        <v>25</v>
      </c>
      <c r="E28" s="1" t="s">
        <v>26</v>
      </c>
      <c r="F28" s="1" t="s">
        <v>24</v>
      </c>
      <c r="G28" s="1">
        <v>-1.1000000000000001</v>
      </c>
      <c r="H28" s="13">
        <v>45408.987500000003</v>
      </c>
      <c r="I28" s="2">
        <f t="shared" si="5"/>
        <v>9.6666666667442769</v>
      </c>
      <c r="J28" s="18">
        <v>2.9628627396951499</v>
      </c>
      <c r="K28" s="18">
        <v>9.0457976875567994</v>
      </c>
      <c r="L28" s="18">
        <v>89.825512395369003</v>
      </c>
      <c r="N28" s="18">
        <v>3.2938225720414202E-2</v>
      </c>
      <c r="O28" s="18">
        <v>4.3617834194730642E-2</v>
      </c>
      <c r="P28" s="3">
        <f t="shared" si="6"/>
        <v>2.9073118916754993E-2</v>
      </c>
      <c r="Q28" s="3">
        <f t="shared" si="7"/>
        <v>8.8761976160362147E-2</v>
      </c>
      <c r="R28" s="3">
        <f t="shared" si="8"/>
        <v>0.88141369785416102</v>
      </c>
      <c r="S28" s="3">
        <f t="shared" si="9"/>
        <v>3.2320665430996291E-4</v>
      </c>
      <c r="T28" s="4">
        <f t="shared" si="10"/>
        <v>0.21674875858286932</v>
      </c>
      <c r="U28" s="5">
        <f t="shared" si="11"/>
        <v>0.66174696279432099</v>
      </c>
      <c r="V28" s="5"/>
      <c r="W28" s="3">
        <f t="shared" si="1"/>
        <v>0.87849572137719034</v>
      </c>
      <c r="X28" s="3">
        <f t="shared" si="3"/>
        <v>9.149062230458832E-2</v>
      </c>
    </row>
    <row r="29" spans="1:25" ht="15.6">
      <c r="A29" s="1" t="s">
        <v>23</v>
      </c>
      <c r="B29" s="1">
        <v>60</v>
      </c>
      <c r="C29" s="2">
        <f>+'Flow rate'!E28</f>
        <v>61.866269000000003</v>
      </c>
      <c r="D29" s="1" t="s">
        <v>25</v>
      </c>
      <c r="E29" s="1" t="s">
        <v>26</v>
      </c>
      <c r="F29" s="1" t="s">
        <v>24</v>
      </c>
      <c r="G29" s="1">
        <v>-1.52</v>
      </c>
      <c r="H29" s="13">
        <v>45408.999305555553</v>
      </c>
      <c r="I29" s="2">
        <f t="shared" si="5"/>
        <v>9.9499999999534339</v>
      </c>
      <c r="J29" s="18">
        <v>3.2177890817899</v>
      </c>
      <c r="K29" s="18">
        <v>9.9469347736992297</v>
      </c>
      <c r="L29" s="18">
        <v>89.831448969390209</v>
      </c>
      <c r="N29" s="18">
        <v>3.1681036462060219E-2</v>
      </c>
      <c r="O29" s="18">
        <v>3.1912885214252291E-2</v>
      </c>
      <c r="P29" s="3">
        <f t="shared" si="6"/>
        <v>3.1222553508228675E-2</v>
      </c>
      <c r="Q29" s="3">
        <f t="shared" si="7"/>
        <v>9.6516177822920074E-2</v>
      </c>
      <c r="R29" s="3">
        <f t="shared" si="8"/>
        <v>0.87164421000780556</v>
      </c>
      <c r="S29" s="3">
        <f t="shared" si="9"/>
        <v>3.0740450383484906E-4</v>
      </c>
      <c r="T29" s="4">
        <f t="shared" si="10"/>
        <v>0.16819420524471104</v>
      </c>
      <c r="U29" s="5">
        <f t="shared" si="11"/>
        <v>0.51992742419049531</v>
      </c>
      <c r="V29" s="5"/>
      <c r="W29" s="3">
        <f t="shared" si="1"/>
        <v>0.68812162943520638</v>
      </c>
      <c r="X29" s="3">
        <f t="shared" si="3"/>
        <v>9.9690277598710311E-2</v>
      </c>
      <c r="Y29">
        <f t="shared" ref="Y29" si="24">+SUM(J29:L29)</f>
        <v>102.99617282487934</v>
      </c>
    </row>
    <row r="30" spans="1:25" ht="15.6">
      <c r="A30" s="1" t="s">
        <v>23</v>
      </c>
      <c r="B30" s="1">
        <v>60</v>
      </c>
      <c r="C30" s="2">
        <f>+'Flow rate'!E29</f>
        <v>64.618812000000005</v>
      </c>
      <c r="D30" s="1" t="s">
        <v>25</v>
      </c>
      <c r="E30" s="1" t="s">
        <v>26</v>
      </c>
      <c r="F30" s="1" t="s">
        <v>24</v>
      </c>
      <c r="G30" s="1">
        <v>-1.52</v>
      </c>
      <c r="H30" s="13">
        <v>45409.011111111111</v>
      </c>
      <c r="I30" s="2">
        <f t="shared" si="5"/>
        <v>10.233333333337214</v>
      </c>
      <c r="J30" s="18">
        <v>4.8993598993022296</v>
      </c>
      <c r="K30" s="18">
        <v>10.887568256604167</v>
      </c>
      <c r="L30" s="18">
        <v>86.310396710520166</v>
      </c>
      <c r="N30" s="18">
        <v>3.3328135950065729E-2</v>
      </c>
      <c r="O30" s="18">
        <v>4.0573395877079838E-2</v>
      </c>
      <c r="P30" s="3">
        <f t="shared" si="6"/>
        <v>4.7952442894293852E-2</v>
      </c>
      <c r="Q30" s="3">
        <f t="shared" si="7"/>
        <v>0.10656198071035639</v>
      </c>
      <c r="R30" s="3">
        <f t="shared" si="8"/>
        <v>0.84476226578792801</v>
      </c>
      <c r="S30" s="3">
        <f t="shared" si="9"/>
        <v>3.2619884408704102E-4</v>
      </c>
      <c r="T30" s="4">
        <f t="shared" si="10"/>
        <v>0.26981021691681223</v>
      </c>
      <c r="U30" s="5">
        <f t="shared" si="11"/>
        <v>0.59958386674743791</v>
      </c>
      <c r="V30" s="5"/>
      <c r="W30" s="3">
        <f t="shared" si="1"/>
        <v>0.86939408366425019</v>
      </c>
      <c r="X30" s="3">
        <f t="shared" si="3"/>
        <v>0.11201436429545324</v>
      </c>
    </row>
    <row r="31" spans="1:25" ht="15.6">
      <c r="A31" s="1" t="s">
        <v>23</v>
      </c>
      <c r="B31" s="1">
        <v>60</v>
      </c>
      <c r="C31" s="2">
        <f>+'Flow rate'!E30</f>
        <v>64.136690999999999</v>
      </c>
      <c r="D31" s="1" t="s">
        <v>25</v>
      </c>
      <c r="E31" s="1" t="s">
        <v>26</v>
      </c>
      <c r="F31" s="1" t="s">
        <v>24</v>
      </c>
      <c r="G31" s="1">
        <v>-1.52</v>
      </c>
      <c r="H31" s="13">
        <v>45409.022916666669</v>
      </c>
      <c r="I31" s="2">
        <f t="shared" si="5"/>
        <v>10.516666666720994</v>
      </c>
      <c r="J31" s="18">
        <v>5.6829116482334996</v>
      </c>
      <c r="K31" s="18">
        <v>11.09453639268782</v>
      </c>
      <c r="L31" s="18">
        <v>85.437437941461113</v>
      </c>
      <c r="N31" s="18">
        <v>3.314325517677838E-2</v>
      </c>
      <c r="O31" s="18">
        <v>3.9054219518141337E-2</v>
      </c>
      <c r="P31" s="3">
        <f t="shared" si="6"/>
        <v>5.5558448399970414E-2</v>
      </c>
      <c r="Q31" s="3">
        <f t="shared" si="7"/>
        <v>0.10846468603578291</v>
      </c>
      <c r="R31" s="3">
        <f t="shared" si="8"/>
        <v>0.83527103377928602</v>
      </c>
      <c r="S31" s="3">
        <f t="shared" si="9"/>
        <v>3.2402190048449526E-4</v>
      </c>
      <c r="T31" s="4">
        <f t="shared" si="10"/>
        <v>0.31027397037229576</v>
      </c>
      <c r="U31" s="5">
        <f t="shared" si="11"/>
        <v>0.6057362966515959</v>
      </c>
      <c r="V31" s="5"/>
      <c r="W31" s="3">
        <f t="shared" si="1"/>
        <v>0.91601026702389166</v>
      </c>
      <c r="X31" s="3">
        <f t="shared" si="3"/>
        <v>0.11493120770827374</v>
      </c>
      <c r="Y31">
        <f t="shared" ref="Y31" si="25">+SUM(J31:L31)</f>
        <v>102.21488598238244</v>
      </c>
    </row>
    <row r="32" spans="1:25" ht="15.6">
      <c r="A32" s="1" t="s">
        <v>23</v>
      </c>
      <c r="B32" s="1">
        <v>60</v>
      </c>
      <c r="C32" s="2">
        <f>+'Flow rate'!E31</f>
        <v>65.196413000000007</v>
      </c>
      <c r="D32" s="1" t="s">
        <v>25</v>
      </c>
      <c r="E32" s="1" t="s">
        <v>26</v>
      </c>
      <c r="F32" s="1" t="s">
        <v>24</v>
      </c>
      <c r="G32" s="1">
        <v>-1.52</v>
      </c>
      <c r="H32" s="13">
        <v>45409.034722222219</v>
      </c>
      <c r="I32" s="2">
        <f t="shared" si="5"/>
        <v>10.799999999930151</v>
      </c>
      <c r="J32" s="18">
        <v>5.8481244176772202</v>
      </c>
      <c r="K32" s="18">
        <v>11.122325210128487</v>
      </c>
      <c r="L32" s="18">
        <v>85.292806211139066</v>
      </c>
      <c r="N32" s="18">
        <v>3.2836153820431611E-2</v>
      </c>
      <c r="O32" s="18">
        <v>3.9267332540992191E-2</v>
      </c>
      <c r="P32" s="3">
        <f t="shared" si="6"/>
        <v>5.7146664224699273E-2</v>
      </c>
      <c r="Q32" s="3">
        <f t="shared" si="7"/>
        <v>0.10868506529373256</v>
      </c>
      <c r="R32" s="3">
        <f t="shared" si="8"/>
        <v>0.83346369010156274</v>
      </c>
      <c r="S32" s="3">
        <f t="shared" si="9"/>
        <v>3.2086811476423536E-4</v>
      </c>
      <c r="T32" s="4">
        <f t="shared" si="10"/>
        <v>0.32441675199034908</v>
      </c>
      <c r="U32" s="5">
        <f t="shared" si="11"/>
        <v>0.61699587107679998</v>
      </c>
      <c r="V32" s="5"/>
      <c r="W32" s="3">
        <f t="shared" si="1"/>
        <v>0.94141262306714912</v>
      </c>
      <c r="X32" s="3">
        <f t="shared" si="3"/>
        <v>0.11535871025816069</v>
      </c>
    </row>
    <row r="33" spans="1:25" ht="15.6">
      <c r="A33" s="1" t="s">
        <v>23</v>
      </c>
      <c r="B33" s="1">
        <v>60</v>
      </c>
      <c r="C33" s="2">
        <f>+'Flow rate'!E32</f>
        <v>64.401972000000001</v>
      </c>
      <c r="D33" s="1" t="s">
        <v>25</v>
      </c>
      <c r="E33" s="1" t="s">
        <v>26</v>
      </c>
      <c r="F33" s="1" t="s">
        <v>24</v>
      </c>
      <c r="G33" s="1">
        <v>-1.52</v>
      </c>
      <c r="H33" s="13">
        <v>45409.046527777777</v>
      </c>
      <c r="I33" s="2">
        <f t="shared" si="5"/>
        <v>11.083333333313931</v>
      </c>
      <c r="J33" s="18">
        <v>5.81010869220394</v>
      </c>
      <c r="K33" s="18">
        <v>11.023505856365343</v>
      </c>
      <c r="L33" s="18">
        <v>85.183948847993705</v>
      </c>
      <c r="N33" s="18">
        <v>3.302856267311028E-2</v>
      </c>
      <c r="O33" s="18">
        <v>3.86798381012824E-2</v>
      </c>
      <c r="P33" s="3">
        <f t="shared" si="6"/>
        <v>5.6912039726739187E-2</v>
      </c>
      <c r="Q33" s="3">
        <f t="shared" si="7"/>
        <v>0.10797908205524931</v>
      </c>
      <c r="R33" s="3">
        <f t="shared" si="8"/>
        <v>0.83440646943879371</v>
      </c>
      <c r="S33" s="3">
        <f t="shared" si="9"/>
        <v>3.235262833363819E-4</v>
      </c>
      <c r="T33" s="4">
        <f t="shared" si="10"/>
        <v>0.31914790774970681</v>
      </c>
      <c r="U33" s="5">
        <f t="shared" si="11"/>
        <v>0.6055185912178026</v>
      </c>
      <c r="V33" s="5"/>
      <c r="W33" s="3">
        <f t="shared" si="1"/>
        <v>0.92466649896750941</v>
      </c>
      <c r="X33" s="3">
        <f t="shared" si="3"/>
        <v>0.1145805789191706</v>
      </c>
      <c r="Y33">
        <f t="shared" ref="Y33" si="26">+SUM(J33:L33)</f>
        <v>102.01756339656299</v>
      </c>
    </row>
    <row r="34" spans="1:25" ht="15.6">
      <c r="A34" s="1" t="s">
        <v>23</v>
      </c>
      <c r="B34" s="1">
        <v>60</v>
      </c>
      <c r="C34" s="2">
        <f>+'Flow rate'!E33</f>
        <v>64.285295000000005</v>
      </c>
      <c r="D34" s="1" t="s">
        <v>25</v>
      </c>
      <c r="E34" s="1" t="s">
        <v>26</v>
      </c>
      <c r="F34" s="1" t="s">
        <v>24</v>
      </c>
      <c r="G34" s="1">
        <v>-1.52</v>
      </c>
      <c r="H34" s="13">
        <v>45409.058333333334</v>
      </c>
      <c r="I34" s="2">
        <f t="shared" si="5"/>
        <v>11.366666666697711</v>
      </c>
      <c r="J34" s="18">
        <v>5.7932427977698211</v>
      </c>
      <c r="K34" s="18">
        <v>11.010941376009695</v>
      </c>
      <c r="L34" s="18">
        <v>85.12710209958594</v>
      </c>
      <c r="N34" s="18">
        <v>3.3365333518822961E-2</v>
      </c>
      <c r="O34" s="18">
        <v>4.0108081555907164E-2</v>
      </c>
      <c r="P34" s="3">
        <f t="shared" si="6"/>
        <v>5.6793847811263919E-2</v>
      </c>
      <c r="Q34" s="3">
        <f t="shared" si="7"/>
        <v>0.10794536852634264</v>
      </c>
      <c r="R34" s="3">
        <f t="shared" si="8"/>
        <v>0.83454048967514083</v>
      </c>
      <c r="S34" s="3">
        <f t="shared" si="9"/>
        <v>3.2709584945577917E-4</v>
      </c>
      <c r="T34" s="4">
        <f t="shared" si="10"/>
        <v>0.317908119018254</v>
      </c>
      <c r="U34" s="5">
        <f t="shared" si="11"/>
        <v>0.60423285949883809</v>
      </c>
      <c r="V34" s="5"/>
      <c r="W34" s="3">
        <f t="shared" si="1"/>
        <v>0.92214097851709209</v>
      </c>
      <c r="X34" s="3">
        <f t="shared" si="3"/>
        <v>0.11453261349972023</v>
      </c>
    </row>
    <row r="35" spans="1:25" ht="15.6">
      <c r="A35" s="1" t="s">
        <v>23</v>
      </c>
      <c r="B35" s="1">
        <v>60</v>
      </c>
      <c r="C35" s="2">
        <f>+'Flow rate'!E34</f>
        <v>65.025600999999995</v>
      </c>
      <c r="D35" s="1" t="s">
        <v>25</v>
      </c>
      <c r="E35" s="1" t="s">
        <v>26</v>
      </c>
      <c r="F35" s="1" t="s">
        <v>24</v>
      </c>
      <c r="G35" s="1">
        <v>-1.52</v>
      </c>
      <c r="H35" s="13">
        <v>45409.070138888892</v>
      </c>
      <c r="I35" s="2">
        <f t="shared" si="5"/>
        <v>11.650000000081491</v>
      </c>
      <c r="J35" s="18">
        <v>5.8786179096596696</v>
      </c>
      <c r="K35" s="18">
        <v>10.968262574641081</v>
      </c>
      <c r="L35" s="18">
        <v>85.035694471342083</v>
      </c>
      <c r="N35" s="18">
        <v>3.288353643777709E-2</v>
      </c>
      <c r="O35" s="18">
        <v>3.8319149283914805E-2</v>
      </c>
      <c r="P35" s="3">
        <f t="shared" si="6"/>
        <v>5.765963798162007E-2</v>
      </c>
      <c r="Q35" s="3">
        <f t="shared" si="7"/>
        <v>0.10758073735358142</v>
      </c>
      <c r="R35" s="3">
        <f t="shared" si="8"/>
        <v>0.83406124263944414</v>
      </c>
      <c r="S35" s="3">
        <f t="shared" si="9"/>
        <v>3.2253377166120451E-4</v>
      </c>
      <c r="T35" s="4">
        <f t="shared" si="10"/>
        <v>0.32647127182544466</v>
      </c>
      <c r="U35" s="5">
        <f t="shared" si="11"/>
        <v>0.60912661572621307</v>
      </c>
      <c r="V35" s="5"/>
      <c r="W35" s="3">
        <f t="shared" si="1"/>
        <v>0.93559788755165774</v>
      </c>
      <c r="X35" s="3">
        <f t="shared" si="3"/>
        <v>0.11424802593696837</v>
      </c>
      <c r="Y35">
        <f t="shared" ref="Y35" si="27">+SUM(J35:L35)</f>
        <v>101.88257495564284</v>
      </c>
    </row>
    <row r="36" spans="1:25" ht="15.6">
      <c r="A36" s="1" t="s">
        <v>23</v>
      </c>
      <c r="B36" s="1">
        <v>60</v>
      </c>
      <c r="C36" s="2">
        <f>+'Flow rate'!E35</f>
        <v>69.019283999999999</v>
      </c>
      <c r="D36" s="1" t="s">
        <v>25</v>
      </c>
      <c r="E36" s="1" t="s">
        <v>26</v>
      </c>
      <c r="F36" s="1" t="s">
        <v>24</v>
      </c>
      <c r="G36" s="1">
        <v>-2.1</v>
      </c>
      <c r="H36" s="13">
        <v>45409.089583333334</v>
      </c>
      <c r="I36" s="2">
        <f t="shared" si="5"/>
        <v>12.116666666697711</v>
      </c>
      <c r="J36" s="18">
        <v>7.8511892670743784</v>
      </c>
      <c r="K36" s="18">
        <v>11.004753488005452</v>
      </c>
      <c r="L36" s="18">
        <v>83.097118690992232</v>
      </c>
      <c r="N36" s="18">
        <v>3.3136834167885779E-2</v>
      </c>
      <c r="O36" s="18">
        <v>3.6972008149353544E-2</v>
      </c>
      <c r="P36" s="3">
        <f t="shared" si="6"/>
        <v>7.6954962729362253E-2</v>
      </c>
      <c r="Q36" s="3">
        <f t="shared" si="7"/>
        <v>0.1078652374445753</v>
      </c>
      <c r="R36" s="3">
        <f t="shared" si="8"/>
        <v>0.81449261433555997</v>
      </c>
      <c r="S36" s="3">
        <f t="shared" si="9"/>
        <v>3.2479714239635717E-4</v>
      </c>
      <c r="T36" s="4">
        <f t="shared" si="10"/>
        <v>0.33474959477360638</v>
      </c>
      <c r="U36" s="5">
        <f t="shared" si="11"/>
        <v>0.46920748505480619</v>
      </c>
      <c r="V36" s="5"/>
      <c r="W36" s="3">
        <f t="shared" si="1"/>
        <v>0.80395707982841258</v>
      </c>
      <c r="X36" s="3">
        <f t="shared" si="3"/>
        <v>0.11694510675698937</v>
      </c>
    </row>
    <row r="37" spans="1:25" ht="15.6">
      <c r="A37" s="1" t="s">
        <v>23</v>
      </c>
      <c r="B37" s="1">
        <v>60</v>
      </c>
      <c r="C37" s="2">
        <f>+'Flow rate'!E36</f>
        <v>68.872148999999993</v>
      </c>
      <c r="D37" s="1" t="s">
        <v>25</v>
      </c>
      <c r="E37" s="1" t="s">
        <v>26</v>
      </c>
      <c r="F37" s="1" t="s">
        <v>24</v>
      </c>
      <c r="G37" s="1">
        <v>-2.1</v>
      </c>
      <c r="H37" s="13">
        <v>45409.101388888892</v>
      </c>
      <c r="I37" s="2">
        <f t="shared" si="5"/>
        <v>12.400000000081491</v>
      </c>
      <c r="J37" s="18">
        <v>9.8994321789962267</v>
      </c>
      <c r="K37" s="18">
        <v>10.96906364309519</v>
      </c>
      <c r="L37" s="18">
        <v>81.088357627670348</v>
      </c>
      <c r="N37" s="18">
        <v>3.9784349684539755E-2</v>
      </c>
      <c r="O37" s="18">
        <v>6.1242784416784948E-2</v>
      </c>
      <c r="P37" s="3">
        <f t="shared" si="6"/>
        <v>9.6998214369753213E-2</v>
      </c>
      <c r="Q37" s="3">
        <f t="shared" si="7"/>
        <v>0.10747885004413432</v>
      </c>
      <c r="R37" s="3">
        <f t="shared" si="8"/>
        <v>0.79453303521268348</v>
      </c>
      <c r="S37" s="3">
        <f t="shared" si="9"/>
        <v>3.8982143717797589E-4</v>
      </c>
      <c r="T37" s="4">
        <f t="shared" si="10"/>
        <v>0.42103708667701323</v>
      </c>
      <c r="U37" s="5">
        <f t="shared" si="11"/>
        <v>0.46653005105307316</v>
      </c>
      <c r="V37" s="5"/>
      <c r="W37" s="3">
        <f t="shared" si="1"/>
        <v>0.88756713773008644</v>
      </c>
      <c r="X37" s="3">
        <f t="shared" si="3"/>
        <v>0.11915458299480534</v>
      </c>
      <c r="Y37">
        <f t="shared" ref="Y37" si="28">+SUM(J37:L37)</f>
        <v>101.95685344976177</v>
      </c>
    </row>
    <row r="38" spans="1:25" ht="15.6">
      <c r="A38" s="1" t="s">
        <v>23</v>
      </c>
      <c r="B38" s="1">
        <v>60</v>
      </c>
      <c r="C38" s="2">
        <f>+'Flow rate'!E37</f>
        <v>67.477880999999996</v>
      </c>
      <c r="D38" s="1" t="s">
        <v>25</v>
      </c>
      <c r="E38" s="1" t="s">
        <v>26</v>
      </c>
      <c r="F38" s="1" t="s">
        <v>24</v>
      </c>
      <c r="G38" s="1">
        <v>-2.1</v>
      </c>
      <c r="H38" s="13">
        <v>45409.113194444442</v>
      </c>
      <c r="I38" s="2">
        <f t="shared" si="5"/>
        <v>12.683333333290648</v>
      </c>
      <c r="J38" s="18">
        <v>10.233072477600663</v>
      </c>
      <c r="K38" s="18">
        <v>10.892866946851321</v>
      </c>
      <c r="L38" s="18">
        <v>80.821818815870458</v>
      </c>
      <c r="N38" s="18">
        <v>3.3755022334374711E-2</v>
      </c>
      <c r="O38" s="18">
        <v>3.8293402515640763E-2</v>
      </c>
      <c r="P38" s="3">
        <f t="shared" si="6"/>
        <v>0.1003047624975948</v>
      </c>
      <c r="Q38" s="3">
        <f t="shared" si="7"/>
        <v>0.10677207988250315</v>
      </c>
      <c r="R38" s="3">
        <f t="shared" si="8"/>
        <v>0.79221693764943613</v>
      </c>
      <c r="S38" s="3">
        <f t="shared" si="9"/>
        <v>3.3086734270295384E-4</v>
      </c>
      <c r="T38" s="4">
        <f t="shared" si="10"/>
        <v>0.42657555853796614</v>
      </c>
      <c r="U38" s="5">
        <f t="shared" si="11"/>
        <v>0.45407973139093244</v>
      </c>
      <c r="V38" s="5"/>
      <c r="W38" s="3">
        <f t="shared" si="1"/>
        <v>0.88065528992889863</v>
      </c>
      <c r="X38" s="3">
        <f t="shared" si="3"/>
        <v>0.11876905924349597</v>
      </c>
    </row>
    <row r="39" spans="1:25" ht="15.6">
      <c r="A39" s="1" t="s">
        <v>23</v>
      </c>
      <c r="B39" s="1">
        <v>60</v>
      </c>
      <c r="C39" s="2">
        <f>+'Flow rate'!E38</f>
        <v>67.786168000000004</v>
      </c>
      <c r="D39" s="1" t="s">
        <v>25</v>
      </c>
      <c r="E39" s="1" t="s">
        <v>26</v>
      </c>
      <c r="F39" s="1" t="s">
        <v>24</v>
      </c>
      <c r="G39" s="1">
        <v>-2.1</v>
      </c>
      <c r="H39" s="13">
        <v>45409.138194444444</v>
      </c>
      <c r="I39" s="2">
        <f t="shared" si="5"/>
        <v>13.283333333325572</v>
      </c>
      <c r="J39" s="18">
        <v>10.526560449027292</v>
      </c>
      <c r="K39" s="18">
        <v>10.804319870638514</v>
      </c>
      <c r="L39" s="18">
        <v>80.625296772643907</v>
      </c>
      <c r="N39" s="18">
        <v>3.3452459967072738E-2</v>
      </c>
      <c r="O39" s="18">
        <v>3.7476176684466879E-2</v>
      </c>
      <c r="P39" s="3">
        <f t="shared" si="6"/>
        <v>0.10317415527782868</v>
      </c>
      <c r="Q39" s="3">
        <f t="shared" si="7"/>
        <v>0.10589656340287243</v>
      </c>
      <c r="R39" s="3">
        <f t="shared" si="8"/>
        <v>0.79023408727116073</v>
      </c>
      <c r="S39" s="3">
        <f t="shared" si="9"/>
        <v>3.2787816265160386E-4</v>
      </c>
      <c r="T39" s="4">
        <f t="shared" si="10"/>
        <v>0.4407831493909013</v>
      </c>
      <c r="U39" s="5">
        <f t="shared" si="11"/>
        <v>0.45241388796155224</v>
      </c>
      <c r="V39" s="5"/>
      <c r="W39" s="3">
        <f t="shared" si="1"/>
        <v>0.89319703735245359</v>
      </c>
      <c r="X39" s="3">
        <f t="shared" si="3"/>
        <v>0.1181708976511643</v>
      </c>
      <c r="Y39">
        <f t="shared" ref="Y39" si="29">+SUM(J39:L39)</f>
        <v>101.95617709230972</v>
      </c>
    </row>
    <row r="40" spans="1:25" ht="15.6">
      <c r="A40" s="1" t="s">
        <v>23</v>
      </c>
      <c r="B40" s="1">
        <v>60</v>
      </c>
      <c r="C40" s="2">
        <f>+'Flow rate'!E39</f>
        <v>67.263091000000003</v>
      </c>
      <c r="D40" s="1" t="s">
        <v>25</v>
      </c>
      <c r="E40" s="1" t="s">
        <v>26</v>
      </c>
      <c r="F40" s="1" t="s">
        <v>24</v>
      </c>
      <c r="G40" s="1">
        <v>-2.1</v>
      </c>
      <c r="H40" s="13">
        <v>45409.15</v>
      </c>
      <c r="I40" s="2">
        <f t="shared" si="5"/>
        <v>13.566666666709352</v>
      </c>
      <c r="J40" s="18">
        <v>10.64660609746444</v>
      </c>
      <c r="K40" s="18">
        <v>10.707493685519113</v>
      </c>
      <c r="L40" s="18">
        <v>80.591980052524178</v>
      </c>
      <c r="N40" s="18">
        <v>4.0034215496102372E-2</v>
      </c>
      <c r="O40" s="18">
        <v>6.1883293792986203E-2</v>
      </c>
      <c r="P40" s="3">
        <f t="shared" si="6"/>
        <v>0.10432939768030915</v>
      </c>
      <c r="Q40" s="3">
        <f t="shared" si="7"/>
        <v>0.10492605405416182</v>
      </c>
      <c r="R40" s="3">
        <f t="shared" si="8"/>
        <v>0.78974582695848816</v>
      </c>
      <c r="S40" s="3">
        <f t="shared" si="9"/>
        <v>3.9230770360770454E-4</v>
      </c>
      <c r="T40" s="4">
        <f t="shared" si="10"/>
        <v>0.4422791835211442</v>
      </c>
      <c r="U40" s="5">
        <f t="shared" si="11"/>
        <v>0.44480856353998488</v>
      </c>
      <c r="V40" s="5"/>
      <c r="W40" s="3">
        <f t="shared" si="1"/>
        <v>0.88708774706112914</v>
      </c>
      <c r="X40" s="3">
        <f t="shared" si="3"/>
        <v>0.11727881056840574</v>
      </c>
    </row>
    <row r="41" spans="1:25" ht="15.6">
      <c r="A41" s="1" t="s">
        <v>23</v>
      </c>
      <c r="B41" s="1">
        <v>60</v>
      </c>
      <c r="C41" s="2">
        <f>+'Flow rate'!E40</f>
        <v>77.032233000000005</v>
      </c>
      <c r="D41" s="1" t="s">
        <v>25</v>
      </c>
      <c r="E41" s="1" t="s">
        <v>26</v>
      </c>
      <c r="F41" s="1" t="s">
        <v>24</v>
      </c>
      <c r="G41" s="1">
        <v>-3.1</v>
      </c>
      <c r="H41" s="13">
        <v>45409.175000000003</v>
      </c>
      <c r="I41" s="2">
        <f t="shared" si="5"/>
        <v>14.166666666744277</v>
      </c>
      <c r="J41" s="18">
        <v>16.435593874839824</v>
      </c>
      <c r="K41" s="18">
        <v>10.082023540269505</v>
      </c>
      <c r="L41" s="18">
        <v>75.461493419284224</v>
      </c>
      <c r="N41" s="18">
        <v>3.3723360118111147E-2</v>
      </c>
      <c r="O41" s="18">
        <v>2.8147888477220561E-2</v>
      </c>
      <c r="P41" s="3">
        <f t="shared" si="6"/>
        <v>0.16106855833152334</v>
      </c>
      <c r="Q41" s="3">
        <f t="shared" si="7"/>
        <v>9.8803670196646071E-2</v>
      </c>
      <c r="R41" s="3">
        <f t="shared" si="8"/>
        <v>0.73952143422053862</v>
      </c>
      <c r="S41" s="3">
        <f t="shared" si="9"/>
        <v>3.3048839230775219E-4</v>
      </c>
      <c r="T41" s="4">
        <f t="shared" si="10"/>
        <v>0.52972910831266695</v>
      </c>
      <c r="U41" s="5">
        <f t="shared" si="11"/>
        <v>0.32494970249600019</v>
      </c>
      <c r="V41" s="5"/>
      <c r="W41" s="3">
        <f t="shared" si="1"/>
        <v>0.85467881080866714</v>
      </c>
      <c r="X41" s="3">
        <f t="shared" si="3"/>
        <v>0.11785841754713497</v>
      </c>
      <c r="Y41">
        <f t="shared" ref="Y41" si="30">+SUM(J41:L41)</f>
        <v>101.97911083439355</v>
      </c>
    </row>
    <row r="42" spans="1:25" ht="15.6">
      <c r="A42" s="1" t="s">
        <v>23</v>
      </c>
      <c r="B42" s="1">
        <v>60</v>
      </c>
      <c r="C42" s="2">
        <f>+'Flow rate'!E41</f>
        <v>77.296257999999995</v>
      </c>
      <c r="D42" s="1" t="s">
        <v>25</v>
      </c>
      <c r="E42" s="1" t="s">
        <v>26</v>
      </c>
      <c r="F42" s="1" t="s">
        <v>24</v>
      </c>
      <c r="G42" s="1">
        <v>-3.1</v>
      </c>
      <c r="H42" s="13">
        <v>45409.186805555553</v>
      </c>
      <c r="I42" s="2">
        <f t="shared" si="5"/>
        <v>14.449999999953434</v>
      </c>
      <c r="J42" s="18">
        <v>18.569876248590784</v>
      </c>
      <c r="K42" s="18">
        <v>9.8879533967700031</v>
      </c>
      <c r="L42" s="18">
        <v>73.557216609742937</v>
      </c>
      <c r="N42" s="18">
        <v>4.0171160116794849E-2</v>
      </c>
      <c r="O42" s="18">
        <v>5.8542533578653251E-2</v>
      </c>
      <c r="P42" s="3">
        <f t="shared" si="6"/>
        <v>0.18185478879537781</v>
      </c>
      <c r="Q42" s="3">
        <f t="shared" si="7"/>
        <v>9.6832722658806394E-2</v>
      </c>
      <c r="R42" s="3">
        <f t="shared" si="8"/>
        <v>0.7203457853929307</v>
      </c>
      <c r="S42" s="3">
        <f t="shared" si="9"/>
        <v>3.9339615089031149E-4</v>
      </c>
      <c r="T42" s="4">
        <f t="shared" si="10"/>
        <v>0.60014168129111178</v>
      </c>
      <c r="U42" s="5">
        <f t="shared" si="11"/>
        <v>0.31955910188233144</v>
      </c>
      <c r="V42" s="5"/>
      <c r="W42" s="3">
        <f t="shared" si="1"/>
        <v>0.91970078317344317</v>
      </c>
      <c r="X42" s="3">
        <f t="shared" si="3"/>
        <v>0.11849641382476953</v>
      </c>
    </row>
    <row r="43" spans="1:25" ht="15.6">
      <c r="A43" s="1" t="s">
        <v>23</v>
      </c>
      <c r="B43" s="1">
        <v>60</v>
      </c>
      <c r="C43" s="2">
        <f>+'Flow rate'!E42</f>
        <v>76.710099</v>
      </c>
      <c r="D43" s="1" t="s">
        <v>25</v>
      </c>
      <c r="E43" s="1" t="s">
        <v>26</v>
      </c>
      <c r="F43" s="1" t="s">
        <v>24</v>
      </c>
      <c r="G43" s="1">
        <v>-3.1</v>
      </c>
      <c r="H43" s="13">
        <v>45409.198611111111</v>
      </c>
      <c r="I43" s="2">
        <f t="shared" si="5"/>
        <v>14.733333333337214</v>
      </c>
      <c r="J43" s="18">
        <v>18.819288685962178</v>
      </c>
      <c r="K43" s="18">
        <v>9.9779978302044796</v>
      </c>
      <c r="L43" s="18">
        <v>73.230432568680769</v>
      </c>
      <c r="N43" s="18">
        <v>3.4417493320812766E-2</v>
      </c>
      <c r="O43" s="18">
        <v>2.9786202154809281E-2</v>
      </c>
      <c r="P43" s="3">
        <f t="shared" si="6"/>
        <v>0.1843367053283608</v>
      </c>
      <c r="Q43" s="3">
        <f t="shared" si="7"/>
        <v>9.7735428606577426E-2</v>
      </c>
      <c r="R43" s="3">
        <f t="shared" si="8"/>
        <v>0.71729898482032528</v>
      </c>
      <c r="S43" s="3">
        <f t="shared" si="9"/>
        <v>3.3712258897181146E-4</v>
      </c>
      <c r="T43" s="4">
        <f t="shared" si="10"/>
        <v>0.60371913801529231</v>
      </c>
      <c r="U43" s="5">
        <f t="shared" si="11"/>
        <v>0.32009223885613186</v>
      </c>
      <c r="V43" s="5"/>
      <c r="W43" s="3">
        <f t="shared" si="1"/>
        <v>0.92381137687142423</v>
      </c>
      <c r="X43" s="3">
        <f t="shared" si="3"/>
        <v>0.11991570784801341</v>
      </c>
      <c r="Y43">
        <f t="shared" ref="Y43" si="31">+SUM(J43:L43)</f>
        <v>102.02771908484743</v>
      </c>
    </row>
    <row r="44" spans="1:25" ht="15.6">
      <c r="A44" s="1" t="s">
        <v>23</v>
      </c>
      <c r="B44" s="1">
        <v>60</v>
      </c>
      <c r="C44" s="2">
        <f>+'Flow rate'!E43</f>
        <v>75.915871999999993</v>
      </c>
      <c r="D44" s="1" t="s">
        <v>25</v>
      </c>
      <c r="E44" s="1" t="s">
        <v>26</v>
      </c>
      <c r="F44" s="1" t="s">
        <v>24</v>
      </c>
      <c r="G44" s="1">
        <v>-3.1</v>
      </c>
      <c r="H44" s="13">
        <v>45409.223611111112</v>
      </c>
      <c r="I44" s="2">
        <f t="shared" si="5"/>
        <v>15.333333333372138</v>
      </c>
      <c r="J44" s="18">
        <v>19.182323758484166</v>
      </c>
      <c r="K44" s="18">
        <v>9.9110715293398144</v>
      </c>
      <c r="L44" s="18">
        <v>72.930968063633642</v>
      </c>
      <c r="N44" s="18">
        <v>3.4598720761454323E-2</v>
      </c>
      <c r="O44" s="18">
        <v>3.7742655736104004E-2</v>
      </c>
      <c r="P44" s="3">
        <f t="shared" si="6"/>
        <v>0.18788386764878454</v>
      </c>
      <c r="Q44" s="3">
        <f t="shared" si="7"/>
        <v>9.7075332213205662E-2</v>
      </c>
      <c r="R44" s="3">
        <f t="shared" si="8"/>
        <v>0.71433224272971418</v>
      </c>
      <c r="S44" s="3">
        <f t="shared" si="9"/>
        <v>3.3888185572340828E-4</v>
      </c>
      <c r="T44" s="4">
        <f t="shared" si="10"/>
        <v>0.60896545309473082</v>
      </c>
      <c r="U44" s="5">
        <f t="shared" si="11"/>
        <v>0.31463863505323542</v>
      </c>
      <c r="V44" s="5"/>
      <c r="W44" s="3">
        <f t="shared" si="1"/>
        <v>0.92360408814796624</v>
      </c>
      <c r="X44" s="3">
        <f t="shared" si="3"/>
        <v>0.11963818826812729</v>
      </c>
    </row>
    <row r="45" spans="1:25" ht="15.6">
      <c r="A45" s="1" t="s">
        <v>23</v>
      </c>
      <c r="B45" s="1">
        <v>60</v>
      </c>
      <c r="C45" s="2">
        <f>+'Flow rate'!E44</f>
        <v>75.745278999999996</v>
      </c>
      <c r="D45" s="1" t="s">
        <v>25</v>
      </c>
      <c r="E45" s="1" t="s">
        <v>26</v>
      </c>
      <c r="F45" s="1" t="s">
        <v>24</v>
      </c>
      <c r="G45" s="1">
        <v>-3.1</v>
      </c>
      <c r="H45" s="13">
        <v>45409.23541666667</v>
      </c>
      <c r="I45" s="2">
        <f t="shared" si="5"/>
        <v>15.616666666755918</v>
      </c>
      <c r="J45" s="18">
        <v>19.306411893167617</v>
      </c>
      <c r="K45" s="18">
        <v>9.8719027633769745</v>
      </c>
      <c r="L45" s="18">
        <v>72.820696006037167</v>
      </c>
      <c r="N45" s="18">
        <v>4.131099990228379E-2</v>
      </c>
      <c r="O45" s="18">
        <v>6.0591976333273755E-2</v>
      </c>
      <c r="P45" s="3">
        <f t="shared" si="6"/>
        <v>0.18909147043937516</v>
      </c>
      <c r="Q45" s="3">
        <f t="shared" si="7"/>
        <v>9.6687702504787559E-2</v>
      </c>
      <c r="R45" s="3">
        <f t="shared" si="8"/>
        <v>0.71322276570061738</v>
      </c>
      <c r="S45" s="3">
        <f t="shared" si="9"/>
        <v>4.0460950279467374E-4</v>
      </c>
      <c r="T45" s="4">
        <f t="shared" si="10"/>
        <v>0.6115022899486573</v>
      </c>
      <c r="U45" s="5">
        <f t="shared" si="11"/>
        <v>0.31267804599630616</v>
      </c>
      <c r="V45" s="5"/>
      <c r="W45" s="3">
        <f t="shared" si="1"/>
        <v>0.9241803359449634</v>
      </c>
      <c r="X45" s="3">
        <f t="shared" si="3"/>
        <v>0.11938072947621929</v>
      </c>
      <c r="Y45">
        <f t="shared" ref="Y45" si="32">+SUM(J45:L45)</f>
        <v>101.99901066258175</v>
      </c>
    </row>
    <row r="46" spans="1:25" ht="15.6">
      <c r="A46" s="1" t="s">
        <v>23</v>
      </c>
      <c r="B46" s="1">
        <v>60</v>
      </c>
      <c r="C46" s="2">
        <f>+'Flow rate'!E45</f>
        <v>75.709030999999996</v>
      </c>
      <c r="D46" s="1" t="s">
        <v>25</v>
      </c>
      <c r="E46" s="1" t="s">
        <v>26</v>
      </c>
      <c r="F46" s="1" t="s">
        <v>24</v>
      </c>
      <c r="G46" s="1">
        <v>-3.1</v>
      </c>
      <c r="H46" s="13">
        <v>45409.24722222222</v>
      </c>
      <c r="I46" s="2">
        <f t="shared" si="5"/>
        <v>15.899999999965075</v>
      </c>
      <c r="J46" s="18">
        <v>19.459583952504349</v>
      </c>
      <c r="K46" s="18">
        <v>9.7799475722882132</v>
      </c>
      <c r="L46" s="18">
        <v>72.788452268063779</v>
      </c>
      <c r="N46" s="18">
        <v>3.4569161979138285E-2</v>
      </c>
      <c r="O46" s="18">
        <v>3.0656091830180154E-2</v>
      </c>
      <c r="P46" s="3">
        <f t="shared" si="6"/>
        <v>0.19060605631085212</v>
      </c>
      <c r="Q46" s="3">
        <f t="shared" si="7"/>
        <v>9.5794300753323472E-2</v>
      </c>
      <c r="R46" s="3">
        <f t="shared" si="8"/>
        <v>0.7129607634802918</v>
      </c>
      <c r="S46" s="3">
        <f t="shared" si="9"/>
        <v>3.3860393166147918E-4</v>
      </c>
      <c r="T46" s="4">
        <f t="shared" si="10"/>
        <v>0.61610532510913019</v>
      </c>
      <c r="U46" s="5">
        <f t="shared" si="11"/>
        <v>0.30964062712139484</v>
      </c>
      <c r="V46" s="5"/>
      <c r="W46" s="3">
        <f t="shared" si="1"/>
        <v>0.92574595223052503</v>
      </c>
      <c r="X46" s="3">
        <f t="shared" si="3"/>
        <v>0.1184466162744825</v>
      </c>
    </row>
    <row r="47" spans="1:25" ht="15.6">
      <c r="A47" s="1" t="s">
        <v>23</v>
      </c>
      <c r="B47" s="1">
        <v>60</v>
      </c>
      <c r="C47" s="2">
        <f>+'Flow rate'!E46</f>
        <v>60.425986000000002</v>
      </c>
      <c r="D47" s="1" t="s">
        <v>25</v>
      </c>
      <c r="E47" s="1" t="s">
        <v>26</v>
      </c>
      <c r="F47" s="1" t="s">
        <v>24</v>
      </c>
      <c r="G47" s="1">
        <v>-0.5</v>
      </c>
      <c r="H47" s="13">
        <v>45409.347916666666</v>
      </c>
      <c r="I47" s="2">
        <f t="shared" si="5"/>
        <v>18.316666666651145</v>
      </c>
      <c r="J47" s="18">
        <v>0.62479979216994952</v>
      </c>
      <c r="K47" s="18">
        <v>6.1540678796659769</v>
      </c>
      <c r="L47" s="18">
        <v>95.540696607406801</v>
      </c>
      <c r="N47" s="18">
        <v>3.7339495195151846E-2</v>
      </c>
      <c r="O47" s="18">
        <v>6.362541375902532E-2</v>
      </c>
      <c r="P47" s="3">
        <f t="shared" si="6"/>
        <v>6.1003374725967768E-3</v>
      </c>
      <c r="Q47" s="3">
        <f t="shared" si="7"/>
        <v>6.0086273020108362E-2</v>
      </c>
      <c r="R47" s="3">
        <f t="shared" si="8"/>
        <v>0.9328276016993774</v>
      </c>
      <c r="S47" s="3">
        <f t="shared" si="9"/>
        <v>3.6457041855877178E-4</v>
      </c>
      <c r="T47" s="4">
        <f t="shared" si="10"/>
        <v>9.7575295512591698E-2</v>
      </c>
      <c r="U47" s="5">
        <f t="shared" si="11"/>
        <v>0.96108385356123904</v>
      </c>
      <c r="V47" s="5"/>
      <c r="W47" s="3">
        <f t="shared" si="1"/>
        <v>1.0586591490738306</v>
      </c>
      <c r="X47" s="3">
        <f t="shared" si="3"/>
        <v>6.0515090532986773E-2</v>
      </c>
      <c r="Y47">
        <f t="shared" ref="Y47" si="33">+SUM(J47:L47)</f>
        <v>102.31956427924273</v>
      </c>
    </row>
    <row r="48" spans="1:25" ht="15.6">
      <c r="A48" s="1" t="s">
        <v>23</v>
      </c>
      <c r="B48" s="1">
        <v>60</v>
      </c>
      <c r="C48" s="2">
        <f>+'Flow rate'!E47</f>
        <v>60.566467000000003</v>
      </c>
      <c r="D48" s="1" t="s">
        <v>25</v>
      </c>
      <c r="E48" s="1" t="s">
        <v>26</v>
      </c>
      <c r="F48" s="1" t="s">
        <v>24</v>
      </c>
      <c r="G48" s="1">
        <v>-0.5</v>
      </c>
      <c r="H48" s="13">
        <v>45409.372916666667</v>
      </c>
      <c r="I48" s="2">
        <f t="shared" si="5"/>
        <v>18.916666666686069</v>
      </c>
      <c r="J48" s="18">
        <v>0.60639462410292733</v>
      </c>
      <c r="K48" s="18">
        <v>6.1146397713650389</v>
      </c>
      <c r="L48" s="18">
        <v>95.201339739170095</v>
      </c>
      <c r="N48" s="18">
        <v>3.0680687559410856E-2</v>
      </c>
      <c r="O48" s="18">
        <v>3.2716184384404962E-2</v>
      </c>
      <c r="P48" s="3">
        <f t="shared" si="6"/>
        <v>5.9458747834910458E-3</v>
      </c>
      <c r="Q48" s="3">
        <f t="shared" si="7"/>
        <v>5.9955812570857726E-2</v>
      </c>
      <c r="R48" s="3">
        <f t="shared" si="8"/>
        <v>0.93347668796881544</v>
      </c>
      <c r="S48" s="3">
        <f t="shared" si="9"/>
        <v>3.0083302069100221E-4</v>
      </c>
      <c r="T48" s="4">
        <f t="shared" si="10"/>
        <v>9.532575823209824E-2</v>
      </c>
      <c r="U48" s="5">
        <f t="shared" si="11"/>
        <v>0.9612266490386624</v>
      </c>
      <c r="V48" s="5"/>
      <c r="W48" s="3">
        <f t="shared" si="1"/>
        <v>1.0565524072707606</v>
      </c>
      <c r="X48" s="3">
        <f t="shared" si="3"/>
        <v>6.035217545055882E-2</v>
      </c>
    </row>
    <row r="49" spans="1:25" ht="15.6">
      <c r="A49" s="1" t="s">
        <v>23</v>
      </c>
      <c r="B49" s="1">
        <v>60</v>
      </c>
      <c r="C49" s="2">
        <f>+'Flow rate'!E48</f>
        <v>30.760760999999999</v>
      </c>
      <c r="D49" s="1" t="s">
        <v>25</v>
      </c>
      <c r="E49" s="1" t="s">
        <v>26</v>
      </c>
      <c r="F49" s="1" t="s">
        <v>24</v>
      </c>
      <c r="G49" s="1">
        <v>-0.5</v>
      </c>
      <c r="H49" s="13">
        <v>45409.384722222225</v>
      </c>
      <c r="I49" s="2">
        <f t="shared" si="5"/>
        <v>19.200000000069849</v>
      </c>
      <c r="J49" s="18">
        <v>0.65193982456351762</v>
      </c>
      <c r="K49" s="18">
        <v>6.2590150791410846</v>
      </c>
      <c r="L49" s="18">
        <v>94.864784617964261</v>
      </c>
      <c r="N49" s="18">
        <v>4.2913373742140742E-2</v>
      </c>
      <c r="O49" s="18">
        <v>7.4241742564568128E-2</v>
      </c>
      <c r="P49" s="3">
        <f t="shared" si="6"/>
        <v>6.3982854435518125E-3</v>
      </c>
      <c r="Q49" s="3">
        <f t="shared" si="7"/>
        <v>6.1427394926597205E-2</v>
      </c>
      <c r="R49" s="3">
        <f t="shared" si="8"/>
        <v>0.93102453272151986</v>
      </c>
      <c r="S49" s="3">
        <f t="shared" si="9"/>
        <v>4.2116159222496848E-4</v>
      </c>
      <c r="T49" s="4">
        <f t="shared" si="10"/>
        <v>5.2098228365600768E-2</v>
      </c>
      <c r="U49" s="5">
        <f t="shared" si="11"/>
        <v>0.50017437906197593</v>
      </c>
      <c r="V49" s="5"/>
      <c r="W49" s="3">
        <f t="shared" si="1"/>
        <v>0.55227260742757667</v>
      </c>
      <c r="X49" s="3">
        <f t="shared" si="3"/>
        <v>6.1894579692304108E-2</v>
      </c>
      <c r="Y49">
        <f t="shared" ref="Y49" si="34">+SUM(J49:L49)</f>
        <v>101.77573952166887</v>
      </c>
    </row>
    <row r="50" spans="1:25" ht="15.6">
      <c r="A50" s="1" t="s">
        <v>23</v>
      </c>
      <c r="B50" s="1">
        <v>60</v>
      </c>
      <c r="C50" s="2">
        <f>+'Flow rate'!E49</f>
        <v>30.530062999999998</v>
      </c>
      <c r="D50" s="1" t="s">
        <v>25</v>
      </c>
      <c r="E50" s="1" t="s">
        <v>26</v>
      </c>
      <c r="F50" s="1" t="s">
        <v>24</v>
      </c>
      <c r="G50" s="1">
        <v>-0.5</v>
      </c>
      <c r="H50" s="13">
        <v>45409.408333333333</v>
      </c>
      <c r="I50" s="2">
        <f t="shared" si="5"/>
        <v>19.766666666662786</v>
      </c>
      <c r="J50" s="18">
        <v>1.436305773146108</v>
      </c>
      <c r="K50" s="18">
        <v>10.936357748744076</v>
      </c>
      <c r="L50" s="18">
        <v>89.560400951037664</v>
      </c>
      <c r="N50" s="18">
        <v>6.1225205447478323E-2</v>
      </c>
      <c r="O50" s="18">
        <v>9.2826462089423203E-2</v>
      </c>
      <c r="P50" s="3">
        <f t="shared" si="6"/>
        <v>1.4069412747146773E-2</v>
      </c>
      <c r="Q50" s="3">
        <f t="shared" si="7"/>
        <v>0.10712769801133779</v>
      </c>
      <c r="R50" s="3">
        <f t="shared" si="8"/>
        <v>0.87729386760038153</v>
      </c>
      <c r="S50" s="3">
        <f t="shared" si="9"/>
        <v>5.9973489076953364E-4</v>
      </c>
      <c r="T50" s="4">
        <f t="shared" si="10"/>
        <v>0.11370143333902434</v>
      </c>
      <c r="U50" s="5">
        <f t="shared" si="11"/>
        <v>0.86574848809303928</v>
      </c>
      <c r="V50" s="5"/>
      <c r="W50" s="3">
        <f t="shared" si="1"/>
        <v>0.97944992143206366</v>
      </c>
      <c r="X50" s="3">
        <f t="shared" si="3"/>
        <v>0.10882298981815647</v>
      </c>
    </row>
    <row r="51" spans="1:25" ht="15.6">
      <c r="A51" s="1" t="s">
        <v>23</v>
      </c>
      <c r="B51" s="1">
        <v>60</v>
      </c>
      <c r="C51" s="2">
        <f>+'Flow rate'!E50</f>
        <v>30.469186000000001</v>
      </c>
      <c r="D51" s="1" t="s">
        <v>25</v>
      </c>
      <c r="E51" s="1" t="s">
        <v>26</v>
      </c>
      <c r="F51" s="1" t="s">
        <v>24</v>
      </c>
      <c r="G51" s="1">
        <v>-0.5</v>
      </c>
      <c r="H51" s="13">
        <v>45409.431944444441</v>
      </c>
      <c r="I51" s="2">
        <f t="shared" si="5"/>
        <v>20.333333333255723</v>
      </c>
      <c r="J51" s="18">
        <v>1.4911251252615227</v>
      </c>
      <c r="K51" s="18">
        <v>11.418324797219753</v>
      </c>
      <c r="L51" s="18">
        <v>88.826564914868271</v>
      </c>
      <c r="N51" s="18">
        <v>6.6410834370563762E-2</v>
      </c>
      <c r="O51" s="18">
        <v>9.8827799712592701E-2</v>
      </c>
      <c r="P51" s="3">
        <f t="shared" si="6"/>
        <v>1.4633040070302465E-2</v>
      </c>
      <c r="Q51" s="3">
        <f t="shared" si="7"/>
        <v>0.11205283947189915</v>
      </c>
      <c r="R51" s="3">
        <f t="shared" si="8"/>
        <v>0.87169256401512452</v>
      </c>
      <c r="S51" s="3">
        <f t="shared" si="9"/>
        <v>6.5171754132721809E-4</v>
      </c>
      <c r="T51" s="4">
        <f t="shared" si="10"/>
        <v>0.11802056308282285</v>
      </c>
      <c r="U51" s="5">
        <f t="shared" si="11"/>
        <v>0.90374516477554778</v>
      </c>
      <c r="V51" s="5"/>
      <c r="W51" s="3">
        <f t="shared" si="1"/>
        <v>1.0217657278583707</v>
      </c>
      <c r="X51" s="3">
        <f t="shared" si="3"/>
        <v>0.11390430804018208</v>
      </c>
      <c r="Y51">
        <f t="shared" ref="Y51" si="35">+SUM(J51:L51)</f>
        <v>101.73601483734954</v>
      </c>
    </row>
    <row r="52" spans="1:25" ht="15.6">
      <c r="A52" s="1" t="s">
        <v>23</v>
      </c>
      <c r="B52" s="1">
        <v>60</v>
      </c>
      <c r="C52" s="2">
        <f>+'Flow rate'!E51</f>
        <v>30.615580999999999</v>
      </c>
      <c r="D52" s="1" t="s">
        <v>25</v>
      </c>
      <c r="E52" s="1" t="s">
        <v>26</v>
      </c>
      <c r="F52" s="1" t="s">
        <v>24</v>
      </c>
      <c r="G52" s="1">
        <v>-0.5</v>
      </c>
      <c r="H52" s="13">
        <v>45409.455555555556</v>
      </c>
      <c r="I52" s="2">
        <f t="shared" si="5"/>
        <v>20.900000000023283</v>
      </c>
      <c r="J52" s="18">
        <v>1.4987214137944487</v>
      </c>
      <c r="K52" s="18">
        <v>11.478953384822777</v>
      </c>
      <c r="L52" s="18">
        <v>88.737752500203953</v>
      </c>
      <c r="N52" s="18">
        <v>6.6332121658104329E-2</v>
      </c>
      <c r="O52" s="18">
        <v>9.7483116224093988E-2</v>
      </c>
      <c r="P52" s="3">
        <f t="shared" si="6"/>
        <v>1.4710763218076673E-2</v>
      </c>
      <c r="Q52" s="3">
        <f t="shared" si="7"/>
        <v>0.11267215086220657</v>
      </c>
      <c r="R52" s="3">
        <f t="shared" si="8"/>
        <v>0.87100915054639283</v>
      </c>
      <c r="S52" s="3">
        <f t="shared" si="9"/>
        <v>6.5108573647087412E-4</v>
      </c>
      <c r="T52" s="4">
        <f t="shared" si="10"/>
        <v>0.11921749146496466</v>
      </c>
      <c r="U52" s="5">
        <f t="shared" si="11"/>
        <v>0.91310634156957915</v>
      </c>
      <c r="V52" s="5"/>
      <c r="W52" s="3">
        <f t="shared" si="1"/>
        <v>1.0323238330345439</v>
      </c>
      <c r="X52" s="3">
        <f t="shared" si="3"/>
        <v>0.11454131607550509</v>
      </c>
    </row>
    <row r="53" spans="1:25" ht="15.6">
      <c r="A53" s="1" t="s">
        <v>23</v>
      </c>
      <c r="B53" s="1">
        <v>60</v>
      </c>
      <c r="C53" s="2">
        <f>+'Flow rate'!E52</f>
        <v>31.10239</v>
      </c>
      <c r="D53" s="1" t="s">
        <v>25</v>
      </c>
      <c r="E53" s="1" t="s">
        <v>26</v>
      </c>
      <c r="F53" s="1" t="s">
        <v>24</v>
      </c>
      <c r="G53" s="1">
        <v>-0.5</v>
      </c>
      <c r="H53" s="13">
        <v>45409.479166666664</v>
      </c>
      <c r="I53" s="2">
        <f t="shared" si="5"/>
        <v>21.46666666661622</v>
      </c>
      <c r="J53" s="18">
        <v>1.4744043264637918</v>
      </c>
      <c r="K53" s="18">
        <v>11.556846906519905</v>
      </c>
      <c r="L53" s="18">
        <v>88.618806404976596</v>
      </c>
      <c r="N53" s="18">
        <v>6.548454848427919E-2</v>
      </c>
      <c r="O53" s="18">
        <v>9.4992467485866622E-2</v>
      </c>
      <c r="P53" s="3">
        <f t="shared" si="6"/>
        <v>1.4481844452300711E-2</v>
      </c>
      <c r="Q53" s="3">
        <f t="shared" si="7"/>
        <v>0.11351327193991657</v>
      </c>
      <c r="R53" s="3">
        <f t="shared" si="8"/>
        <v>0.87042865167347827</v>
      </c>
      <c r="S53" s="3">
        <f t="shared" si="9"/>
        <v>6.4320012370891856E-4</v>
      </c>
      <c r="T53" s="4">
        <f t="shared" si="10"/>
        <v>0.11922845321977067</v>
      </c>
      <c r="U53" s="5">
        <f t="shared" si="11"/>
        <v>0.93455028314168387</v>
      </c>
      <c r="V53" s="5"/>
      <c r="W53" s="3">
        <f t="shared" si="1"/>
        <v>1.0537787363614546</v>
      </c>
      <c r="X53" s="3">
        <f t="shared" si="3"/>
        <v>0.11536582517294749</v>
      </c>
      <c r="Y53">
        <f t="shared" ref="Y53" si="36">+SUM(J53:L53)</f>
        <v>101.65005763796029</v>
      </c>
    </row>
    <row r="54" spans="1:25" ht="15.6">
      <c r="A54" s="1" t="s">
        <v>23</v>
      </c>
      <c r="B54" s="1">
        <v>60</v>
      </c>
      <c r="C54" s="2">
        <f>+'Flow rate'!E53</f>
        <v>31.229063</v>
      </c>
      <c r="D54" s="1" t="s">
        <v>25</v>
      </c>
      <c r="E54" s="1" t="s">
        <v>26</v>
      </c>
      <c r="F54" s="1" t="s">
        <v>24</v>
      </c>
      <c r="G54" s="1">
        <v>-0.5</v>
      </c>
      <c r="H54" s="13">
        <v>45409.50277777778</v>
      </c>
      <c r="I54" s="2">
        <f t="shared" si="5"/>
        <v>22.03333333338378</v>
      </c>
      <c r="J54" s="18">
        <v>1.4658986231065021</v>
      </c>
      <c r="K54" s="18">
        <v>11.544598951637909</v>
      </c>
      <c r="L54" s="18">
        <v>88.66976451642897</v>
      </c>
      <c r="N54" s="18">
        <v>6.608435928048928E-2</v>
      </c>
      <c r="O54" s="18">
        <v>9.7671301694024826E-2</v>
      </c>
      <c r="P54" s="3">
        <f t="shared" si="6"/>
        <v>1.4393566313084563E-2</v>
      </c>
      <c r="Q54" s="3">
        <f t="shared" si="7"/>
        <v>0.11335569046120465</v>
      </c>
      <c r="R54" s="3">
        <f t="shared" si="8"/>
        <v>0.87064283669777864</v>
      </c>
      <c r="S54" s="3">
        <f t="shared" si="9"/>
        <v>6.4887816426601613E-4</v>
      </c>
      <c r="T54" s="4">
        <f t="shared" si="10"/>
        <v>0.11898429325819145</v>
      </c>
      <c r="U54" s="5">
        <f t="shared" si="11"/>
        <v>0.93705384912561984</v>
      </c>
      <c r="V54" s="5"/>
      <c r="W54" s="3">
        <f t="shared" si="1"/>
        <v>1.0560381423838112</v>
      </c>
      <c r="X54" s="3">
        <f t="shared" si="3"/>
        <v>0.11519904484866157</v>
      </c>
    </row>
    <row r="55" spans="1:25" ht="15.6">
      <c r="A55" s="1" t="s">
        <v>23</v>
      </c>
      <c r="B55" s="1">
        <v>60</v>
      </c>
      <c r="C55" s="2">
        <f>+'Flow rate'!E54</f>
        <v>30.648299000000002</v>
      </c>
      <c r="D55" s="1" t="s">
        <v>25</v>
      </c>
      <c r="E55" s="1" t="s">
        <v>26</v>
      </c>
      <c r="F55" s="1" t="s">
        <v>24</v>
      </c>
      <c r="G55" s="1">
        <v>-0.5</v>
      </c>
      <c r="H55" s="13">
        <v>45409.526388888888</v>
      </c>
      <c r="I55" s="2">
        <f t="shared" si="5"/>
        <v>22.599999999976717</v>
      </c>
      <c r="J55" s="18">
        <v>1.4693671225717648</v>
      </c>
      <c r="K55" s="18">
        <v>11.554934130637323</v>
      </c>
      <c r="L55" s="18">
        <v>88.693276729025868</v>
      </c>
      <c r="N55" s="18">
        <v>6.4911750208238028E-2</v>
      </c>
      <c r="O55" s="18">
        <v>9.3434788005281877E-2</v>
      </c>
      <c r="P55" s="3">
        <f t="shared" si="6"/>
        <v>1.4423104668628889E-2</v>
      </c>
      <c r="Q55" s="3">
        <f t="shared" si="7"/>
        <v>0.11342163700627839</v>
      </c>
      <c r="R55" s="3">
        <f t="shared" si="8"/>
        <v>0.87060095058301434</v>
      </c>
      <c r="S55" s="3">
        <f t="shared" si="9"/>
        <v>6.3716477189082075E-4</v>
      </c>
      <c r="T55" s="4">
        <f t="shared" si="10"/>
        <v>0.11701119094514131</v>
      </c>
      <c r="U55" s="5">
        <f t="shared" si="11"/>
        <v>0.92016255376130385</v>
      </c>
      <c r="V55" s="5"/>
      <c r="W55" s="3">
        <f t="shared" si="1"/>
        <v>1.0371737447064451</v>
      </c>
      <c r="X55" s="3">
        <f t="shared" si="3"/>
        <v>0.1152632454140553</v>
      </c>
      <c r="Y55">
        <f t="shared" ref="Y55" si="37">+SUM(J55:L55)</f>
        <v>101.71757798223496</v>
      </c>
    </row>
    <row r="56" spans="1:25" ht="15.6">
      <c r="A56" s="1" t="s">
        <v>23</v>
      </c>
      <c r="B56" s="1">
        <v>60</v>
      </c>
      <c r="C56" s="2">
        <f>+'Flow rate'!E55</f>
        <v>21.45243</v>
      </c>
      <c r="D56" s="1" t="s">
        <v>25</v>
      </c>
      <c r="E56" s="1" t="s">
        <v>26</v>
      </c>
      <c r="F56" s="1" t="s">
        <v>24</v>
      </c>
      <c r="G56" s="1">
        <v>-0.5</v>
      </c>
      <c r="H56" s="13">
        <v>45409.55</v>
      </c>
      <c r="I56" s="2">
        <f t="shared" si="5"/>
        <v>23.166666666744277</v>
      </c>
      <c r="J56" s="18">
        <v>1.4855211636411161</v>
      </c>
      <c r="K56" s="18">
        <v>11.693046707775922</v>
      </c>
      <c r="L56" s="18">
        <v>88.50861010998419</v>
      </c>
      <c r="N56" s="18">
        <v>6.8417621063605549E-2</v>
      </c>
      <c r="O56" s="18">
        <v>9.8409414728138092E-2</v>
      </c>
      <c r="P56" s="3">
        <f t="shared" si="6"/>
        <v>1.4584808554070702E-2</v>
      </c>
      <c r="Q56" s="3">
        <f t="shared" si="7"/>
        <v>0.11480203165110822</v>
      </c>
      <c r="R56" s="3">
        <f t="shared" si="8"/>
        <v>0.86897525625078698</v>
      </c>
      <c r="S56" s="3">
        <f t="shared" si="9"/>
        <v>6.7172244284411449E-4</v>
      </c>
      <c r="T56" s="4">
        <f t="shared" si="10"/>
        <v>8.2820814038952376E-2</v>
      </c>
      <c r="U56" s="5">
        <f t="shared" si="11"/>
        <v>0.65191104013611645</v>
      </c>
      <c r="V56" s="5"/>
      <c r="W56" s="3">
        <f t="shared" si="1"/>
        <v>0.73473185417506881</v>
      </c>
      <c r="X56" s="3">
        <f t="shared" si="3"/>
        <v>0.11669514336516842</v>
      </c>
    </row>
    <row r="57" spans="1:25" ht="15.6">
      <c r="A57" s="1" t="s">
        <v>23</v>
      </c>
      <c r="B57" s="1">
        <v>60</v>
      </c>
      <c r="C57" s="2">
        <f>+'Flow rate'!E56</f>
        <v>21.175015999999999</v>
      </c>
      <c r="D57" s="1" t="s">
        <v>25</v>
      </c>
      <c r="E57" s="1" t="s">
        <v>26</v>
      </c>
      <c r="F57" s="1" t="s">
        <v>24</v>
      </c>
      <c r="G57" s="1">
        <v>-0.5</v>
      </c>
      <c r="H57" s="13">
        <v>45409.573611111111</v>
      </c>
      <c r="I57" s="2">
        <f t="shared" si="5"/>
        <v>23.733333333337214</v>
      </c>
      <c r="J57" s="18">
        <v>2.4244869094603714</v>
      </c>
      <c r="K57" s="18">
        <v>14.944940621293144</v>
      </c>
      <c r="L57" s="18">
        <v>84.364167529614392</v>
      </c>
      <c r="N57" s="18">
        <v>8.4355893619673272E-2</v>
      </c>
      <c r="O57" s="18">
        <v>0.11684960125836344</v>
      </c>
      <c r="P57" s="3">
        <f t="shared" si="6"/>
        <v>2.378468291745334E-2</v>
      </c>
      <c r="Q57" s="3">
        <f t="shared" si="7"/>
        <v>0.14661274206538899</v>
      </c>
      <c r="R57" s="3">
        <f t="shared" si="8"/>
        <v>0.82762871041172303</v>
      </c>
      <c r="S57" s="3">
        <f t="shared" si="9"/>
        <v>8.2754754176376328E-4</v>
      </c>
      <c r="T57" s="4">
        <f t="shared" si="10"/>
        <v>0.1333163398433968</v>
      </c>
      <c r="U57" s="5">
        <f t="shared" si="11"/>
        <v>0.82178409585686751</v>
      </c>
      <c r="V57" s="5"/>
      <c r="W57" s="3">
        <f t="shared" si="1"/>
        <v>0.95510043570026437</v>
      </c>
      <c r="X57" s="3">
        <f t="shared" si="3"/>
        <v>0.15048912329957895</v>
      </c>
      <c r="Y57">
        <f t="shared" ref="Y57" si="38">+SUM(J57:L57)</f>
        <v>101.7335950603679</v>
      </c>
    </row>
    <row r="58" spans="1:25" ht="15.6">
      <c r="A58" s="1" t="s">
        <v>23</v>
      </c>
      <c r="B58" s="1">
        <v>60</v>
      </c>
      <c r="C58" s="2">
        <f>+'Flow rate'!E57</f>
        <v>21.065227</v>
      </c>
      <c r="D58" s="1" t="s">
        <v>25</v>
      </c>
      <c r="E58" s="1" t="s">
        <v>26</v>
      </c>
      <c r="F58" s="1" t="s">
        <v>24</v>
      </c>
      <c r="G58" s="1">
        <v>-0.5</v>
      </c>
      <c r="H58" s="13">
        <v>45409.597222222219</v>
      </c>
      <c r="I58" s="2">
        <f t="shared" si="5"/>
        <v>24.299999999930151</v>
      </c>
      <c r="J58" s="18">
        <v>2.7678322112580327</v>
      </c>
      <c r="K58" s="18">
        <v>15.671777628992542</v>
      </c>
      <c r="L58" s="18">
        <v>83.284690186040095</v>
      </c>
      <c r="N58" s="18">
        <v>8.9271729462219007E-2</v>
      </c>
      <c r="O58" s="18">
        <v>0.12150812788527232</v>
      </c>
      <c r="P58" s="3">
        <f t="shared" si="6"/>
        <v>2.7152891962390107E-2</v>
      </c>
      <c r="Q58" s="3">
        <f t="shared" si="7"/>
        <v>0.15374273161783289</v>
      </c>
      <c r="R58" s="3">
        <f t="shared" si="8"/>
        <v>0.81703659114322524</v>
      </c>
      <c r="S58" s="3">
        <f t="shared" si="9"/>
        <v>8.757704370676439E-4</v>
      </c>
      <c r="T58" s="4">
        <f t="shared" si="10"/>
        <v>0.15140649422990157</v>
      </c>
      <c r="U58" s="5">
        <f t="shared" si="11"/>
        <v>0.85728061820549162</v>
      </c>
      <c r="V58" s="5"/>
      <c r="W58" s="3">
        <f t="shared" si="1"/>
        <v>1.0086871124353931</v>
      </c>
      <c r="X58" s="3">
        <f t="shared" si="3"/>
        <v>0.15837042262144907</v>
      </c>
    </row>
    <row r="59" spans="1:25" ht="15.6">
      <c r="A59" s="1" t="s">
        <v>23</v>
      </c>
      <c r="B59" s="1">
        <v>60</v>
      </c>
      <c r="C59" s="2">
        <f>+'Flow rate'!E58</f>
        <v>21.192696000000002</v>
      </c>
      <c r="D59" s="1" t="s">
        <v>25</v>
      </c>
      <c r="E59" s="1" t="s">
        <v>26</v>
      </c>
      <c r="F59" s="1" t="s">
        <v>24</v>
      </c>
      <c r="G59" s="1">
        <v>-0.5</v>
      </c>
      <c r="H59" s="13">
        <v>45409.620833333334</v>
      </c>
      <c r="I59" s="2">
        <f t="shared" si="5"/>
        <v>24.866666666697711</v>
      </c>
      <c r="J59" s="18">
        <v>2.8813558083872186</v>
      </c>
      <c r="K59" s="18">
        <v>15.827871443090118</v>
      </c>
      <c r="L59" s="18">
        <v>83.052331696218033</v>
      </c>
      <c r="N59" s="18">
        <v>9.1008944488820867E-2</v>
      </c>
      <c r="O59" s="18">
        <v>0.12474110276514863</v>
      </c>
      <c r="P59" s="3">
        <f t="shared" si="6"/>
        <v>2.8254871959113227E-2</v>
      </c>
      <c r="Q59" s="3">
        <f t="shared" si="7"/>
        <v>0.15520973831417764</v>
      </c>
      <c r="R59" s="3">
        <f t="shared" si="8"/>
        <v>0.81441972253191541</v>
      </c>
      <c r="S59" s="3">
        <f t="shared" si="9"/>
        <v>8.9244308744534831E-4</v>
      </c>
      <c r="T59" s="4">
        <f t="shared" si="10"/>
        <v>0.15850458175402588</v>
      </c>
      <c r="U59" s="5">
        <f t="shared" si="11"/>
        <v>0.87069779297674976</v>
      </c>
      <c r="V59" s="5"/>
      <c r="W59" s="3">
        <f t="shared" si="1"/>
        <v>1.0292023747307757</v>
      </c>
      <c r="X59" s="3">
        <f t="shared" si="3"/>
        <v>0.16007118655279154</v>
      </c>
      <c r="Y59">
        <f t="shared" ref="Y59" si="39">+SUM(J59:L59)</f>
        <v>101.76155894769536</v>
      </c>
    </row>
    <row r="60" spans="1:25" ht="15.6">
      <c r="A60" s="1" t="s">
        <v>23</v>
      </c>
      <c r="B60" s="1">
        <v>60</v>
      </c>
      <c r="C60" s="2">
        <f>+'Flow rate'!E59</f>
        <v>20.911629999999999</v>
      </c>
      <c r="D60" s="1" t="s">
        <v>25</v>
      </c>
      <c r="E60" s="1" t="s">
        <v>26</v>
      </c>
      <c r="F60" s="1" t="s">
        <v>24</v>
      </c>
      <c r="G60" s="1">
        <v>-0.5</v>
      </c>
      <c r="H60" s="13">
        <v>45409.65625</v>
      </c>
      <c r="I60" s="2">
        <f t="shared" si="5"/>
        <v>25.716666666674428</v>
      </c>
      <c r="J60" s="18">
        <v>2.9560926463856898</v>
      </c>
      <c r="K60" s="18">
        <v>15.934372341994001</v>
      </c>
      <c r="L60" s="18">
        <v>82.873783940616619</v>
      </c>
      <c r="N60" s="18">
        <v>9.4560426648735943E-2</v>
      </c>
      <c r="O60" s="18">
        <v>0.12284953451235439</v>
      </c>
      <c r="P60" s="3">
        <f t="shared" si="6"/>
        <v>2.8986512658807046E-2</v>
      </c>
      <c r="Q60" s="3">
        <f t="shared" si="7"/>
        <v>0.15624743228737459</v>
      </c>
      <c r="R60" s="3">
        <f t="shared" si="8"/>
        <v>0.81263420150753252</v>
      </c>
      <c r="S60" s="3">
        <f t="shared" si="9"/>
        <v>9.2722973599189309E-4</v>
      </c>
      <c r="T60" s="4">
        <f t="shared" si="10"/>
        <v>0.1604523652831927</v>
      </c>
      <c r="U60" s="5">
        <f t="shared" si="11"/>
        <v>0.86489431740308276</v>
      </c>
      <c r="V60" s="5"/>
      <c r="W60" s="3">
        <f t="shared" si="1"/>
        <v>1.0253466826862754</v>
      </c>
      <c r="X60" s="3">
        <f t="shared" si="3"/>
        <v>0.16126575923973913</v>
      </c>
    </row>
    <row r="61" spans="1:25" ht="15.6">
      <c r="A61" s="1" t="s">
        <v>23</v>
      </c>
      <c r="B61" s="1">
        <v>60</v>
      </c>
      <c r="C61" s="2">
        <f>+'Flow rate'!E60</f>
        <v>16.785319999999999</v>
      </c>
      <c r="D61" s="1" t="s">
        <v>25</v>
      </c>
      <c r="E61" s="1" t="s">
        <v>26</v>
      </c>
      <c r="F61" s="1" t="s">
        <v>24</v>
      </c>
      <c r="G61" s="1">
        <v>-0.5</v>
      </c>
      <c r="H61" s="13">
        <v>45409.679861111108</v>
      </c>
      <c r="I61" s="2">
        <f t="shared" si="5"/>
        <v>26.283333333267365</v>
      </c>
      <c r="J61" s="18">
        <v>3.3700065144192739</v>
      </c>
      <c r="K61" s="18">
        <v>16.815217997573495</v>
      </c>
      <c r="L61" s="18">
        <v>81.567723146185998</v>
      </c>
      <c r="N61" s="18">
        <v>0.10033247081499695</v>
      </c>
      <c r="O61" s="18">
        <v>0.13398056462184935</v>
      </c>
      <c r="P61" s="3">
        <f t="shared" si="6"/>
        <v>3.3043406514694597E-2</v>
      </c>
      <c r="Q61" s="3">
        <f t="shared" si="7"/>
        <v>0.16487567058094468</v>
      </c>
      <c r="R61" s="3">
        <f t="shared" si="8"/>
        <v>0.79978344933910095</v>
      </c>
      <c r="S61" s="3">
        <f t="shared" si="9"/>
        <v>9.8377454333644786E-4</v>
      </c>
      <c r="T61" s="4">
        <f t="shared" si="10"/>
        <v>0.14681712216406706</v>
      </c>
      <c r="U61" s="5">
        <f t="shared" si="11"/>
        <v>0.73256888507546059</v>
      </c>
      <c r="V61" s="5"/>
      <c r="W61" s="3">
        <f t="shared" si="1"/>
        <v>0.87938600723952765</v>
      </c>
      <c r="X61" s="3">
        <f t="shared" si="3"/>
        <v>0.1709159921637502</v>
      </c>
      <c r="Y61">
        <f t="shared" ref="Y61" si="40">+SUM(J61:L61)</f>
        <v>101.75294765817877</v>
      </c>
    </row>
    <row r="62" spans="1:25" ht="15.6">
      <c r="A62" s="1" t="s">
        <v>23</v>
      </c>
      <c r="B62" s="1">
        <v>60</v>
      </c>
      <c r="C62" s="2">
        <f>+'Flow rate'!E61</f>
        <v>16.235078000000001</v>
      </c>
      <c r="D62" s="1" t="s">
        <v>25</v>
      </c>
      <c r="E62" s="1" t="s">
        <v>26</v>
      </c>
      <c r="F62" s="1" t="s">
        <v>24</v>
      </c>
      <c r="G62" s="1">
        <v>-0.5</v>
      </c>
      <c r="H62" s="13">
        <v>45409.703472222223</v>
      </c>
      <c r="I62" s="2">
        <f t="shared" si="5"/>
        <v>26.850000000034925</v>
      </c>
      <c r="J62" s="18">
        <v>4.3560088142624407</v>
      </c>
      <c r="K62" s="18">
        <v>18.521029444161424</v>
      </c>
      <c r="L62" s="18">
        <v>78.860479724790181</v>
      </c>
      <c r="N62" s="18">
        <v>0.10903127725874152</v>
      </c>
      <c r="O62" s="18">
        <v>0.14217646314809357</v>
      </c>
      <c r="P62" s="3">
        <f t="shared" si="6"/>
        <v>4.271068967041302E-2</v>
      </c>
      <c r="Q62" s="3">
        <f t="shared" si="7"/>
        <v>0.18159879254057493</v>
      </c>
      <c r="R62" s="3">
        <f t="shared" si="8"/>
        <v>0.77322742455371096</v>
      </c>
      <c r="S62" s="3">
        <f t="shared" si="9"/>
        <v>1.0690522553856124E-3</v>
      </c>
      <c r="T62" s="4">
        <f t="shared" si="10"/>
        <v>0.18354951119014035</v>
      </c>
      <c r="U62" s="5">
        <f t="shared" si="11"/>
        <v>0.78042218144355013</v>
      </c>
      <c r="V62" s="5"/>
      <c r="W62" s="3">
        <f t="shared" si="1"/>
        <v>0.96397169263369054</v>
      </c>
      <c r="X62" s="3">
        <f t="shared" si="3"/>
        <v>0.19019041296667982</v>
      </c>
    </row>
    <row r="63" spans="1:25" ht="15.6">
      <c r="A63" s="1" t="s">
        <v>23</v>
      </c>
      <c r="B63" s="1">
        <v>60</v>
      </c>
      <c r="C63" s="2">
        <f>+'Flow rate'!E62</f>
        <v>16.136804999999999</v>
      </c>
      <c r="D63" s="1" t="s">
        <v>25</v>
      </c>
      <c r="E63" s="1" t="s">
        <v>26</v>
      </c>
      <c r="F63" s="1" t="s">
        <v>24</v>
      </c>
      <c r="G63" s="1">
        <v>-0.5</v>
      </c>
      <c r="H63" s="13">
        <v>45409.727083333331</v>
      </c>
      <c r="I63" s="2">
        <f t="shared" si="5"/>
        <v>27.416666666627862</v>
      </c>
      <c r="J63" s="18">
        <v>4.7356237190553419</v>
      </c>
      <c r="K63" s="18">
        <v>19.050475145488438</v>
      </c>
      <c r="L63" s="18">
        <v>77.967971816100388</v>
      </c>
      <c r="N63" s="18">
        <v>0.11216616878998578</v>
      </c>
      <c r="O63" s="18">
        <v>0.1466482086742501</v>
      </c>
      <c r="P63" s="3">
        <f t="shared" si="6"/>
        <v>4.6421819325645423E-2</v>
      </c>
      <c r="Q63" s="3">
        <f t="shared" si="7"/>
        <v>0.18674577367983408</v>
      </c>
      <c r="R63" s="3">
        <f t="shared" si="8"/>
        <v>0.76429533163078778</v>
      </c>
      <c r="S63" s="3">
        <f t="shared" si="9"/>
        <v>1.0995294244064747E-3</v>
      </c>
      <c r="T63" s="4">
        <f t="shared" si="10"/>
        <v>0.19829053130565985</v>
      </c>
      <c r="U63" s="5">
        <f t="shared" si="11"/>
        <v>0.79768348634289488</v>
      </c>
      <c r="V63" s="5"/>
      <c r="W63" s="3">
        <f t="shared" si="1"/>
        <v>0.99597401764855475</v>
      </c>
      <c r="X63" s="3">
        <f t="shared" si="3"/>
        <v>0.19635930838009424</v>
      </c>
      <c r="Y63">
        <f t="shared" ref="Y63" si="41">+SUM(J63:L63)</f>
        <v>101.75407068064416</v>
      </c>
    </row>
    <row r="64" spans="1:25" ht="15.6">
      <c r="A64" s="1" t="s">
        <v>23</v>
      </c>
      <c r="B64" s="1">
        <v>60</v>
      </c>
      <c r="C64" s="2">
        <f>+'Flow rate'!E63</f>
        <v>15.675128000000001</v>
      </c>
      <c r="D64" s="1" t="s">
        <v>25</v>
      </c>
      <c r="E64" s="1" t="s">
        <v>26</v>
      </c>
      <c r="F64" s="1" t="s">
        <v>24</v>
      </c>
      <c r="G64" s="1">
        <v>-0.5</v>
      </c>
      <c r="H64" s="13">
        <v>45409.750694444447</v>
      </c>
      <c r="I64" s="2">
        <f t="shared" si="5"/>
        <v>27.983333333395422</v>
      </c>
      <c r="J64" s="18">
        <v>4.8789902913668888</v>
      </c>
      <c r="K64" s="18">
        <v>19.362394685689498</v>
      </c>
      <c r="L64" s="18">
        <v>77.728180877026844</v>
      </c>
      <c r="N64" s="18">
        <v>0.11295041753128394</v>
      </c>
      <c r="O64" s="18">
        <v>0.1445692741668799</v>
      </c>
      <c r="P64" s="3">
        <f t="shared" si="6"/>
        <v>4.7726982191836832E-2</v>
      </c>
      <c r="Q64" s="3">
        <f t="shared" si="7"/>
        <v>0.18940571945600698</v>
      </c>
      <c r="R64" s="3">
        <f t="shared" si="8"/>
        <v>0.76034820382526747</v>
      </c>
      <c r="S64" s="3">
        <f t="shared" si="9"/>
        <v>1.1048971701408841E-3</v>
      </c>
      <c r="T64" s="4">
        <f t="shared" si="10"/>
        <v>0.19803289616067202</v>
      </c>
      <c r="U64" s="5">
        <f t="shared" si="11"/>
        <v>0.78589848866841261</v>
      </c>
      <c r="V64" s="5"/>
      <c r="W64" s="3">
        <f t="shared" si="1"/>
        <v>0.9839313848290846</v>
      </c>
      <c r="X64" s="3">
        <f t="shared" si="3"/>
        <v>0.1994260985010046</v>
      </c>
    </row>
    <row r="65" spans="1:25" ht="15.6">
      <c r="A65" s="1" t="s">
        <v>23</v>
      </c>
      <c r="B65" s="1">
        <v>60</v>
      </c>
      <c r="C65" s="2">
        <f>+'Flow rate'!E64</f>
        <v>16.468088000000002</v>
      </c>
      <c r="D65" s="1" t="s">
        <v>25</v>
      </c>
      <c r="E65" s="1" t="s">
        <v>26</v>
      </c>
      <c r="F65" s="1" t="s">
        <v>24</v>
      </c>
      <c r="G65" s="1">
        <v>-0.5</v>
      </c>
      <c r="H65" s="13">
        <v>45409.762499999997</v>
      </c>
      <c r="I65" s="2">
        <f t="shared" si="5"/>
        <v>28.266666666604578</v>
      </c>
      <c r="J65" s="18">
        <v>4.93687187018819</v>
      </c>
      <c r="K65" s="18">
        <v>19.402391598002961</v>
      </c>
      <c r="L65" s="18">
        <v>77.616780278040366</v>
      </c>
      <c r="N65" s="18">
        <v>0.11155750142978606</v>
      </c>
      <c r="O65" s="18">
        <v>0.13792052235238048</v>
      </c>
      <c r="P65" s="3">
        <f t="shared" si="6"/>
        <v>4.8303377202039102E-2</v>
      </c>
      <c r="Q65" s="3">
        <f t="shared" si="7"/>
        <v>0.18983701919415744</v>
      </c>
      <c r="R65" s="3">
        <f t="shared" si="8"/>
        <v>0.75941865893211002</v>
      </c>
      <c r="S65" s="3">
        <f t="shared" si="9"/>
        <v>1.0915017065400491E-3</v>
      </c>
      <c r="T65" s="4">
        <f t="shared" si="10"/>
        <v>0.21056342866784405</v>
      </c>
      <c r="U65" s="5">
        <f t="shared" si="11"/>
        <v>0.82753496680802863</v>
      </c>
      <c r="V65" s="5"/>
      <c r="W65" s="3">
        <f t="shared" si="1"/>
        <v>1.0380983954758727</v>
      </c>
      <c r="X65" s="3">
        <f t="shared" si="3"/>
        <v>0.19998512894742548</v>
      </c>
      <c r="Y65">
        <f t="shared" ref="Y65" si="42">+SUM(J65:L65)</f>
        <v>101.95604374623152</v>
      </c>
    </row>
    <row r="66" spans="1:25" ht="15.6">
      <c r="A66" s="1" t="s">
        <v>23</v>
      </c>
      <c r="B66" s="1">
        <v>60</v>
      </c>
      <c r="C66" s="2">
        <f>+'Flow rate'!E65</f>
        <v>15.796849999999999</v>
      </c>
      <c r="D66" s="1" t="s">
        <v>25</v>
      </c>
      <c r="E66" s="1" t="s">
        <v>26</v>
      </c>
      <c r="F66" s="1" t="s">
        <v>24</v>
      </c>
      <c r="G66" s="1">
        <v>-0.5</v>
      </c>
      <c r="H66" s="13">
        <v>45409.774305555555</v>
      </c>
      <c r="I66" s="2">
        <f t="shared" si="5"/>
        <v>28.549999999988358</v>
      </c>
      <c r="J66" s="18">
        <v>4.9570076734615105</v>
      </c>
      <c r="K66" s="18">
        <v>19.448332192695069</v>
      </c>
      <c r="L66" s="18">
        <v>77.533529940547751</v>
      </c>
      <c r="N66" s="18">
        <v>0.11374772970446682</v>
      </c>
      <c r="O66" s="18">
        <v>0.14484499864894301</v>
      </c>
      <c r="P66" s="3">
        <f t="shared" si="6"/>
        <v>4.8504214786752278E-2</v>
      </c>
      <c r="Q66" s="3">
        <f t="shared" si="7"/>
        <v>0.19030151737890288</v>
      </c>
      <c r="R66" s="3">
        <f t="shared" si="8"/>
        <v>0.75866394348050181</v>
      </c>
      <c r="S66" s="3">
        <f t="shared" si="9"/>
        <v>1.1130191188988363E-3</v>
      </c>
      <c r="T66" s="4">
        <f t="shared" si="10"/>
        <v>0.20282068315388502</v>
      </c>
      <c r="U66" s="5">
        <f t="shared" si="11"/>
        <v>0.79574700734155246</v>
      </c>
      <c r="V66" s="5"/>
      <c r="W66" s="3">
        <f t="shared" ref="W66:W120" si="43">+T66+U66</f>
        <v>0.99856769049543748</v>
      </c>
      <c r="X66" s="3">
        <f t="shared" ref="X66:X120" si="44">+K66/(K66+L66)</f>
        <v>0.20053576787353408</v>
      </c>
    </row>
    <row r="67" spans="1:25" ht="15.6">
      <c r="A67" s="1" t="s">
        <v>23</v>
      </c>
      <c r="B67" s="1">
        <v>60</v>
      </c>
      <c r="C67" s="2">
        <f>+'Flow rate'!E66</f>
        <v>15.695599</v>
      </c>
      <c r="D67" s="1" t="s">
        <v>25</v>
      </c>
      <c r="E67" s="1" t="s">
        <v>26</v>
      </c>
      <c r="F67" s="1" t="s">
        <v>24</v>
      </c>
      <c r="G67" s="1">
        <v>-0.5</v>
      </c>
      <c r="H67" s="13">
        <v>45409.786111111112</v>
      </c>
      <c r="I67" s="2">
        <f t="shared" si="5"/>
        <v>28.833333333372138</v>
      </c>
      <c r="J67" s="18">
        <v>4.9915538703031013</v>
      </c>
      <c r="K67" s="18">
        <v>19.495679997077442</v>
      </c>
      <c r="L67" s="18">
        <v>77.504793965245881</v>
      </c>
      <c r="N67" s="18">
        <v>0.11412778700667969</v>
      </c>
      <c r="O67" s="18">
        <v>0.14476611991341218</v>
      </c>
      <c r="P67" s="3">
        <f t="shared" si="6"/>
        <v>4.8816712704239325E-2</v>
      </c>
      <c r="Q67" s="3">
        <f t="shared" si="7"/>
        <v>0.19066507827417759</v>
      </c>
      <c r="R67" s="3">
        <f t="shared" si="8"/>
        <v>0.75798626209616038</v>
      </c>
      <c r="S67" s="3">
        <f t="shared" si="9"/>
        <v>1.1161541144576272E-3</v>
      </c>
      <c r="T67" s="4">
        <f t="shared" si="10"/>
        <v>0.20281902656330381</v>
      </c>
      <c r="U67" s="5">
        <f t="shared" si="11"/>
        <v>0.7921571001610398</v>
      </c>
      <c r="V67" s="5"/>
      <c r="W67" s="3">
        <f t="shared" si="43"/>
        <v>0.99497612672434355</v>
      </c>
      <c r="X67" s="3">
        <f t="shared" si="44"/>
        <v>0.200985409665626</v>
      </c>
      <c r="Y67">
        <f t="shared" ref="Y67" si="45">+SUM(J67:L67)</f>
        <v>101.99202783262642</v>
      </c>
    </row>
    <row r="68" spans="1:25" ht="15.6">
      <c r="A68" s="1" t="s">
        <v>23</v>
      </c>
      <c r="B68" s="1">
        <v>60</v>
      </c>
      <c r="C68" s="2">
        <f>+'Flow rate'!E67</f>
        <v>15.461679</v>
      </c>
      <c r="D68" s="1" t="s">
        <v>25</v>
      </c>
      <c r="E68" s="1" t="s">
        <v>26</v>
      </c>
      <c r="F68" s="1" t="s">
        <v>24</v>
      </c>
      <c r="G68" s="1">
        <v>-0.5</v>
      </c>
      <c r="H68" s="13">
        <v>45409.811111111114</v>
      </c>
      <c r="I68" s="2">
        <f t="shared" ref="I68:I120" si="46">+(H68-H$2)*24</f>
        <v>29.433333333407063</v>
      </c>
      <c r="J68" s="18">
        <v>5.0781738250606328</v>
      </c>
      <c r="K68" s="18">
        <v>19.539297779168223</v>
      </c>
      <c r="L68" s="18">
        <v>77.43083735757186</v>
      </c>
      <c r="N68" s="18">
        <v>0.10727712405350938</v>
      </c>
      <c r="O68" s="18">
        <v>0.12075257726719135</v>
      </c>
      <c r="P68" s="3">
        <f t="shared" ref="P68:P119" si="47">+J68/SUM($J68:$O68)</f>
        <v>4.9651501915679248E-2</v>
      </c>
      <c r="Q68" s="3">
        <f t="shared" ref="Q68:Q119" si="48">+K68/SUM($J68:$O68)</f>
        <v>0.19104416558679235</v>
      </c>
      <c r="R68" s="3">
        <f t="shared" ref="R68:R119" si="49">+L68/SUM($J68:$O68)</f>
        <v>0.75707478747957668</v>
      </c>
      <c r="S68" s="3">
        <f t="shared" ref="S68:S119" si="50">+N68/SUM($J68:$O68)</f>
        <v>1.04889484171759E-3</v>
      </c>
      <c r="T68" s="4">
        <f t="shared" ref="T68:T120" si="51">+P68*C68/1000/60/24.3*2*96485/-1/G68</f>
        <v>0.2032129176113471</v>
      </c>
      <c r="U68" s="5">
        <f t="shared" ref="U68:U120" si="52">+Q68*C68/1000/60/24.3*2*96485/-1/G68</f>
        <v>0.7819026773338702</v>
      </c>
      <c r="V68" s="5"/>
      <c r="W68" s="3">
        <f t="shared" si="43"/>
        <v>0.98511559494521728</v>
      </c>
      <c r="X68" s="3">
        <f t="shared" si="44"/>
        <v>0.20149809785884443</v>
      </c>
    </row>
    <row r="69" spans="1:25" ht="15.6">
      <c r="A69" s="1" t="s">
        <v>23</v>
      </c>
      <c r="B69" s="1">
        <v>60</v>
      </c>
      <c r="C69" s="2">
        <f>+'Flow rate'!E68</f>
        <v>15.563839</v>
      </c>
      <c r="D69" s="1" t="s">
        <v>25</v>
      </c>
      <c r="E69" s="1" t="s">
        <v>26</v>
      </c>
      <c r="F69" s="1" t="s">
        <v>24</v>
      </c>
      <c r="G69" s="1">
        <v>-0.5</v>
      </c>
      <c r="H69" s="13">
        <v>45409.822916666664</v>
      </c>
      <c r="I69" s="2">
        <f t="shared" si="46"/>
        <v>29.71666666661622</v>
      </c>
      <c r="J69" s="18">
        <v>5.0953514999863438</v>
      </c>
      <c r="K69" s="18">
        <v>19.534526014696137</v>
      </c>
      <c r="L69" s="18">
        <v>77.369520339998417</v>
      </c>
      <c r="N69" s="18">
        <v>0.12043919591992065</v>
      </c>
      <c r="O69" s="18">
        <v>0.15932006583418767</v>
      </c>
      <c r="P69" s="3">
        <f t="shared" si="47"/>
        <v>4.9818082624456667E-2</v>
      </c>
      <c r="Q69" s="3">
        <f t="shared" si="48"/>
        <v>0.19099224676302284</v>
      </c>
      <c r="R69" s="3">
        <f t="shared" si="49"/>
        <v>0.75645441868396168</v>
      </c>
      <c r="S69" s="3">
        <f t="shared" si="50"/>
        <v>1.1775536611316828E-3</v>
      </c>
      <c r="T69" s="4">
        <f t="shared" si="51"/>
        <v>0.20524189068839552</v>
      </c>
      <c r="U69" s="5">
        <f t="shared" si="52"/>
        <v>0.78685504875740719</v>
      </c>
      <c r="V69" s="5"/>
      <c r="W69" s="3">
        <f t="shared" si="43"/>
        <v>0.99209693944580268</v>
      </c>
      <c r="X69" s="3">
        <f t="shared" si="44"/>
        <v>0.20158627786495706</v>
      </c>
      <c r="Y69">
        <f t="shared" ref="Y69" si="53">+SUM(J69:L69)</f>
        <v>101.99939785468089</v>
      </c>
    </row>
    <row r="70" spans="1:25" ht="15.6">
      <c r="A70" s="1" t="s">
        <v>23</v>
      </c>
      <c r="B70" s="1">
        <v>60</v>
      </c>
      <c r="C70" s="2">
        <f>+'Flow rate'!E69</f>
        <v>15.456574</v>
      </c>
      <c r="D70" s="1" t="s">
        <v>25</v>
      </c>
      <c r="E70" s="1" t="s">
        <v>26</v>
      </c>
      <c r="F70" s="1" t="s">
        <v>24</v>
      </c>
      <c r="G70" s="1">
        <v>-0.5</v>
      </c>
      <c r="H70" s="13">
        <v>45409.847916666666</v>
      </c>
      <c r="I70" s="2">
        <f t="shared" si="46"/>
        <v>30.316666666651145</v>
      </c>
      <c r="J70" s="18">
        <v>5.1489093824129544</v>
      </c>
      <c r="K70" s="18">
        <v>19.526025741603554</v>
      </c>
      <c r="L70" s="18">
        <v>77.338451794812642</v>
      </c>
      <c r="N70" s="18">
        <v>0.1091644578397386</v>
      </c>
      <c r="O70" s="18">
        <v>0.12430832299661349</v>
      </c>
      <c r="P70" s="3">
        <f t="shared" si="47"/>
        <v>5.0357628562256944E-2</v>
      </c>
      <c r="Q70" s="3">
        <f t="shared" si="48"/>
        <v>0.19096944198538973</v>
      </c>
      <c r="R70" s="3">
        <f t="shared" si="49"/>
        <v>0.75638950694410079</v>
      </c>
      <c r="S70" s="3">
        <f t="shared" si="50"/>
        <v>1.0676558493864015E-3</v>
      </c>
      <c r="T70" s="4">
        <f t="shared" si="51"/>
        <v>0.20603489285141047</v>
      </c>
      <c r="U70" s="5">
        <f t="shared" si="52"/>
        <v>0.7813387889922111</v>
      </c>
      <c r="V70" s="5"/>
      <c r="W70" s="3">
        <f t="shared" si="43"/>
        <v>0.98737368184362162</v>
      </c>
      <c r="X70" s="3">
        <f t="shared" si="44"/>
        <v>0.20158087090556751</v>
      </c>
    </row>
    <row r="71" spans="1:25" ht="15.6">
      <c r="A71" s="1" t="s">
        <v>23</v>
      </c>
      <c r="B71" s="1">
        <v>60</v>
      </c>
      <c r="C71" s="2">
        <f>+'Flow rate'!E70</f>
        <v>16.005883000000001</v>
      </c>
      <c r="D71" s="1" t="s">
        <v>25</v>
      </c>
      <c r="E71" s="1" t="s">
        <v>26</v>
      </c>
      <c r="F71" s="1" t="s">
        <v>24</v>
      </c>
      <c r="G71" s="1">
        <v>-0.5</v>
      </c>
      <c r="H71" s="13">
        <v>45409.859722222223</v>
      </c>
      <c r="I71" s="2">
        <f t="shared" si="46"/>
        <v>30.600000000034925</v>
      </c>
      <c r="J71" s="18">
        <v>5.1631368809489757</v>
      </c>
      <c r="K71" s="18">
        <v>19.50007183006981</v>
      </c>
      <c r="L71" s="18">
        <v>77.276313051438933</v>
      </c>
      <c r="N71" s="18">
        <v>0.11964487283708389</v>
      </c>
      <c r="O71" s="18">
        <v>0.16587390569836707</v>
      </c>
      <c r="P71" s="3">
        <f t="shared" si="47"/>
        <v>5.0507555229371726E-2</v>
      </c>
      <c r="Q71" s="3">
        <f t="shared" si="48"/>
        <v>0.19075631300190196</v>
      </c>
      <c r="R71" s="3">
        <f t="shared" si="49"/>
        <v>0.75594309028863071</v>
      </c>
      <c r="S71" s="3">
        <f t="shared" si="50"/>
        <v>1.1704067046968323E-3</v>
      </c>
      <c r="T71" s="4">
        <f t="shared" si="51"/>
        <v>0.21399235287457113</v>
      </c>
      <c r="U71" s="5">
        <f t="shared" si="52"/>
        <v>0.80820368476708226</v>
      </c>
      <c r="V71" s="5"/>
      <c r="W71" s="3">
        <f t="shared" si="43"/>
        <v>1.0221960376416535</v>
      </c>
      <c r="X71" s="3">
        <f t="shared" si="44"/>
        <v>0.20149617960978131</v>
      </c>
      <c r="Y71">
        <f t="shared" ref="Y71" si="54">+SUM(J71:L71)</f>
        <v>101.93952176245772</v>
      </c>
    </row>
    <row r="72" spans="1:25" ht="15.6">
      <c r="A72" s="1" t="s">
        <v>23</v>
      </c>
      <c r="B72" s="1">
        <v>60</v>
      </c>
      <c r="C72" s="2">
        <f>+'Flow rate'!E71</f>
        <v>15.333978</v>
      </c>
      <c r="D72" s="1" t="s">
        <v>25</v>
      </c>
      <c r="E72" s="1" t="s">
        <v>26</v>
      </c>
      <c r="F72" s="1" t="s">
        <v>24</v>
      </c>
      <c r="G72" s="1">
        <v>-0.5</v>
      </c>
      <c r="H72" s="13">
        <v>45409.871527777781</v>
      </c>
      <c r="I72" s="2">
        <f t="shared" si="46"/>
        <v>30.883333333418705</v>
      </c>
      <c r="J72" s="18">
        <v>5.1940584307878952</v>
      </c>
      <c r="K72" s="18">
        <v>19.511663188007681</v>
      </c>
      <c r="L72" s="18">
        <v>77.267590709408495</v>
      </c>
      <c r="N72" s="18">
        <v>0.11420672113323885</v>
      </c>
      <c r="O72" s="18">
        <v>0.14740820646139741</v>
      </c>
      <c r="P72" s="3">
        <f t="shared" si="47"/>
        <v>5.0805126684269154E-2</v>
      </c>
      <c r="Q72" s="3">
        <f t="shared" si="48"/>
        <v>0.19085124537906872</v>
      </c>
      <c r="R72" s="3">
        <f t="shared" si="49"/>
        <v>0.75578466951983791</v>
      </c>
      <c r="S72" s="3">
        <f t="shared" si="50"/>
        <v>1.1171008206176535E-3</v>
      </c>
      <c r="T72" s="4">
        <f t="shared" si="51"/>
        <v>0.20621708472958403</v>
      </c>
      <c r="U72" s="5">
        <f t="shared" si="52"/>
        <v>0.774661732144999</v>
      </c>
      <c r="V72" s="5"/>
      <c r="W72" s="3">
        <f t="shared" si="43"/>
        <v>0.980878816874583</v>
      </c>
      <c r="X72" s="3">
        <f t="shared" si="44"/>
        <v>0.20160997736859601</v>
      </c>
    </row>
    <row r="73" spans="1:25" ht="15.6">
      <c r="A73" s="1" t="s">
        <v>23</v>
      </c>
      <c r="B73" s="1">
        <v>60</v>
      </c>
      <c r="C73" s="2">
        <f>+'Flow rate'!E72</f>
        <v>11.945359</v>
      </c>
      <c r="D73" s="1" t="s">
        <v>25</v>
      </c>
      <c r="E73" s="1" t="s">
        <v>26</v>
      </c>
      <c r="F73" s="1" t="s">
        <v>24</v>
      </c>
      <c r="G73" s="1">
        <v>-0.5</v>
      </c>
      <c r="H73" s="13">
        <v>45409.896527777775</v>
      </c>
      <c r="I73" s="2">
        <f t="shared" si="46"/>
        <v>31.483333333279006</v>
      </c>
      <c r="J73" s="18">
        <v>6.0466789258506086</v>
      </c>
      <c r="K73" s="18">
        <v>20.189235410799814</v>
      </c>
      <c r="L73" s="18">
        <v>75.705544420733645</v>
      </c>
      <c r="N73" s="18">
        <v>0.12816555163758334</v>
      </c>
      <c r="O73" s="18">
        <v>0.16742936159441907</v>
      </c>
      <c r="P73" s="3">
        <f t="shared" si="47"/>
        <v>5.9143712663430201E-2</v>
      </c>
      <c r="Q73" s="3">
        <f t="shared" si="48"/>
        <v>0.19747473822793074</v>
      </c>
      <c r="R73" s="3">
        <f t="shared" si="49"/>
        <v>0.74049027923515132</v>
      </c>
      <c r="S73" s="3">
        <f t="shared" si="50"/>
        <v>1.2536115531116814E-3</v>
      </c>
      <c r="T73" s="4">
        <f t="shared" si="51"/>
        <v>0.18701225119696929</v>
      </c>
      <c r="U73" s="5">
        <f t="shared" si="52"/>
        <v>0.62441456052474453</v>
      </c>
      <c r="V73" s="5"/>
      <c r="W73" s="3">
        <f t="shared" si="43"/>
        <v>0.81142681172171383</v>
      </c>
      <c r="X73" s="3">
        <f t="shared" si="44"/>
        <v>0.21053529135024834</v>
      </c>
      <c r="Y73">
        <f t="shared" ref="Y73" si="55">+SUM(J73:L73)</f>
        <v>101.94145875738407</v>
      </c>
    </row>
    <row r="74" spans="1:25" ht="15.6">
      <c r="A74" s="1" t="s">
        <v>23</v>
      </c>
      <c r="B74" s="1">
        <v>60</v>
      </c>
      <c r="C74" s="2">
        <f>+'Flow rate'!E73</f>
        <v>12.164301999999999</v>
      </c>
      <c r="D74" s="1" t="s">
        <v>25</v>
      </c>
      <c r="E74" s="1" t="s">
        <v>26</v>
      </c>
      <c r="F74" s="1" t="s">
        <v>24</v>
      </c>
      <c r="G74" s="1">
        <v>-0.5</v>
      </c>
      <c r="H74" s="13">
        <v>45409.921527777777</v>
      </c>
      <c r="I74" s="2">
        <f t="shared" si="46"/>
        <v>32.083333333313931</v>
      </c>
      <c r="J74" s="18">
        <v>8.3033853063631611</v>
      </c>
      <c r="K74" s="18">
        <v>21.617404402278549</v>
      </c>
      <c r="L74" s="18">
        <v>72.08149404896659</v>
      </c>
      <c r="N74" s="18">
        <v>0.14083043814301599</v>
      </c>
      <c r="O74" s="18">
        <v>0.18046378006396144</v>
      </c>
      <c r="P74" s="3">
        <f t="shared" si="47"/>
        <v>8.1148308831867771E-2</v>
      </c>
      <c r="Q74" s="3">
        <f t="shared" si="48"/>
        <v>0.21126513390088783</v>
      </c>
      <c r="R74" s="3">
        <f t="shared" si="49"/>
        <v>0.70444657502109087</v>
      </c>
      <c r="S74" s="3">
        <f t="shared" si="50"/>
        <v>1.3763244105508316E-3</v>
      </c>
      <c r="T74" s="4">
        <f t="shared" si="51"/>
        <v>0.26129369816189024</v>
      </c>
      <c r="U74" s="5">
        <f t="shared" si="52"/>
        <v>0.68026369155769062</v>
      </c>
      <c r="V74" s="5"/>
      <c r="W74" s="3">
        <f t="shared" si="43"/>
        <v>0.94155738971958081</v>
      </c>
      <c r="X74" s="3">
        <f t="shared" si="44"/>
        <v>0.2307114038648688</v>
      </c>
    </row>
    <row r="75" spans="1:25" ht="15.6">
      <c r="A75" s="1" t="s">
        <v>23</v>
      </c>
      <c r="B75" s="1">
        <v>60</v>
      </c>
      <c r="C75" s="2">
        <f>+'Flow rate'!E74</f>
        <v>11.912965</v>
      </c>
      <c r="D75" s="1" t="s">
        <v>25</v>
      </c>
      <c r="E75" s="1" t="s">
        <v>26</v>
      </c>
      <c r="F75" s="1" t="s">
        <v>24</v>
      </c>
      <c r="G75" s="1">
        <v>-0.5</v>
      </c>
      <c r="H75" s="13">
        <v>45409.933333333334</v>
      </c>
      <c r="I75" s="2">
        <f t="shared" si="46"/>
        <v>32.366666666697711</v>
      </c>
      <c r="J75" s="18">
        <v>8.9407246132735061</v>
      </c>
      <c r="K75" s="18">
        <v>21.868394302486735</v>
      </c>
      <c r="L75" s="18">
        <v>71.122982677572111</v>
      </c>
      <c r="N75" s="18">
        <v>0.14934956704481736</v>
      </c>
      <c r="O75" s="18">
        <v>0.20558958309962366</v>
      </c>
      <c r="P75" s="3">
        <f t="shared" si="47"/>
        <v>8.740818532130315E-2</v>
      </c>
      <c r="Q75" s="3">
        <f t="shared" si="48"/>
        <v>0.21379437848172725</v>
      </c>
      <c r="R75" s="3">
        <f t="shared" si="49"/>
        <v>0.69532740570664986</v>
      </c>
      <c r="S75" s="3">
        <f t="shared" si="50"/>
        <v>1.4601025306750983E-3</v>
      </c>
      <c r="T75" s="4">
        <f t="shared" si="51"/>
        <v>0.27563492071679402</v>
      </c>
      <c r="U75" s="5">
        <f t="shared" si="52"/>
        <v>0.67418396052829277</v>
      </c>
      <c r="V75" s="5"/>
      <c r="W75" s="3">
        <f t="shared" si="43"/>
        <v>0.94981888124508673</v>
      </c>
      <c r="X75" s="3">
        <f t="shared" si="44"/>
        <v>0.23516582948520284</v>
      </c>
      <c r="Y75">
        <f t="shared" ref="Y75" si="56">+SUM(J75:L75)</f>
        <v>101.93210159333235</v>
      </c>
    </row>
    <row r="76" spans="1:25" ht="15.6">
      <c r="A76" s="1" t="s">
        <v>23</v>
      </c>
      <c r="B76" s="1">
        <v>60</v>
      </c>
      <c r="C76" s="2">
        <f>+'Flow rate'!E75</f>
        <v>11.717135000000001</v>
      </c>
      <c r="D76" s="1" t="s">
        <v>25</v>
      </c>
      <c r="E76" s="1" t="s">
        <v>26</v>
      </c>
      <c r="F76" s="1" t="s">
        <v>24</v>
      </c>
      <c r="G76" s="1">
        <v>-0.5</v>
      </c>
      <c r="H76" s="13">
        <v>45409.958333333336</v>
      </c>
      <c r="I76" s="2">
        <f t="shared" si="46"/>
        <v>32.966666666732635</v>
      </c>
      <c r="J76" s="18">
        <v>9.8477914413344969</v>
      </c>
      <c r="K76" s="18">
        <v>22.032709874169804</v>
      </c>
      <c r="L76" s="18">
        <v>70.066125568197762</v>
      </c>
      <c r="N76" s="18">
        <v>0.1477951293575552</v>
      </c>
      <c r="O76" s="18">
        <v>0.18955578315691024</v>
      </c>
      <c r="P76" s="3">
        <f t="shared" si="47"/>
        <v>9.627892514069554E-2</v>
      </c>
      <c r="Q76" s="3">
        <f t="shared" si="48"/>
        <v>0.2154072450923471</v>
      </c>
      <c r="R76" s="3">
        <f t="shared" si="49"/>
        <v>0.68501565032788059</v>
      </c>
      <c r="S76" s="3">
        <f t="shared" si="50"/>
        <v>1.4449489797122665E-3</v>
      </c>
      <c r="T76" s="4">
        <f t="shared" si="51"/>
        <v>0.2986172800632097</v>
      </c>
      <c r="U76" s="5">
        <f t="shared" si="52"/>
        <v>0.66810390271169573</v>
      </c>
      <c r="V76" s="5"/>
      <c r="W76" s="3">
        <f t="shared" si="43"/>
        <v>0.96672118277490537</v>
      </c>
      <c r="X76" s="3">
        <f t="shared" si="44"/>
        <v>0.23922897361668757</v>
      </c>
    </row>
    <row r="77" spans="1:25" ht="15.6">
      <c r="A77" s="1" t="s">
        <v>23</v>
      </c>
      <c r="B77" s="1">
        <v>60</v>
      </c>
      <c r="C77" s="2">
        <f>+'Flow rate'!E76</f>
        <v>11.429553</v>
      </c>
      <c r="D77" s="1" t="s">
        <v>25</v>
      </c>
      <c r="E77" s="1" t="s">
        <v>26</v>
      </c>
      <c r="F77" s="1" t="s">
        <v>24</v>
      </c>
      <c r="G77" s="1">
        <v>-0.5</v>
      </c>
      <c r="H77" s="13">
        <v>45409.98333333333</v>
      </c>
      <c r="I77" s="2">
        <f t="shared" si="46"/>
        <v>33.566666666592937</v>
      </c>
      <c r="J77" s="18">
        <v>10.405563457260362</v>
      </c>
      <c r="K77" s="18">
        <v>21.977273683456147</v>
      </c>
      <c r="L77" s="18">
        <v>69.621507351442247</v>
      </c>
      <c r="N77" s="18">
        <v>0.14794425175373374</v>
      </c>
      <c r="O77" s="18">
        <v>0.18661222535858821</v>
      </c>
      <c r="P77" s="3">
        <f t="shared" si="47"/>
        <v>0.10167749857295029</v>
      </c>
      <c r="Q77" s="3">
        <f t="shared" si="48"/>
        <v>0.21474994821426879</v>
      </c>
      <c r="R77" s="3">
        <f t="shared" si="49"/>
        <v>0.68030344953916633</v>
      </c>
      <c r="S77" s="3">
        <f t="shared" si="50"/>
        <v>1.4456306482923478E-3</v>
      </c>
      <c r="T77" s="4">
        <f t="shared" si="51"/>
        <v>0.30762127490630703</v>
      </c>
      <c r="U77" s="5">
        <f t="shared" si="52"/>
        <v>0.64971752632505697</v>
      </c>
      <c r="V77" s="5"/>
      <c r="W77" s="3">
        <f t="shared" si="43"/>
        <v>0.95733880123136395</v>
      </c>
      <c r="X77" s="3">
        <f t="shared" si="44"/>
        <v>0.23992976145701092</v>
      </c>
      <c r="Y77">
        <f t="shared" ref="Y77" si="57">+SUM(J77:L77)</f>
        <v>102.00434449215876</v>
      </c>
    </row>
    <row r="78" spans="1:25" ht="15.6">
      <c r="A78" s="1" t="s">
        <v>23</v>
      </c>
      <c r="B78" s="1">
        <v>60</v>
      </c>
      <c r="C78" s="2">
        <f>+'Flow rate'!E77</f>
        <v>11.669039</v>
      </c>
      <c r="D78" s="1" t="s">
        <v>25</v>
      </c>
      <c r="E78" s="1" t="s">
        <v>26</v>
      </c>
      <c r="F78" s="1" t="s">
        <v>24</v>
      </c>
      <c r="G78" s="1">
        <v>-0.5</v>
      </c>
      <c r="H78" s="13">
        <v>45409.995138888888</v>
      </c>
      <c r="I78" s="2">
        <f t="shared" si="46"/>
        <v>33.849999999976717</v>
      </c>
      <c r="J78" s="18">
        <v>10.564095136237668</v>
      </c>
      <c r="K78" s="18">
        <v>21.936597469129978</v>
      </c>
      <c r="L78" s="18">
        <v>69.440417370167665</v>
      </c>
      <c r="N78" s="18">
        <v>0.15340686971560061</v>
      </c>
      <c r="O78" s="18">
        <v>0.2083875546264321</v>
      </c>
      <c r="P78" s="3">
        <f t="shared" si="47"/>
        <v>0.10326290537114345</v>
      </c>
      <c r="Q78" s="3">
        <f t="shared" si="48"/>
        <v>0.21442790503175863</v>
      </c>
      <c r="R78" s="3">
        <f t="shared" si="49"/>
        <v>0.67877268761346066</v>
      </c>
      <c r="S78" s="3">
        <f t="shared" si="50"/>
        <v>1.4995358207619425E-3</v>
      </c>
      <c r="T78" s="4">
        <f t="shared" si="51"/>
        <v>0.31896402270168905</v>
      </c>
      <c r="U78" s="5">
        <f t="shared" si="52"/>
        <v>0.66233645976358735</v>
      </c>
      <c r="V78" s="5"/>
      <c r="W78" s="3">
        <f t="shared" si="43"/>
        <v>0.98130048246527646</v>
      </c>
      <c r="X78" s="3">
        <f t="shared" si="44"/>
        <v>0.24006690859522273</v>
      </c>
    </row>
    <row r="79" spans="1:25" ht="15.6">
      <c r="A79" s="1" t="s">
        <v>23</v>
      </c>
      <c r="B79" s="1">
        <v>60</v>
      </c>
      <c r="C79" s="2">
        <f>+'Flow rate'!E78</f>
        <v>11.606267000000001</v>
      </c>
      <c r="D79" s="1" t="s">
        <v>25</v>
      </c>
      <c r="E79" s="1" t="s">
        <v>26</v>
      </c>
      <c r="F79" s="1" t="s">
        <v>24</v>
      </c>
      <c r="G79" s="1">
        <v>-0.5</v>
      </c>
      <c r="H79" s="13">
        <v>45410.020138888889</v>
      </c>
      <c r="I79" s="2">
        <f t="shared" si="46"/>
        <v>34.450000000011642</v>
      </c>
      <c r="J79" s="18">
        <v>10.898840756993479</v>
      </c>
      <c r="K79" s="18">
        <v>21.973493878199424</v>
      </c>
      <c r="L79" s="18">
        <v>69.049965742289984</v>
      </c>
      <c r="N79" s="18">
        <v>0.15422271541005492</v>
      </c>
      <c r="O79" s="18">
        <v>0.19789457624707543</v>
      </c>
      <c r="P79" s="3">
        <f t="shared" si="47"/>
        <v>0.10656468162205986</v>
      </c>
      <c r="Q79" s="3">
        <f t="shared" si="48"/>
        <v>0.21484838905936535</v>
      </c>
      <c r="R79" s="3">
        <f t="shared" si="49"/>
        <v>0.67514406159385953</v>
      </c>
      <c r="S79" s="3">
        <f t="shared" si="50"/>
        <v>1.507930516006151E-3</v>
      </c>
      <c r="T79" s="4">
        <f t="shared" si="51"/>
        <v>0.32739204109322961</v>
      </c>
      <c r="U79" s="5">
        <f t="shared" si="52"/>
        <v>0.66006533824408253</v>
      </c>
      <c r="V79" s="5"/>
      <c r="W79" s="3">
        <f t="shared" si="43"/>
        <v>0.98745737933731215</v>
      </c>
      <c r="X79" s="3">
        <f t="shared" si="44"/>
        <v>0.24140473203078719</v>
      </c>
      <c r="Y79">
        <f t="shared" ref="Y79" si="58">+SUM(J79:L79)</f>
        <v>101.92230037748288</v>
      </c>
    </row>
    <row r="80" spans="1:25" ht="15.6">
      <c r="A80" s="1" t="s">
        <v>23</v>
      </c>
      <c r="B80" s="1">
        <v>60</v>
      </c>
      <c r="C80" s="2">
        <f>+'Flow rate'!E79</f>
        <v>11.596106000000001</v>
      </c>
      <c r="D80" s="1" t="s">
        <v>25</v>
      </c>
      <c r="E80" s="1" t="s">
        <v>26</v>
      </c>
      <c r="F80" s="1" t="s">
        <v>24</v>
      </c>
      <c r="G80" s="1">
        <v>-0.5</v>
      </c>
      <c r="H80" s="13">
        <v>45410.045138888891</v>
      </c>
      <c r="I80" s="2">
        <f t="shared" si="46"/>
        <v>35.050000000046566</v>
      </c>
      <c r="J80" s="18">
        <v>11.112512758024199</v>
      </c>
      <c r="K80" s="18">
        <v>22.115069903306807</v>
      </c>
      <c r="L80" s="18">
        <v>68.760531471410758</v>
      </c>
      <c r="N80" s="18">
        <v>0.15144148745921115</v>
      </c>
      <c r="O80" s="18">
        <v>0.19279144974437887</v>
      </c>
      <c r="P80" s="3">
        <f t="shared" si="47"/>
        <v>0.10859237646947222</v>
      </c>
      <c r="Q80" s="3">
        <f t="shared" si="48"/>
        <v>0.21611025776816101</v>
      </c>
      <c r="R80" s="3">
        <f t="shared" si="49"/>
        <v>0.67193349356496368</v>
      </c>
      <c r="S80" s="3">
        <f t="shared" si="50"/>
        <v>1.4798985051686455E-3</v>
      </c>
      <c r="T80" s="4">
        <f t="shared" si="51"/>
        <v>0.33332952434404367</v>
      </c>
      <c r="U80" s="5">
        <f t="shared" si="52"/>
        <v>0.66336083406352853</v>
      </c>
      <c r="V80" s="5"/>
      <c r="W80" s="3">
        <f t="shared" si="43"/>
        <v>0.99669035840757214</v>
      </c>
      <c r="X80" s="3">
        <f t="shared" si="44"/>
        <v>0.24335541739214753</v>
      </c>
    </row>
    <row r="81" spans="1:25" ht="15.6">
      <c r="A81" s="1" t="s">
        <v>23</v>
      </c>
      <c r="B81" s="1">
        <v>60</v>
      </c>
      <c r="C81" s="2">
        <f>+'Flow rate'!E80</f>
        <v>11.508274999999999</v>
      </c>
      <c r="D81" s="1" t="s">
        <v>25</v>
      </c>
      <c r="E81" s="1" t="s">
        <v>26</v>
      </c>
      <c r="F81" s="1" t="s">
        <v>24</v>
      </c>
      <c r="G81" s="1">
        <v>-0.5</v>
      </c>
      <c r="H81" s="13">
        <v>45410.383333333331</v>
      </c>
      <c r="I81" s="2">
        <f t="shared" si="46"/>
        <v>43.166666666627862</v>
      </c>
      <c r="J81" s="18">
        <v>11.768705434266369</v>
      </c>
      <c r="K81" s="18">
        <v>22.705174802032971</v>
      </c>
      <c r="L81" s="18">
        <v>68.583507967577944</v>
      </c>
      <c r="N81" s="18">
        <v>0.14999022701263268</v>
      </c>
      <c r="O81" s="18">
        <v>0.17381456012640276</v>
      </c>
      <c r="P81" s="3">
        <f t="shared" si="47"/>
        <v>0.11383797278571793</v>
      </c>
      <c r="Q81" s="3">
        <f t="shared" si="48"/>
        <v>0.21962577665365129</v>
      </c>
      <c r="R81" s="3">
        <f t="shared" si="49"/>
        <v>0.6634041065238796</v>
      </c>
      <c r="S81" s="3">
        <f t="shared" si="50"/>
        <v>1.4508463548652086E-3</v>
      </c>
      <c r="T81" s="4">
        <f t="shared" si="51"/>
        <v>0.34678448013360746</v>
      </c>
      <c r="U81" s="5">
        <f t="shared" si="52"/>
        <v>0.66904574033605446</v>
      </c>
      <c r="V81" s="5"/>
      <c r="W81" s="3">
        <f t="shared" si="43"/>
        <v>1.0158302204696619</v>
      </c>
      <c r="X81" s="3">
        <f t="shared" si="44"/>
        <v>0.24871839655453212</v>
      </c>
      <c r="Y81">
        <f t="shared" ref="Y81" si="59">+SUM(J81:L81)</f>
        <v>103.05738820387728</v>
      </c>
    </row>
    <row r="82" spans="1:25" ht="15.6">
      <c r="A82" s="1" t="s">
        <v>23</v>
      </c>
      <c r="B82" s="1">
        <v>60</v>
      </c>
      <c r="C82" s="2">
        <f>+'Flow rate'!E81</f>
        <v>10.905459</v>
      </c>
      <c r="D82" s="1" t="s">
        <v>25</v>
      </c>
      <c r="E82" s="1" t="s">
        <v>26</v>
      </c>
      <c r="F82" s="1" t="s">
        <v>24</v>
      </c>
      <c r="G82" s="1">
        <v>-0.5</v>
      </c>
      <c r="H82" s="13">
        <v>45410.408333333333</v>
      </c>
      <c r="I82" s="2">
        <f t="shared" si="46"/>
        <v>43.766666666662786</v>
      </c>
      <c r="J82" s="18">
        <v>11.764339086460989</v>
      </c>
      <c r="K82" s="18">
        <v>22.769076283215178</v>
      </c>
      <c r="L82" s="18">
        <v>67.87311444240909</v>
      </c>
      <c r="N82" s="18">
        <v>0.16100148404391509</v>
      </c>
      <c r="O82" s="18">
        <v>0.20528424983404511</v>
      </c>
      <c r="P82" s="3">
        <f t="shared" si="47"/>
        <v>0.1144693664756086</v>
      </c>
      <c r="Q82" s="3">
        <f t="shared" si="48"/>
        <v>0.22154765501225498</v>
      </c>
      <c r="R82" s="3">
        <f t="shared" si="49"/>
        <v>0.66041894524193612</v>
      </c>
      <c r="S82" s="3">
        <f t="shared" si="50"/>
        <v>1.5665765619889062E-3</v>
      </c>
      <c r="T82" s="4">
        <f t="shared" si="51"/>
        <v>0.33044219404892883</v>
      </c>
      <c r="U82" s="5">
        <f t="shared" si="52"/>
        <v>0.63954833911170594</v>
      </c>
      <c r="V82" s="5"/>
      <c r="W82" s="3">
        <f t="shared" si="43"/>
        <v>0.96999053316063477</v>
      </c>
      <c r="X82" s="3">
        <f t="shared" si="44"/>
        <v>0.25119732986306159</v>
      </c>
    </row>
    <row r="83" spans="1:25" ht="15.6">
      <c r="A83" s="1" t="s">
        <v>23</v>
      </c>
      <c r="B83" s="1">
        <v>60</v>
      </c>
      <c r="C83" s="2">
        <f>+'Flow rate'!E82</f>
        <v>11.525463999999999</v>
      </c>
      <c r="D83" s="1" t="s">
        <v>25</v>
      </c>
      <c r="E83" s="1" t="s">
        <v>26</v>
      </c>
      <c r="F83" s="1" t="s">
        <v>24</v>
      </c>
      <c r="G83" s="1">
        <v>-0.5</v>
      </c>
      <c r="H83" s="13">
        <v>45410.420138888891</v>
      </c>
      <c r="I83" s="2">
        <f t="shared" si="46"/>
        <v>44.050000000046566</v>
      </c>
      <c r="J83" s="18">
        <v>11.712633287325341</v>
      </c>
      <c r="K83" s="18">
        <v>22.832117999136543</v>
      </c>
      <c r="L83" s="18">
        <v>67.615112377217216</v>
      </c>
      <c r="N83" s="18">
        <v>0.16872768814563743</v>
      </c>
      <c r="O83" s="18">
        <v>0.23250665902257475</v>
      </c>
      <c r="P83" s="3">
        <f t="shared" si="47"/>
        <v>0.11420152001577208</v>
      </c>
      <c r="Q83" s="3">
        <f t="shared" si="48"/>
        <v>0.22261967200001817</v>
      </c>
      <c r="R83" s="3">
        <f t="shared" si="49"/>
        <v>0.65926665849527033</v>
      </c>
      <c r="S83" s="3">
        <f t="shared" si="50"/>
        <v>1.6451431528920651E-3</v>
      </c>
      <c r="T83" s="4">
        <f t="shared" si="51"/>
        <v>0.348411572316011</v>
      </c>
      <c r="U83" s="5">
        <f t="shared" si="52"/>
        <v>0.67917896311090187</v>
      </c>
      <c r="V83" s="5"/>
      <c r="W83" s="3">
        <f t="shared" si="43"/>
        <v>1.0275905354269128</v>
      </c>
      <c r="X83" s="3">
        <f t="shared" si="44"/>
        <v>0.25243578940042039</v>
      </c>
      <c r="Y83">
        <f t="shared" ref="Y83" si="60">+SUM(J83:L83)</f>
        <v>102.15986366367909</v>
      </c>
    </row>
    <row r="84" spans="1:25" ht="15.6">
      <c r="A84" s="1" t="s">
        <v>23</v>
      </c>
      <c r="B84" s="1">
        <v>60</v>
      </c>
      <c r="C84" s="2">
        <f>+'Flow rate'!E83</f>
        <v>9.6095900000000007</v>
      </c>
      <c r="D84" s="1" t="s">
        <v>25</v>
      </c>
      <c r="E84" s="1" t="s">
        <v>26</v>
      </c>
      <c r="F84" s="1" t="s">
        <v>24</v>
      </c>
      <c r="G84" s="1">
        <v>-0.5</v>
      </c>
      <c r="H84" s="13">
        <v>45410.445138888892</v>
      </c>
      <c r="I84" s="2">
        <f t="shared" si="46"/>
        <v>44.650000000081491</v>
      </c>
      <c r="J84" s="18">
        <v>11.932941558696006</v>
      </c>
      <c r="K84" s="18">
        <v>22.969817680399565</v>
      </c>
      <c r="L84" s="18">
        <v>67.243159314187722</v>
      </c>
      <c r="N84" s="18">
        <v>0.16774376479526001</v>
      </c>
      <c r="O84" s="18">
        <v>0.22199518978236779</v>
      </c>
      <c r="P84" s="3">
        <f t="shared" si="47"/>
        <v>0.11637845651676018</v>
      </c>
      <c r="Q84" s="3">
        <f t="shared" si="48"/>
        <v>0.22401785133760496</v>
      </c>
      <c r="R84" s="3">
        <f t="shared" si="49"/>
        <v>0.65580268316934043</v>
      </c>
      <c r="S84" s="3">
        <f t="shared" si="50"/>
        <v>1.6359554214825209E-3</v>
      </c>
      <c r="T84" s="4">
        <f t="shared" si="51"/>
        <v>0.29603272311455109</v>
      </c>
      <c r="U84" s="5">
        <f t="shared" si="52"/>
        <v>0.56983583167036855</v>
      </c>
      <c r="V84" s="5"/>
      <c r="W84" s="3">
        <f t="shared" si="43"/>
        <v>0.86586855478491964</v>
      </c>
      <c r="X84" s="3">
        <f t="shared" si="44"/>
        <v>0.25461766638936811</v>
      </c>
    </row>
    <row r="85" spans="1:25" ht="15.6">
      <c r="A85" s="1" t="s">
        <v>23</v>
      </c>
      <c r="B85" s="1">
        <v>60</v>
      </c>
      <c r="C85" s="2">
        <f>+'Flow rate'!E84</f>
        <v>9.5416070000000008</v>
      </c>
      <c r="D85" s="1" t="s">
        <v>25</v>
      </c>
      <c r="E85" s="1" t="s">
        <v>26</v>
      </c>
      <c r="F85" s="1" t="s">
        <v>24</v>
      </c>
      <c r="G85" s="1">
        <v>-0.5</v>
      </c>
      <c r="H85" s="13">
        <v>45410.470138888886</v>
      </c>
      <c r="I85" s="2">
        <f t="shared" si="46"/>
        <v>45.249999999941792</v>
      </c>
      <c r="J85" s="18">
        <v>14.281910892470854</v>
      </c>
      <c r="K85" s="18">
        <v>23.119881028301275</v>
      </c>
      <c r="L85" s="18">
        <v>64.729973309619766</v>
      </c>
      <c r="N85" s="18">
        <v>0.17940132785390134</v>
      </c>
      <c r="O85" s="18">
        <v>0.23712469300483385</v>
      </c>
      <c r="P85" s="3">
        <f t="shared" si="47"/>
        <v>0.13927010112220353</v>
      </c>
      <c r="Q85" s="3">
        <f t="shared" si="48"/>
        <v>0.22545359602000506</v>
      </c>
      <c r="R85" s="3">
        <f t="shared" si="49"/>
        <v>0.6312145479930692</v>
      </c>
      <c r="S85" s="3">
        <f t="shared" si="50"/>
        <v>1.7494326396366303E-3</v>
      </c>
      <c r="T85" s="4">
        <f t="shared" si="51"/>
        <v>0.35175613790425792</v>
      </c>
      <c r="U85" s="5">
        <f t="shared" si="52"/>
        <v>0.5694308080026258</v>
      </c>
      <c r="V85" s="5"/>
      <c r="W85" s="3">
        <f t="shared" si="43"/>
        <v>0.92118694590688377</v>
      </c>
      <c r="X85" s="3">
        <f t="shared" si="44"/>
        <v>0.2631749500616008</v>
      </c>
      <c r="Y85">
        <f t="shared" ref="Y85" si="61">+SUM(J85:L85)</f>
        <v>102.13176523039189</v>
      </c>
    </row>
    <row r="86" spans="1:25" ht="15.6">
      <c r="A86" s="1" t="s">
        <v>23</v>
      </c>
      <c r="B86" s="1">
        <v>60</v>
      </c>
      <c r="C86" s="2">
        <f>+'Flow rate'!E85</f>
        <v>9.7184519999999992</v>
      </c>
      <c r="D86" s="1" t="s">
        <v>25</v>
      </c>
      <c r="E86" s="1" t="s">
        <v>26</v>
      </c>
      <c r="F86" s="1" t="s">
        <v>24</v>
      </c>
      <c r="G86" s="1">
        <v>-0.5</v>
      </c>
      <c r="H86" s="13">
        <v>45410.481944444444</v>
      </c>
      <c r="I86" s="2">
        <f t="shared" si="46"/>
        <v>45.533333333325572</v>
      </c>
      <c r="J86" s="18">
        <v>15.102751749144156</v>
      </c>
      <c r="K86" s="18">
        <v>23.162103037328681</v>
      </c>
      <c r="L86" s="18">
        <v>63.659943516909898</v>
      </c>
      <c r="N86" s="18">
        <v>0.20109459569054919</v>
      </c>
      <c r="O86" s="18">
        <v>0.32069027660758331</v>
      </c>
      <c r="P86" s="3">
        <f t="shared" si="47"/>
        <v>0.1474207463146443</v>
      </c>
      <c r="Q86" s="3">
        <f t="shared" si="48"/>
        <v>0.2260895612068298</v>
      </c>
      <c r="R86" s="3">
        <f t="shared" si="49"/>
        <v>0.62139645406955568</v>
      </c>
      <c r="S86" s="3">
        <f t="shared" si="50"/>
        <v>1.9629214509350834E-3</v>
      </c>
      <c r="T86" s="4">
        <f t="shared" si="51"/>
        <v>0.37924334458321296</v>
      </c>
      <c r="U86" s="5">
        <f t="shared" si="52"/>
        <v>0.58162072510761487</v>
      </c>
      <c r="V86" s="5"/>
      <c r="W86" s="3">
        <f t="shared" si="43"/>
        <v>0.96086406969082783</v>
      </c>
      <c r="X86" s="3">
        <f t="shared" si="44"/>
        <v>0.26677674572965854</v>
      </c>
    </row>
    <row r="87" spans="1:25" ht="15.6">
      <c r="A87" s="1" t="s">
        <v>23</v>
      </c>
      <c r="B87" s="1">
        <v>60</v>
      </c>
      <c r="C87" s="2">
        <f>+'Flow rate'!E86</f>
        <v>9.7096090000000004</v>
      </c>
      <c r="D87" s="1" t="s">
        <v>25</v>
      </c>
      <c r="E87" s="1" t="s">
        <v>26</v>
      </c>
      <c r="F87" s="1" t="s">
        <v>24</v>
      </c>
      <c r="G87" s="1">
        <v>-0.5</v>
      </c>
      <c r="H87" s="13">
        <v>45410.506944444445</v>
      </c>
      <c r="I87" s="2">
        <f t="shared" si="46"/>
        <v>46.133333333360497</v>
      </c>
      <c r="J87" s="18">
        <v>16.286781657161086</v>
      </c>
      <c r="K87" s="18">
        <v>23.338539751881545</v>
      </c>
      <c r="L87" s="18">
        <v>62.374954460876452</v>
      </c>
      <c r="N87" s="18">
        <v>0.19009485392225095</v>
      </c>
      <c r="O87" s="18">
        <v>0.26353689820808301</v>
      </c>
      <c r="P87" s="3">
        <f t="shared" si="47"/>
        <v>0.15896691532003568</v>
      </c>
      <c r="Q87" s="3">
        <f t="shared" si="48"/>
        <v>0.22779550622878134</v>
      </c>
      <c r="R87" s="3">
        <f t="shared" si="49"/>
        <v>0.60880991177980748</v>
      </c>
      <c r="S87" s="3">
        <f t="shared" si="50"/>
        <v>1.8554182884220228E-3</v>
      </c>
      <c r="T87" s="4">
        <f t="shared" si="51"/>
        <v>0.40857402880538385</v>
      </c>
      <c r="U87" s="5">
        <f t="shared" si="52"/>
        <v>0.58547608812992247</v>
      </c>
      <c r="V87" s="5"/>
      <c r="W87" s="3">
        <f t="shared" si="43"/>
        <v>0.99405011693530632</v>
      </c>
      <c r="X87" s="3">
        <f t="shared" si="44"/>
        <v>0.27228547810629017</v>
      </c>
      <c r="Y87">
        <f t="shared" ref="Y87" si="62">+SUM(J87:L87)</f>
        <v>102.00027586991908</v>
      </c>
    </row>
    <row r="88" spans="1:25" ht="15.6">
      <c r="A88" s="1" t="s">
        <v>23</v>
      </c>
      <c r="B88" s="1">
        <v>60</v>
      </c>
      <c r="C88" s="2">
        <f>+'Flow rate'!E87</f>
        <v>9.6290739999999992</v>
      </c>
      <c r="D88" s="1" t="s">
        <v>25</v>
      </c>
      <c r="E88" s="1" t="s">
        <v>26</v>
      </c>
      <c r="F88" s="1" t="s">
        <v>24</v>
      </c>
      <c r="G88" s="1">
        <v>-0.5</v>
      </c>
      <c r="H88" s="13">
        <v>45410.531944444447</v>
      </c>
      <c r="I88" s="2">
        <f t="shared" si="46"/>
        <v>46.733333333395422</v>
      </c>
      <c r="J88" s="18">
        <v>16.838078610621267</v>
      </c>
      <c r="K88" s="18">
        <v>23.567375728095865</v>
      </c>
      <c r="L88" s="18">
        <v>61.47055154777965</v>
      </c>
      <c r="N88" s="18">
        <v>0.19207817316728459</v>
      </c>
      <c r="O88" s="18">
        <v>0.25365786322129935</v>
      </c>
      <c r="P88" s="3">
        <f t="shared" si="47"/>
        <v>0.16456012470263906</v>
      </c>
      <c r="Q88" s="3">
        <f t="shared" si="48"/>
        <v>0.23032617785042581</v>
      </c>
      <c r="R88" s="3">
        <f t="shared" si="49"/>
        <v>0.60075747727307893</v>
      </c>
      <c r="S88" s="3">
        <f t="shared" si="50"/>
        <v>1.8771980378524443E-3</v>
      </c>
      <c r="T88" s="4">
        <f t="shared" si="51"/>
        <v>0.41944150269707131</v>
      </c>
      <c r="U88" s="5">
        <f t="shared" si="52"/>
        <v>0.58707027794629629</v>
      </c>
      <c r="V88" s="5"/>
      <c r="W88" s="3">
        <f t="shared" si="43"/>
        <v>1.0065117806433677</v>
      </c>
      <c r="X88" s="3">
        <f t="shared" si="44"/>
        <v>0.27713958327840987</v>
      </c>
    </row>
    <row r="89" spans="1:25" ht="15.6">
      <c r="A89" s="1" t="s">
        <v>23</v>
      </c>
      <c r="B89" s="1">
        <v>60</v>
      </c>
      <c r="C89" s="2">
        <f>+'Flow rate'!E88</f>
        <v>9.2141269999999995</v>
      </c>
      <c r="D89" s="1" t="s">
        <v>25</v>
      </c>
      <c r="E89" s="1" t="s">
        <v>26</v>
      </c>
      <c r="F89" s="1" t="s">
        <v>24</v>
      </c>
      <c r="G89" s="1">
        <v>-0.5</v>
      </c>
      <c r="H89" s="13">
        <v>45410.556944444441</v>
      </c>
      <c r="I89" s="2">
        <f t="shared" si="46"/>
        <v>47.333333333255723</v>
      </c>
      <c r="J89" s="18">
        <v>17.182767793308034</v>
      </c>
      <c r="K89" s="18">
        <v>23.746379797247183</v>
      </c>
      <c r="L89" s="18">
        <v>61.037530152186058</v>
      </c>
      <c r="N89" s="18">
        <v>0.19387217846390645</v>
      </c>
      <c r="O89" s="18">
        <v>0.26132326129033251</v>
      </c>
      <c r="P89" s="3">
        <f t="shared" si="47"/>
        <v>0.16776463131748962</v>
      </c>
      <c r="Q89" s="3">
        <f t="shared" si="48"/>
        <v>0.23184871609344457</v>
      </c>
      <c r="R89" s="3">
        <f t="shared" si="49"/>
        <v>0.59594233395272178</v>
      </c>
      <c r="S89" s="3">
        <f t="shared" si="50"/>
        <v>1.89287866390087E-3</v>
      </c>
      <c r="T89" s="4">
        <f t="shared" si="51"/>
        <v>0.4091823283147607</v>
      </c>
      <c r="U89" s="5">
        <f t="shared" si="52"/>
        <v>0.56548508897783079</v>
      </c>
      <c r="V89" s="5"/>
      <c r="W89" s="3">
        <f t="shared" si="43"/>
        <v>0.97466741729259154</v>
      </c>
      <c r="X89" s="3">
        <f t="shared" si="44"/>
        <v>0.28008120658047009</v>
      </c>
      <c r="Y89">
        <f t="shared" ref="Y89" si="63">+SUM(J89:L89)</f>
        <v>101.96667774274127</v>
      </c>
    </row>
    <row r="90" spans="1:25" ht="15.6">
      <c r="A90" s="1" t="s">
        <v>23</v>
      </c>
      <c r="B90" s="1">
        <v>60</v>
      </c>
      <c r="C90" s="2">
        <f>+'Flow rate'!E89</f>
        <v>9.1278129999999997</v>
      </c>
      <c r="D90" s="1" t="s">
        <v>25</v>
      </c>
      <c r="E90" s="1" t="s">
        <v>26</v>
      </c>
      <c r="F90" s="1" t="s">
        <v>24</v>
      </c>
      <c r="G90" s="1">
        <v>-0.5</v>
      </c>
      <c r="H90" s="13">
        <v>45410.568749999999</v>
      </c>
      <c r="I90" s="2">
        <f t="shared" si="46"/>
        <v>47.616666666639503</v>
      </c>
      <c r="J90" s="18">
        <v>17.190980720032684</v>
      </c>
      <c r="K90" s="18">
        <v>23.847882217365285</v>
      </c>
      <c r="L90" s="18">
        <v>60.80339431757951</v>
      </c>
      <c r="N90" s="18">
        <v>0.21391458277285377</v>
      </c>
      <c r="O90" s="18">
        <v>0.34084859179704746</v>
      </c>
      <c r="P90" s="3">
        <f t="shared" si="47"/>
        <v>0.1678855561218274</v>
      </c>
      <c r="Q90" s="3">
        <f t="shared" si="48"/>
        <v>0.23289625144682247</v>
      </c>
      <c r="R90" s="3">
        <f t="shared" si="49"/>
        <v>0.59380042566193914</v>
      </c>
      <c r="S90" s="3">
        <f t="shared" si="50"/>
        <v>2.0890703838402627E-3</v>
      </c>
      <c r="T90" s="4">
        <f t="shared" si="51"/>
        <v>0.40564145921205952</v>
      </c>
      <c r="U90" s="5">
        <f t="shared" si="52"/>
        <v>0.56271889889892135</v>
      </c>
      <c r="V90" s="5"/>
      <c r="W90" s="3">
        <f t="shared" si="43"/>
        <v>0.96836035811098087</v>
      </c>
      <c r="X90" s="3">
        <f t="shared" si="44"/>
        <v>0.28171910919170445</v>
      </c>
    </row>
    <row r="91" spans="1:25" ht="15.6">
      <c r="A91" s="1" t="s">
        <v>23</v>
      </c>
      <c r="B91" s="1">
        <v>60</v>
      </c>
      <c r="C91" s="2">
        <f>+'Flow rate'!E90</f>
        <v>8.7801869999999997</v>
      </c>
      <c r="D91" s="1" t="s">
        <v>25</v>
      </c>
      <c r="E91" s="1" t="s">
        <v>26</v>
      </c>
      <c r="F91" s="1" t="s">
        <v>24</v>
      </c>
      <c r="G91" s="1">
        <v>-0.5</v>
      </c>
      <c r="H91" s="13">
        <v>45410.717361111114</v>
      </c>
      <c r="I91" s="2">
        <f t="shared" si="46"/>
        <v>51.183333333407063</v>
      </c>
      <c r="J91" s="18">
        <v>17.978464559026627</v>
      </c>
      <c r="K91" s="18">
        <v>24.259398970158063</v>
      </c>
      <c r="L91" s="18">
        <v>60.533907559880269</v>
      </c>
      <c r="N91" s="18">
        <v>0.18567473187621603</v>
      </c>
      <c r="O91" s="18">
        <v>0.20687270840579353</v>
      </c>
      <c r="P91" s="3">
        <f t="shared" si="47"/>
        <v>0.17427018193225716</v>
      </c>
      <c r="Q91" s="3">
        <f t="shared" si="48"/>
        <v>0.23515299975792534</v>
      </c>
      <c r="R91" s="3">
        <f t="shared" si="49"/>
        <v>0.58677174843800561</v>
      </c>
      <c r="S91" s="3">
        <f t="shared" si="50"/>
        <v>1.7997960392032004E-3</v>
      </c>
      <c r="T91" s="4">
        <f t="shared" si="51"/>
        <v>0.40503179689032437</v>
      </c>
      <c r="U91" s="5">
        <f t="shared" si="52"/>
        <v>0.546533210558799</v>
      </c>
      <c r="V91" s="5"/>
      <c r="W91" s="3">
        <f t="shared" si="43"/>
        <v>0.95156500744912331</v>
      </c>
      <c r="X91" s="3">
        <f t="shared" si="44"/>
        <v>0.28610040064381831</v>
      </c>
      <c r="Y91">
        <f t="shared" ref="Y91" si="64">+SUM(J91:L91)</f>
        <v>102.77177108906497</v>
      </c>
    </row>
    <row r="92" spans="1:25" ht="15.6">
      <c r="A92" s="1" t="s">
        <v>23</v>
      </c>
      <c r="B92" s="1">
        <v>60</v>
      </c>
      <c r="C92" s="2">
        <f>+'Flow rate'!E91</f>
        <v>8.8630669999999991</v>
      </c>
      <c r="D92" s="1" t="s">
        <v>25</v>
      </c>
      <c r="E92" s="1" t="s">
        <v>26</v>
      </c>
      <c r="F92" s="1" t="s">
        <v>24</v>
      </c>
      <c r="G92" s="1">
        <v>-0.5</v>
      </c>
      <c r="H92" s="13">
        <v>45410.729166666664</v>
      </c>
      <c r="I92" s="2">
        <f t="shared" si="46"/>
        <v>51.46666666661622</v>
      </c>
      <c r="J92" s="18">
        <v>17.987266653542893</v>
      </c>
      <c r="K92" s="18">
        <v>24.600070190890314</v>
      </c>
      <c r="L92" s="18">
        <v>59.826606434643324</v>
      </c>
      <c r="N92" s="18">
        <v>0.21775179982849099</v>
      </c>
      <c r="O92" s="18">
        <v>0.3205705541351091</v>
      </c>
      <c r="P92" s="3">
        <f t="shared" si="47"/>
        <v>0.17471462665674742</v>
      </c>
      <c r="Q92" s="3">
        <f t="shared" si="48"/>
        <v>0.23894637033607444</v>
      </c>
      <c r="R92" s="3">
        <f t="shared" si="49"/>
        <v>0.5811101491237447</v>
      </c>
      <c r="S92" s="3">
        <f t="shared" si="50"/>
        <v>2.1150753554529706E-3</v>
      </c>
      <c r="T92" s="4">
        <f t="shared" si="51"/>
        <v>0.40989777924680149</v>
      </c>
      <c r="U92" s="5">
        <f t="shared" si="52"/>
        <v>0.56059179722980668</v>
      </c>
      <c r="V92" s="5"/>
      <c r="W92" s="3">
        <f t="shared" si="43"/>
        <v>0.97048957647660816</v>
      </c>
      <c r="X92" s="3">
        <f t="shared" si="44"/>
        <v>0.29137792904014859</v>
      </c>
    </row>
    <row r="93" spans="1:25" ht="15.6">
      <c r="A93" s="1" t="s">
        <v>23</v>
      </c>
      <c r="B93" s="1">
        <v>60</v>
      </c>
      <c r="C93" s="2">
        <f>+'Flow rate'!E92</f>
        <v>9.1218599999999999</v>
      </c>
      <c r="D93" s="1" t="s">
        <v>25</v>
      </c>
      <c r="E93" s="1" t="s">
        <v>26</v>
      </c>
      <c r="F93" s="1" t="s">
        <v>24</v>
      </c>
      <c r="G93" s="1">
        <v>-0.5</v>
      </c>
      <c r="H93" s="13">
        <v>45410.740972222222</v>
      </c>
      <c r="I93" s="2">
        <f t="shared" si="46"/>
        <v>51.75</v>
      </c>
      <c r="J93" s="18">
        <v>17.97202130439263</v>
      </c>
      <c r="K93" s="18">
        <v>24.623454729597274</v>
      </c>
      <c r="L93" s="18">
        <v>59.644368994285934</v>
      </c>
      <c r="N93" s="18">
        <v>0.24110722331192896</v>
      </c>
      <c r="O93" s="18">
        <v>0.41252455187233567</v>
      </c>
      <c r="P93" s="3">
        <f t="shared" si="47"/>
        <v>0.17466628461512212</v>
      </c>
      <c r="Q93" s="3">
        <f t="shared" si="48"/>
        <v>0.23931016323446111</v>
      </c>
      <c r="R93" s="3">
        <f t="shared" si="49"/>
        <v>0.5796710427835422</v>
      </c>
      <c r="S93" s="3">
        <f t="shared" si="50"/>
        <v>2.3432702519371085E-3</v>
      </c>
      <c r="T93" s="4">
        <f t="shared" si="51"/>
        <v>0.42174967186441031</v>
      </c>
      <c r="U93" s="5">
        <f t="shared" si="52"/>
        <v>0.57783895180658296</v>
      </c>
      <c r="V93" s="5"/>
      <c r="W93" s="3">
        <f t="shared" si="43"/>
        <v>0.99958862367099321</v>
      </c>
      <c r="X93" s="3">
        <f t="shared" si="44"/>
        <v>0.29220470686747413</v>
      </c>
      <c r="Y93">
        <f t="shared" ref="Y93" si="65">+SUM(J93:L93)</f>
        <v>102.23984502827584</v>
      </c>
    </row>
    <row r="94" spans="1:25" ht="15.6">
      <c r="A94" s="1" t="s">
        <v>23</v>
      </c>
      <c r="B94" s="1">
        <v>60</v>
      </c>
      <c r="C94" s="2">
        <f>+'Flow rate'!E93</f>
        <v>7.7769550000000001</v>
      </c>
      <c r="D94" s="1" t="s">
        <v>25</v>
      </c>
      <c r="E94" s="1" t="s">
        <v>26</v>
      </c>
      <c r="F94" s="1" t="s">
        <v>24</v>
      </c>
      <c r="G94" s="1">
        <v>-0.5</v>
      </c>
      <c r="H94" s="13">
        <v>45410.765972222223</v>
      </c>
      <c r="I94" s="2">
        <f t="shared" si="46"/>
        <v>52.350000000034925</v>
      </c>
      <c r="J94" s="18">
        <v>19.964234720784134</v>
      </c>
      <c r="K94" s="18">
        <v>24.097968287661125</v>
      </c>
      <c r="L94" s="18">
        <v>58.237802722562492</v>
      </c>
      <c r="N94" s="18">
        <v>0.23278614932234951</v>
      </c>
      <c r="O94" s="18">
        <v>0.34343637607012756</v>
      </c>
      <c r="P94" s="3">
        <f t="shared" si="47"/>
        <v>0.19406071800209199</v>
      </c>
      <c r="Q94" s="3">
        <f t="shared" si="48"/>
        <v>0.23424233854687337</v>
      </c>
      <c r="R94" s="3">
        <f t="shared" si="49"/>
        <v>0.56609581931226516</v>
      </c>
      <c r="S94" s="3">
        <f t="shared" si="50"/>
        <v>2.2627788097185336E-3</v>
      </c>
      <c r="T94" s="4">
        <f t="shared" si="51"/>
        <v>0.39949328928898087</v>
      </c>
      <c r="U94" s="5">
        <f t="shared" si="52"/>
        <v>0.48221115164494388</v>
      </c>
      <c r="V94" s="5"/>
      <c r="W94" s="3">
        <f t="shared" si="43"/>
        <v>0.88170444093392475</v>
      </c>
      <c r="X94" s="3">
        <f t="shared" si="44"/>
        <v>0.2926792084654054</v>
      </c>
    </row>
    <row r="95" spans="1:25" ht="15.6">
      <c r="A95" s="1" t="s">
        <v>23</v>
      </c>
      <c r="B95" s="1">
        <v>60</v>
      </c>
      <c r="C95" s="2">
        <f>+'Flow rate'!E94</f>
        <v>7.5471000000000004</v>
      </c>
      <c r="D95" s="1" t="s">
        <v>25</v>
      </c>
      <c r="E95" s="1" t="s">
        <v>26</v>
      </c>
      <c r="F95" s="1" t="s">
        <v>24</v>
      </c>
      <c r="G95" s="1">
        <v>-0.5</v>
      </c>
      <c r="H95" s="13">
        <v>45410.790972222225</v>
      </c>
      <c r="I95" s="2">
        <f t="shared" si="46"/>
        <v>52.950000000069849</v>
      </c>
      <c r="J95" s="18">
        <v>23.46991754129748</v>
      </c>
      <c r="K95" s="18">
        <v>22.986119246846133</v>
      </c>
      <c r="L95" s="18">
        <v>55.784991432435248</v>
      </c>
      <c r="N95" s="18">
        <v>0.23590199924101554</v>
      </c>
      <c r="O95" s="18">
        <v>0.3366432082917642</v>
      </c>
      <c r="P95" s="3">
        <f t="shared" si="47"/>
        <v>0.22827644987660989</v>
      </c>
      <c r="Q95" s="3">
        <f t="shared" si="48"/>
        <v>0.22357086209943158</v>
      </c>
      <c r="R95" s="3">
        <f t="shared" si="49"/>
        <v>0.54258391739920131</v>
      </c>
      <c r="S95" s="3">
        <f t="shared" si="50"/>
        <v>2.2944635749477253E-3</v>
      </c>
      <c r="T95" s="4">
        <f t="shared" si="51"/>
        <v>0.45604057318636521</v>
      </c>
      <c r="U95" s="5">
        <f t="shared" si="52"/>
        <v>0.4466399585007807</v>
      </c>
      <c r="V95" s="5"/>
      <c r="W95" s="3">
        <f t="shared" si="43"/>
        <v>0.9026805316871459</v>
      </c>
      <c r="X95" s="3">
        <f t="shared" si="44"/>
        <v>0.29180900267402238</v>
      </c>
      <c r="Y95">
        <f t="shared" ref="Y95" si="66">+SUM(J95:L95)</f>
        <v>102.24102822057887</v>
      </c>
    </row>
    <row r="96" spans="1:25" ht="15.6">
      <c r="A96" s="1" t="s">
        <v>23</v>
      </c>
      <c r="B96" s="1">
        <v>60</v>
      </c>
      <c r="C96" s="2">
        <f>+'Flow rate'!E95</f>
        <v>7.594868</v>
      </c>
      <c r="D96" s="1" t="s">
        <v>25</v>
      </c>
      <c r="E96" s="1" t="s">
        <v>26</v>
      </c>
      <c r="F96" s="1" t="s">
        <v>24</v>
      </c>
      <c r="G96" s="1">
        <v>-0.5</v>
      </c>
      <c r="H96" s="13">
        <v>45410.815972222219</v>
      </c>
      <c r="I96" s="2">
        <f t="shared" si="46"/>
        <v>53.549999999930151</v>
      </c>
      <c r="J96" s="18">
        <v>25.736827006731392</v>
      </c>
      <c r="K96" s="18">
        <v>22.613707349452955</v>
      </c>
      <c r="L96" s="18">
        <v>53.894891505114195</v>
      </c>
      <c r="N96" s="18">
        <v>0.24131800953488622</v>
      </c>
      <c r="O96" s="18">
        <v>0.34531471984649043</v>
      </c>
      <c r="P96" s="3">
        <f t="shared" si="47"/>
        <v>0.25028018848845673</v>
      </c>
      <c r="Q96" s="3">
        <f t="shared" si="48"/>
        <v>0.21990911841477545</v>
      </c>
      <c r="R96" s="3">
        <f t="shared" si="49"/>
        <v>0.52410592809039525</v>
      </c>
      <c r="S96" s="3">
        <f t="shared" si="50"/>
        <v>2.3467196207307851E-3</v>
      </c>
      <c r="T96" s="4">
        <f t="shared" si="51"/>
        <v>0.50316331770241085</v>
      </c>
      <c r="U96" s="5">
        <f t="shared" si="52"/>
        <v>0.44210531517836887</v>
      </c>
      <c r="V96" s="5"/>
      <c r="W96" s="3">
        <f t="shared" si="43"/>
        <v>0.94526863288077978</v>
      </c>
      <c r="X96" s="3">
        <f t="shared" si="44"/>
        <v>0.29557079449904261</v>
      </c>
    </row>
    <row r="97" spans="1:25" ht="15.6">
      <c r="A97" s="1" t="s">
        <v>23</v>
      </c>
      <c r="B97" s="1">
        <v>60</v>
      </c>
      <c r="C97" s="2">
        <f>+'Flow rate'!E96</f>
        <v>7.4691869999999998</v>
      </c>
      <c r="D97" s="1" t="s">
        <v>25</v>
      </c>
      <c r="E97" s="1" t="s">
        <v>26</v>
      </c>
      <c r="F97" s="1" t="s">
        <v>24</v>
      </c>
      <c r="G97" s="1">
        <v>-0.5</v>
      </c>
      <c r="H97" s="13">
        <v>45410.84097222222</v>
      </c>
      <c r="I97" s="2">
        <f t="shared" si="46"/>
        <v>54.149999999965075</v>
      </c>
      <c r="J97" s="18">
        <v>27.066288827404207</v>
      </c>
      <c r="K97" s="18">
        <v>22.652561944541905</v>
      </c>
      <c r="L97" s="18">
        <v>52.509778264314313</v>
      </c>
      <c r="N97" s="18">
        <v>0.24874069581474847</v>
      </c>
      <c r="O97" s="18">
        <v>0.36403051382801366</v>
      </c>
      <c r="P97" s="3">
        <f t="shared" si="47"/>
        <v>0.26318475597071062</v>
      </c>
      <c r="Q97" s="3">
        <f t="shared" si="48"/>
        <v>0.22026695368185925</v>
      </c>
      <c r="R97" s="3">
        <f t="shared" si="49"/>
        <v>0.51058988052242227</v>
      </c>
      <c r="S97" s="3">
        <f t="shared" si="50"/>
        <v>2.4186825074336477E-3</v>
      </c>
      <c r="T97" s="4">
        <f t="shared" si="51"/>
        <v>0.52035092618507783</v>
      </c>
      <c r="U97" s="5">
        <f t="shared" si="52"/>
        <v>0.43549677842692586</v>
      </c>
      <c r="V97" s="5"/>
      <c r="W97" s="3">
        <f t="shared" si="43"/>
        <v>0.95584770461200375</v>
      </c>
      <c r="X97" s="3">
        <f t="shared" si="44"/>
        <v>0.30138180745299359</v>
      </c>
      <c r="Y97">
        <f t="shared" ref="Y97" si="67">+SUM(J97:L97)</f>
        <v>102.22862903626043</v>
      </c>
    </row>
    <row r="98" spans="1:25" ht="15.6">
      <c r="A98" s="1" t="s">
        <v>23</v>
      </c>
      <c r="B98" s="1">
        <v>60</v>
      </c>
      <c r="C98" s="2">
        <f>+'Flow rate'!E97</f>
        <v>7.1212739999999997</v>
      </c>
      <c r="D98" s="1" t="s">
        <v>25</v>
      </c>
      <c r="E98" s="1" t="s">
        <v>26</v>
      </c>
      <c r="F98" s="1" t="s">
        <v>24</v>
      </c>
      <c r="G98" s="1">
        <v>-0.5</v>
      </c>
      <c r="H98" s="13">
        <v>45410.865972222222</v>
      </c>
      <c r="I98" s="2">
        <f t="shared" si="46"/>
        <v>54.75</v>
      </c>
      <c r="J98" s="18">
        <v>27.931725709924127</v>
      </c>
      <c r="K98" s="18">
        <v>22.677567120583372</v>
      </c>
      <c r="L98" s="18">
        <v>51.592790034692257</v>
      </c>
      <c r="N98" s="18">
        <v>0.25415457886496234</v>
      </c>
      <c r="O98" s="18">
        <v>0.37638711527710533</v>
      </c>
      <c r="P98" s="3">
        <f t="shared" si="47"/>
        <v>0.27162319185780881</v>
      </c>
      <c r="Q98" s="3">
        <f t="shared" si="48"/>
        <v>0.22052891499911864</v>
      </c>
      <c r="R98" s="3">
        <f t="shared" si="49"/>
        <v>0.50171616503787186</v>
      </c>
      <c r="S98" s="3">
        <f t="shared" si="50"/>
        <v>2.4715364404445097E-3</v>
      </c>
      <c r="T98" s="4">
        <f t="shared" si="51"/>
        <v>0.51201986760187612</v>
      </c>
      <c r="U98" s="5">
        <f t="shared" si="52"/>
        <v>0.41570524625652638</v>
      </c>
      <c r="V98" s="5"/>
      <c r="W98" s="3">
        <f t="shared" si="43"/>
        <v>0.92772511385840251</v>
      </c>
      <c r="X98" s="3">
        <f t="shared" si="44"/>
        <v>0.30533806472980612</v>
      </c>
    </row>
    <row r="99" spans="1:25" ht="15.6">
      <c r="A99" s="1" t="s">
        <v>23</v>
      </c>
      <c r="B99" s="1">
        <v>60</v>
      </c>
      <c r="C99" s="2">
        <f>+'Flow rate'!E98</f>
        <v>7.4080380000000003</v>
      </c>
      <c r="D99" s="1" t="s">
        <v>25</v>
      </c>
      <c r="E99" s="1" t="s">
        <v>26</v>
      </c>
      <c r="F99" s="1" t="s">
        <v>24</v>
      </c>
      <c r="G99" s="1">
        <v>-0.5</v>
      </c>
      <c r="H99" s="13">
        <v>45410.890972222223</v>
      </c>
      <c r="I99" s="2">
        <f t="shared" si="46"/>
        <v>55.350000000034925</v>
      </c>
      <c r="J99" s="18">
        <v>28.59121844870462</v>
      </c>
      <c r="K99" s="18">
        <v>22.720860136101635</v>
      </c>
      <c r="L99" s="18">
        <v>50.863311404366016</v>
      </c>
      <c r="N99" s="18">
        <v>0.25739034832834934</v>
      </c>
      <c r="O99" s="18">
        <v>0.38281839876070506</v>
      </c>
      <c r="P99" s="3">
        <f t="shared" si="47"/>
        <v>0.27808249720984196</v>
      </c>
      <c r="Q99" s="3">
        <f t="shared" si="48"/>
        <v>0.22098650803351663</v>
      </c>
      <c r="R99" s="3">
        <f t="shared" si="49"/>
        <v>0.49470422805044062</v>
      </c>
      <c r="S99" s="3">
        <f t="shared" si="50"/>
        <v>2.5034172974919625E-3</v>
      </c>
      <c r="T99" s="4">
        <f t="shared" si="51"/>
        <v>0.54530455415175427</v>
      </c>
      <c r="U99" s="5">
        <f>+Q99*C99/1000/60/24.3*2*96485/-1/G99</f>
        <v>0.433342444943007</v>
      </c>
      <c r="V99" s="5"/>
      <c r="W99" s="3">
        <f t="shared" si="43"/>
        <v>0.97864699909476127</v>
      </c>
      <c r="X99" s="3">
        <f t="shared" si="44"/>
        <v>0.3087737438697164</v>
      </c>
      <c r="Y99">
        <f t="shared" ref="Y99" si="68">+SUM(J99:L99)</f>
        <v>102.17538998917227</v>
      </c>
    </row>
    <row r="100" spans="1:25" ht="15.6">
      <c r="A100" s="1" t="s">
        <v>23</v>
      </c>
      <c r="B100" s="1">
        <v>60</v>
      </c>
      <c r="C100" s="2">
        <f>+'Flow rate'!E99</f>
        <v>7.3098039999999997</v>
      </c>
      <c r="D100" s="1" t="s">
        <v>25</v>
      </c>
      <c r="E100" s="1" t="s">
        <v>26</v>
      </c>
      <c r="F100" s="1" t="s">
        <v>24</v>
      </c>
      <c r="G100" s="1">
        <v>-0.5</v>
      </c>
      <c r="H100" s="13">
        <v>45410.915972222225</v>
      </c>
      <c r="I100" s="2">
        <f t="shared" si="46"/>
        <v>55.950000000069849</v>
      </c>
      <c r="J100" s="18">
        <v>29.083240784896329</v>
      </c>
      <c r="K100" s="18">
        <v>22.816523148970578</v>
      </c>
      <c r="L100" s="18">
        <v>50.212001874357611</v>
      </c>
      <c r="N100" s="18">
        <v>0.26268834490705595</v>
      </c>
      <c r="O100" s="18">
        <v>0.39393585330147457</v>
      </c>
      <c r="P100" s="3">
        <f t="shared" si="47"/>
        <v>0.28299792166711757</v>
      </c>
      <c r="Q100" s="3">
        <f t="shared" si="48"/>
        <v>0.22201888292248539</v>
      </c>
      <c r="R100" s="3">
        <f t="shared" si="49"/>
        <v>0.48859383582066879</v>
      </c>
      <c r="S100" s="3">
        <f t="shared" si="50"/>
        <v>2.5561200763251453E-3</v>
      </c>
      <c r="T100" s="4">
        <f t="shared" si="51"/>
        <v>0.54758462661185836</v>
      </c>
      <c r="U100" s="5">
        <f t="shared" si="52"/>
        <v>0.42959371005167751</v>
      </c>
      <c r="V100" s="5"/>
      <c r="W100" s="3">
        <f t="shared" si="43"/>
        <v>0.97717833666353582</v>
      </c>
      <c r="X100" s="3">
        <f t="shared" si="44"/>
        <v>0.31243302725451572</v>
      </c>
    </row>
    <row r="101" spans="1:25" ht="15.6">
      <c r="A101" s="1" t="s">
        <v>23</v>
      </c>
      <c r="B101" s="1">
        <v>60</v>
      </c>
      <c r="C101" s="2">
        <f>+'Flow rate'!E100</f>
        <v>7.4276689999999999</v>
      </c>
      <c r="D101" s="1" t="s">
        <v>25</v>
      </c>
      <c r="E101" s="1" t="s">
        <v>26</v>
      </c>
      <c r="F101" s="1" t="s">
        <v>24</v>
      </c>
      <c r="G101" s="1">
        <v>-0.5</v>
      </c>
      <c r="H101" s="13">
        <v>45410.940972222219</v>
      </c>
      <c r="I101" s="2">
        <f t="shared" si="46"/>
        <v>56.549999999930151</v>
      </c>
      <c r="J101" s="18">
        <v>29.455150965366435</v>
      </c>
      <c r="K101" s="18">
        <v>22.956005094018849</v>
      </c>
      <c r="L101" s="18">
        <v>49.72566270655701</v>
      </c>
      <c r="N101" s="18">
        <v>0.26534083302325823</v>
      </c>
      <c r="O101" s="18">
        <v>0.39692276829747586</v>
      </c>
      <c r="P101" s="3">
        <f t="shared" si="47"/>
        <v>0.28653126357815234</v>
      </c>
      <c r="Q101" s="3">
        <f t="shared" si="48"/>
        <v>0.22330943589560021</v>
      </c>
      <c r="R101" s="3">
        <f t="shared" si="49"/>
        <v>0.48371699008854618</v>
      </c>
      <c r="S101" s="3">
        <f t="shared" si="50"/>
        <v>2.5811595484412377E-3</v>
      </c>
      <c r="T101" s="4">
        <f t="shared" si="51"/>
        <v>0.56336106081270498</v>
      </c>
      <c r="U101" s="5">
        <f t="shared" si="52"/>
        <v>0.43905799012860136</v>
      </c>
      <c r="V101" s="5"/>
      <c r="W101" s="3">
        <f t="shared" si="43"/>
        <v>1.0024190509413065</v>
      </c>
      <c r="X101" s="3">
        <f t="shared" si="44"/>
        <v>0.31584312507805395</v>
      </c>
      <c r="Y101">
        <f t="shared" ref="Y101" si="69">+SUM(J101:L101)</f>
        <v>102.13681876594229</v>
      </c>
    </row>
    <row r="102" spans="1:25" ht="15.6">
      <c r="A102" s="1" t="s">
        <v>23</v>
      </c>
      <c r="B102" s="1">
        <v>60</v>
      </c>
      <c r="C102" s="2">
        <f>+'Flow rate'!E101</f>
        <v>7.2720060000000002</v>
      </c>
      <c r="D102" s="1" t="s">
        <v>25</v>
      </c>
      <c r="E102" s="1" t="s">
        <v>26</v>
      </c>
      <c r="F102" s="1" t="s">
        <v>24</v>
      </c>
      <c r="G102" s="1">
        <v>-0.5</v>
      </c>
      <c r="H102" s="13">
        <v>45410.96597222222</v>
      </c>
      <c r="I102" s="2">
        <f t="shared" si="46"/>
        <v>57.149999999965075</v>
      </c>
      <c r="J102" s="18">
        <v>29.817296141506205</v>
      </c>
      <c r="K102" s="18">
        <v>22.850643989554094</v>
      </c>
      <c r="L102" s="18">
        <v>49.444034187944226</v>
      </c>
      <c r="N102" s="18">
        <v>0.26802066067122249</v>
      </c>
      <c r="O102" s="18">
        <v>0.40498051470648705</v>
      </c>
      <c r="P102" s="3">
        <f t="shared" si="47"/>
        <v>0.29009391691819669</v>
      </c>
      <c r="Q102" s="3">
        <f t="shared" si="48"/>
        <v>0.22231502103926665</v>
      </c>
      <c r="R102" s="3">
        <f t="shared" si="49"/>
        <v>0.48104340104305043</v>
      </c>
      <c r="S102" s="3">
        <f t="shared" si="50"/>
        <v>2.6075859762779365E-3</v>
      </c>
      <c r="T102" s="4">
        <f t="shared" si="51"/>
        <v>0.55841248423408141</v>
      </c>
      <c r="U102" s="5">
        <f t="shared" si="52"/>
        <v>0.42794238672745449</v>
      </c>
      <c r="V102" s="5"/>
      <c r="W102" s="3">
        <f t="shared" si="43"/>
        <v>0.98635487096153596</v>
      </c>
      <c r="X102" s="3">
        <f t="shared" si="44"/>
        <v>0.31607643281087794</v>
      </c>
    </row>
    <row r="103" spans="1:25" ht="15.6">
      <c r="A103" s="1" t="s">
        <v>23</v>
      </c>
      <c r="B103" s="1">
        <v>60</v>
      </c>
      <c r="C103" s="2">
        <f>+'Flow rate'!E102</f>
        <v>6.973725</v>
      </c>
      <c r="D103" s="1" t="s">
        <v>25</v>
      </c>
      <c r="E103" s="1" t="s">
        <v>26</v>
      </c>
      <c r="F103" s="1" t="s">
        <v>24</v>
      </c>
      <c r="G103" s="1">
        <v>-0.5</v>
      </c>
      <c r="H103" s="13">
        <v>45410.990972222222</v>
      </c>
      <c r="I103" s="2">
        <f t="shared" si="46"/>
        <v>57.75</v>
      </c>
      <c r="J103" s="18">
        <v>30.18723568222179</v>
      </c>
      <c r="K103" s="18">
        <v>22.800276074688611</v>
      </c>
      <c r="L103" s="18">
        <v>49.171583872657386</v>
      </c>
      <c r="N103" s="18">
        <v>0.27186426461749374</v>
      </c>
      <c r="O103" s="18">
        <v>0.41324959352791546</v>
      </c>
      <c r="P103" s="3">
        <f t="shared" si="47"/>
        <v>0.29352392159549107</v>
      </c>
      <c r="Q103" s="3">
        <f t="shared" si="48"/>
        <v>0.2216972271775064</v>
      </c>
      <c r="R103" s="3">
        <f t="shared" si="49"/>
        <v>0.47811718440533024</v>
      </c>
      <c r="S103" s="3">
        <f t="shared" si="50"/>
        <v>2.6434571860846807E-3</v>
      </c>
      <c r="T103" s="4">
        <f t="shared" si="51"/>
        <v>0.5418394068607677</v>
      </c>
      <c r="U103" s="5">
        <f t="shared" si="52"/>
        <v>0.40924873660580796</v>
      </c>
      <c r="V103" s="5"/>
      <c r="W103" s="3">
        <f t="shared" si="43"/>
        <v>0.95108814346657566</v>
      </c>
      <c r="X103" s="3">
        <f t="shared" si="44"/>
        <v>0.31679431504714622</v>
      </c>
      <c r="Y103">
        <f t="shared" ref="Y103" si="70">+SUM(J103:L103)</f>
        <v>102.15909562956779</v>
      </c>
    </row>
    <row r="104" spans="1:25" ht="15.6">
      <c r="A104" s="1" t="s">
        <v>23</v>
      </c>
      <c r="B104" s="1">
        <v>60</v>
      </c>
      <c r="C104" s="2">
        <f>+'Flow rate'!E103</f>
        <v>7.2702939999999998</v>
      </c>
      <c r="D104" s="1" t="s">
        <v>25</v>
      </c>
      <c r="E104" s="1" t="s">
        <v>26</v>
      </c>
      <c r="F104" s="1" t="s">
        <v>24</v>
      </c>
      <c r="G104" s="1">
        <v>-0.5</v>
      </c>
      <c r="H104" s="13">
        <v>45411.015972222223</v>
      </c>
      <c r="I104" s="2">
        <f t="shared" si="46"/>
        <v>58.350000000034925</v>
      </c>
      <c r="J104" s="18">
        <v>30.395179381926404</v>
      </c>
      <c r="K104" s="18">
        <v>22.817861570712765</v>
      </c>
      <c r="L104" s="18">
        <v>48.929202128010552</v>
      </c>
      <c r="N104" s="18">
        <v>0.27502066743467107</v>
      </c>
      <c r="O104" s="18">
        <v>0.42134153266781049</v>
      </c>
      <c r="P104" s="3">
        <f t="shared" si="47"/>
        <v>0.29556195651376965</v>
      </c>
      <c r="Q104" s="3">
        <f t="shared" si="48"/>
        <v>0.22188030952402921</v>
      </c>
      <c r="R104" s="3">
        <f t="shared" si="49"/>
        <v>0.4757863255188311</v>
      </c>
      <c r="S104" s="3">
        <f t="shared" si="50"/>
        <v>2.6742940229873514E-3</v>
      </c>
      <c r="T104" s="4">
        <f t="shared" si="51"/>
        <v>0.56880417408916273</v>
      </c>
      <c r="U104" s="5">
        <f t="shared" si="52"/>
        <v>0.42700504386322646</v>
      </c>
      <c r="V104" s="5"/>
      <c r="W104" s="3">
        <f t="shared" si="43"/>
        <v>0.99580921795238919</v>
      </c>
      <c r="X104" s="3">
        <f t="shared" si="44"/>
        <v>0.31803199175548691</v>
      </c>
    </row>
    <row r="105" spans="1:25" ht="15.6">
      <c r="A105" s="1" t="s">
        <v>23</v>
      </c>
      <c r="B105" s="1">
        <v>60</v>
      </c>
      <c r="C105" s="2">
        <f>+'Flow rate'!E104</f>
        <v>7.301806</v>
      </c>
      <c r="D105" s="1" t="s">
        <v>25</v>
      </c>
      <c r="E105" s="1" t="s">
        <v>26</v>
      </c>
      <c r="F105" s="1" t="s">
        <v>24</v>
      </c>
      <c r="G105" s="1">
        <v>-0.5</v>
      </c>
      <c r="H105" s="13">
        <v>45411.040972222225</v>
      </c>
      <c r="I105" s="2">
        <f t="shared" si="46"/>
        <v>58.950000000069849</v>
      </c>
      <c r="J105" s="18">
        <v>30.575515329530457</v>
      </c>
      <c r="K105" s="18">
        <v>22.891854698011443</v>
      </c>
      <c r="L105" s="18">
        <v>48.677428575409472</v>
      </c>
      <c r="N105" s="18">
        <v>0.2736352794125646</v>
      </c>
      <c r="O105" s="18">
        <v>0.4161869126285655</v>
      </c>
      <c r="P105" s="3">
        <f t="shared" si="47"/>
        <v>0.2973270586613504</v>
      </c>
      <c r="Q105" s="3">
        <f t="shared" si="48"/>
        <v>0.22260844179751335</v>
      </c>
      <c r="R105" s="3">
        <f t="shared" si="49"/>
        <v>0.47335642606638378</v>
      </c>
      <c r="S105" s="3">
        <f t="shared" si="50"/>
        <v>2.6609256425233906E-3</v>
      </c>
      <c r="T105" s="4">
        <f t="shared" si="51"/>
        <v>0.57468120430433822</v>
      </c>
      <c r="U105" s="5">
        <f t="shared" si="52"/>
        <v>0.43026318558586235</v>
      </c>
      <c r="V105" s="5"/>
      <c r="W105" s="3">
        <f t="shared" si="43"/>
        <v>1.0049443898902006</v>
      </c>
      <c r="X105" s="3">
        <f t="shared" si="44"/>
        <v>0.31985586065681498</v>
      </c>
      <c r="Y105">
        <f t="shared" ref="Y105" si="71">+SUM(J105:L105)</f>
        <v>102.14479860295137</v>
      </c>
    </row>
    <row r="106" spans="1:25" ht="15.6">
      <c r="A106" s="1" t="s">
        <v>23</v>
      </c>
      <c r="B106" s="1">
        <v>60</v>
      </c>
      <c r="C106" s="2">
        <f>+'Flow rate'!E105</f>
        <v>6.9587680000000001</v>
      </c>
      <c r="D106" s="1" t="s">
        <v>25</v>
      </c>
      <c r="E106" s="1" t="s">
        <v>26</v>
      </c>
      <c r="F106" s="1" t="s">
        <v>24</v>
      </c>
      <c r="G106" s="1">
        <v>-0.5</v>
      </c>
      <c r="H106" s="13">
        <v>45411.065972222219</v>
      </c>
      <c r="I106" s="2">
        <f t="shared" si="46"/>
        <v>59.549999999930151</v>
      </c>
      <c r="J106" s="18">
        <v>30.65054711287738</v>
      </c>
      <c r="K106" s="18">
        <v>22.916382731242837</v>
      </c>
      <c r="L106" s="18">
        <v>48.444733975123818</v>
      </c>
      <c r="N106" s="18">
        <v>0.27759327785961224</v>
      </c>
      <c r="O106" s="18">
        <v>0.42353035906340564</v>
      </c>
      <c r="P106" s="3">
        <f t="shared" si="47"/>
        <v>0.29841023568713471</v>
      </c>
      <c r="Q106" s="3">
        <f t="shared" si="48"/>
        <v>0.22311129216527653</v>
      </c>
      <c r="R106" s="3">
        <f t="shared" si="49"/>
        <v>0.47165241227435029</v>
      </c>
      <c r="S106" s="3">
        <f t="shared" si="50"/>
        <v>2.702616536213428E-3</v>
      </c>
      <c r="T106" s="4">
        <f t="shared" si="51"/>
        <v>0.54967798295424475</v>
      </c>
      <c r="U106" s="5">
        <f t="shared" si="52"/>
        <v>0.41097573201310839</v>
      </c>
      <c r="V106" s="5"/>
      <c r="W106" s="3">
        <f t="shared" si="43"/>
        <v>0.96065371496735308</v>
      </c>
      <c r="X106" s="3">
        <f t="shared" si="44"/>
        <v>0.32113262500554868</v>
      </c>
    </row>
    <row r="107" spans="1:25" ht="15.6">
      <c r="A107" s="1" t="s">
        <v>23</v>
      </c>
      <c r="B107" s="1">
        <v>60</v>
      </c>
      <c r="C107" s="2">
        <f>+'Flow rate'!E106</f>
        <v>7.1955470000000004</v>
      </c>
      <c r="D107" s="1" t="s">
        <v>25</v>
      </c>
      <c r="E107" s="1" t="s">
        <v>26</v>
      </c>
      <c r="F107" s="1" t="s">
        <v>24</v>
      </c>
      <c r="G107" s="1">
        <v>-0.5</v>
      </c>
      <c r="H107" s="13">
        <v>45411.09097222222</v>
      </c>
      <c r="I107" s="2">
        <f t="shared" si="46"/>
        <v>60.149999999965075</v>
      </c>
      <c r="J107" s="18">
        <v>30.811798361464557</v>
      </c>
      <c r="K107" s="18">
        <v>22.904164040671326</v>
      </c>
      <c r="L107" s="18">
        <v>48.339024846653984</v>
      </c>
      <c r="N107" s="18">
        <v>0.28074901531000646</v>
      </c>
      <c r="O107" s="18">
        <v>0.43189907715096415</v>
      </c>
      <c r="P107" s="3">
        <f t="shared" si="47"/>
        <v>0.29982005773656961</v>
      </c>
      <c r="Q107" s="3">
        <f t="shared" si="48"/>
        <v>0.22287331964597237</v>
      </c>
      <c r="R107" s="3">
        <f t="shared" si="49"/>
        <v>0.47037206496129957</v>
      </c>
      <c r="S107" s="3">
        <f t="shared" si="50"/>
        <v>2.7318816315832274E-3</v>
      </c>
      <c r="T107" s="4">
        <f t="shared" si="51"/>
        <v>0.5710666078173211</v>
      </c>
      <c r="U107" s="5">
        <f t="shared" si="52"/>
        <v>0.42450632417341078</v>
      </c>
      <c r="V107" s="5"/>
      <c r="W107" s="3">
        <f t="shared" si="43"/>
        <v>0.99557293199073182</v>
      </c>
      <c r="X107" s="3">
        <f t="shared" si="44"/>
        <v>0.32149268440096657</v>
      </c>
      <c r="Y107">
        <f t="shared" ref="Y107" si="72">+SUM(J107:L107)</f>
        <v>102.05498724878987</v>
      </c>
    </row>
    <row r="108" spans="1:25" ht="15.6">
      <c r="A108" s="1" t="s">
        <v>23</v>
      </c>
      <c r="B108" s="1">
        <v>60</v>
      </c>
      <c r="C108" s="2">
        <f>+'Flow rate'!E107</f>
        <v>7.14297</v>
      </c>
      <c r="D108" s="1" t="s">
        <v>25</v>
      </c>
      <c r="E108" s="1" t="s">
        <v>26</v>
      </c>
      <c r="F108" s="1" t="s">
        <v>24</v>
      </c>
      <c r="G108" s="1">
        <v>-0.5</v>
      </c>
      <c r="H108" s="13">
        <v>45411.115972222222</v>
      </c>
      <c r="I108" s="2">
        <f t="shared" si="46"/>
        <v>60.75</v>
      </c>
      <c r="J108" s="18">
        <v>30.866345901200066</v>
      </c>
      <c r="K108" s="18">
        <v>22.912923824287677</v>
      </c>
      <c r="L108" s="18">
        <v>48.354354973465377</v>
      </c>
      <c r="N108" s="18">
        <v>0.28112372568005095</v>
      </c>
      <c r="O108" s="18">
        <v>0.43581086534557467</v>
      </c>
      <c r="P108" s="3">
        <f t="shared" si="47"/>
        <v>0.30010868306680694</v>
      </c>
      <c r="Q108" s="3">
        <f t="shared" si="48"/>
        <v>0.22277879656139313</v>
      </c>
      <c r="R108" s="3">
        <f t="shared" si="49"/>
        <v>0.47014187678974328</v>
      </c>
      <c r="S108" s="3">
        <f t="shared" si="50"/>
        <v>2.7333222844947839E-3</v>
      </c>
      <c r="T108" s="4">
        <f t="shared" si="51"/>
        <v>0.56743961964107736</v>
      </c>
      <c r="U108" s="5">
        <f t="shared" si="52"/>
        <v>0.42122578491590357</v>
      </c>
      <c r="V108" s="5"/>
      <c r="W108" s="3">
        <f t="shared" si="43"/>
        <v>0.98866540455698093</v>
      </c>
      <c r="X108" s="3">
        <f t="shared" si="44"/>
        <v>0.32150692731388653</v>
      </c>
    </row>
    <row r="109" spans="1:25" ht="15.6">
      <c r="A109" s="1" t="s">
        <v>23</v>
      </c>
      <c r="B109" s="1">
        <v>60</v>
      </c>
      <c r="C109" s="2">
        <f>+'Flow rate'!E108</f>
        <v>7.0149800000000004</v>
      </c>
      <c r="D109" s="1" t="s">
        <v>25</v>
      </c>
      <c r="E109" s="1" t="s">
        <v>26</v>
      </c>
      <c r="F109" s="1" t="s">
        <v>24</v>
      </c>
      <c r="G109" s="1">
        <v>-0.5</v>
      </c>
      <c r="H109" s="13">
        <v>45411.140972222223</v>
      </c>
      <c r="I109" s="2">
        <f t="shared" si="46"/>
        <v>61.350000000034925</v>
      </c>
      <c r="J109" s="18">
        <v>30.965874052383562</v>
      </c>
      <c r="K109" s="18">
        <v>22.945552185034458</v>
      </c>
      <c r="L109" s="18">
        <v>48.24324475187931</v>
      </c>
      <c r="N109" s="18">
        <v>0.28062045143133013</v>
      </c>
      <c r="O109" s="18">
        <v>0.43487052314974495</v>
      </c>
      <c r="P109" s="3">
        <f t="shared" si="47"/>
        <v>0.3010190074674603</v>
      </c>
      <c r="Q109" s="3">
        <f t="shared" si="48"/>
        <v>0.22305352443297899</v>
      </c>
      <c r="R109" s="3">
        <f t="shared" si="49"/>
        <v>0.4689721862090519</v>
      </c>
      <c r="S109" s="3">
        <f t="shared" si="50"/>
        <v>2.7279091047787652E-3</v>
      </c>
      <c r="T109" s="4">
        <f t="shared" si="51"/>
        <v>0.55896243883714425</v>
      </c>
      <c r="U109" s="5">
        <f t="shared" si="52"/>
        <v>0.41418827022661042</v>
      </c>
      <c r="V109" s="5"/>
      <c r="W109" s="3">
        <f t="shared" si="43"/>
        <v>0.97315070906375467</v>
      </c>
      <c r="X109" s="3">
        <f t="shared" si="44"/>
        <v>0.32231970720573339</v>
      </c>
      <c r="Y109">
        <f t="shared" ref="Y109" si="73">+SUM(J109:L109)</f>
        <v>102.15467098929733</v>
      </c>
    </row>
    <row r="110" spans="1:25" ht="15.6">
      <c r="A110" s="1" t="s">
        <v>23</v>
      </c>
      <c r="B110" s="1">
        <v>60</v>
      </c>
      <c r="C110" s="2">
        <f>+'Flow rate'!E109</f>
        <v>7.2414189999999996</v>
      </c>
      <c r="D110" s="1" t="s">
        <v>25</v>
      </c>
      <c r="E110" s="1" t="s">
        <v>26</v>
      </c>
      <c r="F110" s="1" t="s">
        <v>24</v>
      </c>
      <c r="G110" s="1">
        <v>-0.5</v>
      </c>
      <c r="H110" s="13">
        <v>45411.165972222225</v>
      </c>
      <c r="I110" s="2">
        <f t="shared" si="46"/>
        <v>61.950000000069849</v>
      </c>
      <c r="J110" s="18">
        <v>31.022814408548776</v>
      </c>
      <c r="K110" s="18">
        <v>22.894432816494259</v>
      </c>
      <c r="L110" s="18">
        <v>48.202058730738635</v>
      </c>
      <c r="N110" s="18">
        <v>0.28159189577341148</v>
      </c>
      <c r="O110" s="18">
        <v>0.43609163274346507</v>
      </c>
      <c r="P110" s="3">
        <f t="shared" si="47"/>
        <v>0.3016698034833607</v>
      </c>
      <c r="Q110" s="3">
        <f t="shared" si="48"/>
        <v>0.22262838431292123</v>
      </c>
      <c r="R110" s="3">
        <f t="shared" si="49"/>
        <v>0.46872296605005404</v>
      </c>
      <c r="S110" s="3">
        <f t="shared" si="50"/>
        <v>2.7382355044184344E-3</v>
      </c>
      <c r="T110" s="4">
        <f t="shared" si="51"/>
        <v>0.57825285553366257</v>
      </c>
      <c r="U110" s="5">
        <f t="shared" si="52"/>
        <v>0.42674307294032188</v>
      </c>
      <c r="V110" s="5"/>
      <c r="W110" s="3">
        <f t="shared" si="43"/>
        <v>1.0049959284739844</v>
      </c>
      <c r="X110" s="3">
        <f t="shared" si="44"/>
        <v>0.32201916463464819</v>
      </c>
    </row>
    <row r="111" spans="1:25" ht="15.6">
      <c r="A111" s="1" t="s">
        <v>23</v>
      </c>
      <c r="B111" s="1">
        <v>60</v>
      </c>
      <c r="C111" s="2">
        <f>+'Flow rate'!E110</f>
        <v>7.1508700000000003</v>
      </c>
      <c r="D111" s="1" t="s">
        <v>25</v>
      </c>
      <c r="E111" s="1" t="s">
        <v>26</v>
      </c>
      <c r="F111" s="1" t="s">
        <v>24</v>
      </c>
      <c r="G111" s="1">
        <v>-0.5</v>
      </c>
      <c r="H111" s="13">
        <v>45411.190972222219</v>
      </c>
      <c r="I111" s="2">
        <f t="shared" si="46"/>
        <v>62.549999999930151</v>
      </c>
      <c r="J111" s="18">
        <v>31.013267721608727</v>
      </c>
      <c r="K111" s="18">
        <v>22.841125183906851</v>
      </c>
      <c r="L111" s="18">
        <v>48.281222203761118</v>
      </c>
      <c r="N111" s="18">
        <v>0.28699695608989589</v>
      </c>
      <c r="O111" s="18">
        <v>0.45400856413096324</v>
      </c>
      <c r="P111" s="3">
        <f t="shared" si="47"/>
        <v>0.30146079383090052</v>
      </c>
      <c r="Q111" s="3">
        <f t="shared" si="48"/>
        <v>0.22202445068804752</v>
      </c>
      <c r="R111" s="3">
        <f t="shared" si="49"/>
        <v>0.46931189913053545</v>
      </c>
      <c r="S111" s="3">
        <f t="shared" si="50"/>
        <v>2.7897199026734555E-3</v>
      </c>
      <c r="T111" s="4">
        <f t="shared" si="51"/>
        <v>0.5706265699868861</v>
      </c>
      <c r="U111" s="5">
        <f t="shared" si="52"/>
        <v>0.42026377340600202</v>
      </c>
      <c r="V111" s="5"/>
      <c r="W111" s="3">
        <f t="shared" si="43"/>
        <v>0.99089034339288817</v>
      </c>
      <c r="X111" s="3">
        <f t="shared" si="44"/>
        <v>0.32115257753524756</v>
      </c>
      <c r="Y111">
        <f t="shared" ref="Y111" si="74">+SUM(J111:L111)</f>
        <v>102.1356151092767</v>
      </c>
    </row>
    <row r="112" spans="1:25" ht="15.6">
      <c r="A112" s="1" t="s">
        <v>23</v>
      </c>
      <c r="B112" s="1">
        <v>60</v>
      </c>
      <c r="C112" s="2">
        <f>+'Flow rate'!E111</f>
        <v>7.0307909999999998</v>
      </c>
      <c r="D112" s="1" t="s">
        <v>25</v>
      </c>
      <c r="E112" s="1" t="s">
        <v>26</v>
      </c>
      <c r="F112" s="1" t="s">
        <v>24</v>
      </c>
      <c r="G112" s="1">
        <v>-0.5</v>
      </c>
      <c r="H112" s="13">
        <v>45411.21597222222</v>
      </c>
      <c r="I112" s="2">
        <f t="shared" si="46"/>
        <v>63.149999999965075</v>
      </c>
      <c r="J112" s="18">
        <v>31.116414736552763</v>
      </c>
      <c r="K112" s="18">
        <v>22.814046951017609</v>
      </c>
      <c r="L112" s="18">
        <v>48.273731807596398</v>
      </c>
      <c r="N112" s="18">
        <v>0.28557492403428159</v>
      </c>
      <c r="O112" s="18">
        <v>0.44883896415381302</v>
      </c>
      <c r="P112" s="3">
        <f t="shared" si="47"/>
        <v>0.30228128714304209</v>
      </c>
      <c r="Q112" s="3">
        <f t="shared" si="48"/>
        <v>0.2216277015100423</v>
      </c>
      <c r="R112" s="3">
        <f t="shared" si="49"/>
        <v>0.46895652695027856</v>
      </c>
      <c r="S112" s="3">
        <f t="shared" si="50"/>
        <v>2.7742256408304486E-3</v>
      </c>
      <c r="T112" s="4">
        <f t="shared" si="51"/>
        <v>0.56257149033519038</v>
      </c>
      <c r="U112" s="5">
        <f t="shared" si="52"/>
        <v>0.4124682262553252</v>
      </c>
      <c r="V112" s="5"/>
      <c r="W112" s="3">
        <f t="shared" si="43"/>
        <v>0.97503971659051558</v>
      </c>
      <c r="X112" s="3">
        <f t="shared" si="44"/>
        <v>0.32092783526807178</v>
      </c>
    </row>
    <row r="113" spans="1:25" ht="15.6">
      <c r="A113" s="1" t="s">
        <v>23</v>
      </c>
      <c r="B113" s="1">
        <v>60</v>
      </c>
      <c r="C113" s="2">
        <f>+'Flow rate'!E112</f>
        <v>6.67544</v>
      </c>
      <c r="D113" s="1" t="s">
        <v>25</v>
      </c>
      <c r="E113" s="1" t="s">
        <v>26</v>
      </c>
      <c r="F113" s="1" t="s">
        <v>24</v>
      </c>
      <c r="G113" s="1">
        <v>-0.5</v>
      </c>
      <c r="H113" s="13">
        <v>45411.240972222222</v>
      </c>
      <c r="I113" s="2">
        <f t="shared" si="46"/>
        <v>63.75</v>
      </c>
      <c r="J113" s="18">
        <v>31.125122853384511</v>
      </c>
      <c r="K113" s="18">
        <v>22.759337827053322</v>
      </c>
      <c r="L113" s="18">
        <v>48.262904550829099</v>
      </c>
      <c r="N113" s="18">
        <v>0.28218917032802571</v>
      </c>
      <c r="O113" s="18">
        <v>0.4388515586787497</v>
      </c>
      <c r="P113" s="3">
        <f t="shared" si="47"/>
        <v>0.3025722286919133</v>
      </c>
      <c r="Q113" s="3">
        <f t="shared" si="48"/>
        <v>0.22124711289725488</v>
      </c>
      <c r="R113" s="3">
        <f t="shared" si="49"/>
        <v>0.46917130775281513</v>
      </c>
      <c r="S113" s="3">
        <f t="shared" si="50"/>
        <v>2.7432054350779297E-3</v>
      </c>
      <c r="T113" s="4">
        <f t="shared" si="51"/>
        <v>0.5346520415212429</v>
      </c>
      <c r="U113" s="5">
        <f t="shared" si="52"/>
        <v>0.39094870372800916</v>
      </c>
      <c r="V113" s="5"/>
      <c r="W113" s="3">
        <f t="shared" si="43"/>
        <v>0.92560074524925207</v>
      </c>
      <c r="X113" s="3">
        <f t="shared" si="44"/>
        <v>0.32045366444443579</v>
      </c>
      <c r="Y113">
        <f t="shared" ref="Y113" si="75">+SUM(J113:L113)</f>
        <v>102.14736523126693</v>
      </c>
    </row>
    <row r="114" spans="1:25" ht="15.6">
      <c r="A114" s="1" t="s">
        <v>23</v>
      </c>
      <c r="B114" s="1">
        <v>60</v>
      </c>
      <c r="C114" s="2">
        <f>+'Flow rate'!E113</f>
        <v>6.8308730000000004</v>
      </c>
      <c r="D114" s="1" t="s">
        <v>25</v>
      </c>
      <c r="E114" s="1" t="s">
        <v>26</v>
      </c>
      <c r="F114" s="1" t="s">
        <v>24</v>
      </c>
      <c r="G114" s="1">
        <v>-0.5</v>
      </c>
      <c r="H114" s="13">
        <v>45411.265972222223</v>
      </c>
      <c r="I114" s="2">
        <f t="shared" si="46"/>
        <v>64.350000000034925</v>
      </c>
      <c r="J114" s="18">
        <v>31.288042567325128</v>
      </c>
      <c r="K114" s="18">
        <v>22.900409631454128</v>
      </c>
      <c r="L114" s="18">
        <v>48.481030599187335</v>
      </c>
      <c r="N114" s="18">
        <v>0.28835212108738734</v>
      </c>
      <c r="O114" s="18">
        <v>0.45399124357776116</v>
      </c>
      <c r="P114" s="3">
        <f t="shared" si="47"/>
        <v>0.30255768347151751</v>
      </c>
      <c r="Q114" s="3">
        <f t="shared" si="48"/>
        <v>0.22144865322694862</v>
      </c>
      <c r="R114" s="3">
        <f t="shared" si="49"/>
        <v>0.46881514811413455</v>
      </c>
      <c r="S114" s="3">
        <f t="shared" si="50"/>
        <v>2.7883863169953812E-3</v>
      </c>
      <c r="T114" s="4">
        <f t="shared" si="51"/>
        <v>0.54707474406518664</v>
      </c>
      <c r="U114" s="5">
        <f t="shared" si="52"/>
        <v>0.40041609222301577</v>
      </c>
      <c r="V114" s="5"/>
      <c r="W114" s="3">
        <f t="shared" si="43"/>
        <v>0.94749083628820241</v>
      </c>
      <c r="X114" s="3">
        <f t="shared" si="44"/>
        <v>0.32081742197215873</v>
      </c>
    </row>
    <row r="115" spans="1:25" ht="15.6">
      <c r="A115" s="1" t="s">
        <v>23</v>
      </c>
      <c r="B115" s="1">
        <v>60</v>
      </c>
      <c r="C115" s="2">
        <f>+'Flow rate'!E114</f>
        <v>6.9678950000000004</v>
      </c>
      <c r="D115" s="1" t="s">
        <v>25</v>
      </c>
      <c r="E115" s="1" t="s">
        <v>26</v>
      </c>
      <c r="F115" s="1" t="s">
        <v>24</v>
      </c>
      <c r="G115" s="1">
        <v>-0.5</v>
      </c>
      <c r="H115" s="13">
        <v>45411.291666666664</v>
      </c>
      <c r="I115" s="2">
        <f t="shared" si="46"/>
        <v>64.96666666661622</v>
      </c>
      <c r="J115" s="18">
        <v>31.431581191089911</v>
      </c>
      <c r="K115" s="18">
        <v>23.024423538348639</v>
      </c>
      <c r="L115" s="18">
        <v>48.358610168667866</v>
      </c>
      <c r="N115" s="18">
        <v>0.28726674917043143</v>
      </c>
      <c r="O115" s="18">
        <v>0.46221698494905206</v>
      </c>
      <c r="P115" s="3">
        <f t="shared" si="47"/>
        <v>0.30349881480366009</v>
      </c>
      <c r="Q115" s="3">
        <f t="shared" si="48"/>
        <v>0.22232051301979044</v>
      </c>
      <c r="R115" s="3">
        <f t="shared" si="49"/>
        <v>0.46694376533317489</v>
      </c>
      <c r="S115" s="3">
        <f t="shared" si="50"/>
        <v>2.7738062993293224E-3</v>
      </c>
      <c r="T115" s="4">
        <f t="shared" si="51"/>
        <v>0.55978449558272991</v>
      </c>
      <c r="U115" s="5">
        <f t="shared" si="52"/>
        <v>0.41005621823922961</v>
      </c>
      <c r="V115" s="5"/>
      <c r="W115" s="3">
        <f t="shared" si="43"/>
        <v>0.96984071382195958</v>
      </c>
      <c r="X115" s="3">
        <f t="shared" si="44"/>
        <v>0.32254756267224155</v>
      </c>
      <c r="Y115">
        <f t="shared" ref="Y115" si="76">+SUM(J115:L115)</f>
        <v>102.81461489810641</v>
      </c>
    </row>
    <row r="116" spans="1:25" ht="15.6">
      <c r="A116" s="1" t="s">
        <v>23</v>
      </c>
      <c r="B116" s="1">
        <v>60</v>
      </c>
      <c r="C116" s="2">
        <f>+'Flow rate'!E115</f>
        <v>6.9407709999999998</v>
      </c>
      <c r="D116" s="1" t="s">
        <v>25</v>
      </c>
      <c r="E116" s="1" t="s">
        <v>26</v>
      </c>
      <c r="F116" s="1" t="s">
        <v>24</v>
      </c>
      <c r="G116" s="1">
        <v>-0.5</v>
      </c>
      <c r="H116" s="13">
        <v>45411.316666666666</v>
      </c>
      <c r="I116" s="2">
        <f t="shared" si="46"/>
        <v>65.566666666651145</v>
      </c>
      <c r="J116" s="18">
        <v>31.649370860514608</v>
      </c>
      <c r="K116" s="18">
        <v>23.116495113936729</v>
      </c>
      <c r="L116" s="18">
        <v>47.913630403580278</v>
      </c>
      <c r="N116" s="18">
        <v>0.28496271404848189</v>
      </c>
      <c r="O116" s="18">
        <v>0.46453665173978514</v>
      </c>
      <c r="P116" s="3">
        <f t="shared" si="47"/>
        <v>0.30600094908497388</v>
      </c>
      <c r="Q116" s="3">
        <f t="shared" si="48"/>
        <v>0.22350110766997361</v>
      </c>
      <c r="R116" s="3">
        <f t="shared" si="49"/>
        <v>0.46325143214438708</v>
      </c>
      <c r="S116" s="3">
        <f t="shared" si="50"/>
        <v>2.7551530593441834E-3</v>
      </c>
      <c r="T116" s="4">
        <f t="shared" si="51"/>
        <v>0.56220248094268988</v>
      </c>
      <c r="U116" s="5">
        <f t="shared" si="52"/>
        <v>0.4106290441295517</v>
      </c>
      <c r="V116" s="5"/>
      <c r="W116" s="3">
        <f t="shared" si="43"/>
        <v>0.97283152507224158</v>
      </c>
      <c r="X116" s="3">
        <f t="shared" si="44"/>
        <v>0.32544635034096742</v>
      </c>
    </row>
    <row r="117" spans="1:25" ht="15.6">
      <c r="A117" s="1" t="s">
        <v>23</v>
      </c>
      <c r="B117" s="1">
        <v>60</v>
      </c>
      <c r="C117" s="2">
        <f>+'Flow rate'!E116</f>
        <v>6.9096169999999999</v>
      </c>
      <c r="D117" s="1" t="s">
        <v>25</v>
      </c>
      <c r="E117" s="1" t="s">
        <v>26</v>
      </c>
      <c r="F117" s="1" t="s">
        <v>24</v>
      </c>
      <c r="G117" s="1">
        <v>-0.5</v>
      </c>
      <c r="H117" s="13">
        <v>45411.341666666667</v>
      </c>
      <c r="I117" s="2">
        <f t="shared" si="46"/>
        <v>66.166666666686069</v>
      </c>
      <c r="J117" s="18">
        <v>31.797280169516345</v>
      </c>
      <c r="K117" s="18">
        <v>23.249708778219631</v>
      </c>
      <c r="L117" s="18">
        <v>47.723301608895994</v>
      </c>
      <c r="N117" s="18">
        <v>0.28276927526935475</v>
      </c>
      <c r="O117" s="18">
        <v>0.46201733046416182</v>
      </c>
      <c r="P117" s="3">
        <f t="shared" si="47"/>
        <v>0.3071753510809026</v>
      </c>
      <c r="Q117" s="3">
        <f t="shared" si="48"/>
        <v>0.22460214893867095</v>
      </c>
      <c r="R117" s="3">
        <f t="shared" si="49"/>
        <v>0.46102754223948483</v>
      </c>
      <c r="S117" s="3">
        <f t="shared" si="50"/>
        <v>2.7316723613684353E-3</v>
      </c>
      <c r="T117" s="4">
        <f t="shared" si="51"/>
        <v>0.5618270006123639</v>
      </c>
      <c r="U117" s="5">
        <f t="shared" si="52"/>
        <v>0.41079973124559127</v>
      </c>
      <c r="V117" s="5"/>
      <c r="W117" s="3">
        <f t="shared" si="43"/>
        <v>0.97262673185795512</v>
      </c>
      <c r="X117" s="3">
        <f t="shared" si="44"/>
        <v>0.32758521375106225</v>
      </c>
      <c r="Y117">
        <f t="shared" ref="Y117" si="77">+SUM(J117:L117)</f>
        <v>102.77029055663198</v>
      </c>
    </row>
    <row r="118" spans="1:25" ht="15.6">
      <c r="A118" s="1" t="s">
        <v>23</v>
      </c>
      <c r="B118" s="1">
        <v>60</v>
      </c>
      <c r="C118" s="2">
        <f>+'Flow rate'!E117</f>
        <v>6.8525989999999997</v>
      </c>
      <c r="D118" s="1" t="s">
        <v>25</v>
      </c>
      <c r="E118" s="1" t="s">
        <v>26</v>
      </c>
      <c r="F118" s="1" t="s">
        <v>24</v>
      </c>
      <c r="G118" s="1">
        <v>-0.5</v>
      </c>
      <c r="H118" s="13">
        <v>45411.366666666669</v>
      </c>
      <c r="I118" s="2">
        <f t="shared" si="46"/>
        <v>66.766666666720994</v>
      </c>
      <c r="J118" s="18">
        <v>31.967478093672987</v>
      </c>
      <c r="K118" s="18">
        <v>23.299255946904974</v>
      </c>
      <c r="L118" s="18">
        <v>47.627303776987439</v>
      </c>
      <c r="N118" s="18">
        <v>0.28135388563673219</v>
      </c>
      <c r="O118" s="18">
        <v>0.45718161925922063</v>
      </c>
      <c r="P118" s="3">
        <f t="shared" si="47"/>
        <v>0.30846940367102077</v>
      </c>
      <c r="Q118" s="3">
        <f t="shared" si="48"/>
        <v>0.22482560453659112</v>
      </c>
      <c r="R118" s="3">
        <f t="shared" si="49"/>
        <v>0.45957851137007993</v>
      </c>
      <c r="S118" s="3">
        <f t="shared" si="50"/>
        <v>2.7149174879723989E-3</v>
      </c>
      <c r="T118" s="4">
        <f t="shared" si="51"/>
        <v>0.55953812211471388</v>
      </c>
      <c r="U118" s="5">
        <f t="shared" si="52"/>
        <v>0.40781515141732566</v>
      </c>
      <c r="V118" s="5"/>
      <c r="W118" s="3">
        <f t="shared" si="43"/>
        <v>0.96735327353203959</v>
      </c>
      <c r="X118" s="3">
        <f t="shared" si="44"/>
        <v>0.32849832330238282</v>
      </c>
    </row>
    <row r="119" spans="1:25" ht="15.6">
      <c r="A119" s="1" t="s">
        <v>23</v>
      </c>
      <c r="B119" s="1">
        <v>60</v>
      </c>
      <c r="C119" s="2">
        <f>+'Flow rate'!E118</f>
        <v>7.1921359999999996</v>
      </c>
      <c r="D119" s="1" t="s">
        <v>25</v>
      </c>
      <c r="E119" s="1" t="s">
        <v>26</v>
      </c>
      <c r="F119" s="1" t="s">
        <v>24</v>
      </c>
      <c r="G119" s="1">
        <v>-0.5</v>
      </c>
      <c r="H119" s="13">
        <v>45411.39166666667</v>
      </c>
      <c r="I119" s="2">
        <f t="shared" si="46"/>
        <v>67.366666666755918</v>
      </c>
      <c r="J119" s="18">
        <v>31.769662296742098</v>
      </c>
      <c r="K119" s="18">
        <v>23.11940035359175</v>
      </c>
      <c r="L119" s="18">
        <v>47.778823843310199</v>
      </c>
      <c r="N119" s="18">
        <v>0.27833368660915814</v>
      </c>
      <c r="O119" s="18">
        <v>0.43960746038912435</v>
      </c>
      <c r="P119" s="3">
        <f t="shared" si="47"/>
        <v>0.30729223745415007</v>
      </c>
      <c r="Q119" s="3">
        <f t="shared" si="48"/>
        <v>0.22362253010105235</v>
      </c>
      <c r="R119" s="3">
        <f t="shared" si="49"/>
        <v>0.46214094265786693</v>
      </c>
      <c r="S119" s="3">
        <f t="shared" si="50"/>
        <v>2.6921841509710128E-3</v>
      </c>
      <c r="T119" s="4">
        <f t="shared" si="51"/>
        <v>0.58502139524197661</v>
      </c>
      <c r="U119" s="5">
        <f t="shared" si="52"/>
        <v>0.42573143288976928</v>
      </c>
      <c r="V119" s="5"/>
      <c r="W119" s="3">
        <f t="shared" si="43"/>
        <v>1.0107528281317459</v>
      </c>
      <c r="X119" s="3">
        <f t="shared" si="44"/>
        <v>0.32609279873334263</v>
      </c>
      <c r="Y119">
        <f t="shared" ref="Y119" si="78">+SUM(J119:L119)</f>
        <v>102.66788649364405</v>
      </c>
    </row>
    <row r="120" spans="1:25" ht="15.6">
      <c r="A120" s="1" t="s">
        <v>23</v>
      </c>
      <c r="B120" s="1">
        <v>60</v>
      </c>
      <c r="C120" s="2">
        <f>+'Flow rate'!E119</f>
        <v>6.7865690000000001</v>
      </c>
      <c r="D120" s="1" t="s">
        <v>25</v>
      </c>
      <c r="E120" s="1" t="s">
        <v>26</v>
      </c>
      <c r="F120" s="1" t="s">
        <v>24</v>
      </c>
      <c r="G120" s="1">
        <v>-0.5</v>
      </c>
      <c r="H120" s="13">
        <v>45411.416666666664</v>
      </c>
      <c r="I120" s="2">
        <f t="shared" si="46"/>
        <v>67.96666666661622</v>
      </c>
      <c r="J120" s="19">
        <v>31.746044981708724</v>
      </c>
      <c r="K120" s="19">
        <v>22.988786335560231</v>
      </c>
      <c r="L120" s="19">
        <v>48.168174939003322</v>
      </c>
      <c r="N120" s="19">
        <v>0.28152448520058959</v>
      </c>
      <c r="O120" s="19">
        <v>0.44106601481185453</v>
      </c>
      <c r="P120" s="3">
        <f t="shared" ref="P120" si="79">+J120/SUM($J120:$L120)</f>
        <v>0.30850454361505786</v>
      </c>
      <c r="Q120" s="3">
        <f t="shared" ref="Q120" si="80">+K120/SUM($J120:$L120)</f>
        <v>0.22340247551474221</v>
      </c>
      <c r="R120" s="3">
        <f t="shared" ref="R120" si="81">+L120/SUM($J120:$L120)</f>
        <v>0.4680929808701999</v>
      </c>
      <c r="S120" s="3">
        <f t="shared" ref="S120" ca="1" si="82">+N120/SUM($J120:$AC120)</f>
        <v>1.2237440316593721E-3</v>
      </c>
      <c r="T120" s="4">
        <f t="shared" si="51"/>
        <v>0.55420967378032715</v>
      </c>
      <c r="U120" s="5">
        <f t="shared" si="52"/>
        <v>0.40132897760893671</v>
      </c>
      <c r="V120" s="5"/>
      <c r="W120" s="3">
        <f t="shared" si="43"/>
        <v>0.95553865138926386</v>
      </c>
      <c r="X120" s="3">
        <f t="shared" si="44"/>
        <v>0.32307150170250487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73F67-A823-4FD7-9239-5E70F375B5E7}">
  <dimension ref="A1:E4189"/>
  <sheetViews>
    <sheetView workbookViewId="0">
      <selection activeCell="E1" sqref="E1"/>
    </sheetView>
  </sheetViews>
  <sheetFormatPr defaultRowHeight="14.4"/>
  <cols>
    <col min="1" max="1" width="18.109375" bestFit="1" customWidth="1"/>
    <col min="3" max="4" width="13.44140625" bestFit="1" customWidth="1"/>
  </cols>
  <sheetData>
    <row r="1" spans="1:5">
      <c r="A1" s="14"/>
      <c r="B1" s="15" t="s">
        <v>28</v>
      </c>
      <c r="C1" s="16">
        <f>+'Acidic catholyte_Cs2SO4'!H2</f>
        <v>45408.584722222222</v>
      </c>
      <c r="D1" s="17">
        <f t="shared" ref="D1:D2" si="0">+C1-2/24</f>
        <v>45408.501388888886</v>
      </c>
      <c r="E1" cm="1">
        <f t="array" ref="E1">INDEX(B$1:B$224233, MATCH(D1,A$1:A$224233,1) +0)</f>
        <v>56.151373999999997</v>
      </c>
    </row>
    <row r="2" spans="1:5">
      <c r="A2" s="14">
        <v>45408.439582999999</v>
      </c>
      <c r="B2" s="15">
        <v>0</v>
      </c>
      <c r="C2" s="16">
        <f>+'Acidic catholyte_Cs2SO4'!H3</f>
        <v>45408.59097222222</v>
      </c>
      <c r="D2" s="17">
        <f t="shared" si="0"/>
        <v>45408.507638888885</v>
      </c>
      <c r="E2" cm="1">
        <f t="array" ref="E2">INDEX(B$1:B$224233, MATCH(D2,A$1:A$224233,1) +0)</f>
        <v>55.082611</v>
      </c>
    </row>
    <row r="3" spans="1:5">
      <c r="A3" s="14">
        <v>45408.440278000002</v>
      </c>
      <c r="B3" s="15">
        <v>0</v>
      </c>
      <c r="C3" s="16">
        <f>+'Acidic catholyte_Cs2SO4'!H4</f>
        <v>45408.60833333333</v>
      </c>
      <c r="D3" s="17">
        <f t="shared" ref="D3:D66" si="1">+C3-2/24</f>
        <v>45408.524999999994</v>
      </c>
      <c r="E3" cm="1">
        <f t="array" ref="E3">INDEX(B$1:B$224233, MATCH(D3,A$1:A$224233,1) +0)</f>
        <v>57.183323999999999</v>
      </c>
    </row>
    <row r="4" spans="1:5">
      <c r="A4" s="14">
        <v>45408.440971999997</v>
      </c>
      <c r="B4" s="15">
        <v>56.939608999999997</v>
      </c>
      <c r="C4" s="16">
        <f>+'Acidic catholyte_Cs2SO4'!H5</f>
        <v>45408.626388888886</v>
      </c>
      <c r="D4" s="17">
        <f t="shared" si="1"/>
        <v>45408.54305555555</v>
      </c>
      <c r="E4" cm="1">
        <f t="array" ref="E4">INDEX(B$1:B$224233, MATCH(D4,A$1:A$224233,1) +0)</f>
        <v>58.115887000000001</v>
      </c>
    </row>
    <row r="5" spans="1:5">
      <c r="A5" s="14">
        <v>45408.441666999999</v>
      </c>
      <c r="B5" s="15">
        <v>48.095143999999998</v>
      </c>
      <c r="C5" s="16">
        <f>+'Acidic catholyte_Cs2SO4'!H6</f>
        <v>45408.643750000003</v>
      </c>
      <c r="D5" s="17">
        <f t="shared" si="1"/>
        <v>45408.560416666667</v>
      </c>
      <c r="E5" cm="1">
        <f t="array" ref="E5">INDEX(B$1:B$224233, MATCH(D5,A$1:A$224233,1) +0)</f>
        <v>58.045684999999999</v>
      </c>
    </row>
    <row r="6" spans="1:5">
      <c r="A6" s="14">
        <v>45408.442361000001</v>
      </c>
      <c r="B6" s="15">
        <v>48.236305999999999</v>
      </c>
      <c r="C6" s="16">
        <f>+'Acidic catholyte_Cs2SO4'!H7</f>
        <v>45408.661805555559</v>
      </c>
      <c r="D6" s="17">
        <f t="shared" si="1"/>
        <v>45408.578472222223</v>
      </c>
      <c r="E6" cm="1">
        <f t="array" ref="E6">INDEX(B$1:B$224233, MATCH(D6,A$1:A$224233,1) +0)</f>
        <v>58.903171</v>
      </c>
    </row>
    <row r="7" spans="1:5">
      <c r="A7" s="14">
        <v>45408.443055999996</v>
      </c>
      <c r="B7" s="15">
        <v>48.080765999999997</v>
      </c>
      <c r="C7" s="16">
        <f>+'Acidic catholyte_Cs2SO4'!H8</f>
        <v>45408.679166666669</v>
      </c>
      <c r="D7" s="17">
        <f t="shared" si="1"/>
        <v>45408.595833333333</v>
      </c>
      <c r="E7" cm="1">
        <f t="array" ref="E7">INDEX(B$1:B$224233, MATCH(D7,A$1:A$224233,1) +0)</f>
        <v>58.602159</v>
      </c>
    </row>
    <row r="8" spans="1:5">
      <c r="A8" s="14">
        <v>45408.443749999999</v>
      </c>
      <c r="B8" s="15">
        <v>47.987889000000003</v>
      </c>
      <c r="C8" s="16">
        <f>+'Acidic catholyte_Cs2SO4'!H9</f>
        <v>45408.697222222225</v>
      </c>
      <c r="D8" s="17">
        <f t="shared" si="1"/>
        <v>45408.613888888889</v>
      </c>
      <c r="E8" cm="1">
        <f t="array" ref="E8">INDEX(B$1:B$224233, MATCH(D8,A$1:A$224233,1) +0)</f>
        <v>58.569921000000001</v>
      </c>
    </row>
    <row r="9" spans="1:5">
      <c r="A9" s="14">
        <v>45408.444444000001</v>
      </c>
      <c r="B9" s="15">
        <v>47.180720999999998</v>
      </c>
      <c r="C9" s="16">
        <f>+'Acidic catholyte_Cs2SO4'!H10</f>
        <v>45408.714583333334</v>
      </c>
      <c r="D9" s="17">
        <f t="shared" si="1"/>
        <v>45408.631249999999</v>
      </c>
      <c r="E9" cm="1">
        <f t="array" ref="E9">INDEX(B$1:B$224233, MATCH(D9,A$1:A$224233,1) +0)</f>
        <v>58.313673000000001</v>
      </c>
    </row>
    <row r="10" spans="1:5">
      <c r="A10" s="14">
        <v>45408.445139000003</v>
      </c>
      <c r="B10" s="15">
        <v>46.907710000000002</v>
      </c>
      <c r="C10" s="16">
        <f>+'Acidic catholyte_Cs2SO4'!H11</f>
        <v>45408.732638888891</v>
      </c>
      <c r="D10" s="17">
        <f t="shared" si="1"/>
        <v>45408.649305555555</v>
      </c>
      <c r="E10" cm="1">
        <f t="array" ref="E10">INDEX(B$1:B$224233, MATCH(D10,A$1:A$224233,1) +0)</f>
        <v>59.759112999999999</v>
      </c>
    </row>
    <row r="11" spans="1:5">
      <c r="A11" s="14">
        <v>45408.445832999998</v>
      </c>
      <c r="B11" s="15">
        <v>47.185285</v>
      </c>
      <c r="C11" s="16">
        <f>+'Acidic catholyte_Cs2SO4'!H12</f>
        <v>45408.75</v>
      </c>
      <c r="D11" s="17">
        <f t="shared" si="1"/>
        <v>45408.666666666664</v>
      </c>
      <c r="E11" cm="1">
        <f t="array" ref="E11">INDEX(B$1:B$224233, MATCH(D11,A$1:A$224233,1) +0)</f>
        <v>59.335780999999997</v>
      </c>
    </row>
    <row r="12" spans="1:5">
      <c r="A12" s="14">
        <v>45408.446528</v>
      </c>
      <c r="B12" s="15">
        <v>47.248538000000003</v>
      </c>
      <c r="C12" s="16">
        <f>+'Acidic catholyte_Cs2SO4'!H13</f>
        <v>45408.768055555556</v>
      </c>
      <c r="D12" s="17">
        <f t="shared" si="1"/>
        <v>45408.68472222222</v>
      </c>
      <c r="E12" cm="1">
        <f t="array" ref="E12">INDEX(B$1:B$224233, MATCH(D12,A$1:A$224233,1) +0)</f>
        <v>60.443483000000001</v>
      </c>
    </row>
    <row r="13" spans="1:5">
      <c r="A13" s="14">
        <v>45408.447222000003</v>
      </c>
      <c r="B13" s="15">
        <v>47.035210999999997</v>
      </c>
      <c r="C13" s="16">
        <f>+'Acidic catholyte_Cs2SO4'!H14</f>
        <v>45408.785416666666</v>
      </c>
      <c r="D13" s="17">
        <f t="shared" si="1"/>
        <v>45408.70208333333</v>
      </c>
      <c r="E13" cm="1">
        <f t="array" ref="E13">INDEX(B$1:B$224233, MATCH(D13,A$1:A$224233,1) +0)</f>
        <v>60.575346000000003</v>
      </c>
    </row>
    <row r="14" spans="1:5">
      <c r="A14" s="14">
        <v>45408.447916999998</v>
      </c>
      <c r="B14" s="15">
        <v>47.239654999999999</v>
      </c>
      <c r="C14" s="16">
        <f>+'Acidic catholyte_Cs2SO4'!H15</f>
        <v>45408.803472222222</v>
      </c>
      <c r="D14" s="17">
        <f t="shared" si="1"/>
        <v>45408.720138888886</v>
      </c>
      <c r="E14" cm="1">
        <f t="array" ref="E14">INDEX(B$1:B$224233, MATCH(D14,A$1:A$224233,1) +0)</f>
        <v>61.293407999999999</v>
      </c>
    </row>
    <row r="15" spans="1:5">
      <c r="A15" s="14">
        <v>45408.448611</v>
      </c>
      <c r="B15" s="15">
        <v>47.185464000000003</v>
      </c>
      <c r="C15" s="16">
        <f>+'Acidic catholyte_Cs2SO4'!H16</f>
        <v>45408.820833333331</v>
      </c>
      <c r="D15" s="17">
        <f t="shared" si="1"/>
        <v>45408.737499999996</v>
      </c>
      <c r="E15" cm="1">
        <f t="array" ref="E15">INDEX(B$1:B$224233, MATCH(D15,A$1:A$224233,1) +0)</f>
        <v>59.994160000000001</v>
      </c>
    </row>
    <row r="16" spans="1:5">
      <c r="A16" s="14">
        <v>45408.449306000002</v>
      </c>
      <c r="B16" s="15">
        <v>47.017702</v>
      </c>
      <c r="C16" s="16">
        <f>+'Acidic catholyte_Cs2SO4'!H17</f>
        <v>45408.838888888888</v>
      </c>
      <c r="D16" s="17">
        <f t="shared" si="1"/>
        <v>45408.755555555552</v>
      </c>
      <c r="E16" cm="1">
        <f t="array" ref="E16">INDEX(B$1:B$224233, MATCH(D16,A$1:A$224233,1) +0)</f>
        <v>60.571302000000003</v>
      </c>
    </row>
    <row r="17" spans="1:5">
      <c r="A17" s="14">
        <v>45408.45</v>
      </c>
      <c r="B17" s="15">
        <v>47.662700000000001</v>
      </c>
      <c r="C17" s="16">
        <f>+'Acidic catholyte_Cs2SO4'!H18</f>
        <v>45408.856249999997</v>
      </c>
      <c r="D17" s="17">
        <f t="shared" si="1"/>
        <v>45408.772916666661</v>
      </c>
      <c r="E17" cm="1">
        <f t="array" ref="E17">INDEX(B$1:B$224233, MATCH(D17,A$1:A$224233,1) +0)</f>
        <v>61.548425999999999</v>
      </c>
    </row>
    <row r="18" spans="1:5">
      <c r="A18" s="14">
        <v>45408.450693999999</v>
      </c>
      <c r="B18" s="15">
        <v>47.816575999999998</v>
      </c>
      <c r="C18" s="16">
        <f>+'Acidic catholyte_Cs2SO4'!H19</f>
        <v>45408.874305555553</v>
      </c>
      <c r="D18" s="17">
        <f t="shared" si="1"/>
        <v>45408.790972222218</v>
      </c>
      <c r="E18" cm="1">
        <f t="array" ref="E18">INDEX(B$1:B$224233, MATCH(D18,A$1:A$224233,1) +0)</f>
        <v>61.343175000000002</v>
      </c>
    </row>
    <row r="19" spans="1:5">
      <c r="A19" s="14">
        <v>45408.451389000002</v>
      </c>
      <c r="B19" s="15">
        <v>47.612158000000001</v>
      </c>
      <c r="C19" s="16">
        <f>+'Acidic catholyte_Cs2SO4'!H20</f>
        <v>45408.893055555556</v>
      </c>
      <c r="D19" s="17">
        <f t="shared" si="1"/>
        <v>45408.80972222222</v>
      </c>
      <c r="E19" cm="1">
        <f t="array" ref="E19">INDEX(B$1:B$224233, MATCH(D19,A$1:A$224233,1) +0)</f>
        <v>61.845123000000001</v>
      </c>
    </row>
    <row r="20" spans="1:5">
      <c r="A20" s="14">
        <v>45408.452082999996</v>
      </c>
      <c r="B20" s="15">
        <v>48.139664000000003</v>
      </c>
      <c r="C20" s="16">
        <f>+'Acidic catholyte_Cs2SO4'!H21</f>
        <v>45408.904861111114</v>
      </c>
      <c r="D20" s="17">
        <f t="shared" si="1"/>
        <v>45408.821527777778</v>
      </c>
      <c r="E20" cm="1">
        <f t="array" ref="E20">INDEX(B$1:B$224233, MATCH(D20,A$1:A$224233,1) +0)</f>
        <v>61.024411000000001</v>
      </c>
    </row>
    <row r="21" spans="1:5">
      <c r="A21" s="14">
        <v>45408.452777999999</v>
      </c>
      <c r="B21" s="15">
        <v>48.262042000000001</v>
      </c>
      <c r="C21" s="16">
        <f>+'Acidic catholyte_Cs2SO4'!H22</f>
        <v>45408.916666666664</v>
      </c>
      <c r="D21" s="17">
        <f t="shared" si="1"/>
        <v>45408.833333333328</v>
      </c>
      <c r="E21" cm="1">
        <f t="array" ref="E21">INDEX(B$1:B$224233, MATCH(D21,A$1:A$224233,1) +0)</f>
        <v>60.666041999999997</v>
      </c>
    </row>
    <row r="22" spans="1:5">
      <c r="A22" s="14">
        <v>45408.453472000001</v>
      </c>
      <c r="B22" s="15">
        <v>48.561737000000001</v>
      </c>
      <c r="C22" s="16">
        <f>+'Acidic catholyte_Cs2SO4'!H23</f>
        <v>45408.928472222222</v>
      </c>
      <c r="D22" s="17">
        <f t="shared" si="1"/>
        <v>45408.845138888886</v>
      </c>
      <c r="E22" cm="1">
        <f t="array" ref="E22">INDEX(B$1:B$224233, MATCH(D22,A$1:A$224233,1) +0)</f>
        <v>62.499085000000001</v>
      </c>
    </row>
    <row r="23" spans="1:5">
      <c r="A23" s="14">
        <v>45408.454167000004</v>
      </c>
      <c r="B23" s="15">
        <v>48.619065999999997</v>
      </c>
      <c r="C23" s="16">
        <f>+'Acidic catholyte_Cs2SO4'!H24</f>
        <v>45408.94027777778</v>
      </c>
      <c r="D23" s="17">
        <f t="shared" si="1"/>
        <v>45408.856944444444</v>
      </c>
      <c r="E23" cm="1">
        <f t="array" ref="E23">INDEX(B$1:B$224233, MATCH(D23,A$1:A$224233,1) +0)</f>
        <v>62.456899</v>
      </c>
    </row>
    <row r="24" spans="1:5">
      <c r="A24" s="14">
        <v>45408.454860999998</v>
      </c>
      <c r="B24" s="15">
        <v>48.808861</v>
      </c>
      <c r="C24" s="16">
        <f>+'Acidic catholyte_Cs2SO4'!H25</f>
        <v>45408.95208333333</v>
      </c>
      <c r="D24" s="17">
        <f t="shared" si="1"/>
        <v>45408.868749999994</v>
      </c>
      <c r="E24" cm="1">
        <f t="array" ref="E24">INDEX(B$1:B$224233, MATCH(D24,A$1:A$224233,1) +0)</f>
        <v>61.365043</v>
      </c>
    </row>
    <row r="25" spans="1:5">
      <c r="A25" s="14">
        <v>45408.455556000001</v>
      </c>
      <c r="B25" s="15">
        <v>48.924424999999999</v>
      </c>
      <c r="C25" s="16">
        <f>+'Acidic catholyte_Cs2SO4'!H26</f>
        <v>45408.963888888888</v>
      </c>
      <c r="D25" s="17">
        <f t="shared" si="1"/>
        <v>45408.880555555552</v>
      </c>
      <c r="E25" cm="1">
        <f t="array" ref="E25">INDEX(B$1:B$224233, MATCH(D25,A$1:A$224233,1) +0)</f>
        <v>61.664237999999997</v>
      </c>
    </row>
    <row r="26" spans="1:5">
      <c r="A26" s="14">
        <v>45408.456250000003</v>
      </c>
      <c r="B26" s="15">
        <v>49.032898000000003</v>
      </c>
      <c r="C26" s="16">
        <f>+'Acidic catholyte_Cs2SO4'!H27</f>
        <v>45408.975694444445</v>
      </c>
      <c r="D26" s="17">
        <f t="shared" si="1"/>
        <v>45408.892361111109</v>
      </c>
      <c r="E26" cm="1">
        <f t="array" ref="E26">INDEX(B$1:B$224233, MATCH(D26,A$1:A$224233,1) +0)</f>
        <v>62.305059</v>
      </c>
    </row>
    <row r="27" spans="1:5">
      <c r="A27" s="14">
        <v>45408.456943999998</v>
      </c>
      <c r="B27" s="15">
        <v>49.291642000000003</v>
      </c>
      <c r="C27" s="16">
        <f>+'Acidic catholyte_Cs2SO4'!H28</f>
        <v>45408.987500000003</v>
      </c>
      <c r="D27" s="17">
        <f t="shared" si="1"/>
        <v>45408.904166666667</v>
      </c>
      <c r="E27" cm="1">
        <f t="array" ref="E27">INDEX(B$1:B$224233, MATCH(D27,A$1:A$224233,1) +0)</f>
        <v>61.961996999999997</v>
      </c>
    </row>
    <row r="28" spans="1:5">
      <c r="A28" s="14">
        <v>45408.457639</v>
      </c>
      <c r="B28" s="15">
        <v>48.776465000000002</v>
      </c>
      <c r="C28" s="16">
        <f>+'Acidic catholyte_Cs2SO4'!H29</f>
        <v>45408.999305555553</v>
      </c>
      <c r="D28" s="17">
        <f t="shared" si="1"/>
        <v>45408.915972222218</v>
      </c>
      <c r="E28" cm="1">
        <f t="array" ref="E28">INDEX(B$1:B$224233, MATCH(D28,A$1:A$224233,1) +0)</f>
        <v>61.866269000000003</v>
      </c>
    </row>
    <row r="29" spans="1:5">
      <c r="A29" s="14">
        <v>45408.458333000002</v>
      </c>
      <c r="B29" s="15">
        <v>49.505026999999998</v>
      </c>
      <c r="C29" s="16">
        <f>+'Acidic catholyte_Cs2SO4'!H30</f>
        <v>45409.011111111111</v>
      </c>
      <c r="D29" s="17">
        <f t="shared" si="1"/>
        <v>45408.927777777775</v>
      </c>
      <c r="E29" cm="1">
        <f t="array" ref="E29">INDEX(B$1:B$224233, MATCH(D29,A$1:A$224233,1) +0)</f>
        <v>64.618812000000005</v>
      </c>
    </row>
    <row r="30" spans="1:5">
      <c r="A30" s="14">
        <v>45408.459027999997</v>
      </c>
      <c r="B30" s="15">
        <v>49.049227999999999</v>
      </c>
      <c r="C30" s="16">
        <f>+'Acidic catholyte_Cs2SO4'!H31</f>
        <v>45409.022916666669</v>
      </c>
      <c r="D30" s="17">
        <f t="shared" si="1"/>
        <v>45408.939583333333</v>
      </c>
      <c r="E30" cm="1">
        <f t="array" ref="E30">INDEX(B$1:B$224233, MATCH(D30,A$1:A$224233,1) +0)</f>
        <v>64.136690999999999</v>
      </c>
    </row>
    <row r="31" spans="1:5">
      <c r="A31" s="14">
        <v>45408.459722</v>
      </c>
      <c r="B31" s="15">
        <v>49.412748000000001</v>
      </c>
      <c r="C31" s="16">
        <f>+'Acidic catholyte_Cs2SO4'!H32</f>
        <v>45409.034722222219</v>
      </c>
      <c r="D31" s="17">
        <f t="shared" si="1"/>
        <v>45408.951388888883</v>
      </c>
      <c r="E31" cm="1">
        <f t="array" ref="E31">INDEX(B$1:B$224233, MATCH(D31,A$1:A$224233,1) +0)</f>
        <v>65.196413000000007</v>
      </c>
    </row>
    <row r="32" spans="1:5">
      <c r="A32" s="14">
        <v>45408.460417000002</v>
      </c>
      <c r="B32" s="15">
        <v>49.592028999999997</v>
      </c>
      <c r="C32" s="16">
        <f>+'Acidic catholyte_Cs2SO4'!H33</f>
        <v>45409.046527777777</v>
      </c>
      <c r="D32" s="17">
        <f t="shared" si="1"/>
        <v>45408.963194444441</v>
      </c>
      <c r="E32" cm="1">
        <f t="array" ref="E32">INDEX(B$1:B$224233, MATCH(D32,A$1:A$224233,1) +0)</f>
        <v>64.401972000000001</v>
      </c>
    </row>
    <row r="33" spans="1:5">
      <c r="A33" s="14">
        <v>45408.461110999997</v>
      </c>
      <c r="B33" s="15">
        <v>49.659050000000001</v>
      </c>
      <c r="C33" s="16">
        <f>+'Acidic catholyte_Cs2SO4'!H34</f>
        <v>45409.058333333334</v>
      </c>
      <c r="D33" s="17">
        <f t="shared" si="1"/>
        <v>45408.974999999999</v>
      </c>
      <c r="E33" cm="1">
        <f t="array" ref="E33">INDEX(B$1:B$224233, MATCH(D33,A$1:A$224233,1) +0)</f>
        <v>64.285295000000005</v>
      </c>
    </row>
    <row r="34" spans="1:5">
      <c r="A34" s="14">
        <v>45408.461805999999</v>
      </c>
      <c r="B34" s="15">
        <v>49.901868999999998</v>
      </c>
      <c r="C34" s="16">
        <f>+'Acidic catholyte_Cs2SO4'!H35</f>
        <v>45409.070138888892</v>
      </c>
      <c r="D34" s="17">
        <f t="shared" si="1"/>
        <v>45408.986805555556</v>
      </c>
      <c r="E34" cm="1">
        <f t="array" ref="E34">INDEX(B$1:B$224233, MATCH(D34,A$1:A$224233,1) +0)</f>
        <v>65.025600999999995</v>
      </c>
    </row>
    <row r="35" spans="1:5">
      <c r="A35" s="14">
        <v>45408.462500000001</v>
      </c>
      <c r="B35" s="15">
        <v>49.848025999999997</v>
      </c>
      <c r="C35" s="16">
        <f>+'Acidic catholyte_Cs2SO4'!H36</f>
        <v>45409.089583333334</v>
      </c>
      <c r="D35" s="17">
        <f t="shared" si="1"/>
        <v>45409.006249999999</v>
      </c>
      <c r="E35" cm="1">
        <f t="array" ref="E35">INDEX(B$1:B$224233, MATCH(D35,A$1:A$224233,1) +0)</f>
        <v>69.019283999999999</v>
      </c>
    </row>
    <row r="36" spans="1:5">
      <c r="A36" s="14">
        <v>45408.463194000004</v>
      </c>
      <c r="B36" s="15">
        <v>49.884678000000001</v>
      </c>
      <c r="C36" s="16">
        <f>+'Acidic catholyte_Cs2SO4'!H37</f>
        <v>45409.101388888892</v>
      </c>
      <c r="D36" s="17">
        <f t="shared" si="1"/>
        <v>45409.018055555556</v>
      </c>
      <c r="E36" cm="1">
        <f t="array" ref="E36">INDEX(B$1:B$224233, MATCH(D36,A$1:A$224233,1) +0)</f>
        <v>68.872148999999993</v>
      </c>
    </row>
    <row r="37" spans="1:5">
      <c r="A37" s="14">
        <v>45408.463888999999</v>
      </c>
      <c r="B37" s="15">
        <v>50.339027999999999</v>
      </c>
      <c r="C37" s="16">
        <f>+'Acidic catholyte_Cs2SO4'!H38</f>
        <v>45409.113194444442</v>
      </c>
      <c r="D37" s="17">
        <f t="shared" si="1"/>
        <v>45409.029861111107</v>
      </c>
      <c r="E37" cm="1">
        <f t="array" ref="E37">INDEX(B$1:B$224233, MATCH(D37,A$1:A$224233,1) +0)</f>
        <v>67.477880999999996</v>
      </c>
    </row>
    <row r="38" spans="1:5">
      <c r="A38" s="14">
        <v>45408.464583000001</v>
      </c>
      <c r="B38" s="15">
        <v>50.758167999999998</v>
      </c>
      <c r="C38" s="16">
        <f>+'Acidic catholyte_Cs2SO4'!H39</f>
        <v>45409.138194444444</v>
      </c>
      <c r="D38" s="17">
        <f t="shared" si="1"/>
        <v>45409.054861111108</v>
      </c>
      <c r="E38" cm="1">
        <f t="array" ref="E38">INDEX(B$1:B$224233, MATCH(D38,A$1:A$224233,1) +0)</f>
        <v>67.786168000000004</v>
      </c>
    </row>
    <row r="39" spans="1:5">
      <c r="A39" s="14">
        <v>45408.465278000003</v>
      </c>
      <c r="B39" s="15">
        <v>50.326219000000002</v>
      </c>
      <c r="C39" s="16">
        <f>+'Acidic catholyte_Cs2SO4'!H40</f>
        <v>45409.15</v>
      </c>
      <c r="D39" s="17">
        <f t="shared" si="1"/>
        <v>45409.066666666666</v>
      </c>
      <c r="E39" cm="1">
        <f t="array" ref="E39">INDEX(B$1:B$224233, MATCH(D39,A$1:A$224233,1) +0)</f>
        <v>67.263091000000003</v>
      </c>
    </row>
    <row r="40" spans="1:5">
      <c r="A40" s="14">
        <v>45408.465971999998</v>
      </c>
      <c r="B40" s="15">
        <v>50.850380000000001</v>
      </c>
      <c r="C40" s="16">
        <f>+'Acidic catholyte_Cs2SO4'!H41</f>
        <v>45409.175000000003</v>
      </c>
      <c r="D40" s="17">
        <f t="shared" si="1"/>
        <v>45409.091666666667</v>
      </c>
      <c r="E40" cm="1">
        <f t="array" ref="E40">INDEX(B$1:B$224233, MATCH(D40,A$1:A$224233,1) +0)</f>
        <v>77.032233000000005</v>
      </c>
    </row>
    <row r="41" spans="1:5">
      <c r="A41" s="14">
        <v>45408.466667000001</v>
      </c>
      <c r="B41" s="15">
        <v>51.160545999999997</v>
      </c>
      <c r="C41" s="16">
        <f>+'Acidic catholyte_Cs2SO4'!H42</f>
        <v>45409.186805555553</v>
      </c>
      <c r="D41" s="17">
        <f t="shared" si="1"/>
        <v>45409.103472222218</v>
      </c>
      <c r="E41" cm="1">
        <f t="array" ref="E41">INDEX(B$1:B$224233, MATCH(D41,A$1:A$224233,1) +0)</f>
        <v>77.296257999999995</v>
      </c>
    </row>
    <row r="42" spans="1:5">
      <c r="A42" s="14">
        <v>45408.467361000003</v>
      </c>
      <c r="B42" s="15">
        <v>51.510060000000003</v>
      </c>
      <c r="C42" s="16">
        <f>+'Acidic catholyte_Cs2SO4'!H43</f>
        <v>45409.198611111111</v>
      </c>
      <c r="D42" s="17">
        <f t="shared" si="1"/>
        <v>45409.115277777775</v>
      </c>
      <c r="E42" cm="1">
        <f t="array" ref="E42">INDEX(B$1:B$224233, MATCH(D42,A$1:A$224233,1) +0)</f>
        <v>76.710099</v>
      </c>
    </row>
    <row r="43" spans="1:5">
      <c r="A43" s="14">
        <v>45408.468055999998</v>
      </c>
      <c r="B43" s="15">
        <v>50.759985</v>
      </c>
      <c r="C43" s="16">
        <f>+'Acidic catholyte_Cs2SO4'!H44</f>
        <v>45409.223611111112</v>
      </c>
      <c r="D43" s="17">
        <f t="shared" si="1"/>
        <v>45409.140277777777</v>
      </c>
      <c r="E43" cm="1">
        <f t="array" ref="E43">INDEX(B$1:B$224233, MATCH(D43,A$1:A$224233,1) +0)</f>
        <v>75.915871999999993</v>
      </c>
    </row>
    <row r="44" spans="1:5">
      <c r="A44" s="14">
        <v>45408.46875</v>
      </c>
      <c r="B44" s="15">
        <v>51.110706999999998</v>
      </c>
      <c r="C44" s="16">
        <f>+'Acidic catholyte_Cs2SO4'!H45</f>
        <v>45409.23541666667</v>
      </c>
      <c r="D44" s="17">
        <f t="shared" si="1"/>
        <v>45409.152083333334</v>
      </c>
      <c r="E44" cm="1">
        <f t="array" ref="E44">INDEX(B$1:B$224233, MATCH(D44,A$1:A$224233,1) +0)</f>
        <v>75.745278999999996</v>
      </c>
    </row>
    <row r="45" spans="1:5">
      <c r="A45" s="14">
        <v>45408.469444000002</v>
      </c>
      <c r="B45" s="15">
        <v>51.54571</v>
      </c>
      <c r="C45" s="16">
        <f>+'Acidic catholyte_Cs2SO4'!H46</f>
        <v>45409.24722222222</v>
      </c>
      <c r="D45" s="17">
        <f t="shared" si="1"/>
        <v>45409.163888888885</v>
      </c>
      <c r="E45" cm="1">
        <f t="array" ref="E45">INDEX(B$1:B$224233, MATCH(D45,A$1:A$224233,1) +0)</f>
        <v>75.709030999999996</v>
      </c>
    </row>
    <row r="46" spans="1:5">
      <c r="A46" s="14">
        <v>45408.470138999997</v>
      </c>
      <c r="B46" s="15">
        <v>51.198301999999998</v>
      </c>
      <c r="C46" s="16">
        <f>+'Acidic catholyte_Cs2SO4'!H47</f>
        <v>45409.347916666666</v>
      </c>
      <c r="D46" s="17">
        <f t="shared" si="1"/>
        <v>45409.26458333333</v>
      </c>
      <c r="E46" cm="1">
        <f t="array" ref="E46">INDEX(B$1:B$224233, MATCH(D46,A$1:A$224233,1) +0)</f>
        <v>60.425986000000002</v>
      </c>
    </row>
    <row r="47" spans="1:5">
      <c r="A47" s="14">
        <v>45408.470832999999</v>
      </c>
      <c r="B47" s="15">
        <v>52.210081000000002</v>
      </c>
      <c r="C47" s="16">
        <f>+'Acidic catholyte_Cs2SO4'!H48</f>
        <v>45409.372916666667</v>
      </c>
      <c r="D47" s="17">
        <f t="shared" si="1"/>
        <v>45409.289583333331</v>
      </c>
      <c r="E47" cm="1">
        <f t="array" ref="E47">INDEX(B$1:B$224233, MATCH(D47,A$1:A$224233,1) +0)</f>
        <v>60.566467000000003</v>
      </c>
    </row>
    <row r="48" spans="1:5">
      <c r="A48" s="14">
        <v>45408.471528000002</v>
      </c>
      <c r="B48" s="15">
        <v>51.781033000000001</v>
      </c>
      <c r="C48" s="16">
        <f>+'Acidic catholyte_Cs2SO4'!H49</f>
        <v>45409.384722222225</v>
      </c>
      <c r="D48" s="17">
        <f t="shared" si="1"/>
        <v>45409.301388888889</v>
      </c>
      <c r="E48" cm="1">
        <f t="array" ref="E48">INDEX(B$1:B$224233, MATCH(D48,A$1:A$224233,1) +0)</f>
        <v>30.760760999999999</v>
      </c>
    </row>
    <row r="49" spans="1:5">
      <c r="A49" s="14">
        <v>45408.472221999997</v>
      </c>
      <c r="B49" s="15">
        <v>51.364306999999997</v>
      </c>
      <c r="C49" s="16">
        <f>+'Acidic catholyte_Cs2SO4'!H50</f>
        <v>45409.408333333333</v>
      </c>
      <c r="D49" s="17">
        <f t="shared" si="1"/>
        <v>45409.324999999997</v>
      </c>
      <c r="E49" cm="1">
        <f t="array" ref="E49">INDEX(B$1:B$224233, MATCH(D49,A$1:A$224233,1) +0)</f>
        <v>30.530062999999998</v>
      </c>
    </row>
    <row r="50" spans="1:5">
      <c r="A50" s="14">
        <v>45408.472916999999</v>
      </c>
      <c r="B50" s="15">
        <v>51.966315999999999</v>
      </c>
      <c r="C50" s="16">
        <f>+'Acidic catholyte_Cs2SO4'!H51</f>
        <v>45409.431944444441</v>
      </c>
      <c r="D50" s="17">
        <f t="shared" si="1"/>
        <v>45409.348611111105</v>
      </c>
      <c r="E50" cm="1">
        <f t="array" ref="E50">INDEX(B$1:B$224233, MATCH(D50,A$1:A$224233,1) +0)</f>
        <v>30.469186000000001</v>
      </c>
    </row>
    <row r="51" spans="1:5">
      <c r="A51" s="14">
        <v>45408.473611000001</v>
      </c>
      <c r="B51" s="15">
        <v>52.492179999999998</v>
      </c>
      <c r="C51" s="16">
        <f>+'Acidic catholyte_Cs2SO4'!H52</f>
        <v>45409.455555555556</v>
      </c>
      <c r="D51" s="17">
        <f t="shared" si="1"/>
        <v>45409.37222222222</v>
      </c>
      <c r="E51" cm="1">
        <f t="array" ref="E51">INDEX(B$1:B$224233, MATCH(D51,A$1:A$224233,1) +0)</f>
        <v>30.615580999999999</v>
      </c>
    </row>
    <row r="52" spans="1:5">
      <c r="A52" s="14">
        <v>45408.474305999996</v>
      </c>
      <c r="B52" s="15">
        <v>52.422995999999998</v>
      </c>
      <c r="C52" s="16">
        <f>+'Acidic catholyte_Cs2SO4'!H53</f>
        <v>45409.479166666664</v>
      </c>
      <c r="D52" s="17">
        <f t="shared" si="1"/>
        <v>45409.395833333328</v>
      </c>
      <c r="E52" cm="1">
        <f t="array" ref="E52">INDEX(B$1:B$224233, MATCH(D52,A$1:A$224233,1) +0)</f>
        <v>31.10239</v>
      </c>
    </row>
    <row r="53" spans="1:5">
      <c r="A53" s="14">
        <v>45408.474999999999</v>
      </c>
      <c r="B53" s="15">
        <v>52.491382000000002</v>
      </c>
      <c r="C53" s="16">
        <f>+'Acidic catholyte_Cs2SO4'!H54</f>
        <v>45409.50277777778</v>
      </c>
      <c r="D53" s="17">
        <f t="shared" si="1"/>
        <v>45409.419444444444</v>
      </c>
      <c r="E53" cm="1">
        <f t="array" ref="E53">INDEX(B$1:B$224233, MATCH(D53,A$1:A$224233,1) +0)</f>
        <v>31.229063</v>
      </c>
    </row>
    <row r="54" spans="1:5">
      <c r="A54" s="14">
        <v>45408.475694000001</v>
      </c>
      <c r="B54" s="15">
        <v>52.604630999999998</v>
      </c>
      <c r="C54" s="16">
        <f>+'Acidic catholyte_Cs2SO4'!H55</f>
        <v>45409.526388888888</v>
      </c>
      <c r="D54" s="17">
        <f t="shared" si="1"/>
        <v>45409.443055555552</v>
      </c>
      <c r="E54" cm="1">
        <f t="array" ref="E54">INDEX(B$1:B$224233, MATCH(D54,A$1:A$224233,1) +0)</f>
        <v>30.648299000000002</v>
      </c>
    </row>
    <row r="55" spans="1:5">
      <c r="A55" s="14">
        <v>45408.476389000003</v>
      </c>
      <c r="B55" s="15">
        <v>52.715139000000001</v>
      </c>
      <c r="C55" s="16">
        <f>+'Acidic catholyte_Cs2SO4'!H56</f>
        <v>45409.55</v>
      </c>
      <c r="D55" s="17">
        <f t="shared" si="1"/>
        <v>45409.466666666667</v>
      </c>
      <c r="E55" cm="1">
        <f t="array" ref="E55">INDEX(B$1:B$224233, MATCH(D55,A$1:A$224233,1) +0)</f>
        <v>21.45243</v>
      </c>
    </row>
    <row r="56" spans="1:5">
      <c r="A56" s="14">
        <v>45408.477082999998</v>
      </c>
      <c r="B56" s="15">
        <v>52.326642</v>
      </c>
      <c r="C56" s="16">
        <f>+'Acidic catholyte_Cs2SO4'!H57</f>
        <v>45409.573611111111</v>
      </c>
      <c r="D56" s="17">
        <f t="shared" si="1"/>
        <v>45409.490277777775</v>
      </c>
      <c r="E56" cm="1">
        <f t="array" ref="E56">INDEX(B$1:B$224233, MATCH(D56,A$1:A$224233,1) +0)</f>
        <v>21.175015999999999</v>
      </c>
    </row>
    <row r="57" spans="1:5">
      <c r="A57" s="14">
        <v>45408.477778</v>
      </c>
      <c r="B57" s="15">
        <v>52.768746999999998</v>
      </c>
      <c r="C57" s="16">
        <f>+'Acidic catholyte_Cs2SO4'!H58</f>
        <v>45409.597222222219</v>
      </c>
      <c r="D57" s="17">
        <f t="shared" si="1"/>
        <v>45409.513888888883</v>
      </c>
      <c r="E57" cm="1">
        <f t="array" ref="E57">INDEX(B$1:B$224233, MATCH(D57,A$1:A$224233,1) +0)</f>
        <v>21.065227</v>
      </c>
    </row>
    <row r="58" spans="1:5">
      <c r="A58" s="14">
        <v>45408.478472000003</v>
      </c>
      <c r="B58" s="15">
        <v>52.349587999999997</v>
      </c>
      <c r="C58" s="16">
        <f>+'Acidic catholyte_Cs2SO4'!H59</f>
        <v>45409.620833333334</v>
      </c>
      <c r="D58" s="17">
        <f t="shared" si="1"/>
        <v>45409.537499999999</v>
      </c>
      <c r="E58" cm="1">
        <f t="array" ref="E58">INDEX(B$1:B$224233, MATCH(D58,A$1:A$224233,1) +0)</f>
        <v>21.192696000000002</v>
      </c>
    </row>
    <row r="59" spans="1:5">
      <c r="A59" s="14">
        <v>45408.479166999998</v>
      </c>
      <c r="B59" s="15">
        <v>53.004316000000003</v>
      </c>
      <c r="C59" s="16">
        <f>+'Acidic catholyte_Cs2SO4'!H60</f>
        <v>45409.65625</v>
      </c>
      <c r="D59" s="17">
        <f t="shared" si="1"/>
        <v>45409.572916666664</v>
      </c>
      <c r="E59" cm="1">
        <f t="array" ref="E59">INDEX(B$1:B$224233, MATCH(D59,A$1:A$224233,1) +0)</f>
        <v>20.911629999999999</v>
      </c>
    </row>
    <row r="60" spans="1:5">
      <c r="A60" s="14">
        <v>45408.479861</v>
      </c>
      <c r="B60" s="15">
        <v>53.835732999999998</v>
      </c>
      <c r="C60" s="16">
        <f>+'Acidic catholyte_Cs2SO4'!H61</f>
        <v>45409.679861111108</v>
      </c>
      <c r="D60" s="17">
        <f t="shared" si="1"/>
        <v>45409.596527777772</v>
      </c>
      <c r="E60" cm="1">
        <f t="array" ref="E60">INDEX(B$1:B$224233, MATCH(D60,A$1:A$224233,1) +0)</f>
        <v>16.785319999999999</v>
      </c>
    </row>
    <row r="61" spans="1:5">
      <c r="A61" s="14">
        <v>45408.480556000002</v>
      </c>
      <c r="B61" s="15">
        <v>53.227231000000003</v>
      </c>
      <c r="C61" s="16">
        <f>+'Acidic catholyte_Cs2SO4'!H62</f>
        <v>45409.703472222223</v>
      </c>
      <c r="D61" s="17">
        <f t="shared" si="1"/>
        <v>45409.620138888888</v>
      </c>
      <c r="E61" cm="1">
        <f t="array" ref="E61">INDEX(B$1:B$224233, MATCH(D61,A$1:A$224233,1) +0)</f>
        <v>16.235078000000001</v>
      </c>
    </row>
    <row r="62" spans="1:5">
      <c r="A62" s="14">
        <v>45408.481249999997</v>
      </c>
      <c r="B62" s="15">
        <v>53.023646999999997</v>
      </c>
      <c r="C62" s="16">
        <f>+'Acidic catholyte_Cs2SO4'!H63</f>
        <v>45409.727083333331</v>
      </c>
      <c r="D62" s="17">
        <f t="shared" si="1"/>
        <v>45409.643749999996</v>
      </c>
      <c r="E62" cm="1">
        <f t="array" ref="E62">INDEX(B$1:B$224233, MATCH(D62,A$1:A$224233,1) +0)</f>
        <v>16.136804999999999</v>
      </c>
    </row>
    <row r="63" spans="1:5">
      <c r="A63" s="14">
        <v>45408.481943999999</v>
      </c>
      <c r="B63" s="15">
        <v>53.139620999999998</v>
      </c>
      <c r="C63" s="16">
        <f>+'Acidic catholyte_Cs2SO4'!H64</f>
        <v>45409.750694444447</v>
      </c>
      <c r="D63" s="17">
        <f t="shared" si="1"/>
        <v>45409.667361111111</v>
      </c>
      <c r="E63" cm="1">
        <f t="array" ref="E63">INDEX(B$1:B$224233, MATCH(D63,A$1:A$224233,1) +0)</f>
        <v>15.675128000000001</v>
      </c>
    </row>
    <row r="64" spans="1:5">
      <c r="A64" s="14">
        <v>45408.482639000002</v>
      </c>
      <c r="B64" s="15">
        <v>53.290301999999997</v>
      </c>
      <c r="C64" s="16">
        <f>+'Acidic catholyte_Cs2SO4'!H65</f>
        <v>45409.762499999997</v>
      </c>
      <c r="D64" s="17">
        <f t="shared" si="1"/>
        <v>45409.679166666661</v>
      </c>
      <c r="E64" cm="1">
        <f t="array" ref="E64">INDEX(B$1:B$224233, MATCH(D64,A$1:A$224233,1) +0)</f>
        <v>16.468088000000002</v>
      </c>
    </row>
    <row r="65" spans="1:5">
      <c r="A65" s="14">
        <v>45408.483332999996</v>
      </c>
      <c r="B65" s="15">
        <v>53.818207000000001</v>
      </c>
      <c r="C65" s="16">
        <f>+'Acidic catholyte_Cs2SO4'!H66</f>
        <v>45409.774305555555</v>
      </c>
      <c r="D65" s="17">
        <f t="shared" si="1"/>
        <v>45409.690972222219</v>
      </c>
      <c r="E65" cm="1">
        <f t="array" ref="E65">INDEX(B$1:B$224233, MATCH(D65,A$1:A$224233,1) +0)</f>
        <v>15.796849999999999</v>
      </c>
    </row>
    <row r="66" spans="1:5">
      <c r="A66" s="14">
        <v>45408.484027999999</v>
      </c>
      <c r="B66" s="15">
        <v>54.086208999999997</v>
      </c>
      <c r="C66" s="16">
        <f>+'Acidic catholyte_Cs2SO4'!H67</f>
        <v>45409.786111111112</v>
      </c>
      <c r="D66" s="17">
        <f t="shared" si="1"/>
        <v>45409.702777777777</v>
      </c>
      <c r="E66" cm="1">
        <f t="array" ref="E66">INDEX(B$1:B$224233, MATCH(D66,A$1:A$224233,1) +0)</f>
        <v>15.695599</v>
      </c>
    </row>
    <row r="67" spans="1:5">
      <c r="A67" s="14">
        <v>45408.484722000001</v>
      </c>
      <c r="B67" s="15">
        <v>54.003117000000003</v>
      </c>
      <c r="C67" s="16">
        <f>+'Acidic catholyte_Cs2SO4'!H68</f>
        <v>45409.811111111114</v>
      </c>
      <c r="D67" s="17">
        <f t="shared" ref="D67:D119" si="2">+C67-2/24</f>
        <v>45409.727777777778</v>
      </c>
      <c r="E67" cm="1">
        <f t="array" ref="E67">INDEX(B$1:B$224233, MATCH(D67,A$1:A$224233,1) +0)</f>
        <v>15.461679</v>
      </c>
    </row>
    <row r="68" spans="1:5">
      <c r="A68" s="14">
        <v>45408.485417000004</v>
      </c>
      <c r="B68" s="15">
        <v>54.049590000000002</v>
      </c>
      <c r="C68" s="16">
        <f>+'Acidic catholyte_Cs2SO4'!H69</f>
        <v>45409.822916666664</v>
      </c>
      <c r="D68" s="17">
        <f t="shared" si="2"/>
        <v>45409.739583333328</v>
      </c>
      <c r="E68" cm="1">
        <f t="array" ref="E68">INDEX(B$1:B$224233, MATCH(D68,A$1:A$224233,1) +0)</f>
        <v>15.563839</v>
      </c>
    </row>
    <row r="69" spans="1:5">
      <c r="A69" s="14">
        <v>45408.486110999998</v>
      </c>
      <c r="B69" s="15">
        <v>53.248860999999998</v>
      </c>
      <c r="C69" s="16">
        <f>+'Acidic catholyte_Cs2SO4'!H70</f>
        <v>45409.847916666666</v>
      </c>
      <c r="D69" s="17">
        <f t="shared" si="2"/>
        <v>45409.76458333333</v>
      </c>
      <c r="E69" cm="1">
        <f t="array" ref="E69">INDEX(B$1:B$224233, MATCH(D69,A$1:A$224233,1) +0)</f>
        <v>15.456574</v>
      </c>
    </row>
    <row r="70" spans="1:5">
      <c r="A70" s="14">
        <v>45408.486806000001</v>
      </c>
      <c r="B70" s="15">
        <v>54.762881999999998</v>
      </c>
      <c r="C70" s="16">
        <f>+'Acidic catholyte_Cs2SO4'!H71</f>
        <v>45409.859722222223</v>
      </c>
      <c r="D70" s="17">
        <f t="shared" si="2"/>
        <v>45409.776388888888</v>
      </c>
      <c r="E70" cm="1">
        <f t="array" ref="E70">INDEX(B$1:B$224233, MATCH(D70,A$1:A$224233,1) +0)</f>
        <v>16.005883000000001</v>
      </c>
    </row>
    <row r="71" spans="1:5">
      <c r="A71" s="14">
        <v>45408.487500000003</v>
      </c>
      <c r="B71" s="15">
        <v>54.613582000000001</v>
      </c>
      <c r="C71" s="16">
        <f>+'Acidic catholyte_Cs2SO4'!H72</f>
        <v>45409.871527777781</v>
      </c>
      <c r="D71" s="17">
        <f t="shared" si="2"/>
        <v>45409.788194444445</v>
      </c>
      <c r="E71" cm="1">
        <f t="array" ref="E71">INDEX(B$1:B$224233, MATCH(D71,A$1:A$224233,1) +0)</f>
        <v>15.333978</v>
      </c>
    </row>
    <row r="72" spans="1:5">
      <c r="A72" s="14">
        <v>45408.488193999998</v>
      </c>
      <c r="B72" s="15">
        <v>54.731838000000003</v>
      </c>
      <c r="C72" s="16">
        <f>+'Acidic catholyte_Cs2SO4'!H73</f>
        <v>45409.896527777775</v>
      </c>
      <c r="D72" s="17">
        <f t="shared" si="2"/>
        <v>45409.813194444439</v>
      </c>
      <c r="E72" cm="1">
        <f t="array" ref="E72">INDEX(B$1:B$224233, MATCH(D72,A$1:A$224233,1) +0)</f>
        <v>11.945359</v>
      </c>
    </row>
    <row r="73" spans="1:5">
      <c r="A73" s="14">
        <v>45408.488889</v>
      </c>
      <c r="B73" s="15">
        <v>53.950830000000003</v>
      </c>
      <c r="C73" s="16">
        <f>+'Acidic catholyte_Cs2SO4'!H74</f>
        <v>45409.921527777777</v>
      </c>
      <c r="D73" s="17">
        <f t="shared" si="2"/>
        <v>45409.838194444441</v>
      </c>
      <c r="E73" cm="1">
        <f t="array" ref="E73">INDEX(B$1:B$224233, MATCH(D73,A$1:A$224233,1) +0)</f>
        <v>12.164301999999999</v>
      </c>
    </row>
    <row r="74" spans="1:5">
      <c r="A74" s="14">
        <v>45408.489583000002</v>
      </c>
      <c r="B74" s="15">
        <v>54.663890000000002</v>
      </c>
      <c r="C74" s="16">
        <f>+'Acidic catholyte_Cs2SO4'!H75</f>
        <v>45409.933333333334</v>
      </c>
      <c r="D74" s="17">
        <f t="shared" si="2"/>
        <v>45409.85</v>
      </c>
      <c r="E74" cm="1">
        <f t="array" ref="E74">INDEX(B$1:B$224233, MATCH(D74,A$1:A$224233,1) +0)</f>
        <v>11.912965</v>
      </c>
    </row>
    <row r="75" spans="1:5">
      <c r="A75" s="14">
        <v>45408.490277999997</v>
      </c>
      <c r="B75" s="15">
        <v>54.391753999999999</v>
      </c>
      <c r="C75" s="16">
        <f>+'Acidic catholyte_Cs2SO4'!H76</f>
        <v>45409.958333333336</v>
      </c>
      <c r="D75" s="17">
        <f t="shared" si="2"/>
        <v>45409.875</v>
      </c>
      <c r="E75" cm="1">
        <f t="array" ref="E75">INDEX(B$1:B$224233, MATCH(D75,A$1:A$224233,1) +0)</f>
        <v>11.717135000000001</v>
      </c>
    </row>
    <row r="76" spans="1:5">
      <c r="A76" s="14">
        <v>45408.490972</v>
      </c>
      <c r="B76" s="15">
        <v>54.960585999999999</v>
      </c>
      <c r="C76" s="16">
        <f>+'Acidic catholyte_Cs2SO4'!H77</f>
        <v>45409.98333333333</v>
      </c>
      <c r="D76" s="17">
        <f t="shared" si="2"/>
        <v>45409.899999999994</v>
      </c>
      <c r="E76" cm="1">
        <f t="array" ref="E76">INDEX(B$1:B$224233, MATCH(D76,A$1:A$224233,1) +0)</f>
        <v>11.429553</v>
      </c>
    </row>
    <row r="77" spans="1:5">
      <c r="A77" s="14">
        <v>45408.491667000002</v>
      </c>
      <c r="B77" s="15">
        <v>54.502825000000001</v>
      </c>
      <c r="C77" s="16">
        <f>+'Acidic catholyte_Cs2SO4'!H78</f>
        <v>45409.995138888888</v>
      </c>
      <c r="D77" s="17">
        <f t="shared" si="2"/>
        <v>45409.911805555552</v>
      </c>
      <c r="E77" cm="1">
        <f t="array" ref="E77">INDEX(B$1:B$224233, MATCH(D77,A$1:A$224233,1) +0)</f>
        <v>11.669039</v>
      </c>
    </row>
    <row r="78" spans="1:5">
      <c r="A78" s="14">
        <v>45408.492360999997</v>
      </c>
      <c r="B78" s="15">
        <v>55.455953999999998</v>
      </c>
      <c r="C78" s="16">
        <f>+'Acidic catholyte_Cs2SO4'!H79</f>
        <v>45410.020138888889</v>
      </c>
      <c r="D78" s="17">
        <f t="shared" si="2"/>
        <v>45409.936805555553</v>
      </c>
      <c r="E78" cm="1">
        <f t="array" ref="E78">INDEX(B$1:B$224233, MATCH(D78,A$1:A$224233,1) +0)</f>
        <v>11.606267000000001</v>
      </c>
    </row>
    <row r="79" spans="1:5">
      <c r="A79" s="14">
        <v>45408.493055999999</v>
      </c>
      <c r="B79" s="15">
        <v>54.099693000000002</v>
      </c>
      <c r="C79" s="16">
        <f>+'Acidic catholyte_Cs2SO4'!H80</f>
        <v>45410.045138888891</v>
      </c>
      <c r="D79" s="17">
        <f t="shared" si="2"/>
        <v>45409.961805555555</v>
      </c>
      <c r="E79" cm="1">
        <f t="array" ref="E79">INDEX(B$1:B$224233, MATCH(D79,A$1:A$224233,1) +0)</f>
        <v>11.596106000000001</v>
      </c>
    </row>
    <row r="80" spans="1:5">
      <c r="A80" s="14">
        <v>45408.493750000001</v>
      </c>
      <c r="B80" s="15">
        <v>54.582858999999999</v>
      </c>
      <c r="C80" s="16">
        <f>+'Acidic catholyte_Cs2SO4'!H81</f>
        <v>45410.383333333331</v>
      </c>
      <c r="D80" s="17">
        <f t="shared" si="2"/>
        <v>45410.299999999996</v>
      </c>
      <c r="E80" cm="1">
        <f t="array" ref="E80">INDEX(B$1:B$224233, MATCH(D80,A$1:A$224233,1) +0)</f>
        <v>11.508274999999999</v>
      </c>
    </row>
    <row r="81" spans="1:5">
      <c r="A81" s="14">
        <v>45408.494444000004</v>
      </c>
      <c r="B81" s="15">
        <v>55.041848000000002</v>
      </c>
      <c r="C81" s="16">
        <f>+'Acidic catholyte_Cs2SO4'!H82</f>
        <v>45410.408333333333</v>
      </c>
      <c r="D81" s="17">
        <f t="shared" si="2"/>
        <v>45410.324999999997</v>
      </c>
      <c r="E81" cm="1">
        <f t="array" ref="E81">INDEX(B$1:B$224233, MATCH(D81,A$1:A$224233,1) +0)</f>
        <v>10.905459</v>
      </c>
    </row>
    <row r="82" spans="1:5">
      <c r="A82" s="14">
        <v>45408.495138999999</v>
      </c>
      <c r="B82" s="15">
        <v>55.724066000000001</v>
      </c>
      <c r="C82" s="16">
        <f>+'Acidic catholyte_Cs2SO4'!H83</f>
        <v>45410.420138888891</v>
      </c>
      <c r="D82" s="17">
        <f t="shared" si="2"/>
        <v>45410.336805555555</v>
      </c>
      <c r="E82" cm="1">
        <f t="array" ref="E82">INDEX(B$1:B$224233, MATCH(D82,A$1:A$224233,1) +0)</f>
        <v>11.525463999999999</v>
      </c>
    </row>
    <row r="83" spans="1:5">
      <c r="A83" s="14">
        <v>45408.495833000001</v>
      </c>
      <c r="B83" s="15">
        <v>55.069519999999997</v>
      </c>
      <c r="C83" s="16">
        <f>+'Acidic catholyte_Cs2SO4'!H84</f>
        <v>45410.445138888892</v>
      </c>
      <c r="D83" s="17">
        <f t="shared" si="2"/>
        <v>45410.361805555556</v>
      </c>
      <c r="E83" cm="1">
        <f t="array" ref="E83">INDEX(B$1:B$224233, MATCH(D83,A$1:A$224233,1) +0)</f>
        <v>9.6095900000000007</v>
      </c>
    </row>
    <row r="84" spans="1:5">
      <c r="A84" s="14">
        <v>45408.496528000003</v>
      </c>
      <c r="B84" s="15">
        <v>55.467523999999997</v>
      </c>
      <c r="C84" s="16">
        <f>+'Acidic catholyte_Cs2SO4'!H85</f>
        <v>45410.470138888886</v>
      </c>
      <c r="D84" s="17">
        <f t="shared" si="2"/>
        <v>45410.38680555555</v>
      </c>
      <c r="E84" cm="1">
        <f t="array" ref="E84">INDEX(B$1:B$224233, MATCH(D84,A$1:A$224233,1) +0)</f>
        <v>9.5416070000000008</v>
      </c>
    </row>
    <row r="85" spans="1:5">
      <c r="A85" s="14">
        <v>45408.497221999998</v>
      </c>
      <c r="B85" s="15">
        <v>56.101483999999999</v>
      </c>
      <c r="C85" s="16">
        <f>+'Acidic catholyte_Cs2SO4'!H86</f>
        <v>45410.481944444444</v>
      </c>
      <c r="D85" s="17">
        <f t="shared" si="2"/>
        <v>45410.398611111108</v>
      </c>
      <c r="E85" cm="1">
        <f t="array" ref="E85">INDEX(B$1:B$224233, MATCH(D85,A$1:A$224233,1) +0)</f>
        <v>9.7184519999999992</v>
      </c>
    </row>
    <row r="86" spans="1:5">
      <c r="A86" s="14">
        <v>45408.497917000001</v>
      </c>
      <c r="B86" s="15">
        <v>56.831417000000002</v>
      </c>
      <c r="C86" s="16">
        <f>+'Acidic catholyte_Cs2SO4'!H87</f>
        <v>45410.506944444445</v>
      </c>
      <c r="D86" s="17">
        <f t="shared" si="2"/>
        <v>45410.423611111109</v>
      </c>
      <c r="E86" cm="1">
        <f t="array" ref="E86">INDEX(B$1:B$224233, MATCH(D86,A$1:A$224233,1) +0)</f>
        <v>9.7096090000000004</v>
      </c>
    </row>
    <row r="87" spans="1:5">
      <c r="A87" s="14">
        <v>45408.498611000003</v>
      </c>
      <c r="B87" s="15">
        <v>55.535432</v>
      </c>
      <c r="C87" s="16">
        <f>+'Acidic catholyte_Cs2SO4'!H88</f>
        <v>45410.531944444447</v>
      </c>
      <c r="D87" s="17">
        <f t="shared" si="2"/>
        <v>45410.448611111111</v>
      </c>
      <c r="E87" cm="1">
        <f t="array" ref="E87">INDEX(B$1:B$224233, MATCH(D87,A$1:A$224233,1) +0)</f>
        <v>9.6290739999999992</v>
      </c>
    </row>
    <row r="88" spans="1:5">
      <c r="A88" s="14">
        <v>45408.499305999998</v>
      </c>
      <c r="B88" s="15">
        <v>55.276113000000002</v>
      </c>
      <c r="C88" s="16">
        <f>+'Acidic catholyte_Cs2SO4'!H89</f>
        <v>45410.556944444441</v>
      </c>
      <c r="D88" s="17">
        <f t="shared" si="2"/>
        <v>45410.473611111105</v>
      </c>
      <c r="E88" cm="1">
        <f t="array" ref="E88">INDEX(B$1:B$224233, MATCH(D88,A$1:A$224233,1) +0)</f>
        <v>9.2141269999999995</v>
      </c>
    </row>
    <row r="89" spans="1:5">
      <c r="A89" s="14">
        <v>45408.5</v>
      </c>
      <c r="B89" s="15">
        <v>56.621015</v>
      </c>
      <c r="C89" s="16">
        <f>+'Acidic catholyte_Cs2SO4'!H90</f>
        <v>45410.568749999999</v>
      </c>
      <c r="D89" s="17">
        <f t="shared" si="2"/>
        <v>45410.485416666663</v>
      </c>
      <c r="E89" cm="1">
        <f t="array" ref="E89">INDEX(B$1:B$224233, MATCH(D89,A$1:A$224233,1) +0)</f>
        <v>9.1278129999999997</v>
      </c>
    </row>
    <row r="90" spans="1:5">
      <c r="A90" s="14">
        <v>45408.500694000002</v>
      </c>
      <c r="B90" s="15">
        <v>56.151373999999997</v>
      </c>
      <c r="C90" s="16">
        <f>+'Acidic catholyte_Cs2SO4'!H91</f>
        <v>45410.717361111114</v>
      </c>
      <c r="D90" s="17">
        <f t="shared" si="2"/>
        <v>45410.634027777778</v>
      </c>
      <c r="E90" cm="1">
        <f t="array" ref="E90">INDEX(B$1:B$224233, MATCH(D90,A$1:A$224233,1) +0)</f>
        <v>8.7801869999999997</v>
      </c>
    </row>
    <row r="91" spans="1:5">
      <c r="A91" s="14">
        <v>45408.501388999997</v>
      </c>
      <c r="B91" s="15">
        <v>55.965381000000001</v>
      </c>
      <c r="C91" s="16">
        <f>+'Acidic catholyte_Cs2SO4'!H92</f>
        <v>45410.729166666664</v>
      </c>
      <c r="D91" s="17">
        <f t="shared" si="2"/>
        <v>45410.645833333328</v>
      </c>
      <c r="E91" cm="1">
        <f t="array" ref="E91">INDEX(B$1:B$224233, MATCH(D91,A$1:A$224233,1) +0)</f>
        <v>8.8630669999999991</v>
      </c>
    </row>
    <row r="92" spans="1:5">
      <c r="A92" s="14">
        <v>45408.502082999999</v>
      </c>
      <c r="B92" s="15">
        <v>56.014324999999999</v>
      </c>
      <c r="C92" s="16">
        <f>+'Acidic catholyte_Cs2SO4'!H93</f>
        <v>45410.740972222222</v>
      </c>
      <c r="D92" s="17">
        <f t="shared" si="2"/>
        <v>45410.657638888886</v>
      </c>
      <c r="E92" cm="1">
        <f t="array" ref="E92">INDEX(B$1:B$224233, MATCH(D92,A$1:A$224233,1) +0)</f>
        <v>9.1218599999999999</v>
      </c>
    </row>
    <row r="93" spans="1:5">
      <c r="A93" s="14">
        <v>45408.502778000002</v>
      </c>
      <c r="B93" s="15">
        <v>56.269374999999997</v>
      </c>
      <c r="C93" s="16">
        <f>+'Acidic catholyte_Cs2SO4'!H94</f>
        <v>45410.765972222223</v>
      </c>
      <c r="D93" s="17">
        <f t="shared" si="2"/>
        <v>45410.682638888888</v>
      </c>
      <c r="E93" cm="1">
        <f t="array" ref="E93">INDEX(B$1:B$224233, MATCH(D93,A$1:A$224233,1) +0)</f>
        <v>7.7769550000000001</v>
      </c>
    </row>
    <row r="94" spans="1:5">
      <c r="A94" s="14">
        <v>45408.503471999997</v>
      </c>
      <c r="B94" s="15">
        <v>55.609682999999997</v>
      </c>
      <c r="C94" s="16">
        <f>+'Acidic catholyte_Cs2SO4'!H95</f>
        <v>45410.790972222225</v>
      </c>
      <c r="D94" s="17">
        <f t="shared" si="2"/>
        <v>45410.707638888889</v>
      </c>
      <c r="E94" cm="1">
        <f t="array" ref="E94">INDEX(B$1:B$224233, MATCH(D94,A$1:A$224233,1) +0)</f>
        <v>7.5471000000000004</v>
      </c>
    </row>
    <row r="95" spans="1:5">
      <c r="A95" s="14">
        <v>45408.504166999999</v>
      </c>
      <c r="B95" s="15">
        <v>55.666209000000002</v>
      </c>
      <c r="C95" s="16">
        <f>+'Acidic catholyte_Cs2SO4'!H96</f>
        <v>45410.815972222219</v>
      </c>
      <c r="D95" s="17">
        <f t="shared" si="2"/>
        <v>45410.732638888883</v>
      </c>
      <c r="E95" cm="1">
        <f t="array" ref="E95">INDEX(B$1:B$224233, MATCH(D95,A$1:A$224233,1) +0)</f>
        <v>7.594868</v>
      </c>
    </row>
    <row r="96" spans="1:5">
      <c r="A96" s="14">
        <v>45408.504861000001</v>
      </c>
      <c r="B96" s="15">
        <v>56.617365999999997</v>
      </c>
      <c r="C96" s="16">
        <f>+'Acidic catholyte_Cs2SO4'!H97</f>
        <v>45410.84097222222</v>
      </c>
      <c r="D96" s="17">
        <f t="shared" si="2"/>
        <v>45410.757638888885</v>
      </c>
      <c r="E96" cm="1">
        <f t="array" ref="E96">INDEX(B$1:B$224233, MATCH(D96,A$1:A$224233,1) +0)</f>
        <v>7.4691869999999998</v>
      </c>
    </row>
    <row r="97" spans="1:5">
      <c r="A97" s="14">
        <v>45408.505555999996</v>
      </c>
      <c r="B97" s="15">
        <v>55.490428000000001</v>
      </c>
      <c r="C97" s="16">
        <f>+'Acidic catholyte_Cs2SO4'!H98</f>
        <v>45410.865972222222</v>
      </c>
      <c r="D97" s="17">
        <f t="shared" si="2"/>
        <v>45410.782638888886</v>
      </c>
      <c r="E97" cm="1">
        <f t="array" ref="E97">INDEX(B$1:B$224233, MATCH(D97,A$1:A$224233,1) +0)</f>
        <v>7.1212739999999997</v>
      </c>
    </row>
    <row r="98" spans="1:5">
      <c r="A98" s="14">
        <v>45408.506249999999</v>
      </c>
      <c r="B98" s="15">
        <v>55.461481999999997</v>
      </c>
      <c r="C98" s="16">
        <f>+'Acidic catholyte_Cs2SO4'!H99</f>
        <v>45410.890972222223</v>
      </c>
      <c r="D98" s="17">
        <f t="shared" si="2"/>
        <v>45410.807638888888</v>
      </c>
      <c r="E98" cm="1">
        <f t="array" ref="E98">INDEX(B$1:B$224233, MATCH(D98,A$1:A$224233,1) +0)</f>
        <v>7.4080380000000003</v>
      </c>
    </row>
    <row r="99" spans="1:5">
      <c r="A99" s="14">
        <v>45408.506944000001</v>
      </c>
      <c r="B99" s="15">
        <v>55.082611</v>
      </c>
      <c r="C99" s="16">
        <f>+'Acidic catholyte_Cs2SO4'!H100</f>
        <v>45410.915972222225</v>
      </c>
      <c r="D99" s="17">
        <f t="shared" si="2"/>
        <v>45410.832638888889</v>
      </c>
      <c r="E99" cm="1">
        <f t="array" ref="E99">INDEX(B$1:B$224233, MATCH(D99,A$1:A$224233,1) +0)</f>
        <v>7.3098039999999997</v>
      </c>
    </row>
    <row r="100" spans="1:5">
      <c r="A100" s="14">
        <v>45408.507639000003</v>
      </c>
      <c r="B100" s="15">
        <v>55.682558999999998</v>
      </c>
      <c r="C100" s="16">
        <f>+'Acidic catholyte_Cs2SO4'!H101</f>
        <v>45410.940972222219</v>
      </c>
      <c r="D100" s="17">
        <f t="shared" si="2"/>
        <v>45410.857638888883</v>
      </c>
      <c r="E100" cm="1">
        <f t="array" ref="E100">INDEX(B$1:B$224233, MATCH(D100,A$1:A$224233,1) +0)</f>
        <v>7.4276689999999999</v>
      </c>
    </row>
    <row r="101" spans="1:5">
      <c r="A101" s="14">
        <v>45408.508332999998</v>
      </c>
      <c r="B101" s="15">
        <v>56.306094000000002</v>
      </c>
      <c r="C101" s="16">
        <f>+'Acidic catholyte_Cs2SO4'!H102</f>
        <v>45410.96597222222</v>
      </c>
      <c r="D101" s="17">
        <f t="shared" si="2"/>
        <v>45410.882638888885</v>
      </c>
      <c r="E101" cm="1">
        <f t="array" ref="E101">INDEX(B$1:B$224233, MATCH(D101,A$1:A$224233,1) +0)</f>
        <v>7.2720060000000002</v>
      </c>
    </row>
    <row r="102" spans="1:5">
      <c r="A102" s="14">
        <v>45408.509028</v>
      </c>
      <c r="B102" s="15">
        <v>56.707811999999997</v>
      </c>
      <c r="C102" s="16">
        <f>+'Acidic catholyte_Cs2SO4'!H103</f>
        <v>45410.990972222222</v>
      </c>
      <c r="D102" s="17">
        <f t="shared" si="2"/>
        <v>45410.907638888886</v>
      </c>
      <c r="E102" cm="1">
        <f t="array" ref="E102">INDEX(B$1:B$224233, MATCH(D102,A$1:A$224233,1) +0)</f>
        <v>6.973725</v>
      </c>
    </row>
    <row r="103" spans="1:5">
      <c r="A103" s="14">
        <v>45408.509722000003</v>
      </c>
      <c r="B103" s="15">
        <v>55.521743000000001</v>
      </c>
      <c r="C103" s="16">
        <f>+'Acidic catholyte_Cs2SO4'!H104</f>
        <v>45411.015972222223</v>
      </c>
      <c r="D103" s="17">
        <f t="shared" si="2"/>
        <v>45410.932638888888</v>
      </c>
      <c r="E103" cm="1">
        <f t="array" ref="E103">INDEX(B$1:B$224233, MATCH(D103,A$1:A$224233,1) +0)</f>
        <v>7.2702939999999998</v>
      </c>
    </row>
    <row r="104" spans="1:5">
      <c r="A104" s="14">
        <v>45408.510416999998</v>
      </c>
      <c r="B104" s="15">
        <v>55.906793999999998</v>
      </c>
      <c r="C104" s="16">
        <f>+'Acidic catholyte_Cs2SO4'!H105</f>
        <v>45411.040972222225</v>
      </c>
      <c r="D104" s="17">
        <f t="shared" si="2"/>
        <v>45410.957638888889</v>
      </c>
      <c r="E104" cm="1">
        <f t="array" ref="E104">INDEX(B$1:B$224233, MATCH(D104,A$1:A$224233,1) +0)</f>
        <v>7.301806</v>
      </c>
    </row>
    <row r="105" spans="1:5">
      <c r="A105" s="14">
        <v>45408.511111</v>
      </c>
      <c r="B105" s="15">
        <v>55.572566999999999</v>
      </c>
      <c r="C105" s="16">
        <f>+'Acidic catholyte_Cs2SO4'!H106</f>
        <v>45411.065972222219</v>
      </c>
      <c r="D105" s="17">
        <f t="shared" si="2"/>
        <v>45410.982638888883</v>
      </c>
      <c r="E105" cm="1">
        <f t="array" ref="E105">INDEX(B$1:B$224233, MATCH(D105,A$1:A$224233,1) +0)</f>
        <v>6.9587680000000001</v>
      </c>
    </row>
    <row r="106" spans="1:5">
      <c r="A106" s="14">
        <v>45408.511806000002</v>
      </c>
      <c r="B106" s="15">
        <v>55.731769999999997</v>
      </c>
      <c r="C106" s="16">
        <f>+'Acidic catholyte_Cs2SO4'!H107</f>
        <v>45411.09097222222</v>
      </c>
      <c r="D106" s="17">
        <f t="shared" si="2"/>
        <v>45411.007638888885</v>
      </c>
      <c r="E106" cm="1">
        <f t="array" ref="E106">INDEX(B$1:B$224233, MATCH(D106,A$1:A$224233,1) +0)</f>
        <v>7.1955470000000004</v>
      </c>
    </row>
    <row r="107" spans="1:5">
      <c r="A107" s="14">
        <v>45408.512499999997</v>
      </c>
      <c r="B107" s="15">
        <v>56.005211000000003</v>
      </c>
      <c r="C107" s="16">
        <f>+'Acidic catholyte_Cs2SO4'!H108</f>
        <v>45411.115972222222</v>
      </c>
      <c r="D107" s="17">
        <f t="shared" si="2"/>
        <v>45411.032638888886</v>
      </c>
      <c r="E107" cm="1">
        <f t="array" ref="E107">INDEX(B$1:B$224233, MATCH(D107,A$1:A$224233,1) +0)</f>
        <v>7.14297</v>
      </c>
    </row>
    <row r="108" spans="1:5">
      <c r="A108" s="14">
        <v>45408.513193999999</v>
      </c>
      <c r="B108" s="15">
        <v>56.641198000000003</v>
      </c>
      <c r="C108" s="16">
        <f>+'Acidic catholyte_Cs2SO4'!H109</f>
        <v>45411.140972222223</v>
      </c>
      <c r="D108" s="17">
        <f t="shared" si="2"/>
        <v>45411.057638888888</v>
      </c>
      <c r="E108" cm="1">
        <f t="array" ref="E108">INDEX(B$1:B$224233, MATCH(D108,A$1:A$224233,1) +0)</f>
        <v>7.0149800000000004</v>
      </c>
    </row>
    <row r="109" spans="1:5">
      <c r="A109" s="14">
        <v>45408.513889000002</v>
      </c>
      <c r="B109" s="15">
        <v>55.866276999999997</v>
      </c>
      <c r="C109" s="16">
        <f>+'Acidic catholyte_Cs2SO4'!H110</f>
        <v>45411.165972222225</v>
      </c>
      <c r="D109" s="17">
        <f t="shared" si="2"/>
        <v>45411.082638888889</v>
      </c>
      <c r="E109" cm="1">
        <f t="array" ref="E109">INDEX(B$1:B$224233, MATCH(D109,A$1:A$224233,1) +0)</f>
        <v>7.2414189999999996</v>
      </c>
    </row>
    <row r="110" spans="1:5">
      <c r="A110" s="14">
        <v>45408.514582999996</v>
      </c>
      <c r="B110" s="15">
        <v>56.752699999999997</v>
      </c>
      <c r="C110" s="16">
        <f>+'Acidic catholyte_Cs2SO4'!H111</f>
        <v>45411.190972222219</v>
      </c>
      <c r="D110" s="17">
        <f t="shared" si="2"/>
        <v>45411.107638888883</v>
      </c>
      <c r="E110" cm="1">
        <f t="array" ref="E110">INDEX(B$1:B$224233, MATCH(D110,A$1:A$224233,1) +0)</f>
        <v>7.1508700000000003</v>
      </c>
    </row>
    <row r="111" spans="1:5">
      <c r="A111" s="14">
        <v>45408.515277999999</v>
      </c>
      <c r="B111" s="15">
        <v>55.55885</v>
      </c>
      <c r="C111" s="16">
        <f>+'Acidic catholyte_Cs2SO4'!H112</f>
        <v>45411.21597222222</v>
      </c>
      <c r="D111" s="17">
        <f t="shared" si="2"/>
        <v>45411.132638888885</v>
      </c>
      <c r="E111" cm="1">
        <f t="array" ref="E111">INDEX(B$1:B$224233, MATCH(D111,A$1:A$224233,1) +0)</f>
        <v>7.0307909999999998</v>
      </c>
    </row>
    <row r="112" spans="1:5">
      <c r="A112" s="14">
        <v>45408.515972000001</v>
      </c>
      <c r="B112" s="15">
        <v>55.606928000000003</v>
      </c>
      <c r="C112" s="16">
        <f>+'Acidic catholyte_Cs2SO4'!H113</f>
        <v>45411.240972222222</v>
      </c>
      <c r="D112" s="17">
        <f t="shared" si="2"/>
        <v>45411.157638888886</v>
      </c>
      <c r="E112" cm="1">
        <f t="array" ref="E112">INDEX(B$1:B$224233, MATCH(D112,A$1:A$224233,1) +0)</f>
        <v>6.67544</v>
      </c>
    </row>
    <row r="113" spans="1:5">
      <c r="A113" s="14">
        <v>45408.516667000004</v>
      </c>
      <c r="B113" s="15">
        <v>55.947749000000002</v>
      </c>
      <c r="C113" s="16">
        <f>+'Acidic catholyte_Cs2SO4'!H114</f>
        <v>45411.265972222223</v>
      </c>
      <c r="D113" s="17">
        <f t="shared" si="2"/>
        <v>45411.182638888888</v>
      </c>
      <c r="E113" cm="1">
        <f t="array" ref="E113">INDEX(B$1:B$224233, MATCH(D113,A$1:A$224233,1) +0)</f>
        <v>6.8308730000000004</v>
      </c>
    </row>
    <row r="114" spans="1:5">
      <c r="A114" s="14">
        <v>45408.517360999998</v>
      </c>
      <c r="B114" s="15">
        <v>56.479581000000003</v>
      </c>
      <c r="C114" s="16">
        <f>+'Acidic catholyte_Cs2SO4'!H115</f>
        <v>45411.291666666664</v>
      </c>
      <c r="D114" s="17">
        <f t="shared" si="2"/>
        <v>45411.208333333328</v>
      </c>
      <c r="E114" cm="1">
        <f t="array" ref="E114">INDEX(B$1:B$224233, MATCH(D114,A$1:A$224233,1) +0)</f>
        <v>6.9678950000000004</v>
      </c>
    </row>
    <row r="115" spans="1:5">
      <c r="A115" s="14">
        <v>45408.518056000001</v>
      </c>
      <c r="B115" s="15">
        <v>56.043033000000001</v>
      </c>
      <c r="C115" s="16">
        <f>+'Acidic catholyte_Cs2SO4'!H116</f>
        <v>45411.316666666666</v>
      </c>
      <c r="D115" s="17">
        <f t="shared" si="2"/>
        <v>45411.23333333333</v>
      </c>
      <c r="E115" cm="1">
        <f t="array" ref="E115">INDEX(B$1:B$224233, MATCH(D115,A$1:A$224233,1) +0)</f>
        <v>6.9407709999999998</v>
      </c>
    </row>
    <row r="116" spans="1:5">
      <c r="A116" s="14">
        <v>45408.518750000003</v>
      </c>
      <c r="B116" s="15">
        <v>56.82891</v>
      </c>
      <c r="C116" s="16">
        <f>+'Acidic catholyte_Cs2SO4'!H117</f>
        <v>45411.341666666667</v>
      </c>
      <c r="D116" s="17">
        <f t="shared" si="2"/>
        <v>45411.258333333331</v>
      </c>
      <c r="E116" cm="1">
        <f t="array" ref="E116">INDEX(B$1:B$224233, MATCH(D116,A$1:A$224233,1) +0)</f>
        <v>6.9096169999999999</v>
      </c>
    </row>
    <row r="117" spans="1:5">
      <c r="A117" s="14">
        <v>45408.519443999998</v>
      </c>
      <c r="B117" s="15">
        <v>56.325170999999997</v>
      </c>
      <c r="C117" s="16">
        <f>+'Acidic catholyte_Cs2SO4'!H118</f>
        <v>45411.366666666669</v>
      </c>
      <c r="D117" s="17">
        <f t="shared" si="2"/>
        <v>45411.283333333333</v>
      </c>
      <c r="E117" cm="1">
        <f t="array" ref="E117">INDEX(B$1:B$224233, MATCH(D117,A$1:A$224233,1) +0)</f>
        <v>6.8525989999999997</v>
      </c>
    </row>
    <row r="118" spans="1:5">
      <c r="A118" s="14">
        <v>45408.520139</v>
      </c>
      <c r="B118" s="15">
        <v>55.769168999999998</v>
      </c>
      <c r="C118" s="16">
        <f>+'Acidic catholyte_Cs2SO4'!H119</f>
        <v>45411.39166666667</v>
      </c>
      <c r="D118" s="17">
        <f t="shared" si="2"/>
        <v>45411.308333333334</v>
      </c>
      <c r="E118" cm="1">
        <f t="array" ref="E118">INDEX(B$1:B$224233, MATCH(D118,A$1:A$224233,1) +0)</f>
        <v>7.1921359999999996</v>
      </c>
    </row>
    <row r="119" spans="1:5">
      <c r="A119" s="14">
        <v>45408.520833000002</v>
      </c>
      <c r="B119" s="15">
        <v>57.415126999999998</v>
      </c>
      <c r="C119" s="16">
        <f>+'Acidic catholyte_Cs2SO4'!H120</f>
        <v>45411.416666666664</v>
      </c>
      <c r="D119" s="17">
        <f t="shared" si="2"/>
        <v>45411.333333333328</v>
      </c>
      <c r="E119" cm="1">
        <f t="array" ref="E119">INDEX(B$1:B$224233, MATCH(D119,A$1:A$224233,1) +0)</f>
        <v>6.7865690000000001</v>
      </c>
    </row>
    <row r="120" spans="1:5">
      <c r="A120" s="14">
        <v>45408.521527999997</v>
      </c>
      <c r="B120" s="15">
        <v>57.805289000000002</v>
      </c>
      <c r="C120" s="16"/>
      <c r="D120" s="17"/>
    </row>
    <row r="121" spans="1:5">
      <c r="A121" s="14">
        <v>45408.522222</v>
      </c>
      <c r="B121" s="15">
        <v>57.334504000000003</v>
      </c>
    </row>
    <row r="122" spans="1:5">
      <c r="A122" s="14">
        <v>45408.522917000002</v>
      </c>
      <c r="B122" s="15">
        <v>57.810180000000003</v>
      </c>
    </row>
    <row r="123" spans="1:5">
      <c r="A123" s="14">
        <v>45408.523610999997</v>
      </c>
      <c r="B123" s="15">
        <v>56.680864999999997</v>
      </c>
    </row>
    <row r="124" spans="1:5">
      <c r="A124" s="14">
        <v>45408.524305999999</v>
      </c>
      <c r="B124" s="15">
        <v>57.183323999999999</v>
      </c>
    </row>
    <row r="125" spans="1:5">
      <c r="A125" s="14">
        <v>45408.525000000001</v>
      </c>
      <c r="B125" s="15">
        <v>56.833069999999999</v>
      </c>
    </row>
    <row r="126" spans="1:5">
      <c r="A126" s="14">
        <v>45408.525694000004</v>
      </c>
      <c r="B126" s="15">
        <v>56.517296999999999</v>
      </c>
    </row>
    <row r="127" spans="1:5">
      <c r="A127" s="14">
        <v>45408.526388999999</v>
      </c>
      <c r="B127" s="15">
        <v>55.862330999999998</v>
      </c>
    </row>
    <row r="128" spans="1:5">
      <c r="A128" s="14">
        <v>45408.527083000001</v>
      </c>
      <c r="B128" s="15">
        <v>58.119754</v>
      </c>
    </row>
    <row r="129" spans="1:2">
      <c r="A129" s="14">
        <v>45408.527778000003</v>
      </c>
      <c r="B129" s="15">
        <v>57.456195000000001</v>
      </c>
    </row>
    <row r="130" spans="1:2">
      <c r="A130" s="14">
        <v>45408.528471999998</v>
      </c>
      <c r="B130" s="15">
        <v>57.394972000000003</v>
      </c>
    </row>
    <row r="131" spans="1:2">
      <c r="A131" s="14">
        <v>45408.529167000001</v>
      </c>
      <c r="B131" s="15">
        <v>57.270525999999997</v>
      </c>
    </row>
    <row r="132" spans="1:2">
      <c r="A132" s="14">
        <v>45408.529861000003</v>
      </c>
      <c r="B132" s="15">
        <v>57.543571999999998</v>
      </c>
    </row>
    <row r="133" spans="1:2">
      <c r="A133" s="14">
        <v>45408.530555999998</v>
      </c>
      <c r="B133" s="15">
        <v>56.474850000000004</v>
      </c>
    </row>
    <row r="134" spans="1:2">
      <c r="A134" s="14">
        <v>45408.53125</v>
      </c>
      <c r="B134" s="15">
        <v>55.862969</v>
      </c>
    </row>
    <row r="135" spans="1:2">
      <c r="A135" s="14">
        <v>45408.531944000002</v>
      </c>
      <c r="B135" s="15">
        <v>56.735509</v>
      </c>
    </row>
    <row r="136" spans="1:2">
      <c r="A136" s="14">
        <v>45408.532638999997</v>
      </c>
      <c r="B136" s="15">
        <v>57.798662</v>
      </c>
    </row>
    <row r="137" spans="1:2">
      <c r="A137" s="14">
        <v>45408.533332999999</v>
      </c>
      <c r="B137" s="15">
        <v>56.848235000000003</v>
      </c>
    </row>
    <row r="138" spans="1:2">
      <c r="A138" s="14">
        <v>45408.534028000002</v>
      </c>
      <c r="B138" s="15">
        <v>56.192185000000002</v>
      </c>
    </row>
    <row r="139" spans="1:2">
      <c r="A139" s="14">
        <v>45408.534721999997</v>
      </c>
      <c r="B139" s="15">
        <v>57.571536999999999</v>
      </c>
    </row>
    <row r="140" spans="1:2">
      <c r="A140" s="14">
        <v>45408.535416999999</v>
      </c>
      <c r="B140" s="15">
        <v>56.489355000000003</v>
      </c>
    </row>
    <row r="141" spans="1:2">
      <c r="A141" s="14">
        <v>45408.536111000001</v>
      </c>
      <c r="B141" s="15">
        <v>56.581741000000001</v>
      </c>
    </row>
    <row r="142" spans="1:2">
      <c r="A142" s="14">
        <v>45408.536805999996</v>
      </c>
      <c r="B142" s="15">
        <v>56.719611</v>
      </c>
    </row>
    <row r="143" spans="1:2">
      <c r="A143" s="14">
        <v>45408.537499999999</v>
      </c>
      <c r="B143" s="15">
        <v>57.394150000000003</v>
      </c>
    </row>
    <row r="144" spans="1:2">
      <c r="A144" s="14">
        <v>45408.538194000001</v>
      </c>
      <c r="B144" s="15">
        <v>58.302599000000001</v>
      </c>
    </row>
    <row r="145" spans="1:2">
      <c r="A145" s="14">
        <v>45408.538889000003</v>
      </c>
      <c r="B145" s="15">
        <v>56.985388</v>
      </c>
    </row>
    <row r="146" spans="1:2">
      <c r="A146" s="14">
        <v>45408.539582999998</v>
      </c>
      <c r="B146" s="15">
        <v>57.629558000000003</v>
      </c>
    </row>
    <row r="147" spans="1:2">
      <c r="A147" s="14">
        <v>45408.540278</v>
      </c>
      <c r="B147" s="15">
        <v>58.089311000000002</v>
      </c>
    </row>
    <row r="148" spans="1:2">
      <c r="A148" s="14">
        <v>45408.540972000003</v>
      </c>
      <c r="B148" s="15">
        <v>56.851298999999997</v>
      </c>
    </row>
    <row r="149" spans="1:2">
      <c r="A149" s="14">
        <v>45408.541666999998</v>
      </c>
      <c r="B149" s="15">
        <v>56.621954000000002</v>
      </c>
    </row>
    <row r="150" spans="1:2">
      <c r="A150" s="14">
        <v>45408.542361</v>
      </c>
      <c r="B150" s="15">
        <v>58.115887000000001</v>
      </c>
    </row>
    <row r="151" spans="1:2">
      <c r="A151" s="14">
        <v>45408.543056000002</v>
      </c>
      <c r="B151" s="15">
        <v>58.165669000000001</v>
      </c>
    </row>
    <row r="152" spans="1:2">
      <c r="A152" s="14">
        <v>45408.543749999997</v>
      </c>
      <c r="B152" s="15">
        <v>57.237704000000001</v>
      </c>
    </row>
    <row r="153" spans="1:2">
      <c r="A153" s="14">
        <v>45408.544443999999</v>
      </c>
      <c r="B153" s="15">
        <v>57.566585000000003</v>
      </c>
    </row>
    <row r="154" spans="1:2">
      <c r="A154" s="14">
        <v>45408.545139000002</v>
      </c>
      <c r="B154" s="15">
        <v>57.289422000000002</v>
      </c>
    </row>
    <row r="155" spans="1:2">
      <c r="A155" s="14">
        <v>45408.545832999996</v>
      </c>
      <c r="B155" s="15">
        <v>57.501522000000001</v>
      </c>
    </row>
    <row r="156" spans="1:2">
      <c r="A156" s="14">
        <v>45408.546527999999</v>
      </c>
      <c r="B156" s="15">
        <v>57.574466000000001</v>
      </c>
    </row>
    <row r="157" spans="1:2">
      <c r="A157" s="14">
        <v>45408.547222000001</v>
      </c>
      <c r="B157" s="15">
        <v>58.014420999999999</v>
      </c>
    </row>
    <row r="158" spans="1:2">
      <c r="A158" s="14">
        <v>45408.547917000004</v>
      </c>
      <c r="B158" s="15">
        <v>57.921320999999999</v>
      </c>
    </row>
    <row r="159" spans="1:2">
      <c r="A159" s="14">
        <v>45408.548610999998</v>
      </c>
      <c r="B159" s="15">
        <v>57.729218000000003</v>
      </c>
    </row>
    <row r="160" spans="1:2">
      <c r="A160" s="14">
        <v>45408.549306000001</v>
      </c>
      <c r="B160" s="15">
        <v>58.306334</v>
      </c>
    </row>
    <row r="161" spans="1:2">
      <c r="A161" s="14">
        <v>45408.55</v>
      </c>
      <c r="B161" s="15">
        <v>58.604891000000002</v>
      </c>
    </row>
    <row r="162" spans="1:2">
      <c r="A162" s="14">
        <v>45408.550693999998</v>
      </c>
      <c r="B162" s="15">
        <v>57.612400999999998</v>
      </c>
    </row>
    <row r="163" spans="1:2">
      <c r="A163" s="14">
        <v>45408.551389</v>
      </c>
      <c r="B163" s="15">
        <v>58.639378999999998</v>
      </c>
    </row>
    <row r="164" spans="1:2">
      <c r="A164" s="14">
        <v>45408.552083000002</v>
      </c>
      <c r="B164" s="15">
        <v>58.040123000000001</v>
      </c>
    </row>
    <row r="165" spans="1:2">
      <c r="A165" s="14">
        <v>45408.552777999997</v>
      </c>
      <c r="B165" s="15">
        <v>58.874626999999997</v>
      </c>
    </row>
    <row r="166" spans="1:2">
      <c r="A166" s="14">
        <v>45408.553472</v>
      </c>
      <c r="B166" s="15">
        <v>57.739707000000003</v>
      </c>
    </row>
    <row r="167" spans="1:2">
      <c r="A167" s="14">
        <v>45408.554167000002</v>
      </c>
      <c r="B167" s="15">
        <v>58.513393999999998</v>
      </c>
    </row>
    <row r="168" spans="1:2">
      <c r="A168" s="14">
        <v>45408.554860999997</v>
      </c>
      <c r="B168" s="15">
        <v>58.300016999999997</v>
      </c>
    </row>
    <row r="169" spans="1:2">
      <c r="A169" s="14">
        <v>45408.555555999999</v>
      </c>
      <c r="B169" s="15">
        <v>58.562717999999997</v>
      </c>
    </row>
    <row r="170" spans="1:2">
      <c r="A170" s="14">
        <v>45408.556250000001</v>
      </c>
      <c r="B170" s="15">
        <v>58.132480999999999</v>
      </c>
    </row>
    <row r="171" spans="1:2">
      <c r="A171" s="14">
        <v>45408.556944000004</v>
      </c>
      <c r="B171" s="15">
        <v>58.516941000000003</v>
      </c>
    </row>
    <row r="172" spans="1:2">
      <c r="A172" s="14">
        <v>45408.557638999999</v>
      </c>
      <c r="B172" s="15">
        <v>59.177840000000003</v>
      </c>
    </row>
    <row r="173" spans="1:2">
      <c r="A173" s="14">
        <v>45408.558333000001</v>
      </c>
      <c r="B173" s="15">
        <v>59.156405999999997</v>
      </c>
    </row>
    <row r="174" spans="1:2">
      <c r="A174" s="14">
        <v>45408.559028000003</v>
      </c>
      <c r="B174" s="15">
        <v>58.226230999999999</v>
      </c>
    </row>
    <row r="175" spans="1:2">
      <c r="A175" s="14">
        <v>45408.559721999998</v>
      </c>
      <c r="B175" s="15">
        <v>58.045684999999999</v>
      </c>
    </row>
    <row r="176" spans="1:2">
      <c r="A176" s="14">
        <v>45408.560417000001</v>
      </c>
      <c r="B176" s="15">
        <v>58.171477000000003</v>
      </c>
    </row>
    <row r="177" spans="1:2">
      <c r="A177" s="14">
        <v>45408.561111000003</v>
      </c>
      <c r="B177" s="15">
        <v>57.905949</v>
      </c>
    </row>
    <row r="178" spans="1:2">
      <c r="A178" s="14">
        <v>45408.561805999998</v>
      </c>
      <c r="B178" s="15">
        <v>59.492171999999997</v>
      </c>
    </row>
    <row r="179" spans="1:2">
      <c r="A179" s="14">
        <v>45408.5625</v>
      </c>
      <c r="B179" s="15">
        <v>57.636845000000001</v>
      </c>
    </row>
    <row r="180" spans="1:2">
      <c r="A180" s="14">
        <v>45408.563194000002</v>
      </c>
      <c r="B180" s="15">
        <v>59.636263999999997</v>
      </c>
    </row>
    <row r="181" spans="1:2">
      <c r="A181" s="14">
        <v>45408.563888999997</v>
      </c>
      <c r="B181" s="15">
        <v>57.880749000000002</v>
      </c>
    </row>
    <row r="182" spans="1:2">
      <c r="A182" s="14">
        <v>45408.564582999999</v>
      </c>
      <c r="B182" s="15">
        <v>59.145062000000003</v>
      </c>
    </row>
    <row r="183" spans="1:2">
      <c r="A183" s="14">
        <v>45408.565278000002</v>
      </c>
      <c r="B183" s="15">
        <v>58.415573999999999</v>
      </c>
    </row>
    <row r="184" spans="1:2">
      <c r="A184" s="14">
        <v>45408.565971999997</v>
      </c>
      <c r="B184" s="15">
        <v>58.590383000000003</v>
      </c>
    </row>
    <row r="185" spans="1:2">
      <c r="A185" s="14">
        <v>45408.566666999999</v>
      </c>
      <c r="B185" s="15">
        <v>58.43741</v>
      </c>
    </row>
    <row r="186" spans="1:2">
      <c r="A186" s="14">
        <v>45408.567361000001</v>
      </c>
      <c r="B186" s="15">
        <v>58.356527999999997</v>
      </c>
    </row>
    <row r="187" spans="1:2">
      <c r="A187" s="14">
        <v>45408.568055999996</v>
      </c>
      <c r="B187" s="15">
        <v>58.918188000000001</v>
      </c>
    </row>
    <row r="188" spans="1:2">
      <c r="A188" s="14">
        <v>45408.568749999999</v>
      </c>
      <c r="B188" s="15">
        <v>58.489826000000001</v>
      </c>
    </row>
    <row r="189" spans="1:2">
      <c r="A189" s="14">
        <v>45408.569444000001</v>
      </c>
      <c r="B189" s="15">
        <v>57.824928</v>
      </c>
    </row>
    <row r="190" spans="1:2">
      <c r="A190" s="14">
        <v>45408.570139000003</v>
      </c>
      <c r="B190" s="15">
        <v>57.621563000000002</v>
      </c>
    </row>
    <row r="191" spans="1:2">
      <c r="A191" s="14">
        <v>45408.570832999998</v>
      </c>
      <c r="B191" s="15">
        <v>57.715206000000002</v>
      </c>
    </row>
    <row r="192" spans="1:2">
      <c r="A192" s="14">
        <v>45408.571528</v>
      </c>
      <c r="B192" s="15">
        <v>58.896965000000002</v>
      </c>
    </row>
    <row r="193" spans="1:2">
      <c r="A193" s="14">
        <v>45408.572222000003</v>
      </c>
      <c r="B193" s="15">
        <v>59.344959000000003</v>
      </c>
    </row>
    <row r="194" spans="1:2">
      <c r="A194" s="14">
        <v>45408.572916999998</v>
      </c>
      <c r="B194" s="15">
        <v>57.636367</v>
      </c>
    </row>
    <row r="195" spans="1:2">
      <c r="A195" s="14">
        <v>45408.573611</v>
      </c>
      <c r="B195" s="15">
        <v>58.735053000000001</v>
      </c>
    </row>
    <row r="196" spans="1:2">
      <c r="A196" s="14">
        <v>45408.574306000002</v>
      </c>
      <c r="B196" s="15">
        <v>58.359963999999998</v>
      </c>
    </row>
    <row r="197" spans="1:2">
      <c r="A197" s="14">
        <v>45408.574999999997</v>
      </c>
      <c r="B197" s="15">
        <v>58.776733</v>
      </c>
    </row>
    <row r="198" spans="1:2">
      <c r="A198" s="14">
        <v>45408.575693999999</v>
      </c>
      <c r="B198" s="15">
        <v>59.098666999999999</v>
      </c>
    </row>
    <row r="199" spans="1:2">
      <c r="A199" s="14">
        <v>45408.576389000002</v>
      </c>
      <c r="B199" s="15">
        <v>58.725915000000001</v>
      </c>
    </row>
    <row r="200" spans="1:2">
      <c r="A200" s="14">
        <v>45408.577082999996</v>
      </c>
      <c r="B200" s="15">
        <v>58.119393000000002</v>
      </c>
    </row>
    <row r="201" spans="1:2">
      <c r="A201" s="14">
        <v>45408.577777999999</v>
      </c>
      <c r="B201" s="15">
        <v>58.081634999999999</v>
      </c>
    </row>
    <row r="202" spans="1:2">
      <c r="A202" s="14">
        <v>45408.578472000001</v>
      </c>
      <c r="B202" s="15">
        <v>58.903171</v>
      </c>
    </row>
    <row r="203" spans="1:2">
      <c r="A203" s="14">
        <v>45408.579167000004</v>
      </c>
      <c r="B203" s="15">
        <v>59.177722000000003</v>
      </c>
    </row>
    <row r="204" spans="1:2">
      <c r="A204" s="14">
        <v>45408.579860999998</v>
      </c>
      <c r="B204" s="15">
        <v>58.806896999999999</v>
      </c>
    </row>
    <row r="205" spans="1:2">
      <c r="A205" s="14">
        <v>45408.580556000001</v>
      </c>
      <c r="B205" s="15">
        <v>59.339621999999999</v>
      </c>
    </row>
    <row r="206" spans="1:2">
      <c r="A206" s="14">
        <v>45408.581250000003</v>
      </c>
      <c r="B206" s="15">
        <v>57.871910999999997</v>
      </c>
    </row>
    <row r="207" spans="1:2">
      <c r="A207" s="14">
        <v>45408.581943999998</v>
      </c>
      <c r="B207" s="15">
        <v>59.525959999999998</v>
      </c>
    </row>
    <row r="208" spans="1:2">
      <c r="A208" s="14">
        <v>45408.582639</v>
      </c>
      <c r="B208" s="15">
        <v>59.425797000000003</v>
      </c>
    </row>
    <row r="209" spans="1:2">
      <c r="A209" s="14">
        <v>45408.583333000002</v>
      </c>
      <c r="B209" s="15">
        <v>59.526572000000002</v>
      </c>
    </row>
    <row r="210" spans="1:2">
      <c r="A210" s="14">
        <v>45408.584027999997</v>
      </c>
      <c r="B210" s="15">
        <v>58.686864999999997</v>
      </c>
    </row>
    <row r="211" spans="1:2">
      <c r="A211" s="14">
        <v>45408.584722</v>
      </c>
      <c r="B211" s="15">
        <v>58.753602999999998</v>
      </c>
    </row>
    <row r="212" spans="1:2">
      <c r="A212" s="14">
        <v>45408.585417000002</v>
      </c>
      <c r="B212" s="15">
        <v>59.204625999999998</v>
      </c>
    </row>
    <row r="213" spans="1:2">
      <c r="A213" s="14">
        <v>45408.586110999997</v>
      </c>
      <c r="B213" s="15">
        <v>58.056507000000003</v>
      </c>
    </row>
    <row r="214" spans="1:2">
      <c r="A214" s="14">
        <v>45408.586805999999</v>
      </c>
      <c r="B214" s="15">
        <v>59.561224000000003</v>
      </c>
    </row>
    <row r="215" spans="1:2">
      <c r="A215" s="14">
        <v>45408.587500000001</v>
      </c>
      <c r="B215" s="15">
        <v>58.663558000000002</v>
      </c>
    </row>
    <row r="216" spans="1:2">
      <c r="A216" s="14">
        <v>45408.588194000004</v>
      </c>
      <c r="B216" s="15">
        <v>57.996034000000002</v>
      </c>
    </row>
    <row r="217" spans="1:2">
      <c r="A217" s="14">
        <v>45408.588888999999</v>
      </c>
      <c r="B217" s="15">
        <v>59.869922000000003</v>
      </c>
    </row>
    <row r="218" spans="1:2">
      <c r="A218" s="14">
        <v>45408.589583000001</v>
      </c>
      <c r="B218" s="15">
        <v>58.625397999999997</v>
      </c>
    </row>
    <row r="219" spans="1:2">
      <c r="A219" s="14">
        <v>45408.590278000003</v>
      </c>
      <c r="B219" s="15">
        <v>59.06879</v>
      </c>
    </row>
    <row r="220" spans="1:2">
      <c r="A220" s="14">
        <v>45408.590971999998</v>
      </c>
      <c r="B220" s="15">
        <v>59.46</v>
      </c>
    </row>
    <row r="221" spans="1:2">
      <c r="A221" s="14">
        <v>45408.591667000001</v>
      </c>
      <c r="B221" s="15">
        <v>58.528922999999999</v>
      </c>
    </row>
    <row r="222" spans="1:2">
      <c r="A222" s="14">
        <v>45408.592361000003</v>
      </c>
      <c r="B222" s="15">
        <v>58.993709000000003</v>
      </c>
    </row>
    <row r="223" spans="1:2">
      <c r="A223" s="14">
        <v>45408.593055999998</v>
      </c>
      <c r="B223" s="15">
        <v>58.894165000000001</v>
      </c>
    </row>
    <row r="224" spans="1:2">
      <c r="A224" s="14">
        <v>45408.59375</v>
      </c>
      <c r="B224" s="15">
        <v>57.893973000000003</v>
      </c>
    </row>
    <row r="225" spans="1:2">
      <c r="A225" s="14">
        <v>45408.594444000002</v>
      </c>
      <c r="B225" s="15">
        <v>59.604737999999998</v>
      </c>
    </row>
    <row r="226" spans="1:2">
      <c r="A226" s="14">
        <v>45408.595138999997</v>
      </c>
      <c r="B226" s="15">
        <v>58.914380999999999</v>
      </c>
    </row>
    <row r="227" spans="1:2">
      <c r="A227" s="14">
        <v>45408.595832999999</v>
      </c>
      <c r="B227" s="15">
        <v>58.602159</v>
      </c>
    </row>
    <row r="228" spans="1:2">
      <c r="A228" s="14">
        <v>45408.596528000002</v>
      </c>
      <c r="B228" s="15">
        <v>58.801003999999999</v>
      </c>
    </row>
    <row r="229" spans="1:2">
      <c r="A229" s="14">
        <v>45408.597221999997</v>
      </c>
      <c r="B229" s="15">
        <v>57.937745999999997</v>
      </c>
    </row>
    <row r="230" spans="1:2">
      <c r="A230" s="14">
        <v>45408.597916999999</v>
      </c>
      <c r="B230" s="15">
        <v>59.284660000000002</v>
      </c>
    </row>
    <row r="231" spans="1:2">
      <c r="A231" s="14">
        <v>45408.598611000001</v>
      </c>
      <c r="B231" s="15">
        <v>58.082101999999999</v>
      </c>
    </row>
    <row r="232" spans="1:2">
      <c r="A232" s="14">
        <v>45408.599305999996</v>
      </c>
      <c r="B232" s="15">
        <v>58.746236000000003</v>
      </c>
    </row>
    <row r="233" spans="1:2">
      <c r="A233" s="14">
        <v>45408.6</v>
      </c>
      <c r="B233" s="15">
        <v>58.414549000000001</v>
      </c>
    </row>
    <row r="234" spans="1:2">
      <c r="A234" s="14">
        <v>45408.600694000001</v>
      </c>
      <c r="B234" s="15">
        <v>59.171422</v>
      </c>
    </row>
    <row r="235" spans="1:2">
      <c r="A235" s="14">
        <v>45408.601389000003</v>
      </c>
      <c r="B235" s="15">
        <v>60.011647000000004</v>
      </c>
    </row>
    <row r="236" spans="1:2">
      <c r="A236" s="14">
        <v>45408.602082999998</v>
      </c>
      <c r="B236" s="15">
        <v>58.78698</v>
      </c>
    </row>
    <row r="237" spans="1:2">
      <c r="A237" s="14">
        <v>45408.602778</v>
      </c>
      <c r="B237" s="15">
        <v>58.901846999999997</v>
      </c>
    </row>
    <row r="238" spans="1:2">
      <c r="A238" s="14">
        <v>45408.603472000003</v>
      </c>
      <c r="B238" s="15">
        <v>58.990471999999997</v>
      </c>
    </row>
    <row r="239" spans="1:2">
      <c r="A239" s="14">
        <v>45408.604166999998</v>
      </c>
      <c r="B239" s="15">
        <v>58.465786999999999</v>
      </c>
    </row>
    <row r="240" spans="1:2">
      <c r="A240" s="14">
        <v>45408.604861</v>
      </c>
      <c r="B240" s="15">
        <v>59.566937000000003</v>
      </c>
    </row>
    <row r="241" spans="1:2">
      <c r="A241" s="14">
        <v>45408.605556000002</v>
      </c>
      <c r="B241" s="15">
        <v>59.299563999999997</v>
      </c>
    </row>
    <row r="242" spans="1:2">
      <c r="A242" s="14">
        <v>45408.606249999997</v>
      </c>
      <c r="B242" s="15">
        <v>59.711602999999997</v>
      </c>
    </row>
    <row r="243" spans="1:2">
      <c r="A243" s="14">
        <v>45408.606943999999</v>
      </c>
      <c r="B243" s="15">
        <v>59.786940999999999</v>
      </c>
    </row>
    <row r="244" spans="1:2">
      <c r="A244" s="14">
        <v>45408.607639000002</v>
      </c>
      <c r="B244" s="15">
        <v>59.326388999999999</v>
      </c>
    </row>
    <row r="245" spans="1:2">
      <c r="A245" s="14">
        <v>45408.608332999996</v>
      </c>
      <c r="B245" s="15">
        <v>59.891641</v>
      </c>
    </row>
    <row r="246" spans="1:2">
      <c r="A246" s="14">
        <v>45408.609027999999</v>
      </c>
      <c r="B246" s="15">
        <v>59.220219</v>
      </c>
    </row>
    <row r="247" spans="1:2">
      <c r="A247" s="14">
        <v>45408.609722000001</v>
      </c>
      <c r="B247" s="15">
        <v>58.769545999999998</v>
      </c>
    </row>
    <row r="248" spans="1:2">
      <c r="A248" s="14">
        <v>45408.610417000004</v>
      </c>
      <c r="B248" s="15">
        <v>59.057290000000002</v>
      </c>
    </row>
    <row r="249" spans="1:2">
      <c r="A249" s="14">
        <v>45408.611110999998</v>
      </c>
      <c r="B249" s="15">
        <v>59.687883999999997</v>
      </c>
    </row>
    <row r="250" spans="1:2">
      <c r="A250" s="14">
        <v>45408.611806000001</v>
      </c>
      <c r="B250" s="15">
        <v>58.570216000000002</v>
      </c>
    </row>
    <row r="251" spans="1:2">
      <c r="A251" s="14">
        <v>45408.612500000003</v>
      </c>
      <c r="B251" s="15">
        <v>59.743760999999999</v>
      </c>
    </row>
    <row r="252" spans="1:2">
      <c r="A252" s="14">
        <v>45408.613193999998</v>
      </c>
      <c r="B252" s="15">
        <v>58.569921000000001</v>
      </c>
    </row>
    <row r="253" spans="1:2">
      <c r="A253" s="14">
        <v>45408.613889</v>
      </c>
      <c r="B253" s="15">
        <v>58.848635000000002</v>
      </c>
    </row>
    <row r="254" spans="1:2">
      <c r="A254" s="14">
        <v>45408.614583000002</v>
      </c>
      <c r="B254" s="15">
        <v>59.488230999999999</v>
      </c>
    </row>
    <row r="255" spans="1:2">
      <c r="A255" s="14">
        <v>45408.615277999997</v>
      </c>
      <c r="B255" s="15">
        <v>59.554900000000004</v>
      </c>
    </row>
    <row r="256" spans="1:2">
      <c r="A256" s="14">
        <v>45408.615972</v>
      </c>
      <c r="B256" s="15">
        <v>61.110719000000003</v>
      </c>
    </row>
    <row r="257" spans="1:2">
      <c r="A257" s="14">
        <v>45408.616667000002</v>
      </c>
      <c r="B257" s="15">
        <v>59.875410000000002</v>
      </c>
    </row>
    <row r="258" spans="1:2">
      <c r="A258" s="14">
        <v>45408.617360999997</v>
      </c>
      <c r="B258" s="15">
        <v>59.134425</v>
      </c>
    </row>
    <row r="259" spans="1:2">
      <c r="A259" s="14">
        <v>45408.618055999999</v>
      </c>
      <c r="B259" s="15">
        <v>59.947417000000002</v>
      </c>
    </row>
    <row r="260" spans="1:2">
      <c r="A260" s="14">
        <v>45408.618750000001</v>
      </c>
      <c r="B260" s="15">
        <v>60.413491999999998</v>
      </c>
    </row>
    <row r="261" spans="1:2">
      <c r="A261" s="14">
        <v>45408.619444000004</v>
      </c>
      <c r="B261" s="15">
        <v>59.118811999999998</v>
      </c>
    </row>
    <row r="262" spans="1:2">
      <c r="A262" s="14">
        <v>45408.620138999999</v>
      </c>
      <c r="B262" s="15">
        <v>58.870491999999999</v>
      </c>
    </row>
    <row r="263" spans="1:2">
      <c r="A263" s="14">
        <v>45408.620833000001</v>
      </c>
      <c r="B263" s="15">
        <v>59.240178</v>
      </c>
    </row>
    <row r="264" spans="1:2">
      <c r="A264" s="14">
        <v>45408.621528000003</v>
      </c>
      <c r="B264" s="15">
        <v>59.768856</v>
      </c>
    </row>
    <row r="265" spans="1:2">
      <c r="A265" s="14">
        <v>45408.622221999998</v>
      </c>
      <c r="B265" s="15">
        <v>59.723374999999997</v>
      </c>
    </row>
    <row r="266" spans="1:2">
      <c r="A266" s="14">
        <v>45408.622917000001</v>
      </c>
      <c r="B266" s="15">
        <v>59.250841999999999</v>
      </c>
    </row>
    <row r="267" spans="1:2">
      <c r="A267" s="14">
        <v>45408.623611000003</v>
      </c>
      <c r="B267" s="15">
        <v>58.564998000000003</v>
      </c>
    </row>
    <row r="268" spans="1:2">
      <c r="A268" s="14">
        <v>45408.624305999998</v>
      </c>
      <c r="B268" s="15">
        <v>60.327775000000003</v>
      </c>
    </row>
    <row r="269" spans="1:2">
      <c r="A269" s="14">
        <v>45408.625</v>
      </c>
      <c r="B269" s="15">
        <v>60.173091999999997</v>
      </c>
    </row>
    <row r="270" spans="1:2">
      <c r="A270" s="14">
        <v>45408.625694000002</v>
      </c>
      <c r="B270" s="15">
        <v>59.301915000000001</v>
      </c>
    </row>
    <row r="271" spans="1:2">
      <c r="A271" s="14">
        <v>45408.626388999997</v>
      </c>
      <c r="B271" s="15">
        <v>60.467779</v>
      </c>
    </row>
    <row r="272" spans="1:2">
      <c r="A272" s="14">
        <v>45408.627082999999</v>
      </c>
      <c r="B272" s="15">
        <v>59.866743999999997</v>
      </c>
    </row>
    <row r="273" spans="1:2">
      <c r="A273" s="14">
        <v>45408.627778000002</v>
      </c>
      <c r="B273" s="15">
        <v>59.797604999999997</v>
      </c>
    </row>
    <row r="274" spans="1:2">
      <c r="A274" s="14">
        <v>45408.628471999997</v>
      </c>
      <c r="B274" s="15">
        <v>60.631919000000003</v>
      </c>
    </row>
    <row r="275" spans="1:2">
      <c r="A275" s="14">
        <v>45408.629166999999</v>
      </c>
      <c r="B275" s="15">
        <v>59.467409000000004</v>
      </c>
    </row>
    <row r="276" spans="1:2">
      <c r="A276" s="14">
        <v>45408.629861000001</v>
      </c>
      <c r="B276" s="15">
        <v>59.400969000000003</v>
      </c>
    </row>
    <row r="277" spans="1:2">
      <c r="A277" s="14">
        <v>45408.630555999996</v>
      </c>
      <c r="B277" s="15">
        <v>59.324792000000002</v>
      </c>
    </row>
    <row r="278" spans="1:2">
      <c r="A278" s="14">
        <v>45408.631249999999</v>
      </c>
      <c r="B278" s="15">
        <v>58.313673000000001</v>
      </c>
    </row>
    <row r="279" spans="1:2">
      <c r="A279" s="14">
        <v>45408.631944000001</v>
      </c>
      <c r="B279" s="15">
        <v>59.546562999999999</v>
      </c>
    </row>
    <row r="280" spans="1:2">
      <c r="A280" s="14">
        <v>45408.632639000003</v>
      </c>
      <c r="B280" s="15">
        <v>59.579376000000003</v>
      </c>
    </row>
    <row r="281" spans="1:2">
      <c r="A281" s="14">
        <v>45408.633332999998</v>
      </c>
      <c r="B281" s="15">
        <v>59.183501999999997</v>
      </c>
    </row>
    <row r="282" spans="1:2">
      <c r="A282" s="14">
        <v>45408.634028</v>
      </c>
      <c r="B282" s="15">
        <v>58.704245999999998</v>
      </c>
    </row>
    <row r="283" spans="1:2">
      <c r="A283" s="14">
        <v>45408.634722000003</v>
      </c>
      <c r="B283" s="15">
        <v>60.223202000000001</v>
      </c>
    </row>
    <row r="284" spans="1:2">
      <c r="A284" s="14">
        <v>45408.635416999998</v>
      </c>
      <c r="B284" s="15">
        <v>59.199500999999998</v>
      </c>
    </row>
    <row r="285" spans="1:2">
      <c r="A285" s="14">
        <v>45408.636111</v>
      </c>
      <c r="B285" s="15">
        <v>59.587484000000003</v>
      </c>
    </row>
    <row r="286" spans="1:2">
      <c r="A286" s="14">
        <v>45408.636806000002</v>
      </c>
      <c r="B286" s="15">
        <v>58.882469999999998</v>
      </c>
    </row>
    <row r="287" spans="1:2">
      <c r="A287" s="14">
        <v>45408.637499999997</v>
      </c>
      <c r="B287" s="15">
        <v>60.042406999999997</v>
      </c>
    </row>
    <row r="288" spans="1:2">
      <c r="A288" s="14">
        <v>45408.638193999999</v>
      </c>
      <c r="B288" s="15">
        <v>59.573518</v>
      </c>
    </row>
    <row r="289" spans="1:2">
      <c r="A289" s="14">
        <v>45408.638889000002</v>
      </c>
      <c r="B289" s="15">
        <v>60.321497999999998</v>
      </c>
    </row>
    <row r="290" spans="1:2">
      <c r="A290" s="14">
        <v>45408.639582999996</v>
      </c>
      <c r="B290" s="15">
        <v>58.883383000000002</v>
      </c>
    </row>
    <row r="291" spans="1:2">
      <c r="A291" s="14">
        <v>45408.640277999999</v>
      </c>
      <c r="B291" s="15">
        <v>59.534573000000002</v>
      </c>
    </row>
    <row r="292" spans="1:2">
      <c r="A292" s="14">
        <v>45408.640972000001</v>
      </c>
      <c r="B292" s="15">
        <v>59.803708</v>
      </c>
    </row>
    <row r="293" spans="1:2">
      <c r="A293" s="14">
        <v>45408.641667000004</v>
      </c>
      <c r="B293" s="15">
        <v>60.270190999999997</v>
      </c>
    </row>
    <row r="294" spans="1:2">
      <c r="A294" s="14">
        <v>45408.642360999998</v>
      </c>
      <c r="B294" s="15">
        <v>59.350360999999999</v>
      </c>
    </row>
    <row r="295" spans="1:2">
      <c r="A295" s="14">
        <v>45408.643056000001</v>
      </c>
      <c r="B295" s="15">
        <v>59.243675000000003</v>
      </c>
    </row>
    <row r="296" spans="1:2">
      <c r="A296" s="14">
        <v>45408.643750000003</v>
      </c>
      <c r="B296" s="15">
        <v>58.711353000000003</v>
      </c>
    </row>
    <row r="297" spans="1:2">
      <c r="A297" s="14">
        <v>45408.644443999998</v>
      </c>
      <c r="B297" s="15">
        <v>59.433492999999999</v>
      </c>
    </row>
    <row r="298" spans="1:2">
      <c r="A298" s="14">
        <v>45408.645139</v>
      </c>
      <c r="B298" s="15">
        <v>60.724153000000001</v>
      </c>
    </row>
    <row r="299" spans="1:2">
      <c r="A299" s="14">
        <v>45408.645833000002</v>
      </c>
      <c r="B299" s="15">
        <v>60.402996000000002</v>
      </c>
    </row>
    <row r="300" spans="1:2">
      <c r="A300" s="14">
        <v>45408.646527999997</v>
      </c>
      <c r="B300" s="15">
        <v>59.916882000000001</v>
      </c>
    </row>
    <row r="301" spans="1:2">
      <c r="A301" s="14">
        <v>45408.647222</v>
      </c>
      <c r="B301" s="15">
        <v>59.224463999999998</v>
      </c>
    </row>
    <row r="302" spans="1:2">
      <c r="A302" s="14">
        <v>45408.647917000002</v>
      </c>
      <c r="B302" s="15">
        <v>59.966141999999998</v>
      </c>
    </row>
    <row r="303" spans="1:2">
      <c r="A303" s="14">
        <v>45408.648610999997</v>
      </c>
      <c r="B303" s="15">
        <v>59.759112999999999</v>
      </c>
    </row>
    <row r="304" spans="1:2">
      <c r="A304" s="14">
        <v>45408.649305999999</v>
      </c>
      <c r="B304" s="15">
        <v>60.073898</v>
      </c>
    </row>
    <row r="305" spans="1:2">
      <c r="A305" s="14">
        <v>45408.65</v>
      </c>
      <c r="B305" s="15">
        <v>59.520465999999999</v>
      </c>
    </row>
    <row r="306" spans="1:2">
      <c r="A306" s="14">
        <v>45408.650694000004</v>
      </c>
      <c r="B306" s="15">
        <v>59.500418000000003</v>
      </c>
    </row>
    <row r="307" spans="1:2">
      <c r="A307" s="14">
        <v>45408.651388999999</v>
      </c>
      <c r="B307" s="15">
        <v>60.446252000000001</v>
      </c>
    </row>
    <row r="308" spans="1:2">
      <c r="A308" s="14">
        <v>45408.652083000001</v>
      </c>
      <c r="B308" s="15">
        <v>60.223053999999998</v>
      </c>
    </row>
    <row r="309" spans="1:2">
      <c r="A309" s="14">
        <v>45408.652778000003</v>
      </c>
      <c r="B309" s="15">
        <v>59.957256000000001</v>
      </c>
    </row>
    <row r="310" spans="1:2">
      <c r="A310" s="14">
        <v>45408.653471999998</v>
      </c>
      <c r="B310" s="15">
        <v>59.231185000000004</v>
      </c>
    </row>
    <row r="311" spans="1:2">
      <c r="A311" s="14">
        <v>45408.654167000001</v>
      </c>
      <c r="B311" s="15">
        <v>60.230738000000002</v>
      </c>
    </row>
    <row r="312" spans="1:2">
      <c r="A312" s="14">
        <v>45408.654861000003</v>
      </c>
      <c r="B312" s="15">
        <v>59.98753</v>
      </c>
    </row>
    <row r="313" spans="1:2">
      <c r="A313" s="14">
        <v>45408.655555999998</v>
      </c>
      <c r="B313" s="15">
        <v>58.967280000000002</v>
      </c>
    </row>
    <row r="314" spans="1:2">
      <c r="A314" s="14">
        <v>45408.65625</v>
      </c>
      <c r="B314" s="15">
        <v>60.192055000000003</v>
      </c>
    </row>
    <row r="315" spans="1:2">
      <c r="A315" s="14">
        <v>45408.656944000002</v>
      </c>
      <c r="B315" s="15">
        <v>60.264085999999999</v>
      </c>
    </row>
    <row r="316" spans="1:2">
      <c r="A316" s="14">
        <v>45408.657638999997</v>
      </c>
      <c r="B316" s="15">
        <v>59.910359999999997</v>
      </c>
    </row>
    <row r="317" spans="1:2">
      <c r="A317" s="14">
        <v>45408.658332999999</v>
      </c>
      <c r="B317" s="15">
        <v>60.598688000000003</v>
      </c>
    </row>
    <row r="318" spans="1:2">
      <c r="A318" s="14">
        <v>45408.659028000002</v>
      </c>
      <c r="B318" s="15">
        <v>59.822026000000001</v>
      </c>
    </row>
    <row r="319" spans="1:2">
      <c r="A319" s="14">
        <v>45408.659721999997</v>
      </c>
      <c r="B319" s="15">
        <v>60.730103999999997</v>
      </c>
    </row>
    <row r="320" spans="1:2">
      <c r="A320" s="14">
        <v>45408.660416999999</v>
      </c>
      <c r="B320" s="15">
        <v>59.261454999999998</v>
      </c>
    </row>
    <row r="321" spans="1:2">
      <c r="A321" s="14">
        <v>45408.661111000001</v>
      </c>
      <c r="B321" s="15">
        <v>60.239902000000001</v>
      </c>
    </row>
    <row r="322" spans="1:2">
      <c r="A322" s="14">
        <v>45408.661805999996</v>
      </c>
      <c r="B322" s="15">
        <v>60.989381000000002</v>
      </c>
    </row>
    <row r="323" spans="1:2">
      <c r="A323" s="14">
        <v>45408.662499999999</v>
      </c>
      <c r="B323" s="15">
        <v>58.413232999999998</v>
      </c>
    </row>
    <row r="324" spans="1:2">
      <c r="A324" s="14">
        <v>45408.663194000001</v>
      </c>
      <c r="B324" s="15">
        <v>59.163482999999999</v>
      </c>
    </row>
    <row r="325" spans="1:2">
      <c r="A325" s="14">
        <v>45408.663889000003</v>
      </c>
      <c r="B325" s="15">
        <v>59.277433000000002</v>
      </c>
    </row>
    <row r="326" spans="1:2">
      <c r="A326" s="14">
        <v>45408.664582999998</v>
      </c>
      <c r="B326" s="15">
        <v>58.871836000000002</v>
      </c>
    </row>
    <row r="327" spans="1:2">
      <c r="A327" s="14">
        <v>45408.665278</v>
      </c>
      <c r="B327" s="15">
        <v>60.170341000000001</v>
      </c>
    </row>
    <row r="328" spans="1:2">
      <c r="A328" s="14">
        <v>45408.665972000003</v>
      </c>
      <c r="B328" s="15">
        <v>59.335780999999997</v>
      </c>
    </row>
    <row r="329" spans="1:2">
      <c r="A329" s="14">
        <v>45408.666666999998</v>
      </c>
      <c r="B329" s="15">
        <v>60.410159</v>
      </c>
    </row>
    <row r="330" spans="1:2">
      <c r="A330" s="14">
        <v>45408.667361</v>
      </c>
      <c r="B330" s="15">
        <v>59.562606000000002</v>
      </c>
    </row>
    <row r="331" spans="1:2">
      <c r="A331" s="14">
        <v>45408.668056000002</v>
      </c>
      <c r="B331" s="15">
        <v>58.612873</v>
      </c>
    </row>
    <row r="332" spans="1:2">
      <c r="A332" s="14">
        <v>45408.668749999997</v>
      </c>
      <c r="B332" s="15">
        <v>58.850945000000003</v>
      </c>
    </row>
    <row r="333" spans="1:2">
      <c r="A333" s="14">
        <v>45408.669443999999</v>
      </c>
      <c r="B333" s="15">
        <v>59.424500000000002</v>
      </c>
    </row>
    <row r="334" spans="1:2">
      <c r="A334" s="14">
        <v>45408.670139000002</v>
      </c>
      <c r="B334" s="15">
        <v>59.062818</v>
      </c>
    </row>
    <row r="335" spans="1:2">
      <c r="A335" s="14">
        <v>45408.670832999996</v>
      </c>
      <c r="B335" s="15">
        <v>59.316836000000002</v>
      </c>
    </row>
    <row r="336" spans="1:2">
      <c r="A336" s="14">
        <v>45408.671527999999</v>
      </c>
      <c r="B336" s="15">
        <v>60.526899999999998</v>
      </c>
    </row>
    <row r="337" spans="1:2">
      <c r="A337" s="14">
        <v>45408.672222000001</v>
      </c>
      <c r="B337" s="15">
        <v>59.938977000000001</v>
      </c>
    </row>
    <row r="338" spans="1:2">
      <c r="A338" s="14">
        <v>45408.672917000004</v>
      </c>
      <c r="B338" s="15">
        <v>60.134971999999998</v>
      </c>
    </row>
    <row r="339" spans="1:2">
      <c r="A339" s="14">
        <v>45408.673610999998</v>
      </c>
      <c r="B339" s="15">
        <v>59.3155</v>
      </c>
    </row>
    <row r="340" spans="1:2">
      <c r="A340" s="14">
        <v>45408.674306000001</v>
      </c>
      <c r="B340" s="15">
        <v>60.761488</v>
      </c>
    </row>
    <row r="341" spans="1:2">
      <c r="A341" s="14">
        <v>45408.675000000003</v>
      </c>
      <c r="B341" s="15">
        <v>59.995018000000002</v>
      </c>
    </row>
    <row r="342" spans="1:2">
      <c r="A342" s="14">
        <v>45408.675693999998</v>
      </c>
      <c r="B342" s="15">
        <v>59.702668000000003</v>
      </c>
    </row>
    <row r="343" spans="1:2">
      <c r="A343" s="14">
        <v>45408.676389</v>
      </c>
      <c r="B343" s="15">
        <v>59.506658999999999</v>
      </c>
    </row>
    <row r="344" spans="1:2">
      <c r="A344" s="14">
        <v>45408.677083000002</v>
      </c>
      <c r="B344" s="15">
        <v>60.551513999999997</v>
      </c>
    </row>
    <row r="345" spans="1:2">
      <c r="A345" s="14">
        <v>45408.677777999997</v>
      </c>
      <c r="B345" s="15">
        <v>59.928801999999997</v>
      </c>
    </row>
    <row r="346" spans="1:2">
      <c r="A346" s="14">
        <v>45408.678472</v>
      </c>
      <c r="B346" s="15">
        <v>60.665796999999998</v>
      </c>
    </row>
    <row r="347" spans="1:2">
      <c r="A347" s="14">
        <v>45408.679167000002</v>
      </c>
      <c r="B347" s="15">
        <v>59.742204000000001</v>
      </c>
    </row>
    <row r="348" spans="1:2">
      <c r="A348" s="14">
        <v>45408.679860999997</v>
      </c>
      <c r="B348" s="15">
        <v>59.680377999999997</v>
      </c>
    </row>
    <row r="349" spans="1:2">
      <c r="A349" s="14">
        <v>45408.680555999999</v>
      </c>
      <c r="B349" s="15">
        <v>60.159466999999999</v>
      </c>
    </row>
    <row r="350" spans="1:2">
      <c r="A350" s="14">
        <v>45408.681250000001</v>
      </c>
      <c r="B350" s="15">
        <v>60.029055999999997</v>
      </c>
    </row>
    <row r="351" spans="1:2">
      <c r="A351" s="14">
        <v>45408.681944000004</v>
      </c>
      <c r="B351" s="15">
        <v>60.227122999999999</v>
      </c>
    </row>
    <row r="352" spans="1:2">
      <c r="A352" s="14">
        <v>45408.682638999999</v>
      </c>
      <c r="B352" s="15">
        <v>58.735548999999999</v>
      </c>
    </row>
    <row r="353" spans="1:2">
      <c r="A353" s="14">
        <v>45408.683333000001</v>
      </c>
      <c r="B353" s="15">
        <v>59.762304999999998</v>
      </c>
    </row>
    <row r="354" spans="1:2">
      <c r="A354" s="14">
        <v>45408.684028000003</v>
      </c>
      <c r="B354" s="15">
        <v>60.243080999999997</v>
      </c>
    </row>
    <row r="355" spans="1:2">
      <c r="A355" s="14">
        <v>45408.684721999998</v>
      </c>
      <c r="B355" s="15">
        <v>60.443483000000001</v>
      </c>
    </row>
    <row r="356" spans="1:2">
      <c r="A356" s="14">
        <v>45408.685417000001</v>
      </c>
      <c r="B356" s="15">
        <v>59.781486999999998</v>
      </c>
    </row>
    <row r="357" spans="1:2">
      <c r="A357" s="14">
        <v>45408.686111000003</v>
      </c>
      <c r="B357" s="15">
        <v>60.882675999999996</v>
      </c>
    </row>
    <row r="358" spans="1:2">
      <c r="A358" s="14">
        <v>45408.686805999998</v>
      </c>
      <c r="B358" s="15">
        <v>61.061148000000003</v>
      </c>
    </row>
    <row r="359" spans="1:2">
      <c r="A359" s="14">
        <v>45408.6875</v>
      </c>
      <c r="B359" s="15">
        <v>59.688284000000003</v>
      </c>
    </row>
    <row r="360" spans="1:2">
      <c r="A360" s="14">
        <v>45408.688194000002</v>
      </c>
      <c r="B360" s="15">
        <v>59.986443000000001</v>
      </c>
    </row>
    <row r="361" spans="1:2">
      <c r="A361" s="14">
        <v>45408.688888999997</v>
      </c>
      <c r="B361" s="15">
        <v>59.751649</v>
      </c>
    </row>
    <row r="362" spans="1:2">
      <c r="A362" s="14">
        <v>45408.689582999999</v>
      </c>
      <c r="B362" s="15">
        <v>60.403514000000001</v>
      </c>
    </row>
    <row r="363" spans="1:2">
      <c r="A363" s="14">
        <v>45408.690278000002</v>
      </c>
      <c r="B363" s="15">
        <v>60.924160999999998</v>
      </c>
    </row>
    <row r="364" spans="1:2">
      <c r="A364" s="14">
        <v>45408.690971999997</v>
      </c>
      <c r="B364" s="15">
        <v>60.065750999999999</v>
      </c>
    </row>
    <row r="365" spans="1:2">
      <c r="A365" s="14">
        <v>45408.691666999999</v>
      </c>
      <c r="B365" s="15">
        <v>60.707303000000003</v>
      </c>
    </row>
    <row r="366" spans="1:2">
      <c r="A366" s="14">
        <v>45408.692361000001</v>
      </c>
      <c r="B366" s="15">
        <v>61.25141</v>
      </c>
    </row>
    <row r="367" spans="1:2">
      <c r="A367" s="14">
        <v>45408.693055999996</v>
      </c>
      <c r="B367" s="15">
        <v>60.104917</v>
      </c>
    </row>
    <row r="368" spans="1:2">
      <c r="A368" s="14">
        <v>45408.693749999999</v>
      </c>
      <c r="B368" s="15">
        <v>60.191198999999997</v>
      </c>
    </row>
    <row r="369" spans="1:2">
      <c r="A369" s="14">
        <v>45408.694444000001</v>
      </c>
      <c r="B369" s="15">
        <v>60.791618999999997</v>
      </c>
    </row>
    <row r="370" spans="1:2">
      <c r="A370" s="14">
        <v>45408.695139000003</v>
      </c>
      <c r="B370" s="15">
        <v>59.884081999999999</v>
      </c>
    </row>
    <row r="371" spans="1:2">
      <c r="A371" s="14">
        <v>45408.695832999998</v>
      </c>
      <c r="B371" s="15">
        <v>60.21284</v>
      </c>
    </row>
    <row r="372" spans="1:2">
      <c r="A372" s="14">
        <v>45408.696528</v>
      </c>
      <c r="B372" s="15">
        <v>60.561599999999999</v>
      </c>
    </row>
    <row r="373" spans="1:2">
      <c r="A373" s="14">
        <v>45408.697222000003</v>
      </c>
      <c r="B373" s="15">
        <v>59.401344000000002</v>
      </c>
    </row>
    <row r="374" spans="1:2">
      <c r="A374" s="14">
        <v>45408.697916999998</v>
      </c>
      <c r="B374" s="15">
        <v>59.843328999999997</v>
      </c>
    </row>
    <row r="375" spans="1:2">
      <c r="A375" s="14">
        <v>45408.698611</v>
      </c>
      <c r="B375" s="15">
        <v>60.369542000000003</v>
      </c>
    </row>
    <row r="376" spans="1:2">
      <c r="A376" s="14">
        <v>45408.699306000002</v>
      </c>
      <c r="B376" s="15">
        <v>61.662872</v>
      </c>
    </row>
    <row r="377" spans="1:2">
      <c r="A377" s="14">
        <v>45408.7</v>
      </c>
      <c r="B377" s="15">
        <v>60.109057</v>
      </c>
    </row>
    <row r="378" spans="1:2">
      <c r="A378" s="14">
        <v>45408.700693999999</v>
      </c>
      <c r="B378" s="15">
        <v>61.171509999999998</v>
      </c>
    </row>
    <row r="379" spans="1:2">
      <c r="A379" s="14">
        <v>45408.701389000002</v>
      </c>
      <c r="B379" s="15">
        <v>61.091980999999997</v>
      </c>
    </row>
    <row r="380" spans="1:2">
      <c r="A380" s="14">
        <v>45408.702082999996</v>
      </c>
      <c r="B380" s="15">
        <v>60.575346000000003</v>
      </c>
    </row>
    <row r="381" spans="1:2">
      <c r="A381" s="14">
        <v>45408.702777999999</v>
      </c>
      <c r="B381" s="15">
        <v>59.013224000000001</v>
      </c>
    </row>
    <row r="382" spans="1:2">
      <c r="A382" s="14">
        <v>45408.703472000001</v>
      </c>
      <c r="B382" s="15">
        <v>59.632691000000001</v>
      </c>
    </row>
    <row r="383" spans="1:2">
      <c r="A383" s="14">
        <v>45408.704167000004</v>
      </c>
      <c r="B383" s="15">
        <v>59.431012000000003</v>
      </c>
    </row>
    <row r="384" spans="1:2">
      <c r="A384" s="14">
        <v>45408.704860999998</v>
      </c>
      <c r="B384" s="15">
        <v>59.937046000000002</v>
      </c>
    </row>
    <row r="385" spans="1:2">
      <c r="A385" s="14">
        <v>45408.705556000001</v>
      </c>
      <c r="B385" s="15">
        <v>60.920594000000001</v>
      </c>
    </row>
    <row r="386" spans="1:2">
      <c r="A386" s="14">
        <v>45408.706250000003</v>
      </c>
      <c r="B386" s="15">
        <v>59.86524</v>
      </c>
    </row>
    <row r="387" spans="1:2">
      <c r="A387" s="14">
        <v>45408.706943999998</v>
      </c>
      <c r="B387" s="15">
        <v>60.677370000000003</v>
      </c>
    </row>
    <row r="388" spans="1:2">
      <c r="A388" s="14">
        <v>45408.707639</v>
      </c>
      <c r="B388" s="15">
        <v>60.221159</v>
      </c>
    </row>
    <row r="389" spans="1:2">
      <c r="A389" s="14">
        <v>45408.708333000002</v>
      </c>
      <c r="B389" s="15">
        <v>61.209558000000001</v>
      </c>
    </row>
    <row r="390" spans="1:2">
      <c r="A390" s="14">
        <v>45408.709027999997</v>
      </c>
      <c r="B390" s="15">
        <v>60.700195000000001</v>
      </c>
    </row>
    <row r="391" spans="1:2">
      <c r="A391" s="14">
        <v>45408.709722</v>
      </c>
      <c r="B391" s="15">
        <v>59.677363999999997</v>
      </c>
    </row>
    <row r="392" spans="1:2">
      <c r="A392" s="14">
        <v>45408.710417000002</v>
      </c>
      <c r="B392" s="15">
        <v>59.341129000000002</v>
      </c>
    </row>
    <row r="393" spans="1:2">
      <c r="A393" s="14">
        <v>45408.711110999997</v>
      </c>
      <c r="B393" s="15">
        <v>61.952261</v>
      </c>
    </row>
    <row r="394" spans="1:2">
      <c r="A394" s="14">
        <v>45408.711805999999</v>
      </c>
      <c r="B394" s="15">
        <v>60.024486000000003</v>
      </c>
    </row>
    <row r="395" spans="1:2">
      <c r="A395" s="14">
        <v>45408.712500000001</v>
      </c>
      <c r="B395" s="15">
        <v>60.601131000000002</v>
      </c>
    </row>
    <row r="396" spans="1:2">
      <c r="A396" s="14">
        <v>45408.713194000004</v>
      </c>
      <c r="B396" s="15">
        <v>60.500326000000001</v>
      </c>
    </row>
    <row r="397" spans="1:2">
      <c r="A397" s="14">
        <v>45408.713888999999</v>
      </c>
      <c r="B397" s="15">
        <v>59.919131999999998</v>
      </c>
    </row>
    <row r="398" spans="1:2">
      <c r="A398" s="14">
        <v>45408.714583000001</v>
      </c>
      <c r="B398" s="15">
        <v>60.954641000000002</v>
      </c>
    </row>
    <row r="399" spans="1:2">
      <c r="A399" s="14">
        <v>45408.715278000003</v>
      </c>
      <c r="B399" s="15">
        <v>61.521528000000004</v>
      </c>
    </row>
    <row r="400" spans="1:2">
      <c r="A400" s="14">
        <v>45408.715971999998</v>
      </c>
      <c r="B400" s="15">
        <v>60.485686999999999</v>
      </c>
    </row>
    <row r="401" spans="1:2">
      <c r="A401" s="14">
        <v>45408.716667000001</v>
      </c>
      <c r="B401" s="15">
        <v>60.977693000000002</v>
      </c>
    </row>
    <row r="402" spans="1:2">
      <c r="A402" s="14">
        <v>45408.717361000003</v>
      </c>
      <c r="B402" s="15">
        <v>59.470491000000003</v>
      </c>
    </row>
    <row r="403" spans="1:2">
      <c r="A403" s="14">
        <v>45408.718055999998</v>
      </c>
      <c r="B403" s="15">
        <v>60.752643999999997</v>
      </c>
    </row>
    <row r="404" spans="1:2">
      <c r="A404" s="14">
        <v>45408.71875</v>
      </c>
      <c r="B404" s="15">
        <v>59.755889000000003</v>
      </c>
    </row>
    <row r="405" spans="1:2">
      <c r="A405" s="14">
        <v>45408.719444000002</v>
      </c>
      <c r="B405" s="15">
        <v>61.293407999999999</v>
      </c>
    </row>
    <row r="406" spans="1:2">
      <c r="A406" s="14">
        <v>45408.720138999997</v>
      </c>
      <c r="B406" s="15">
        <v>60.502158000000001</v>
      </c>
    </row>
    <row r="407" spans="1:2">
      <c r="A407" s="14">
        <v>45408.720832999999</v>
      </c>
      <c r="B407" s="15">
        <v>60.367412000000002</v>
      </c>
    </row>
    <row r="408" spans="1:2">
      <c r="A408" s="14">
        <v>45408.721528000002</v>
      </c>
      <c r="B408" s="15">
        <v>60.412790999999999</v>
      </c>
    </row>
    <row r="409" spans="1:2">
      <c r="A409" s="14">
        <v>45408.722221999997</v>
      </c>
      <c r="B409" s="15">
        <v>60.172668999999999</v>
      </c>
    </row>
    <row r="410" spans="1:2">
      <c r="A410" s="14">
        <v>45408.722916999999</v>
      </c>
      <c r="B410" s="15">
        <v>61.470483999999999</v>
      </c>
    </row>
    <row r="411" spans="1:2">
      <c r="A411" s="14">
        <v>45408.723611000001</v>
      </c>
      <c r="B411" s="15">
        <v>59.760662000000004</v>
      </c>
    </row>
    <row r="412" spans="1:2">
      <c r="A412" s="14">
        <v>45408.724305999996</v>
      </c>
      <c r="B412" s="15">
        <v>60.905901</v>
      </c>
    </row>
    <row r="413" spans="1:2">
      <c r="A413" s="14">
        <v>45408.724999999999</v>
      </c>
      <c r="B413" s="15">
        <v>61.669651000000002</v>
      </c>
    </row>
    <row r="414" spans="1:2">
      <c r="A414" s="14">
        <v>45408.725694000001</v>
      </c>
      <c r="B414" s="15">
        <v>60.619596000000001</v>
      </c>
    </row>
    <row r="415" spans="1:2">
      <c r="A415" s="14">
        <v>45408.726389000003</v>
      </c>
      <c r="B415" s="15">
        <v>60.352969000000002</v>
      </c>
    </row>
    <row r="416" spans="1:2">
      <c r="A416" s="14">
        <v>45408.727082999998</v>
      </c>
      <c r="B416" s="15">
        <v>61.097287000000001</v>
      </c>
    </row>
    <row r="417" spans="1:2">
      <c r="A417" s="14">
        <v>45408.727778</v>
      </c>
      <c r="B417" s="15">
        <v>61.048022000000003</v>
      </c>
    </row>
    <row r="418" spans="1:2">
      <c r="A418" s="14">
        <v>45408.728472000003</v>
      </c>
      <c r="B418" s="15">
        <v>60.232325000000003</v>
      </c>
    </row>
    <row r="419" spans="1:2">
      <c r="A419" s="14">
        <v>45408.729166999998</v>
      </c>
      <c r="B419" s="15">
        <v>61.265326999999999</v>
      </c>
    </row>
    <row r="420" spans="1:2">
      <c r="A420" s="14">
        <v>45408.729861</v>
      </c>
      <c r="B420" s="15">
        <v>60.999603</v>
      </c>
    </row>
    <row r="421" spans="1:2">
      <c r="A421" s="14">
        <v>45408.730556000002</v>
      </c>
      <c r="B421" s="15">
        <v>60.391629999999999</v>
      </c>
    </row>
    <row r="422" spans="1:2">
      <c r="A422" s="14">
        <v>45408.731249999997</v>
      </c>
      <c r="B422" s="15">
        <v>59.976525000000002</v>
      </c>
    </row>
    <row r="423" spans="1:2">
      <c r="A423" s="14">
        <v>45408.731943999999</v>
      </c>
      <c r="B423" s="15">
        <v>60.472473999999998</v>
      </c>
    </row>
    <row r="424" spans="1:2">
      <c r="A424" s="14">
        <v>45408.732639000002</v>
      </c>
      <c r="B424" s="15">
        <v>61.712029000000001</v>
      </c>
    </row>
    <row r="425" spans="1:2">
      <c r="A425" s="14">
        <v>45408.733332999996</v>
      </c>
      <c r="B425" s="15">
        <v>59.960622000000001</v>
      </c>
    </row>
    <row r="426" spans="1:2">
      <c r="A426" s="14">
        <v>45408.734027999999</v>
      </c>
      <c r="B426" s="15">
        <v>59.260800000000003</v>
      </c>
    </row>
    <row r="427" spans="1:2">
      <c r="A427" s="14">
        <v>45408.734722000001</v>
      </c>
      <c r="B427" s="15">
        <v>60.746262000000002</v>
      </c>
    </row>
    <row r="428" spans="1:2">
      <c r="A428" s="14">
        <v>45408.735417000004</v>
      </c>
      <c r="B428" s="15">
        <v>60.910468000000002</v>
      </c>
    </row>
    <row r="429" spans="1:2">
      <c r="A429" s="14">
        <v>45408.736110999998</v>
      </c>
      <c r="B429" s="15">
        <v>60.829340999999999</v>
      </c>
    </row>
    <row r="430" spans="1:2">
      <c r="A430" s="14">
        <v>45408.736806000001</v>
      </c>
      <c r="B430" s="15">
        <v>59.994160000000001</v>
      </c>
    </row>
    <row r="431" spans="1:2">
      <c r="A431" s="14">
        <v>45408.737500000003</v>
      </c>
      <c r="B431" s="15">
        <v>60.817855999999999</v>
      </c>
    </row>
    <row r="432" spans="1:2">
      <c r="A432" s="14">
        <v>45408.738193999998</v>
      </c>
      <c r="B432" s="15">
        <v>60.960487999999998</v>
      </c>
    </row>
    <row r="433" spans="1:2">
      <c r="A433" s="14">
        <v>45408.738889</v>
      </c>
      <c r="B433" s="15">
        <v>60.123496000000003</v>
      </c>
    </row>
    <row r="434" spans="1:2">
      <c r="A434" s="14">
        <v>45408.739583000002</v>
      </c>
      <c r="B434" s="15">
        <v>60.651116999999999</v>
      </c>
    </row>
    <row r="435" spans="1:2">
      <c r="A435" s="14">
        <v>45408.740277999997</v>
      </c>
      <c r="B435" s="15">
        <v>61.397432999999999</v>
      </c>
    </row>
    <row r="436" spans="1:2">
      <c r="A436" s="14">
        <v>45408.740972</v>
      </c>
      <c r="B436" s="15">
        <v>61.875689000000001</v>
      </c>
    </row>
    <row r="437" spans="1:2">
      <c r="A437" s="14">
        <v>45408.741667000002</v>
      </c>
      <c r="B437" s="15">
        <v>59.500664</v>
      </c>
    </row>
    <row r="438" spans="1:2">
      <c r="A438" s="14">
        <v>45408.742360999997</v>
      </c>
      <c r="B438" s="15">
        <v>61.175187000000001</v>
      </c>
    </row>
    <row r="439" spans="1:2">
      <c r="A439" s="14">
        <v>45408.743055999999</v>
      </c>
      <c r="B439" s="15">
        <v>59.678057000000003</v>
      </c>
    </row>
    <row r="440" spans="1:2">
      <c r="A440" s="14">
        <v>45408.743750000001</v>
      </c>
      <c r="B440" s="15">
        <v>61.063400999999999</v>
      </c>
    </row>
    <row r="441" spans="1:2">
      <c r="A441" s="14">
        <v>45408.744444000004</v>
      </c>
      <c r="B441" s="15">
        <v>60.541538000000003</v>
      </c>
    </row>
    <row r="442" spans="1:2">
      <c r="A442" s="14">
        <v>45408.745138999999</v>
      </c>
      <c r="B442" s="15">
        <v>61.015889999999999</v>
      </c>
    </row>
    <row r="443" spans="1:2">
      <c r="A443" s="14">
        <v>45408.745833000001</v>
      </c>
      <c r="B443" s="15">
        <v>60.977789999999999</v>
      </c>
    </row>
    <row r="444" spans="1:2">
      <c r="A444" s="14">
        <v>45408.746528000003</v>
      </c>
      <c r="B444" s="15">
        <v>60.627996000000003</v>
      </c>
    </row>
    <row r="445" spans="1:2">
      <c r="A445" s="14">
        <v>45408.747221999998</v>
      </c>
      <c r="B445" s="15">
        <v>59.921062999999997</v>
      </c>
    </row>
    <row r="446" spans="1:2">
      <c r="A446" s="14">
        <v>45408.747917000001</v>
      </c>
      <c r="B446" s="15">
        <v>60.139285000000001</v>
      </c>
    </row>
    <row r="447" spans="1:2">
      <c r="A447" s="14">
        <v>45408.748611000003</v>
      </c>
      <c r="B447" s="15">
        <v>62.138755000000003</v>
      </c>
    </row>
    <row r="448" spans="1:2">
      <c r="A448" s="14">
        <v>45408.749305999998</v>
      </c>
      <c r="B448" s="15">
        <v>59.491756000000002</v>
      </c>
    </row>
    <row r="449" spans="1:2">
      <c r="A449" s="14">
        <v>45408.75</v>
      </c>
      <c r="B449" s="15">
        <v>61.319586000000001</v>
      </c>
    </row>
    <row r="450" spans="1:2">
      <c r="A450" s="14">
        <v>45408.750694000002</v>
      </c>
      <c r="B450" s="15">
        <v>61.833781000000002</v>
      </c>
    </row>
    <row r="451" spans="1:2">
      <c r="A451" s="14">
        <v>45408.751388999997</v>
      </c>
      <c r="B451" s="15">
        <v>61.143312000000002</v>
      </c>
    </row>
    <row r="452" spans="1:2">
      <c r="A452" s="14">
        <v>45408.752082999999</v>
      </c>
      <c r="B452" s="15">
        <v>62.077638999999998</v>
      </c>
    </row>
    <row r="453" spans="1:2">
      <c r="A453" s="14">
        <v>45408.752778000002</v>
      </c>
      <c r="B453" s="15">
        <v>61.191896</v>
      </c>
    </row>
    <row r="454" spans="1:2">
      <c r="A454" s="14">
        <v>45408.753471999997</v>
      </c>
      <c r="B454" s="15">
        <v>61.243819999999999</v>
      </c>
    </row>
    <row r="455" spans="1:2">
      <c r="A455" s="14">
        <v>45408.754166999999</v>
      </c>
      <c r="B455" s="15">
        <v>60.306350999999999</v>
      </c>
    </row>
    <row r="456" spans="1:2">
      <c r="A456" s="14">
        <v>45408.754861000001</v>
      </c>
      <c r="B456" s="15">
        <v>60.571302000000003</v>
      </c>
    </row>
    <row r="457" spans="1:2">
      <c r="A457" s="14">
        <v>45408.755555999996</v>
      </c>
      <c r="B457" s="15">
        <v>61.257534999999997</v>
      </c>
    </row>
    <row r="458" spans="1:2">
      <c r="A458" s="14">
        <v>45408.756249999999</v>
      </c>
      <c r="B458" s="15">
        <v>61.474710000000002</v>
      </c>
    </row>
    <row r="459" spans="1:2">
      <c r="A459" s="14">
        <v>45408.756944000001</v>
      </c>
      <c r="B459" s="15">
        <v>60.865130000000001</v>
      </c>
    </row>
    <row r="460" spans="1:2">
      <c r="A460" s="14">
        <v>45408.757639000003</v>
      </c>
      <c r="B460" s="15">
        <v>59.419282000000003</v>
      </c>
    </row>
    <row r="461" spans="1:2">
      <c r="A461" s="14">
        <v>45408.758332999998</v>
      </c>
      <c r="B461" s="15">
        <v>61.443871999999999</v>
      </c>
    </row>
    <row r="462" spans="1:2">
      <c r="A462" s="14">
        <v>45408.759028</v>
      </c>
      <c r="B462" s="15">
        <v>60.938051000000002</v>
      </c>
    </row>
    <row r="463" spans="1:2">
      <c r="A463" s="14">
        <v>45408.759722000003</v>
      </c>
      <c r="B463" s="15">
        <v>61.179423999999997</v>
      </c>
    </row>
    <row r="464" spans="1:2">
      <c r="A464" s="14">
        <v>45408.760416999998</v>
      </c>
      <c r="B464" s="15">
        <v>60.903629000000002</v>
      </c>
    </row>
    <row r="465" spans="1:2">
      <c r="A465" s="14">
        <v>45408.761111</v>
      </c>
      <c r="B465" s="15">
        <v>61.545372</v>
      </c>
    </row>
    <row r="466" spans="1:2">
      <c r="A466" s="14">
        <v>45408.761806000002</v>
      </c>
      <c r="B466" s="15">
        <v>60.448829000000003</v>
      </c>
    </row>
    <row r="467" spans="1:2">
      <c r="A467" s="14">
        <v>45408.762499999997</v>
      </c>
      <c r="B467" s="15">
        <v>60.850631999999997</v>
      </c>
    </row>
    <row r="468" spans="1:2">
      <c r="A468" s="14">
        <v>45408.763193999999</v>
      </c>
      <c r="B468" s="15">
        <v>62.094777000000001</v>
      </c>
    </row>
    <row r="469" spans="1:2">
      <c r="A469" s="14">
        <v>45408.763889000002</v>
      </c>
      <c r="B469" s="15">
        <v>60.994591</v>
      </c>
    </row>
    <row r="470" spans="1:2">
      <c r="A470" s="14">
        <v>45408.764582999996</v>
      </c>
      <c r="B470" s="15">
        <v>61.448985999999998</v>
      </c>
    </row>
    <row r="471" spans="1:2">
      <c r="A471" s="14">
        <v>45408.765277999999</v>
      </c>
      <c r="B471" s="15">
        <v>60.726477000000003</v>
      </c>
    </row>
    <row r="472" spans="1:2">
      <c r="A472" s="14">
        <v>45408.765972000001</v>
      </c>
      <c r="B472" s="15">
        <v>62.000076999999997</v>
      </c>
    </row>
    <row r="473" spans="1:2">
      <c r="A473" s="14">
        <v>45408.766667000004</v>
      </c>
      <c r="B473" s="15">
        <v>61.097529000000002</v>
      </c>
    </row>
    <row r="474" spans="1:2">
      <c r="A474" s="14">
        <v>45408.767360999998</v>
      </c>
      <c r="B474" s="15">
        <v>60.793402999999998</v>
      </c>
    </row>
    <row r="475" spans="1:2">
      <c r="A475" s="14">
        <v>45408.768056000001</v>
      </c>
      <c r="B475" s="15">
        <v>60.269131000000002</v>
      </c>
    </row>
    <row r="476" spans="1:2">
      <c r="A476" s="14">
        <v>45408.768750000003</v>
      </c>
      <c r="B476" s="15">
        <v>61.302045</v>
      </c>
    </row>
    <row r="477" spans="1:2">
      <c r="A477" s="14">
        <v>45408.769443999998</v>
      </c>
      <c r="B477" s="15">
        <v>59.719206</v>
      </c>
    </row>
    <row r="478" spans="1:2">
      <c r="A478" s="14">
        <v>45408.770139</v>
      </c>
      <c r="B478" s="15">
        <v>61.478402000000003</v>
      </c>
    </row>
    <row r="479" spans="1:2">
      <c r="A479" s="14">
        <v>45408.770833000002</v>
      </c>
      <c r="B479" s="15">
        <v>61.722681999999999</v>
      </c>
    </row>
    <row r="480" spans="1:2">
      <c r="A480" s="14">
        <v>45408.771527999997</v>
      </c>
      <c r="B480" s="15">
        <v>61.913812</v>
      </c>
    </row>
    <row r="481" spans="1:2">
      <c r="A481" s="14">
        <v>45408.772222</v>
      </c>
      <c r="B481" s="15">
        <v>61.548425999999999</v>
      </c>
    </row>
    <row r="482" spans="1:2">
      <c r="A482" s="14">
        <v>45408.772917000002</v>
      </c>
      <c r="B482" s="15">
        <v>59.678724000000003</v>
      </c>
    </row>
    <row r="483" spans="1:2">
      <c r="A483" s="14">
        <v>45408.773610999997</v>
      </c>
      <c r="B483" s="15">
        <v>61.541857999999998</v>
      </c>
    </row>
    <row r="484" spans="1:2">
      <c r="A484" s="14">
        <v>45408.774305999999</v>
      </c>
      <c r="B484" s="15">
        <v>60.257362000000001</v>
      </c>
    </row>
    <row r="485" spans="1:2">
      <c r="A485" s="14">
        <v>45408.775000000001</v>
      </c>
      <c r="B485" s="15">
        <v>61.726979999999998</v>
      </c>
    </row>
    <row r="486" spans="1:2">
      <c r="A486" s="14">
        <v>45408.775694000004</v>
      </c>
      <c r="B486" s="15">
        <v>60.740538999999998</v>
      </c>
    </row>
    <row r="487" spans="1:2">
      <c r="A487" s="14">
        <v>45408.776388999999</v>
      </c>
      <c r="B487" s="15">
        <v>60.639676000000001</v>
      </c>
    </row>
    <row r="488" spans="1:2">
      <c r="A488" s="14">
        <v>45408.777083000001</v>
      </c>
      <c r="B488" s="15">
        <v>61.221322000000001</v>
      </c>
    </row>
    <row r="489" spans="1:2">
      <c r="A489" s="14">
        <v>45408.777778000003</v>
      </c>
      <c r="B489" s="15">
        <v>61.113731000000001</v>
      </c>
    </row>
    <row r="490" spans="1:2">
      <c r="A490" s="14">
        <v>45408.778471999998</v>
      </c>
      <c r="B490" s="15">
        <v>60.362496999999998</v>
      </c>
    </row>
    <row r="491" spans="1:2">
      <c r="A491" s="14">
        <v>45408.779167000001</v>
      </c>
      <c r="B491" s="15">
        <v>60.534148999999999</v>
      </c>
    </row>
    <row r="492" spans="1:2">
      <c r="A492" s="14">
        <v>45408.779861000003</v>
      </c>
      <c r="B492" s="15">
        <v>60.067371999999999</v>
      </c>
    </row>
    <row r="493" spans="1:2">
      <c r="A493" s="14">
        <v>45408.780555999998</v>
      </c>
      <c r="B493" s="15">
        <v>61.297690000000003</v>
      </c>
    </row>
    <row r="494" spans="1:2">
      <c r="A494" s="14">
        <v>45408.78125</v>
      </c>
      <c r="B494" s="15">
        <v>59.852587</v>
      </c>
    </row>
    <row r="495" spans="1:2">
      <c r="A495" s="14">
        <v>45408.781944000002</v>
      </c>
      <c r="B495" s="15">
        <v>60.853017000000001</v>
      </c>
    </row>
    <row r="496" spans="1:2">
      <c r="A496" s="14">
        <v>45408.782638999997</v>
      </c>
      <c r="B496" s="15">
        <v>61.633623999999998</v>
      </c>
    </row>
    <row r="497" spans="1:2">
      <c r="A497" s="14">
        <v>45408.783332999999</v>
      </c>
      <c r="B497" s="15">
        <v>61.911498000000002</v>
      </c>
    </row>
    <row r="498" spans="1:2">
      <c r="A498" s="14">
        <v>45408.784028000002</v>
      </c>
      <c r="B498" s="15">
        <v>59.603769</v>
      </c>
    </row>
    <row r="499" spans="1:2">
      <c r="A499" s="14">
        <v>45408.784721999997</v>
      </c>
      <c r="B499" s="15">
        <v>62.675156000000001</v>
      </c>
    </row>
    <row r="500" spans="1:2">
      <c r="A500" s="14">
        <v>45408.785416999999</v>
      </c>
      <c r="B500" s="15">
        <v>60.477370999999998</v>
      </c>
    </row>
    <row r="501" spans="1:2">
      <c r="A501" s="14">
        <v>45408.786111000001</v>
      </c>
      <c r="B501" s="15">
        <v>61.892142999999997</v>
      </c>
    </row>
    <row r="502" spans="1:2">
      <c r="A502" s="14">
        <v>45408.786805999996</v>
      </c>
      <c r="B502" s="15">
        <v>61.412086000000002</v>
      </c>
    </row>
    <row r="503" spans="1:2">
      <c r="A503" s="14">
        <v>45408.787499999999</v>
      </c>
      <c r="B503" s="15">
        <v>61.321652</v>
      </c>
    </row>
    <row r="504" spans="1:2">
      <c r="A504" s="14">
        <v>45408.788194000001</v>
      </c>
      <c r="B504" s="15">
        <v>61.284588999999997</v>
      </c>
    </row>
    <row r="505" spans="1:2">
      <c r="A505" s="14">
        <v>45408.788889000003</v>
      </c>
      <c r="B505" s="15">
        <v>61.695815000000003</v>
      </c>
    </row>
    <row r="506" spans="1:2">
      <c r="A506" s="14">
        <v>45408.789582999998</v>
      </c>
      <c r="B506" s="15">
        <v>61.785086999999997</v>
      </c>
    </row>
    <row r="507" spans="1:2">
      <c r="A507" s="14">
        <v>45408.790278</v>
      </c>
      <c r="B507" s="15">
        <v>60.292541</v>
      </c>
    </row>
    <row r="508" spans="1:2">
      <c r="A508" s="14">
        <v>45408.790972000003</v>
      </c>
      <c r="B508" s="15">
        <v>61.343175000000002</v>
      </c>
    </row>
    <row r="509" spans="1:2">
      <c r="A509" s="14">
        <v>45408.791666999998</v>
      </c>
      <c r="B509" s="15">
        <v>61.401397000000003</v>
      </c>
    </row>
    <row r="510" spans="1:2">
      <c r="A510" s="14">
        <v>45408.792361</v>
      </c>
      <c r="B510" s="15">
        <v>61.468643999999998</v>
      </c>
    </row>
    <row r="511" spans="1:2">
      <c r="A511" s="14">
        <v>45408.793056000002</v>
      </c>
      <c r="B511" s="15">
        <v>61.171760999999996</v>
      </c>
    </row>
    <row r="512" spans="1:2">
      <c r="A512" s="14">
        <v>45408.793749999997</v>
      </c>
      <c r="B512" s="15">
        <v>61.089132999999997</v>
      </c>
    </row>
    <row r="513" spans="1:2">
      <c r="A513" s="14">
        <v>45408.794443999999</v>
      </c>
      <c r="B513" s="15">
        <v>61.183428999999997</v>
      </c>
    </row>
    <row r="514" spans="1:2">
      <c r="A514" s="14">
        <v>45408.795139000002</v>
      </c>
      <c r="B514" s="15">
        <v>60.629269999999998</v>
      </c>
    </row>
    <row r="515" spans="1:2">
      <c r="A515" s="14">
        <v>45408.795832999996</v>
      </c>
      <c r="B515" s="15">
        <v>60.775123000000001</v>
      </c>
    </row>
    <row r="516" spans="1:2">
      <c r="A516" s="14">
        <v>45408.796527999999</v>
      </c>
      <c r="B516" s="15">
        <v>60.541327000000003</v>
      </c>
    </row>
    <row r="517" spans="1:2">
      <c r="A517" s="14">
        <v>45408.797222000001</v>
      </c>
      <c r="B517" s="15">
        <v>60.523218999999997</v>
      </c>
    </row>
    <row r="518" spans="1:2">
      <c r="A518" s="14">
        <v>45408.797917000004</v>
      </c>
      <c r="B518" s="15">
        <v>61.127889000000003</v>
      </c>
    </row>
    <row r="519" spans="1:2">
      <c r="A519" s="14">
        <v>45408.798610999998</v>
      </c>
      <c r="B519" s="15">
        <v>60.875138</v>
      </c>
    </row>
    <row r="520" spans="1:2">
      <c r="A520" s="14">
        <v>45408.799306000001</v>
      </c>
      <c r="B520" s="15">
        <v>59.640376000000003</v>
      </c>
    </row>
    <row r="521" spans="1:2">
      <c r="A521" s="14">
        <v>45408.800000000003</v>
      </c>
      <c r="B521" s="15">
        <v>60.982053999999998</v>
      </c>
    </row>
    <row r="522" spans="1:2">
      <c r="A522" s="14">
        <v>45408.800693999998</v>
      </c>
      <c r="B522" s="15">
        <v>61.161814999999997</v>
      </c>
    </row>
    <row r="523" spans="1:2">
      <c r="A523" s="14">
        <v>45408.801389</v>
      </c>
      <c r="B523" s="15">
        <v>62.042715000000001</v>
      </c>
    </row>
    <row r="524" spans="1:2">
      <c r="A524" s="14">
        <v>45408.802083000002</v>
      </c>
      <c r="B524" s="15">
        <v>60.774045000000001</v>
      </c>
    </row>
    <row r="525" spans="1:2">
      <c r="A525" s="14">
        <v>45408.802777999997</v>
      </c>
      <c r="B525" s="15">
        <v>61.345481999999997</v>
      </c>
    </row>
    <row r="526" spans="1:2">
      <c r="A526" s="14">
        <v>45408.803472</v>
      </c>
      <c r="B526" s="15">
        <v>60.739348</v>
      </c>
    </row>
    <row r="527" spans="1:2">
      <c r="A527" s="14">
        <v>45408.804167000002</v>
      </c>
      <c r="B527" s="15">
        <v>61.735308000000003</v>
      </c>
    </row>
    <row r="528" spans="1:2">
      <c r="A528" s="14">
        <v>45408.804860999997</v>
      </c>
      <c r="B528" s="15">
        <v>60.702998999999998</v>
      </c>
    </row>
    <row r="529" spans="1:2">
      <c r="A529" s="14">
        <v>45408.805555999999</v>
      </c>
      <c r="B529" s="15">
        <v>60.384999000000001</v>
      </c>
    </row>
    <row r="530" spans="1:2">
      <c r="A530" s="14">
        <v>45408.806250000001</v>
      </c>
      <c r="B530" s="15">
        <v>60.730069</v>
      </c>
    </row>
    <row r="531" spans="1:2">
      <c r="A531" s="14">
        <v>45408.806944000004</v>
      </c>
      <c r="B531" s="15">
        <v>60.938392999999998</v>
      </c>
    </row>
    <row r="532" spans="1:2">
      <c r="A532" s="14">
        <v>45408.807638999999</v>
      </c>
      <c r="B532" s="15">
        <v>61.364621</v>
      </c>
    </row>
    <row r="533" spans="1:2">
      <c r="A533" s="14">
        <v>45408.808333000001</v>
      </c>
      <c r="B533" s="15">
        <v>59.959361999999999</v>
      </c>
    </row>
    <row r="534" spans="1:2">
      <c r="A534" s="14">
        <v>45408.809028000003</v>
      </c>
      <c r="B534" s="15">
        <v>61.86054</v>
      </c>
    </row>
    <row r="535" spans="1:2">
      <c r="A535" s="14">
        <v>45408.809721999998</v>
      </c>
      <c r="B535" s="15">
        <v>61.845123000000001</v>
      </c>
    </row>
    <row r="536" spans="1:2">
      <c r="A536" s="14">
        <v>45408.810417000001</v>
      </c>
      <c r="B536" s="15">
        <v>60.899479999999997</v>
      </c>
    </row>
    <row r="537" spans="1:2">
      <c r="A537" s="14">
        <v>45408.811111000003</v>
      </c>
      <c r="B537" s="15">
        <v>61.716223999999997</v>
      </c>
    </row>
    <row r="538" spans="1:2">
      <c r="A538" s="14">
        <v>45408.811805999998</v>
      </c>
      <c r="B538" s="15">
        <v>61.694057000000001</v>
      </c>
    </row>
    <row r="539" spans="1:2">
      <c r="A539" s="14">
        <v>45408.8125</v>
      </c>
      <c r="B539" s="15">
        <v>61.381756000000003</v>
      </c>
    </row>
    <row r="540" spans="1:2">
      <c r="A540" s="14">
        <v>45408.813194000002</v>
      </c>
      <c r="B540" s="15">
        <v>61.366264999999999</v>
      </c>
    </row>
    <row r="541" spans="1:2">
      <c r="A541" s="14">
        <v>45408.813888999997</v>
      </c>
      <c r="B541" s="15">
        <v>61.172182999999997</v>
      </c>
    </row>
    <row r="542" spans="1:2">
      <c r="A542" s="14">
        <v>45408.814582999999</v>
      </c>
      <c r="B542" s="15">
        <v>61.439670999999997</v>
      </c>
    </row>
    <row r="543" spans="1:2">
      <c r="A543" s="14">
        <v>45408.815278000002</v>
      </c>
      <c r="B543" s="15">
        <v>60.994683999999999</v>
      </c>
    </row>
    <row r="544" spans="1:2">
      <c r="A544" s="14">
        <v>45408.815971999997</v>
      </c>
      <c r="B544" s="15">
        <v>60.501789000000002</v>
      </c>
    </row>
    <row r="545" spans="1:2">
      <c r="A545" s="14">
        <v>45408.816666999999</v>
      </c>
      <c r="B545" s="15">
        <v>60.719017000000001</v>
      </c>
    </row>
    <row r="546" spans="1:2">
      <c r="A546" s="14">
        <v>45408.817361000001</v>
      </c>
      <c r="B546" s="15">
        <v>60.943134000000001</v>
      </c>
    </row>
    <row r="547" spans="1:2">
      <c r="A547" s="14">
        <v>45408.818055999996</v>
      </c>
      <c r="B547" s="15">
        <v>60.242198000000002</v>
      </c>
    </row>
    <row r="548" spans="1:2">
      <c r="A548" s="14">
        <v>45408.818749999999</v>
      </c>
      <c r="B548" s="15">
        <v>60.807898000000002</v>
      </c>
    </row>
    <row r="549" spans="1:2">
      <c r="A549" s="14">
        <v>45408.819444000001</v>
      </c>
      <c r="B549" s="15">
        <v>61.448591</v>
      </c>
    </row>
    <row r="550" spans="1:2">
      <c r="A550" s="14">
        <v>45408.820139000003</v>
      </c>
      <c r="B550" s="15">
        <v>61.197578999999998</v>
      </c>
    </row>
    <row r="551" spans="1:2">
      <c r="A551" s="14">
        <v>45408.820832999998</v>
      </c>
      <c r="B551" s="15">
        <v>61.024411000000001</v>
      </c>
    </row>
    <row r="552" spans="1:2">
      <c r="A552" s="14">
        <v>45408.821528</v>
      </c>
      <c r="B552" s="15">
        <v>61.041941999999999</v>
      </c>
    </row>
    <row r="553" spans="1:2">
      <c r="A553" s="14">
        <v>45408.822222000003</v>
      </c>
      <c r="B553" s="15">
        <v>60.998280000000001</v>
      </c>
    </row>
    <row r="554" spans="1:2">
      <c r="A554" s="14">
        <v>45408.822916999998</v>
      </c>
      <c r="B554" s="15">
        <v>61.250284000000001</v>
      </c>
    </row>
    <row r="555" spans="1:2">
      <c r="A555" s="14">
        <v>45408.823611</v>
      </c>
      <c r="B555" s="15">
        <v>60.812530000000002</v>
      </c>
    </row>
    <row r="556" spans="1:2">
      <c r="A556" s="14">
        <v>45408.824306000002</v>
      </c>
      <c r="B556" s="15">
        <v>60.310008000000003</v>
      </c>
    </row>
    <row r="557" spans="1:2">
      <c r="A557" s="14">
        <v>45408.824999999997</v>
      </c>
      <c r="B557" s="15">
        <v>60.993630000000003</v>
      </c>
    </row>
    <row r="558" spans="1:2">
      <c r="A558" s="14">
        <v>45408.825693999999</v>
      </c>
      <c r="B558" s="15">
        <v>62.158650999999999</v>
      </c>
    </row>
    <row r="559" spans="1:2">
      <c r="A559" s="14">
        <v>45408.826389000002</v>
      </c>
      <c r="B559" s="15">
        <v>61.696586000000003</v>
      </c>
    </row>
    <row r="560" spans="1:2">
      <c r="A560" s="14">
        <v>45408.827082999996</v>
      </c>
      <c r="B560" s="15">
        <v>61.113776000000001</v>
      </c>
    </row>
    <row r="561" spans="1:2">
      <c r="A561" s="14">
        <v>45408.827777999999</v>
      </c>
      <c r="B561" s="15">
        <v>61.702233999999997</v>
      </c>
    </row>
    <row r="562" spans="1:2">
      <c r="A562" s="14">
        <v>45408.828472000001</v>
      </c>
      <c r="B562" s="15">
        <v>61.116570000000003</v>
      </c>
    </row>
    <row r="563" spans="1:2">
      <c r="A563" s="14">
        <v>45408.829167000004</v>
      </c>
      <c r="B563" s="15">
        <v>60.811906999999998</v>
      </c>
    </row>
    <row r="564" spans="1:2">
      <c r="A564" s="14">
        <v>45408.829860999998</v>
      </c>
      <c r="B564" s="15">
        <v>59.682550999999997</v>
      </c>
    </row>
    <row r="565" spans="1:2">
      <c r="A565" s="14">
        <v>45408.830556000001</v>
      </c>
      <c r="B565" s="15">
        <v>62.702812999999999</v>
      </c>
    </row>
    <row r="566" spans="1:2">
      <c r="A566" s="14">
        <v>45408.831250000003</v>
      </c>
      <c r="B566" s="15">
        <v>61.818874999999998</v>
      </c>
    </row>
    <row r="567" spans="1:2">
      <c r="A567" s="14">
        <v>45408.831943999998</v>
      </c>
      <c r="B567" s="15">
        <v>61.207279</v>
      </c>
    </row>
    <row r="568" spans="1:2">
      <c r="A568" s="14">
        <v>45408.832639</v>
      </c>
      <c r="B568" s="15">
        <v>60.969495999999999</v>
      </c>
    </row>
    <row r="569" spans="1:2">
      <c r="A569" s="14">
        <v>45408.833333000002</v>
      </c>
      <c r="B569" s="15">
        <v>60.666041999999997</v>
      </c>
    </row>
    <row r="570" spans="1:2">
      <c r="A570" s="14">
        <v>45408.834027999997</v>
      </c>
      <c r="B570" s="15">
        <v>61.063997999999998</v>
      </c>
    </row>
    <row r="571" spans="1:2">
      <c r="A571" s="14">
        <v>45408.834722</v>
      </c>
      <c r="B571" s="15">
        <v>61.724075999999997</v>
      </c>
    </row>
    <row r="572" spans="1:2">
      <c r="A572" s="14">
        <v>45408.835417000002</v>
      </c>
      <c r="B572" s="15">
        <v>63.177942999999999</v>
      </c>
    </row>
    <row r="573" spans="1:2">
      <c r="A573" s="14">
        <v>45408.836110999997</v>
      </c>
      <c r="B573" s="15">
        <v>61.254449999999999</v>
      </c>
    </row>
    <row r="574" spans="1:2">
      <c r="A574" s="14">
        <v>45408.836805999999</v>
      </c>
      <c r="B574" s="15">
        <v>62.685918999999998</v>
      </c>
    </row>
    <row r="575" spans="1:2">
      <c r="A575" s="14">
        <v>45408.837500000001</v>
      </c>
      <c r="B575" s="15">
        <v>60.677419</v>
      </c>
    </row>
    <row r="576" spans="1:2">
      <c r="A576" s="14">
        <v>45408.838194000004</v>
      </c>
      <c r="B576" s="15">
        <v>62.629001000000002</v>
      </c>
    </row>
    <row r="577" spans="1:2">
      <c r="A577" s="14">
        <v>45408.838888999999</v>
      </c>
      <c r="B577" s="15">
        <v>61.490073000000002</v>
      </c>
    </row>
    <row r="578" spans="1:2">
      <c r="A578" s="14">
        <v>45408.839583000001</v>
      </c>
      <c r="B578" s="15">
        <v>62.318393</v>
      </c>
    </row>
    <row r="579" spans="1:2">
      <c r="A579" s="14">
        <v>45408.840278000003</v>
      </c>
      <c r="B579" s="15">
        <v>61.905842999999997</v>
      </c>
    </row>
    <row r="580" spans="1:2">
      <c r="A580" s="14">
        <v>45408.840971999998</v>
      </c>
      <c r="B580" s="15">
        <v>61.687595000000002</v>
      </c>
    </row>
    <row r="581" spans="1:2">
      <c r="A581" s="14">
        <v>45408.841667000001</v>
      </c>
      <c r="B581" s="15">
        <v>62.078218999999997</v>
      </c>
    </row>
    <row r="582" spans="1:2">
      <c r="A582" s="14">
        <v>45408.842361000003</v>
      </c>
      <c r="B582" s="15">
        <v>61.900374999999997</v>
      </c>
    </row>
    <row r="583" spans="1:2">
      <c r="A583" s="14">
        <v>45408.843055999998</v>
      </c>
      <c r="B583" s="15">
        <v>62.328724999999999</v>
      </c>
    </row>
    <row r="584" spans="1:2">
      <c r="A584" s="14">
        <v>45408.84375</v>
      </c>
      <c r="B584" s="15">
        <v>62.176727999999997</v>
      </c>
    </row>
    <row r="585" spans="1:2">
      <c r="A585" s="14">
        <v>45408.844444000002</v>
      </c>
      <c r="B585" s="15">
        <v>62.499085000000001</v>
      </c>
    </row>
    <row r="586" spans="1:2">
      <c r="A586" s="14">
        <v>45408.845138999997</v>
      </c>
      <c r="B586" s="15">
        <v>61.936390000000003</v>
      </c>
    </row>
    <row r="587" spans="1:2">
      <c r="A587" s="14">
        <v>45408.845832999999</v>
      </c>
      <c r="B587" s="15">
        <v>62.664216000000003</v>
      </c>
    </row>
    <row r="588" spans="1:2">
      <c r="A588" s="14">
        <v>45408.846528000002</v>
      </c>
      <c r="B588" s="15">
        <v>62.071466999999998</v>
      </c>
    </row>
    <row r="589" spans="1:2">
      <c r="A589" s="14">
        <v>45408.847221999997</v>
      </c>
      <c r="B589" s="15">
        <v>62.072909000000003</v>
      </c>
    </row>
    <row r="590" spans="1:2">
      <c r="A590" s="14">
        <v>45408.847916999999</v>
      </c>
      <c r="B590" s="15">
        <v>61.229362999999999</v>
      </c>
    </row>
    <row r="591" spans="1:2">
      <c r="A591" s="14">
        <v>45408.848611000001</v>
      </c>
      <c r="B591" s="15">
        <v>61.932712000000002</v>
      </c>
    </row>
    <row r="592" spans="1:2">
      <c r="A592" s="14">
        <v>45408.849305999996</v>
      </c>
      <c r="B592" s="15">
        <v>62.738111000000004</v>
      </c>
    </row>
    <row r="593" spans="1:2">
      <c r="A593" s="14">
        <v>45408.85</v>
      </c>
      <c r="B593" s="15">
        <v>61.426090000000002</v>
      </c>
    </row>
    <row r="594" spans="1:2">
      <c r="A594" s="14">
        <v>45408.850694000001</v>
      </c>
      <c r="B594" s="15">
        <v>62.887557999999999</v>
      </c>
    </row>
    <row r="595" spans="1:2">
      <c r="A595" s="14">
        <v>45408.851389000003</v>
      </c>
      <c r="B595" s="15">
        <v>61.861984999999997</v>
      </c>
    </row>
    <row r="596" spans="1:2">
      <c r="A596" s="14">
        <v>45408.852082999998</v>
      </c>
      <c r="B596" s="15">
        <v>62.325586999999999</v>
      </c>
    </row>
    <row r="597" spans="1:2">
      <c r="A597" s="14">
        <v>45408.852778</v>
      </c>
      <c r="B597" s="15">
        <v>61.307634</v>
      </c>
    </row>
    <row r="598" spans="1:2">
      <c r="A598" s="14">
        <v>45408.853472000003</v>
      </c>
      <c r="B598" s="15">
        <v>62.310743000000002</v>
      </c>
    </row>
    <row r="599" spans="1:2">
      <c r="A599" s="14">
        <v>45408.854166999998</v>
      </c>
      <c r="B599" s="15">
        <v>62.041595000000001</v>
      </c>
    </row>
    <row r="600" spans="1:2">
      <c r="A600" s="14">
        <v>45408.854861</v>
      </c>
      <c r="B600" s="15">
        <v>62.551257999999997</v>
      </c>
    </row>
    <row r="601" spans="1:2">
      <c r="A601" s="14">
        <v>45408.855556000002</v>
      </c>
      <c r="B601" s="15">
        <v>62.689793000000002</v>
      </c>
    </row>
    <row r="602" spans="1:2">
      <c r="A602" s="14">
        <v>45408.856249999997</v>
      </c>
      <c r="B602" s="15">
        <v>62.112017999999999</v>
      </c>
    </row>
    <row r="603" spans="1:2">
      <c r="A603" s="14">
        <v>45408.856943999999</v>
      </c>
      <c r="B603" s="15">
        <v>62.456899</v>
      </c>
    </row>
    <row r="604" spans="1:2">
      <c r="A604" s="14">
        <v>45408.857639000002</v>
      </c>
      <c r="B604" s="15">
        <v>61.917482999999997</v>
      </c>
    </row>
    <row r="605" spans="1:2">
      <c r="A605" s="14">
        <v>45408.858332999996</v>
      </c>
      <c r="B605" s="15">
        <v>62.022480999999999</v>
      </c>
    </row>
    <row r="606" spans="1:2">
      <c r="A606" s="14">
        <v>45408.859027999999</v>
      </c>
      <c r="B606" s="15">
        <v>61.355071000000002</v>
      </c>
    </row>
    <row r="607" spans="1:2">
      <c r="A607" s="14">
        <v>45408.859722000001</v>
      </c>
      <c r="B607" s="15">
        <v>61.928733000000001</v>
      </c>
    </row>
    <row r="608" spans="1:2">
      <c r="A608" s="14">
        <v>45408.860417000004</v>
      </c>
      <c r="B608" s="15">
        <v>61.531858</v>
      </c>
    </row>
    <row r="609" spans="1:2">
      <c r="A609" s="14">
        <v>45408.861110999998</v>
      </c>
      <c r="B609" s="15">
        <v>62.199987999999998</v>
      </c>
    </row>
    <row r="610" spans="1:2">
      <c r="A610" s="14">
        <v>45408.861806000001</v>
      </c>
      <c r="B610" s="15">
        <v>61.519531999999998</v>
      </c>
    </row>
    <row r="611" spans="1:2">
      <c r="A611" s="14">
        <v>45408.862500000003</v>
      </c>
      <c r="B611" s="15">
        <v>61.900165000000001</v>
      </c>
    </row>
    <row r="612" spans="1:2">
      <c r="A612" s="14">
        <v>45408.863193999998</v>
      </c>
      <c r="B612" s="15">
        <v>62.272036</v>
      </c>
    </row>
    <row r="613" spans="1:2">
      <c r="A613" s="14">
        <v>45408.863889</v>
      </c>
      <c r="B613" s="15">
        <v>62.481093000000001</v>
      </c>
    </row>
    <row r="614" spans="1:2">
      <c r="A614" s="14">
        <v>45408.864583000002</v>
      </c>
      <c r="B614" s="15">
        <v>62.40607</v>
      </c>
    </row>
    <row r="615" spans="1:2">
      <c r="A615" s="14">
        <v>45408.865277999997</v>
      </c>
      <c r="B615" s="15">
        <v>62.226349999999996</v>
      </c>
    </row>
    <row r="616" spans="1:2">
      <c r="A616" s="14">
        <v>45408.865972</v>
      </c>
      <c r="B616" s="15">
        <v>61.886063</v>
      </c>
    </row>
    <row r="617" spans="1:2">
      <c r="A617" s="14">
        <v>45408.866667000002</v>
      </c>
      <c r="B617" s="15">
        <v>61.688094999999997</v>
      </c>
    </row>
    <row r="618" spans="1:2">
      <c r="A618" s="14">
        <v>45408.867360999997</v>
      </c>
      <c r="B618" s="15">
        <v>61.626204999999999</v>
      </c>
    </row>
    <row r="619" spans="1:2">
      <c r="A619" s="14">
        <v>45408.868055999999</v>
      </c>
      <c r="B619" s="15">
        <v>61.365043</v>
      </c>
    </row>
    <row r="620" spans="1:2">
      <c r="A620" s="14">
        <v>45408.868750000001</v>
      </c>
      <c r="B620" s="15">
        <v>61.893698999999998</v>
      </c>
    </row>
    <row r="621" spans="1:2">
      <c r="A621" s="14">
        <v>45408.869444000004</v>
      </c>
      <c r="B621" s="15">
        <v>61.764552000000002</v>
      </c>
    </row>
    <row r="622" spans="1:2">
      <c r="A622" s="14">
        <v>45408.870138999999</v>
      </c>
      <c r="B622" s="15">
        <v>61.798316</v>
      </c>
    </row>
    <row r="623" spans="1:2">
      <c r="A623" s="14">
        <v>45408.870833000001</v>
      </c>
      <c r="B623" s="15">
        <v>61.656261000000001</v>
      </c>
    </row>
    <row r="624" spans="1:2">
      <c r="A624" s="14">
        <v>45408.871528000003</v>
      </c>
      <c r="B624" s="15">
        <v>61.541266999999998</v>
      </c>
    </row>
    <row r="625" spans="1:2">
      <c r="A625" s="14">
        <v>45408.872221999998</v>
      </c>
      <c r="B625" s="15">
        <v>61.186515</v>
      </c>
    </row>
    <row r="626" spans="1:2">
      <c r="A626" s="14">
        <v>45408.872917000001</v>
      </c>
      <c r="B626" s="15">
        <v>61.468617000000002</v>
      </c>
    </row>
    <row r="627" spans="1:2">
      <c r="A627" s="14">
        <v>45408.873611000003</v>
      </c>
      <c r="B627" s="15">
        <v>62.896442999999998</v>
      </c>
    </row>
    <row r="628" spans="1:2">
      <c r="A628" s="14">
        <v>45408.874305999998</v>
      </c>
      <c r="B628" s="15">
        <v>62.083281999999997</v>
      </c>
    </row>
    <row r="629" spans="1:2">
      <c r="A629" s="14">
        <v>45408.875</v>
      </c>
      <c r="B629" s="15">
        <v>62.857657000000003</v>
      </c>
    </row>
    <row r="630" spans="1:2">
      <c r="A630" s="14">
        <v>45408.875694000002</v>
      </c>
      <c r="B630" s="15">
        <v>62.384650000000001</v>
      </c>
    </row>
    <row r="631" spans="1:2">
      <c r="A631" s="14">
        <v>45408.876388999997</v>
      </c>
      <c r="B631" s="15">
        <v>62.281689</v>
      </c>
    </row>
    <row r="632" spans="1:2">
      <c r="A632" s="14">
        <v>45408.877082999999</v>
      </c>
      <c r="B632" s="15">
        <v>62.580497999999999</v>
      </c>
    </row>
    <row r="633" spans="1:2">
      <c r="A633" s="14">
        <v>45408.877778000002</v>
      </c>
      <c r="B633" s="15">
        <v>62.065164000000003</v>
      </c>
    </row>
    <row r="634" spans="1:2">
      <c r="A634" s="14">
        <v>45408.878471999997</v>
      </c>
      <c r="B634" s="15">
        <v>62.896152000000001</v>
      </c>
    </row>
    <row r="635" spans="1:2">
      <c r="A635" s="14">
        <v>45408.879166999999</v>
      </c>
      <c r="B635" s="15">
        <v>62.152164999999997</v>
      </c>
    </row>
    <row r="636" spans="1:2">
      <c r="A636" s="14">
        <v>45408.879861000001</v>
      </c>
      <c r="B636" s="15">
        <v>61.664237999999997</v>
      </c>
    </row>
    <row r="637" spans="1:2">
      <c r="A637" s="14">
        <v>45408.880555999996</v>
      </c>
      <c r="B637" s="15">
        <v>62.510044999999998</v>
      </c>
    </row>
    <row r="638" spans="1:2">
      <c r="A638" s="14">
        <v>45408.881249999999</v>
      </c>
      <c r="B638" s="15">
        <v>60.899835000000003</v>
      </c>
    </row>
    <row r="639" spans="1:2">
      <c r="A639" s="14">
        <v>45408.881944000001</v>
      </c>
      <c r="B639" s="15">
        <v>62.201085999999997</v>
      </c>
    </row>
    <row r="640" spans="1:2">
      <c r="A640" s="14">
        <v>45408.882639000003</v>
      </c>
      <c r="B640" s="15">
        <v>62.417282999999998</v>
      </c>
    </row>
    <row r="641" spans="1:2">
      <c r="A641" s="14">
        <v>45408.883332999998</v>
      </c>
      <c r="B641" s="15">
        <v>62.269736999999999</v>
      </c>
    </row>
    <row r="642" spans="1:2">
      <c r="A642" s="14">
        <v>45408.884028</v>
      </c>
      <c r="B642" s="15">
        <v>62.068206000000004</v>
      </c>
    </row>
    <row r="643" spans="1:2">
      <c r="A643" s="14">
        <v>45408.884722000003</v>
      </c>
      <c r="B643" s="15">
        <v>62.195481999999998</v>
      </c>
    </row>
    <row r="644" spans="1:2">
      <c r="A644" s="14">
        <v>45408.885416999998</v>
      </c>
      <c r="B644" s="15">
        <v>61.720216000000001</v>
      </c>
    </row>
    <row r="645" spans="1:2">
      <c r="A645" s="14">
        <v>45408.886111</v>
      </c>
      <c r="B645" s="15">
        <v>61.626797000000003</v>
      </c>
    </row>
    <row r="646" spans="1:2">
      <c r="A646" s="14">
        <v>45408.886806000002</v>
      </c>
      <c r="B646" s="15">
        <v>62.386752000000001</v>
      </c>
    </row>
    <row r="647" spans="1:2">
      <c r="A647" s="14">
        <v>45408.887499999997</v>
      </c>
      <c r="B647" s="15">
        <v>61.391036999999997</v>
      </c>
    </row>
    <row r="648" spans="1:2">
      <c r="A648" s="14">
        <v>45408.888193999999</v>
      </c>
      <c r="B648" s="15">
        <v>62.717714000000001</v>
      </c>
    </row>
    <row r="649" spans="1:2">
      <c r="A649" s="14">
        <v>45408.888889000002</v>
      </c>
      <c r="B649" s="15">
        <v>61.920808999999998</v>
      </c>
    </row>
    <row r="650" spans="1:2">
      <c r="A650" s="14">
        <v>45408.889582999996</v>
      </c>
      <c r="B650" s="15">
        <v>61.751685000000002</v>
      </c>
    </row>
    <row r="651" spans="1:2">
      <c r="A651" s="14">
        <v>45408.890277999999</v>
      </c>
      <c r="B651" s="15">
        <v>61.882309999999997</v>
      </c>
    </row>
    <row r="652" spans="1:2">
      <c r="A652" s="14">
        <v>45408.890972000001</v>
      </c>
      <c r="B652" s="15">
        <v>62.002789999999997</v>
      </c>
    </row>
    <row r="653" spans="1:2">
      <c r="A653" s="14">
        <v>45408.891667000004</v>
      </c>
      <c r="B653" s="15">
        <v>61.430494000000003</v>
      </c>
    </row>
    <row r="654" spans="1:2">
      <c r="A654" s="14">
        <v>45408.892360999998</v>
      </c>
      <c r="B654" s="15">
        <v>62.305059</v>
      </c>
    </row>
    <row r="655" spans="1:2">
      <c r="A655" s="14">
        <v>45408.893056000001</v>
      </c>
      <c r="B655" s="15">
        <v>61.223084999999998</v>
      </c>
    </row>
    <row r="656" spans="1:2">
      <c r="A656" s="14">
        <v>45408.893750000003</v>
      </c>
      <c r="B656" s="15">
        <v>61.424694000000002</v>
      </c>
    </row>
    <row r="657" spans="1:2">
      <c r="A657" s="14">
        <v>45408.894443999998</v>
      </c>
      <c r="B657" s="15">
        <v>62.220275999999998</v>
      </c>
    </row>
    <row r="658" spans="1:2">
      <c r="A658" s="14">
        <v>45408.895139</v>
      </c>
      <c r="B658" s="15">
        <v>62.598399999999998</v>
      </c>
    </row>
    <row r="659" spans="1:2">
      <c r="A659" s="14">
        <v>45408.895833000002</v>
      </c>
      <c r="B659" s="15">
        <v>62.197749999999999</v>
      </c>
    </row>
    <row r="660" spans="1:2">
      <c r="A660" s="14">
        <v>45408.896527999997</v>
      </c>
      <c r="B660" s="15">
        <v>61.575654999999998</v>
      </c>
    </row>
    <row r="661" spans="1:2">
      <c r="A661" s="14">
        <v>45408.897222</v>
      </c>
      <c r="B661" s="15">
        <v>62.492471999999999</v>
      </c>
    </row>
    <row r="662" spans="1:2">
      <c r="A662" s="14">
        <v>45408.897917000002</v>
      </c>
      <c r="B662" s="15">
        <v>61.784880000000001</v>
      </c>
    </row>
    <row r="663" spans="1:2">
      <c r="A663" s="14">
        <v>45408.898610999997</v>
      </c>
      <c r="B663" s="15">
        <v>61.087867000000003</v>
      </c>
    </row>
    <row r="664" spans="1:2">
      <c r="A664" s="14">
        <v>45408.899305999999</v>
      </c>
      <c r="B664" s="15">
        <v>63.129922000000001</v>
      </c>
    </row>
    <row r="665" spans="1:2">
      <c r="A665" s="14">
        <v>45408.9</v>
      </c>
      <c r="B665" s="15">
        <v>61.701152999999998</v>
      </c>
    </row>
    <row r="666" spans="1:2">
      <c r="A666" s="14">
        <v>45408.900694000004</v>
      </c>
      <c r="B666" s="15">
        <v>61.240349999999999</v>
      </c>
    </row>
    <row r="667" spans="1:2">
      <c r="A667" s="14">
        <v>45408.901388999999</v>
      </c>
      <c r="B667" s="15">
        <v>62.121454</v>
      </c>
    </row>
    <row r="668" spans="1:2">
      <c r="A668" s="14">
        <v>45408.902083000001</v>
      </c>
      <c r="B668" s="15">
        <v>62.197004999999997</v>
      </c>
    </row>
    <row r="669" spans="1:2">
      <c r="A669" s="14">
        <v>45408.902778000003</v>
      </c>
      <c r="B669" s="15">
        <v>60.974888</v>
      </c>
    </row>
    <row r="670" spans="1:2">
      <c r="A670" s="14">
        <v>45408.903471999998</v>
      </c>
      <c r="B670" s="15">
        <v>61.961996999999997</v>
      </c>
    </row>
    <row r="671" spans="1:2">
      <c r="A671" s="14">
        <v>45408.904167000001</v>
      </c>
      <c r="B671" s="15">
        <v>61.800803999999999</v>
      </c>
    </row>
    <row r="672" spans="1:2">
      <c r="A672" s="14">
        <v>45408.904861000003</v>
      </c>
      <c r="B672" s="15">
        <v>62.739077000000002</v>
      </c>
    </row>
    <row r="673" spans="1:2">
      <c r="A673" s="14">
        <v>45408.905555999998</v>
      </c>
      <c r="B673" s="15">
        <v>60.562907000000003</v>
      </c>
    </row>
    <row r="674" spans="1:2">
      <c r="A674" s="14">
        <v>45408.90625</v>
      </c>
      <c r="B674" s="15">
        <v>61.866703000000001</v>
      </c>
    </row>
    <row r="675" spans="1:2">
      <c r="A675" s="14">
        <v>45408.906944000002</v>
      </c>
      <c r="B675" s="15">
        <v>62.606217999999998</v>
      </c>
    </row>
    <row r="676" spans="1:2">
      <c r="A676" s="14">
        <v>45408.907638999997</v>
      </c>
      <c r="B676" s="15">
        <v>62.204129000000002</v>
      </c>
    </row>
    <row r="677" spans="1:2">
      <c r="A677" s="14">
        <v>45408.908332999999</v>
      </c>
      <c r="B677" s="15">
        <v>61.878309999999999</v>
      </c>
    </row>
    <row r="678" spans="1:2">
      <c r="A678" s="14">
        <v>45408.909028000002</v>
      </c>
      <c r="B678" s="15">
        <v>62.117159999999998</v>
      </c>
    </row>
    <row r="679" spans="1:2">
      <c r="A679" s="14">
        <v>45408.909721999997</v>
      </c>
      <c r="B679" s="15">
        <v>61.591036000000003</v>
      </c>
    </row>
    <row r="680" spans="1:2">
      <c r="A680" s="14">
        <v>45408.910416999999</v>
      </c>
      <c r="B680" s="15">
        <v>61.381827999999999</v>
      </c>
    </row>
    <row r="681" spans="1:2">
      <c r="A681" s="14">
        <v>45408.911111000001</v>
      </c>
      <c r="B681" s="15">
        <v>62.209867000000003</v>
      </c>
    </row>
    <row r="682" spans="1:2">
      <c r="A682" s="14">
        <v>45408.911805999996</v>
      </c>
      <c r="B682" s="15">
        <v>62.073984000000003</v>
      </c>
    </row>
    <row r="683" spans="1:2">
      <c r="A683" s="14">
        <v>45408.912499999999</v>
      </c>
      <c r="B683" s="15">
        <v>62.135976999999997</v>
      </c>
    </row>
    <row r="684" spans="1:2">
      <c r="A684" s="14">
        <v>45408.913194000001</v>
      </c>
      <c r="B684" s="15">
        <v>61.214548999999998</v>
      </c>
    </row>
    <row r="685" spans="1:2">
      <c r="A685" s="14">
        <v>45408.913889000003</v>
      </c>
      <c r="B685" s="15">
        <v>62.886614000000002</v>
      </c>
    </row>
    <row r="686" spans="1:2">
      <c r="A686" s="14">
        <v>45408.914582999998</v>
      </c>
      <c r="B686" s="15">
        <v>61.478194999999999</v>
      </c>
    </row>
    <row r="687" spans="1:2">
      <c r="A687" s="14">
        <v>45408.915278</v>
      </c>
      <c r="B687" s="15">
        <v>61.549536000000003</v>
      </c>
    </row>
    <row r="688" spans="1:2">
      <c r="A688" s="14">
        <v>45408.915972000003</v>
      </c>
      <c r="B688" s="15">
        <v>61.866269000000003</v>
      </c>
    </row>
    <row r="689" spans="1:2">
      <c r="A689" s="14">
        <v>45408.916666999998</v>
      </c>
      <c r="B689" s="15">
        <v>61.366095000000001</v>
      </c>
    </row>
    <row r="690" spans="1:2">
      <c r="A690" s="14">
        <v>45408.917361</v>
      </c>
      <c r="B690" s="15">
        <v>61.631428</v>
      </c>
    </row>
    <row r="691" spans="1:2">
      <c r="A691" s="14">
        <v>45408.918056000002</v>
      </c>
      <c r="B691" s="15">
        <v>61.699241000000001</v>
      </c>
    </row>
    <row r="692" spans="1:2">
      <c r="A692" s="14">
        <v>45408.918749999997</v>
      </c>
      <c r="B692" s="15">
        <v>64.856476999999998</v>
      </c>
    </row>
    <row r="693" spans="1:2">
      <c r="A693" s="14">
        <v>45408.919443999999</v>
      </c>
      <c r="B693" s="15">
        <v>64.823711000000003</v>
      </c>
    </row>
    <row r="694" spans="1:2">
      <c r="A694" s="14">
        <v>45408.920139000002</v>
      </c>
      <c r="B694" s="15">
        <v>64.690917999999996</v>
      </c>
    </row>
    <row r="695" spans="1:2">
      <c r="A695" s="14">
        <v>45408.920832999996</v>
      </c>
      <c r="B695" s="15">
        <v>64.029867999999993</v>
      </c>
    </row>
    <row r="696" spans="1:2">
      <c r="A696" s="14">
        <v>45408.921527999999</v>
      </c>
      <c r="B696" s="15">
        <v>64.021856999999997</v>
      </c>
    </row>
    <row r="697" spans="1:2">
      <c r="A697" s="14">
        <v>45408.922222000001</v>
      </c>
      <c r="B697" s="15">
        <v>65.182091999999997</v>
      </c>
    </row>
    <row r="698" spans="1:2">
      <c r="A698" s="14">
        <v>45408.922917000004</v>
      </c>
      <c r="B698" s="15">
        <v>64.546330999999995</v>
      </c>
    </row>
    <row r="699" spans="1:2">
      <c r="A699" s="14">
        <v>45408.923610999998</v>
      </c>
      <c r="B699" s="15">
        <v>64.279364000000001</v>
      </c>
    </row>
    <row r="700" spans="1:2">
      <c r="A700" s="14">
        <v>45408.924306000001</v>
      </c>
      <c r="B700" s="15">
        <v>65.468152000000003</v>
      </c>
    </row>
    <row r="701" spans="1:2">
      <c r="A701" s="14">
        <v>45408.925000000003</v>
      </c>
      <c r="B701" s="15">
        <v>64.476557</v>
      </c>
    </row>
    <row r="702" spans="1:2">
      <c r="A702" s="14">
        <v>45408.925693999998</v>
      </c>
      <c r="B702" s="15">
        <v>65.742874999999998</v>
      </c>
    </row>
    <row r="703" spans="1:2">
      <c r="A703" s="14">
        <v>45408.926389</v>
      </c>
      <c r="B703" s="15">
        <v>65.065453000000005</v>
      </c>
    </row>
    <row r="704" spans="1:2">
      <c r="A704" s="14">
        <v>45408.927083000002</v>
      </c>
      <c r="B704" s="15">
        <v>64.618812000000005</v>
      </c>
    </row>
    <row r="705" spans="1:2">
      <c r="A705" s="14">
        <v>45408.927777999997</v>
      </c>
      <c r="B705" s="15">
        <v>64.670822000000001</v>
      </c>
    </row>
    <row r="706" spans="1:2">
      <c r="A706" s="14">
        <v>45408.928472</v>
      </c>
      <c r="B706" s="15">
        <v>64.560692000000003</v>
      </c>
    </row>
    <row r="707" spans="1:2">
      <c r="A707" s="14">
        <v>45408.929167000002</v>
      </c>
      <c r="B707" s="15">
        <v>65.163724999999999</v>
      </c>
    </row>
    <row r="708" spans="1:2">
      <c r="A708" s="14">
        <v>45408.929860999997</v>
      </c>
      <c r="B708" s="15">
        <v>65.232517000000001</v>
      </c>
    </row>
    <row r="709" spans="1:2">
      <c r="A709" s="14">
        <v>45408.930555999999</v>
      </c>
      <c r="B709" s="15">
        <v>65.034369999999996</v>
      </c>
    </row>
    <row r="710" spans="1:2">
      <c r="A710" s="14">
        <v>45408.931250000001</v>
      </c>
      <c r="B710" s="15">
        <v>65.510103000000001</v>
      </c>
    </row>
    <row r="711" spans="1:2">
      <c r="A711" s="14">
        <v>45408.931944000004</v>
      </c>
      <c r="B711" s="15">
        <v>64.556573</v>
      </c>
    </row>
    <row r="712" spans="1:2">
      <c r="A712" s="14">
        <v>45408.932638999999</v>
      </c>
      <c r="B712" s="15">
        <v>65.137469999999993</v>
      </c>
    </row>
    <row r="713" spans="1:2">
      <c r="A713" s="14">
        <v>45408.933333000001</v>
      </c>
      <c r="B713" s="15">
        <v>65.072177999999994</v>
      </c>
    </row>
    <row r="714" spans="1:2">
      <c r="A714" s="14">
        <v>45408.934028000003</v>
      </c>
      <c r="B714" s="15">
        <v>65.230132999999995</v>
      </c>
    </row>
    <row r="715" spans="1:2">
      <c r="A715" s="14">
        <v>45408.934721999998</v>
      </c>
      <c r="B715" s="15">
        <v>65.559105000000002</v>
      </c>
    </row>
    <row r="716" spans="1:2">
      <c r="A716" s="14">
        <v>45408.935417000001</v>
      </c>
      <c r="B716" s="15">
        <v>64.903226000000004</v>
      </c>
    </row>
    <row r="717" spans="1:2">
      <c r="A717" s="14">
        <v>45408.936111000003</v>
      </c>
      <c r="B717" s="15">
        <v>63.934291000000002</v>
      </c>
    </row>
    <row r="718" spans="1:2">
      <c r="A718" s="14">
        <v>45408.936805999998</v>
      </c>
      <c r="B718" s="15">
        <v>64.210425000000001</v>
      </c>
    </row>
    <row r="719" spans="1:2">
      <c r="A719" s="14">
        <v>45408.9375</v>
      </c>
      <c r="B719" s="15">
        <v>64.633611999999999</v>
      </c>
    </row>
    <row r="720" spans="1:2">
      <c r="A720" s="14">
        <v>45408.938194000002</v>
      </c>
      <c r="B720" s="15">
        <v>65.083453000000006</v>
      </c>
    </row>
    <row r="721" spans="1:2">
      <c r="A721" s="14">
        <v>45408.938888999997</v>
      </c>
      <c r="B721" s="15">
        <v>65.020534999999995</v>
      </c>
    </row>
    <row r="722" spans="1:2">
      <c r="A722" s="14">
        <v>45408.939582999999</v>
      </c>
      <c r="B722" s="15">
        <v>64.136690999999999</v>
      </c>
    </row>
    <row r="723" spans="1:2">
      <c r="A723" s="14">
        <v>45408.940278000002</v>
      </c>
      <c r="B723" s="15">
        <v>64.458005</v>
      </c>
    </row>
    <row r="724" spans="1:2">
      <c r="A724" s="14">
        <v>45408.940971999997</v>
      </c>
      <c r="B724" s="15">
        <v>64.475436999999999</v>
      </c>
    </row>
    <row r="725" spans="1:2">
      <c r="A725" s="14">
        <v>45408.941666999999</v>
      </c>
      <c r="B725" s="15">
        <v>65.376312999999996</v>
      </c>
    </row>
    <row r="726" spans="1:2">
      <c r="A726" s="14">
        <v>45408.942361000001</v>
      </c>
      <c r="B726" s="15">
        <v>65.469440000000006</v>
      </c>
    </row>
    <row r="727" spans="1:2">
      <c r="A727" s="14">
        <v>45408.943055999996</v>
      </c>
      <c r="B727" s="15">
        <v>64.320290999999997</v>
      </c>
    </row>
    <row r="728" spans="1:2">
      <c r="A728" s="14">
        <v>45408.943749999999</v>
      </c>
      <c r="B728" s="15">
        <v>65.286766999999998</v>
      </c>
    </row>
    <row r="729" spans="1:2">
      <c r="A729" s="14">
        <v>45408.944444000001</v>
      </c>
      <c r="B729" s="15">
        <v>64.781653000000006</v>
      </c>
    </row>
    <row r="730" spans="1:2">
      <c r="A730" s="14">
        <v>45408.945139000003</v>
      </c>
      <c r="B730" s="15">
        <v>65.189105999999995</v>
      </c>
    </row>
    <row r="731" spans="1:2">
      <c r="A731" s="14">
        <v>45408.945832999998</v>
      </c>
      <c r="B731" s="15">
        <v>64.822445000000002</v>
      </c>
    </row>
    <row r="732" spans="1:2">
      <c r="A732" s="14">
        <v>45408.946528</v>
      </c>
      <c r="B732" s="15">
        <v>65.212680000000006</v>
      </c>
    </row>
    <row r="733" spans="1:2">
      <c r="A733" s="14">
        <v>45408.947222000003</v>
      </c>
      <c r="B733" s="15">
        <v>63.508535000000002</v>
      </c>
    </row>
    <row r="734" spans="1:2">
      <c r="A734" s="14">
        <v>45408.947916999998</v>
      </c>
      <c r="B734" s="15">
        <v>64.891902000000002</v>
      </c>
    </row>
    <row r="735" spans="1:2">
      <c r="A735" s="14">
        <v>45408.948611</v>
      </c>
      <c r="B735" s="15">
        <v>65.529526000000004</v>
      </c>
    </row>
    <row r="736" spans="1:2">
      <c r="A736" s="14">
        <v>45408.949306000002</v>
      </c>
      <c r="B736" s="15">
        <v>64.158865000000006</v>
      </c>
    </row>
    <row r="737" spans="1:2">
      <c r="A737" s="14">
        <v>45408.95</v>
      </c>
      <c r="B737" s="15">
        <v>65.546953000000002</v>
      </c>
    </row>
    <row r="738" spans="1:2">
      <c r="A738" s="14">
        <v>45408.950693999999</v>
      </c>
      <c r="B738" s="15">
        <v>65.196413000000007</v>
      </c>
    </row>
    <row r="739" spans="1:2">
      <c r="A739" s="14">
        <v>45408.951389000002</v>
      </c>
      <c r="B739" s="15">
        <v>64.948841000000002</v>
      </c>
    </row>
    <row r="740" spans="1:2">
      <c r="A740" s="14">
        <v>45408.952082999996</v>
      </c>
      <c r="B740" s="15">
        <v>63.914354000000003</v>
      </c>
    </row>
    <row r="741" spans="1:2">
      <c r="A741" s="14">
        <v>45408.952777999999</v>
      </c>
      <c r="B741" s="15">
        <v>64.470495999999997</v>
      </c>
    </row>
    <row r="742" spans="1:2">
      <c r="A742" s="14">
        <v>45408.953472000001</v>
      </c>
      <c r="B742" s="15">
        <v>65.235266999999993</v>
      </c>
    </row>
    <row r="743" spans="1:2">
      <c r="A743" s="14">
        <v>45408.954167000004</v>
      </c>
      <c r="B743" s="15">
        <v>65.431149000000005</v>
      </c>
    </row>
    <row r="744" spans="1:2">
      <c r="A744" s="14">
        <v>45408.954860999998</v>
      </c>
      <c r="B744" s="15">
        <v>64.403299000000004</v>
      </c>
    </row>
    <row r="745" spans="1:2">
      <c r="A745" s="14">
        <v>45408.955556000001</v>
      </c>
      <c r="B745" s="15">
        <v>65.343192000000002</v>
      </c>
    </row>
    <row r="746" spans="1:2">
      <c r="A746" s="14">
        <v>45408.956250000003</v>
      </c>
      <c r="B746" s="15">
        <v>63.983808000000003</v>
      </c>
    </row>
    <row r="747" spans="1:2">
      <c r="A747" s="14">
        <v>45408.956943999998</v>
      </c>
      <c r="B747" s="15">
        <v>65.104737999999998</v>
      </c>
    </row>
    <row r="748" spans="1:2">
      <c r="A748" s="14">
        <v>45408.957639</v>
      </c>
      <c r="B748" s="15">
        <v>64.874382999999995</v>
      </c>
    </row>
    <row r="749" spans="1:2">
      <c r="A749" s="14">
        <v>45408.958333000002</v>
      </c>
      <c r="B749" s="15">
        <v>65.037305000000003</v>
      </c>
    </row>
    <row r="750" spans="1:2">
      <c r="A750" s="14">
        <v>45408.959027999997</v>
      </c>
      <c r="B750" s="15">
        <v>64.356097000000005</v>
      </c>
    </row>
    <row r="751" spans="1:2">
      <c r="A751" s="14">
        <v>45408.959722</v>
      </c>
      <c r="B751" s="15">
        <v>64.200053999999994</v>
      </c>
    </row>
    <row r="752" spans="1:2">
      <c r="A752" s="14">
        <v>45408.960417000002</v>
      </c>
      <c r="B752" s="15">
        <v>64.714860999999999</v>
      </c>
    </row>
    <row r="753" spans="1:2">
      <c r="A753" s="14">
        <v>45408.961110999997</v>
      </c>
      <c r="B753" s="15">
        <v>65.033439000000001</v>
      </c>
    </row>
    <row r="754" spans="1:2">
      <c r="A754" s="14">
        <v>45408.961805999999</v>
      </c>
      <c r="B754" s="15">
        <v>63.767471999999998</v>
      </c>
    </row>
    <row r="755" spans="1:2">
      <c r="A755" s="14">
        <v>45408.962500000001</v>
      </c>
      <c r="B755" s="15">
        <v>64.781585000000007</v>
      </c>
    </row>
    <row r="756" spans="1:2">
      <c r="A756" s="14">
        <v>45408.963194000004</v>
      </c>
      <c r="B756" s="15">
        <v>64.401972000000001</v>
      </c>
    </row>
    <row r="757" spans="1:2">
      <c r="A757" s="14">
        <v>45408.963888999999</v>
      </c>
      <c r="B757" s="15">
        <v>64.401011999999994</v>
      </c>
    </row>
    <row r="758" spans="1:2">
      <c r="A758" s="14">
        <v>45408.964583000001</v>
      </c>
      <c r="B758" s="15">
        <v>63.673912999999999</v>
      </c>
    </row>
    <row r="759" spans="1:2">
      <c r="A759" s="14">
        <v>45408.965278000003</v>
      </c>
      <c r="B759" s="15">
        <v>64.602776000000006</v>
      </c>
    </row>
    <row r="760" spans="1:2">
      <c r="A760" s="14">
        <v>45408.965971999998</v>
      </c>
      <c r="B760" s="15">
        <v>64.918111999999994</v>
      </c>
    </row>
    <row r="761" spans="1:2">
      <c r="A761" s="14">
        <v>45408.966667000001</v>
      </c>
      <c r="B761" s="15">
        <v>65.013334</v>
      </c>
    </row>
    <row r="762" spans="1:2">
      <c r="A762" s="14">
        <v>45408.967361000003</v>
      </c>
      <c r="B762" s="15">
        <v>64.650475999999998</v>
      </c>
    </row>
    <row r="763" spans="1:2">
      <c r="A763" s="14">
        <v>45408.968055999998</v>
      </c>
      <c r="B763" s="15">
        <v>64.337383000000003</v>
      </c>
    </row>
    <row r="764" spans="1:2">
      <c r="A764" s="14">
        <v>45408.96875</v>
      </c>
      <c r="B764" s="15">
        <v>64.715536</v>
      </c>
    </row>
    <row r="765" spans="1:2">
      <c r="A765" s="14">
        <v>45408.969444000002</v>
      </c>
      <c r="B765" s="15">
        <v>65.097013000000004</v>
      </c>
    </row>
    <row r="766" spans="1:2">
      <c r="A766" s="14">
        <v>45408.970138999997</v>
      </c>
      <c r="B766" s="15">
        <v>64.097454999999997</v>
      </c>
    </row>
    <row r="767" spans="1:2">
      <c r="A767" s="14">
        <v>45408.970832999999</v>
      </c>
      <c r="B767" s="15">
        <v>63.923563999999999</v>
      </c>
    </row>
    <row r="768" spans="1:2">
      <c r="A768" s="14">
        <v>45408.971528000002</v>
      </c>
      <c r="B768" s="15">
        <v>64.487007000000006</v>
      </c>
    </row>
    <row r="769" spans="1:2">
      <c r="A769" s="14">
        <v>45408.972221999997</v>
      </c>
      <c r="B769" s="15">
        <v>64.951480000000004</v>
      </c>
    </row>
    <row r="770" spans="1:2">
      <c r="A770" s="14">
        <v>45408.972916999999</v>
      </c>
      <c r="B770" s="15">
        <v>65.293610999999999</v>
      </c>
    </row>
    <row r="771" spans="1:2">
      <c r="A771" s="14">
        <v>45408.973611000001</v>
      </c>
      <c r="B771" s="15">
        <v>63.923586</v>
      </c>
    </row>
    <row r="772" spans="1:2">
      <c r="A772" s="14">
        <v>45408.974305999996</v>
      </c>
      <c r="B772" s="15">
        <v>64.597267000000002</v>
      </c>
    </row>
    <row r="773" spans="1:2">
      <c r="A773" s="14">
        <v>45408.974999999999</v>
      </c>
      <c r="B773" s="15">
        <v>64.285295000000005</v>
      </c>
    </row>
    <row r="774" spans="1:2">
      <c r="A774" s="14">
        <v>45408.975694000001</v>
      </c>
      <c r="B774" s="15">
        <v>64.78407</v>
      </c>
    </row>
    <row r="775" spans="1:2">
      <c r="A775" s="14">
        <v>45408.976389000003</v>
      </c>
      <c r="B775" s="15">
        <v>65.064273</v>
      </c>
    </row>
    <row r="776" spans="1:2">
      <c r="A776" s="14">
        <v>45408.977082999998</v>
      </c>
      <c r="B776" s="15">
        <v>64.295929999999998</v>
      </c>
    </row>
    <row r="777" spans="1:2">
      <c r="A777" s="14">
        <v>45408.977778</v>
      </c>
      <c r="B777" s="15">
        <v>64.444112000000004</v>
      </c>
    </row>
    <row r="778" spans="1:2">
      <c r="A778" s="14">
        <v>45408.978472000003</v>
      </c>
      <c r="B778" s="15">
        <v>63.960900000000002</v>
      </c>
    </row>
    <row r="779" spans="1:2">
      <c r="A779" s="14">
        <v>45408.979166999998</v>
      </c>
      <c r="B779" s="15">
        <v>64.829824000000002</v>
      </c>
    </row>
    <row r="780" spans="1:2">
      <c r="A780" s="14">
        <v>45408.979861</v>
      </c>
      <c r="B780" s="15">
        <v>64.169332999999995</v>
      </c>
    </row>
    <row r="781" spans="1:2">
      <c r="A781" s="14">
        <v>45408.980556000002</v>
      </c>
      <c r="B781" s="15">
        <v>64.484847000000002</v>
      </c>
    </row>
    <row r="782" spans="1:2">
      <c r="A782" s="14">
        <v>45408.981249999997</v>
      </c>
      <c r="B782" s="15">
        <v>63.608719999999998</v>
      </c>
    </row>
    <row r="783" spans="1:2">
      <c r="A783" s="14">
        <v>45408.981943999999</v>
      </c>
      <c r="B783" s="15">
        <v>65.136902000000006</v>
      </c>
    </row>
    <row r="784" spans="1:2">
      <c r="A784" s="14">
        <v>45408.982639000002</v>
      </c>
      <c r="B784" s="15">
        <v>64.469189999999998</v>
      </c>
    </row>
    <row r="785" spans="1:2">
      <c r="A785" s="14">
        <v>45408.983332999996</v>
      </c>
      <c r="B785" s="15">
        <v>64.596706999999995</v>
      </c>
    </row>
    <row r="786" spans="1:2">
      <c r="A786" s="14">
        <v>45408.984027999999</v>
      </c>
      <c r="B786" s="15">
        <v>63.957898999999998</v>
      </c>
    </row>
    <row r="787" spans="1:2">
      <c r="A787" s="14">
        <v>45408.984722000001</v>
      </c>
      <c r="B787" s="15">
        <v>64.000900999999999</v>
      </c>
    </row>
    <row r="788" spans="1:2">
      <c r="A788" s="14">
        <v>45408.985417000004</v>
      </c>
      <c r="B788" s="15">
        <v>64.905428999999998</v>
      </c>
    </row>
    <row r="789" spans="1:2">
      <c r="A789" s="14">
        <v>45408.986110999998</v>
      </c>
      <c r="B789" s="15">
        <v>65.025600999999995</v>
      </c>
    </row>
    <row r="790" spans="1:2">
      <c r="A790" s="14">
        <v>45408.986806000001</v>
      </c>
      <c r="B790" s="15">
        <v>64.425895999999995</v>
      </c>
    </row>
    <row r="791" spans="1:2">
      <c r="A791" s="14">
        <v>45408.987500000003</v>
      </c>
      <c r="B791" s="15">
        <v>65.293701999999996</v>
      </c>
    </row>
    <row r="792" spans="1:2">
      <c r="A792" s="14">
        <v>45408.988193999998</v>
      </c>
      <c r="B792" s="15">
        <v>65.285771999999994</v>
      </c>
    </row>
    <row r="793" spans="1:2">
      <c r="A793" s="14">
        <v>45408.988889</v>
      </c>
      <c r="B793" s="15">
        <v>63.636412</v>
      </c>
    </row>
    <row r="794" spans="1:2">
      <c r="A794" s="14">
        <v>45408.989583000002</v>
      </c>
      <c r="B794" s="15">
        <v>64.004242000000005</v>
      </c>
    </row>
    <row r="795" spans="1:2">
      <c r="A795" s="14">
        <v>45408.990277999997</v>
      </c>
      <c r="B795" s="15">
        <v>64.135840000000002</v>
      </c>
    </row>
    <row r="796" spans="1:2">
      <c r="A796" s="14">
        <v>45408.990972</v>
      </c>
      <c r="B796" s="15">
        <v>64.774783999999997</v>
      </c>
    </row>
    <row r="797" spans="1:2">
      <c r="A797" s="14">
        <v>45408.991667000002</v>
      </c>
      <c r="B797" s="15">
        <v>63.796900999999998</v>
      </c>
    </row>
    <row r="798" spans="1:2">
      <c r="A798" s="14">
        <v>45408.992360999997</v>
      </c>
      <c r="B798" s="15">
        <v>64.995029000000002</v>
      </c>
    </row>
    <row r="799" spans="1:2">
      <c r="A799" s="14">
        <v>45408.993055999999</v>
      </c>
      <c r="B799" s="15">
        <v>65.269115999999997</v>
      </c>
    </row>
    <row r="800" spans="1:2">
      <c r="A800" s="14">
        <v>45408.993750000001</v>
      </c>
      <c r="B800" s="15">
        <v>63.851669000000001</v>
      </c>
    </row>
    <row r="801" spans="1:2">
      <c r="A801" s="14">
        <v>45408.994444000004</v>
      </c>
      <c r="B801" s="15">
        <v>63.802373000000003</v>
      </c>
    </row>
    <row r="802" spans="1:2">
      <c r="A802" s="14">
        <v>45408.995138999999</v>
      </c>
      <c r="B802" s="15">
        <v>65.183516999999995</v>
      </c>
    </row>
    <row r="803" spans="1:2">
      <c r="A803" s="14">
        <v>45408.995833000001</v>
      </c>
      <c r="B803" s="15">
        <v>64.855093999999994</v>
      </c>
    </row>
    <row r="804" spans="1:2">
      <c r="A804" s="14">
        <v>45408.996528000003</v>
      </c>
      <c r="B804" s="15">
        <v>64.812341000000004</v>
      </c>
    </row>
    <row r="805" spans="1:2">
      <c r="A805" s="14">
        <v>45408.997221999998</v>
      </c>
      <c r="B805" s="15">
        <v>63.543990000000001</v>
      </c>
    </row>
    <row r="806" spans="1:2">
      <c r="A806" s="14">
        <v>45408.997917000001</v>
      </c>
      <c r="B806" s="15">
        <v>63.893290999999998</v>
      </c>
    </row>
    <row r="807" spans="1:2">
      <c r="A807" s="14">
        <v>45408.998611000003</v>
      </c>
      <c r="B807" s="15">
        <v>64.660000999999994</v>
      </c>
    </row>
    <row r="808" spans="1:2">
      <c r="A808" s="14">
        <v>45408.999305999998</v>
      </c>
      <c r="B808" s="15">
        <v>64.901079999999993</v>
      </c>
    </row>
    <row r="809" spans="1:2">
      <c r="A809" s="14">
        <v>45409</v>
      </c>
      <c r="B809" s="15">
        <v>65.446997999999994</v>
      </c>
    </row>
    <row r="810" spans="1:2">
      <c r="A810" s="14">
        <v>45409.000694000002</v>
      </c>
      <c r="B810" s="15">
        <v>63.799804000000002</v>
      </c>
    </row>
    <row r="811" spans="1:2">
      <c r="A811" s="14">
        <v>45409.001388999997</v>
      </c>
      <c r="B811" s="15">
        <v>65.238439</v>
      </c>
    </row>
    <row r="812" spans="1:2">
      <c r="A812" s="14">
        <v>45409.002082999999</v>
      </c>
      <c r="B812" s="15">
        <v>69.410663999999997</v>
      </c>
    </row>
    <row r="813" spans="1:2">
      <c r="A813" s="14">
        <v>45409.002778000002</v>
      </c>
      <c r="B813" s="15">
        <v>69.127294000000006</v>
      </c>
    </row>
    <row r="814" spans="1:2">
      <c r="A814" s="14">
        <v>45409.003471999997</v>
      </c>
      <c r="B814" s="15">
        <v>68.76634</v>
      </c>
    </row>
    <row r="815" spans="1:2">
      <c r="A815" s="14">
        <v>45409.004166999999</v>
      </c>
      <c r="B815" s="15">
        <v>69.188085999999998</v>
      </c>
    </row>
    <row r="816" spans="1:2">
      <c r="A816" s="14">
        <v>45409.004861000001</v>
      </c>
      <c r="B816" s="15">
        <v>68.720650000000006</v>
      </c>
    </row>
    <row r="817" spans="1:2">
      <c r="A817" s="14">
        <v>45409.005555999996</v>
      </c>
      <c r="B817" s="15">
        <v>68.869713000000004</v>
      </c>
    </row>
    <row r="818" spans="1:2">
      <c r="A818" s="14">
        <v>45409.006249999999</v>
      </c>
      <c r="B818" s="15">
        <v>69.019283999999999</v>
      </c>
    </row>
    <row r="819" spans="1:2">
      <c r="A819" s="14">
        <v>45409.006944000001</v>
      </c>
      <c r="B819" s="15">
        <v>67.747866000000002</v>
      </c>
    </row>
    <row r="820" spans="1:2">
      <c r="A820" s="14">
        <v>45409.007639000003</v>
      </c>
      <c r="B820" s="15">
        <v>68.466874000000004</v>
      </c>
    </row>
    <row r="821" spans="1:2">
      <c r="A821" s="14">
        <v>45409.008332999998</v>
      </c>
      <c r="B821" s="15">
        <v>69.333192999999994</v>
      </c>
    </row>
    <row r="822" spans="1:2">
      <c r="A822" s="14">
        <v>45409.009028</v>
      </c>
      <c r="B822" s="15">
        <v>67.885355000000004</v>
      </c>
    </row>
    <row r="823" spans="1:2">
      <c r="A823" s="14">
        <v>45409.009722000003</v>
      </c>
      <c r="B823" s="15">
        <v>69.329105999999996</v>
      </c>
    </row>
    <row r="824" spans="1:2">
      <c r="A824" s="14">
        <v>45409.010416999998</v>
      </c>
      <c r="B824" s="15">
        <v>68.201300000000003</v>
      </c>
    </row>
    <row r="825" spans="1:2">
      <c r="A825" s="14">
        <v>45409.011111</v>
      </c>
      <c r="B825" s="15">
        <v>68.880454</v>
      </c>
    </row>
    <row r="826" spans="1:2">
      <c r="A826" s="14">
        <v>45409.011806000002</v>
      </c>
      <c r="B826" s="15">
        <v>67.656122999999994</v>
      </c>
    </row>
    <row r="827" spans="1:2">
      <c r="A827" s="14">
        <v>45409.012499999997</v>
      </c>
      <c r="B827" s="15">
        <v>69.781711999999999</v>
      </c>
    </row>
    <row r="828" spans="1:2">
      <c r="A828" s="14">
        <v>45409.013193999999</v>
      </c>
      <c r="B828" s="15">
        <v>68.605273999999994</v>
      </c>
    </row>
    <row r="829" spans="1:2">
      <c r="A829" s="14">
        <v>45409.013889000002</v>
      </c>
      <c r="B829" s="15">
        <v>68.390974999999997</v>
      </c>
    </row>
    <row r="830" spans="1:2">
      <c r="A830" s="14">
        <v>45409.014582999996</v>
      </c>
      <c r="B830" s="15">
        <v>68.858075999999997</v>
      </c>
    </row>
    <row r="831" spans="1:2">
      <c r="A831" s="14">
        <v>45409.015277999999</v>
      </c>
      <c r="B831" s="15">
        <v>68.208230999999998</v>
      </c>
    </row>
    <row r="832" spans="1:2">
      <c r="A832" s="14">
        <v>45409.015972000001</v>
      </c>
      <c r="B832" s="15">
        <v>67.559971000000004</v>
      </c>
    </row>
    <row r="833" spans="1:2">
      <c r="A833" s="14">
        <v>45409.016667000004</v>
      </c>
      <c r="B833" s="15">
        <v>68.221379999999996</v>
      </c>
    </row>
    <row r="834" spans="1:2">
      <c r="A834" s="14">
        <v>45409.017360999998</v>
      </c>
      <c r="B834" s="15">
        <v>68.872148999999993</v>
      </c>
    </row>
    <row r="835" spans="1:2">
      <c r="A835" s="14">
        <v>45409.018056000001</v>
      </c>
      <c r="B835" s="15">
        <v>68.116674000000003</v>
      </c>
    </row>
    <row r="836" spans="1:2">
      <c r="A836" s="14">
        <v>45409.018750000003</v>
      </c>
      <c r="B836" s="15">
        <v>69.069710000000001</v>
      </c>
    </row>
    <row r="837" spans="1:2">
      <c r="A837" s="14">
        <v>45409.019443999998</v>
      </c>
      <c r="B837" s="15">
        <v>67.339037000000005</v>
      </c>
    </row>
    <row r="838" spans="1:2">
      <c r="A838" s="14">
        <v>45409.020139</v>
      </c>
      <c r="B838" s="15">
        <v>68.644093999999996</v>
      </c>
    </row>
    <row r="839" spans="1:2">
      <c r="A839" s="14">
        <v>45409.020833000002</v>
      </c>
      <c r="B839" s="15">
        <v>68.633435000000006</v>
      </c>
    </row>
    <row r="840" spans="1:2">
      <c r="A840" s="14">
        <v>45409.021527999997</v>
      </c>
      <c r="B840" s="15">
        <v>68.599592999999999</v>
      </c>
    </row>
    <row r="841" spans="1:2">
      <c r="A841" s="14">
        <v>45409.022222</v>
      </c>
      <c r="B841" s="15">
        <v>68.351343</v>
      </c>
    </row>
    <row r="842" spans="1:2">
      <c r="A842" s="14">
        <v>45409.022917000002</v>
      </c>
      <c r="B842" s="15">
        <v>67.964050999999998</v>
      </c>
    </row>
    <row r="843" spans="1:2">
      <c r="A843" s="14">
        <v>45409.023610999997</v>
      </c>
      <c r="B843" s="15">
        <v>68.409182000000001</v>
      </c>
    </row>
    <row r="844" spans="1:2">
      <c r="A844" s="14">
        <v>45409.024305999999</v>
      </c>
      <c r="B844" s="15">
        <v>67.769023000000004</v>
      </c>
    </row>
    <row r="845" spans="1:2">
      <c r="A845" s="14">
        <v>45409.025000000001</v>
      </c>
      <c r="B845" s="15">
        <v>68.754604</v>
      </c>
    </row>
    <row r="846" spans="1:2">
      <c r="A846" s="14">
        <v>45409.025694000004</v>
      </c>
      <c r="B846" s="15">
        <v>69.380099999999999</v>
      </c>
    </row>
    <row r="847" spans="1:2">
      <c r="A847" s="14">
        <v>45409.026388999999</v>
      </c>
      <c r="B847" s="15">
        <v>68.223595000000003</v>
      </c>
    </row>
    <row r="848" spans="1:2">
      <c r="A848" s="14">
        <v>45409.027083000001</v>
      </c>
      <c r="B848" s="15">
        <v>67.116185000000002</v>
      </c>
    </row>
    <row r="849" spans="1:2">
      <c r="A849" s="14">
        <v>45409.027778000003</v>
      </c>
      <c r="B849" s="15">
        <v>68.040734</v>
      </c>
    </row>
    <row r="850" spans="1:2">
      <c r="A850" s="14">
        <v>45409.028471999998</v>
      </c>
      <c r="B850" s="15">
        <v>67.891818999999998</v>
      </c>
    </row>
    <row r="851" spans="1:2">
      <c r="A851" s="14">
        <v>45409.029167000001</v>
      </c>
      <c r="B851" s="15">
        <v>68.635081999999997</v>
      </c>
    </row>
    <row r="852" spans="1:2">
      <c r="A852" s="14">
        <v>45409.029861000003</v>
      </c>
      <c r="B852" s="15">
        <v>67.477880999999996</v>
      </c>
    </row>
    <row r="853" spans="1:2">
      <c r="A853" s="14">
        <v>45409.030555999998</v>
      </c>
      <c r="B853" s="15">
        <v>67.983737000000005</v>
      </c>
    </row>
    <row r="854" spans="1:2">
      <c r="A854" s="14">
        <v>45409.03125</v>
      </c>
      <c r="B854" s="15">
        <v>66.834097</v>
      </c>
    </row>
    <row r="855" spans="1:2">
      <c r="A855" s="14">
        <v>45409.031944000002</v>
      </c>
      <c r="B855" s="15">
        <v>68.363895999999997</v>
      </c>
    </row>
    <row r="856" spans="1:2">
      <c r="A856" s="14">
        <v>45409.032638999997</v>
      </c>
      <c r="B856" s="15">
        <v>67.626216999999997</v>
      </c>
    </row>
    <row r="857" spans="1:2">
      <c r="A857" s="14">
        <v>45409.033332999999</v>
      </c>
      <c r="B857" s="15">
        <v>68.255767000000006</v>
      </c>
    </row>
    <row r="858" spans="1:2">
      <c r="A858" s="14">
        <v>45409.034028000002</v>
      </c>
      <c r="B858" s="15">
        <v>68.877092000000005</v>
      </c>
    </row>
    <row r="859" spans="1:2">
      <c r="A859" s="14">
        <v>45409.034721999997</v>
      </c>
      <c r="B859" s="15">
        <v>69.250823999999994</v>
      </c>
    </row>
    <row r="860" spans="1:2">
      <c r="A860" s="14">
        <v>45409.035416999999</v>
      </c>
      <c r="B860" s="15">
        <v>68.266999999999996</v>
      </c>
    </row>
    <row r="861" spans="1:2">
      <c r="A861" s="14">
        <v>45409.036111000001</v>
      </c>
      <c r="B861" s="15">
        <v>67.779801000000006</v>
      </c>
    </row>
    <row r="862" spans="1:2">
      <c r="A862" s="14">
        <v>45409.036805999996</v>
      </c>
      <c r="B862" s="15">
        <v>68.604862999999995</v>
      </c>
    </row>
    <row r="863" spans="1:2">
      <c r="A863" s="14">
        <v>45409.037499999999</v>
      </c>
      <c r="B863" s="15">
        <v>67.653707999999995</v>
      </c>
    </row>
    <row r="864" spans="1:2">
      <c r="A864" s="14">
        <v>45409.038194000001</v>
      </c>
      <c r="B864" s="15">
        <v>68.434627000000006</v>
      </c>
    </row>
    <row r="865" spans="1:2">
      <c r="A865" s="14">
        <v>45409.038889000003</v>
      </c>
      <c r="B865" s="15">
        <v>67.709078000000005</v>
      </c>
    </row>
    <row r="866" spans="1:2">
      <c r="A866" s="14">
        <v>45409.039582999998</v>
      </c>
      <c r="B866" s="15">
        <v>68.842215999999993</v>
      </c>
    </row>
    <row r="867" spans="1:2">
      <c r="A867" s="14">
        <v>45409.040278</v>
      </c>
      <c r="B867" s="15">
        <v>67.644400000000005</v>
      </c>
    </row>
    <row r="868" spans="1:2">
      <c r="A868" s="14">
        <v>45409.040972000003</v>
      </c>
      <c r="B868" s="15">
        <v>67.578440000000001</v>
      </c>
    </row>
    <row r="869" spans="1:2">
      <c r="A869" s="14">
        <v>45409.041666999998</v>
      </c>
      <c r="B869" s="15">
        <v>66.354282999999995</v>
      </c>
    </row>
    <row r="870" spans="1:2">
      <c r="A870" s="14">
        <v>45409.042361</v>
      </c>
      <c r="B870" s="15">
        <v>67.919608999999994</v>
      </c>
    </row>
    <row r="871" spans="1:2">
      <c r="A871" s="14">
        <v>45409.043056000002</v>
      </c>
      <c r="B871" s="15">
        <v>67.675064000000006</v>
      </c>
    </row>
    <row r="872" spans="1:2">
      <c r="A872" s="14">
        <v>45409.043749999997</v>
      </c>
      <c r="B872" s="15">
        <v>67.430385000000001</v>
      </c>
    </row>
    <row r="873" spans="1:2">
      <c r="A873" s="14">
        <v>45409.044443999999</v>
      </c>
      <c r="B873" s="15">
        <v>68.905563999999998</v>
      </c>
    </row>
    <row r="874" spans="1:2">
      <c r="A874" s="14">
        <v>45409.045139000002</v>
      </c>
      <c r="B874" s="15">
        <v>69.024158</v>
      </c>
    </row>
    <row r="875" spans="1:2">
      <c r="A875" s="14">
        <v>45409.045832999996</v>
      </c>
      <c r="B875" s="15">
        <v>68.710649000000004</v>
      </c>
    </row>
    <row r="876" spans="1:2">
      <c r="A876" s="14">
        <v>45409.046527999999</v>
      </c>
      <c r="B876" s="15">
        <v>68.029252999999997</v>
      </c>
    </row>
    <row r="877" spans="1:2">
      <c r="A877" s="14">
        <v>45409.047222000001</v>
      </c>
      <c r="B877" s="15">
        <v>68.134927000000005</v>
      </c>
    </row>
    <row r="878" spans="1:2">
      <c r="A878" s="14">
        <v>45409.047917000004</v>
      </c>
      <c r="B878" s="15">
        <v>68.363800999999995</v>
      </c>
    </row>
    <row r="879" spans="1:2">
      <c r="A879" s="14">
        <v>45409.048610999998</v>
      </c>
      <c r="B879" s="15">
        <v>68.159768999999997</v>
      </c>
    </row>
    <row r="880" spans="1:2">
      <c r="A880" s="14">
        <v>45409.049306000001</v>
      </c>
      <c r="B880" s="15">
        <v>67.227671000000001</v>
      </c>
    </row>
    <row r="881" spans="1:2">
      <c r="A881" s="14">
        <v>45409.05</v>
      </c>
      <c r="B881" s="15">
        <v>68.339893000000004</v>
      </c>
    </row>
    <row r="882" spans="1:2">
      <c r="A882" s="14">
        <v>45409.050693999998</v>
      </c>
      <c r="B882" s="15">
        <v>67.105372000000003</v>
      </c>
    </row>
    <row r="883" spans="1:2">
      <c r="A883" s="14">
        <v>45409.051389</v>
      </c>
      <c r="B883" s="15">
        <v>69.326143000000002</v>
      </c>
    </row>
    <row r="884" spans="1:2">
      <c r="A884" s="14">
        <v>45409.052083000002</v>
      </c>
      <c r="B884" s="15">
        <v>68.283294999999995</v>
      </c>
    </row>
    <row r="885" spans="1:2">
      <c r="A885" s="14">
        <v>45409.052777999997</v>
      </c>
      <c r="B885" s="15">
        <v>68.682678999999993</v>
      </c>
    </row>
    <row r="886" spans="1:2">
      <c r="A886" s="14">
        <v>45409.053472</v>
      </c>
      <c r="B886" s="15">
        <v>69.705623000000003</v>
      </c>
    </row>
    <row r="887" spans="1:2">
      <c r="A887" s="14">
        <v>45409.054167000002</v>
      </c>
      <c r="B887" s="15">
        <v>67.342786000000004</v>
      </c>
    </row>
    <row r="888" spans="1:2">
      <c r="A888" s="14">
        <v>45409.054860999997</v>
      </c>
      <c r="B888" s="15">
        <v>67.786168000000004</v>
      </c>
    </row>
    <row r="889" spans="1:2">
      <c r="A889" s="14">
        <v>45409.055555999999</v>
      </c>
      <c r="B889" s="15">
        <v>68.703112000000004</v>
      </c>
    </row>
    <row r="890" spans="1:2">
      <c r="A890" s="14">
        <v>45409.056250000001</v>
      </c>
      <c r="B890" s="15">
        <v>67.889607999999996</v>
      </c>
    </row>
    <row r="891" spans="1:2">
      <c r="A891" s="14">
        <v>45409.056944000004</v>
      </c>
      <c r="B891" s="15">
        <v>67.548647000000003</v>
      </c>
    </row>
    <row r="892" spans="1:2">
      <c r="A892" s="14">
        <v>45409.057638999999</v>
      </c>
      <c r="B892" s="15">
        <v>67.343278999999995</v>
      </c>
    </row>
    <row r="893" spans="1:2">
      <c r="A893" s="14">
        <v>45409.058333000001</v>
      </c>
      <c r="B893" s="15">
        <v>67.698774</v>
      </c>
    </row>
    <row r="894" spans="1:2">
      <c r="A894" s="14">
        <v>45409.059028000003</v>
      </c>
      <c r="B894" s="15">
        <v>67.957217</v>
      </c>
    </row>
    <row r="895" spans="1:2">
      <c r="A895" s="14">
        <v>45409.059721999998</v>
      </c>
      <c r="B895" s="15">
        <v>67.742445000000004</v>
      </c>
    </row>
    <row r="896" spans="1:2">
      <c r="A896" s="14">
        <v>45409.060417000001</v>
      </c>
      <c r="B896" s="15">
        <v>67.861637999999999</v>
      </c>
    </row>
    <row r="897" spans="1:2">
      <c r="A897" s="14">
        <v>45409.061111000003</v>
      </c>
      <c r="B897" s="15">
        <v>67.919079999999994</v>
      </c>
    </row>
    <row r="898" spans="1:2">
      <c r="A898" s="14">
        <v>45409.061805999998</v>
      </c>
      <c r="B898" s="15">
        <v>68.234536000000006</v>
      </c>
    </row>
    <row r="899" spans="1:2">
      <c r="A899" s="14">
        <v>45409.0625</v>
      </c>
      <c r="B899" s="15">
        <v>68.343844000000004</v>
      </c>
    </row>
    <row r="900" spans="1:2">
      <c r="A900" s="14">
        <v>45409.063194000002</v>
      </c>
      <c r="B900" s="15">
        <v>67.970118999999997</v>
      </c>
    </row>
    <row r="901" spans="1:2">
      <c r="A901" s="14">
        <v>45409.063888999997</v>
      </c>
      <c r="B901" s="15">
        <v>69.155078000000003</v>
      </c>
    </row>
    <row r="902" spans="1:2">
      <c r="A902" s="14">
        <v>45409.064582999999</v>
      </c>
      <c r="B902" s="15">
        <v>67.482586999999995</v>
      </c>
    </row>
    <row r="903" spans="1:2">
      <c r="A903" s="14">
        <v>45409.065278000002</v>
      </c>
      <c r="B903" s="15">
        <v>68.367722000000001</v>
      </c>
    </row>
    <row r="904" spans="1:2">
      <c r="A904" s="14">
        <v>45409.065971999997</v>
      </c>
      <c r="B904" s="15">
        <v>67.263091000000003</v>
      </c>
    </row>
    <row r="905" spans="1:2">
      <c r="A905" s="14">
        <v>45409.066666999999</v>
      </c>
      <c r="B905" s="15">
        <v>68.030951000000002</v>
      </c>
    </row>
    <row r="906" spans="1:2">
      <c r="A906" s="14">
        <v>45409.067361000001</v>
      </c>
      <c r="B906" s="15">
        <v>68.455530999999993</v>
      </c>
    </row>
    <row r="907" spans="1:2">
      <c r="A907" s="14">
        <v>45409.068055999996</v>
      </c>
      <c r="B907" s="15">
        <v>67.786270999999999</v>
      </c>
    </row>
    <row r="908" spans="1:2">
      <c r="A908" s="14">
        <v>45409.068749999999</v>
      </c>
      <c r="B908" s="15">
        <v>68.596162000000007</v>
      </c>
    </row>
    <row r="909" spans="1:2">
      <c r="A909" s="14">
        <v>45409.069444000001</v>
      </c>
      <c r="B909" s="15">
        <v>67.251570000000001</v>
      </c>
    </row>
    <row r="910" spans="1:2">
      <c r="A910" s="14">
        <v>45409.070139000003</v>
      </c>
      <c r="B910" s="15">
        <v>67.731944999999996</v>
      </c>
    </row>
    <row r="911" spans="1:2">
      <c r="A911" s="14">
        <v>45409.070832999998</v>
      </c>
      <c r="B911" s="15">
        <v>68.592010999999999</v>
      </c>
    </row>
    <row r="912" spans="1:2">
      <c r="A912" s="14">
        <v>45409.071528</v>
      </c>
      <c r="B912" s="15">
        <v>68.412358999999995</v>
      </c>
    </row>
    <row r="913" spans="1:2">
      <c r="A913" s="14">
        <v>45409.072222000003</v>
      </c>
      <c r="B913" s="15">
        <v>68.270033999999995</v>
      </c>
    </row>
    <row r="914" spans="1:2">
      <c r="A914" s="14">
        <v>45409.072916999998</v>
      </c>
      <c r="B914" s="15">
        <v>67.400041000000002</v>
      </c>
    </row>
    <row r="915" spans="1:2">
      <c r="A915" s="14">
        <v>45409.073611</v>
      </c>
      <c r="B915" s="15">
        <v>67.776651000000001</v>
      </c>
    </row>
    <row r="916" spans="1:2">
      <c r="A916" s="14">
        <v>45409.074306000002</v>
      </c>
      <c r="B916" s="15">
        <v>69.082277000000005</v>
      </c>
    </row>
    <row r="917" spans="1:2">
      <c r="A917" s="14">
        <v>45409.074999999997</v>
      </c>
      <c r="B917" s="15">
        <v>69.498873000000003</v>
      </c>
    </row>
    <row r="918" spans="1:2">
      <c r="A918" s="14">
        <v>45409.075693999999</v>
      </c>
      <c r="B918" s="15">
        <v>68.237291999999997</v>
      </c>
    </row>
    <row r="919" spans="1:2">
      <c r="A919" s="14">
        <v>45409.076389000002</v>
      </c>
      <c r="B919" s="15">
        <v>68.760745999999997</v>
      </c>
    </row>
    <row r="920" spans="1:2">
      <c r="A920" s="14">
        <v>45409.077082999996</v>
      </c>
      <c r="B920" s="15">
        <v>67.836594000000005</v>
      </c>
    </row>
    <row r="921" spans="1:2">
      <c r="A921" s="14">
        <v>45409.077777999999</v>
      </c>
      <c r="B921" s="15">
        <v>68.983160999999996</v>
      </c>
    </row>
    <row r="922" spans="1:2">
      <c r="A922" s="14">
        <v>45409.078472000001</v>
      </c>
      <c r="B922" s="15">
        <v>68.125902999999994</v>
      </c>
    </row>
    <row r="923" spans="1:2">
      <c r="A923" s="14">
        <v>45409.079167000004</v>
      </c>
      <c r="B923" s="15">
        <v>68.576048</v>
      </c>
    </row>
    <row r="924" spans="1:2">
      <c r="A924" s="14">
        <v>45409.079860999998</v>
      </c>
      <c r="B924" s="15">
        <v>68.023009999999999</v>
      </c>
    </row>
    <row r="925" spans="1:2">
      <c r="A925" s="14">
        <v>45409.080556000001</v>
      </c>
      <c r="B925" s="15">
        <v>67.978365999999994</v>
      </c>
    </row>
    <row r="926" spans="1:2">
      <c r="A926" s="14">
        <v>45409.081250000003</v>
      </c>
      <c r="B926" s="15">
        <v>67.564616999999998</v>
      </c>
    </row>
    <row r="927" spans="1:2">
      <c r="A927" s="14">
        <v>45409.081943999998</v>
      </c>
      <c r="B927" s="15">
        <v>68.006732999999997</v>
      </c>
    </row>
    <row r="928" spans="1:2">
      <c r="A928" s="14">
        <v>45409.082639</v>
      </c>
      <c r="B928" s="15">
        <v>69.045455000000004</v>
      </c>
    </row>
    <row r="929" spans="1:2">
      <c r="A929" s="14">
        <v>45409.083333000002</v>
      </c>
      <c r="B929" s="15">
        <v>67.540880000000001</v>
      </c>
    </row>
    <row r="930" spans="1:2">
      <c r="A930" s="14">
        <v>45409.084027999997</v>
      </c>
      <c r="B930" s="15">
        <v>68.456320000000005</v>
      </c>
    </row>
    <row r="931" spans="1:2">
      <c r="A931" s="14">
        <v>45409.084722</v>
      </c>
      <c r="B931" s="15">
        <v>68.956053999999995</v>
      </c>
    </row>
    <row r="932" spans="1:2">
      <c r="A932" s="14">
        <v>45409.085417000002</v>
      </c>
      <c r="B932" s="15">
        <v>77.449459000000004</v>
      </c>
    </row>
    <row r="933" spans="1:2">
      <c r="A933" s="14">
        <v>45409.086110999997</v>
      </c>
      <c r="B933" s="15">
        <v>77.159153000000003</v>
      </c>
    </row>
    <row r="934" spans="1:2">
      <c r="A934" s="14">
        <v>45409.086805999999</v>
      </c>
      <c r="B934" s="15">
        <v>78.429939000000005</v>
      </c>
    </row>
    <row r="935" spans="1:2">
      <c r="A935" s="14">
        <v>45409.087500000001</v>
      </c>
      <c r="B935" s="15">
        <v>77.847551999999993</v>
      </c>
    </row>
    <row r="936" spans="1:2">
      <c r="A936" s="14">
        <v>45409.088194000004</v>
      </c>
      <c r="B936" s="15">
        <v>76.306826999999998</v>
      </c>
    </row>
    <row r="937" spans="1:2">
      <c r="A937" s="14">
        <v>45409.088888999999</v>
      </c>
      <c r="B937" s="15">
        <v>76.185322999999997</v>
      </c>
    </row>
    <row r="938" spans="1:2">
      <c r="A938" s="14">
        <v>45409.089583000001</v>
      </c>
      <c r="B938" s="15">
        <v>77.792924999999997</v>
      </c>
    </row>
    <row r="939" spans="1:2">
      <c r="A939" s="14">
        <v>45409.090278000003</v>
      </c>
      <c r="B939" s="15">
        <v>78.403572999999994</v>
      </c>
    </row>
    <row r="940" spans="1:2">
      <c r="A940" s="14">
        <v>45409.090971999998</v>
      </c>
      <c r="B940" s="15">
        <v>77.032233000000005</v>
      </c>
    </row>
    <row r="941" spans="1:2">
      <c r="A941" s="14">
        <v>45409.091667000001</v>
      </c>
      <c r="B941" s="15">
        <v>77.831447999999995</v>
      </c>
    </row>
    <row r="942" spans="1:2">
      <c r="A942" s="14">
        <v>45409.092361000003</v>
      </c>
      <c r="B942" s="15">
        <v>77.923877000000005</v>
      </c>
    </row>
    <row r="943" spans="1:2">
      <c r="A943" s="14">
        <v>45409.093055999998</v>
      </c>
      <c r="B943" s="15">
        <v>76.850277000000006</v>
      </c>
    </row>
    <row r="944" spans="1:2">
      <c r="A944" s="14">
        <v>45409.09375</v>
      </c>
      <c r="B944" s="15">
        <v>76.557851999999997</v>
      </c>
    </row>
    <row r="945" spans="1:2">
      <c r="A945" s="14">
        <v>45409.094444000002</v>
      </c>
      <c r="B945" s="15">
        <v>78.152705999999995</v>
      </c>
    </row>
    <row r="946" spans="1:2">
      <c r="A946" s="14">
        <v>45409.095138999997</v>
      </c>
      <c r="B946" s="15">
        <v>78.221822000000003</v>
      </c>
    </row>
    <row r="947" spans="1:2">
      <c r="A947" s="14">
        <v>45409.095832999999</v>
      </c>
      <c r="B947" s="15">
        <v>77.404730000000001</v>
      </c>
    </row>
    <row r="948" spans="1:2">
      <c r="A948" s="14">
        <v>45409.096528000002</v>
      </c>
      <c r="B948" s="15">
        <v>76.677696999999995</v>
      </c>
    </row>
    <row r="949" spans="1:2">
      <c r="A949" s="14">
        <v>45409.097221999997</v>
      </c>
      <c r="B949" s="15">
        <v>76.556484999999995</v>
      </c>
    </row>
    <row r="950" spans="1:2">
      <c r="A950" s="14">
        <v>45409.097916999999</v>
      </c>
      <c r="B950" s="15">
        <v>75.547048000000004</v>
      </c>
    </row>
    <row r="951" spans="1:2">
      <c r="A951" s="14">
        <v>45409.098611000001</v>
      </c>
      <c r="B951" s="15">
        <v>76.321944999999999</v>
      </c>
    </row>
    <row r="952" spans="1:2">
      <c r="A952" s="14">
        <v>45409.099305999996</v>
      </c>
      <c r="B952" s="15">
        <v>76.829617999999996</v>
      </c>
    </row>
    <row r="953" spans="1:2">
      <c r="A953" s="14">
        <v>45409.1</v>
      </c>
      <c r="B953" s="15">
        <v>78.240933999999996</v>
      </c>
    </row>
    <row r="954" spans="1:2">
      <c r="A954" s="14">
        <v>45409.100694000001</v>
      </c>
      <c r="B954" s="15">
        <v>77.107665999999995</v>
      </c>
    </row>
    <row r="955" spans="1:2">
      <c r="A955" s="14">
        <v>45409.101389000003</v>
      </c>
      <c r="B955" s="15">
        <v>75.790183999999996</v>
      </c>
    </row>
    <row r="956" spans="1:2">
      <c r="A956" s="14">
        <v>45409.102082999998</v>
      </c>
      <c r="B956" s="15">
        <v>75.861233999999996</v>
      </c>
    </row>
    <row r="957" spans="1:2">
      <c r="A957" s="14">
        <v>45409.102778</v>
      </c>
      <c r="B957" s="15">
        <v>76.407580999999993</v>
      </c>
    </row>
    <row r="958" spans="1:2">
      <c r="A958" s="14">
        <v>45409.103472000003</v>
      </c>
      <c r="B958" s="15">
        <v>77.296257999999995</v>
      </c>
    </row>
    <row r="959" spans="1:2">
      <c r="A959" s="14">
        <v>45409.104166999998</v>
      </c>
      <c r="B959" s="15">
        <v>76.765563999999998</v>
      </c>
    </row>
    <row r="960" spans="1:2">
      <c r="A960" s="14">
        <v>45409.104861</v>
      </c>
      <c r="B960" s="15">
        <v>76.128263000000004</v>
      </c>
    </row>
    <row r="961" spans="1:2">
      <c r="A961" s="14">
        <v>45409.105556000002</v>
      </c>
      <c r="B961" s="15">
        <v>77.360894999999999</v>
      </c>
    </row>
    <row r="962" spans="1:2">
      <c r="A962" s="14">
        <v>45409.106249999997</v>
      </c>
      <c r="B962" s="15">
        <v>76.651301000000004</v>
      </c>
    </row>
    <row r="963" spans="1:2">
      <c r="A963" s="14">
        <v>45409.106943999999</v>
      </c>
      <c r="B963" s="15">
        <v>77.371208999999993</v>
      </c>
    </row>
    <row r="964" spans="1:2">
      <c r="A964" s="14">
        <v>45409.107639000002</v>
      </c>
      <c r="B964" s="15">
        <v>76.541717000000006</v>
      </c>
    </row>
    <row r="965" spans="1:2">
      <c r="A965" s="14">
        <v>45409.108332999996</v>
      </c>
      <c r="B965" s="15">
        <v>76.192735999999996</v>
      </c>
    </row>
    <row r="966" spans="1:2">
      <c r="A966" s="14">
        <v>45409.109027999999</v>
      </c>
      <c r="B966" s="15">
        <v>76.335584999999995</v>
      </c>
    </row>
    <row r="967" spans="1:2">
      <c r="A967" s="14">
        <v>45409.109722000001</v>
      </c>
      <c r="B967" s="15">
        <v>75.142082000000002</v>
      </c>
    </row>
    <row r="968" spans="1:2">
      <c r="A968" s="14">
        <v>45409.110417000004</v>
      </c>
      <c r="B968" s="15">
        <v>77.701239999999999</v>
      </c>
    </row>
    <row r="969" spans="1:2">
      <c r="A969" s="14">
        <v>45409.111110999998</v>
      </c>
      <c r="B969" s="15">
        <v>77.370974000000004</v>
      </c>
    </row>
    <row r="970" spans="1:2">
      <c r="A970" s="14">
        <v>45409.111806000001</v>
      </c>
      <c r="B970" s="15">
        <v>76.726134999999999</v>
      </c>
    </row>
    <row r="971" spans="1:2">
      <c r="A971" s="14">
        <v>45409.112500000003</v>
      </c>
      <c r="B971" s="15">
        <v>75.775215000000003</v>
      </c>
    </row>
    <row r="972" spans="1:2">
      <c r="A972" s="14">
        <v>45409.113193999998</v>
      </c>
      <c r="B972" s="15">
        <v>77.182811000000001</v>
      </c>
    </row>
    <row r="973" spans="1:2">
      <c r="A973" s="14">
        <v>45409.113889</v>
      </c>
      <c r="B973" s="15">
        <v>76.787167999999994</v>
      </c>
    </row>
    <row r="974" spans="1:2">
      <c r="A974" s="14">
        <v>45409.114583000002</v>
      </c>
      <c r="B974" s="15">
        <v>76.710099</v>
      </c>
    </row>
    <row r="975" spans="1:2">
      <c r="A975" s="14">
        <v>45409.115277999997</v>
      </c>
      <c r="B975" s="15">
        <v>76.747854000000004</v>
      </c>
    </row>
    <row r="976" spans="1:2">
      <c r="A976" s="14">
        <v>45409.115972</v>
      </c>
      <c r="B976" s="15">
        <v>75.728696999999997</v>
      </c>
    </row>
    <row r="977" spans="1:2">
      <c r="A977" s="14">
        <v>45409.116667000002</v>
      </c>
      <c r="B977" s="15">
        <v>76.595256000000006</v>
      </c>
    </row>
    <row r="978" spans="1:2">
      <c r="A978" s="14">
        <v>45409.117360999997</v>
      </c>
      <c r="B978" s="15">
        <v>75.612526000000003</v>
      </c>
    </row>
    <row r="979" spans="1:2">
      <c r="A979" s="14">
        <v>45409.118055999999</v>
      </c>
      <c r="B979" s="15">
        <v>76.162081000000001</v>
      </c>
    </row>
    <row r="980" spans="1:2">
      <c r="A980" s="14">
        <v>45409.118750000001</v>
      </c>
      <c r="B980" s="15">
        <v>75.207977999999997</v>
      </c>
    </row>
    <row r="981" spans="1:2">
      <c r="A981" s="14">
        <v>45409.119444000004</v>
      </c>
      <c r="B981" s="15">
        <v>76.738133000000005</v>
      </c>
    </row>
    <row r="982" spans="1:2">
      <c r="A982" s="14">
        <v>45409.120138999999</v>
      </c>
      <c r="B982" s="15">
        <v>76.690355999999994</v>
      </c>
    </row>
    <row r="983" spans="1:2">
      <c r="A983" s="14">
        <v>45409.120833000001</v>
      </c>
      <c r="B983" s="15">
        <v>76.311736999999994</v>
      </c>
    </row>
    <row r="984" spans="1:2">
      <c r="A984" s="14">
        <v>45409.121528000003</v>
      </c>
      <c r="B984" s="15">
        <v>76.233087999999995</v>
      </c>
    </row>
    <row r="985" spans="1:2">
      <c r="A985" s="14">
        <v>45409.122221999998</v>
      </c>
      <c r="B985" s="15">
        <v>77.038961</v>
      </c>
    </row>
    <row r="986" spans="1:2">
      <c r="A986" s="14">
        <v>45409.122917000001</v>
      </c>
      <c r="B986" s="15">
        <v>76.123431999999994</v>
      </c>
    </row>
    <row r="987" spans="1:2">
      <c r="A987" s="14">
        <v>45409.123611000003</v>
      </c>
      <c r="B987" s="15">
        <v>75.106662</v>
      </c>
    </row>
    <row r="988" spans="1:2">
      <c r="A988" s="14">
        <v>45409.124305999998</v>
      </c>
      <c r="B988" s="15">
        <v>77.519368999999998</v>
      </c>
    </row>
    <row r="989" spans="1:2">
      <c r="A989" s="14">
        <v>45409.125</v>
      </c>
      <c r="B989" s="15">
        <v>76.568674000000001</v>
      </c>
    </row>
    <row r="990" spans="1:2">
      <c r="A990" s="14">
        <v>45409.125694000002</v>
      </c>
      <c r="B990" s="15">
        <v>75.111851999999999</v>
      </c>
    </row>
    <row r="991" spans="1:2">
      <c r="A991" s="14">
        <v>45409.126388999997</v>
      </c>
      <c r="B991" s="15">
        <v>77.494242999999997</v>
      </c>
    </row>
    <row r="992" spans="1:2">
      <c r="A992" s="14">
        <v>45409.127082999999</v>
      </c>
      <c r="B992" s="15">
        <v>75.126886999999996</v>
      </c>
    </row>
    <row r="993" spans="1:2">
      <c r="A993" s="14">
        <v>45409.127778000002</v>
      </c>
      <c r="B993" s="15">
        <v>76.705293999999995</v>
      </c>
    </row>
    <row r="994" spans="1:2">
      <c r="A994" s="14">
        <v>45409.128471999997</v>
      </c>
      <c r="B994" s="15">
        <v>77.002592000000007</v>
      </c>
    </row>
    <row r="995" spans="1:2">
      <c r="A995" s="14">
        <v>45409.129166999999</v>
      </c>
      <c r="B995" s="15">
        <v>75.985074999999995</v>
      </c>
    </row>
    <row r="996" spans="1:2">
      <c r="A996" s="14">
        <v>45409.129861000001</v>
      </c>
      <c r="B996" s="15">
        <v>75.639653999999993</v>
      </c>
    </row>
    <row r="997" spans="1:2">
      <c r="A997" s="14">
        <v>45409.130555999996</v>
      </c>
      <c r="B997" s="15">
        <v>74.117566999999994</v>
      </c>
    </row>
    <row r="998" spans="1:2">
      <c r="A998" s="14">
        <v>45409.131249999999</v>
      </c>
      <c r="B998" s="15">
        <v>76.931686999999997</v>
      </c>
    </row>
    <row r="999" spans="1:2">
      <c r="A999" s="14">
        <v>45409.131944000001</v>
      </c>
      <c r="B999" s="15">
        <v>77.678364999999999</v>
      </c>
    </row>
    <row r="1000" spans="1:2">
      <c r="A1000" s="14">
        <v>45409.132639000003</v>
      </c>
      <c r="B1000" s="15">
        <v>76.253938000000005</v>
      </c>
    </row>
    <row r="1001" spans="1:2">
      <c r="A1001" s="14">
        <v>45409.133332999998</v>
      </c>
      <c r="B1001" s="15">
        <v>76.138568000000006</v>
      </c>
    </row>
    <row r="1002" spans="1:2">
      <c r="A1002" s="14">
        <v>45409.134028</v>
      </c>
      <c r="B1002" s="15">
        <v>76.721992</v>
      </c>
    </row>
    <row r="1003" spans="1:2">
      <c r="A1003" s="14">
        <v>45409.134722000003</v>
      </c>
      <c r="B1003" s="15">
        <v>75.972395000000006</v>
      </c>
    </row>
    <row r="1004" spans="1:2">
      <c r="A1004" s="14">
        <v>45409.135416999998</v>
      </c>
      <c r="B1004" s="15">
        <v>76.827707000000004</v>
      </c>
    </row>
    <row r="1005" spans="1:2">
      <c r="A1005" s="14">
        <v>45409.136111</v>
      </c>
      <c r="B1005" s="15">
        <v>76.558622</v>
      </c>
    </row>
    <row r="1006" spans="1:2">
      <c r="A1006" s="14">
        <v>45409.136806000002</v>
      </c>
      <c r="B1006" s="15">
        <v>77.531057000000004</v>
      </c>
    </row>
    <row r="1007" spans="1:2">
      <c r="A1007" s="14">
        <v>45409.137499999997</v>
      </c>
      <c r="B1007" s="15">
        <v>76.677415999999994</v>
      </c>
    </row>
    <row r="1008" spans="1:2">
      <c r="A1008" s="14">
        <v>45409.138193999999</v>
      </c>
      <c r="B1008" s="15">
        <v>75.453598999999997</v>
      </c>
    </row>
    <row r="1009" spans="1:2">
      <c r="A1009" s="14">
        <v>45409.138889000002</v>
      </c>
      <c r="B1009" s="15">
        <v>76.660216000000005</v>
      </c>
    </row>
    <row r="1010" spans="1:2">
      <c r="A1010" s="14">
        <v>45409.139582999996</v>
      </c>
      <c r="B1010" s="15">
        <v>75.915871999999993</v>
      </c>
    </row>
    <row r="1011" spans="1:2">
      <c r="A1011" s="14">
        <v>45409.140277999999</v>
      </c>
      <c r="B1011" s="15">
        <v>75.114266000000001</v>
      </c>
    </row>
    <row r="1012" spans="1:2">
      <c r="A1012" s="14">
        <v>45409.140972000001</v>
      </c>
      <c r="B1012" s="15">
        <v>75.975110999999998</v>
      </c>
    </row>
    <row r="1013" spans="1:2">
      <c r="A1013" s="14">
        <v>45409.141667000004</v>
      </c>
      <c r="B1013" s="15">
        <v>76.670948999999993</v>
      </c>
    </row>
    <row r="1014" spans="1:2">
      <c r="A1014" s="14">
        <v>45409.142360999998</v>
      </c>
      <c r="B1014" s="15">
        <v>76.978483999999995</v>
      </c>
    </row>
    <row r="1015" spans="1:2">
      <c r="A1015" s="14">
        <v>45409.143056000001</v>
      </c>
      <c r="B1015" s="15">
        <v>75.204616999999999</v>
      </c>
    </row>
    <row r="1016" spans="1:2">
      <c r="A1016" s="14">
        <v>45409.143750000003</v>
      </c>
      <c r="B1016" s="15">
        <v>76.367756</v>
      </c>
    </row>
    <row r="1017" spans="1:2">
      <c r="A1017" s="14">
        <v>45409.144443999998</v>
      </c>
      <c r="B1017" s="15">
        <v>76.417598999999996</v>
      </c>
    </row>
    <row r="1018" spans="1:2">
      <c r="A1018" s="14">
        <v>45409.145139</v>
      </c>
      <c r="B1018" s="15">
        <v>75.854237999999995</v>
      </c>
    </row>
    <row r="1019" spans="1:2">
      <c r="A1019" s="14">
        <v>45409.145833000002</v>
      </c>
      <c r="B1019" s="15">
        <v>76.401933999999997</v>
      </c>
    </row>
    <row r="1020" spans="1:2">
      <c r="A1020" s="14">
        <v>45409.146527999997</v>
      </c>
      <c r="B1020" s="15">
        <v>76.803590999999997</v>
      </c>
    </row>
    <row r="1021" spans="1:2">
      <c r="A1021" s="14">
        <v>45409.147222</v>
      </c>
      <c r="B1021" s="15">
        <v>76.923973000000004</v>
      </c>
    </row>
    <row r="1022" spans="1:2">
      <c r="A1022" s="14">
        <v>45409.147917000002</v>
      </c>
      <c r="B1022" s="15">
        <v>76.279071999999999</v>
      </c>
    </row>
    <row r="1023" spans="1:2">
      <c r="A1023" s="14">
        <v>45409.148610999997</v>
      </c>
      <c r="B1023" s="15">
        <v>75.885340999999997</v>
      </c>
    </row>
    <row r="1024" spans="1:2">
      <c r="A1024" s="14">
        <v>45409.149305999999</v>
      </c>
      <c r="B1024" s="15">
        <v>74.934578000000002</v>
      </c>
    </row>
    <row r="1025" spans="1:2">
      <c r="A1025" s="14">
        <v>45409.15</v>
      </c>
      <c r="B1025" s="15">
        <v>76.210711000000003</v>
      </c>
    </row>
    <row r="1026" spans="1:2">
      <c r="A1026" s="14">
        <v>45409.150694000004</v>
      </c>
      <c r="B1026" s="15">
        <v>75.307191000000003</v>
      </c>
    </row>
    <row r="1027" spans="1:2">
      <c r="A1027" s="14">
        <v>45409.151388999999</v>
      </c>
      <c r="B1027" s="15">
        <v>76.323438999999993</v>
      </c>
    </row>
    <row r="1028" spans="1:2">
      <c r="A1028" s="14">
        <v>45409.152083000001</v>
      </c>
      <c r="B1028" s="15">
        <v>75.745278999999996</v>
      </c>
    </row>
    <row r="1029" spans="1:2">
      <c r="A1029" s="14">
        <v>45409.152778000003</v>
      </c>
      <c r="B1029" s="15">
        <v>76.964789999999994</v>
      </c>
    </row>
    <row r="1030" spans="1:2">
      <c r="A1030" s="14">
        <v>45409.153471999998</v>
      </c>
      <c r="B1030" s="15">
        <v>76.102007</v>
      </c>
    </row>
    <row r="1031" spans="1:2">
      <c r="A1031" s="14">
        <v>45409.154167000001</v>
      </c>
      <c r="B1031" s="15">
        <v>76.580090999999996</v>
      </c>
    </row>
    <row r="1032" spans="1:2">
      <c r="A1032" s="14">
        <v>45409.154861000003</v>
      </c>
      <c r="B1032" s="15">
        <v>75.608181000000002</v>
      </c>
    </row>
    <row r="1033" spans="1:2">
      <c r="A1033" s="14">
        <v>45409.155555999998</v>
      </c>
      <c r="B1033" s="15">
        <v>76.664154999999994</v>
      </c>
    </row>
    <row r="1034" spans="1:2">
      <c r="A1034" s="14">
        <v>45409.15625</v>
      </c>
      <c r="B1034" s="15">
        <v>76.441509999999994</v>
      </c>
    </row>
    <row r="1035" spans="1:2">
      <c r="A1035" s="14">
        <v>45409.156944000002</v>
      </c>
      <c r="B1035" s="15">
        <v>75.715349000000003</v>
      </c>
    </row>
    <row r="1036" spans="1:2">
      <c r="A1036" s="14">
        <v>45409.157638999997</v>
      </c>
      <c r="B1036" s="15">
        <v>75.711973</v>
      </c>
    </row>
    <row r="1037" spans="1:2">
      <c r="A1037" s="14">
        <v>45409.158332999999</v>
      </c>
      <c r="B1037" s="15">
        <v>75.856476999999998</v>
      </c>
    </row>
    <row r="1038" spans="1:2">
      <c r="A1038" s="14">
        <v>45409.159028000002</v>
      </c>
      <c r="B1038" s="15">
        <v>75.856196999999995</v>
      </c>
    </row>
    <row r="1039" spans="1:2">
      <c r="A1039" s="14">
        <v>45409.159721999997</v>
      </c>
      <c r="B1039" s="15">
        <v>76.306100999999998</v>
      </c>
    </row>
    <row r="1040" spans="1:2">
      <c r="A1040" s="14">
        <v>45409.160416999999</v>
      </c>
      <c r="B1040" s="15">
        <v>75.385677000000001</v>
      </c>
    </row>
    <row r="1041" spans="1:2">
      <c r="A1041" s="14">
        <v>45409.161111000001</v>
      </c>
      <c r="B1041" s="15">
        <v>75.394918000000004</v>
      </c>
    </row>
    <row r="1042" spans="1:2">
      <c r="A1042" s="14">
        <v>45409.161805999996</v>
      </c>
      <c r="B1042" s="15">
        <v>77.166383999999994</v>
      </c>
    </row>
    <row r="1043" spans="1:2">
      <c r="A1043" s="14">
        <v>45409.162499999999</v>
      </c>
      <c r="B1043" s="15">
        <v>75.686977999999996</v>
      </c>
    </row>
    <row r="1044" spans="1:2">
      <c r="A1044" s="14">
        <v>45409.163194000001</v>
      </c>
      <c r="B1044" s="15">
        <v>75.709030999999996</v>
      </c>
    </row>
    <row r="1045" spans="1:2">
      <c r="A1045" s="14">
        <v>45409.163889000003</v>
      </c>
      <c r="B1045" s="15">
        <v>76.351331000000002</v>
      </c>
    </row>
    <row r="1046" spans="1:2">
      <c r="A1046" s="14">
        <v>45409.164582999998</v>
      </c>
      <c r="B1046" s="15">
        <v>75.708152999999996</v>
      </c>
    </row>
    <row r="1047" spans="1:2">
      <c r="A1047" s="14">
        <v>45409.165278</v>
      </c>
      <c r="B1047" s="15">
        <v>76.539225999999999</v>
      </c>
    </row>
    <row r="1048" spans="1:2">
      <c r="A1048" s="14">
        <v>45409.165972000003</v>
      </c>
      <c r="B1048" s="15">
        <v>74.203841999999995</v>
      </c>
    </row>
    <row r="1049" spans="1:2">
      <c r="A1049" s="14">
        <v>45409.166666999998</v>
      </c>
      <c r="B1049" s="15">
        <v>75.015378999999996</v>
      </c>
    </row>
    <row r="1050" spans="1:2">
      <c r="A1050" s="14">
        <v>45409.167361</v>
      </c>
      <c r="B1050" s="15">
        <v>77.591549999999998</v>
      </c>
    </row>
    <row r="1051" spans="1:2">
      <c r="A1051" s="14">
        <v>45409.168056000002</v>
      </c>
      <c r="B1051" s="15">
        <v>73.765417999999997</v>
      </c>
    </row>
    <row r="1052" spans="1:2">
      <c r="A1052" s="14">
        <v>45409.168749999997</v>
      </c>
      <c r="B1052" s="15">
        <v>55.964056999999997</v>
      </c>
    </row>
    <row r="1053" spans="1:2">
      <c r="A1053" s="14">
        <v>45409.169443999999</v>
      </c>
      <c r="B1053" s="15">
        <v>56.957450999999999</v>
      </c>
    </row>
    <row r="1054" spans="1:2">
      <c r="A1054" s="14">
        <v>45409.170139000002</v>
      </c>
      <c r="B1054" s="15">
        <v>57.253639999999997</v>
      </c>
    </row>
    <row r="1055" spans="1:2">
      <c r="A1055" s="14">
        <v>45409.170832999996</v>
      </c>
      <c r="B1055" s="15">
        <v>57.445993000000001</v>
      </c>
    </row>
    <row r="1056" spans="1:2">
      <c r="A1056" s="14">
        <v>45409.171527999999</v>
      </c>
      <c r="B1056" s="15">
        <v>56.681226000000002</v>
      </c>
    </row>
    <row r="1057" spans="1:2">
      <c r="A1057" s="14">
        <v>45409.172222000001</v>
      </c>
      <c r="B1057" s="15">
        <v>56.001196</v>
      </c>
    </row>
    <row r="1058" spans="1:2">
      <c r="A1058" s="14">
        <v>45409.172917000004</v>
      </c>
      <c r="B1058" s="15">
        <v>55.656621999999999</v>
      </c>
    </row>
    <row r="1059" spans="1:2">
      <c r="A1059" s="14">
        <v>45409.173610999998</v>
      </c>
      <c r="B1059" s="15">
        <v>57.437932000000004</v>
      </c>
    </row>
    <row r="1060" spans="1:2">
      <c r="A1060" s="14">
        <v>45409.174306000001</v>
      </c>
      <c r="B1060" s="15">
        <v>57.020336</v>
      </c>
    </row>
    <row r="1061" spans="1:2">
      <c r="A1061" s="14">
        <v>45409.175000000003</v>
      </c>
      <c r="B1061" s="15">
        <v>54.711435999999999</v>
      </c>
    </row>
    <row r="1062" spans="1:2">
      <c r="A1062" s="14">
        <v>45409.175693999998</v>
      </c>
      <c r="B1062" s="15">
        <v>55.640661000000001</v>
      </c>
    </row>
    <row r="1063" spans="1:2">
      <c r="A1063" s="14">
        <v>45409.176389</v>
      </c>
      <c r="B1063" s="15">
        <v>57.226838999999998</v>
      </c>
    </row>
    <row r="1064" spans="1:2">
      <c r="A1064" s="14">
        <v>45409.177083000002</v>
      </c>
      <c r="B1064" s="15">
        <v>56.722470999999999</v>
      </c>
    </row>
    <row r="1065" spans="1:2">
      <c r="A1065" s="14">
        <v>45409.177777999997</v>
      </c>
      <c r="B1065" s="15">
        <v>55.883965000000003</v>
      </c>
    </row>
    <row r="1066" spans="1:2">
      <c r="A1066" s="14">
        <v>45409.178472</v>
      </c>
      <c r="B1066" s="15">
        <v>55.319150999999998</v>
      </c>
    </row>
    <row r="1067" spans="1:2">
      <c r="A1067" s="14">
        <v>45409.179167000002</v>
      </c>
      <c r="B1067" s="15">
        <v>57.008493999999999</v>
      </c>
    </row>
    <row r="1068" spans="1:2">
      <c r="A1068" s="14">
        <v>45409.179860999997</v>
      </c>
      <c r="B1068" s="15">
        <v>55.305959999999999</v>
      </c>
    </row>
    <row r="1069" spans="1:2">
      <c r="A1069" s="14">
        <v>45409.180555999999</v>
      </c>
      <c r="B1069" s="15">
        <v>55.580629999999999</v>
      </c>
    </row>
    <row r="1070" spans="1:2">
      <c r="A1070" s="14">
        <v>45409.181250000001</v>
      </c>
      <c r="B1070" s="15">
        <v>56.754311000000001</v>
      </c>
    </row>
    <row r="1071" spans="1:2">
      <c r="A1071" s="14">
        <v>45409.181944000004</v>
      </c>
      <c r="B1071" s="15">
        <v>57.651580000000003</v>
      </c>
    </row>
    <row r="1072" spans="1:2">
      <c r="A1072" s="14">
        <v>45409.182638999999</v>
      </c>
      <c r="B1072" s="15">
        <v>57.360889999999998</v>
      </c>
    </row>
    <row r="1073" spans="1:2">
      <c r="A1073" s="14">
        <v>45409.183333000001</v>
      </c>
      <c r="B1073" s="15">
        <v>57.581021999999997</v>
      </c>
    </row>
    <row r="1074" spans="1:2">
      <c r="A1074" s="14">
        <v>45409.184028000003</v>
      </c>
      <c r="B1074" s="15">
        <v>57.968966999999999</v>
      </c>
    </row>
    <row r="1075" spans="1:2">
      <c r="A1075" s="14">
        <v>45409.184721999998</v>
      </c>
      <c r="B1075" s="15">
        <v>56.232329999999997</v>
      </c>
    </row>
    <row r="1076" spans="1:2">
      <c r="A1076" s="14">
        <v>45409.185417000001</v>
      </c>
      <c r="B1076" s="15">
        <v>56.384894000000003</v>
      </c>
    </row>
    <row r="1077" spans="1:2">
      <c r="A1077" s="14">
        <v>45409.186111000003</v>
      </c>
      <c r="B1077" s="15">
        <v>58.011387999999997</v>
      </c>
    </row>
    <row r="1078" spans="1:2">
      <c r="A1078" s="14">
        <v>45409.186805999998</v>
      </c>
      <c r="B1078" s="15">
        <v>56.766703</v>
      </c>
    </row>
    <row r="1079" spans="1:2">
      <c r="A1079" s="14">
        <v>45409.1875</v>
      </c>
      <c r="B1079" s="15">
        <v>56.338814999999997</v>
      </c>
    </row>
    <row r="1080" spans="1:2">
      <c r="A1080" s="14">
        <v>45409.188194000002</v>
      </c>
      <c r="B1080" s="15">
        <v>56.766697999999998</v>
      </c>
    </row>
    <row r="1081" spans="1:2">
      <c r="A1081" s="14">
        <v>45409.188888999997</v>
      </c>
      <c r="B1081" s="15">
        <v>57.748134999999998</v>
      </c>
    </row>
    <row r="1082" spans="1:2">
      <c r="A1082" s="14">
        <v>45409.189582999999</v>
      </c>
      <c r="B1082" s="15">
        <v>57.751933999999999</v>
      </c>
    </row>
    <row r="1083" spans="1:2">
      <c r="A1083" s="14">
        <v>45409.190278000002</v>
      </c>
      <c r="B1083" s="15">
        <v>57.520023000000002</v>
      </c>
    </row>
    <row r="1084" spans="1:2">
      <c r="A1084" s="14">
        <v>45409.190971999997</v>
      </c>
      <c r="B1084" s="15">
        <v>56.439013000000003</v>
      </c>
    </row>
    <row r="1085" spans="1:2">
      <c r="A1085" s="14">
        <v>45409.191666999999</v>
      </c>
      <c r="B1085" s="15">
        <v>57.429192</v>
      </c>
    </row>
    <row r="1086" spans="1:2">
      <c r="A1086" s="14">
        <v>45409.192361000001</v>
      </c>
      <c r="B1086" s="15">
        <v>57.838752999999997</v>
      </c>
    </row>
    <row r="1087" spans="1:2">
      <c r="A1087" s="14">
        <v>45409.193055999996</v>
      </c>
      <c r="B1087" s="15">
        <v>58.131920000000001</v>
      </c>
    </row>
    <row r="1088" spans="1:2">
      <c r="A1088" s="14">
        <v>45409.193749999999</v>
      </c>
      <c r="B1088" s="15">
        <v>57.561428999999997</v>
      </c>
    </row>
    <row r="1089" spans="1:2">
      <c r="A1089" s="14">
        <v>45409.194444000001</v>
      </c>
      <c r="B1089" s="15">
        <v>57.747841999999999</v>
      </c>
    </row>
    <row r="1090" spans="1:2">
      <c r="A1090" s="14">
        <v>45409.195139000003</v>
      </c>
      <c r="B1090" s="15">
        <v>57.705168</v>
      </c>
    </row>
    <row r="1091" spans="1:2">
      <c r="A1091" s="14">
        <v>45409.195832999998</v>
      </c>
      <c r="B1091" s="15">
        <v>57.359191000000003</v>
      </c>
    </row>
    <row r="1092" spans="1:2">
      <c r="A1092" s="14">
        <v>45409.196528</v>
      </c>
      <c r="B1092" s="15">
        <v>58.134720000000002</v>
      </c>
    </row>
    <row r="1093" spans="1:2">
      <c r="A1093" s="14">
        <v>45409.197222000003</v>
      </c>
      <c r="B1093" s="15">
        <v>58.053393999999997</v>
      </c>
    </row>
    <row r="1094" spans="1:2">
      <c r="A1094" s="14">
        <v>45409.197916999998</v>
      </c>
      <c r="B1094" s="15">
        <v>58.366503000000002</v>
      </c>
    </row>
    <row r="1095" spans="1:2">
      <c r="A1095" s="14">
        <v>45409.198611</v>
      </c>
      <c r="B1095" s="15">
        <v>57.899154000000003</v>
      </c>
    </row>
    <row r="1096" spans="1:2">
      <c r="A1096" s="14">
        <v>45409.199306000002</v>
      </c>
      <c r="B1096" s="15">
        <v>58.382510000000003</v>
      </c>
    </row>
    <row r="1097" spans="1:2">
      <c r="A1097" s="14">
        <v>45409.2</v>
      </c>
      <c r="B1097" s="15">
        <v>58.957641000000002</v>
      </c>
    </row>
    <row r="1098" spans="1:2">
      <c r="A1098" s="14">
        <v>45409.200693999999</v>
      </c>
      <c r="B1098" s="15">
        <v>58.352811000000003</v>
      </c>
    </row>
    <row r="1099" spans="1:2">
      <c r="A1099" s="14">
        <v>45409.201389000002</v>
      </c>
      <c r="B1099" s="15">
        <v>57.866827999999998</v>
      </c>
    </row>
    <row r="1100" spans="1:2">
      <c r="A1100" s="14">
        <v>45409.202082999996</v>
      </c>
      <c r="B1100" s="15">
        <v>58.307099999999998</v>
      </c>
    </row>
    <row r="1101" spans="1:2">
      <c r="A1101" s="14">
        <v>45409.202777999999</v>
      </c>
      <c r="B1101" s="15">
        <v>58.563208000000003</v>
      </c>
    </row>
    <row r="1102" spans="1:2">
      <c r="A1102" s="14">
        <v>45409.203472000001</v>
      </c>
      <c r="B1102" s="15">
        <v>58.224158000000003</v>
      </c>
    </row>
    <row r="1103" spans="1:2">
      <c r="A1103" s="14">
        <v>45409.204167000004</v>
      </c>
      <c r="B1103" s="15">
        <v>58.763067999999997</v>
      </c>
    </row>
    <row r="1104" spans="1:2">
      <c r="A1104" s="14">
        <v>45409.204860999998</v>
      </c>
      <c r="B1104" s="15">
        <v>59.349916999999998</v>
      </c>
    </row>
    <row r="1105" spans="1:2">
      <c r="A1105" s="14">
        <v>45409.205556000001</v>
      </c>
      <c r="B1105" s="15">
        <v>57.203439000000003</v>
      </c>
    </row>
    <row r="1106" spans="1:2">
      <c r="A1106" s="14">
        <v>45409.206250000003</v>
      </c>
      <c r="B1106" s="15">
        <v>59.013787999999998</v>
      </c>
    </row>
    <row r="1107" spans="1:2">
      <c r="A1107" s="14">
        <v>45409.206943999998</v>
      </c>
      <c r="B1107" s="15">
        <v>58.503103000000003</v>
      </c>
    </row>
    <row r="1108" spans="1:2">
      <c r="A1108" s="14">
        <v>45409.207639</v>
      </c>
      <c r="B1108" s="15">
        <v>59.264657</v>
      </c>
    </row>
    <row r="1109" spans="1:2">
      <c r="A1109" s="14">
        <v>45409.208333000002</v>
      </c>
      <c r="B1109" s="15">
        <v>58.509576000000003</v>
      </c>
    </row>
    <row r="1110" spans="1:2">
      <c r="A1110" s="14">
        <v>45409.209027999997</v>
      </c>
      <c r="B1110" s="15">
        <v>58.128976999999999</v>
      </c>
    </row>
    <row r="1111" spans="1:2">
      <c r="A1111" s="14">
        <v>45409.209722</v>
      </c>
      <c r="B1111" s="15">
        <v>59.292971000000001</v>
      </c>
    </row>
    <row r="1112" spans="1:2">
      <c r="A1112" s="14">
        <v>45409.210417000002</v>
      </c>
      <c r="B1112" s="15">
        <v>58.434255999999998</v>
      </c>
    </row>
    <row r="1113" spans="1:2">
      <c r="A1113" s="14">
        <v>45409.211110999997</v>
      </c>
      <c r="B1113" s="15">
        <v>59.024783999999997</v>
      </c>
    </row>
    <row r="1114" spans="1:2">
      <c r="A1114" s="14">
        <v>45409.211805999999</v>
      </c>
      <c r="B1114" s="15">
        <v>59.822971000000003</v>
      </c>
    </row>
    <row r="1115" spans="1:2">
      <c r="A1115" s="14">
        <v>45409.212500000001</v>
      </c>
      <c r="B1115" s="15">
        <v>58.913939999999997</v>
      </c>
    </row>
    <row r="1116" spans="1:2">
      <c r="A1116" s="14">
        <v>45409.213194000004</v>
      </c>
      <c r="B1116" s="15">
        <v>58.559435000000001</v>
      </c>
    </row>
    <row r="1117" spans="1:2">
      <c r="A1117" s="14">
        <v>45409.213888999999</v>
      </c>
      <c r="B1117" s="15">
        <v>58.170633000000002</v>
      </c>
    </row>
    <row r="1118" spans="1:2">
      <c r="A1118" s="14">
        <v>45409.214583000001</v>
      </c>
      <c r="B1118" s="15">
        <v>59.629421999999998</v>
      </c>
    </row>
    <row r="1119" spans="1:2">
      <c r="A1119" s="14">
        <v>45409.215278000003</v>
      </c>
      <c r="B1119" s="15">
        <v>58.825600000000001</v>
      </c>
    </row>
    <row r="1120" spans="1:2">
      <c r="A1120" s="14">
        <v>45409.215971999998</v>
      </c>
      <c r="B1120" s="15">
        <v>58.258679000000001</v>
      </c>
    </row>
    <row r="1121" spans="1:2">
      <c r="A1121" s="14">
        <v>45409.216667000001</v>
      </c>
      <c r="B1121" s="15">
        <v>59.702565999999997</v>
      </c>
    </row>
    <row r="1122" spans="1:2">
      <c r="A1122" s="14">
        <v>45409.217361000003</v>
      </c>
      <c r="B1122" s="15">
        <v>58.165261000000001</v>
      </c>
    </row>
    <row r="1123" spans="1:2">
      <c r="A1123" s="14">
        <v>45409.218055999998</v>
      </c>
      <c r="B1123" s="15">
        <v>59.569859000000001</v>
      </c>
    </row>
    <row r="1124" spans="1:2">
      <c r="A1124" s="14">
        <v>45409.21875</v>
      </c>
      <c r="B1124" s="15">
        <v>59.420848999999997</v>
      </c>
    </row>
    <row r="1125" spans="1:2">
      <c r="A1125" s="14">
        <v>45409.219444000002</v>
      </c>
      <c r="B1125" s="15">
        <v>59.113641000000001</v>
      </c>
    </row>
    <row r="1126" spans="1:2">
      <c r="A1126" s="14">
        <v>45409.220138999997</v>
      </c>
      <c r="B1126" s="15">
        <v>59.607160999999998</v>
      </c>
    </row>
    <row r="1127" spans="1:2">
      <c r="A1127" s="14">
        <v>45409.220832999999</v>
      </c>
      <c r="B1127" s="15">
        <v>58.835040999999997</v>
      </c>
    </row>
    <row r="1128" spans="1:2">
      <c r="A1128" s="14">
        <v>45409.221528000002</v>
      </c>
      <c r="B1128" s="15">
        <v>58.720188</v>
      </c>
    </row>
    <row r="1129" spans="1:2">
      <c r="A1129" s="14">
        <v>45409.222221999997</v>
      </c>
      <c r="B1129" s="15">
        <v>60.026271999999999</v>
      </c>
    </row>
    <row r="1130" spans="1:2">
      <c r="A1130" s="14">
        <v>45409.222916999999</v>
      </c>
      <c r="B1130" s="15">
        <v>58.469625999999998</v>
      </c>
    </row>
    <row r="1131" spans="1:2">
      <c r="A1131" s="14">
        <v>45409.223611000001</v>
      </c>
      <c r="B1131" s="15">
        <v>59.273021</v>
      </c>
    </row>
    <row r="1132" spans="1:2">
      <c r="A1132" s="14">
        <v>45409.224305999996</v>
      </c>
      <c r="B1132" s="15">
        <v>58.783366999999998</v>
      </c>
    </row>
    <row r="1133" spans="1:2">
      <c r="A1133" s="14">
        <v>45409.224999999999</v>
      </c>
      <c r="B1133" s="15">
        <v>59.410769000000002</v>
      </c>
    </row>
    <row r="1134" spans="1:2">
      <c r="A1134" s="14">
        <v>45409.225694000001</v>
      </c>
      <c r="B1134" s="15">
        <v>59.288980000000002</v>
      </c>
    </row>
    <row r="1135" spans="1:2">
      <c r="A1135" s="14">
        <v>45409.226389000003</v>
      </c>
      <c r="B1135" s="15">
        <v>58.895432999999997</v>
      </c>
    </row>
    <row r="1136" spans="1:2">
      <c r="A1136" s="14">
        <v>45409.227082999998</v>
      </c>
      <c r="B1136" s="15">
        <v>58.677602999999998</v>
      </c>
    </row>
    <row r="1137" spans="1:2">
      <c r="A1137" s="14">
        <v>45409.227778</v>
      </c>
      <c r="B1137" s="15">
        <v>60.488222</v>
      </c>
    </row>
    <row r="1138" spans="1:2">
      <c r="A1138" s="14">
        <v>45409.228472000003</v>
      </c>
      <c r="B1138" s="15">
        <v>60.242353000000001</v>
      </c>
    </row>
    <row r="1139" spans="1:2">
      <c r="A1139" s="14">
        <v>45409.229166999998</v>
      </c>
      <c r="B1139" s="15">
        <v>60.091985999999999</v>
      </c>
    </row>
    <row r="1140" spans="1:2">
      <c r="A1140" s="14">
        <v>45409.229861</v>
      </c>
      <c r="B1140" s="15">
        <v>60.229275000000001</v>
      </c>
    </row>
    <row r="1141" spans="1:2">
      <c r="A1141" s="14">
        <v>45409.230556000002</v>
      </c>
      <c r="B1141" s="15">
        <v>60.091346000000001</v>
      </c>
    </row>
    <row r="1142" spans="1:2">
      <c r="A1142" s="14">
        <v>45409.231249999997</v>
      </c>
      <c r="B1142" s="15">
        <v>59.328465000000001</v>
      </c>
    </row>
    <row r="1143" spans="1:2">
      <c r="A1143" s="14">
        <v>45409.231943999999</v>
      </c>
      <c r="B1143" s="15">
        <v>60.353422000000002</v>
      </c>
    </row>
    <row r="1144" spans="1:2">
      <c r="A1144" s="14">
        <v>45409.232639000002</v>
      </c>
      <c r="B1144" s="15">
        <v>59.065407999999998</v>
      </c>
    </row>
    <row r="1145" spans="1:2">
      <c r="A1145" s="14">
        <v>45409.233332999996</v>
      </c>
      <c r="B1145" s="15">
        <v>60.487074999999997</v>
      </c>
    </row>
    <row r="1146" spans="1:2">
      <c r="A1146" s="14">
        <v>45409.234027999999</v>
      </c>
      <c r="B1146" s="15">
        <v>59.211008</v>
      </c>
    </row>
    <row r="1147" spans="1:2">
      <c r="A1147" s="14">
        <v>45409.234722000001</v>
      </c>
      <c r="B1147" s="15">
        <v>59.898631999999999</v>
      </c>
    </row>
    <row r="1148" spans="1:2">
      <c r="A1148" s="14">
        <v>45409.235417000004</v>
      </c>
      <c r="B1148" s="15">
        <v>59.729768999999997</v>
      </c>
    </row>
    <row r="1149" spans="1:2">
      <c r="A1149" s="14">
        <v>45409.236110999998</v>
      </c>
      <c r="B1149" s="15">
        <v>60.105462000000003</v>
      </c>
    </row>
    <row r="1150" spans="1:2">
      <c r="A1150" s="14">
        <v>45409.236806000001</v>
      </c>
      <c r="B1150" s="15">
        <v>59.235250999999998</v>
      </c>
    </row>
    <row r="1151" spans="1:2">
      <c r="A1151" s="14">
        <v>45409.237500000003</v>
      </c>
      <c r="B1151" s="15">
        <v>58.919206000000003</v>
      </c>
    </row>
    <row r="1152" spans="1:2">
      <c r="A1152" s="14">
        <v>45409.238193999998</v>
      </c>
      <c r="B1152" s="15">
        <v>59.780309000000003</v>
      </c>
    </row>
    <row r="1153" spans="1:2">
      <c r="A1153" s="14">
        <v>45409.238889</v>
      </c>
      <c r="B1153" s="15">
        <v>59.614407999999997</v>
      </c>
    </row>
    <row r="1154" spans="1:2">
      <c r="A1154" s="14">
        <v>45409.239583000002</v>
      </c>
      <c r="B1154" s="15">
        <v>60.303221999999998</v>
      </c>
    </row>
    <row r="1155" spans="1:2">
      <c r="A1155" s="14">
        <v>45409.240277999997</v>
      </c>
      <c r="B1155" s="15">
        <v>59.006607000000002</v>
      </c>
    </row>
    <row r="1156" spans="1:2">
      <c r="A1156" s="14">
        <v>45409.240972</v>
      </c>
      <c r="B1156" s="15">
        <v>59.958052000000002</v>
      </c>
    </row>
    <row r="1157" spans="1:2">
      <c r="A1157" s="14">
        <v>45409.241667000002</v>
      </c>
      <c r="B1157" s="15">
        <v>60.074733999999999</v>
      </c>
    </row>
    <row r="1158" spans="1:2">
      <c r="A1158" s="14">
        <v>45409.242360999997</v>
      </c>
      <c r="B1158" s="15">
        <v>59.741809000000003</v>
      </c>
    </row>
    <row r="1159" spans="1:2">
      <c r="A1159" s="14">
        <v>45409.243055999999</v>
      </c>
      <c r="B1159" s="15">
        <v>59.971628000000003</v>
      </c>
    </row>
    <row r="1160" spans="1:2">
      <c r="A1160" s="14">
        <v>45409.243750000001</v>
      </c>
      <c r="B1160" s="15">
        <v>60.25826</v>
      </c>
    </row>
    <row r="1161" spans="1:2">
      <c r="A1161" s="14">
        <v>45409.244444000004</v>
      </c>
      <c r="B1161" s="15">
        <v>59.933872000000001</v>
      </c>
    </row>
    <row r="1162" spans="1:2">
      <c r="A1162" s="14">
        <v>45409.245138999999</v>
      </c>
      <c r="B1162" s="15">
        <v>59.785017000000003</v>
      </c>
    </row>
    <row r="1163" spans="1:2">
      <c r="A1163" s="14">
        <v>45409.245833000001</v>
      </c>
      <c r="B1163" s="15">
        <v>59.555703999999999</v>
      </c>
    </row>
    <row r="1164" spans="1:2">
      <c r="A1164" s="14">
        <v>45409.246528000003</v>
      </c>
      <c r="B1164" s="15">
        <v>60.512844000000001</v>
      </c>
    </row>
    <row r="1165" spans="1:2">
      <c r="A1165" s="14">
        <v>45409.247221999998</v>
      </c>
      <c r="B1165" s="15">
        <v>58.119183</v>
      </c>
    </row>
    <row r="1166" spans="1:2">
      <c r="A1166" s="14">
        <v>45409.247917000001</v>
      </c>
      <c r="B1166" s="15">
        <v>60.878919000000003</v>
      </c>
    </row>
    <row r="1167" spans="1:2">
      <c r="A1167" s="14">
        <v>45409.248611000003</v>
      </c>
      <c r="B1167" s="15">
        <v>59.515054999999997</v>
      </c>
    </row>
    <row r="1168" spans="1:2">
      <c r="A1168" s="14">
        <v>45409.249305999998</v>
      </c>
      <c r="B1168" s="15">
        <v>60.599834000000001</v>
      </c>
    </row>
    <row r="1169" spans="1:2">
      <c r="A1169" s="14">
        <v>45409.25</v>
      </c>
      <c r="B1169" s="15">
        <v>61.756653999999997</v>
      </c>
    </row>
    <row r="1170" spans="1:2">
      <c r="A1170" s="14">
        <v>45409.250694000002</v>
      </c>
      <c r="B1170" s="15">
        <v>59.396113999999997</v>
      </c>
    </row>
    <row r="1171" spans="1:2">
      <c r="A1171" s="14">
        <v>45409.251388999997</v>
      </c>
      <c r="B1171" s="15">
        <v>60.475704999999998</v>
      </c>
    </row>
    <row r="1172" spans="1:2">
      <c r="A1172" s="14">
        <v>45409.252082999999</v>
      </c>
      <c r="B1172" s="15">
        <v>60.251249000000001</v>
      </c>
    </row>
    <row r="1173" spans="1:2">
      <c r="A1173" s="14">
        <v>45409.252778000002</v>
      </c>
      <c r="B1173" s="15">
        <v>60.832735</v>
      </c>
    </row>
    <row r="1174" spans="1:2">
      <c r="A1174" s="14">
        <v>45409.253471999997</v>
      </c>
      <c r="B1174" s="15">
        <v>60.227046000000001</v>
      </c>
    </row>
    <row r="1175" spans="1:2">
      <c r="A1175" s="14">
        <v>45409.254166999999</v>
      </c>
      <c r="B1175" s="15">
        <v>59.439630999999999</v>
      </c>
    </row>
    <row r="1176" spans="1:2">
      <c r="A1176" s="14">
        <v>45409.254861000001</v>
      </c>
      <c r="B1176" s="15">
        <v>60.637099999999997</v>
      </c>
    </row>
    <row r="1177" spans="1:2">
      <c r="A1177" s="14">
        <v>45409.255555999996</v>
      </c>
      <c r="B1177" s="15">
        <v>59.407553</v>
      </c>
    </row>
    <row r="1178" spans="1:2">
      <c r="A1178" s="14">
        <v>45409.256249999999</v>
      </c>
      <c r="B1178" s="15">
        <v>60.882921000000003</v>
      </c>
    </row>
    <row r="1179" spans="1:2">
      <c r="A1179" s="14">
        <v>45409.256944000001</v>
      </c>
      <c r="B1179" s="15">
        <v>59.988900000000001</v>
      </c>
    </row>
    <row r="1180" spans="1:2">
      <c r="A1180" s="14">
        <v>45409.257639000003</v>
      </c>
      <c r="B1180" s="15">
        <v>61.285173</v>
      </c>
    </row>
    <row r="1181" spans="1:2">
      <c r="A1181" s="14">
        <v>45409.258332999998</v>
      </c>
      <c r="B1181" s="15">
        <v>59.514570999999997</v>
      </c>
    </row>
    <row r="1182" spans="1:2">
      <c r="A1182" s="14">
        <v>45409.259028</v>
      </c>
      <c r="B1182" s="15">
        <v>60.155154000000003</v>
      </c>
    </row>
    <row r="1183" spans="1:2">
      <c r="A1183" s="14">
        <v>45409.259722000003</v>
      </c>
      <c r="B1183" s="15">
        <v>59.805190000000003</v>
      </c>
    </row>
    <row r="1184" spans="1:2">
      <c r="A1184" s="14">
        <v>45409.260416999998</v>
      </c>
      <c r="B1184" s="15">
        <v>60.869804999999999</v>
      </c>
    </row>
    <row r="1185" spans="1:2">
      <c r="A1185" s="14">
        <v>45409.261111</v>
      </c>
      <c r="B1185" s="15">
        <v>60.373778999999999</v>
      </c>
    </row>
    <row r="1186" spans="1:2">
      <c r="A1186" s="14">
        <v>45409.261806000002</v>
      </c>
      <c r="B1186" s="15">
        <v>60.058329000000001</v>
      </c>
    </row>
    <row r="1187" spans="1:2">
      <c r="A1187" s="14">
        <v>45409.262499999997</v>
      </c>
      <c r="B1187" s="15">
        <v>60.322121000000003</v>
      </c>
    </row>
    <row r="1188" spans="1:2">
      <c r="A1188" s="14">
        <v>45409.263193999999</v>
      </c>
      <c r="B1188" s="15">
        <v>60.004043000000003</v>
      </c>
    </row>
    <row r="1189" spans="1:2">
      <c r="A1189" s="14">
        <v>45409.263889000002</v>
      </c>
      <c r="B1189" s="15">
        <v>59.990566999999999</v>
      </c>
    </row>
    <row r="1190" spans="1:2">
      <c r="A1190" s="14">
        <v>45409.264582999996</v>
      </c>
      <c r="B1190" s="15">
        <v>60.425986000000002</v>
      </c>
    </row>
    <row r="1191" spans="1:2">
      <c r="A1191" s="14">
        <v>45409.265277999999</v>
      </c>
      <c r="B1191" s="15">
        <v>59.776679999999999</v>
      </c>
    </row>
    <row r="1192" spans="1:2">
      <c r="A1192" s="14">
        <v>45409.265972000001</v>
      </c>
      <c r="B1192" s="15">
        <v>60.665208</v>
      </c>
    </row>
    <row r="1193" spans="1:2">
      <c r="A1193" s="14">
        <v>45409.266667000004</v>
      </c>
      <c r="B1193" s="15">
        <v>61.011639000000002</v>
      </c>
    </row>
    <row r="1194" spans="1:2">
      <c r="A1194" s="14">
        <v>45409.267360999998</v>
      </c>
      <c r="B1194" s="15">
        <v>61.338461000000002</v>
      </c>
    </row>
    <row r="1195" spans="1:2">
      <c r="A1195" s="14">
        <v>45409.268056000001</v>
      </c>
      <c r="B1195" s="15">
        <v>60.303812999999998</v>
      </c>
    </row>
    <row r="1196" spans="1:2">
      <c r="A1196" s="14">
        <v>45409.268750000003</v>
      </c>
      <c r="B1196" s="15">
        <v>61.520826999999997</v>
      </c>
    </row>
    <row r="1197" spans="1:2">
      <c r="A1197" s="14">
        <v>45409.269443999998</v>
      </c>
      <c r="B1197" s="15">
        <v>61.286338000000001</v>
      </c>
    </row>
    <row r="1198" spans="1:2">
      <c r="A1198" s="14">
        <v>45409.270139</v>
      </c>
      <c r="B1198" s="15">
        <v>60.906028999999997</v>
      </c>
    </row>
    <row r="1199" spans="1:2">
      <c r="A1199" s="14">
        <v>45409.270833000002</v>
      </c>
      <c r="B1199" s="15">
        <v>59.950789</v>
      </c>
    </row>
    <row r="1200" spans="1:2">
      <c r="A1200" s="14">
        <v>45409.271527999997</v>
      </c>
      <c r="B1200" s="15">
        <v>60.884887999999997</v>
      </c>
    </row>
    <row r="1201" spans="1:2">
      <c r="A1201" s="14">
        <v>45409.272222</v>
      </c>
      <c r="B1201" s="15">
        <v>61.381875999999998</v>
      </c>
    </row>
    <row r="1202" spans="1:2">
      <c r="A1202" s="14">
        <v>45409.272917000002</v>
      </c>
      <c r="B1202" s="15">
        <v>60.919263000000001</v>
      </c>
    </row>
    <row r="1203" spans="1:2">
      <c r="A1203" s="14">
        <v>45409.273610999997</v>
      </c>
      <c r="B1203" s="15">
        <v>61.177390000000003</v>
      </c>
    </row>
    <row r="1204" spans="1:2">
      <c r="A1204" s="14">
        <v>45409.274305999999</v>
      </c>
      <c r="B1204" s="15">
        <v>60.844462999999998</v>
      </c>
    </row>
    <row r="1205" spans="1:2">
      <c r="A1205" s="14">
        <v>45409.275000000001</v>
      </c>
      <c r="B1205" s="15">
        <v>60.575052999999997</v>
      </c>
    </row>
    <row r="1206" spans="1:2">
      <c r="A1206" s="14">
        <v>45409.275694000004</v>
      </c>
      <c r="B1206" s="15">
        <v>60.326957</v>
      </c>
    </row>
    <row r="1207" spans="1:2">
      <c r="A1207" s="14">
        <v>45409.276388999999</v>
      </c>
      <c r="B1207" s="15">
        <v>59.767310000000002</v>
      </c>
    </row>
    <row r="1208" spans="1:2">
      <c r="A1208" s="14">
        <v>45409.277083000001</v>
      </c>
      <c r="B1208" s="15">
        <v>60.586190000000002</v>
      </c>
    </row>
    <row r="1209" spans="1:2">
      <c r="A1209" s="14">
        <v>45409.277778000003</v>
      </c>
      <c r="B1209" s="15">
        <v>60.728203999999998</v>
      </c>
    </row>
    <row r="1210" spans="1:2">
      <c r="A1210" s="14">
        <v>45409.278471999998</v>
      </c>
      <c r="B1210" s="15">
        <v>60.979533000000004</v>
      </c>
    </row>
    <row r="1211" spans="1:2">
      <c r="A1211" s="14">
        <v>45409.279167000001</v>
      </c>
      <c r="B1211" s="15">
        <v>60.270854</v>
      </c>
    </row>
    <row r="1212" spans="1:2">
      <c r="A1212" s="14">
        <v>45409.279861000003</v>
      </c>
      <c r="B1212" s="15">
        <v>61.055337000000002</v>
      </c>
    </row>
    <row r="1213" spans="1:2">
      <c r="A1213" s="14">
        <v>45409.280555999998</v>
      </c>
      <c r="B1213" s="15">
        <v>60.473877999999999</v>
      </c>
    </row>
    <row r="1214" spans="1:2">
      <c r="A1214" s="14">
        <v>45409.28125</v>
      </c>
      <c r="B1214" s="15">
        <v>61.061287</v>
      </c>
    </row>
    <row r="1215" spans="1:2">
      <c r="A1215" s="14">
        <v>45409.281944000002</v>
      </c>
      <c r="B1215" s="15">
        <v>60.597422999999999</v>
      </c>
    </row>
    <row r="1216" spans="1:2">
      <c r="A1216" s="14">
        <v>45409.282638999997</v>
      </c>
      <c r="B1216" s="15">
        <v>60.842112</v>
      </c>
    </row>
    <row r="1217" spans="1:2">
      <c r="A1217" s="14">
        <v>45409.283332999999</v>
      </c>
      <c r="B1217" s="15">
        <v>60.133682999999998</v>
      </c>
    </row>
    <row r="1218" spans="1:2">
      <c r="A1218" s="14">
        <v>45409.284028000002</v>
      </c>
      <c r="B1218" s="15">
        <v>61.005254999999998</v>
      </c>
    </row>
    <row r="1219" spans="1:2">
      <c r="A1219" s="14">
        <v>45409.284721999997</v>
      </c>
      <c r="B1219" s="15">
        <v>61.070253999999998</v>
      </c>
    </row>
    <row r="1220" spans="1:2">
      <c r="A1220" s="14">
        <v>45409.285416999999</v>
      </c>
      <c r="B1220" s="15">
        <v>61.011946999999999</v>
      </c>
    </row>
    <row r="1221" spans="1:2">
      <c r="A1221" s="14">
        <v>45409.286111000001</v>
      </c>
      <c r="B1221" s="15">
        <v>60.182304000000002</v>
      </c>
    </row>
    <row r="1222" spans="1:2">
      <c r="A1222" s="14">
        <v>45409.286805999996</v>
      </c>
      <c r="B1222" s="15">
        <v>61.439821000000002</v>
      </c>
    </row>
    <row r="1223" spans="1:2">
      <c r="A1223" s="14">
        <v>45409.287499999999</v>
      </c>
      <c r="B1223" s="15">
        <v>61.098146</v>
      </c>
    </row>
    <row r="1224" spans="1:2">
      <c r="A1224" s="14">
        <v>45409.288194000001</v>
      </c>
      <c r="B1224" s="15">
        <v>60.776643</v>
      </c>
    </row>
    <row r="1225" spans="1:2">
      <c r="A1225" s="14">
        <v>45409.288889000003</v>
      </c>
      <c r="B1225" s="15">
        <v>60.831780000000002</v>
      </c>
    </row>
    <row r="1226" spans="1:2">
      <c r="A1226" s="14">
        <v>45409.289582999998</v>
      </c>
      <c r="B1226" s="15">
        <v>60.566467000000003</v>
      </c>
    </row>
    <row r="1227" spans="1:2">
      <c r="A1227" s="14">
        <v>45409.290278</v>
      </c>
      <c r="B1227" s="15">
        <v>60.550333000000002</v>
      </c>
    </row>
    <row r="1228" spans="1:2">
      <c r="A1228" s="14">
        <v>45409.290972000003</v>
      </c>
      <c r="B1228" s="15">
        <v>62.013579</v>
      </c>
    </row>
    <row r="1229" spans="1:2">
      <c r="A1229" s="14">
        <v>45409.291666999998</v>
      </c>
      <c r="B1229" s="15">
        <v>60.984445000000001</v>
      </c>
    </row>
    <row r="1230" spans="1:2">
      <c r="A1230" s="14">
        <v>45409.292361</v>
      </c>
      <c r="B1230" s="15">
        <v>61.00779</v>
      </c>
    </row>
    <row r="1231" spans="1:2">
      <c r="A1231" s="14">
        <v>45409.293056000002</v>
      </c>
      <c r="B1231" s="15">
        <v>60.700415999999997</v>
      </c>
    </row>
    <row r="1232" spans="1:2">
      <c r="A1232" s="14">
        <v>45409.293749999997</v>
      </c>
      <c r="B1232" s="15">
        <v>61.308056000000001</v>
      </c>
    </row>
    <row r="1233" spans="1:2">
      <c r="A1233" s="14">
        <v>45409.294443999999</v>
      </c>
      <c r="B1233" s="15">
        <v>60.978960000000001</v>
      </c>
    </row>
    <row r="1234" spans="1:2">
      <c r="A1234" s="14">
        <v>45409.295139000002</v>
      </c>
      <c r="B1234" s="15">
        <v>60.646453000000001</v>
      </c>
    </row>
    <row r="1235" spans="1:2">
      <c r="A1235" s="14">
        <v>45409.295832999996</v>
      </c>
      <c r="B1235" s="15">
        <v>61.070694000000003</v>
      </c>
    </row>
    <row r="1236" spans="1:2">
      <c r="A1236" s="14">
        <v>45409.296527999999</v>
      </c>
      <c r="B1236" s="15">
        <v>61.372008999999998</v>
      </c>
    </row>
    <row r="1237" spans="1:2">
      <c r="A1237" s="14">
        <v>45409.297222000001</v>
      </c>
      <c r="B1237" s="15">
        <v>60.547367000000001</v>
      </c>
    </row>
    <row r="1238" spans="1:2">
      <c r="A1238" s="14">
        <v>45409.297917000004</v>
      </c>
      <c r="B1238" s="15">
        <v>61.081682000000001</v>
      </c>
    </row>
    <row r="1239" spans="1:2">
      <c r="A1239" s="14">
        <v>45409.298610999998</v>
      </c>
      <c r="B1239" s="15">
        <v>45.617525999999998</v>
      </c>
    </row>
    <row r="1240" spans="1:2">
      <c r="A1240" s="14">
        <v>45409.299306000001</v>
      </c>
      <c r="B1240" s="15">
        <v>29.472882999999999</v>
      </c>
    </row>
    <row r="1241" spans="1:2">
      <c r="A1241" s="14">
        <v>45409.3</v>
      </c>
      <c r="B1241" s="15">
        <v>30.462111</v>
      </c>
    </row>
    <row r="1242" spans="1:2">
      <c r="A1242" s="14">
        <v>45409.300693999998</v>
      </c>
      <c r="B1242" s="15">
        <v>30.760760999999999</v>
      </c>
    </row>
    <row r="1243" spans="1:2">
      <c r="A1243" s="14">
        <v>45409.301389</v>
      </c>
      <c r="B1243" s="15">
        <v>30.186754000000001</v>
      </c>
    </row>
    <row r="1244" spans="1:2">
      <c r="A1244" s="14">
        <v>45409.302083000002</v>
      </c>
      <c r="B1244" s="15">
        <v>30.144096999999999</v>
      </c>
    </row>
    <row r="1245" spans="1:2">
      <c r="A1245" s="14">
        <v>45409.302777999997</v>
      </c>
      <c r="B1245" s="15">
        <v>30.239374999999999</v>
      </c>
    </row>
    <row r="1246" spans="1:2">
      <c r="A1246" s="14">
        <v>45409.303472</v>
      </c>
      <c r="B1246" s="15">
        <v>30.233218999999998</v>
      </c>
    </row>
    <row r="1247" spans="1:2">
      <c r="A1247" s="14">
        <v>45409.304167000002</v>
      </c>
      <c r="B1247" s="15">
        <v>30.819966999999998</v>
      </c>
    </row>
    <row r="1248" spans="1:2">
      <c r="A1248" s="14">
        <v>45409.304860999997</v>
      </c>
      <c r="B1248" s="15">
        <v>29.990431000000001</v>
      </c>
    </row>
    <row r="1249" spans="1:2">
      <c r="A1249" s="14">
        <v>45409.305555999999</v>
      </c>
      <c r="B1249" s="15">
        <v>30.587955000000001</v>
      </c>
    </row>
    <row r="1250" spans="1:2">
      <c r="A1250" s="14">
        <v>45409.306250000001</v>
      </c>
      <c r="B1250" s="15">
        <v>30.664528000000001</v>
      </c>
    </row>
    <row r="1251" spans="1:2">
      <c r="A1251" s="14">
        <v>45409.306944000004</v>
      </c>
      <c r="B1251" s="15">
        <v>30.952418999999999</v>
      </c>
    </row>
    <row r="1252" spans="1:2">
      <c r="A1252" s="14">
        <v>45409.307638999999</v>
      </c>
      <c r="B1252" s="15">
        <v>30.275300999999999</v>
      </c>
    </row>
    <row r="1253" spans="1:2">
      <c r="A1253" s="14">
        <v>45409.308333000001</v>
      </c>
      <c r="B1253" s="15">
        <v>30.160426999999999</v>
      </c>
    </row>
    <row r="1254" spans="1:2">
      <c r="A1254" s="14">
        <v>45409.309028000003</v>
      </c>
      <c r="B1254" s="15">
        <v>30.7102</v>
      </c>
    </row>
    <row r="1255" spans="1:2">
      <c r="A1255" s="14">
        <v>45409.309721999998</v>
      </c>
      <c r="B1255" s="15">
        <v>30.426860000000001</v>
      </c>
    </row>
    <row r="1256" spans="1:2">
      <c r="A1256" s="14">
        <v>45409.310417000001</v>
      </c>
      <c r="B1256" s="15">
        <v>30.561160000000001</v>
      </c>
    </row>
    <row r="1257" spans="1:2">
      <c r="A1257" s="14">
        <v>45409.311111000003</v>
      </c>
      <c r="B1257" s="15">
        <v>30.155154</v>
      </c>
    </row>
    <row r="1258" spans="1:2">
      <c r="A1258" s="14">
        <v>45409.311805999998</v>
      </c>
      <c r="B1258" s="15">
        <v>30.285571999999998</v>
      </c>
    </row>
    <row r="1259" spans="1:2">
      <c r="A1259" s="14">
        <v>45409.3125</v>
      </c>
      <c r="B1259" s="15">
        <v>30.583257</v>
      </c>
    </row>
    <row r="1260" spans="1:2">
      <c r="A1260" s="14">
        <v>45409.313194000002</v>
      </c>
      <c r="B1260" s="15">
        <v>30.026287</v>
      </c>
    </row>
    <row r="1261" spans="1:2">
      <c r="A1261" s="14">
        <v>45409.313888999997</v>
      </c>
      <c r="B1261" s="15">
        <v>30.282513000000002</v>
      </c>
    </row>
    <row r="1262" spans="1:2">
      <c r="A1262" s="14">
        <v>45409.314582999999</v>
      </c>
      <c r="B1262" s="15">
        <v>30.621310999999999</v>
      </c>
    </row>
    <row r="1263" spans="1:2">
      <c r="A1263" s="14">
        <v>45409.315278000002</v>
      </c>
      <c r="B1263" s="15">
        <v>30.616893999999998</v>
      </c>
    </row>
    <row r="1264" spans="1:2">
      <c r="A1264" s="14">
        <v>45409.315971999997</v>
      </c>
      <c r="B1264" s="15">
        <v>30.820682999999999</v>
      </c>
    </row>
    <row r="1265" spans="1:2">
      <c r="A1265" s="14">
        <v>45409.316666999999</v>
      </c>
      <c r="B1265" s="15">
        <v>30.726869000000001</v>
      </c>
    </row>
    <row r="1266" spans="1:2">
      <c r="A1266" s="14">
        <v>45409.317361000001</v>
      </c>
      <c r="B1266" s="15">
        <v>30.491257999999998</v>
      </c>
    </row>
    <row r="1267" spans="1:2">
      <c r="A1267" s="14">
        <v>45409.318055999996</v>
      </c>
      <c r="B1267" s="15">
        <v>30.188074</v>
      </c>
    </row>
    <row r="1268" spans="1:2">
      <c r="A1268" s="14">
        <v>45409.318749999999</v>
      </c>
      <c r="B1268" s="15">
        <v>30.532862999999999</v>
      </c>
    </row>
    <row r="1269" spans="1:2">
      <c r="A1269" s="14">
        <v>45409.319444000001</v>
      </c>
      <c r="B1269" s="15">
        <v>31.389517000000001</v>
      </c>
    </row>
    <row r="1270" spans="1:2">
      <c r="A1270" s="14">
        <v>45409.320139000003</v>
      </c>
      <c r="B1270" s="15">
        <v>31.169855999999999</v>
      </c>
    </row>
    <row r="1271" spans="1:2">
      <c r="A1271" s="14">
        <v>45409.320832999998</v>
      </c>
      <c r="B1271" s="15">
        <v>30.085189</v>
      </c>
    </row>
    <row r="1272" spans="1:2">
      <c r="A1272" s="14">
        <v>45409.321528</v>
      </c>
      <c r="B1272" s="15">
        <v>30.229513000000001</v>
      </c>
    </row>
    <row r="1273" spans="1:2">
      <c r="A1273" s="14">
        <v>45409.322222000003</v>
      </c>
      <c r="B1273" s="15">
        <v>30.534858</v>
      </c>
    </row>
    <row r="1274" spans="1:2">
      <c r="A1274" s="14">
        <v>45409.322916999998</v>
      </c>
      <c r="B1274" s="15">
        <v>30.254985000000001</v>
      </c>
    </row>
    <row r="1275" spans="1:2">
      <c r="A1275" s="14">
        <v>45409.323611</v>
      </c>
      <c r="B1275" s="15">
        <v>31.031775</v>
      </c>
    </row>
    <row r="1276" spans="1:2">
      <c r="A1276" s="14">
        <v>45409.324306000002</v>
      </c>
      <c r="B1276" s="15">
        <v>30.897091</v>
      </c>
    </row>
    <row r="1277" spans="1:2">
      <c r="A1277" s="14">
        <v>45409.324999999997</v>
      </c>
      <c r="B1277" s="15">
        <v>30.530062999999998</v>
      </c>
    </row>
    <row r="1278" spans="1:2">
      <c r="A1278" s="14">
        <v>45409.325693999999</v>
      </c>
      <c r="B1278" s="15">
        <v>30.894722999999999</v>
      </c>
    </row>
    <row r="1279" spans="1:2">
      <c r="A1279" s="14">
        <v>45409.326389000002</v>
      </c>
      <c r="B1279" s="15">
        <v>30.222615999999999</v>
      </c>
    </row>
    <row r="1280" spans="1:2">
      <c r="A1280" s="14">
        <v>45409.327082999996</v>
      </c>
      <c r="B1280" s="15">
        <v>30.615174</v>
      </c>
    </row>
    <row r="1281" spans="1:2">
      <c r="A1281" s="14">
        <v>45409.327777999999</v>
      </c>
      <c r="B1281" s="15">
        <v>30.463272</v>
      </c>
    </row>
    <row r="1282" spans="1:2">
      <c r="A1282" s="14">
        <v>45409.328472000001</v>
      </c>
      <c r="B1282" s="15">
        <v>30.151140000000002</v>
      </c>
    </row>
    <row r="1283" spans="1:2">
      <c r="A1283" s="14">
        <v>45409.329167000004</v>
      </c>
      <c r="B1283" s="15">
        <v>30.46819</v>
      </c>
    </row>
    <row r="1284" spans="1:2">
      <c r="A1284" s="14">
        <v>45409.329860999998</v>
      </c>
      <c r="B1284" s="15">
        <v>30.861404</v>
      </c>
    </row>
    <row r="1285" spans="1:2">
      <c r="A1285" s="14">
        <v>45409.330556000001</v>
      </c>
      <c r="B1285" s="15">
        <v>30.624089000000001</v>
      </c>
    </row>
    <row r="1286" spans="1:2">
      <c r="A1286" s="14">
        <v>45409.331250000003</v>
      </c>
      <c r="B1286" s="15">
        <v>30.637039000000001</v>
      </c>
    </row>
    <row r="1287" spans="1:2">
      <c r="A1287" s="14">
        <v>45409.331943999998</v>
      </c>
      <c r="B1287" s="15">
        <v>30.39555</v>
      </c>
    </row>
    <row r="1288" spans="1:2">
      <c r="A1288" s="14">
        <v>45409.332639</v>
      </c>
      <c r="B1288" s="15">
        <v>30.328887000000002</v>
      </c>
    </row>
    <row r="1289" spans="1:2">
      <c r="A1289" s="14">
        <v>45409.333333000002</v>
      </c>
      <c r="B1289" s="15">
        <v>30.185092999999998</v>
      </c>
    </row>
    <row r="1290" spans="1:2">
      <c r="A1290" s="14">
        <v>45409.334027999997</v>
      </c>
      <c r="B1290" s="15">
        <v>31.013712000000002</v>
      </c>
    </row>
    <row r="1291" spans="1:2">
      <c r="A1291" s="14">
        <v>45409.334722</v>
      </c>
      <c r="B1291" s="15">
        <v>30.591659</v>
      </c>
    </row>
    <row r="1292" spans="1:2">
      <c r="A1292" s="14">
        <v>45409.335417000002</v>
      </c>
      <c r="B1292" s="15">
        <v>30.651423000000001</v>
      </c>
    </row>
    <row r="1293" spans="1:2">
      <c r="A1293" s="14">
        <v>45409.336110999997</v>
      </c>
      <c r="B1293" s="15">
        <v>30.265816999999998</v>
      </c>
    </row>
    <row r="1294" spans="1:2">
      <c r="A1294" s="14">
        <v>45409.336805999999</v>
      </c>
      <c r="B1294" s="15">
        <v>30.656096000000002</v>
      </c>
    </row>
    <row r="1295" spans="1:2">
      <c r="A1295" s="14">
        <v>45409.337500000001</v>
      </c>
      <c r="B1295" s="15">
        <v>30.501669</v>
      </c>
    </row>
    <row r="1296" spans="1:2">
      <c r="A1296" s="14">
        <v>45409.338194000004</v>
      </c>
      <c r="B1296" s="15">
        <v>30.952262999999999</v>
      </c>
    </row>
    <row r="1297" spans="1:2">
      <c r="A1297" s="14">
        <v>45409.338888999999</v>
      </c>
      <c r="B1297" s="15">
        <v>30.504621</v>
      </c>
    </row>
    <row r="1298" spans="1:2">
      <c r="A1298" s="14">
        <v>45409.339583000001</v>
      </c>
      <c r="B1298" s="15">
        <v>30.659987999999998</v>
      </c>
    </row>
    <row r="1299" spans="1:2">
      <c r="A1299" s="14">
        <v>45409.340278000003</v>
      </c>
      <c r="B1299" s="15">
        <v>31.159154000000001</v>
      </c>
    </row>
    <row r="1300" spans="1:2">
      <c r="A1300" s="14">
        <v>45409.340971999998</v>
      </c>
      <c r="B1300" s="15">
        <v>30.781224999999999</v>
      </c>
    </row>
    <row r="1301" spans="1:2">
      <c r="A1301" s="14">
        <v>45409.341667000001</v>
      </c>
      <c r="B1301" s="15">
        <v>30.893384000000001</v>
      </c>
    </row>
    <row r="1302" spans="1:2">
      <c r="A1302" s="14">
        <v>45409.342361000003</v>
      </c>
      <c r="B1302" s="15">
        <v>30.216417</v>
      </c>
    </row>
    <row r="1303" spans="1:2">
      <c r="A1303" s="14">
        <v>45409.343055999998</v>
      </c>
      <c r="B1303" s="15">
        <v>30.346733</v>
      </c>
    </row>
    <row r="1304" spans="1:2">
      <c r="A1304" s="14">
        <v>45409.34375</v>
      </c>
      <c r="B1304" s="15">
        <v>30.438407999999999</v>
      </c>
    </row>
    <row r="1305" spans="1:2">
      <c r="A1305" s="14">
        <v>45409.344444000002</v>
      </c>
      <c r="B1305" s="15">
        <v>30.369627999999999</v>
      </c>
    </row>
    <row r="1306" spans="1:2">
      <c r="A1306" s="14">
        <v>45409.345138999997</v>
      </c>
      <c r="B1306" s="15">
        <v>30.449262000000001</v>
      </c>
    </row>
    <row r="1307" spans="1:2">
      <c r="A1307" s="14">
        <v>45409.345832999999</v>
      </c>
      <c r="B1307" s="15">
        <v>29.939145</v>
      </c>
    </row>
    <row r="1308" spans="1:2">
      <c r="A1308" s="14">
        <v>45409.346528000002</v>
      </c>
      <c r="B1308" s="15">
        <v>30.847244</v>
      </c>
    </row>
    <row r="1309" spans="1:2">
      <c r="A1309" s="14">
        <v>45409.347221999997</v>
      </c>
      <c r="B1309" s="15">
        <v>29.611391999999999</v>
      </c>
    </row>
    <row r="1310" spans="1:2">
      <c r="A1310" s="14">
        <v>45409.347916999999</v>
      </c>
      <c r="B1310" s="15">
        <v>31.303076000000001</v>
      </c>
    </row>
    <row r="1311" spans="1:2">
      <c r="A1311" s="14">
        <v>45409.348611000001</v>
      </c>
      <c r="B1311" s="15">
        <v>30.469186000000001</v>
      </c>
    </row>
    <row r="1312" spans="1:2">
      <c r="A1312" s="14">
        <v>45409.349305999996</v>
      </c>
      <c r="B1312" s="15">
        <v>31.013752</v>
      </c>
    </row>
    <row r="1313" spans="1:2">
      <c r="A1313" s="14">
        <v>45409.35</v>
      </c>
      <c r="B1313" s="15">
        <v>30.349556</v>
      </c>
    </row>
    <row r="1314" spans="1:2">
      <c r="A1314" s="14">
        <v>45409.350694000001</v>
      </c>
      <c r="B1314" s="15">
        <v>30.413160999999999</v>
      </c>
    </row>
    <row r="1315" spans="1:2">
      <c r="A1315" s="14">
        <v>45409.351389000003</v>
      </c>
      <c r="B1315" s="15">
        <v>30.553286</v>
      </c>
    </row>
    <row r="1316" spans="1:2">
      <c r="A1316" s="14">
        <v>45409.352082999998</v>
      </c>
      <c r="B1316" s="15">
        <v>30.811592000000001</v>
      </c>
    </row>
    <row r="1317" spans="1:2">
      <c r="A1317" s="14">
        <v>45409.352778</v>
      </c>
      <c r="B1317" s="15">
        <v>30.903658</v>
      </c>
    </row>
    <row r="1318" spans="1:2">
      <c r="A1318" s="14">
        <v>45409.353472000003</v>
      </c>
      <c r="B1318" s="15">
        <v>30.246219</v>
      </c>
    </row>
    <row r="1319" spans="1:2">
      <c r="A1319" s="14">
        <v>45409.354166999998</v>
      </c>
      <c r="B1319" s="15">
        <v>31.177199999999999</v>
      </c>
    </row>
    <row r="1320" spans="1:2">
      <c r="A1320" s="14">
        <v>45409.354861</v>
      </c>
      <c r="B1320" s="15">
        <v>30.912959000000001</v>
      </c>
    </row>
    <row r="1321" spans="1:2">
      <c r="A1321" s="14">
        <v>45409.355556000002</v>
      </c>
      <c r="B1321" s="15">
        <v>30.932261</v>
      </c>
    </row>
    <row r="1322" spans="1:2">
      <c r="A1322" s="14">
        <v>45409.356249999997</v>
      </c>
      <c r="B1322" s="15">
        <v>30.63008</v>
      </c>
    </row>
    <row r="1323" spans="1:2">
      <c r="A1323" s="14">
        <v>45409.356943999999</v>
      </c>
      <c r="B1323" s="15">
        <v>30.273486999999999</v>
      </c>
    </row>
    <row r="1324" spans="1:2">
      <c r="A1324" s="14">
        <v>45409.357639000002</v>
      </c>
      <c r="B1324" s="15">
        <v>30.755966999999998</v>
      </c>
    </row>
    <row r="1325" spans="1:2">
      <c r="A1325" s="14">
        <v>45409.358332999996</v>
      </c>
      <c r="B1325" s="15">
        <v>31.272729000000002</v>
      </c>
    </row>
    <row r="1326" spans="1:2">
      <c r="A1326" s="14">
        <v>45409.359027999999</v>
      </c>
      <c r="B1326" s="15">
        <v>30.334216000000001</v>
      </c>
    </row>
    <row r="1327" spans="1:2">
      <c r="A1327" s="14">
        <v>45409.359722000001</v>
      </c>
      <c r="B1327" s="15">
        <v>31.440505999999999</v>
      </c>
    </row>
    <row r="1328" spans="1:2">
      <c r="A1328" s="14">
        <v>45409.360417000004</v>
      </c>
      <c r="B1328" s="15">
        <v>30.040244000000001</v>
      </c>
    </row>
    <row r="1329" spans="1:2">
      <c r="A1329" s="14">
        <v>45409.361110999998</v>
      </c>
      <c r="B1329" s="15">
        <v>30.749130000000001</v>
      </c>
    </row>
    <row r="1330" spans="1:2">
      <c r="A1330" s="14">
        <v>45409.361806000001</v>
      </c>
      <c r="B1330" s="15">
        <v>31.241219999999998</v>
      </c>
    </row>
    <row r="1331" spans="1:2">
      <c r="A1331" s="14">
        <v>45409.362500000003</v>
      </c>
      <c r="B1331" s="15">
        <v>31.081285000000001</v>
      </c>
    </row>
    <row r="1332" spans="1:2">
      <c r="A1332" s="14">
        <v>45409.363193999998</v>
      </c>
      <c r="B1332" s="15">
        <v>31.127120999999999</v>
      </c>
    </row>
    <row r="1333" spans="1:2">
      <c r="A1333" s="14">
        <v>45409.363889</v>
      </c>
      <c r="B1333" s="15">
        <v>31.391102</v>
      </c>
    </row>
    <row r="1334" spans="1:2">
      <c r="A1334" s="14">
        <v>45409.364583000002</v>
      </c>
      <c r="B1334" s="15">
        <v>30.477550000000001</v>
      </c>
    </row>
    <row r="1335" spans="1:2">
      <c r="A1335" s="14">
        <v>45409.365277999997</v>
      </c>
      <c r="B1335" s="15">
        <v>31.178522000000001</v>
      </c>
    </row>
    <row r="1336" spans="1:2">
      <c r="A1336" s="14">
        <v>45409.365972</v>
      </c>
      <c r="B1336" s="15">
        <v>30.935528000000001</v>
      </c>
    </row>
    <row r="1337" spans="1:2">
      <c r="A1337" s="14">
        <v>45409.366667000002</v>
      </c>
      <c r="B1337" s="15">
        <v>30.557728000000001</v>
      </c>
    </row>
    <row r="1338" spans="1:2">
      <c r="A1338" s="14">
        <v>45409.367360999997</v>
      </c>
      <c r="B1338" s="15">
        <v>30.832585000000002</v>
      </c>
    </row>
    <row r="1339" spans="1:2">
      <c r="A1339" s="14">
        <v>45409.368055999999</v>
      </c>
      <c r="B1339" s="15">
        <v>30.413065</v>
      </c>
    </row>
    <row r="1340" spans="1:2">
      <c r="A1340" s="14">
        <v>45409.368750000001</v>
      </c>
      <c r="B1340" s="15">
        <v>31.007784000000001</v>
      </c>
    </row>
    <row r="1341" spans="1:2">
      <c r="A1341" s="14">
        <v>45409.369444000004</v>
      </c>
      <c r="B1341" s="15">
        <v>31.156455999999999</v>
      </c>
    </row>
    <row r="1342" spans="1:2">
      <c r="A1342" s="14">
        <v>45409.370138999999</v>
      </c>
      <c r="B1342" s="15">
        <v>30.427924000000001</v>
      </c>
    </row>
    <row r="1343" spans="1:2">
      <c r="A1343" s="14">
        <v>45409.370833000001</v>
      </c>
      <c r="B1343" s="15">
        <v>31.317588000000001</v>
      </c>
    </row>
    <row r="1344" spans="1:2">
      <c r="A1344" s="14">
        <v>45409.371528000003</v>
      </c>
      <c r="B1344" s="15">
        <v>30.949655</v>
      </c>
    </row>
    <row r="1345" spans="1:2">
      <c r="A1345" s="14">
        <v>45409.372221999998</v>
      </c>
      <c r="B1345" s="15">
        <v>30.615580999999999</v>
      </c>
    </row>
    <row r="1346" spans="1:2">
      <c r="A1346" s="14">
        <v>45409.372917000001</v>
      </c>
      <c r="B1346" s="15">
        <v>31.274377999999999</v>
      </c>
    </row>
    <row r="1347" spans="1:2">
      <c r="A1347" s="14">
        <v>45409.373611000003</v>
      </c>
      <c r="B1347" s="15">
        <v>30.861477000000001</v>
      </c>
    </row>
    <row r="1348" spans="1:2">
      <c r="A1348" s="14">
        <v>45409.374305999998</v>
      </c>
      <c r="B1348" s="15">
        <v>30.193494999999999</v>
      </c>
    </row>
    <row r="1349" spans="1:2">
      <c r="A1349" s="14">
        <v>45409.375</v>
      </c>
      <c r="B1349" s="15">
        <v>30.693133</v>
      </c>
    </row>
    <row r="1350" spans="1:2">
      <c r="A1350" s="14">
        <v>45409.375694000002</v>
      </c>
      <c r="B1350" s="15">
        <v>30.513694999999998</v>
      </c>
    </row>
    <row r="1351" spans="1:2">
      <c r="A1351" s="14">
        <v>45409.376388999997</v>
      </c>
      <c r="B1351" s="15">
        <v>31.322424999999999</v>
      </c>
    </row>
    <row r="1352" spans="1:2">
      <c r="A1352" s="14">
        <v>45409.377082999999</v>
      </c>
      <c r="B1352" s="15">
        <v>30.456128</v>
      </c>
    </row>
    <row r="1353" spans="1:2">
      <c r="A1353" s="14">
        <v>45409.377778000002</v>
      </c>
      <c r="B1353" s="15">
        <v>31.027135999999999</v>
      </c>
    </row>
    <row r="1354" spans="1:2">
      <c r="A1354" s="14">
        <v>45409.378471999997</v>
      </c>
      <c r="B1354" s="15">
        <v>31.259871</v>
      </c>
    </row>
    <row r="1355" spans="1:2">
      <c r="A1355" s="14">
        <v>45409.379166999999</v>
      </c>
      <c r="B1355" s="15">
        <v>30.643719999999998</v>
      </c>
    </row>
    <row r="1356" spans="1:2">
      <c r="A1356" s="14">
        <v>45409.379861000001</v>
      </c>
      <c r="B1356" s="15">
        <v>30.381381999999999</v>
      </c>
    </row>
    <row r="1357" spans="1:2">
      <c r="A1357" s="14">
        <v>45409.380555999996</v>
      </c>
      <c r="B1357" s="15">
        <v>30.944552999999999</v>
      </c>
    </row>
    <row r="1358" spans="1:2">
      <c r="A1358" s="14">
        <v>45409.381249999999</v>
      </c>
      <c r="B1358" s="15">
        <v>30.707803999999999</v>
      </c>
    </row>
    <row r="1359" spans="1:2">
      <c r="A1359" s="14">
        <v>45409.381944000001</v>
      </c>
      <c r="B1359" s="15">
        <v>31.075825999999999</v>
      </c>
    </row>
    <row r="1360" spans="1:2">
      <c r="A1360" s="14">
        <v>45409.382639000003</v>
      </c>
      <c r="B1360" s="15">
        <v>30.779026999999999</v>
      </c>
    </row>
    <row r="1361" spans="1:2">
      <c r="A1361" s="14">
        <v>45409.383332999998</v>
      </c>
      <c r="B1361" s="15">
        <v>30.358941999999999</v>
      </c>
    </row>
    <row r="1362" spans="1:2">
      <c r="A1362" s="14">
        <v>45409.384028</v>
      </c>
      <c r="B1362" s="15">
        <v>30.782392999999999</v>
      </c>
    </row>
    <row r="1363" spans="1:2">
      <c r="A1363" s="14">
        <v>45409.384722000003</v>
      </c>
      <c r="B1363" s="15">
        <v>31.219141</v>
      </c>
    </row>
    <row r="1364" spans="1:2">
      <c r="A1364" s="14">
        <v>45409.385416999998</v>
      </c>
      <c r="B1364" s="15">
        <v>30.83672</v>
      </c>
    </row>
    <row r="1365" spans="1:2">
      <c r="A1365" s="14">
        <v>45409.386111</v>
      </c>
      <c r="B1365" s="15">
        <v>31.004974000000001</v>
      </c>
    </row>
    <row r="1366" spans="1:2">
      <c r="A1366" s="14">
        <v>45409.386806000002</v>
      </c>
      <c r="B1366" s="15">
        <v>30.650431000000001</v>
      </c>
    </row>
    <row r="1367" spans="1:2">
      <c r="A1367" s="14">
        <v>45409.387499999997</v>
      </c>
      <c r="B1367" s="15">
        <v>31.310767999999999</v>
      </c>
    </row>
    <row r="1368" spans="1:2">
      <c r="A1368" s="14">
        <v>45409.388193999999</v>
      </c>
      <c r="B1368" s="15">
        <v>30.585625</v>
      </c>
    </row>
    <row r="1369" spans="1:2">
      <c r="A1369" s="14">
        <v>45409.388889000002</v>
      </c>
      <c r="B1369" s="15">
        <v>30.393003</v>
      </c>
    </row>
    <row r="1370" spans="1:2">
      <c r="A1370" s="14">
        <v>45409.389582999996</v>
      </c>
      <c r="B1370" s="15">
        <v>30.454765999999999</v>
      </c>
    </row>
    <row r="1371" spans="1:2">
      <c r="A1371" s="14">
        <v>45409.390277999999</v>
      </c>
      <c r="B1371" s="15">
        <v>31.066248999999999</v>
      </c>
    </row>
    <row r="1372" spans="1:2">
      <c r="A1372" s="14">
        <v>45409.390972000001</v>
      </c>
      <c r="B1372" s="15">
        <v>30.669359</v>
      </c>
    </row>
    <row r="1373" spans="1:2">
      <c r="A1373" s="14">
        <v>45409.391667000004</v>
      </c>
      <c r="B1373" s="15">
        <v>30.880151999999999</v>
      </c>
    </row>
    <row r="1374" spans="1:2">
      <c r="A1374" s="14">
        <v>45409.392360999998</v>
      </c>
      <c r="B1374" s="15">
        <v>30.875505</v>
      </c>
    </row>
    <row r="1375" spans="1:2">
      <c r="A1375" s="14">
        <v>45409.393056000001</v>
      </c>
      <c r="B1375" s="15">
        <v>30.183848000000001</v>
      </c>
    </row>
    <row r="1376" spans="1:2">
      <c r="A1376" s="14">
        <v>45409.393750000003</v>
      </c>
      <c r="B1376" s="15">
        <v>30.842369000000001</v>
      </c>
    </row>
    <row r="1377" spans="1:2">
      <c r="A1377" s="14">
        <v>45409.394443999998</v>
      </c>
      <c r="B1377" s="15">
        <v>30.090339</v>
      </c>
    </row>
    <row r="1378" spans="1:2">
      <c r="A1378" s="14">
        <v>45409.395139</v>
      </c>
      <c r="B1378" s="15">
        <v>31.476227999999999</v>
      </c>
    </row>
    <row r="1379" spans="1:2">
      <c r="A1379" s="14">
        <v>45409.395833000002</v>
      </c>
      <c r="B1379" s="15">
        <v>31.10239</v>
      </c>
    </row>
    <row r="1380" spans="1:2">
      <c r="A1380" s="14">
        <v>45409.396527999997</v>
      </c>
      <c r="B1380" s="15">
        <v>31.000081000000002</v>
      </c>
    </row>
    <row r="1381" spans="1:2">
      <c r="A1381" s="14">
        <v>45409.397222</v>
      </c>
      <c r="B1381" s="15">
        <v>30.458404000000002</v>
      </c>
    </row>
    <row r="1382" spans="1:2">
      <c r="A1382" s="14">
        <v>45409.397917000002</v>
      </c>
      <c r="B1382" s="15">
        <v>31.132545</v>
      </c>
    </row>
    <row r="1383" spans="1:2">
      <c r="A1383" s="14">
        <v>45409.398610999997</v>
      </c>
      <c r="B1383" s="15">
        <v>30.198422999999998</v>
      </c>
    </row>
    <row r="1384" spans="1:2">
      <c r="A1384" s="14">
        <v>45409.399305999999</v>
      </c>
      <c r="B1384" s="15">
        <v>31.294262</v>
      </c>
    </row>
    <row r="1385" spans="1:2">
      <c r="A1385" s="14">
        <v>45409.4</v>
      </c>
      <c r="B1385" s="15">
        <v>31.091405999999999</v>
      </c>
    </row>
    <row r="1386" spans="1:2">
      <c r="A1386" s="14">
        <v>45409.400694000004</v>
      </c>
      <c r="B1386" s="15">
        <v>30.987269000000001</v>
      </c>
    </row>
    <row r="1387" spans="1:2">
      <c r="A1387" s="14">
        <v>45409.401388999999</v>
      </c>
      <c r="B1387" s="15">
        <v>31.071318999999999</v>
      </c>
    </row>
    <row r="1388" spans="1:2">
      <c r="A1388" s="14">
        <v>45409.402083000001</v>
      </c>
      <c r="B1388" s="15">
        <v>30.845586999999998</v>
      </c>
    </row>
    <row r="1389" spans="1:2">
      <c r="A1389" s="14">
        <v>45409.402778000003</v>
      </c>
      <c r="B1389" s="15">
        <v>31.483868999999999</v>
      </c>
    </row>
    <row r="1390" spans="1:2">
      <c r="A1390" s="14">
        <v>45409.403471999998</v>
      </c>
      <c r="B1390" s="15">
        <v>30.254052000000001</v>
      </c>
    </row>
    <row r="1391" spans="1:2">
      <c r="A1391" s="14">
        <v>45409.404167000001</v>
      </c>
      <c r="B1391" s="15">
        <v>30.574625000000001</v>
      </c>
    </row>
    <row r="1392" spans="1:2">
      <c r="A1392" s="14">
        <v>45409.404861000003</v>
      </c>
      <c r="B1392" s="15">
        <v>30.902056000000002</v>
      </c>
    </row>
    <row r="1393" spans="1:2">
      <c r="A1393" s="14">
        <v>45409.405555999998</v>
      </c>
      <c r="B1393" s="15">
        <v>30.927319000000001</v>
      </c>
    </row>
    <row r="1394" spans="1:2">
      <c r="A1394" s="14">
        <v>45409.40625</v>
      </c>
      <c r="B1394" s="15">
        <v>31.242702000000001</v>
      </c>
    </row>
    <row r="1395" spans="1:2">
      <c r="A1395" s="14">
        <v>45409.406944000002</v>
      </c>
      <c r="B1395" s="15">
        <v>30.383928000000001</v>
      </c>
    </row>
    <row r="1396" spans="1:2">
      <c r="A1396" s="14">
        <v>45409.407638999997</v>
      </c>
      <c r="B1396" s="15">
        <v>30.331536</v>
      </c>
    </row>
    <row r="1397" spans="1:2">
      <c r="A1397" s="14">
        <v>45409.408332999999</v>
      </c>
      <c r="B1397" s="15">
        <v>30.479451000000001</v>
      </c>
    </row>
    <row r="1398" spans="1:2">
      <c r="A1398" s="14">
        <v>45409.409028000002</v>
      </c>
      <c r="B1398" s="15">
        <v>31.033194999999999</v>
      </c>
    </row>
    <row r="1399" spans="1:2">
      <c r="A1399" s="14">
        <v>45409.409721999997</v>
      </c>
      <c r="B1399" s="15">
        <v>30.723181</v>
      </c>
    </row>
    <row r="1400" spans="1:2">
      <c r="A1400" s="14">
        <v>45409.410416999999</v>
      </c>
      <c r="B1400" s="15">
        <v>30.669968000000001</v>
      </c>
    </row>
    <row r="1401" spans="1:2">
      <c r="A1401" s="14">
        <v>45409.411111000001</v>
      </c>
      <c r="B1401" s="15">
        <v>31.421441000000002</v>
      </c>
    </row>
    <row r="1402" spans="1:2">
      <c r="A1402" s="14">
        <v>45409.411805999996</v>
      </c>
      <c r="B1402" s="15">
        <v>30.307807</v>
      </c>
    </row>
    <row r="1403" spans="1:2">
      <c r="A1403" s="14">
        <v>45409.412499999999</v>
      </c>
      <c r="B1403" s="15">
        <v>30.972643000000001</v>
      </c>
    </row>
    <row r="1404" spans="1:2">
      <c r="A1404" s="14">
        <v>45409.413194000001</v>
      </c>
      <c r="B1404" s="15">
        <v>30.905038000000001</v>
      </c>
    </row>
    <row r="1405" spans="1:2">
      <c r="A1405" s="14">
        <v>45409.413889000003</v>
      </c>
      <c r="B1405" s="15">
        <v>30.657185999999999</v>
      </c>
    </row>
    <row r="1406" spans="1:2">
      <c r="A1406" s="14">
        <v>45409.414582999998</v>
      </c>
      <c r="B1406" s="15">
        <v>30.766608000000002</v>
      </c>
    </row>
    <row r="1407" spans="1:2">
      <c r="A1407" s="14">
        <v>45409.415278</v>
      </c>
      <c r="B1407" s="15">
        <v>30.789565</v>
      </c>
    </row>
    <row r="1408" spans="1:2">
      <c r="A1408" s="14">
        <v>45409.415972000003</v>
      </c>
      <c r="B1408" s="15">
        <v>30.867315999999999</v>
      </c>
    </row>
    <row r="1409" spans="1:2">
      <c r="A1409" s="14">
        <v>45409.416666999998</v>
      </c>
      <c r="B1409" s="15">
        <v>30.481394000000002</v>
      </c>
    </row>
    <row r="1410" spans="1:2">
      <c r="A1410" s="14">
        <v>45409.417361</v>
      </c>
      <c r="B1410" s="15">
        <v>30.706589999999998</v>
      </c>
    </row>
    <row r="1411" spans="1:2">
      <c r="A1411" s="14">
        <v>45409.418056000002</v>
      </c>
      <c r="B1411" s="15">
        <v>30.44406</v>
      </c>
    </row>
    <row r="1412" spans="1:2">
      <c r="A1412" s="14">
        <v>45409.418749999997</v>
      </c>
      <c r="B1412" s="15">
        <v>30.859953000000001</v>
      </c>
    </row>
    <row r="1413" spans="1:2">
      <c r="A1413" s="14">
        <v>45409.419443999999</v>
      </c>
      <c r="B1413" s="15">
        <v>31.229063</v>
      </c>
    </row>
    <row r="1414" spans="1:2">
      <c r="A1414" s="14">
        <v>45409.420139000002</v>
      </c>
      <c r="B1414" s="15">
        <v>31.462399999999999</v>
      </c>
    </row>
    <row r="1415" spans="1:2">
      <c r="A1415" s="14">
        <v>45409.420832999996</v>
      </c>
      <c r="B1415" s="15">
        <v>31.250748999999999</v>
      </c>
    </row>
    <row r="1416" spans="1:2">
      <c r="A1416" s="14">
        <v>45409.421527999999</v>
      </c>
      <c r="B1416" s="15">
        <v>30.288066000000001</v>
      </c>
    </row>
    <row r="1417" spans="1:2">
      <c r="A1417" s="14">
        <v>45409.422222000001</v>
      </c>
      <c r="B1417" s="15">
        <v>30.838248</v>
      </c>
    </row>
    <row r="1418" spans="1:2">
      <c r="A1418" s="14">
        <v>45409.422917000004</v>
      </c>
      <c r="B1418" s="15">
        <v>30.972248</v>
      </c>
    </row>
    <row r="1419" spans="1:2">
      <c r="A1419" s="14">
        <v>45409.423610999998</v>
      </c>
      <c r="B1419" s="15">
        <v>30.221629</v>
      </c>
    </row>
    <row r="1420" spans="1:2">
      <c r="A1420" s="14">
        <v>45409.424306000001</v>
      </c>
      <c r="B1420" s="15">
        <v>30.467061999999999</v>
      </c>
    </row>
    <row r="1421" spans="1:2">
      <c r="A1421" s="14">
        <v>45409.425000000003</v>
      </c>
      <c r="B1421" s="15">
        <v>31.099592999999999</v>
      </c>
    </row>
    <row r="1422" spans="1:2">
      <c r="A1422" s="14">
        <v>45409.425693999998</v>
      </c>
      <c r="B1422" s="15">
        <v>30.729043999999998</v>
      </c>
    </row>
    <row r="1423" spans="1:2">
      <c r="A1423" s="14">
        <v>45409.426389</v>
      </c>
      <c r="B1423" s="15">
        <v>30.571828</v>
      </c>
    </row>
    <row r="1424" spans="1:2">
      <c r="A1424" s="14">
        <v>45409.427083000002</v>
      </c>
      <c r="B1424" s="15">
        <v>30.438175000000001</v>
      </c>
    </row>
    <row r="1425" spans="1:2">
      <c r="A1425" s="14">
        <v>45409.427777999997</v>
      </c>
      <c r="B1425" s="15">
        <v>30.33175</v>
      </c>
    </row>
    <row r="1426" spans="1:2">
      <c r="A1426" s="14">
        <v>45409.428472</v>
      </c>
      <c r="B1426" s="15">
        <v>31.276879999999998</v>
      </c>
    </row>
    <row r="1427" spans="1:2">
      <c r="A1427" s="14">
        <v>45409.429167000002</v>
      </c>
      <c r="B1427" s="15">
        <v>31.088705000000001</v>
      </c>
    </row>
    <row r="1428" spans="1:2">
      <c r="A1428" s="14">
        <v>45409.429860999997</v>
      </c>
      <c r="B1428" s="15">
        <v>30.604216000000001</v>
      </c>
    </row>
    <row r="1429" spans="1:2">
      <c r="A1429" s="14">
        <v>45409.430555999999</v>
      </c>
      <c r="B1429" s="15">
        <v>30.781393999999999</v>
      </c>
    </row>
    <row r="1430" spans="1:2">
      <c r="A1430" s="14">
        <v>45409.431250000001</v>
      </c>
      <c r="B1430" s="15">
        <v>30.836713</v>
      </c>
    </row>
    <row r="1431" spans="1:2">
      <c r="A1431" s="14">
        <v>45409.431944000004</v>
      </c>
      <c r="B1431" s="15">
        <v>30.446912000000001</v>
      </c>
    </row>
    <row r="1432" spans="1:2">
      <c r="A1432" s="14">
        <v>45409.432638999999</v>
      </c>
      <c r="B1432" s="15">
        <v>30.406946999999999</v>
      </c>
    </row>
    <row r="1433" spans="1:2">
      <c r="A1433" s="14">
        <v>45409.433333000001</v>
      </c>
      <c r="B1433" s="15">
        <v>31.149677000000001</v>
      </c>
    </row>
    <row r="1434" spans="1:2">
      <c r="A1434" s="14">
        <v>45409.434028000003</v>
      </c>
      <c r="B1434" s="15">
        <v>30.945575999999999</v>
      </c>
    </row>
    <row r="1435" spans="1:2">
      <c r="A1435" s="14">
        <v>45409.434721999998</v>
      </c>
      <c r="B1435" s="15">
        <v>31.192845999999999</v>
      </c>
    </row>
    <row r="1436" spans="1:2">
      <c r="A1436" s="14">
        <v>45409.435417000001</v>
      </c>
      <c r="B1436" s="15">
        <v>30.223822999999999</v>
      </c>
    </row>
    <row r="1437" spans="1:2">
      <c r="A1437" s="14">
        <v>45409.436111000003</v>
      </c>
      <c r="B1437" s="15">
        <v>31.275706</v>
      </c>
    </row>
    <row r="1438" spans="1:2">
      <c r="A1438" s="14">
        <v>45409.436805999998</v>
      </c>
      <c r="B1438" s="15">
        <v>30.390139999999999</v>
      </c>
    </row>
    <row r="1439" spans="1:2">
      <c r="A1439" s="14">
        <v>45409.4375</v>
      </c>
      <c r="B1439" s="15">
        <v>31.072347000000001</v>
      </c>
    </row>
    <row r="1440" spans="1:2">
      <c r="A1440" s="14">
        <v>45409.438194000002</v>
      </c>
      <c r="B1440" s="15">
        <v>30.691451000000001</v>
      </c>
    </row>
    <row r="1441" spans="1:2">
      <c r="A1441" s="14">
        <v>45409.438888999997</v>
      </c>
      <c r="B1441" s="15">
        <v>30.090463</v>
      </c>
    </row>
    <row r="1442" spans="1:2">
      <c r="A1442" s="14">
        <v>45409.439582999999</v>
      </c>
      <c r="B1442" s="15">
        <v>30.836404000000002</v>
      </c>
    </row>
    <row r="1443" spans="1:2">
      <c r="A1443" s="14">
        <v>45409.440278000002</v>
      </c>
      <c r="B1443" s="15">
        <v>30.647783</v>
      </c>
    </row>
    <row r="1444" spans="1:2">
      <c r="A1444" s="14">
        <v>45409.440971999997</v>
      </c>
      <c r="B1444" s="15">
        <v>31.041485999999999</v>
      </c>
    </row>
    <row r="1445" spans="1:2">
      <c r="A1445" s="14">
        <v>45409.441666999999</v>
      </c>
      <c r="B1445" s="15">
        <v>30.627492</v>
      </c>
    </row>
    <row r="1446" spans="1:2">
      <c r="A1446" s="14">
        <v>45409.442361000001</v>
      </c>
      <c r="B1446" s="15">
        <v>30.648299000000002</v>
      </c>
    </row>
    <row r="1447" spans="1:2">
      <c r="A1447" s="14">
        <v>45409.443055999996</v>
      </c>
      <c r="B1447" s="15">
        <v>30.680969999999999</v>
      </c>
    </row>
    <row r="1448" spans="1:2">
      <c r="A1448" s="14">
        <v>45409.443749999999</v>
      </c>
      <c r="B1448" s="15">
        <v>30.544968999999998</v>
      </c>
    </row>
    <row r="1449" spans="1:2">
      <c r="A1449" s="14">
        <v>45409.444444000001</v>
      </c>
      <c r="B1449" s="15">
        <v>30.889122</v>
      </c>
    </row>
    <row r="1450" spans="1:2">
      <c r="A1450" s="14">
        <v>45409.445139000003</v>
      </c>
      <c r="B1450" s="15">
        <v>30.730501</v>
      </c>
    </row>
    <row r="1451" spans="1:2">
      <c r="A1451" s="14">
        <v>45409.445832999998</v>
      </c>
      <c r="B1451" s="15">
        <v>30.296831999999998</v>
      </c>
    </row>
    <row r="1452" spans="1:2">
      <c r="A1452" s="14">
        <v>45409.446528</v>
      </c>
      <c r="B1452" s="15">
        <v>30.701478000000002</v>
      </c>
    </row>
    <row r="1453" spans="1:2">
      <c r="A1453" s="14">
        <v>45409.447222000003</v>
      </c>
      <c r="B1453" s="15">
        <v>31.176186999999999</v>
      </c>
    </row>
    <row r="1454" spans="1:2">
      <c r="A1454" s="14">
        <v>45409.447916999998</v>
      </c>
      <c r="B1454" s="15">
        <v>30.473616</v>
      </c>
    </row>
    <row r="1455" spans="1:2">
      <c r="A1455" s="14">
        <v>45409.448611</v>
      </c>
      <c r="B1455" s="15">
        <v>30.275040000000001</v>
      </c>
    </row>
    <row r="1456" spans="1:2">
      <c r="A1456" s="14">
        <v>45409.449306000002</v>
      </c>
      <c r="B1456" s="15">
        <v>31.252195</v>
      </c>
    </row>
    <row r="1457" spans="1:2">
      <c r="A1457" s="14">
        <v>45409.45</v>
      </c>
      <c r="B1457" s="15">
        <v>29.552161999999999</v>
      </c>
    </row>
    <row r="1458" spans="1:2">
      <c r="A1458" s="14">
        <v>45409.450693999999</v>
      </c>
      <c r="B1458" s="15">
        <v>31.514521999999999</v>
      </c>
    </row>
    <row r="1459" spans="1:2">
      <c r="A1459" s="14">
        <v>45409.451389000002</v>
      </c>
      <c r="B1459" s="15">
        <v>30.935946000000001</v>
      </c>
    </row>
    <row r="1460" spans="1:2">
      <c r="A1460" s="14">
        <v>45409.452082999996</v>
      </c>
      <c r="B1460" s="15">
        <v>30.862805999999999</v>
      </c>
    </row>
    <row r="1461" spans="1:2">
      <c r="A1461" s="14">
        <v>45409.452777999999</v>
      </c>
      <c r="B1461" s="15">
        <v>30.851976000000001</v>
      </c>
    </row>
    <row r="1462" spans="1:2">
      <c r="A1462" s="14">
        <v>45409.453472000001</v>
      </c>
      <c r="B1462" s="15">
        <v>30.442162</v>
      </c>
    </row>
    <row r="1463" spans="1:2">
      <c r="A1463" s="14">
        <v>45409.454167000004</v>
      </c>
      <c r="B1463" s="15">
        <v>29.978027999999998</v>
      </c>
    </row>
    <row r="1464" spans="1:2">
      <c r="A1464" s="14">
        <v>45409.454860999998</v>
      </c>
      <c r="B1464" s="15">
        <v>30.437815000000001</v>
      </c>
    </row>
    <row r="1465" spans="1:2">
      <c r="A1465" s="14">
        <v>45409.455556000001</v>
      </c>
      <c r="B1465" s="15">
        <v>30.906922000000002</v>
      </c>
    </row>
    <row r="1466" spans="1:2">
      <c r="A1466" s="14">
        <v>45409.456250000003</v>
      </c>
      <c r="B1466" s="15">
        <v>30.792850000000001</v>
      </c>
    </row>
    <row r="1467" spans="1:2">
      <c r="A1467" s="14">
        <v>45409.456943999998</v>
      </c>
      <c r="B1467" s="15">
        <v>31.248868000000002</v>
      </c>
    </row>
    <row r="1468" spans="1:2">
      <c r="A1468" s="14">
        <v>45409.457639</v>
      </c>
      <c r="B1468" s="15">
        <v>29.553933000000001</v>
      </c>
    </row>
    <row r="1469" spans="1:2">
      <c r="A1469" s="14">
        <v>45409.458333000002</v>
      </c>
      <c r="B1469" s="15">
        <v>30.866593000000002</v>
      </c>
    </row>
    <row r="1470" spans="1:2">
      <c r="A1470" s="14">
        <v>45409.459027999997</v>
      </c>
      <c r="B1470" s="15">
        <v>30.779387</v>
      </c>
    </row>
    <row r="1471" spans="1:2">
      <c r="A1471" s="14">
        <v>45409.459722</v>
      </c>
      <c r="B1471" s="15">
        <v>30.526757</v>
      </c>
    </row>
    <row r="1472" spans="1:2">
      <c r="A1472" s="14">
        <v>45409.460417000002</v>
      </c>
      <c r="B1472" s="15">
        <v>30.838678000000002</v>
      </c>
    </row>
    <row r="1473" spans="1:2">
      <c r="A1473" s="14">
        <v>45409.461110999997</v>
      </c>
      <c r="B1473" s="15">
        <v>29.677654</v>
      </c>
    </row>
    <row r="1474" spans="1:2">
      <c r="A1474" s="14">
        <v>45409.461805999999</v>
      </c>
      <c r="B1474" s="15">
        <v>30.944455000000001</v>
      </c>
    </row>
    <row r="1475" spans="1:2">
      <c r="A1475" s="14">
        <v>45409.462500000001</v>
      </c>
      <c r="B1475" s="15">
        <v>30.819707000000001</v>
      </c>
    </row>
    <row r="1476" spans="1:2">
      <c r="A1476" s="14">
        <v>45409.463194000004</v>
      </c>
      <c r="B1476" s="15">
        <v>23.225868999999999</v>
      </c>
    </row>
    <row r="1477" spans="1:2">
      <c r="A1477" s="14">
        <v>45409.463888999999</v>
      </c>
      <c r="B1477" s="15">
        <v>20.936899</v>
      </c>
    </row>
    <row r="1478" spans="1:2">
      <c r="A1478" s="14">
        <v>45409.464583000001</v>
      </c>
      <c r="B1478" s="15">
        <v>21.159376000000002</v>
      </c>
    </row>
    <row r="1479" spans="1:2">
      <c r="A1479" s="14">
        <v>45409.465278000003</v>
      </c>
      <c r="B1479" s="15">
        <v>20.287903</v>
      </c>
    </row>
    <row r="1480" spans="1:2">
      <c r="A1480" s="14">
        <v>45409.465971999998</v>
      </c>
      <c r="B1480" s="15">
        <v>21.45243</v>
      </c>
    </row>
    <row r="1481" spans="1:2">
      <c r="A1481" s="14">
        <v>45409.466667000001</v>
      </c>
      <c r="B1481" s="15">
        <v>20.861556</v>
      </c>
    </row>
    <row r="1482" spans="1:2">
      <c r="A1482" s="14">
        <v>45409.467361000003</v>
      </c>
      <c r="B1482" s="15">
        <v>20.857979</v>
      </c>
    </row>
    <row r="1483" spans="1:2">
      <c r="A1483" s="14">
        <v>45409.468055999998</v>
      </c>
      <c r="B1483" s="15">
        <v>20.911895000000001</v>
      </c>
    </row>
    <row r="1484" spans="1:2">
      <c r="A1484" s="14">
        <v>45409.46875</v>
      </c>
      <c r="B1484" s="15">
        <v>20.927596000000001</v>
      </c>
    </row>
    <row r="1485" spans="1:2">
      <c r="A1485" s="14">
        <v>45409.469444000002</v>
      </c>
      <c r="B1485" s="15">
        <v>20.996966</v>
      </c>
    </row>
    <row r="1486" spans="1:2">
      <c r="A1486" s="14">
        <v>45409.470138999997</v>
      </c>
      <c r="B1486" s="15">
        <v>21.343921000000002</v>
      </c>
    </row>
    <row r="1487" spans="1:2">
      <c r="A1487" s="14">
        <v>45409.470832999999</v>
      </c>
      <c r="B1487" s="15">
        <v>20.713840000000001</v>
      </c>
    </row>
    <row r="1488" spans="1:2">
      <c r="A1488" s="14">
        <v>45409.471528000002</v>
      </c>
      <c r="B1488" s="15">
        <v>21.516963000000001</v>
      </c>
    </row>
    <row r="1489" spans="1:2">
      <c r="A1489" s="14">
        <v>45409.472221999997</v>
      </c>
      <c r="B1489" s="15">
        <v>21.474817000000002</v>
      </c>
    </row>
    <row r="1490" spans="1:2">
      <c r="A1490" s="14">
        <v>45409.472916999999</v>
      </c>
      <c r="B1490" s="15">
        <v>20.844263000000002</v>
      </c>
    </row>
    <row r="1491" spans="1:2">
      <c r="A1491" s="14">
        <v>45409.473611000001</v>
      </c>
      <c r="B1491" s="15">
        <v>20.735492000000001</v>
      </c>
    </row>
    <row r="1492" spans="1:2">
      <c r="A1492" s="14">
        <v>45409.474305999996</v>
      </c>
      <c r="B1492" s="15">
        <v>20.703941</v>
      </c>
    </row>
    <row r="1493" spans="1:2">
      <c r="A1493" s="14">
        <v>45409.474999999999</v>
      </c>
      <c r="B1493" s="15">
        <v>20.358111999999998</v>
      </c>
    </row>
    <row r="1494" spans="1:2">
      <c r="A1494" s="14">
        <v>45409.475694000001</v>
      </c>
      <c r="B1494" s="15">
        <v>21.235226999999998</v>
      </c>
    </row>
    <row r="1495" spans="1:2">
      <c r="A1495" s="14">
        <v>45409.476389000003</v>
      </c>
      <c r="B1495" s="15">
        <v>21.183354999999999</v>
      </c>
    </row>
    <row r="1496" spans="1:2">
      <c r="A1496" s="14">
        <v>45409.477082999998</v>
      </c>
      <c r="B1496" s="15">
        <v>20.594835</v>
      </c>
    </row>
    <row r="1497" spans="1:2">
      <c r="A1497" s="14">
        <v>45409.477778</v>
      </c>
      <c r="B1497" s="15">
        <v>21.019672</v>
      </c>
    </row>
    <row r="1498" spans="1:2">
      <c r="A1498" s="14">
        <v>45409.478472000003</v>
      </c>
      <c r="B1498" s="15">
        <v>20.465157000000001</v>
      </c>
    </row>
    <row r="1499" spans="1:2">
      <c r="A1499" s="14">
        <v>45409.479166999998</v>
      </c>
      <c r="B1499" s="15">
        <v>21.197157000000001</v>
      </c>
    </row>
    <row r="1500" spans="1:2">
      <c r="A1500" s="14">
        <v>45409.479861</v>
      </c>
      <c r="B1500" s="15">
        <v>21.474074000000002</v>
      </c>
    </row>
    <row r="1501" spans="1:2">
      <c r="A1501" s="14">
        <v>45409.480556000002</v>
      </c>
      <c r="B1501" s="15">
        <v>20.906389999999998</v>
      </c>
    </row>
    <row r="1502" spans="1:2">
      <c r="A1502" s="14">
        <v>45409.481249999997</v>
      </c>
      <c r="B1502" s="15">
        <v>21.122952999999999</v>
      </c>
    </row>
    <row r="1503" spans="1:2">
      <c r="A1503" s="14">
        <v>45409.481943999999</v>
      </c>
      <c r="B1503" s="15">
        <v>21.347086000000001</v>
      </c>
    </row>
    <row r="1504" spans="1:2">
      <c r="A1504" s="14">
        <v>45409.482639000002</v>
      </c>
      <c r="B1504" s="15">
        <v>20.578406999999999</v>
      </c>
    </row>
    <row r="1505" spans="1:2">
      <c r="A1505" s="14">
        <v>45409.483332999996</v>
      </c>
      <c r="B1505" s="15">
        <v>20.931750000000001</v>
      </c>
    </row>
    <row r="1506" spans="1:2">
      <c r="A1506" s="14">
        <v>45409.484027999999</v>
      </c>
      <c r="B1506" s="15">
        <v>21.337479999999999</v>
      </c>
    </row>
    <row r="1507" spans="1:2">
      <c r="A1507" s="14">
        <v>45409.484722000001</v>
      </c>
      <c r="B1507" s="15">
        <v>21.052927</v>
      </c>
    </row>
    <row r="1508" spans="1:2">
      <c r="A1508" s="14">
        <v>45409.485417000004</v>
      </c>
      <c r="B1508" s="15">
        <v>21.211555000000001</v>
      </c>
    </row>
    <row r="1509" spans="1:2">
      <c r="A1509" s="14">
        <v>45409.486110999998</v>
      </c>
      <c r="B1509" s="15">
        <v>21.231731</v>
      </c>
    </row>
    <row r="1510" spans="1:2">
      <c r="A1510" s="14">
        <v>45409.486806000001</v>
      </c>
      <c r="B1510" s="15">
        <v>21.048908000000001</v>
      </c>
    </row>
    <row r="1511" spans="1:2">
      <c r="A1511" s="14">
        <v>45409.487500000003</v>
      </c>
      <c r="B1511" s="15">
        <v>21.234074</v>
      </c>
    </row>
    <row r="1512" spans="1:2">
      <c r="A1512" s="14">
        <v>45409.488193999998</v>
      </c>
      <c r="B1512" s="15">
        <v>21.345469999999999</v>
      </c>
    </row>
    <row r="1513" spans="1:2">
      <c r="A1513" s="14">
        <v>45409.488889</v>
      </c>
      <c r="B1513" s="15">
        <v>21.159951</v>
      </c>
    </row>
    <row r="1514" spans="1:2">
      <c r="A1514" s="14">
        <v>45409.489583000002</v>
      </c>
      <c r="B1514" s="15">
        <v>21.175015999999999</v>
      </c>
    </row>
    <row r="1515" spans="1:2">
      <c r="A1515" s="14">
        <v>45409.490277999997</v>
      </c>
      <c r="B1515" s="15">
        <v>21.479724999999998</v>
      </c>
    </row>
    <row r="1516" spans="1:2">
      <c r="A1516" s="14">
        <v>45409.490972</v>
      </c>
      <c r="B1516" s="15">
        <v>20.716650000000001</v>
      </c>
    </row>
    <row r="1517" spans="1:2">
      <c r="A1517" s="14">
        <v>45409.491667000002</v>
      </c>
      <c r="B1517" s="15">
        <v>21.304352000000002</v>
      </c>
    </row>
    <row r="1518" spans="1:2">
      <c r="A1518" s="14">
        <v>45409.492360999997</v>
      </c>
      <c r="B1518" s="15">
        <v>21.205611000000001</v>
      </c>
    </row>
    <row r="1519" spans="1:2">
      <c r="A1519" s="14">
        <v>45409.493055999999</v>
      </c>
      <c r="B1519" s="15">
        <v>20.890778999999998</v>
      </c>
    </row>
    <row r="1520" spans="1:2">
      <c r="A1520" s="14">
        <v>45409.493750000001</v>
      </c>
      <c r="B1520" s="15">
        <v>20.753681</v>
      </c>
    </row>
    <row r="1521" spans="1:2">
      <c r="A1521" s="14">
        <v>45409.494444000004</v>
      </c>
      <c r="B1521" s="15">
        <v>20.851700999999998</v>
      </c>
    </row>
    <row r="1522" spans="1:2">
      <c r="A1522" s="14">
        <v>45409.495138999999</v>
      </c>
      <c r="B1522" s="15">
        <v>20.917515000000002</v>
      </c>
    </row>
    <row r="1523" spans="1:2">
      <c r="A1523" s="14">
        <v>45409.495833000001</v>
      </c>
      <c r="B1523" s="15">
        <v>21.017056</v>
      </c>
    </row>
    <row r="1524" spans="1:2">
      <c r="A1524" s="14">
        <v>45409.496528000003</v>
      </c>
      <c r="B1524" s="15">
        <v>20.618444</v>
      </c>
    </row>
    <row r="1525" spans="1:2">
      <c r="A1525" s="14">
        <v>45409.497221999998</v>
      </c>
      <c r="B1525" s="15">
        <v>20.682639000000002</v>
      </c>
    </row>
    <row r="1526" spans="1:2">
      <c r="A1526" s="14">
        <v>45409.497917000001</v>
      </c>
      <c r="B1526" s="15">
        <v>21.374714000000001</v>
      </c>
    </row>
    <row r="1527" spans="1:2">
      <c r="A1527" s="14">
        <v>45409.498611000003</v>
      </c>
      <c r="B1527" s="15">
        <v>21.676210000000001</v>
      </c>
    </row>
    <row r="1528" spans="1:2">
      <c r="A1528" s="14">
        <v>45409.499305999998</v>
      </c>
      <c r="B1528" s="15">
        <v>20.990637</v>
      </c>
    </row>
    <row r="1529" spans="1:2">
      <c r="A1529" s="14">
        <v>45409.5</v>
      </c>
      <c r="B1529" s="15">
        <v>21.650463999999999</v>
      </c>
    </row>
    <row r="1530" spans="1:2">
      <c r="A1530" s="14">
        <v>45409.500694000002</v>
      </c>
      <c r="B1530" s="15">
        <v>20.893440999999999</v>
      </c>
    </row>
    <row r="1531" spans="1:2">
      <c r="A1531" s="14">
        <v>45409.501388999997</v>
      </c>
      <c r="B1531" s="15">
        <v>21.230121</v>
      </c>
    </row>
    <row r="1532" spans="1:2">
      <c r="A1532" s="14">
        <v>45409.502082999999</v>
      </c>
      <c r="B1532" s="15">
        <v>21.266407000000001</v>
      </c>
    </row>
    <row r="1533" spans="1:2">
      <c r="A1533" s="14">
        <v>45409.502778000002</v>
      </c>
      <c r="B1533" s="15">
        <v>21.104455000000002</v>
      </c>
    </row>
    <row r="1534" spans="1:2">
      <c r="A1534" s="14">
        <v>45409.503471999997</v>
      </c>
      <c r="B1534" s="15">
        <v>21.208666000000001</v>
      </c>
    </row>
    <row r="1535" spans="1:2">
      <c r="A1535" s="14">
        <v>45409.504166999999</v>
      </c>
      <c r="B1535" s="15">
        <v>21.386889</v>
      </c>
    </row>
    <row r="1536" spans="1:2">
      <c r="A1536" s="14">
        <v>45409.504861000001</v>
      </c>
      <c r="B1536" s="15">
        <v>21.200023999999999</v>
      </c>
    </row>
    <row r="1537" spans="1:2">
      <c r="A1537" s="14">
        <v>45409.505555999996</v>
      </c>
      <c r="B1537" s="15">
        <v>21.114626000000001</v>
      </c>
    </row>
    <row r="1538" spans="1:2">
      <c r="A1538" s="14">
        <v>45409.506249999999</v>
      </c>
      <c r="B1538" s="15">
        <v>21.0472</v>
      </c>
    </row>
    <row r="1539" spans="1:2">
      <c r="A1539" s="14">
        <v>45409.506944000001</v>
      </c>
      <c r="B1539" s="15">
        <v>20.960663</v>
      </c>
    </row>
    <row r="1540" spans="1:2">
      <c r="A1540" s="14">
        <v>45409.507639000003</v>
      </c>
      <c r="B1540" s="15">
        <v>20.788112000000002</v>
      </c>
    </row>
    <row r="1541" spans="1:2">
      <c r="A1541" s="14">
        <v>45409.508332999998</v>
      </c>
      <c r="B1541" s="15">
        <v>21.148209999999999</v>
      </c>
    </row>
    <row r="1542" spans="1:2">
      <c r="A1542" s="14">
        <v>45409.509028</v>
      </c>
      <c r="B1542" s="15">
        <v>20.595758</v>
      </c>
    </row>
    <row r="1543" spans="1:2">
      <c r="A1543" s="14">
        <v>45409.509722000003</v>
      </c>
      <c r="B1543" s="15">
        <v>21.086534</v>
      </c>
    </row>
    <row r="1544" spans="1:2">
      <c r="A1544" s="14">
        <v>45409.510416999998</v>
      </c>
      <c r="B1544" s="15">
        <v>20.551603</v>
      </c>
    </row>
    <row r="1545" spans="1:2">
      <c r="A1545" s="14">
        <v>45409.511111</v>
      </c>
      <c r="B1545" s="15">
        <v>20.790785</v>
      </c>
    </row>
    <row r="1546" spans="1:2">
      <c r="A1546" s="14">
        <v>45409.511806000002</v>
      </c>
      <c r="B1546" s="15">
        <v>20.909368000000001</v>
      </c>
    </row>
    <row r="1547" spans="1:2">
      <c r="A1547" s="14">
        <v>45409.512499999997</v>
      </c>
      <c r="B1547" s="15">
        <v>21.716999000000001</v>
      </c>
    </row>
    <row r="1548" spans="1:2">
      <c r="A1548" s="14">
        <v>45409.513193999999</v>
      </c>
      <c r="B1548" s="15">
        <v>21.065227</v>
      </c>
    </row>
    <row r="1549" spans="1:2">
      <c r="A1549" s="14">
        <v>45409.513889000002</v>
      </c>
      <c r="B1549" s="15">
        <v>21.006267999999999</v>
      </c>
    </row>
    <row r="1550" spans="1:2">
      <c r="A1550" s="14">
        <v>45409.514582999996</v>
      </c>
      <c r="B1550" s="15">
        <v>21.139327000000002</v>
      </c>
    </row>
    <row r="1551" spans="1:2">
      <c r="A1551" s="14">
        <v>45409.515277999999</v>
      </c>
      <c r="B1551" s="15">
        <v>21.134499999999999</v>
      </c>
    </row>
    <row r="1552" spans="1:2">
      <c r="A1552" s="14">
        <v>45409.515972000001</v>
      </c>
      <c r="B1552" s="15">
        <v>21.144618999999999</v>
      </c>
    </row>
    <row r="1553" spans="1:2">
      <c r="A1553" s="14">
        <v>45409.516667000004</v>
      </c>
      <c r="B1553" s="15">
        <v>21.517340000000001</v>
      </c>
    </row>
    <row r="1554" spans="1:2">
      <c r="A1554" s="14">
        <v>45409.517360999998</v>
      </c>
      <c r="B1554" s="15">
        <v>21.152555</v>
      </c>
    </row>
    <row r="1555" spans="1:2">
      <c r="A1555" s="14">
        <v>45409.518056000001</v>
      </c>
      <c r="B1555" s="15">
        <v>20.489948999999999</v>
      </c>
    </row>
    <row r="1556" spans="1:2">
      <c r="A1556" s="14">
        <v>45409.518750000003</v>
      </c>
      <c r="B1556" s="15">
        <v>21.277531</v>
      </c>
    </row>
    <row r="1557" spans="1:2">
      <c r="A1557" s="14">
        <v>45409.519443999998</v>
      </c>
      <c r="B1557" s="15">
        <v>20.997613999999999</v>
      </c>
    </row>
    <row r="1558" spans="1:2">
      <c r="A1558" s="14">
        <v>45409.520139</v>
      </c>
      <c r="B1558" s="15">
        <v>20.586718000000001</v>
      </c>
    </row>
    <row r="1559" spans="1:2">
      <c r="A1559" s="14">
        <v>45409.520833000002</v>
      </c>
      <c r="B1559" s="15">
        <v>20.963802999999999</v>
      </c>
    </row>
    <row r="1560" spans="1:2">
      <c r="A1560" s="14">
        <v>45409.521527999997</v>
      </c>
      <c r="B1560" s="15">
        <v>20.788188999999999</v>
      </c>
    </row>
    <row r="1561" spans="1:2">
      <c r="A1561" s="14">
        <v>45409.522222</v>
      </c>
      <c r="B1561" s="15">
        <v>21.044024</v>
      </c>
    </row>
    <row r="1562" spans="1:2">
      <c r="A1562" s="14">
        <v>45409.522917000002</v>
      </c>
      <c r="B1562" s="15">
        <v>21.007739000000001</v>
      </c>
    </row>
    <row r="1563" spans="1:2">
      <c r="A1563" s="14">
        <v>45409.523610999997</v>
      </c>
      <c r="B1563" s="15">
        <v>21.108308000000001</v>
      </c>
    </row>
    <row r="1564" spans="1:2">
      <c r="A1564" s="14">
        <v>45409.524305999999</v>
      </c>
      <c r="B1564" s="15">
        <v>20.481316</v>
      </c>
    </row>
    <row r="1565" spans="1:2">
      <c r="A1565" s="14">
        <v>45409.525000000001</v>
      </c>
      <c r="B1565" s="15">
        <v>21.136296999999999</v>
      </c>
    </row>
    <row r="1566" spans="1:2">
      <c r="A1566" s="14">
        <v>45409.525694000004</v>
      </c>
      <c r="B1566" s="15">
        <v>20.722263000000002</v>
      </c>
    </row>
    <row r="1567" spans="1:2">
      <c r="A1567" s="14">
        <v>45409.526388999999</v>
      </c>
      <c r="B1567" s="15">
        <v>20.766185</v>
      </c>
    </row>
    <row r="1568" spans="1:2">
      <c r="A1568" s="14">
        <v>45409.527083000001</v>
      </c>
      <c r="B1568" s="15">
        <v>21.044024</v>
      </c>
    </row>
    <row r="1569" spans="1:2">
      <c r="A1569" s="14">
        <v>45409.527778000003</v>
      </c>
      <c r="B1569" s="15">
        <v>21.173411000000002</v>
      </c>
    </row>
    <row r="1570" spans="1:2">
      <c r="A1570" s="14">
        <v>45409.528471999998</v>
      </c>
      <c r="B1570" s="15">
        <v>21.095427999999998</v>
      </c>
    </row>
    <row r="1571" spans="1:2">
      <c r="A1571" s="14">
        <v>45409.529167000001</v>
      </c>
      <c r="B1571" s="15">
        <v>20.737057</v>
      </c>
    </row>
    <row r="1572" spans="1:2">
      <c r="A1572" s="14">
        <v>45409.529861000003</v>
      </c>
      <c r="B1572" s="15">
        <v>21.305716</v>
      </c>
    </row>
    <row r="1573" spans="1:2">
      <c r="A1573" s="14">
        <v>45409.530555999998</v>
      </c>
      <c r="B1573" s="15">
        <v>20.765484000000001</v>
      </c>
    </row>
    <row r="1574" spans="1:2">
      <c r="A1574" s="14">
        <v>45409.53125</v>
      </c>
      <c r="B1574" s="15">
        <v>20.412306999999998</v>
      </c>
    </row>
    <row r="1575" spans="1:2">
      <c r="A1575" s="14">
        <v>45409.531944000002</v>
      </c>
      <c r="B1575" s="15">
        <v>21.118749000000001</v>
      </c>
    </row>
    <row r="1576" spans="1:2">
      <c r="A1576" s="14">
        <v>45409.532638999997</v>
      </c>
      <c r="B1576" s="15">
        <v>21.206424999999999</v>
      </c>
    </row>
    <row r="1577" spans="1:2">
      <c r="A1577" s="14">
        <v>45409.533332999999</v>
      </c>
      <c r="B1577" s="15">
        <v>21.065059000000002</v>
      </c>
    </row>
    <row r="1578" spans="1:2">
      <c r="A1578" s="14">
        <v>45409.534028000002</v>
      </c>
      <c r="B1578" s="15">
        <v>21.244790999999999</v>
      </c>
    </row>
    <row r="1579" spans="1:2">
      <c r="A1579" s="14">
        <v>45409.534721999997</v>
      </c>
      <c r="B1579" s="15">
        <v>21.320440000000001</v>
      </c>
    </row>
    <row r="1580" spans="1:2">
      <c r="A1580" s="14">
        <v>45409.535416999999</v>
      </c>
      <c r="B1580" s="15">
        <v>20.853831</v>
      </c>
    </row>
    <row r="1581" spans="1:2">
      <c r="A1581" s="14">
        <v>45409.536111000001</v>
      </c>
      <c r="B1581" s="15">
        <v>20.309612000000001</v>
      </c>
    </row>
    <row r="1582" spans="1:2">
      <c r="A1582" s="14">
        <v>45409.536805999996</v>
      </c>
      <c r="B1582" s="15">
        <v>20.976443</v>
      </c>
    </row>
    <row r="1583" spans="1:2">
      <c r="A1583" s="14">
        <v>45409.537499999999</v>
      </c>
      <c r="B1583" s="15">
        <v>21.192696000000002</v>
      </c>
    </row>
    <row r="1584" spans="1:2">
      <c r="A1584" s="14">
        <v>45409.538194000001</v>
      </c>
      <c r="B1584" s="15">
        <v>20.741454999999998</v>
      </c>
    </row>
    <row r="1585" spans="1:2">
      <c r="A1585" s="14">
        <v>45409.538889000003</v>
      </c>
      <c r="B1585" s="15">
        <v>21.015787</v>
      </c>
    </row>
    <row r="1586" spans="1:2">
      <c r="A1586" s="14">
        <v>45409.539582999998</v>
      </c>
      <c r="B1586" s="15">
        <v>20.348269999999999</v>
      </c>
    </row>
    <row r="1587" spans="1:2">
      <c r="A1587" s="14">
        <v>45409.540278</v>
      </c>
      <c r="B1587" s="15">
        <v>20.820737000000001</v>
      </c>
    </row>
    <row r="1588" spans="1:2">
      <c r="A1588" s="14">
        <v>45409.540972000003</v>
      </c>
      <c r="B1588" s="15">
        <v>20.886507999999999</v>
      </c>
    </row>
    <row r="1589" spans="1:2">
      <c r="A1589" s="14">
        <v>45409.541666999998</v>
      </c>
      <c r="B1589" s="15">
        <v>20.501024000000001</v>
      </c>
    </row>
    <row r="1590" spans="1:2">
      <c r="A1590" s="14">
        <v>45409.542361</v>
      </c>
      <c r="B1590" s="15">
        <v>20.438752000000001</v>
      </c>
    </row>
    <row r="1591" spans="1:2">
      <c r="A1591" s="14">
        <v>45409.543056000002</v>
      </c>
      <c r="B1591" s="15">
        <v>20.905457999999999</v>
      </c>
    </row>
    <row r="1592" spans="1:2">
      <c r="A1592" s="14">
        <v>45409.543749999997</v>
      </c>
      <c r="B1592" s="15">
        <v>20.919063999999999</v>
      </c>
    </row>
    <row r="1593" spans="1:2">
      <c r="A1593" s="14">
        <v>45409.544443999999</v>
      </c>
      <c r="B1593" s="15">
        <v>20.384910000000001</v>
      </c>
    </row>
    <row r="1594" spans="1:2">
      <c r="A1594" s="14">
        <v>45409.545139000002</v>
      </c>
      <c r="B1594" s="15">
        <v>21.160900999999999</v>
      </c>
    </row>
    <row r="1595" spans="1:2">
      <c r="A1595" s="14">
        <v>45409.545832999996</v>
      </c>
      <c r="B1595" s="15">
        <v>20.176480999999999</v>
      </c>
    </row>
    <row r="1596" spans="1:2">
      <c r="A1596" s="14">
        <v>45409.546527999999</v>
      </c>
      <c r="B1596" s="15">
        <v>21.30799</v>
      </c>
    </row>
    <row r="1597" spans="1:2">
      <c r="A1597" s="14">
        <v>45409.547222000001</v>
      </c>
      <c r="B1597" s="15">
        <v>20.921289000000002</v>
      </c>
    </row>
    <row r="1598" spans="1:2">
      <c r="A1598" s="14">
        <v>45409.547917000004</v>
      </c>
      <c r="B1598" s="15">
        <v>21.238803999999998</v>
      </c>
    </row>
    <row r="1599" spans="1:2">
      <c r="A1599" s="14">
        <v>45409.548610999998</v>
      </c>
      <c r="B1599" s="15">
        <v>21.088740999999999</v>
      </c>
    </row>
    <row r="1600" spans="1:2">
      <c r="A1600" s="14">
        <v>45409.549306000001</v>
      </c>
      <c r="B1600" s="15">
        <v>21.194108</v>
      </c>
    </row>
    <row r="1601" spans="1:2">
      <c r="A1601" s="14">
        <v>45409.55</v>
      </c>
      <c r="B1601" s="15">
        <v>20.732299000000001</v>
      </c>
    </row>
    <row r="1602" spans="1:2">
      <c r="A1602" s="14">
        <v>45409.550693999998</v>
      </c>
      <c r="B1602" s="15">
        <v>20.683561999999998</v>
      </c>
    </row>
    <row r="1603" spans="1:2">
      <c r="A1603" s="14">
        <v>45409.551389</v>
      </c>
      <c r="B1603" s="15">
        <v>20.709726</v>
      </c>
    </row>
    <row r="1604" spans="1:2">
      <c r="A1604" s="14">
        <v>45409.552083000002</v>
      </c>
      <c r="B1604" s="15">
        <v>20.827687999999998</v>
      </c>
    </row>
    <row r="1605" spans="1:2">
      <c r="A1605" s="14">
        <v>45409.552777999997</v>
      </c>
      <c r="B1605" s="15">
        <v>20.836348999999998</v>
      </c>
    </row>
    <row r="1606" spans="1:2">
      <c r="A1606" s="14">
        <v>45409.553472</v>
      </c>
      <c r="B1606" s="15">
        <v>20.872627999999999</v>
      </c>
    </row>
    <row r="1607" spans="1:2">
      <c r="A1607" s="14">
        <v>45409.554167000002</v>
      </c>
      <c r="B1607" s="15">
        <v>20.967027000000002</v>
      </c>
    </row>
    <row r="1608" spans="1:2">
      <c r="A1608" s="14">
        <v>45409.554860999997</v>
      </c>
      <c r="B1608" s="15">
        <v>20.543503999999999</v>
      </c>
    </row>
    <row r="1609" spans="1:2">
      <c r="A1609" s="14">
        <v>45409.555555999999</v>
      </c>
      <c r="B1609" s="15">
        <v>20.732849000000002</v>
      </c>
    </row>
    <row r="1610" spans="1:2">
      <c r="A1610" s="14">
        <v>45409.556250000001</v>
      </c>
      <c r="B1610" s="15">
        <v>20.234434</v>
      </c>
    </row>
    <row r="1611" spans="1:2">
      <c r="A1611" s="14">
        <v>45409.556944000004</v>
      </c>
      <c r="B1611" s="15">
        <v>20.808024</v>
      </c>
    </row>
    <row r="1612" spans="1:2">
      <c r="A1612" s="14">
        <v>45409.557638999999</v>
      </c>
      <c r="B1612" s="15">
        <v>21.314626000000001</v>
      </c>
    </row>
    <row r="1613" spans="1:2">
      <c r="A1613" s="14">
        <v>45409.558333000001</v>
      </c>
      <c r="B1613" s="15">
        <v>20.179397000000002</v>
      </c>
    </row>
    <row r="1614" spans="1:2">
      <c r="A1614" s="14">
        <v>45409.559028000003</v>
      </c>
      <c r="B1614" s="15">
        <v>20.621579000000001</v>
      </c>
    </row>
    <row r="1615" spans="1:2">
      <c r="A1615" s="14">
        <v>45409.559721999998</v>
      </c>
      <c r="B1615" s="15">
        <v>20.852412999999999</v>
      </c>
    </row>
    <row r="1616" spans="1:2">
      <c r="A1616" s="14">
        <v>45409.560417000001</v>
      </c>
      <c r="B1616" s="15">
        <v>20.833884999999999</v>
      </c>
    </row>
    <row r="1617" spans="1:2">
      <c r="A1617" s="14">
        <v>45409.561111000003</v>
      </c>
      <c r="B1617" s="15">
        <v>21.111294000000001</v>
      </c>
    </row>
    <row r="1618" spans="1:2">
      <c r="A1618" s="14">
        <v>45409.561805999998</v>
      </c>
      <c r="B1618" s="15">
        <v>21.145641999999999</v>
      </c>
    </row>
    <row r="1619" spans="1:2">
      <c r="A1619" s="14">
        <v>45409.5625</v>
      </c>
      <c r="B1619" s="15">
        <v>20.815809000000002</v>
      </c>
    </row>
    <row r="1620" spans="1:2">
      <c r="A1620" s="14">
        <v>45409.563194000002</v>
      </c>
      <c r="B1620" s="15">
        <v>20.180019000000001</v>
      </c>
    </row>
    <row r="1621" spans="1:2">
      <c r="A1621" s="14">
        <v>45409.563888999997</v>
      </c>
      <c r="B1621" s="15">
        <v>20.843608</v>
      </c>
    </row>
    <row r="1622" spans="1:2">
      <c r="A1622" s="14">
        <v>45409.564582999999</v>
      </c>
      <c r="B1622" s="15">
        <v>21.311644000000001</v>
      </c>
    </row>
    <row r="1623" spans="1:2">
      <c r="A1623" s="14">
        <v>45409.565278000002</v>
      </c>
      <c r="B1623" s="15">
        <v>21.031578</v>
      </c>
    </row>
    <row r="1624" spans="1:2">
      <c r="A1624" s="14">
        <v>45409.565971999997</v>
      </c>
      <c r="B1624" s="15">
        <v>20.194292000000001</v>
      </c>
    </row>
    <row r="1625" spans="1:2">
      <c r="A1625" s="14">
        <v>45409.566666999999</v>
      </c>
      <c r="B1625" s="15">
        <v>20.574572</v>
      </c>
    </row>
    <row r="1626" spans="1:2">
      <c r="A1626" s="14">
        <v>45409.567361000001</v>
      </c>
      <c r="B1626" s="15">
        <v>20.802841999999998</v>
      </c>
    </row>
    <row r="1627" spans="1:2">
      <c r="A1627" s="14">
        <v>45409.568055999996</v>
      </c>
      <c r="B1627" s="15">
        <v>20.664567000000002</v>
      </c>
    </row>
    <row r="1628" spans="1:2">
      <c r="A1628" s="14">
        <v>45409.568749999999</v>
      </c>
      <c r="B1628" s="15">
        <v>21.396587</v>
      </c>
    </row>
    <row r="1629" spans="1:2">
      <c r="A1629" s="14">
        <v>45409.569444000001</v>
      </c>
      <c r="B1629" s="15">
        <v>20.489826999999998</v>
      </c>
    </row>
    <row r="1630" spans="1:2">
      <c r="A1630" s="14">
        <v>45409.570139000003</v>
      </c>
      <c r="B1630" s="15">
        <v>20.760224999999998</v>
      </c>
    </row>
    <row r="1631" spans="1:2">
      <c r="A1631" s="14">
        <v>45409.570832999998</v>
      </c>
      <c r="B1631" s="15">
        <v>20.873339999999999</v>
      </c>
    </row>
    <row r="1632" spans="1:2">
      <c r="A1632" s="14">
        <v>45409.571528</v>
      </c>
      <c r="B1632" s="15">
        <v>20.956961</v>
      </c>
    </row>
    <row r="1633" spans="1:2">
      <c r="A1633" s="14">
        <v>45409.572222000003</v>
      </c>
      <c r="B1633" s="15">
        <v>20.911629999999999</v>
      </c>
    </row>
    <row r="1634" spans="1:2">
      <c r="A1634" s="14">
        <v>45409.572916999998</v>
      </c>
      <c r="B1634" s="15">
        <v>21.289670000000001</v>
      </c>
    </row>
    <row r="1635" spans="1:2">
      <c r="A1635" s="14">
        <v>45409.573611</v>
      </c>
      <c r="B1635" s="15">
        <v>20.664525000000001</v>
      </c>
    </row>
    <row r="1636" spans="1:2">
      <c r="A1636" s="14">
        <v>45409.574306000002</v>
      </c>
      <c r="B1636" s="15">
        <v>20.916837000000001</v>
      </c>
    </row>
    <row r="1637" spans="1:2">
      <c r="A1637" s="14">
        <v>45409.574999999997</v>
      </c>
      <c r="B1637" s="15">
        <v>21.019891999999999</v>
      </c>
    </row>
    <row r="1638" spans="1:2">
      <c r="A1638" s="14">
        <v>45409.575693999999</v>
      </c>
      <c r="B1638" s="15">
        <v>21.253395000000001</v>
      </c>
    </row>
    <row r="1639" spans="1:2">
      <c r="A1639" s="14">
        <v>45409.576389000002</v>
      </c>
      <c r="B1639" s="15">
        <v>21.145137999999999</v>
      </c>
    </row>
    <row r="1640" spans="1:2">
      <c r="A1640" s="14">
        <v>45409.577082999996</v>
      </c>
      <c r="B1640" s="15">
        <v>20.763072999999999</v>
      </c>
    </row>
    <row r="1641" spans="1:2">
      <c r="A1641" s="14">
        <v>45409.577777999999</v>
      </c>
      <c r="B1641" s="15">
        <v>20.814609999999998</v>
      </c>
    </row>
    <row r="1642" spans="1:2">
      <c r="A1642" s="14">
        <v>45409.578472000001</v>
      </c>
      <c r="B1642" s="15">
        <v>20.550041</v>
      </c>
    </row>
    <row r="1643" spans="1:2">
      <c r="A1643" s="14">
        <v>45409.579167000004</v>
      </c>
      <c r="B1643" s="15">
        <v>20.395447000000001</v>
      </c>
    </row>
    <row r="1644" spans="1:2">
      <c r="A1644" s="14">
        <v>45409.579860999998</v>
      </c>
      <c r="B1644" s="15">
        <v>20.414704</v>
      </c>
    </row>
    <row r="1645" spans="1:2">
      <c r="A1645" s="14">
        <v>45409.580556000001</v>
      </c>
      <c r="B1645" s="15">
        <v>20.864632</v>
      </c>
    </row>
    <row r="1646" spans="1:2">
      <c r="A1646" s="14">
        <v>45409.581250000003</v>
      </c>
      <c r="B1646" s="15">
        <v>20.655462</v>
      </c>
    </row>
    <row r="1647" spans="1:2">
      <c r="A1647" s="14">
        <v>45409.581943999998</v>
      </c>
      <c r="B1647" s="15">
        <v>20.809038000000001</v>
      </c>
    </row>
    <row r="1648" spans="1:2">
      <c r="A1648" s="14">
        <v>45409.582639</v>
      </c>
      <c r="B1648" s="15">
        <v>20.294353999999998</v>
      </c>
    </row>
    <row r="1649" spans="1:2">
      <c r="A1649" s="14">
        <v>45409.583333000002</v>
      </c>
      <c r="B1649" s="15">
        <v>19.882704</v>
      </c>
    </row>
    <row r="1650" spans="1:2">
      <c r="A1650" s="14">
        <v>45409.584027999997</v>
      </c>
      <c r="B1650" s="15">
        <v>16.045636999999999</v>
      </c>
    </row>
    <row r="1651" spans="1:2">
      <c r="A1651" s="14">
        <v>45409.584722</v>
      </c>
      <c r="B1651" s="15">
        <v>16.369335</v>
      </c>
    </row>
    <row r="1652" spans="1:2">
      <c r="A1652" s="14">
        <v>45409.585417000002</v>
      </c>
      <c r="B1652" s="15">
        <v>16.072607000000001</v>
      </c>
    </row>
    <row r="1653" spans="1:2">
      <c r="A1653" s="14">
        <v>45409.586110999997</v>
      </c>
      <c r="B1653" s="15">
        <v>15.908806999999999</v>
      </c>
    </row>
    <row r="1654" spans="1:2">
      <c r="A1654" s="14">
        <v>45409.586805999999</v>
      </c>
      <c r="B1654" s="15">
        <v>16.700030000000002</v>
      </c>
    </row>
    <row r="1655" spans="1:2">
      <c r="A1655" s="14">
        <v>45409.587500000001</v>
      </c>
      <c r="B1655" s="15">
        <v>15.402766</v>
      </c>
    </row>
    <row r="1656" spans="1:2">
      <c r="A1656" s="14">
        <v>45409.588194000004</v>
      </c>
      <c r="B1656" s="15">
        <v>16.650037000000001</v>
      </c>
    </row>
    <row r="1657" spans="1:2">
      <c r="A1657" s="14">
        <v>45409.588888999999</v>
      </c>
      <c r="B1657" s="15">
        <v>15.980943999999999</v>
      </c>
    </row>
    <row r="1658" spans="1:2">
      <c r="A1658" s="14">
        <v>45409.589583000001</v>
      </c>
      <c r="B1658" s="15">
        <v>15.951027</v>
      </c>
    </row>
    <row r="1659" spans="1:2">
      <c r="A1659" s="14">
        <v>45409.590278000003</v>
      </c>
      <c r="B1659" s="15">
        <v>15.802308999999999</v>
      </c>
    </row>
    <row r="1660" spans="1:2">
      <c r="A1660" s="14">
        <v>45409.590971999998</v>
      </c>
      <c r="B1660" s="15">
        <v>16.583970999999998</v>
      </c>
    </row>
    <row r="1661" spans="1:2">
      <c r="A1661" s="14">
        <v>45409.591667000001</v>
      </c>
      <c r="B1661" s="15">
        <v>16.313414000000002</v>
      </c>
    </row>
    <row r="1662" spans="1:2">
      <c r="A1662" s="14">
        <v>45409.592361000003</v>
      </c>
      <c r="B1662" s="15">
        <v>16.420541</v>
      </c>
    </row>
    <row r="1663" spans="1:2">
      <c r="A1663" s="14">
        <v>45409.593055999998</v>
      </c>
      <c r="B1663" s="15">
        <v>16.493334000000001</v>
      </c>
    </row>
    <row r="1664" spans="1:2">
      <c r="A1664" s="14">
        <v>45409.59375</v>
      </c>
      <c r="B1664" s="15">
        <v>16.043037000000002</v>
      </c>
    </row>
    <row r="1665" spans="1:2">
      <c r="A1665" s="14">
        <v>45409.594444000002</v>
      </c>
      <c r="B1665" s="15">
        <v>15.686752</v>
      </c>
    </row>
    <row r="1666" spans="1:2">
      <c r="A1666" s="14">
        <v>45409.595138999997</v>
      </c>
      <c r="B1666" s="15">
        <v>16.427085999999999</v>
      </c>
    </row>
    <row r="1667" spans="1:2">
      <c r="A1667" s="14">
        <v>45409.595832999999</v>
      </c>
      <c r="B1667" s="15">
        <v>16.785319999999999</v>
      </c>
    </row>
    <row r="1668" spans="1:2">
      <c r="A1668" s="14">
        <v>45409.596528000002</v>
      </c>
      <c r="B1668" s="15">
        <v>15.928036000000001</v>
      </c>
    </row>
    <row r="1669" spans="1:2">
      <c r="A1669" s="14">
        <v>45409.597221999997</v>
      </c>
      <c r="B1669" s="15">
        <v>16.493400999999999</v>
      </c>
    </row>
    <row r="1670" spans="1:2">
      <c r="A1670" s="14">
        <v>45409.597916999999</v>
      </c>
      <c r="B1670" s="15">
        <v>16.064746</v>
      </c>
    </row>
    <row r="1671" spans="1:2">
      <c r="A1671" s="14">
        <v>45409.598611000001</v>
      </c>
      <c r="B1671" s="15">
        <v>15.896902000000001</v>
      </c>
    </row>
    <row r="1672" spans="1:2">
      <c r="A1672" s="14">
        <v>45409.599305999996</v>
      </c>
      <c r="B1672" s="15">
        <v>16.227602000000001</v>
      </c>
    </row>
    <row r="1673" spans="1:2">
      <c r="A1673" s="14">
        <v>45409.599999999999</v>
      </c>
      <c r="B1673" s="15">
        <v>16.297981</v>
      </c>
    </row>
    <row r="1674" spans="1:2">
      <c r="A1674" s="14">
        <v>45409.600694000001</v>
      </c>
      <c r="B1674" s="15">
        <v>16.465790999999999</v>
      </c>
    </row>
    <row r="1675" spans="1:2">
      <c r="A1675" s="14">
        <v>45409.601389000003</v>
      </c>
      <c r="B1675" s="15">
        <v>16.586812999999999</v>
      </c>
    </row>
    <row r="1676" spans="1:2">
      <c r="A1676" s="14">
        <v>45409.602082999998</v>
      </c>
      <c r="B1676" s="15">
        <v>15.731242</v>
      </c>
    </row>
    <row r="1677" spans="1:2">
      <c r="A1677" s="14">
        <v>45409.602778</v>
      </c>
      <c r="B1677" s="15">
        <v>15.844721</v>
      </c>
    </row>
    <row r="1678" spans="1:2">
      <c r="A1678" s="14">
        <v>45409.603472000003</v>
      </c>
      <c r="B1678" s="15">
        <v>16.130399000000001</v>
      </c>
    </row>
    <row r="1679" spans="1:2">
      <c r="A1679" s="14">
        <v>45409.604166999998</v>
      </c>
      <c r="B1679" s="15">
        <v>16.745142000000001</v>
      </c>
    </row>
    <row r="1680" spans="1:2">
      <c r="A1680" s="14">
        <v>45409.604861</v>
      </c>
      <c r="B1680" s="15">
        <v>16.589061000000001</v>
      </c>
    </row>
    <row r="1681" spans="1:2">
      <c r="A1681" s="14">
        <v>45409.605556000002</v>
      </c>
      <c r="B1681" s="15">
        <v>15.794359999999999</v>
      </c>
    </row>
    <row r="1682" spans="1:2">
      <c r="A1682" s="14">
        <v>45409.606249999997</v>
      </c>
      <c r="B1682" s="15">
        <v>15.965484</v>
      </c>
    </row>
    <row r="1683" spans="1:2">
      <c r="A1683" s="14">
        <v>45409.606943999999</v>
      </c>
      <c r="B1683" s="15">
        <v>16.442685000000001</v>
      </c>
    </row>
    <row r="1684" spans="1:2">
      <c r="A1684" s="14">
        <v>45409.607639000002</v>
      </c>
      <c r="B1684" s="15">
        <v>16.067533000000001</v>
      </c>
    </row>
    <row r="1685" spans="1:2">
      <c r="A1685" s="14">
        <v>45409.608332999996</v>
      </c>
      <c r="B1685" s="15">
        <v>15.753498</v>
      </c>
    </row>
    <row r="1686" spans="1:2">
      <c r="A1686" s="14">
        <v>45409.609027999999</v>
      </c>
      <c r="B1686" s="15">
        <v>16.523115000000001</v>
      </c>
    </row>
    <row r="1687" spans="1:2">
      <c r="A1687" s="14">
        <v>45409.609722000001</v>
      </c>
      <c r="B1687" s="15">
        <v>15.505329</v>
      </c>
    </row>
    <row r="1688" spans="1:2">
      <c r="A1688" s="14">
        <v>45409.610417000004</v>
      </c>
      <c r="B1688" s="15">
        <v>15.521784</v>
      </c>
    </row>
    <row r="1689" spans="1:2">
      <c r="A1689" s="14">
        <v>45409.611110999998</v>
      </c>
      <c r="B1689" s="15">
        <v>16.391479</v>
      </c>
    </row>
    <row r="1690" spans="1:2">
      <c r="A1690" s="14">
        <v>45409.611806000001</v>
      </c>
      <c r="B1690" s="15">
        <v>15.981551</v>
      </c>
    </row>
    <row r="1691" spans="1:2">
      <c r="A1691" s="14">
        <v>45409.612500000003</v>
      </c>
      <c r="B1691" s="15">
        <v>16.454291000000001</v>
      </c>
    </row>
    <row r="1692" spans="1:2">
      <c r="A1692" s="14">
        <v>45409.613193999998</v>
      </c>
      <c r="B1692" s="15">
        <v>16.198879999999999</v>
      </c>
    </row>
    <row r="1693" spans="1:2">
      <c r="A1693" s="14">
        <v>45409.613889</v>
      </c>
      <c r="B1693" s="15">
        <v>16.356356999999999</v>
      </c>
    </row>
    <row r="1694" spans="1:2">
      <c r="A1694" s="14">
        <v>45409.614583000002</v>
      </c>
      <c r="B1694" s="15">
        <v>16.594909999999999</v>
      </c>
    </row>
    <row r="1695" spans="1:2">
      <c r="A1695" s="14">
        <v>45409.615277999997</v>
      </c>
      <c r="B1695" s="15">
        <v>15.938718</v>
      </c>
    </row>
    <row r="1696" spans="1:2">
      <c r="A1696" s="14">
        <v>45409.615972</v>
      </c>
      <c r="B1696" s="15">
        <v>16.201438</v>
      </c>
    </row>
    <row r="1697" spans="1:2">
      <c r="A1697" s="14">
        <v>45409.616667000002</v>
      </c>
      <c r="B1697" s="15">
        <v>16.290163</v>
      </c>
    </row>
    <row r="1698" spans="1:2">
      <c r="A1698" s="14">
        <v>45409.617360999997</v>
      </c>
      <c r="B1698" s="15">
        <v>15.925523999999999</v>
      </c>
    </row>
    <row r="1699" spans="1:2">
      <c r="A1699" s="14">
        <v>45409.618055999999</v>
      </c>
      <c r="B1699" s="15">
        <v>15.655196999999999</v>
      </c>
    </row>
    <row r="1700" spans="1:2">
      <c r="A1700" s="14">
        <v>45409.618750000001</v>
      </c>
      <c r="B1700" s="15">
        <v>16.211238000000002</v>
      </c>
    </row>
    <row r="1701" spans="1:2">
      <c r="A1701" s="14">
        <v>45409.619444000004</v>
      </c>
      <c r="B1701" s="15">
        <v>16.235078000000001</v>
      </c>
    </row>
    <row r="1702" spans="1:2">
      <c r="A1702" s="14">
        <v>45409.620138999999</v>
      </c>
      <c r="B1702" s="15">
        <v>15.955617</v>
      </c>
    </row>
    <row r="1703" spans="1:2">
      <c r="A1703" s="14">
        <v>45409.620833000001</v>
      </c>
      <c r="B1703" s="15">
        <v>16.458997</v>
      </c>
    </row>
    <row r="1704" spans="1:2">
      <c r="A1704" s="14">
        <v>45409.621528000003</v>
      </c>
      <c r="B1704" s="15">
        <v>16.511226000000001</v>
      </c>
    </row>
    <row r="1705" spans="1:2">
      <c r="A1705" s="14">
        <v>45409.622221999998</v>
      </c>
      <c r="B1705" s="15">
        <v>15.776273</v>
      </c>
    </row>
    <row r="1706" spans="1:2">
      <c r="A1706" s="14">
        <v>45409.622917000001</v>
      </c>
      <c r="B1706" s="15">
        <v>16.182541000000001</v>
      </c>
    </row>
    <row r="1707" spans="1:2">
      <c r="A1707" s="14">
        <v>45409.623611000003</v>
      </c>
      <c r="B1707" s="15">
        <v>15.572948</v>
      </c>
    </row>
    <row r="1708" spans="1:2">
      <c r="A1708" s="14">
        <v>45409.624305999998</v>
      </c>
      <c r="B1708" s="15">
        <v>15.919701999999999</v>
      </c>
    </row>
    <row r="1709" spans="1:2">
      <c r="A1709" s="14">
        <v>45409.625</v>
      </c>
      <c r="B1709" s="15">
        <v>16.459318</v>
      </c>
    </row>
    <row r="1710" spans="1:2">
      <c r="A1710" s="14">
        <v>45409.625694000002</v>
      </c>
      <c r="B1710" s="15">
        <v>16.100612000000002</v>
      </c>
    </row>
    <row r="1711" spans="1:2">
      <c r="A1711" s="14">
        <v>45409.626388999997</v>
      </c>
      <c r="B1711" s="15">
        <v>15.907584</v>
      </c>
    </row>
    <row r="1712" spans="1:2">
      <c r="A1712" s="14">
        <v>45409.627082999999</v>
      </c>
      <c r="B1712" s="15">
        <v>16.680731999999999</v>
      </c>
    </row>
    <row r="1713" spans="1:2">
      <c r="A1713" s="14">
        <v>45409.627778000002</v>
      </c>
      <c r="B1713" s="15">
        <v>16.462244999999999</v>
      </c>
    </row>
    <row r="1714" spans="1:2">
      <c r="A1714" s="14">
        <v>45409.628471999997</v>
      </c>
      <c r="B1714" s="15">
        <v>15.946766</v>
      </c>
    </row>
    <row r="1715" spans="1:2">
      <c r="A1715" s="14">
        <v>45409.629166999999</v>
      </c>
      <c r="B1715" s="15">
        <v>16.473783999999998</v>
      </c>
    </row>
    <row r="1716" spans="1:2">
      <c r="A1716" s="14">
        <v>45409.629861000001</v>
      </c>
      <c r="B1716" s="15">
        <v>15.869781</v>
      </c>
    </row>
    <row r="1717" spans="1:2">
      <c r="A1717" s="14">
        <v>45409.630555999996</v>
      </c>
      <c r="B1717" s="15">
        <v>16.508489000000001</v>
      </c>
    </row>
    <row r="1718" spans="1:2">
      <c r="A1718" s="14">
        <v>45409.631249999999</v>
      </c>
      <c r="B1718" s="15">
        <v>16.107906</v>
      </c>
    </row>
    <row r="1719" spans="1:2">
      <c r="A1719" s="14">
        <v>45409.631944000001</v>
      </c>
      <c r="B1719" s="15">
        <v>15.555866</v>
      </c>
    </row>
    <row r="1720" spans="1:2">
      <c r="A1720" s="14">
        <v>45409.632639000003</v>
      </c>
      <c r="B1720" s="15">
        <v>16.475648</v>
      </c>
    </row>
    <row r="1721" spans="1:2">
      <c r="A1721" s="14">
        <v>45409.633332999998</v>
      </c>
      <c r="B1721" s="15">
        <v>16.011786000000001</v>
      </c>
    </row>
    <row r="1722" spans="1:2">
      <c r="A1722" s="14">
        <v>45409.634028</v>
      </c>
      <c r="B1722" s="15">
        <v>16.320512000000001</v>
      </c>
    </row>
    <row r="1723" spans="1:2">
      <c r="A1723" s="14">
        <v>45409.634722000003</v>
      </c>
      <c r="B1723" s="15">
        <v>15.761383</v>
      </c>
    </row>
    <row r="1724" spans="1:2">
      <c r="A1724" s="14">
        <v>45409.635416999998</v>
      </c>
      <c r="B1724" s="15">
        <v>15.821178</v>
      </c>
    </row>
    <row r="1725" spans="1:2">
      <c r="A1725" s="14">
        <v>45409.636111</v>
      </c>
      <c r="B1725" s="15">
        <v>15.984838999999999</v>
      </c>
    </row>
    <row r="1726" spans="1:2">
      <c r="A1726" s="14">
        <v>45409.636806000002</v>
      </c>
      <c r="B1726" s="15">
        <v>16.285913000000001</v>
      </c>
    </row>
    <row r="1727" spans="1:2">
      <c r="A1727" s="14">
        <v>45409.637499999997</v>
      </c>
      <c r="B1727" s="15">
        <v>15.727358000000001</v>
      </c>
    </row>
    <row r="1728" spans="1:2">
      <c r="A1728" s="14">
        <v>45409.638193999999</v>
      </c>
      <c r="B1728" s="15">
        <v>16.370632000000001</v>
      </c>
    </row>
    <row r="1729" spans="1:2">
      <c r="A1729" s="14">
        <v>45409.638889000002</v>
      </c>
      <c r="B1729" s="15">
        <v>15.806359</v>
      </c>
    </row>
    <row r="1730" spans="1:2">
      <c r="A1730" s="14">
        <v>45409.639582999996</v>
      </c>
      <c r="B1730" s="15">
        <v>15.829611999999999</v>
      </c>
    </row>
    <row r="1731" spans="1:2">
      <c r="A1731" s="14">
        <v>45409.640277999999</v>
      </c>
      <c r="B1731" s="15">
        <v>16.362926000000002</v>
      </c>
    </row>
    <row r="1732" spans="1:2">
      <c r="A1732" s="14">
        <v>45409.640972000001</v>
      </c>
      <c r="B1732" s="15">
        <v>16.107828000000001</v>
      </c>
    </row>
    <row r="1733" spans="1:2">
      <c r="A1733" s="14">
        <v>45409.641667000004</v>
      </c>
      <c r="B1733" s="15">
        <v>15.554595000000001</v>
      </c>
    </row>
    <row r="1734" spans="1:2">
      <c r="A1734" s="14">
        <v>45409.642360999998</v>
      </c>
      <c r="B1734" s="15">
        <v>16.080470999999999</v>
      </c>
    </row>
    <row r="1735" spans="1:2">
      <c r="A1735" s="14">
        <v>45409.643056000001</v>
      </c>
      <c r="B1735" s="15">
        <v>16.136804999999999</v>
      </c>
    </row>
    <row r="1736" spans="1:2">
      <c r="A1736" s="14">
        <v>45409.643750000003</v>
      </c>
      <c r="B1736" s="15">
        <v>16.285492000000001</v>
      </c>
    </row>
    <row r="1737" spans="1:2">
      <c r="A1737" s="14">
        <v>45409.644443999998</v>
      </c>
      <c r="B1737" s="15">
        <v>16.121326</v>
      </c>
    </row>
    <row r="1738" spans="1:2">
      <c r="A1738" s="14">
        <v>45409.645139</v>
      </c>
      <c r="B1738" s="15">
        <v>16.010159000000002</v>
      </c>
    </row>
    <row r="1739" spans="1:2">
      <c r="A1739" s="14">
        <v>45409.645833000002</v>
      </c>
      <c r="B1739" s="15">
        <v>15.964454</v>
      </c>
    </row>
    <row r="1740" spans="1:2">
      <c r="A1740" s="14">
        <v>45409.646527999997</v>
      </c>
      <c r="B1740" s="15">
        <v>16.522818999999998</v>
      </c>
    </row>
    <row r="1741" spans="1:2">
      <c r="A1741" s="14">
        <v>45409.647222</v>
      </c>
      <c r="B1741" s="15">
        <v>15.475372</v>
      </c>
    </row>
    <row r="1742" spans="1:2">
      <c r="A1742" s="14">
        <v>45409.647917000002</v>
      </c>
      <c r="B1742" s="15">
        <v>16.181989999999999</v>
      </c>
    </row>
    <row r="1743" spans="1:2">
      <c r="A1743" s="14">
        <v>45409.648610999997</v>
      </c>
      <c r="B1743" s="15">
        <v>16.029475999999999</v>
      </c>
    </row>
    <row r="1744" spans="1:2">
      <c r="A1744" s="14">
        <v>45409.649305999999</v>
      </c>
      <c r="B1744" s="15">
        <v>15.505470000000001</v>
      </c>
    </row>
    <row r="1745" spans="1:2">
      <c r="A1745" s="14">
        <v>45409.65</v>
      </c>
      <c r="B1745" s="15">
        <v>16.502058000000002</v>
      </c>
    </row>
    <row r="1746" spans="1:2">
      <c r="A1746" s="14">
        <v>45409.650694000004</v>
      </c>
      <c r="B1746" s="15">
        <v>15.789343000000001</v>
      </c>
    </row>
    <row r="1747" spans="1:2">
      <c r="A1747" s="14">
        <v>45409.651388999999</v>
      </c>
      <c r="B1747" s="15">
        <v>16.245248</v>
      </c>
    </row>
    <row r="1748" spans="1:2">
      <c r="A1748" s="14">
        <v>45409.652083000001</v>
      </c>
      <c r="B1748" s="15">
        <v>15.820565999999999</v>
      </c>
    </row>
    <row r="1749" spans="1:2">
      <c r="A1749" s="14">
        <v>45409.652778000003</v>
      </c>
      <c r="B1749" s="15">
        <v>15.943497000000001</v>
      </c>
    </row>
    <row r="1750" spans="1:2">
      <c r="A1750" s="14">
        <v>45409.653471999998</v>
      </c>
      <c r="B1750" s="15">
        <v>16.336314999999999</v>
      </c>
    </row>
    <row r="1751" spans="1:2">
      <c r="A1751" s="14">
        <v>45409.654167000001</v>
      </c>
      <c r="B1751" s="15">
        <v>15.794352999999999</v>
      </c>
    </row>
    <row r="1752" spans="1:2">
      <c r="A1752" s="14">
        <v>45409.654861000003</v>
      </c>
      <c r="B1752" s="15">
        <v>16.107844</v>
      </c>
    </row>
    <row r="1753" spans="1:2">
      <c r="A1753" s="14">
        <v>45409.655555999998</v>
      </c>
      <c r="B1753" s="15">
        <v>15.895381</v>
      </c>
    </row>
    <row r="1754" spans="1:2">
      <c r="A1754" s="14">
        <v>45409.65625</v>
      </c>
      <c r="B1754" s="15">
        <v>16.266081</v>
      </c>
    </row>
    <row r="1755" spans="1:2">
      <c r="A1755" s="14">
        <v>45409.656944000002</v>
      </c>
      <c r="B1755" s="15">
        <v>16.34111</v>
      </c>
    </row>
    <row r="1756" spans="1:2">
      <c r="A1756" s="14">
        <v>45409.657638999997</v>
      </c>
      <c r="B1756" s="15">
        <v>16.146011000000001</v>
      </c>
    </row>
    <row r="1757" spans="1:2">
      <c r="A1757" s="14">
        <v>45409.658332999999</v>
      </c>
      <c r="B1757" s="15">
        <v>15.922236</v>
      </c>
    </row>
    <row r="1758" spans="1:2">
      <c r="A1758" s="14">
        <v>45409.659028000002</v>
      </c>
      <c r="B1758" s="15">
        <v>16.131577</v>
      </c>
    </row>
    <row r="1759" spans="1:2">
      <c r="A1759" s="14">
        <v>45409.659721999997</v>
      </c>
      <c r="B1759" s="15">
        <v>16.29392</v>
      </c>
    </row>
    <row r="1760" spans="1:2">
      <c r="A1760" s="14">
        <v>45409.660416999999</v>
      </c>
      <c r="B1760" s="15">
        <v>16.100581999999999</v>
      </c>
    </row>
    <row r="1761" spans="1:2">
      <c r="A1761" s="14">
        <v>45409.661111000001</v>
      </c>
      <c r="B1761" s="15">
        <v>15.996112</v>
      </c>
    </row>
    <row r="1762" spans="1:2">
      <c r="A1762" s="14">
        <v>45409.661805999996</v>
      </c>
      <c r="B1762" s="15">
        <v>16.337443</v>
      </c>
    </row>
    <row r="1763" spans="1:2">
      <c r="A1763" s="14">
        <v>45409.662499999999</v>
      </c>
      <c r="B1763" s="15">
        <v>15.874343</v>
      </c>
    </row>
    <row r="1764" spans="1:2">
      <c r="A1764" s="14">
        <v>45409.663194000001</v>
      </c>
      <c r="B1764" s="15">
        <v>15.836123000000001</v>
      </c>
    </row>
    <row r="1765" spans="1:2">
      <c r="A1765" s="14">
        <v>45409.663889000003</v>
      </c>
      <c r="B1765" s="15">
        <v>15.860756</v>
      </c>
    </row>
    <row r="1766" spans="1:2">
      <c r="A1766" s="14">
        <v>45409.664582999998</v>
      </c>
      <c r="B1766" s="15">
        <v>16.229811000000002</v>
      </c>
    </row>
    <row r="1767" spans="1:2">
      <c r="A1767" s="14">
        <v>45409.665278</v>
      </c>
      <c r="B1767" s="15">
        <v>16.148786000000001</v>
      </c>
    </row>
    <row r="1768" spans="1:2">
      <c r="A1768" s="14">
        <v>45409.665972000003</v>
      </c>
      <c r="B1768" s="15">
        <v>16.559840999999999</v>
      </c>
    </row>
    <row r="1769" spans="1:2">
      <c r="A1769" s="14">
        <v>45409.666666999998</v>
      </c>
      <c r="B1769" s="15">
        <v>16.221412999999998</v>
      </c>
    </row>
    <row r="1770" spans="1:2">
      <c r="A1770" s="14">
        <v>45409.667361</v>
      </c>
      <c r="B1770" s="15">
        <v>15.675128000000001</v>
      </c>
    </row>
    <row r="1771" spans="1:2">
      <c r="A1771" s="14">
        <v>45409.668056000002</v>
      </c>
      <c r="B1771" s="15">
        <v>15.815737</v>
      </c>
    </row>
    <row r="1772" spans="1:2">
      <c r="A1772" s="14">
        <v>45409.668749999997</v>
      </c>
      <c r="B1772" s="15">
        <v>15.343750999999999</v>
      </c>
    </row>
    <row r="1773" spans="1:2">
      <c r="A1773" s="14">
        <v>45409.669443999999</v>
      </c>
      <c r="B1773" s="15">
        <v>15.412944</v>
      </c>
    </row>
    <row r="1774" spans="1:2">
      <c r="A1774" s="14">
        <v>45409.670139000002</v>
      </c>
      <c r="B1774" s="15">
        <v>15.624431</v>
      </c>
    </row>
    <row r="1775" spans="1:2">
      <c r="A1775" s="14">
        <v>45409.670832999996</v>
      </c>
      <c r="B1775" s="15">
        <v>16.026223999999999</v>
      </c>
    </row>
    <row r="1776" spans="1:2">
      <c r="A1776" s="14">
        <v>45409.671527999999</v>
      </c>
      <c r="B1776" s="15">
        <v>16.123908</v>
      </c>
    </row>
    <row r="1777" spans="1:2">
      <c r="A1777" s="14">
        <v>45409.672222000001</v>
      </c>
      <c r="B1777" s="15">
        <v>16.426494999999999</v>
      </c>
    </row>
    <row r="1778" spans="1:2">
      <c r="A1778" s="14">
        <v>45409.672917000004</v>
      </c>
      <c r="B1778" s="15">
        <v>15.782589</v>
      </c>
    </row>
    <row r="1779" spans="1:2">
      <c r="A1779" s="14">
        <v>45409.673610999998</v>
      </c>
      <c r="B1779" s="15">
        <v>15.987474000000001</v>
      </c>
    </row>
    <row r="1780" spans="1:2">
      <c r="A1780" s="14">
        <v>45409.674306000001</v>
      </c>
      <c r="B1780" s="15">
        <v>15.816224</v>
      </c>
    </row>
    <row r="1781" spans="1:2">
      <c r="A1781" s="14">
        <v>45409.675000000003</v>
      </c>
      <c r="B1781" s="15">
        <v>15.737142</v>
      </c>
    </row>
    <row r="1782" spans="1:2">
      <c r="A1782" s="14">
        <v>45409.675693999998</v>
      </c>
      <c r="B1782" s="15">
        <v>15.418588</v>
      </c>
    </row>
    <row r="1783" spans="1:2">
      <c r="A1783" s="14">
        <v>45409.676389</v>
      </c>
      <c r="B1783" s="15">
        <v>15.973312999999999</v>
      </c>
    </row>
    <row r="1784" spans="1:2">
      <c r="A1784" s="14">
        <v>45409.677083000002</v>
      </c>
      <c r="B1784" s="15">
        <v>15.801574</v>
      </c>
    </row>
    <row r="1785" spans="1:2">
      <c r="A1785" s="14">
        <v>45409.677777999997</v>
      </c>
      <c r="B1785" s="15">
        <v>16.147742000000001</v>
      </c>
    </row>
    <row r="1786" spans="1:2">
      <c r="A1786" s="14">
        <v>45409.678472</v>
      </c>
      <c r="B1786" s="15">
        <v>16.468088000000002</v>
      </c>
    </row>
    <row r="1787" spans="1:2">
      <c r="A1787" s="14">
        <v>45409.679167000002</v>
      </c>
      <c r="B1787" s="15">
        <v>15.614776000000001</v>
      </c>
    </row>
    <row r="1788" spans="1:2">
      <c r="A1788" s="14">
        <v>45409.679860999997</v>
      </c>
      <c r="B1788" s="15">
        <v>15.412654</v>
      </c>
    </row>
    <row r="1789" spans="1:2">
      <c r="A1789" s="14">
        <v>45409.680555999999</v>
      </c>
      <c r="B1789" s="15">
        <v>15.629049</v>
      </c>
    </row>
    <row r="1790" spans="1:2">
      <c r="A1790" s="14">
        <v>45409.681250000001</v>
      </c>
      <c r="B1790" s="15">
        <v>15.944571</v>
      </c>
    </row>
    <row r="1791" spans="1:2">
      <c r="A1791" s="14">
        <v>45409.681944000004</v>
      </c>
      <c r="B1791" s="15">
        <v>15.87782</v>
      </c>
    </row>
    <row r="1792" spans="1:2">
      <c r="A1792" s="14">
        <v>45409.682638999999</v>
      </c>
      <c r="B1792" s="15">
        <v>16.044325000000001</v>
      </c>
    </row>
    <row r="1793" spans="1:2">
      <c r="A1793" s="14">
        <v>45409.683333000001</v>
      </c>
      <c r="B1793" s="15">
        <v>15.721037000000001</v>
      </c>
    </row>
    <row r="1794" spans="1:2">
      <c r="A1794" s="14">
        <v>45409.684028000003</v>
      </c>
      <c r="B1794" s="15">
        <v>15.537609</v>
      </c>
    </row>
    <row r="1795" spans="1:2">
      <c r="A1795" s="14">
        <v>45409.684721999998</v>
      </c>
      <c r="B1795" s="15">
        <v>15.574241000000001</v>
      </c>
    </row>
    <row r="1796" spans="1:2">
      <c r="A1796" s="14">
        <v>45409.685417000001</v>
      </c>
      <c r="B1796" s="15">
        <v>15.96147</v>
      </c>
    </row>
    <row r="1797" spans="1:2">
      <c r="A1797" s="14">
        <v>45409.686111000003</v>
      </c>
      <c r="B1797" s="15">
        <v>15.967162</v>
      </c>
    </row>
    <row r="1798" spans="1:2">
      <c r="A1798" s="14">
        <v>45409.686805999998</v>
      </c>
      <c r="B1798" s="15">
        <v>16.245760000000001</v>
      </c>
    </row>
    <row r="1799" spans="1:2">
      <c r="A1799" s="14">
        <v>45409.6875</v>
      </c>
      <c r="B1799" s="15">
        <v>16.166678999999998</v>
      </c>
    </row>
    <row r="1800" spans="1:2">
      <c r="A1800" s="14">
        <v>45409.688194000002</v>
      </c>
      <c r="B1800" s="15">
        <v>15.856403999999999</v>
      </c>
    </row>
    <row r="1801" spans="1:2">
      <c r="A1801" s="14">
        <v>45409.688888999997</v>
      </c>
      <c r="B1801" s="15">
        <v>15.734729</v>
      </c>
    </row>
    <row r="1802" spans="1:2">
      <c r="A1802" s="14">
        <v>45409.689582999999</v>
      </c>
      <c r="B1802" s="15">
        <v>15.942754000000001</v>
      </c>
    </row>
    <row r="1803" spans="1:2">
      <c r="A1803" s="14">
        <v>45409.690278000002</v>
      </c>
      <c r="B1803" s="15">
        <v>16.448723000000001</v>
      </c>
    </row>
    <row r="1804" spans="1:2">
      <c r="A1804" s="14">
        <v>45409.690971999997</v>
      </c>
      <c r="B1804" s="15">
        <v>15.796849999999999</v>
      </c>
    </row>
    <row r="1805" spans="1:2">
      <c r="A1805" s="14">
        <v>45409.691666999999</v>
      </c>
      <c r="B1805" s="15">
        <v>15.681861</v>
      </c>
    </row>
    <row r="1806" spans="1:2">
      <c r="A1806" s="14">
        <v>45409.692361000001</v>
      </c>
      <c r="B1806" s="15">
        <v>16.133914000000001</v>
      </c>
    </row>
    <row r="1807" spans="1:2">
      <c r="A1807" s="14">
        <v>45409.693055999996</v>
      </c>
      <c r="B1807" s="15">
        <v>15.899027999999999</v>
      </c>
    </row>
    <row r="1808" spans="1:2">
      <c r="A1808" s="14">
        <v>45409.693749999999</v>
      </c>
      <c r="B1808" s="15">
        <v>16.342656000000002</v>
      </c>
    </row>
    <row r="1809" spans="1:2">
      <c r="A1809" s="14">
        <v>45409.694444000001</v>
      </c>
      <c r="B1809" s="15">
        <v>15.869596</v>
      </c>
    </row>
    <row r="1810" spans="1:2">
      <c r="A1810" s="14">
        <v>45409.695139000003</v>
      </c>
      <c r="B1810" s="15">
        <v>15.729279999999999</v>
      </c>
    </row>
    <row r="1811" spans="1:2">
      <c r="A1811" s="14">
        <v>45409.695832999998</v>
      </c>
      <c r="B1811" s="15">
        <v>15.800915</v>
      </c>
    </row>
    <row r="1812" spans="1:2">
      <c r="A1812" s="14">
        <v>45409.696528</v>
      </c>
      <c r="B1812" s="15">
        <v>16.290538999999999</v>
      </c>
    </row>
    <row r="1813" spans="1:2">
      <c r="A1813" s="14">
        <v>45409.697222000003</v>
      </c>
      <c r="B1813" s="15">
        <v>15.377432000000001</v>
      </c>
    </row>
    <row r="1814" spans="1:2">
      <c r="A1814" s="14">
        <v>45409.697916999998</v>
      </c>
      <c r="B1814" s="15">
        <v>15.550062</v>
      </c>
    </row>
    <row r="1815" spans="1:2">
      <c r="A1815" s="14">
        <v>45409.698611</v>
      </c>
      <c r="B1815" s="15">
        <v>15.152350999999999</v>
      </c>
    </row>
    <row r="1816" spans="1:2">
      <c r="A1816" s="14">
        <v>45409.699306000002</v>
      </c>
      <c r="B1816" s="15">
        <v>15.137301000000001</v>
      </c>
    </row>
    <row r="1817" spans="1:2">
      <c r="A1817" s="14">
        <v>45409.7</v>
      </c>
      <c r="B1817" s="15">
        <v>15.702591999999999</v>
      </c>
    </row>
    <row r="1818" spans="1:2">
      <c r="A1818" s="14">
        <v>45409.700693999999</v>
      </c>
      <c r="B1818" s="15">
        <v>16.079758999999999</v>
      </c>
    </row>
    <row r="1819" spans="1:2">
      <c r="A1819" s="14">
        <v>45409.701389000002</v>
      </c>
      <c r="B1819" s="15">
        <v>16.445892000000001</v>
      </c>
    </row>
    <row r="1820" spans="1:2">
      <c r="A1820" s="14">
        <v>45409.702082999996</v>
      </c>
      <c r="B1820" s="15">
        <v>15.695599</v>
      </c>
    </row>
    <row r="1821" spans="1:2">
      <c r="A1821" s="14">
        <v>45409.702777999999</v>
      </c>
      <c r="B1821" s="15">
        <v>16.183881</v>
      </c>
    </row>
    <row r="1822" spans="1:2">
      <c r="A1822" s="14">
        <v>45409.703472000001</v>
      </c>
      <c r="B1822" s="15">
        <v>15.686317000000001</v>
      </c>
    </row>
    <row r="1823" spans="1:2">
      <c r="A1823" s="14">
        <v>45409.704167000004</v>
      </c>
      <c r="B1823" s="15">
        <v>16.367211999999999</v>
      </c>
    </row>
    <row r="1824" spans="1:2">
      <c r="A1824" s="14">
        <v>45409.704860999998</v>
      </c>
      <c r="B1824" s="15">
        <v>15.574509000000001</v>
      </c>
    </row>
    <row r="1825" spans="1:2">
      <c r="A1825" s="14">
        <v>45409.705556000001</v>
      </c>
      <c r="B1825" s="15">
        <v>15.906901</v>
      </c>
    </row>
    <row r="1826" spans="1:2">
      <c r="A1826" s="14">
        <v>45409.706250000003</v>
      </c>
      <c r="B1826" s="15">
        <v>16.472542000000001</v>
      </c>
    </row>
    <row r="1827" spans="1:2">
      <c r="A1827" s="14">
        <v>45409.706943999998</v>
      </c>
      <c r="B1827" s="15">
        <v>15.661159</v>
      </c>
    </row>
    <row r="1828" spans="1:2">
      <c r="A1828" s="14">
        <v>45409.707639</v>
      </c>
      <c r="B1828" s="15">
        <v>15.473145000000001</v>
      </c>
    </row>
    <row r="1829" spans="1:2">
      <c r="A1829" s="14">
        <v>45409.708333000002</v>
      </c>
      <c r="B1829" s="15">
        <v>15.773241000000001</v>
      </c>
    </row>
    <row r="1830" spans="1:2">
      <c r="A1830" s="14">
        <v>45409.709027999997</v>
      </c>
      <c r="B1830" s="15">
        <v>15.676895999999999</v>
      </c>
    </row>
    <row r="1831" spans="1:2">
      <c r="A1831" s="14">
        <v>45409.709722</v>
      </c>
      <c r="B1831" s="15">
        <v>15.541919999999999</v>
      </c>
    </row>
    <row r="1832" spans="1:2">
      <c r="A1832" s="14">
        <v>45409.710417000002</v>
      </c>
      <c r="B1832" s="15">
        <v>16.092787000000001</v>
      </c>
    </row>
    <row r="1833" spans="1:2">
      <c r="A1833" s="14">
        <v>45409.711110999997</v>
      </c>
      <c r="B1833" s="15">
        <v>15.481087</v>
      </c>
    </row>
    <row r="1834" spans="1:2">
      <c r="A1834" s="14">
        <v>45409.711805999999</v>
      </c>
      <c r="B1834" s="15">
        <v>16.209175999999999</v>
      </c>
    </row>
    <row r="1835" spans="1:2">
      <c r="A1835" s="14">
        <v>45409.712500000001</v>
      </c>
      <c r="B1835" s="15">
        <v>15.953752</v>
      </c>
    </row>
    <row r="1836" spans="1:2">
      <c r="A1836" s="14">
        <v>45409.713194000004</v>
      </c>
      <c r="B1836" s="15">
        <v>15.773137999999999</v>
      </c>
    </row>
    <row r="1837" spans="1:2">
      <c r="A1837" s="14">
        <v>45409.713888999999</v>
      </c>
      <c r="B1837" s="15">
        <v>15.712120000000001</v>
      </c>
    </row>
    <row r="1838" spans="1:2">
      <c r="A1838" s="14">
        <v>45409.714583000001</v>
      </c>
      <c r="B1838" s="15">
        <v>15.283688</v>
      </c>
    </row>
    <row r="1839" spans="1:2">
      <c r="A1839" s="14">
        <v>45409.715278000003</v>
      </c>
      <c r="B1839" s="15">
        <v>15.654254999999999</v>
      </c>
    </row>
    <row r="1840" spans="1:2">
      <c r="A1840" s="14">
        <v>45409.715971999998</v>
      </c>
      <c r="B1840" s="15">
        <v>16.044025999999999</v>
      </c>
    </row>
    <row r="1841" spans="1:2">
      <c r="A1841" s="14">
        <v>45409.716667000001</v>
      </c>
      <c r="B1841" s="15">
        <v>16.090216999999999</v>
      </c>
    </row>
    <row r="1842" spans="1:2">
      <c r="A1842" s="14">
        <v>45409.717361000003</v>
      </c>
      <c r="B1842" s="15">
        <v>15.757004</v>
      </c>
    </row>
    <row r="1843" spans="1:2">
      <c r="A1843" s="14">
        <v>45409.718055999998</v>
      </c>
      <c r="B1843" s="15">
        <v>15.278926</v>
      </c>
    </row>
    <row r="1844" spans="1:2">
      <c r="A1844" s="14">
        <v>45409.71875</v>
      </c>
      <c r="B1844" s="15">
        <v>15.74666</v>
      </c>
    </row>
    <row r="1845" spans="1:2">
      <c r="A1845" s="14">
        <v>45409.719444000002</v>
      </c>
      <c r="B1845" s="15">
        <v>16.129239999999999</v>
      </c>
    </row>
    <row r="1846" spans="1:2">
      <c r="A1846" s="14">
        <v>45409.720138999997</v>
      </c>
      <c r="B1846" s="15">
        <v>15.397432999999999</v>
      </c>
    </row>
    <row r="1847" spans="1:2">
      <c r="A1847" s="14">
        <v>45409.720832999999</v>
      </c>
      <c r="B1847" s="15">
        <v>15.487325999999999</v>
      </c>
    </row>
    <row r="1848" spans="1:2">
      <c r="A1848" s="14">
        <v>45409.721528000002</v>
      </c>
      <c r="B1848" s="15">
        <v>14.984078</v>
      </c>
    </row>
    <row r="1849" spans="1:2">
      <c r="A1849" s="14">
        <v>45409.722221999997</v>
      </c>
      <c r="B1849" s="15">
        <v>15.732570000000001</v>
      </c>
    </row>
    <row r="1850" spans="1:2">
      <c r="A1850" s="14">
        <v>45409.722916999999</v>
      </c>
      <c r="B1850" s="15">
        <v>15.820963000000001</v>
      </c>
    </row>
    <row r="1851" spans="1:2">
      <c r="A1851" s="14">
        <v>45409.723611000001</v>
      </c>
      <c r="B1851" s="15">
        <v>16.079118999999999</v>
      </c>
    </row>
    <row r="1852" spans="1:2">
      <c r="A1852" s="14">
        <v>45409.724305999996</v>
      </c>
      <c r="B1852" s="15">
        <v>15.568383000000001</v>
      </c>
    </row>
    <row r="1853" spans="1:2">
      <c r="A1853" s="14">
        <v>45409.724999999999</v>
      </c>
      <c r="B1853" s="15">
        <v>16.087789000000001</v>
      </c>
    </row>
    <row r="1854" spans="1:2">
      <c r="A1854" s="14">
        <v>45409.725694000001</v>
      </c>
      <c r="B1854" s="15">
        <v>15.676973</v>
      </c>
    </row>
    <row r="1855" spans="1:2">
      <c r="A1855" s="14">
        <v>45409.726389000003</v>
      </c>
      <c r="B1855" s="15">
        <v>15.645636</v>
      </c>
    </row>
    <row r="1856" spans="1:2">
      <c r="A1856" s="14">
        <v>45409.727082999998</v>
      </c>
      <c r="B1856" s="15">
        <v>15.461679</v>
      </c>
    </row>
    <row r="1857" spans="1:2">
      <c r="A1857" s="14">
        <v>45409.727778</v>
      </c>
      <c r="B1857" s="15">
        <v>15.854406000000001</v>
      </c>
    </row>
    <row r="1858" spans="1:2">
      <c r="A1858" s="14">
        <v>45409.728472000003</v>
      </c>
      <c r="B1858" s="15">
        <v>15.367535</v>
      </c>
    </row>
    <row r="1859" spans="1:2">
      <c r="A1859" s="14">
        <v>45409.729166999998</v>
      </c>
      <c r="B1859" s="15">
        <v>15.336264</v>
      </c>
    </row>
    <row r="1860" spans="1:2">
      <c r="A1860" s="14">
        <v>45409.729861</v>
      </c>
      <c r="B1860" s="15">
        <v>16.266542999999999</v>
      </c>
    </row>
    <row r="1861" spans="1:2">
      <c r="A1861" s="14">
        <v>45409.730556000002</v>
      </c>
      <c r="B1861" s="15">
        <v>15.951546</v>
      </c>
    </row>
    <row r="1862" spans="1:2">
      <c r="A1862" s="14">
        <v>45409.731249999997</v>
      </c>
      <c r="B1862" s="15">
        <v>16.276067000000001</v>
      </c>
    </row>
    <row r="1863" spans="1:2">
      <c r="A1863" s="14">
        <v>45409.731943999999</v>
      </c>
      <c r="B1863" s="15">
        <v>15.433033999999999</v>
      </c>
    </row>
    <row r="1864" spans="1:2">
      <c r="A1864" s="14">
        <v>45409.732639000002</v>
      </c>
      <c r="B1864" s="15">
        <v>14.977273</v>
      </c>
    </row>
    <row r="1865" spans="1:2">
      <c r="A1865" s="14">
        <v>45409.733332999996</v>
      </c>
      <c r="B1865" s="15">
        <v>15.463221000000001</v>
      </c>
    </row>
    <row r="1866" spans="1:2">
      <c r="A1866" s="14">
        <v>45409.734027999999</v>
      </c>
      <c r="B1866" s="15">
        <v>15.907120000000001</v>
      </c>
    </row>
    <row r="1867" spans="1:2">
      <c r="A1867" s="14">
        <v>45409.734722000001</v>
      </c>
      <c r="B1867" s="15">
        <v>15.905764</v>
      </c>
    </row>
    <row r="1868" spans="1:2">
      <c r="A1868" s="14">
        <v>45409.735417000004</v>
      </c>
      <c r="B1868" s="15">
        <v>15.995471999999999</v>
      </c>
    </row>
    <row r="1869" spans="1:2">
      <c r="A1869" s="14">
        <v>45409.736110999998</v>
      </c>
      <c r="B1869" s="15">
        <v>15.726706999999999</v>
      </c>
    </row>
    <row r="1870" spans="1:2">
      <c r="A1870" s="14">
        <v>45409.736806000001</v>
      </c>
      <c r="B1870" s="15">
        <v>15.616692</v>
      </c>
    </row>
    <row r="1871" spans="1:2">
      <c r="A1871" s="14">
        <v>45409.737500000003</v>
      </c>
      <c r="B1871" s="15">
        <v>16.198802000000001</v>
      </c>
    </row>
    <row r="1872" spans="1:2">
      <c r="A1872" s="14">
        <v>45409.738193999998</v>
      </c>
      <c r="B1872" s="15">
        <v>15.435523999999999</v>
      </c>
    </row>
    <row r="1873" spans="1:2">
      <c r="A1873" s="14">
        <v>45409.738889</v>
      </c>
      <c r="B1873" s="15">
        <v>15.947891</v>
      </c>
    </row>
    <row r="1874" spans="1:2">
      <c r="A1874" s="14">
        <v>45409.739583000002</v>
      </c>
      <c r="B1874" s="15">
        <v>15.563839</v>
      </c>
    </row>
    <row r="1875" spans="1:2">
      <c r="A1875" s="14">
        <v>45409.740277999997</v>
      </c>
      <c r="B1875" s="15">
        <v>15.208734</v>
      </c>
    </row>
    <row r="1876" spans="1:2">
      <c r="A1876" s="14">
        <v>45409.740972</v>
      </c>
      <c r="B1876" s="15">
        <v>16.314041</v>
      </c>
    </row>
    <row r="1877" spans="1:2">
      <c r="A1877" s="14">
        <v>45409.741667000002</v>
      </c>
      <c r="B1877" s="15">
        <v>15.785857999999999</v>
      </c>
    </row>
    <row r="1878" spans="1:2">
      <c r="A1878" s="14">
        <v>45409.742360999997</v>
      </c>
      <c r="B1878" s="15">
        <v>16.485495</v>
      </c>
    </row>
    <row r="1879" spans="1:2">
      <c r="A1879" s="14">
        <v>45409.743055999999</v>
      </c>
      <c r="B1879" s="15">
        <v>15.844896</v>
      </c>
    </row>
    <row r="1880" spans="1:2">
      <c r="A1880" s="14">
        <v>45409.743750000001</v>
      </c>
      <c r="B1880" s="15">
        <v>15.870339</v>
      </c>
    </row>
    <row r="1881" spans="1:2">
      <c r="A1881" s="14">
        <v>45409.744444000004</v>
      </c>
      <c r="B1881" s="15">
        <v>16.437640999999999</v>
      </c>
    </row>
    <row r="1882" spans="1:2">
      <c r="A1882" s="14">
        <v>45409.745138999999</v>
      </c>
      <c r="B1882" s="15">
        <v>15.537089</v>
      </c>
    </row>
    <row r="1883" spans="1:2">
      <c r="A1883" s="14">
        <v>45409.745833000001</v>
      </c>
      <c r="B1883" s="15">
        <v>15.723288999999999</v>
      </c>
    </row>
    <row r="1884" spans="1:2">
      <c r="A1884" s="14">
        <v>45409.746528000003</v>
      </c>
      <c r="B1884" s="15">
        <v>15.208014</v>
      </c>
    </row>
    <row r="1885" spans="1:2">
      <c r="A1885" s="14">
        <v>45409.747221999998</v>
      </c>
      <c r="B1885" s="15">
        <v>15.492516</v>
      </c>
    </row>
    <row r="1886" spans="1:2">
      <c r="A1886" s="14">
        <v>45409.747917000001</v>
      </c>
      <c r="B1886" s="15">
        <v>16.483767</v>
      </c>
    </row>
    <row r="1887" spans="1:2">
      <c r="A1887" s="14">
        <v>45409.748611000003</v>
      </c>
      <c r="B1887" s="15">
        <v>16.028494999999999</v>
      </c>
    </row>
    <row r="1888" spans="1:2">
      <c r="A1888" s="14">
        <v>45409.749305999998</v>
      </c>
      <c r="B1888" s="15">
        <v>15.851431</v>
      </c>
    </row>
    <row r="1889" spans="1:2">
      <c r="A1889" s="14">
        <v>45409.75</v>
      </c>
      <c r="B1889" s="15">
        <v>15.768222</v>
      </c>
    </row>
    <row r="1890" spans="1:2">
      <c r="A1890" s="14">
        <v>45409.750694000002</v>
      </c>
      <c r="B1890" s="15">
        <v>15.408833</v>
      </c>
    </row>
    <row r="1891" spans="1:2">
      <c r="A1891" s="14">
        <v>45409.751388999997</v>
      </c>
      <c r="B1891" s="15">
        <v>15.419746</v>
      </c>
    </row>
    <row r="1892" spans="1:2">
      <c r="A1892" s="14">
        <v>45409.752082999999</v>
      </c>
      <c r="B1892" s="15">
        <v>15.897391000000001</v>
      </c>
    </row>
    <row r="1893" spans="1:2">
      <c r="A1893" s="14">
        <v>45409.752778000002</v>
      </c>
      <c r="B1893" s="15">
        <v>15.858286</v>
      </c>
    </row>
    <row r="1894" spans="1:2">
      <c r="A1894" s="14">
        <v>45409.753471999997</v>
      </c>
      <c r="B1894" s="15">
        <v>15.677842</v>
      </c>
    </row>
    <row r="1895" spans="1:2">
      <c r="A1895" s="14">
        <v>45409.754166999999</v>
      </c>
      <c r="B1895" s="15">
        <v>15.73934</v>
      </c>
    </row>
    <row r="1896" spans="1:2">
      <c r="A1896" s="14">
        <v>45409.754861000001</v>
      </c>
      <c r="B1896" s="15">
        <v>16.017969000000001</v>
      </c>
    </row>
    <row r="1897" spans="1:2">
      <c r="A1897" s="14">
        <v>45409.755555999996</v>
      </c>
      <c r="B1897" s="15">
        <v>15.833928999999999</v>
      </c>
    </row>
    <row r="1898" spans="1:2">
      <c r="A1898" s="14">
        <v>45409.756249999999</v>
      </c>
      <c r="B1898" s="15">
        <v>15.596178</v>
      </c>
    </row>
    <row r="1899" spans="1:2">
      <c r="A1899" s="14">
        <v>45409.756944000001</v>
      </c>
      <c r="B1899" s="15">
        <v>15.860236</v>
      </c>
    </row>
    <row r="1900" spans="1:2">
      <c r="A1900" s="14">
        <v>45409.757639000003</v>
      </c>
      <c r="B1900" s="15">
        <v>15.764422</v>
      </c>
    </row>
    <row r="1901" spans="1:2">
      <c r="A1901" s="14">
        <v>45409.758332999998</v>
      </c>
      <c r="B1901" s="15">
        <v>15.960485</v>
      </c>
    </row>
    <row r="1902" spans="1:2">
      <c r="A1902" s="14">
        <v>45409.759028</v>
      </c>
      <c r="B1902" s="15">
        <v>15.563978000000001</v>
      </c>
    </row>
    <row r="1903" spans="1:2">
      <c r="A1903" s="14">
        <v>45409.759722000003</v>
      </c>
      <c r="B1903" s="15">
        <v>15.825021</v>
      </c>
    </row>
    <row r="1904" spans="1:2">
      <c r="A1904" s="14">
        <v>45409.760416999998</v>
      </c>
      <c r="B1904" s="15">
        <v>15.658605</v>
      </c>
    </row>
    <row r="1905" spans="1:2">
      <c r="A1905" s="14">
        <v>45409.761111</v>
      </c>
      <c r="B1905" s="15">
        <v>15.876606000000001</v>
      </c>
    </row>
    <row r="1906" spans="1:2">
      <c r="A1906" s="14">
        <v>45409.761806000002</v>
      </c>
      <c r="B1906" s="15">
        <v>15.812936000000001</v>
      </c>
    </row>
    <row r="1907" spans="1:2">
      <c r="A1907" s="14">
        <v>45409.762499999997</v>
      </c>
      <c r="B1907" s="15">
        <v>15.436610999999999</v>
      </c>
    </row>
    <row r="1908" spans="1:2">
      <c r="A1908" s="14">
        <v>45409.763193999999</v>
      </c>
      <c r="B1908" s="15">
        <v>15.758025999999999</v>
      </c>
    </row>
    <row r="1909" spans="1:2">
      <c r="A1909" s="14">
        <v>45409.763889000002</v>
      </c>
      <c r="B1909" s="15">
        <v>15.437944</v>
      </c>
    </row>
    <row r="1910" spans="1:2">
      <c r="A1910" s="14">
        <v>45409.764582999996</v>
      </c>
      <c r="B1910" s="15">
        <v>15.456574</v>
      </c>
    </row>
    <row r="1911" spans="1:2">
      <c r="A1911" s="14">
        <v>45409.765277999999</v>
      </c>
      <c r="B1911" s="15">
        <v>16.175539000000001</v>
      </c>
    </row>
    <row r="1912" spans="1:2">
      <c r="A1912" s="14">
        <v>45409.765972000001</v>
      </c>
      <c r="B1912" s="15">
        <v>15.822438</v>
      </c>
    </row>
    <row r="1913" spans="1:2">
      <c r="A1913" s="14">
        <v>45409.766667000004</v>
      </c>
      <c r="B1913" s="15">
        <v>15.775867</v>
      </c>
    </row>
    <row r="1914" spans="1:2">
      <c r="A1914" s="14">
        <v>45409.767360999998</v>
      </c>
      <c r="B1914" s="15">
        <v>15.89621</v>
      </c>
    </row>
    <row r="1915" spans="1:2">
      <c r="A1915" s="14">
        <v>45409.768056000001</v>
      </c>
      <c r="B1915" s="15">
        <v>15.994915000000001</v>
      </c>
    </row>
    <row r="1916" spans="1:2">
      <c r="A1916" s="14">
        <v>45409.768750000003</v>
      </c>
      <c r="B1916" s="15">
        <v>16.123159999999999</v>
      </c>
    </row>
    <row r="1917" spans="1:2">
      <c r="A1917" s="14">
        <v>45409.769443999998</v>
      </c>
      <c r="B1917" s="15">
        <v>15.773673</v>
      </c>
    </row>
    <row r="1918" spans="1:2">
      <c r="A1918" s="14">
        <v>45409.770139</v>
      </c>
      <c r="B1918" s="15">
        <v>15.691661</v>
      </c>
    </row>
    <row r="1919" spans="1:2">
      <c r="A1919" s="14">
        <v>45409.770833000002</v>
      </c>
      <c r="B1919" s="15">
        <v>15.461214</v>
      </c>
    </row>
    <row r="1920" spans="1:2">
      <c r="A1920" s="14">
        <v>45409.771527999997</v>
      </c>
      <c r="B1920" s="15">
        <v>15.207846999999999</v>
      </c>
    </row>
    <row r="1921" spans="1:2">
      <c r="A1921" s="14">
        <v>45409.772222</v>
      </c>
      <c r="B1921" s="15">
        <v>15.844605</v>
      </c>
    </row>
    <row r="1922" spans="1:2">
      <c r="A1922" s="14">
        <v>45409.772917000002</v>
      </c>
      <c r="B1922" s="15">
        <v>15.378192</v>
      </c>
    </row>
    <row r="1923" spans="1:2">
      <c r="A1923" s="14">
        <v>45409.773610999997</v>
      </c>
      <c r="B1923" s="15">
        <v>15.638707</v>
      </c>
    </row>
    <row r="1924" spans="1:2">
      <c r="A1924" s="14">
        <v>45409.774305999999</v>
      </c>
      <c r="B1924" s="15">
        <v>15.388261</v>
      </c>
    </row>
    <row r="1925" spans="1:2">
      <c r="A1925" s="14">
        <v>45409.775000000001</v>
      </c>
      <c r="B1925" s="15">
        <v>15.689849000000001</v>
      </c>
    </row>
    <row r="1926" spans="1:2">
      <c r="A1926" s="14">
        <v>45409.775694000004</v>
      </c>
      <c r="B1926" s="15">
        <v>16.005883000000001</v>
      </c>
    </row>
    <row r="1927" spans="1:2">
      <c r="A1927" s="14">
        <v>45409.776388999999</v>
      </c>
      <c r="B1927" s="15">
        <v>15.618444</v>
      </c>
    </row>
    <row r="1928" spans="1:2">
      <c r="A1928" s="14">
        <v>45409.777083000001</v>
      </c>
      <c r="B1928" s="15">
        <v>15.674671</v>
      </c>
    </row>
    <row r="1929" spans="1:2">
      <c r="A1929" s="14">
        <v>45409.777778000003</v>
      </c>
      <c r="B1929" s="15">
        <v>15.756444</v>
      </c>
    </row>
    <row r="1930" spans="1:2">
      <c r="A1930" s="14">
        <v>45409.778471999998</v>
      </c>
      <c r="B1930" s="15">
        <v>15.458814</v>
      </c>
    </row>
    <row r="1931" spans="1:2">
      <c r="A1931" s="14">
        <v>45409.779167000001</v>
      </c>
      <c r="B1931" s="15">
        <v>14.948133</v>
      </c>
    </row>
    <row r="1932" spans="1:2">
      <c r="A1932" s="14">
        <v>45409.779861000003</v>
      </c>
      <c r="B1932" s="15">
        <v>15.917161</v>
      </c>
    </row>
    <row r="1933" spans="1:2">
      <c r="A1933" s="14">
        <v>45409.780555999998</v>
      </c>
      <c r="B1933" s="15">
        <v>15.828042999999999</v>
      </c>
    </row>
    <row r="1934" spans="1:2">
      <c r="A1934" s="14">
        <v>45409.78125</v>
      </c>
      <c r="B1934" s="15">
        <v>15.705792000000001</v>
      </c>
    </row>
    <row r="1935" spans="1:2">
      <c r="A1935" s="14">
        <v>45409.781944000002</v>
      </c>
      <c r="B1935" s="15">
        <v>15.80777</v>
      </c>
    </row>
    <row r="1936" spans="1:2">
      <c r="A1936" s="14">
        <v>45409.782638999997</v>
      </c>
      <c r="B1936" s="15">
        <v>16.10013</v>
      </c>
    </row>
    <row r="1937" spans="1:2">
      <c r="A1937" s="14">
        <v>45409.783332999999</v>
      </c>
      <c r="B1937" s="15">
        <v>16.455798999999999</v>
      </c>
    </row>
    <row r="1938" spans="1:2">
      <c r="A1938" s="14">
        <v>45409.784028000002</v>
      </c>
      <c r="B1938" s="15">
        <v>15.618202</v>
      </c>
    </row>
    <row r="1939" spans="1:2">
      <c r="A1939" s="14">
        <v>45409.784721999997</v>
      </c>
      <c r="B1939" s="15">
        <v>16.287714000000001</v>
      </c>
    </row>
    <row r="1940" spans="1:2">
      <c r="A1940" s="14">
        <v>45409.785416999999</v>
      </c>
      <c r="B1940" s="15">
        <v>16.305389000000002</v>
      </c>
    </row>
    <row r="1941" spans="1:2">
      <c r="A1941" s="14">
        <v>45409.786111000001</v>
      </c>
      <c r="B1941" s="15">
        <v>15.792441</v>
      </c>
    </row>
    <row r="1942" spans="1:2">
      <c r="A1942" s="14">
        <v>45409.786805999996</v>
      </c>
      <c r="B1942" s="15">
        <v>15.655319</v>
      </c>
    </row>
    <row r="1943" spans="1:2">
      <c r="A1943" s="14">
        <v>45409.787499999999</v>
      </c>
      <c r="B1943" s="15">
        <v>15.387297</v>
      </c>
    </row>
    <row r="1944" spans="1:2">
      <c r="A1944" s="14">
        <v>45409.788194000001</v>
      </c>
      <c r="B1944" s="15">
        <v>15.333978</v>
      </c>
    </row>
    <row r="1945" spans="1:2">
      <c r="A1945" s="14">
        <v>45409.788889000003</v>
      </c>
      <c r="B1945" s="15">
        <v>15.78608</v>
      </c>
    </row>
    <row r="1946" spans="1:2">
      <c r="A1946" s="14">
        <v>45409.789582999998</v>
      </c>
      <c r="B1946" s="15">
        <v>15.8386</v>
      </c>
    </row>
    <row r="1947" spans="1:2">
      <c r="A1947" s="14">
        <v>45409.790278</v>
      </c>
      <c r="B1947" s="15">
        <v>16.254804</v>
      </c>
    </row>
    <row r="1948" spans="1:2">
      <c r="A1948" s="14">
        <v>45409.790972000003</v>
      </c>
      <c r="B1948" s="15">
        <v>15.922879999999999</v>
      </c>
    </row>
    <row r="1949" spans="1:2">
      <c r="A1949" s="14">
        <v>45409.791666999998</v>
      </c>
      <c r="B1949" s="15">
        <v>16.015370999999998</v>
      </c>
    </row>
    <row r="1950" spans="1:2">
      <c r="A1950" s="14">
        <v>45409.792361</v>
      </c>
      <c r="B1950" s="15">
        <v>15.625095</v>
      </c>
    </row>
    <row r="1951" spans="1:2">
      <c r="A1951" s="14">
        <v>45409.793056000002</v>
      </c>
      <c r="B1951" s="15">
        <v>15.502984</v>
      </c>
    </row>
    <row r="1952" spans="1:2">
      <c r="A1952" s="14">
        <v>45409.793749999997</v>
      </c>
      <c r="B1952" s="15">
        <v>15.508993</v>
      </c>
    </row>
    <row r="1953" spans="1:2">
      <c r="A1953" s="14">
        <v>45409.794443999999</v>
      </c>
      <c r="B1953" s="15">
        <v>15.980687</v>
      </c>
    </row>
    <row r="1954" spans="1:2">
      <c r="A1954" s="14">
        <v>45409.795139000002</v>
      </c>
      <c r="B1954" s="15">
        <v>15.798765</v>
      </c>
    </row>
    <row r="1955" spans="1:2">
      <c r="A1955" s="14">
        <v>45409.795832999996</v>
      </c>
      <c r="B1955" s="15">
        <v>15.917322</v>
      </c>
    </row>
    <row r="1956" spans="1:2">
      <c r="A1956" s="14">
        <v>45409.796527999999</v>
      </c>
      <c r="B1956" s="15">
        <v>16.212108000000001</v>
      </c>
    </row>
    <row r="1957" spans="1:2">
      <c r="A1957" s="14">
        <v>45409.797222000001</v>
      </c>
      <c r="B1957" s="15">
        <v>14.960247000000001</v>
      </c>
    </row>
    <row r="1958" spans="1:2">
      <c r="A1958" s="14">
        <v>45409.797917000004</v>
      </c>
      <c r="B1958" s="15">
        <v>11.491163999999999</v>
      </c>
    </row>
    <row r="1959" spans="1:2">
      <c r="A1959" s="14">
        <v>45409.798610999998</v>
      </c>
      <c r="B1959" s="15">
        <v>11.854547999999999</v>
      </c>
    </row>
    <row r="1960" spans="1:2">
      <c r="A1960" s="14">
        <v>45409.799306000001</v>
      </c>
      <c r="B1960" s="15">
        <v>11.938001</v>
      </c>
    </row>
    <row r="1961" spans="1:2">
      <c r="A1961" s="14">
        <v>45409.8</v>
      </c>
      <c r="B1961" s="15">
        <v>11.831977999999999</v>
      </c>
    </row>
    <row r="1962" spans="1:2">
      <c r="A1962" s="14">
        <v>45409.800693999998</v>
      </c>
      <c r="B1962" s="15">
        <v>11.549529</v>
      </c>
    </row>
    <row r="1963" spans="1:2">
      <c r="A1963" s="14">
        <v>45409.801389</v>
      </c>
      <c r="B1963" s="15">
        <v>11.921519999999999</v>
      </c>
    </row>
    <row r="1964" spans="1:2">
      <c r="A1964" s="14">
        <v>45409.802083000002</v>
      </c>
      <c r="B1964" s="15">
        <v>11.460886</v>
      </c>
    </row>
    <row r="1965" spans="1:2">
      <c r="A1965" s="14">
        <v>45409.802777999997</v>
      </c>
      <c r="B1965" s="15">
        <v>12.091139</v>
      </c>
    </row>
    <row r="1966" spans="1:2">
      <c r="A1966" s="14">
        <v>45409.803472</v>
      </c>
      <c r="B1966" s="15">
        <v>12.038095</v>
      </c>
    </row>
    <row r="1967" spans="1:2">
      <c r="A1967" s="14">
        <v>45409.804167000002</v>
      </c>
      <c r="B1967" s="15">
        <v>11.589995999999999</v>
      </c>
    </row>
    <row r="1968" spans="1:2">
      <c r="A1968" s="14">
        <v>45409.804860999997</v>
      </c>
      <c r="B1968" s="15">
        <v>11.430446999999999</v>
      </c>
    </row>
    <row r="1969" spans="1:2">
      <c r="A1969" s="14">
        <v>45409.805555999999</v>
      </c>
      <c r="B1969" s="15">
        <v>11.760706000000001</v>
      </c>
    </row>
    <row r="1970" spans="1:2">
      <c r="A1970" s="14">
        <v>45409.806250000001</v>
      </c>
      <c r="B1970" s="15">
        <v>11.73507</v>
      </c>
    </row>
    <row r="1971" spans="1:2">
      <c r="A1971" s="14">
        <v>45409.806944000004</v>
      </c>
      <c r="B1971" s="15">
        <v>11.778484000000001</v>
      </c>
    </row>
    <row r="1972" spans="1:2">
      <c r="A1972" s="14">
        <v>45409.807638999999</v>
      </c>
      <c r="B1972" s="15">
        <v>12.610455</v>
      </c>
    </row>
    <row r="1973" spans="1:2">
      <c r="A1973" s="14">
        <v>45409.808333000001</v>
      </c>
      <c r="B1973" s="15">
        <v>11.438075</v>
      </c>
    </row>
    <row r="1974" spans="1:2">
      <c r="A1974" s="14">
        <v>45409.809028000003</v>
      </c>
      <c r="B1974" s="15">
        <v>11.651616000000001</v>
      </c>
    </row>
    <row r="1975" spans="1:2">
      <c r="A1975" s="14">
        <v>45409.809721999998</v>
      </c>
      <c r="B1975" s="15">
        <v>12.069506000000001</v>
      </c>
    </row>
    <row r="1976" spans="1:2">
      <c r="A1976" s="14">
        <v>45409.810417000001</v>
      </c>
      <c r="B1976" s="15">
        <v>11.330024999999999</v>
      </c>
    </row>
    <row r="1977" spans="1:2">
      <c r="A1977" s="14">
        <v>45409.811111000003</v>
      </c>
      <c r="B1977" s="15">
        <v>12.155257000000001</v>
      </c>
    </row>
    <row r="1978" spans="1:2">
      <c r="A1978" s="14">
        <v>45409.811805999998</v>
      </c>
      <c r="B1978" s="15">
        <v>12.319595</v>
      </c>
    </row>
    <row r="1979" spans="1:2">
      <c r="A1979" s="14">
        <v>45409.8125</v>
      </c>
      <c r="B1979" s="15">
        <v>11.984734</v>
      </c>
    </row>
    <row r="1980" spans="1:2">
      <c r="A1980" s="14">
        <v>45409.813194000002</v>
      </c>
      <c r="B1980" s="15">
        <v>11.945359</v>
      </c>
    </row>
    <row r="1981" spans="1:2">
      <c r="A1981" s="14">
        <v>45409.813888999997</v>
      </c>
      <c r="B1981" s="15">
        <v>12.022425999999999</v>
      </c>
    </row>
    <row r="1982" spans="1:2">
      <c r="A1982" s="14">
        <v>45409.814582999999</v>
      </c>
      <c r="B1982" s="15">
        <v>12.572694</v>
      </c>
    </row>
    <row r="1983" spans="1:2">
      <c r="A1983" s="14">
        <v>45409.815278000002</v>
      </c>
      <c r="B1983" s="15">
        <v>11.602812</v>
      </c>
    </row>
    <row r="1984" spans="1:2">
      <c r="A1984" s="14">
        <v>45409.815971999997</v>
      </c>
      <c r="B1984" s="15">
        <v>11.765269999999999</v>
      </c>
    </row>
    <row r="1985" spans="1:2">
      <c r="A1985" s="14">
        <v>45409.816666999999</v>
      </c>
      <c r="B1985" s="15">
        <v>12.097715000000001</v>
      </c>
    </row>
    <row r="1986" spans="1:2">
      <c r="A1986" s="14">
        <v>45409.817361000001</v>
      </c>
      <c r="B1986" s="15">
        <v>12.182657000000001</v>
      </c>
    </row>
    <row r="1987" spans="1:2">
      <c r="A1987" s="14">
        <v>45409.818055999996</v>
      </c>
      <c r="B1987" s="15">
        <v>11.504656000000001</v>
      </c>
    </row>
    <row r="1988" spans="1:2">
      <c r="A1988" s="14">
        <v>45409.818749999999</v>
      </c>
      <c r="B1988" s="15">
        <v>12.424374</v>
      </c>
    </row>
    <row r="1989" spans="1:2">
      <c r="A1989" s="14">
        <v>45409.819444000001</v>
      </c>
      <c r="B1989" s="15">
        <v>11.479201</v>
      </c>
    </row>
    <row r="1990" spans="1:2">
      <c r="A1990" s="14">
        <v>45409.820139000003</v>
      </c>
      <c r="B1990" s="15">
        <v>12.276636</v>
      </c>
    </row>
    <row r="1991" spans="1:2">
      <c r="A1991" s="14">
        <v>45409.820832999998</v>
      </c>
      <c r="B1991" s="15">
        <v>11.824621</v>
      </c>
    </row>
    <row r="1992" spans="1:2">
      <c r="A1992" s="14">
        <v>45409.821528</v>
      </c>
      <c r="B1992" s="15">
        <v>12.180218999999999</v>
      </c>
    </row>
    <row r="1993" spans="1:2">
      <c r="A1993" s="14">
        <v>45409.822222000003</v>
      </c>
      <c r="B1993" s="15">
        <v>11.573562000000001</v>
      </c>
    </row>
    <row r="1994" spans="1:2">
      <c r="A1994" s="14">
        <v>45409.822916999998</v>
      </c>
      <c r="B1994" s="15">
        <v>11.804183</v>
      </c>
    </row>
    <row r="1995" spans="1:2">
      <c r="A1995" s="14">
        <v>45409.823611</v>
      </c>
      <c r="B1995" s="15">
        <v>11.770391999999999</v>
      </c>
    </row>
    <row r="1996" spans="1:2">
      <c r="A1996" s="14">
        <v>45409.824306000002</v>
      </c>
      <c r="B1996" s="15">
        <v>12.243523</v>
      </c>
    </row>
    <row r="1997" spans="1:2">
      <c r="A1997" s="14">
        <v>45409.824999999997</v>
      </c>
      <c r="B1997" s="15">
        <v>12.069105</v>
      </c>
    </row>
    <row r="1998" spans="1:2">
      <c r="A1998" s="14">
        <v>45409.825693999999</v>
      </c>
      <c r="B1998" s="15">
        <v>11.752098</v>
      </c>
    </row>
    <row r="1999" spans="1:2">
      <c r="A1999" s="14">
        <v>45409.826389000002</v>
      </c>
      <c r="B1999" s="15">
        <v>12.313869</v>
      </c>
    </row>
    <row r="2000" spans="1:2">
      <c r="A2000" s="14">
        <v>45409.827082999996</v>
      </c>
      <c r="B2000" s="15">
        <v>11.598411</v>
      </c>
    </row>
    <row r="2001" spans="1:2">
      <c r="A2001" s="14">
        <v>45409.827777999999</v>
      </c>
      <c r="B2001" s="15">
        <v>12.349299999999999</v>
      </c>
    </row>
    <row r="2002" spans="1:2">
      <c r="A2002" s="14">
        <v>45409.828472000001</v>
      </c>
      <c r="B2002" s="15">
        <v>11.748771</v>
      </c>
    </row>
    <row r="2003" spans="1:2">
      <c r="A2003" s="14">
        <v>45409.829167000004</v>
      </c>
      <c r="B2003" s="15">
        <v>11.839028000000001</v>
      </c>
    </row>
    <row r="2004" spans="1:2">
      <c r="A2004" s="14">
        <v>45409.829860999998</v>
      </c>
      <c r="B2004" s="15">
        <v>12.199351999999999</v>
      </c>
    </row>
    <row r="2005" spans="1:2">
      <c r="A2005" s="14">
        <v>45409.830556000001</v>
      </c>
      <c r="B2005" s="15">
        <v>11.921811</v>
      </c>
    </row>
    <row r="2006" spans="1:2">
      <c r="A2006" s="14">
        <v>45409.831250000003</v>
      </c>
      <c r="B2006" s="15">
        <v>11.932524000000001</v>
      </c>
    </row>
    <row r="2007" spans="1:2">
      <c r="A2007" s="14">
        <v>45409.831943999998</v>
      </c>
      <c r="B2007" s="15">
        <v>11.844963999999999</v>
      </c>
    </row>
    <row r="2008" spans="1:2">
      <c r="A2008" s="14">
        <v>45409.832639</v>
      </c>
      <c r="B2008" s="15">
        <v>11.58098</v>
      </c>
    </row>
    <row r="2009" spans="1:2">
      <c r="A2009" s="14">
        <v>45409.833333000002</v>
      </c>
      <c r="B2009" s="15">
        <v>12.087706000000001</v>
      </c>
    </row>
    <row r="2010" spans="1:2">
      <c r="A2010" s="14">
        <v>45409.834027999997</v>
      </c>
      <c r="B2010" s="15">
        <v>12.062329999999999</v>
      </c>
    </row>
    <row r="2011" spans="1:2">
      <c r="A2011" s="14">
        <v>45409.834722</v>
      </c>
      <c r="B2011" s="15">
        <v>12.105543000000001</v>
      </c>
    </row>
    <row r="2012" spans="1:2">
      <c r="A2012" s="14">
        <v>45409.835417000002</v>
      </c>
      <c r="B2012" s="15">
        <v>11.738586</v>
      </c>
    </row>
    <row r="2013" spans="1:2">
      <c r="A2013" s="14">
        <v>45409.836110999997</v>
      </c>
      <c r="B2013" s="15">
        <v>11.957971000000001</v>
      </c>
    </row>
    <row r="2014" spans="1:2">
      <c r="A2014" s="14">
        <v>45409.836805999999</v>
      </c>
      <c r="B2014" s="15">
        <v>12.134428</v>
      </c>
    </row>
    <row r="2015" spans="1:2">
      <c r="A2015" s="14">
        <v>45409.837500000001</v>
      </c>
      <c r="B2015" s="15">
        <v>12.138025000000001</v>
      </c>
    </row>
    <row r="2016" spans="1:2">
      <c r="A2016" s="14">
        <v>45409.838194000004</v>
      </c>
      <c r="B2016" s="15">
        <v>12.164301999999999</v>
      </c>
    </row>
    <row r="2017" spans="1:2">
      <c r="A2017" s="14">
        <v>45409.838888999999</v>
      </c>
      <c r="B2017" s="15">
        <v>12.309847</v>
      </c>
    </row>
    <row r="2018" spans="1:2">
      <c r="A2018" s="14">
        <v>45409.839583000001</v>
      </c>
      <c r="B2018" s="15">
        <v>11.830321</v>
      </c>
    </row>
    <row r="2019" spans="1:2">
      <c r="A2019" s="14">
        <v>45409.840278000003</v>
      </c>
      <c r="B2019" s="15">
        <v>11.865368999999999</v>
      </c>
    </row>
    <row r="2020" spans="1:2">
      <c r="A2020" s="14">
        <v>45409.840971999998</v>
      </c>
      <c r="B2020" s="15">
        <v>11.849615</v>
      </c>
    </row>
    <row r="2021" spans="1:2">
      <c r="A2021" s="14">
        <v>45409.841667000001</v>
      </c>
      <c r="B2021" s="15">
        <v>12.128477</v>
      </c>
    </row>
    <row r="2022" spans="1:2">
      <c r="A2022" s="14">
        <v>45409.842361000003</v>
      </c>
      <c r="B2022" s="15">
        <v>11.833753</v>
      </c>
    </row>
    <row r="2023" spans="1:2">
      <c r="A2023" s="14">
        <v>45409.843055999998</v>
      </c>
      <c r="B2023" s="15">
        <v>11.781867</v>
      </c>
    </row>
    <row r="2024" spans="1:2">
      <c r="A2024" s="14">
        <v>45409.84375</v>
      </c>
      <c r="B2024" s="15">
        <v>12.484512</v>
      </c>
    </row>
    <row r="2025" spans="1:2">
      <c r="A2025" s="14">
        <v>45409.844444000002</v>
      </c>
      <c r="B2025" s="15">
        <v>11.358599999999999</v>
      </c>
    </row>
    <row r="2026" spans="1:2">
      <c r="A2026" s="14">
        <v>45409.845138999997</v>
      </c>
      <c r="B2026" s="15">
        <v>11.956882999999999</v>
      </c>
    </row>
    <row r="2027" spans="1:2">
      <c r="A2027" s="14">
        <v>45409.845832999999</v>
      </c>
      <c r="B2027" s="15">
        <v>11.880445</v>
      </c>
    </row>
    <row r="2028" spans="1:2">
      <c r="A2028" s="14">
        <v>45409.846528000002</v>
      </c>
      <c r="B2028" s="15">
        <v>11.898173</v>
      </c>
    </row>
    <row r="2029" spans="1:2">
      <c r="A2029" s="14">
        <v>45409.847221999997</v>
      </c>
      <c r="B2029" s="15">
        <v>11.755948999999999</v>
      </c>
    </row>
    <row r="2030" spans="1:2">
      <c r="A2030" s="14">
        <v>45409.847916999999</v>
      </c>
      <c r="B2030" s="15">
        <v>11.930683999999999</v>
      </c>
    </row>
    <row r="2031" spans="1:2">
      <c r="A2031" s="14">
        <v>45409.848611000001</v>
      </c>
      <c r="B2031" s="15">
        <v>11.486490999999999</v>
      </c>
    </row>
    <row r="2032" spans="1:2">
      <c r="A2032" s="14">
        <v>45409.849305999996</v>
      </c>
      <c r="B2032" s="15">
        <v>11.401624</v>
      </c>
    </row>
    <row r="2033" spans="1:2">
      <c r="A2033" s="14">
        <v>45409.85</v>
      </c>
      <c r="B2033" s="15">
        <v>11.912965</v>
      </c>
    </row>
    <row r="2034" spans="1:2">
      <c r="A2034" s="14">
        <v>45409.850694000001</v>
      </c>
      <c r="B2034" s="15">
        <v>11.632332</v>
      </c>
    </row>
    <row r="2035" spans="1:2">
      <c r="A2035" s="14">
        <v>45409.851389000003</v>
      </c>
      <c r="B2035" s="15">
        <v>11.992463000000001</v>
      </c>
    </row>
    <row r="2036" spans="1:2">
      <c r="A2036" s="14">
        <v>45409.852082999998</v>
      </c>
      <c r="B2036" s="15">
        <v>11.508604</v>
      </c>
    </row>
    <row r="2037" spans="1:2">
      <c r="A2037" s="14">
        <v>45409.852778</v>
      </c>
      <c r="B2037" s="15">
        <v>11.802909</v>
      </c>
    </row>
    <row r="2038" spans="1:2">
      <c r="A2038" s="14">
        <v>45409.853472000003</v>
      </c>
      <c r="B2038" s="15">
        <v>11.910617999999999</v>
      </c>
    </row>
    <row r="2039" spans="1:2">
      <c r="A2039" s="14">
        <v>45409.854166999998</v>
      </c>
      <c r="B2039" s="15">
        <v>12.01024</v>
      </c>
    </row>
    <row r="2040" spans="1:2">
      <c r="A2040" s="14">
        <v>45409.854861</v>
      </c>
      <c r="B2040" s="15">
        <v>11.958523</v>
      </c>
    </row>
    <row r="2041" spans="1:2">
      <c r="A2041" s="14">
        <v>45409.855556000002</v>
      </c>
      <c r="B2041" s="15">
        <v>12.05129</v>
      </c>
    </row>
    <row r="2042" spans="1:2">
      <c r="A2042" s="14">
        <v>45409.856249999997</v>
      </c>
      <c r="B2042" s="15">
        <v>11.592147000000001</v>
      </c>
    </row>
    <row r="2043" spans="1:2">
      <c r="A2043" s="14">
        <v>45409.856943999999</v>
      </c>
      <c r="B2043" s="15">
        <v>11.866682000000001</v>
      </c>
    </row>
    <row r="2044" spans="1:2">
      <c r="A2044" s="14">
        <v>45409.857639000002</v>
      </c>
      <c r="B2044" s="15">
        <v>11.844301</v>
      </c>
    </row>
    <row r="2045" spans="1:2">
      <c r="A2045" s="14">
        <v>45409.858332999996</v>
      </c>
      <c r="B2045" s="15">
        <v>11.9975</v>
      </c>
    </row>
    <row r="2046" spans="1:2">
      <c r="A2046" s="14">
        <v>45409.859027999999</v>
      </c>
      <c r="B2046" s="15">
        <v>11.679240999999999</v>
      </c>
    </row>
    <row r="2047" spans="1:2">
      <c r="A2047" s="14">
        <v>45409.859722000001</v>
      </c>
      <c r="B2047" s="15">
        <v>11.590579</v>
      </c>
    </row>
    <row r="2048" spans="1:2">
      <c r="A2048" s="14">
        <v>45409.860417000004</v>
      </c>
      <c r="B2048" s="15">
        <v>11.852986</v>
      </c>
    </row>
    <row r="2049" spans="1:2">
      <c r="A2049" s="14">
        <v>45409.861110999998</v>
      </c>
      <c r="B2049" s="15">
        <v>12.068916</v>
      </c>
    </row>
    <row r="2050" spans="1:2">
      <c r="A2050" s="14">
        <v>45409.861806000001</v>
      </c>
      <c r="B2050" s="15">
        <v>11.764331</v>
      </c>
    </row>
    <row r="2051" spans="1:2">
      <c r="A2051" s="14">
        <v>45409.862500000003</v>
      </c>
      <c r="B2051" s="15">
        <v>11.351023</v>
      </c>
    </row>
    <row r="2052" spans="1:2">
      <c r="A2052" s="14">
        <v>45409.863193999998</v>
      </c>
      <c r="B2052" s="15">
        <v>11.914218999999999</v>
      </c>
    </row>
    <row r="2053" spans="1:2">
      <c r="A2053" s="14">
        <v>45409.863889</v>
      </c>
      <c r="B2053" s="15">
        <v>11.264332</v>
      </c>
    </row>
    <row r="2054" spans="1:2">
      <c r="A2054" s="14">
        <v>45409.864583000002</v>
      </c>
      <c r="B2054" s="15">
        <v>12.077565</v>
      </c>
    </row>
    <row r="2055" spans="1:2">
      <c r="A2055" s="14">
        <v>45409.865277999997</v>
      </c>
      <c r="B2055" s="15">
        <v>12.06302</v>
      </c>
    </row>
    <row r="2056" spans="1:2">
      <c r="A2056" s="14">
        <v>45409.865972</v>
      </c>
      <c r="B2056" s="15">
        <v>12.377395</v>
      </c>
    </row>
    <row r="2057" spans="1:2">
      <c r="A2057" s="14">
        <v>45409.866667000002</v>
      </c>
      <c r="B2057" s="15">
        <v>11.535356999999999</v>
      </c>
    </row>
    <row r="2058" spans="1:2">
      <c r="A2058" s="14">
        <v>45409.867360999997</v>
      </c>
      <c r="B2058" s="15">
        <v>11.834084000000001</v>
      </c>
    </row>
    <row r="2059" spans="1:2">
      <c r="A2059" s="14">
        <v>45409.868055999999</v>
      </c>
      <c r="B2059" s="15">
        <v>11.912929999999999</v>
      </c>
    </row>
    <row r="2060" spans="1:2">
      <c r="A2060" s="14">
        <v>45409.868750000001</v>
      </c>
      <c r="B2060" s="15">
        <v>11.653012</v>
      </c>
    </row>
    <row r="2061" spans="1:2">
      <c r="A2061" s="14">
        <v>45409.869444000004</v>
      </c>
      <c r="B2061" s="15">
        <v>12.093978</v>
      </c>
    </row>
    <row r="2062" spans="1:2">
      <c r="A2062" s="14">
        <v>45409.870138999999</v>
      </c>
      <c r="B2062" s="15">
        <v>11.989424</v>
      </c>
    </row>
    <row r="2063" spans="1:2">
      <c r="A2063" s="14">
        <v>45409.870833000001</v>
      </c>
      <c r="B2063" s="15">
        <v>11.924414000000001</v>
      </c>
    </row>
    <row r="2064" spans="1:2">
      <c r="A2064" s="14">
        <v>45409.871528000003</v>
      </c>
      <c r="B2064" s="15">
        <v>11.734729</v>
      </c>
    </row>
    <row r="2065" spans="1:2">
      <c r="A2065" s="14">
        <v>45409.872221999998</v>
      </c>
      <c r="B2065" s="15">
        <v>11.774361000000001</v>
      </c>
    </row>
    <row r="2066" spans="1:2">
      <c r="A2066" s="14">
        <v>45409.872917000001</v>
      </c>
      <c r="B2066" s="15">
        <v>12.016183</v>
      </c>
    </row>
    <row r="2067" spans="1:2">
      <c r="A2067" s="14">
        <v>45409.873611000003</v>
      </c>
      <c r="B2067" s="15">
        <v>11.976440999999999</v>
      </c>
    </row>
    <row r="2068" spans="1:2">
      <c r="A2068" s="14">
        <v>45409.874305999998</v>
      </c>
      <c r="B2068" s="15">
        <v>11.792643</v>
      </c>
    </row>
    <row r="2069" spans="1:2">
      <c r="A2069" s="14">
        <v>45409.875</v>
      </c>
      <c r="B2069" s="15">
        <v>11.717135000000001</v>
      </c>
    </row>
    <row r="2070" spans="1:2">
      <c r="A2070" s="14">
        <v>45409.875694000002</v>
      </c>
      <c r="B2070" s="15">
        <v>11.925224</v>
      </c>
    </row>
    <row r="2071" spans="1:2">
      <c r="A2071" s="14">
        <v>45409.876388999997</v>
      </c>
      <c r="B2071" s="15">
        <v>11.989388999999999</v>
      </c>
    </row>
    <row r="2072" spans="1:2">
      <c r="A2072" s="14">
        <v>45409.877082999999</v>
      </c>
      <c r="B2072" s="15">
        <v>11.650900999999999</v>
      </c>
    </row>
    <row r="2073" spans="1:2">
      <c r="A2073" s="14">
        <v>45409.877778000002</v>
      </c>
      <c r="B2073" s="15">
        <v>12.10276</v>
      </c>
    </row>
    <row r="2074" spans="1:2">
      <c r="A2074" s="14">
        <v>45409.878471999997</v>
      </c>
      <c r="B2074" s="15">
        <v>11.486376</v>
      </c>
    </row>
    <row r="2075" spans="1:2">
      <c r="A2075" s="14">
        <v>45409.879166999999</v>
      </c>
      <c r="B2075" s="15">
        <v>11.807096</v>
      </c>
    </row>
    <row r="2076" spans="1:2">
      <c r="A2076" s="14">
        <v>45409.879861000001</v>
      </c>
      <c r="B2076" s="15">
        <v>11.696218999999999</v>
      </c>
    </row>
    <row r="2077" spans="1:2">
      <c r="A2077" s="14">
        <v>45409.880555999996</v>
      </c>
      <c r="B2077" s="15">
        <v>11.740990999999999</v>
      </c>
    </row>
    <row r="2078" spans="1:2">
      <c r="A2078" s="14">
        <v>45409.881249999999</v>
      </c>
      <c r="B2078" s="15">
        <v>11.999916000000001</v>
      </c>
    </row>
    <row r="2079" spans="1:2">
      <c r="A2079" s="14">
        <v>45409.881944000001</v>
      </c>
      <c r="B2079" s="15">
        <v>11.861216000000001</v>
      </c>
    </row>
    <row r="2080" spans="1:2">
      <c r="A2080" s="14">
        <v>45409.882639000003</v>
      </c>
      <c r="B2080" s="15">
        <v>11.695292999999999</v>
      </c>
    </row>
    <row r="2081" spans="1:2">
      <c r="A2081" s="14">
        <v>45409.883332999998</v>
      </c>
      <c r="B2081" s="15">
        <v>11.742338</v>
      </c>
    </row>
    <row r="2082" spans="1:2">
      <c r="A2082" s="14">
        <v>45409.884028</v>
      </c>
      <c r="B2082" s="15">
        <v>11.642977999999999</v>
      </c>
    </row>
    <row r="2083" spans="1:2">
      <c r="A2083" s="14">
        <v>45409.884722000003</v>
      </c>
      <c r="B2083" s="15">
        <v>11.591703000000001</v>
      </c>
    </row>
    <row r="2084" spans="1:2">
      <c r="A2084" s="14">
        <v>45409.885416999998</v>
      </c>
      <c r="B2084" s="15">
        <v>11.662872999999999</v>
      </c>
    </row>
    <row r="2085" spans="1:2">
      <c r="A2085" s="14">
        <v>45409.886111</v>
      </c>
      <c r="B2085" s="15">
        <v>11.940587000000001</v>
      </c>
    </row>
    <row r="2086" spans="1:2">
      <c r="A2086" s="14">
        <v>45409.886806000002</v>
      </c>
      <c r="B2086" s="15">
        <v>12.160451</v>
      </c>
    </row>
    <row r="2087" spans="1:2">
      <c r="A2087" s="14">
        <v>45409.887499999997</v>
      </c>
      <c r="B2087" s="15">
        <v>11.820575</v>
      </c>
    </row>
    <row r="2088" spans="1:2">
      <c r="A2088" s="14">
        <v>45409.888193999999</v>
      </c>
      <c r="B2088" s="15">
        <v>11.881613</v>
      </c>
    </row>
    <row r="2089" spans="1:2">
      <c r="A2089" s="14">
        <v>45409.888889000002</v>
      </c>
      <c r="B2089" s="15">
        <v>11.36576</v>
      </c>
    </row>
    <row r="2090" spans="1:2">
      <c r="A2090" s="14">
        <v>45409.889582999996</v>
      </c>
      <c r="B2090" s="15">
        <v>11.870775</v>
      </c>
    </row>
    <row r="2091" spans="1:2">
      <c r="A2091" s="14">
        <v>45409.890277999999</v>
      </c>
      <c r="B2091" s="15">
        <v>11.628266999999999</v>
      </c>
    </row>
    <row r="2092" spans="1:2">
      <c r="A2092" s="14">
        <v>45409.890972000001</v>
      </c>
      <c r="B2092" s="15">
        <v>12.148986000000001</v>
      </c>
    </row>
    <row r="2093" spans="1:2">
      <c r="A2093" s="14">
        <v>45409.891667000004</v>
      </c>
      <c r="B2093" s="15">
        <v>11.519928</v>
      </c>
    </row>
    <row r="2094" spans="1:2">
      <c r="A2094" s="14">
        <v>45409.892360999998</v>
      </c>
      <c r="B2094" s="15">
        <v>11.965759</v>
      </c>
    </row>
    <row r="2095" spans="1:2">
      <c r="A2095" s="14">
        <v>45409.893056000001</v>
      </c>
      <c r="B2095" s="15">
        <v>11.870713</v>
      </c>
    </row>
    <row r="2096" spans="1:2">
      <c r="A2096" s="14">
        <v>45409.893750000003</v>
      </c>
      <c r="B2096" s="15">
        <v>11.493708</v>
      </c>
    </row>
    <row r="2097" spans="1:2">
      <c r="A2097" s="14">
        <v>45409.894443999998</v>
      </c>
      <c r="B2097" s="15">
        <v>11.925485999999999</v>
      </c>
    </row>
    <row r="2098" spans="1:2">
      <c r="A2098" s="14">
        <v>45409.895139</v>
      </c>
      <c r="B2098" s="15">
        <v>11.803704</v>
      </c>
    </row>
    <row r="2099" spans="1:2">
      <c r="A2099" s="14">
        <v>45409.895833000002</v>
      </c>
      <c r="B2099" s="15">
        <v>11.87069</v>
      </c>
    </row>
    <row r="2100" spans="1:2">
      <c r="A2100" s="14">
        <v>45409.896527999997</v>
      </c>
      <c r="B2100" s="15">
        <v>11.476578</v>
      </c>
    </row>
    <row r="2101" spans="1:2">
      <c r="A2101" s="14">
        <v>45409.897222</v>
      </c>
      <c r="B2101" s="15">
        <v>11.817240999999999</v>
      </c>
    </row>
    <row r="2102" spans="1:2">
      <c r="A2102" s="14">
        <v>45409.897917000002</v>
      </c>
      <c r="B2102" s="15">
        <v>11.691827</v>
      </c>
    </row>
    <row r="2103" spans="1:2">
      <c r="A2103" s="14">
        <v>45409.898610999997</v>
      </c>
      <c r="B2103" s="15">
        <v>11.786889</v>
      </c>
    </row>
    <row r="2104" spans="1:2">
      <c r="A2104" s="14">
        <v>45409.899305999999</v>
      </c>
      <c r="B2104" s="15">
        <v>11.429553</v>
      </c>
    </row>
    <row r="2105" spans="1:2">
      <c r="A2105" s="14">
        <v>45409.9</v>
      </c>
      <c r="B2105" s="15">
        <v>11.889981000000001</v>
      </c>
    </row>
    <row r="2106" spans="1:2">
      <c r="A2106" s="14">
        <v>45409.900694000004</v>
      </c>
      <c r="B2106" s="15">
        <v>12.138063000000001</v>
      </c>
    </row>
    <row r="2107" spans="1:2">
      <c r="A2107" s="14">
        <v>45409.901388999999</v>
      </c>
      <c r="B2107" s="15">
        <v>12.032304</v>
      </c>
    </row>
    <row r="2108" spans="1:2">
      <c r="A2108" s="14">
        <v>45409.902083000001</v>
      </c>
      <c r="B2108" s="15">
        <v>11.717720999999999</v>
      </c>
    </row>
    <row r="2109" spans="1:2">
      <c r="A2109" s="14">
        <v>45409.902778000003</v>
      </c>
      <c r="B2109" s="15">
        <v>12.063203</v>
      </c>
    </row>
    <row r="2110" spans="1:2">
      <c r="A2110" s="14">
        <v>45409.903471999998</v>
      </c>
      <c r="B2110" s="15">
        <v>11.830367000000001</v>
      </c>
    </row>
    <row r="2111" spans="1:2">
      <c r="A2111" s="14">
        <v>45409.904167000001</v>
      </c>
      <c r="B2111" s="15">
        <v>11.480335</v>
      </c>
    </row>
    <row r="2112" spans="1:2">
      <c r="A2112" s="14">
        <v>45409.904861000003</v>
      </c>
      <c r="B2112" s="15">
        <v>11.588134999999999</v>
      </c>
    </row>
    <row r="2113" spans="1:2">
      <c r="A2113" s="14">
        <v>45409.905555999998</v>
      </c>
      <c r="B2113" s="15">
        <v>11.670006000000001</v>
      </c>
    </row>
    <row r="2114" spans="1:2">
      <c r="A2114" s="14">
        <v>45409.90625</v>
      </c>
      <c r="B2114" s="15">
        <v>11.659482000000001</v>
      </c>
    </row>
    <row r="2115" spans="1:2">
      <c r="A2115" s="14">
        <v>45409.906944000002</v>
      </c>
      <c r="B2115" s="15">
        <v>11.779908000000001</v>
      </c>
    </row>
    <row r="2116" spans="1:2">
      <c r="A2116" s="14">
        <v>45409.907638999997</v>
      </c>
      <c r="B2116" s="15">
        <v>11.630058999999999</v>
      </c>
    </row>
    <row r="2117" spans="1:2">
      <c r="A2117" s="14">
        <v>45409.908332999999</v>
      </c>
      <c r="B2117" s="15">
        <v>11.660907</v>
      </c>
    </row>
    <row r="2118" spans="1:2">
      <c r="A2118" s="14">
        <v>45409.909028000002</v>
      </c>
      <c r="B2118" s="15">
        <v>11.859325</v>
      </c>
    </row>
    <row r="2119" spans="1:2">
      <c r="A2119" s="14">
        <v>45409.909721999997</v>
      </c>
      <c r="B2119" s="15">
        <v>11.788119</v>
      </c>
    </row>
    <row r="2120" spans="1:2">
      <c r="A2120" s="14">
        <v>45409.910416999999</v>
      </c>
      <c r="B2120" s="15">
        <v>11.75587</v>
      </c>
    </row>
    <row r="2121" spans="1:2">
      <c r="A2121" s="14">
        <v>45409.911111000001</v>
      </c>
      <c r="B2121" s="15">
        <v>11.669039</v>
      </c>
    </row>
    <row r="2122" spans="1:2">
      <c r="A2122" s="14">
        <v>45409.911805999996</v>
      </c>
      <c r="B2122" s="15">
        <v>11.749928000000001</v>
      </c>
    </row>
    <row r="2123" spans="1:2">
      <c r="A2123" s="14">
        <v>45409.912499999999</v>
      </c>
      <c r="B2123" s="15">
        <v>11.829136999999999</v>
      </c>
    </row>
    <row r="2124" spans="1:2">
      <c r="A2124" s="14">
        <v>45409.913194000001</v>
      </c>
      <c r="B2124" s="15">
        <v>11.69848</v>
      </c>
    </row>
    <row r="2125" spans="1:2">
      <c r="A2125" s="14">
        <v>45409.913889000003</v>
      </c>
      <c r="B2125" s="15">
        <v>11.655791000000001</v>
      </c>
    </row>
    <row r="2126" spans="1:2">
      <c r="A2126" s="14">
        <v>45409.914582999998</v>
      </c>
      <c r="B2126" s="15">
        <v>11.708246000000001</v>
      </c>
    </row>
    <row r="2127" spans="1:2">
      <c r="A2127" s="14">
        <v>45409.915278</v>
      </c>
      <c r="B2127" s="15">
        <v>12.099613</v>
      </c>
    </row>
    <row r="2128" spans="1:2">
      <c r="A2128" s="14">
        <v>45409.915972000003</v>
      </c>
      <c r="B2128" s="15">
        <v>11.645647</v>
      </c>
    </row>
    <row r="2129" spans="1:2">
      <c r="A2129" s="14">
        <v>45409.916666999998</v>
      </c>
      <c r="B2129" s="15">
        <v>11.798121999999999</v>
      </c>
    </row>
    <row r="2130" spans="1:2">
      <c r="A2130" s="14">
        <v>45409.917361</v>
      </c>
      <c r="B2130" s="15">
        <v>11.963727</v>
      </c>
    </row>
    <row r="2131" spans="1:2">
      <c r="A2131" s="14">
        <v>45409.918056000002</v>
      </c>
      <c r="B2131" s="15">
        <v>11.565481</v>
      </c>
    </row>
    <row r="2132" spans="1:2">
      <c r="A2132" s="14">
        <v>45409.918749999997</v>
      </c>
      <c r="B2132" s="15">
        <v>11.587797</v>
      </c>
    </row>
    <row r="2133" spans="1:2">
      <c r="A2133" s="14">
        <v>45409.919443999999</v>
      </c>
      <c r="B2133" s="15">
        <v>11.508912</v>
      </c>
    </row>
    <row r="2134" spans="1:2">
      <c r="A2134" s="14">
        <v>45409.920139000002</v>
      </c>
      <c r="B2134" s="15">
        <v>11.67591</v>
      </c>
    </row>
    <row r="2135" spans="1:2">
      <c r="A2135" s="14">
        <v>45409.920832999996</v>
      </c>
      <c r="B2135" s="15">
        <v>11.68144</v>
      </c>
    </row>
    <row r="2136" spans="1:2">
      <c r="A2136" s="14">
        <v>45409.921527999999</v>
      </c>
      <c r="B2136" s="15">
        <v>11.546956</v>
      </c>
    </row>
    <row r="2137" spans="1:2">
      <c r="A2137" s="14">
        <v>45409.922222000001</v>
      </c>
      <c r="B2137" s="15">
        <v>11.645208</v>
      </c>
    </row>
    <row r="2138" spans="1:2">
      <c r="A2138" s="14">
        <v>45409.922917000004</v>
      </c>
      <c r="B2138" s="15">
        <v>11.636884999999999</v>
      </c>
    </row>
    <row r="2139" spans="1:2">
      <c r="A2139" s="14">
        <v>45409.923610999998</v>
      </c>
      <c r="B2139" s="15">
        <v>11.707276999999999</v>
      </c>
    </row>
    <row r="2140" spans="1:2">
      <c r="A2140" s="14">
        <v>45409.924306000001</v>
      </c>
      <c r="B2140" s="15">
        <v>11.585947000000001</v>
      </c>
    </row>
    <row r="2141" spans="1:2">
      <c r="A2141" s="14">
        <v>45409.925000000003</v>
      </c>
      <c r="B2141" s="15">
        <v>11.495855000000001</v>
      </c>
    </row>
    <row r="2142" spans="1:2">
      <c r="A2142" s="14">
        <v>45409.925693999998</v>
      </c>
      <c r="B2142" s="15">
        <v>11.750814999999999</v>
      </c>
    </row>
    <row r="2143" spans="1:2">
      <c r="A2143" s="14">
        <v>45409.926389</v>
      </c>
      <c r="B2143" s="15">
        <v>11.556039</v>
      </c>
    </row>
    <row r="2144" spans="1:2">
      <c r="A2144" s="14">
        <v>45409.927083000002</v>
      </c>
      <c r="B2144" s="15">
        <v>11.536080999999999</v>
      </c>
    </row>
    <row r="2145" spans="1:2">
      <c r="A2145" s="14">
        <v>45409.927777999997</v>
      </c>
      <c r="B2145" s="15">
        <v>11.412623999999999</v>
      </c>
    </row>
    <row r="2146" spans="1:2">
      <c r="A2146" s="14">
        <v>45409.928472</v>
      </c>
      <c r="B2146" s="15">
        <v>11.896836</v>
      </c>
    </row>
    <row r="2147" spans="1:2">
      <c r="A2147" s="14">
        <v>45409.929167000002</v>
      </c>
      <c r="B2147" s="15">
        <v>11.723774000000001</v>
      </c>
    </row>
    <row r="2148" spans="1:2">
      <c r="A2148" s="14">
        <v>45409.929860999997</v>
      </c>
      <c r="B2148" s="15">
        <v>11.527167</v>
      </c>
    </row>
    <row r="2149" spans="1:2">
      <c r="A2149" s="14">
        <v>45409.930555999999</v>
      </c>
      <c r="B2149" s="15">
        <v>11.606132000000001</v>
      </c>
    </row>
    <row r="2150" spans="1:2">
      <c r="A2150" s="14">
        <v>45409.931250000001</v>
      </c>
      <c r="B2150" s="15">
        <v>11.520052</v>
      </c>
    </row>
    <row r="2151" spans="1:2">
      <c r="A2151" s="14">
        <v>45409.931944000004</v>
      </c>
      <c r="B2151" s="15">
        <v>11.593144000000001</v>
      </c>
    </row>
    <row r="2152" spans="1:2">
      <c r="A2152" s="14">
        <v>45409.932638999999</v>
      </c>
      <c r="B2152" s="15">
        <v>11.647976</v>
      </c>
    </row>
    <row r="2153" spans="1:2">
      <c r="A2153" s="14">
        <v>45409.933333000001</v>
      </c>
      <c r="B2153" s="15">
        <v>11.525484000000001</v>
      </c>
    </row>
    <row r="2154" spans="1:2">
      <c r="A2154" s="14">
        <v>45409.934028000003</v>
      </c>
      <c r="B2154" s="15">
        <v>11.606227000000001</v>
      </c>
    </row>
    <row r="2155" spans="1:2">
      <c r="A2155" s="14">
        <v>45409.934721999998</v>
      </c>
      <c r="B2155" s="15">
        <v>11.468251</v>
      </c>
    </row>
    <row r="2156" spans="1:2">
      <c r="A2156" s="14">
        <v>45409.935417000001</v>
      </c>
      <c r="B2156" s="15">
        <v>11.539643999999999</v>
      </c>
    </row>
    <row r="2157" spans="1:2">
      <c r="A2157" s="14">
        <v>45409.936111000003</v>
      </c>
      <c r="B2157" s="15">
        <v>11.606267000000001</v>
      </c>
    </row>
    <row r="2158" spans="1:2">
      <c r="A2158" s="14">
        <v>45409.936805999998</v>
      </c>
      <c r="B2158" s="15">
        <v>11.709315</v>
      </c>
    </row>
    <row r="2159" spans="1:2">
      <c r="A2159" s="14">
        <v>45409.9375</v>
      </c>
      <c r="B2159" s="15">
        <v>11.441976</v>
      </c>
    </row>
    <row r="2160" spans="1:2">
      <c r="A2160" s="14">
        <v>45409.938194000002</v>
      </c>
      <c r="B2160" s="15">
        <v>11.562628999999999</v>
      </c>
    </row>
    <row r="2161" spans="1:2">
      <c r="A2161" s="14">
        <v>45409.938888999997</v>
      </c>
      <c r="B2161" s="15">
        <v>11.558805</v>
      </c>
    </row>
    <row r="2162" spans="1:2">
      <c r="A2162" s="14">
        <v>45409.939582999999</v>
      </c>
      <c r="B2162" s="15">
        <v>11.640611</v>
      </c>
    </row>
    <row r="2163" spans="1:2">
      <c r="A2163" s="14">
        <v>45409.940278000002</v>
      </c>
      <c r="B2163" s="15">
        <v>11.602319</v>
      </c>
    </row>
    <row r="2164" spans="1:2">
      <c r="A2164" s="14">
        <v>45409.940971999997</v>
      </c>
      <c r="B2164" s="15">
        <v>11.793303</v>
      </c>
    </row>
    <row r="2165" spans="1:2">
      <c r="A2165" s="14">
        <v>45409.941666999999</v>
      </c>
      <c r="B2165" s="15">
        <v>11.630625999999999</v>
      </c>
    </row>
    <row r="2166" spans="1:2">
      <c r="A2166" s="14">
        <v>45409.942361000001</v>
      </c>
      <c r="B2166" s="15">
        <v>11.641635000000001</v>
      </c>
    </row>
    <row r="2167" spans="1:2">
      <c r="A2167" s="14">
        <v>45409.943055999996</v>
      </c>
      <c r="B2167" s="15">
        <v>11.645322999999999</v>
      </c>
    </row>
    <row r="2168" spans="1:2">
      <c r="A2168" s="14">
        <v>45409.943749999999</v>
      </c>
      <c r="B2168" s="15">
        <v>11.767982</v>
      </c>
    </row>
    <row r="2169" spans="1:2">
      <c r="A2169" s="14">
        <v>45409.944444000001</v>
      </c>
      <c r="B2169" s="15">
        <v>11.468766</v>
      </c>
    </row>
    <row r="2170" spans="1:2">
      <c r="A2170" s="14">
        <v>45409.945139000003</v>
      </c>
      <c r="B2170" s="15">
        <v>11.840591999999999</v>
      </c>
    </row>
    <row r="2171" spans="1:2">
      <c r="A2171" s="14">
        <v>45409.945832999998</v>
      </c>
      <c r="B2171" s="15">
        <v>11.638524</v>
      </c>
    </row>
    <row r="2172" spans="1:2">
      <c r="A2172" s="14">
        <v>45409.946528</v>
      </c>
      <c r="B2172" s="15">
        <v>11.474577</v>
      </c>
    </row>
    <row r="2173" spans="1:2">
      <c r="A2173" s="14">
        <v>45409.947222000003</v>
      </c>
      <c r="B2173" s="15">
        <v>11.456868999999999</v>
      </c>
    </row>
    <row r="2174" spans="1:2">
      <c r="A2174" s="14">
        <v>45409.947916999998</v>
      </c>
      <c r="B2174" s="15">
        <v>11.476981</v>
      </c>
    </row>
    <row r="2175" spans="1:2">
      <c r="A2175" s="14">
        <v>45409.948611</v>
      </c>
      <c r="B2175" s="15">
        <v>11.55705</v>
      </c>
    </row>
    <row r="2176" spans="1:2">
      <c r="A2176" s="14">
        <v>45409.949306000002</v>
      </c>
      <c r="B2176" s="15">
        <v>11.784015999999999</v>
      </c>
    </row>
    <row r="2177" spans="1:2">
      <c r="A2177" s="14">
        <v>45409.95</v>
      </c>
      <c r="B2177" s="15">
        <v>11.134494999999999</v>
      </c>
    </row>
    <row r="2178" spans="1:2">
      <c r="A2178" s="14">
        <v>45409.950693999999</v>
      </c>
      <c r="B2178" s="15">
        <v>12.050159000000001</v>
      </c>
    </row>
    <row r="2179" spans="1:2">
      <c r="A2179" s="14">
        <v>45409.951389000002</v>
      </c>
      <c r="B2179" s="15">
        <v>11.404391</v>
      </c>
    </row>
    <row r="2180" spans="1:2">
      <c r="A2180" s="14">
        <v>45409.952082999996</v>
      </c>
      <c r="B2180" s="15">
        <v>11.356992</v>
      </c>
    </row>
    <row r="2181" spans="1:2">
      <c r="A2181" s="14">
        <v>45409.952777999999</v>
      </c>
      <c r="B2181" s="15">
        <v>11.510699000000001</v>
      </c>
    </row>
    <row r="2182" spans="1:2">
      <c r="A2182" s="14">
        <v>45409.953472000001</v>
      </c>
      <c r="B2182" s="15">
        <v>11.622852</v>
      </c>
    </row>
    <row r="2183" spans="1:2">
      <c r="A2183" s="14">
        <v>45409.954167000004</v>
      </c>
      <c r="B2183" s="15">
        <v>11.076233</v>
      </c>
    </row>
    <row r="2184" spans="1:2">
      <c r="A2184" s="14">
        <v>45409.954860999998</v>
      </c>
      <c r="B2184" s="15">
        <v>11.611757000000001</v>
      </c>
    </row>
    <row r="2185" spans="1:2">
      <c r="A2185" s="14">
        <v>45409.955556000001</v>
      </c>
      <c r="B2185" s="15">
        <v>11.579901</v>
      </c>
    </row>
    <row r="2186" spans="1:2">
      <c r="A2186" s="14">
        <v>45409.956250000003</v>
      </c>
      <c r="B2186" s="15">
        <v>11.326579000000001</v>
      </c>
    </row>
    <row r="2187" spans="1:2">
      <c r="A2187" s="14">
        <v>45409.956943999998</v>
      </c>
      <c r="B2187" s="15">
        <v>11.669318000000001</v>
      </c>
    </row>
    <row r="2188" spans="1:2">
      <c r="A2188" s="14">
        <v>45409.957639</v>
      </c>
      <c r="B2188" s="15">
        <v>11.521006</v>
      </c>
    </row>
    <row r="2189" spans="1:2">
      <c r="A2189" s="14">
        <v>45409.958333000002</v>
      </c>
      <c r="B2189" s="15">
        <v>11.441461</v>
      </c>
    </row>
    <row r="2190" spans="1:2">
      <c r="A2190" s="14">
        <v>45409.959027999997</v>
      </c>
      <c r="B2190" s="15">
        <v>11.291028000000001</v>
      </c>
    </row>
    <row r="2191" spans="1:2">
      <c r="A2191" s="14">
        <v>45409.959722</v>
      </c>
      <c r="B2191" s="15">
        <v>11.384918000000001</v>
      </c>
    </row>
    <row r="2192" spans="1:2">
      <c r="A2192" s="14">
        <v>45409.960417000002</v>
      </c>
      <c r="B2192" s="15">
        <v>11.293295000000001</v>
      </c>
    </row>
    <row r="2193" spans="1:2">
      <c r="A2193" s="14">
        <v>45409.961110999997</v>
      </c>
      <c r="B2193" s="15">
        <v>11.596106000000001</v>
      </c>
    </row>
    <row r="2194" spans="1:2">
      <c r="A2194" s="14">
        <v>45409.961805999999</v>
      </c>
      <c r="B2194" s="15">
        <v>11.359971</v>
      </c>
    </row>
    <row r="2195" spans="1:2">
      <c r="A2195" s="14">
        <v>45409.962500000001</v>
      </c>
      <c r="B2195" s="15">
        <v>11.719519</v>
      </c>
    </row>
    <row r="2196" spans="1:2">
      <c r="A2196" s="14">
        <v>45409.963194000004</v>
      </c>
      <c r="B2196" s="15">
        <v>11.473656999999999</v>
      </c>
    </row>
    <row r="2197" spans="1:2">
      <c r="A2197" s="14">
        <v>45409.963888999999</v>
      </c>
      <c r="B2197" s="15">
        <v>11.527583999999999</v>
      </c>
    </row>
    <row r="2198" spans="1:2">
      <c r="A2198" s="14">
        <v>45409.964583000001</v>
      </c>
      <c r="B2198" s="15">
        <v>11.345096</v>
      </c>
    </row>
    <row r="2199" spans="1:2">
      <c r="A2199" s="14">
        <v>45409.965278000003</v>
      </c>
      <c r="B2199" s="15">
        <v>11.663522</v>
      </c>
    </row>
    <row r="2200" spans="1:2">
      <c r="A2200" s="14">
        <v>45409.965971999998</v>
      </c>
      <c r="B2200" s="15">
        <v>11.50084</v>
      </c>
    </row>
    <row r="2201" spans="1:2">
      <c r="A2201" s="14">
        <v>45409.966667000001</v>
      </c>
      <c r="B2201" s="15">
        <v>11.59454</v>
      </c>
    </row>
    <row r="2202" spans="1:2">
      <c r="A2202" s="14">
        <v>45409.967361000003</v>
      </c>
      <c r="B2202" s="15">
        <v>11.440341</v>
      </c>
    </row>
    <row r="2203" spans="1:2">
      <c r="A2203" s="14">
        <v>45409.968055999998</v>
      </c>
      <c r="B2203" s="15">
        <v>11.341634000000001</v>
      </c>
    </row>
    <row r="2204" spans="1:2">
      <c r="A2204" s="14">
        <v>45409.96875</v>
      </c>
      <c r="B2204" s="15">
        <v>11.545112</v>
      </c>
    </row>
    <row r="2205" spans="1:2">
      <c r="A2205" s="14">
        <v>45409.969444000002</v>
      </c>
      <c r="B2205" s="15">
        <v>11.445122</v>
      </c>
    </row>
    <row r="2206" spans="1:2">
      <c r="A2206" s="14">
        <v>45409.970138999997</v>
      </c>
      <c r="B2206" s="15">
        <v>11.655493</v>
      </c>
    </row>
    <row r="2207" spans="1:2">
      <c r="A2207" s="14">
        <v>45409.970832999999</v>
      </c>
      <c r="B2207" s="15">
        <v>11.55273</v>
      </c>
    </row>
    <row r="2208" spans="1:2">
      <c r="A2208" s="14">
        <v>45409.971528000002</v>
      </c>
      <c r="B2208" s="15">
        <v>11.63862</v>
      </c>
    </row>
    <row r="2209" spans="1:2">
      <c r="A2209" s="14">
        <v>45409.972221999997</v>
      </c>
      <c r="B2209" s="15">
        <v>11.679376</v>
      </c>
    </row>
    <row r="2210" spans="1:2">
      <c r="A2210" s="14">
        <v>45409.972916999999</v>
      </c>
      <c r="B2210" s="15">
        <v>11.320023000000001</v>
      </c>
    </row>
    <row r="2211" spans="1:2">
      <c r="A2211" s="14">
        <v>45409.973611000001</v>
      </c>
      <c r="B2211" s="15">
        <v>11.741744000000001</v>
      </c>
    </row>
    <row r="2212" spans="1:2">
      <c r="A2212" s="14">
        <v>45409.974305999996</v>
      </c>
      <c r="B2212" s="15">
        <v>11.475443</v>
      </c>
    </row>
    <row r="2213" spans="1:2">
      <c r="A2213" s="14">
        <v>45409.974999999999</v>
      </c>
      <c r="B2213" s="15">
        <v>11.444323000000001</v>
      </c>
    </row>
    <row r="2214" spans="1:2">
      <c r="A2214" s="14">
        <v>45409.975694000001</v>
      </c>
      <c r="B2214" s="15">
        <v>11.572307</v>
      </c>
    </row>
    <row r="2215" spans="1:2">
      <c r="A2215" s="14">
        <v>45409.976389000003</v>
      </c>
      <c r="B2215" s="15">
        <v>11.303124</v>
      </c>
    </row>
    <row r="2216" spans="1:2">
      <c r="A2216" s="14">
        <v>45409.977082999998</v>
      </c>
      <c r="B2216" s="15">
        <v>11.771582</v>
      </c>
    </row>
    <row r="2217" spans="1:2">
      <c r="A2217" s="14">
        <v>45409.977778</v>
      </c>
      <c r="B2217" s="15">
        <v>11.544320000000001</v>
      </c>
    </row>
    <row r="2218" spans="1:2">
      <c r="A2218" s="14">
        <v>45409.978472000003</v>
      </c>
      <c r="B2218" s="15">
        <v>11.511843000000001</v>
      </c>
    </row>
    <row r="2219" spans="1:2">
      <c r="A2219" s="14">
        <v>45409.979166999998</v>
      </c>
      <c r="B2219" s="15">
        <v>11.680654000000001</v>
      </c>
    </row>
    <row r="2220" spans="1:2">
      <c r="A2220" s="14">
        <v>45409.979861</v>
      </c>
      <c r="B2220" s="15">
        <v>11.658918</v>
      </c>
    </row>
    <row r="2221" spans="1:2">
      <c r="A2221" s="14">
        <v>45409.980556000002</v>
      </c>
      <c r="B2221" s="15">
        <v>11.463298</v>
      </c>
    </row>
    <row r="2222" spans="1:2">
      <c r="A2222" s="14">
        <v>45409.981249999997</v>
      </c>
      <c r="B2222" s="15">
        <v>11.391190999999999</v>
      </c>
    </row>
    <row r="2223" spans="1:2">
      <c r="A2223" s="14">
        <v>45409.981943999999</v>
      </c>
      <c r="B2223" s="15">
        <v>11.562993000000001</v>
      </c>
    </row>
    <row r="2224" spans="1:2">
      <c r="A2224" s="14">
        <v>45409.982639000002</v>
      </c>
      <c r="B2224" s="15">
        <v>11.710957000000001</v>
      </c>
    </row>
    <row r="2225" spans="1:2">
      <c r="A2225" s="14">
        <v>45409.983332999996</v>
      </c>
      <c r="B2225" s="15">
        <v>11.581104</v>
      </c>
    </row>
    <row r="2226" spans="1:2">
      <c r="A2226" s="14">
        <v>45409.984027999999</v>
      </c>
      <c r="B2226" s="15">
        <v>11.534678</v>
      </c>
    </row>
    <row r="2227" spans="1:2">
      <c r="A2227" s="14">
        <v>45409.984722000001</v>
      </c>
      <c r="B2227" s="15">
        <v>11.701922</v>
      </c>
    </row>
    <row r="2228" spans="1:2">
      <c r="A2228" s="14">
        <v>45409.985417000004</v>
      </c>
      <c r="B2228" s="15">
        <v>11.300932</v>
      </c>
    </row>
    <row r="2229" spans="1:2">
      <c r="A2229" s="14">
        <v>45409.986110999998</v>
      </c>
      <c r="B2229" s="15">
        <v>11.624911000000001</v>
      </c>
    </row>
    <row r="2230" spans="1:2">
      <c r="A2230" s="14">
        <v>45409.986806000001</v>
      </c>
      <c r="B2230" s="15">
        <v>11.329867999999999</v>
      </c>
    </row>
    <row r="2231" spans="1:2">
      <c r="A2231" s="14">
        <v>45409.987500000003</v>
      </c>
      <c r="B2231" s="15">
        <v>11.63687</v>
      </c>
    </row>
    <row r="2232" spans="1:2">
      <c r="A2232" s="14">
        <v>45409.988193999998</v>
      </c>
      <c r="B2232" s="15">
        <v>11.646283</v>
      </c>
    </row>
    <row r="2233" spans="1:2">
      <c r="A2233" s="14">
        <v>45409.988889</v>
      </c>
      <c r="B2233" s="15">
        <v>11.572839999999999</v>
      </c>
    </row>
    <row r="2234" spans="1:2">
      <c r="A2234" s="14">
        <v>45409.989583000002</v>
      </c>
      <c r="B2234" s="15">
        <v>11.402391</v>
      </c>
    </row>
    <row r="2235" spans="1:2">
      <c r="A2235" s="14">
        <v>45409.990277999997</v>
      </c>
      <c r="B2235" s="15">
        <v>11.263769999999999</v>
      </c>
    </row>
    <row r="2236" spans="1:2">
      <c r="A2236" s="14">
        <v>45409.990972</v>
      </c>
      <c r="B2236" s="15">
        <v>11.48606</v>
      </c>
    </row>
    <row r="2237" spans="1:2">
      <c r="A2237" s="14">
        <v>45409.991667000002</v>
      </c>
      <c r="B2237" s="15">
        <v>11.455251000000001</v>
      </c>
    </row>
    <row r="2238" spans="1:2">
      <c r="A2238" s="14">
        <v>45409.992360999997</v>
      </c>
      <c r="B2238" s="15">
        <v>11.607113</v>
      </c>
    </row>
    <row r="2239" spans="1:2">
      <c r="A2239" s="14">
        <v>45409.993055999999</v>
      </c>
      <c r="B2239" s="15">
        <v>11.511908</v>
      </c>
    </row>
    <row r="2240" spans="1:2">
      <c r="A2240" s="14">
        <v>45409.993750000001</v>
      </c>
      <c r="B2240" s="15">
        <v>11.551168000000001</v>
      </c>
    </row>
    <row r="2241" spans="1:2">
      <c r="A2241" s="14">
        <v>45409.994444000004</v>
      </c>
      <c r="B2241" s="15">
        <v>11.586916</v>
      </c>
    </row>
    <row r="2242" spans="1:2">
      <c r="A2242" s="14">
        <v>45409.995138999999</v>
      </c>
      <c r="B2242" s="15">
        <v>11.423591</v>
      </c>
    </row>
    <row r="2243" spans="1:2">
      <c r="A2243" s="14">
        <v>45409.995833000001</v>
      </c>
      <c r="B2243" s="15">
        <v>11.750931</v>
      </c>
    </row>
    <row r="2244" spans="1:2">
      <c r="A2244" s="14">
        <v>45409.996528000003</v>
      </c>
      <c r="B2244" s="15">
        <v>11.862485</v>
      </c>
    </row>
    <row r="2245" spans="1:2">
      <c r="A2245" s="14">
        <v>45409.997221999998</v>
      </c>
      <c r="B2245" s="15">
        <v>11.475507</v>
      </c>
    </row>
    <row r="2246" spans="1:2">
      <c r="A2246" s="14">
        <v>45409.997917000001</v>
      </c>
      <c r="B2246" s="15">
        <v>11.439247</v>
      </c>
    </row>
    <row r="2247" spans="1:2">
      <c r="A2247" s="14">
        <v>45409.998611000003</v>
      </c>
      <c r="B2247" s="15">
        <v>11.547355</v>
      </c>
    </row>
    <row r="2248" spans="1:2">
      <c r="A2248" s="14">
        <v>45409.999305999998</v>
      </c>
      <c r="B2248" s="15">
        <v>11.372123999999999</v>
      </c>
    </row>
    <row r="2249" spans="1:2">
      <c r="A2249" s="14">
        <v>45410</v>
      </c>
      <c r="B2249" s="15">
        <v>11.723851</v>
      </c>
    </row>
    <row r="2250" spans="1:2">
      <c r="A2250" s="14">
        <v>45410.000694000002</v>
      </c>
      <c r="B2250" s="15">
        <v>11.138679</v>
      </c>
    </row>
    <row r="2251" spans="1:2">
      <c r="A2251" s="14">
        <v>45410.001388999997</v>
      </c>
      <c r="B2251" s="15">
        <v>11.245749</v>
      </c>
    </row>
    <row r="2252" spans="1:2">
      <c r="A2252" s="14">
        <v>45410.002082999999</v>
      </c>
      <c r="B2252" s="15">
        <v>11.581630000000001</v>
      </c>
    </row>
    <row r="2253" spans="1:2">
      <c r="A2253" s="14">
        <v>45410.002778000002</v>
      </c>
      <c r="B2253" s="15">
        <v>11.443377</v>
      </c>
    </row>
    <row r="2254" spans="1:2">
      <c r="A2254" s="14">
        <v>45410.003471999997</v>
      </c>
      <c r="B2254" s="15">
        <v>11.595753</v>
      </c>
    </row>
    <row r="2255" spans="1:2">
      <c r="A2255" s="14">
        <v>45410.004166999999</v>
      </c>
      <c r="B2255" s="15">
        <v>11.638335</v>
      </c>
    </row>
    <row r="2256" spans="1:2">
      <c r="A2256" s="14">
        <v>45410.004861000001</v>
      </c>
      <c r="B2256" s="15">
        <v>11.216079000000001</v>
      </c>
    </row>
    <row r="2257" spans="1:2">
      <c r="A2257" s="14">
        <v>45410.005555999996</v>
      </c>
      <c r="B2257" s="15">
        <v>11.160444999999999</v>
      </c>
    </row>
    <row r="2258" spans="1:2">
      <c r="A2258" s="14">
        <v>45410.006249999999</v>
      </c>
      <c r="B2258" s="15">
        <v>11.308767</v>
      </c>
    </row>
    <row r="2259" spans="1:2">
      <c r="A2259" s="14">
        <v>45410.006944000001</v>
      </c>
      <c r="B2259" s="15">
        <v>11.37494</v>
      </c>
    </row>
    <row r="2260" spans="1:2">
      <c r="A2260" s="14">
        <v>45410.007639000003</v>
      </c>
      <c r="B2260" s="15">
        <v>11.417363</v>
      </c>
    </row>
    <row r="2261" spans="1:2">
      <c r="A2261" s="14">
        <v>45410.008332999998</v>
      </c>
      <c r="B2261" s="15">
        <v>11.822512</v>
      </c>
    </row>
    <row r="2262" spans="1:2">
      <c r="A2262" s="14">
        <v>45410.009028</v>
      </c>
      <c r="B2262" s="15">
        <v>11.112213000000001</v>
      </c>
    </row>
    <row r="2263" spans="1:2">
      <c r="A2263" s="14">
        <v>45410.009722000003</v>
      </c>
      <c r="B2263" s="15">
        <v>11.311605999999999</v>
      </c>
    </row>
    <row r="2264" spans="1:2">
      <c r="A2264" s="14">
        <v>45410.010416999998</v>
      </c>
      <c r="B2264" s="15">
        <v>11.441886</v>
      </c>
    </row>
    <row r="2265" spans="1:2">
      <c r="A2265" s="14">
        <v>45410.011111</v>
      </c>
      <c r="B2265" s="15">
        <v>11.572317999999999</v>
      </c>
    </row>
    <row r="2266" spans="1:2">
      <c r="A2266" s="14">
        <v>45410.011806000002</v>
      </c>
      <c r="B2266" s="15">
        <v>11.468389999999999</v>
      </c>
    </row>
    <row r="2267" spans="1:2">
      <c r="A2267" s="14">
        <v>45410.012499999997</v>
      </c>
      <c r="B2267" s="15">
        <v>11.218873</v>
      </c>
    </row>
    <row r="2268" spans="1:2">
      <c r="A2268" s="14">
        <v>45410.013193999999</v>
      </c>
      <c r="B2268" s="15">
        <v>11.751401</v>
      </c>
    </row>
    <row r="2269" spans="1:2">
      <c r="A2269" s="14">
        <v>45410.013889000002</v>
      </c>
      <c r="B2269" s="15">
        <v>11.325341999999999</v>
      </c>
    </row>
    <row r="2270" spans="1:2">
      <c r="A2270" s="14">
        <v>45410.014582999996</v>
      </c>
      <c r="B2270" s="15">
        <v>11.441604</v>
      </c>
    </row>
    <row r="2271" spans="1:2">
      <c r="A2271" s="14">
        <v>45410.015277999999</v>
      </c>
      <c r="B2271" s="15">
        <v>11.173007999999999</v>
      </c>
    </row>
    <row r="2272" spans="1:2">
      <c r="A2272" s="14">
        <v>45410.015972000001</v>
      </c>
      <c r="B2272" s="15">
        <v>11.238949</v>
      </c>
    </row>
    <row r="2273" spans="1:2">
      <c r="A2273" s="14">
        <v>45410.016667000004</v>
      </c>
      <c r="B2273" s="15">
        <v>11.640883000000001</v>
      </c>
    </row>
    <row r="2274" spans="1:2">
      <c r="A2274" s="14">
        <v>45410.017360999998</v>
      </c>
      <c r="B2274" s="15">
        <v>10.972524</v>
      </c>
    </row>
    <row r="2275" spans="1:2">
      <c r="A2275" s="14">
        <v>45410.018056000001</v>
      </c>
      <c r="B2275" s="15">
        <v>10.990817</v>
      </c>
    </row>
    <row r="2276" spans="1:2">
      <c r="A2276" s="14">
        <v>45410.018750000003</v>
      </c>
      <c r="B2276" s="15">
        <v>11.760128999999999</v>
      </c>
    </row>
    <row r="2277" spans="1:2">
      <c r="A2277" s="14">
        <v>45410.019443999998</v>
      </c>
      <c r="B2277" s="15">
        <v>11.347733</v>
      </c>
    </row>
    <row r="2278" spans="1:2">
      <c r="A2278" s="14">
        <v>45410.020139</v>
      </c>
      <c r="B2278" s="15">
        <v>11.201661</v>
      </c>
    </row>
    <row r="2279" spans="1:2">
      <c r="A2279" s="14">
        <v>45410.020833000002</v>
      </c>
      <c r="B2279" s="15">
        <v>11.347187999999999</v>
      </c>
    </row>
    <row r="2280" spans="1:2">
      <c r="A2280" s="14">
        <v>45410.021527999997</v>
      </c>
      <c r="B2280" s="15">
        <v>11.623948</v>
      </c>
    </row>
    <row r="2281" spans="1:2">
      <c r="A2281" s="14">
        <v>45410.022222</v>
      </c>
      <c r="B2281" s="15">
        <v>11.195675</v>
      </c>
    </row>
    <row r="2282" spans="1:2">
      <c r="A2282" s="14">
        <v>45410.022917000002</v>
      </c>
      <c r="B2282" s="15">
        <v>11.599136</v>
      </c>
    </row>
    <row r="2283" spans="1:2">
      <c r="A2283" s="14">
        <v>45410.023610999997</v>
      </c>
      <c r="B2283" s="15">
        <v>11.400439</v>
      </c>
    </row>
    <row r="2284" spans="1:2">
      <c r="A2284" s="14">
        <v>45410.024305999999</v>
      </c>
      <c r="B2284" s="15">
        <v>11.424264000000001</v>
      </c>
    </row>
    <row r="2285" spans="1:2">
      <c r="A2285" s="14">
        <v>45410.025000000001</v>
      </c>
      <c r="B2285" s="15">
        <v>11.583004000000001</v>
      </c>
    </row>
    <row r="2286" spans="1:2">
      <c r="A2286" s="14">
        <v>45410.025694000004</v>
      </c>
      <c r="B2286" s="15">
        <v>11.496593000000001</v>
      </c>
    </row>
    <row r="2287" spans="1:2">
      <c r="A2287" s="14">
        <v>45410.026388999999</v>
      </c>
      <c r="B2287" s="15">
        <v>11.60562</v>
      </c>
    </row>
    <row r="2288" spans="1:2">
      <c r="A2288" s="14">
        <v>45410.027083000001</v>
      </c>
      <c r="B2288" s="15">
        <v>11.543426999999999</v>
      </c>
    </row>
    <row r="2289" spans="1:2">
      <c r="A2289" s="14">
        <v>45410.027778000003</v>
      </c>
      <c r="B2289" s="15">
        <v>11.402139</v>
      </c>
    </row>
    <row r="2290" spans="1:2">
      <c r="A2290" s="14">
        <v>45410.028471999998</v>
      </c>
      <c r="B2290" s="15">
        <v>11.428824000000001</v>
      </c>
    </row>
    <row r="2291" spans="1:2">
      <c r="A2291" s="14">
        <v>45410.029167000001</v>
      </c>
      <c r="B2291" s="15">
        <v>11.493696</v>
      </c>
    </row>
    <row r="2292" spans="1:2">
      <c r="A2292" s="14">
        <v>45410.029861000003</v>
      </c>
      <c r="B2292" s="15">
        <v>11.259774999999999</v>
      </c>
    </row>
    <row r="2293" spans="1:2">
      <c r="A2293" s="14">
        <v>45410.030555999998</v>
      </c>
      <c r="B2293" s="15">
        <v>11.179710999999999</v>
      </c>
    </row>
    <row r="2294" spans="1:2">
      <c r="A2294" s="14">
        <v>45410.03125</v>
      </c>
      <c r="B2294" s="15">
        <v>11.127553000000001</v>
      </c>
    </row>
    <row r="2295" spans="1:2">
      <c r="A2295" s="14">
        <v>45410.031944000002</v>
      </c>
      <c r="B2295" s="15">
        <v>11.421077</v>
      </c>
    </row>
    <row r="2296" spans="1:2">
      <c r="A2296" s="14">
        <v>45410.032638999997</v>
      </c>
      <c r="B2296" s="15">
        <v>11.483406</v>
      </c>
    </row>
    <row r="2297" spans="1:2">
      <c r="A2297" s="14">
        <v>45410.033332999999</v>
      </c>
      <c r="B2297" s="15">
        <v>11.250586999999999</v>
      </c>
    </row>
    <row r="2298" spans="1:2">
      <c r="A2298" s="14">
        <v>45410.034028000002</v>
      </c>
      <c r="B2298" s="15">
        <v>11.256342999999999</v>
      </c>
    </row>
    <row r="2299" spans="1:2">
      <c r="A2299" s="14">
        <v>45410.034721999997</v>
      </c>
      <c r="B2299" s="15">
        <v>11.340012</v>
      </c>
    </row>
    <row r="2300" spans="1:2">
      <c r="A2300" s="14">
        <v>45410.035416999999</v>
      </c>
      <c r="B2300" s="15">
        <v>11.3805</v>
      </c>
    </row>
    <row r="2301" spans="1:2">
      <c r="A2301" s="14">
        <v>45410.036111000001</v>
      </c>
      <c r="B2301" s="15">
        <v>11.531866000000001</v>
      </c>
    </row>
    <row r="2302" spans="1:2">
      <c r="A2302" s="14">
        <v>45410.036805999996</v>
      </c>
      <c r="B2302" s="15">
        <v>11.342262</v>
      </c>
    </row>
    <row r="2303" spans="1:2">
      <c r="A2303" s="14">
        <v>45410.037499999999</v>
      </c>
      <c r="B2303" s="15">
        <v>11.137403000000001</v>
      </c>
    </row>
    <row r="2304" spans="1:2">
      <c r="A2304" s="14">
        <v>45410.038194000001</v>
      </c>
      <c r="B2304" s="15">
        <v>11.127980000000001</v>
      </c>
    </row>
    <row r="2305" spans="1:2">
      <c r="A2305" s="14">
        <v>45410.038889000003</v>
      </c>
      <c r="B2305" s="15">
        <v>11.279006000000001</v>
      </c>
    </row>
    <row r="2306" spans="1:2">
      <c r="A2306" s="14">
        <v>45410.039582999998</v>
      </c>
      <c r="B2306" s="15">
        <v>11.395517999999999</v>
      </c>
    </row>
    <row r="2307" spans="1:2">
      <c r="A2307" s="14">
        <v>45410.040278</v>
      </c>
      <c r="B2307" s="15">
        <v>11.266785</v>
      </c>
    </row>
    <row r="2308" spans="1:2">
      <c r="A2308" s="14">
        <v>45410.040972000003</v>
      </c>
      <c r="B2308" s="15">
        <v>11.391709000000001</v>
      </c>
    </row>
    <row r="2309" spans="1:2">
      <c r="A2309" s="14">
        <v>45410.041666999998</v>
      </c>
      <c r="B2309" s="15">
        <v>11.148713000000001</v>
      </c>
    </row>
    <row r="2310" spans="1:2">
      <c r="A2310" s="14">
        <v>45410.042361</v>
      </c>
      <c r="B2310" s="15">
        <v>11.642289</v>
      </c>
    </row>
    <row r="2311" spans="1:2">
      <c r="A2311" s="14">
        <v>45410.043056000002</v>
      </c>
      <c r="B2311" s="15">
        <v>11.233370000000001</v>
      </c>
    </row>
    <row r="2312" spans="1:2">
      <c r="A2312" s="14">
        <v>45410.043749999997</v>
      </c>
      <c r="B2312" s="15">
        <v>11.612716000000001</v>
      </c>
    </row>
    <row r="2313" spans="1:2">
      <c r="A2313" s="14">
        <v>45410.044443999999</v>
      </c>
      <c r="B2313" s="15">
        <v>11.501666999999999</v>
      </c>
    </row>
    <row r="2314" spans="1:2">
      <c r="A2314" s="14">
        <v>45410.045139000002</v>
      </c>
      <c r="B2314" s="15">
        <v>11.418302000000001</v>
      </c>
    </row>
    <row r="2315" spans="1:2">
      <c r="A2315" s="14">
        <v>45410.045832999996</v>
      </c>
      <c r="B2315" s="15">
        <v>11.271784999999999</v>
      </c>
    </row>
    <row r="2316" spans="1:2">
      <c r="A2316" s="14">
        <v>45410.046527999999</v>
      </c>
      <c r="B2316" s="15">
        <v>11.599206000000001</v>
      </c>
    </row>
    <row r="2317" spans="1:2">
      <c r="A2317" s="14">
        <v>45410.047222000001</v>
      </c>
      <c r="B2317" s="15">
        <v>11.313958</v>
      </c>
    </row>
    <row r="2318" spans="1:2">
      <c r="A2318" s="14">
        <v>45410.047917000004</v>
      </c>
      <c r="B2318" s="15">
        <v>11.598147000000001</v>
      </c>
    </row>
    <row r="2319" spans="1:2">
      <c r="A2319" s="14">
        <v>45410.048610999998</v>
      </c>
      <c r="B2319" s="15">
        <v>11.474311</v>
      </c>
    </row>
    <row r="2320" spans="1:2">
      <c r="A2320" s="14">
        <v>45410.049306000001</v>
      </c>
      <c r="B2320" s="15">
        <v>11.329124999999999</v>
      </c>
    </row>
    <row r="2321" spans="1:2">
      <c r="A2321" s="14">
        <v>45410.05</v>
      </c>
      <c r="B2321" s="15">
        <v>11.267033</v>
      </c>
    </row>
    <row r="2322" spans="1:2">
      <c r="A2322" s="14">
        <v>45410.050693999998</v>
      </c>
      <c r="B2322" s="15">
        <v>11.510453999999999</v>
      </c>
    </row>
    <row r="2323" spans="1:2">
      <c r="A2323" s="14">
        <v>45410.051389</v>
      </c>
      <c r="B2323" s="15">
        <v>11.377268000000001</v>
      </c>
    </row>
    <row r="2324" spans="1:2">
      <c r="A2324" s="14">
        <v>45410.052083000002</v>
      </c>
      <c r="B2324" s="15">
        <v>11.414707999999999</v>
      </c>
    </row>
    <row r="2325" spans="1:2">
      <c r="A2325" s="14">
        <v>45410.052777999997</v>
      </c>
      <c r="B2325" s="15">
        <v>11.428361000000001</v>
      </c>
    </row>
    <row r="2326" spans="1:2">
      <c r="A2326" s="14">
        <v>45410.053472</v>
      </c>
      <c r="B2326" s="15">
        <v>11.470973000000001</v>
      </c>
    </row>
    <row r="2327" spans="1:2">
      <c r="A2327" s="14">
        <v>45410.054167000002</v>
      </c>
      <c r="B2327" s="15">
        <v>11.46618</v>
      </c>
    </row>
    <row r="2328" spans="1:2">
      <c r="A2328" s="14">
        <v>45410.054860999997</v>
      </c>
      <c r="B2328" s="15">
        <v>11.434450999999999</v>
      </c>
    </row>
    <row r="2329" spans="1:2">
      <c r="A2329" s="14">
        <v>45410.055555999999</v>
      </c>
      <c r="B2329" s="15">
        <v>11.413138</v>
      </c>
    </row>
    <row r="2330" spans="1:2">
      <c r="A2330" s="14">
        <v>45410.056250000001</v>
      </c>
      <c r="B2330" s="15">
        <v>11.635695999999999</v>
      </c>
    </row>
    <row r="2331" spans="1:2">
      <c r="A2331" s="14">
        <v>45410.056944000004</v>
      </c>
      <c r="B2331" s="15">
        <v>11.329761</v>
      </c>
    </row>
    <row r="2332" spans="1:2">
      <c r="A2332" s="14">
        <v>45410.057638999999</v>
      </c>
      <c r="B2332" s="15">
        <v>11.185225000000001</v>
      </c>
    </row>
    <row r="2333" spans="1:2">
      <c r="A2333" s="14">
        <v>45410.058333000001</v>
      </c>
      <c r="B2333" s="15">
        <v>11.493352</v>
      </c>
    </row>
    <row r="2334" spans="1:2">
      <c r="A2334" s="14">
        <v>45410.059028000003</v>
      </c>
      <c r="B2334" s="15">
        <v>11.086971</v>
      </c>
    </row>
    <row r="2335" spans="1:2">
      <c r="A2335" s="14">
        <v>45410.059721999998</v>
      </c>
      <c r="B2335" s="15">
        <v>11.460673999999999</v>
      </c>
    </row>
    <row r="2336" spans="1:2">
      <c r="A2336" s="14">
        <v>45410.060417000001</v>
      </c>
      <c r="B2336" s="15">
        <v>11.377481</v>
      </c>
    </row>
    <row r="2337" spans="1:2">
      <c r="A2337" s="14">
        <v>45410.061111000003</v>
      </c>
      <c r="B2337" s="15">
        <v>11.523600999999999</v>
      </c>
    </row>
    <row r="2338" spans="1:2">
      <c r="A2338" s="14">
        <v>45410.061805999998</v>
      </c>
      <c r="B2338" s="15">
        <v>11.113313</v>
      </c>
    </row>
    <row r="2339" spans="1:2">
      <c r="A2339" s="14">
        <v>45410.0625</v>
      </c>
      <c r="B2339" s="15">
        <v>11.338606</v>
      </c>
    </row>
    <row r="2340" spans="1:2">
      <c r="A2340" s="14">
        <v>45410.063194000002</v>
      </c>
      <c r="B2340" s="15">
        <v>11.444311000000001</v>
      </c>
    </row>
    <row r="2341" spans="1:2">
      <c r="A2341" s="14">
        <v>45410.063888999997</v>
      </c>
      <c r="B2341" s="15">
        <v>11.460462</v>
      </c>
    </row>
    <row r="2342" spans="1:2">
      <c r="A2342" s="14">
        <v>45410.064582999999</v>
      </c>
      <c r="B2342" s="15">
        <v>11.485390000000001</v>
      </c>
    </row>
    <row r="2343" spans="1:2">
      <c r="A2343" s="14">
        <v>45410.065278000002</v>
      </c>
      <c r="B2343" s="15">
        <v>11.138159</v>
      </c>
    </row>
    <row r="2344" spans="1:2">
      <c r="A2344" s="14">
        <v>45410.065971999997</v>
      </c>
      <c r="B2344" s="15">
        <v>11.401614</v>
      </c>
    </row>
    <row r="2345" spans="1:2">
      <c r="A2345" s="14">
        <v>45410.066666999999</v>
      </c>
      <c r="B2345" s="15">
        <v>11.254094</v>
      </c>
    </row>
    <row r="2346" spans="1:2">
      <c r="A2346" s="14">
        <v>45410.067361000001</v>
      </c>
      <c r="B2346" s="15">
        <v>11.724197999999999</v>
      </c>
    </row>
    <row r="2347" spans="1:2">
      <c r="A2347" s="14">
        <v>45410.068055999996</v>
      </c>
      <c r="B2347" s="15">
        <v>11.240741999999999</v>
      </c>
    </row>
    <row r="2348" spans="1:2">
      <c r="A2348" s="14">
        <v>45410.068749999999</v>
      </c>
      <c r="B2348" s="15">
        <v>11.373512</v>
      </c>
    </row>
    <row r="2349" spans="1:2">
      <c r="A2349" s="14">
        <v>45410.069444000001</v>
      </c>
      <c r="B2349" s="15">
        <v>11.506829</v>
      </c>
    </row>
    <row r="2350" spans="1:2">
      <c r="A2350" s="14">
        <v>45410.070139000003</v>
      </c>
      <c r="B2350" s="15">
        <v>11.507323</v>
      </c>
    </row>
    <row r="2351" spans="1:2">
      <c r="A2351" s="14">
        <v>45410.070832999998</v>
      </c>
      <c r="B2351" s="15">
        <v>11.245445</v>
      </c>
    </row>
    <row r="2352" spans="1:2">
      <c r="A2352" s="14">
        <v>45410.071528</v>
      </c>
      <c r="B2352" s="15">
        <v>11.397997</v>
      </c>
    </row>
    <row r="2353" spans="1:2">
      <c r="A2353" s="14">
        <v>45410.072222000003</v>
      </c>
      <c r="B2353" s="15">
        <v>11.062908999999999</v>
      </c>
    </row>
    <row r="2354" spans="1:2">
      <c r="A2354" s="14">
        <v>45410.072916999998</v>
      </c>
      <c r="B2354" s="15">
        <v>10.987764</v>
      </c>
    </row>
    <row r="2355" spans="1:2">
      <c r="A2355" s="14">
        <v>45410.073611</v>
      </c>
      <c r="B2355" s="15">
        <v>11.337641</v>
      </c>
    </row>
    <row r="2356" spans="1:2">
      <c r="A2356" s="14">
        <v>45410.074306000002</v>
      </c>
      <c r="B2356" s="15">
        <v>11.347885</v>
      </c>
    </row>
    <row r="2357" spans="1:2">
      <c r="A2357" s="14">
        <v>45410.074999999997</v>
      </c>
      <c r="B2357" s="15">
        <v>11.438337000000001</v>
      </c>
    </row>
    <row r="2358" spans="1:2">
      <c r="A2358" s="14">
        <v>45410.075693999999</v>
      </c>
      <c r="B2358" s="15">
        <v>11.591002</v>
      </c>
    </row>
    <row r="2359" spans="1:2">
      <c r="A2359" s="14">
        <v>45410.076389000002</v>
      </c>
      <c r="B2359" s="15">
        <v>11.292237999999999</v>
      </c>
    </row>
    <row r="2360" spans="1:2">
      <c r="A2360" s="14">
        <v>45410.077082999996</v>
      </c>
      <c r="B2360" s="15">
        <v>11.73963</v>
      </c>
    </row>
    <row r="2361" spans="1:2">
      <c r="A2361" s="14">
        <v>45410.077777999999</v>
      </c>
      <c r="B2361" s="15">
        <v>11.156108</v>
      </c>
    </row>
    <row r="2362" spans="1:2">
      <c r="A2362" s="14">
        <v>45410.078472000001</v>
      </c>
      <c r="B2362" s="15">
        <v>11.433449</v>
      </c>
    </row>
    <row r="2363" spans="1:2">
      <c r="A2363" s="14">
        <v>45410.079167000004</v>
      </c>
      <c r="B2363" s="15">
        <v>11.532702</v>
      </c>
    </row>
    <row r="2364" spans="1:2">
      <c r="A2364" s="14">
        <v>45410.079860999998</v>
      </c>
      <c r="B2364" s="15">
        <v>11.568393</v>
      </c>
    </row>
    <row r="2365" spans="1:2">
      <c r="A2365" s="14">
        <v>45410.080556000001</v>
      </c>
      <c r="B2365" s="15">
        <v>11.280142</v>
      </c>
    </row>
    <row r="2366" spans="1:2">
      <c r="A2366" s="14">
        <v>45410.081250000003</v>
      </c>
      <c r="B2366" s="15">
        <v>11.186311999999999</v>
      </c>
    </row>
    <row r="2367" spans="1:2">
      <c r="A2367" s="14">
        <v>45410.081943999998</v>
      </c>
      <c r="B2367" s="15">
        <v>11.666213000000001</v>
      </c>
    </row>
    <row r="2368" spans="1:2">
      <c r="A2368" s="14">
        <v>45410.082639</v>
      </c>
      <c r="B2368" s="15">
        <v>11.349796</v>
      </c>
    </row>
    <row r="2369" spans="1:2">
      <c r="A2369" s="14">
        <v>45410.083333000002</v>
      </c>
      <c r="B2369" s="15">
        <v>11.583449999999999</v>
      </c>
    </row>
    <row r="2370" spans="1:2">
      <c r="A2370" s="14">
        <v>45410.084027999997</v>
      </c>
      <c r="B2370" s="15">
        <v>11.289764999999999</v>
      </c>
    </row>
    <row r="2371" spans="1:2">
      <c r="A2371" s="14">
        <v>45410.084722</v>
      </c>
      <c r="B2371" s="15">
        <v>11.195954</v>
      </c>
    </row>
    <row r="2372" spans="1:2">
      <c r="A2372" s="14">
        <v>45410.085417000002</v>
      </c>
      <c r="B2372" s="15">
        <v>11.425763</v>
      </c>
    </row>
    <row r="2373" spans="1:2">
      <c r="A2373" s="14">
        <v>45410.086110999997</v>
      </c>
      <c r="B2373" s="15">
        <v>11.460215</v>
      </c>
    </row>
    <row r="2374" spans="1:2">
      <c r="A2374" s="14">
        <v>45410.086805999999</v>
      </c>
      <c r="B2374" s="15">
        <v>11.255992000000001</v>
      </c>
    </row>
    <row r="2375" spans="1:2">
      <c r="A2375" s="14">
        <v>45410.087500000001</v>
      </c>
      <c r="B2375" s="15">
        <v>11.196120000000001</v>
      </c>
    </row>
    <row r="2376" spans="1:2">
      <c r="A2376" s="14">
        <v>45410.088194000004</v>
      </c>
      <c r="B2376" s="15">
        <v>11.755029</v>
      </c>
    </row>
    <row r="2377" spans="1:2">
      <c r="A2377" s="14">
        <v>45410.088888999999</v>
      </c>
      <c r="B2377" s="15">
        <v>10.966846</v>
      </c>
    </row>
    <row r="2378" spans="1:2">
      <c r="A2378" s="14">
        <v>45410.089583000001</v>
      </c>
      <c r="B2378" s="15">
        <v>11.459287</v>
      </c>
    </row>
    <row r="2379" spans="1:2">
      <c r="A2379" s="14">
        <v>45410.090278000003</v>
      </c>
      <c r="B2379" s="15">
        <v>11.355672999999999</v>
      </c>
    </row>
    <row r="2380" spans="1:2">
      <c r="A2380" s="14">
        <v>45410.090971999998</v>
      </c>
      <c r="B2380" s="15">
        <v>11.485389</v>
      </c>
    </row>
    <row r="2381" spans="1:2">
      <c r="A2381" s="14">
        <v>45410.091667000001</v>
      </c>
      <c r="B2381" s="15">
        <v>11.678596000000001</v>
      </c>
    </row>
    <row r="2382" spans="1:2">
      <c r="A2382" s="14">
        <v>45410.092361000003</v>
      </c>
      <c r="B2382" s="15">
        <v>11.133279</v>
      </c>
    </row>
    <row r="2383" spans="1:2">
      <c r="A2383" s="14">
        <v>45410.093055999998</v>
      </c>
      <c r="B2383" s="15">
        <v>11.361772999999999</v>
      </c>
    </row>
    <row r="2384" spans="1:2">
      <c r="A2384" s="14">
        <v>45410.09375</v>
      </c>
      <c r="B2384" s="15">
        <v>11.386663</v>
      </c>
    </row>
    <row r="2385" spans="1:2">
      <c r="A2385" s="14">
        <v>45410.094444000002</v>
      </c>
      <c r="B2385" s="15">
        <v>11.354616</v>
      </c>
    </row>
    <row r="2386" spans="1:2">
      <c r="A2386" s="14">
        <v>45410.095138999997</v>
      </c>
      <c r="B2386" s="15">
        <v>11.712676</v>
      </c>
    </row>
    <row r="2387" spans="1:2">
      <c r="A2387" s="14">
        <v>45410.095832999999</v>
      </c>
      <c r="B2387" s="15">
        <v>11.171608000000001</v>
      </c>
    </row>
    <row r="2388" spans="1:2">
      <c r="A2388" s="14">
        <v>45410.096528000002</v>
      </c>
      <c r="B2388" s="15">
        <v>11.293913999999999</v>
      </c>
    </row>
    <row r="2389" spans="1:2">
      <c r="A2389" s="14">
        <v>45410.097221999997</v>
      </c>
      <c r="B2389" s="15">
        <v>11.444167</v>
      </c>
    </row>
    <row r="2390" spans="1:2">
      <c r="A2390" s="14">
        <v>45410.097916999999</v>
      </c>
      <c r="B2390" s="15">
        <v>11.440626999999999</v>
      </c>
    </row>
    <row r="2391" spans="1:2">
      <c r="A2391" s="14">
        <v>45410.098611000001</v>
      </c>
      <c r="B2391" s="15">
        <v>11.178102000000001</v>
      </c>
    </row>
    <row r="2392" spans="1:2">
      <c r="A2392" s="14">
        <v>45410.099305999996</v>
      </c>
      <c r="B2392" s="15">
        <v>11.169065</v>
      </c>
    </row>
    <row r="2393" spans="1:2">
      <c r="A2393" s="14">
        <v>45410.1</v>
      </c>
      <c r="B2393" s="15">
        <v>11.377971000000001</v>
      </c>
    </row>
    <row r="2394" spans="1:2">
      <c r="A2394" s="14">
        <v>45410.100694000001</v>
      </c>
      <c r="B2394" s="15">
        <v>11.627108</v>
      </c>
    </row>
    <row r="2395" spans="1:2">
      <c r="A2395" s="14">
        <v>45410.101389000003</v>
      </c>
      <c r="B2395" s="15">
        <v>11.392817000000001</v>
      </c>
    </row>
    <row r="2396" spans="1:2">
      <c r="A2396" s="14">
        <v>45410.102082999998</v>
      </c>
      <c r="B2396" s="15">
        <v>11.498087</v>
      </c>
    </row>
    <row r="2397" spans="1:2">
      <c r="A2397" s="14">
        <v>45410.102778</v>
      </c>
      <c r="B2397" s="15">
        <v>11.127487</v>
      </c>
    </row>
    <row r="2398" spans="1:2">
      <c r="A2398" s="14">
        <v>45410.103472000003</v>
      </c>
      <c r="B2398" s="15">
        <v>11.633713</v>
      </c>
    </row>
    <row r="2399" spans="1:2">
      <c r="A2399" s="14">
        <v>45410.104166999998</v>
      </c>
      <c r="B2399" s="15">
        <v>11.094725</v>
      </c>
    </row>
    <row r="2400" spans="1:2">
      <c r="A2400" s="14">
        <v>45410.104861</v>
      </c>
      <c r="B2400" s="15">
        <v>11.523911999999999</v>
      </c>
    </row>
    <row r="2401" spans="1:2">
      <c r="A2401" s="14">
        <v>45410.105556000002</v>
      </c>
      <c r="B2401" s="15">
        <v>11.182551</v>
      </c>
    </row>
    <row r="2402" spans="1:2">
      <c r="A2402" s="14">
        <v>45410.106249999997</v>
      </c>
      <c r="B2402" s="15">
        <v>11.311087000000001</v>
      </c>
    </row>
    <row r="2403" spans="1:2">
      <c r="A2403" s="14">
        <v>45410.106943999999</v>
      </c>
      <c r="B2403" s="15">
        <v>11.719111</v>
      </c>
    </row>
    <row r="2404" spans="1:2">
      <c r="A2404" s="14">
        <v>45410.107639000002</v>
      </c>
      <c r="B2404" s="15">
        <v>11.291520999999999</v>
      </c>
    </row>
    <row r="2405" spans="1:2">
      <c r="A2405" s="14">
        <v>45410.108332999996</v>
      </c>
      <c r="B2405" s="15">
        <v>11.475647</v>
      </c>
    </row>
    <row r="2406" spans="1:2">
      <c r="A2406" s="14">
        <v>45410.109027999999</v>
      </c>
      <c r="B2406" s="15">
        <v>11.180028999999999</v>
      </c>
    </row>
    <row r="2407" spans="1:2">
      <c r="A2407" s="14">
        <v>45410.109722000001</v>
      </c>
      <c r="B2407" s="15">
        <v>11.196623000000001</v>
      </c>
    </row>
    <row r="2408" spans="1:2">
      <c r="A2408" s="14">
        <v>45410.110417000004</v>
      </c>
      <c r="B2408" s="15">
        <v>11.081092999999999</v>
      </c>
    </row>
    <row r="2409" spans="1:2">
      <c r="A2409" s="14">
        <v>45410.111110999998</v>
      </c>
      <c r="B2409" s="15">
        <v>11.616578000000001</v>
      </c>
    </row>
    <row r="2410" spans="1:2">
      <c r="A2410" s="14">
        <v>45410.111806000001</v>
      </c>
      <c r="B2410" s="15">
        <v>10.997742000000001</v>
      </c>
    </row>
    <row r="2411" spans="1:2">
      <c r="A2411" s="14">
        <v>45410.112500000003</v>
      </c>
      <c r="B2411" s="15">
        <v>11.097925999999999</v>
      </c>
    </row>
    <row r="2412" spans="1:2">
      <c r="A2412" s="14">
        <v>45410.113193999998</v>
      </c>
      <c r="B2412" s="15">
        <v>11.630936999999999</v>
      </c>
    </row>
    <row r="2413" spans="1:2">
      <c r="A2413" s="14">
        <v>45410.113889</v>
      </c>
      <c r="B2413" s="15">
        <v>11.224072</v>
      </c>
    </row>
    <row r="2414" spans="1:2">
      <c r="A2414" s="14">
        <v>45410.114583000002</v>
      </c>
      <c r="B2414" s="15">
        <v>11.811242999999999</v>
      </c>
    </row>
    <row r="2415" spans="1:2">
      <c r="A2415" s="14">
        <v>45410.115277999997</v>
      </c>
      <c r="B2415" s="15">
        <v>11.359753</v>
      </c>
    </row>
    <row r="2416" spans="1:2">
      <c r="A2416" s="14">
        <v>45410.115972</v>
      </c>
      <c r="B2416" s="15">
        <v>11.229177999999999</v>
      </c>
    </row>
    <row r="2417" spans="1:2">
      <c r="A2417" s="14">
        <v>45410.116667000002</v>
      </c>
      <c r="B2417" s="15">
        <v>11.288249</v>
      </c>
    </row>
    <row r="2418" spans="1:2">
      <c r="A2418" s="14">
        <v>45410.117360999997</v>
      </c>
      <c r="B2418" s="15">
        <v>11.307453000000001</v>
      </c>
    </row>
    <row r="2419" spans="1:2">
      <c r="A2419" s="14">
        <v>45410.118055999999</v>
      </c>
      <c r="B2419" s="15">
        <v>11.263963</v>
      </c>
    </row>
    <row r="2420" spans="1:2">
      <c r="A2420" s="14">
        <v>45410.118750000001</v>
      </c>
      <c r="B2420" s="15">
        <v>11.290611</v>
      </c>
    </row>
    <row r="2421" spans="1:2">
      <c r="A2421" s="14">
        <v>45410.119444000004</v>
      </c>
      <c r="B2421" s="15">
        <v>11.443538999999999</v>
      </c>
    </row>
    <row r="2422" spans="1:2">
      <c r="A2422" s="14">
        <v>45410.120138999999</v>
      </c>
      <c r="B2422" s="15">
        <v>11.401629</v>
      </c>
    </row>
    <row r="2423" spans="1:2">
      <c r="A2423" s="14">
        <v>45410.120833000001</v>
      </c>
      <c r="B2423" s="15">
        <v>11.403715</v>
      </c>
    </row>
    <row r="2424" spans="1:2">
      <c r="A2424" s="14">
        <v>45410.121528000003</v>
      </c>
      <c r="B2424" s="15">
        <v>11.229602</v>
      </c>
    </row>
    <row r="2425" spans="1:2">
      <c r="A2425" s="14">
        <v>45410.122221999998</v>
      </c>
      <c r="B2425" s="15">
        <v>11.099937000000001</v>
      </c>
    </row>
    <row r="2426" spans="1:2">
      <c r="A2426" s="14">
        <v>45410.122917000001</v>
      </c>
      <c r="B2426" s="15">
        <v>11.221121</v>
      </c>
    </row>
    <row r="2427" spans="1:2">
      <c r="A2427" s="14">
        <v>45410.123611000003</v>
      </c>
      <c r="B2427" s="15">
        <v>11.154532</v>
      </c>
    </row>
    <row r="2428" spans="1:2">
      <c r="A2428" s="14">
        <v>45410.124305999998</v>
      </c>
      <c r="B2428" s="15">
        <v>11.292532</v>
      </c>
    </row>
    <row r="2429" spans="1:2">
      <c r="A2429" s="14">
        <v>45410.125</v>
      </c>
      <c r="B2429" s="15">
        <v>11.392963999999999</v>
      </c>
    </row>
    <row r="2430" spans="1:2">
      <c r="A2430" s="14">
        <v>45410.125694000002</v>
      </c>
      <c r="B2430" s="15">
        <v>11.538968000000001</v>
      </c>
    </row>
    <row r="2431" spans="1:2">
      <c r="A2431" s="14">
        <v>45410.126388999997</v>
      </c>
      <c r="B2431" s="15">
        <v>11.245004</v>
      </c>
    </row>
    <row r="2432" spans="1:2">
      <c r="A2432" s="14">
        <v>45410.127082999999</v>
      </c>
      <c r="B2432" s="15">
        <v>11.400753</v>
      </c>
    </row>
    <row r="2433" spans="1:2">
      <c r="A2433" s="14">
        <v>45410.127778000002</v>
      </c>
      <c r="B2433" s="15">
        <v>11.395421000000001</v>
      </c>
    </row>
    <row r="2434" spans="1:2">
      <c r="A2434" s="14">
        <v>45410.128471999997</v>
      </c>
      <c r="B2434" s="15">
        <v>11.19933</v>
      </c>
    </row>
    <row r="2435" spans="1:2">
      <c r="A2435" s="14">
        <v>45410.129166999999</v>
      </c>
      <c r="B2435" s="15">
        <v>11.470834</v>
      </c>
    </row>
    <row r="2436" spans="1:2">
      <c r="A2436" s="14">
        <v>45410.129861000001</v>
      </c>
      <c r="B2436" s="15">
        <v>11.268613</v>
      </c>
    </row>
    <row r="2437" spans="1:2">
      <c r="A2437" s="14">
        <v>45410.130555999996</v>
      </c>
      <c r="B2437" s="15">
        <v>11.553402</v>
      </c>
    </row>
    <row r="2438" spans="1:2">
      <c r="A2438" s="14">
        <v>45410.131249999999</v>
      </c>
      <c r="B2438" s="15">
        <v>11.225016999999999</v>
      </c>
    </row>
    <row r="2439" spans="1:2">
      <c r="A2439" s="14">
        <v>45410.131944000001</v>
      </c>
      <c r="B2439" s="15">
        <v>11.272988</v>
      </c>
    </row>
    <row r="2440" spans="1:2">
      <c r="A2440" s="14">
        <v>45410.132639000003</v>
      </c>
      <c r="B2440" s="15">
        <v>11.493582</v>
      </c>
    </row>
    <row r="2441" spans="1:2">
      <c r="A2441" s="14">
        <v>45410.133332999998</v>
      </c>
      <c r="B2441" s="15">
        <v>11.105719000000001</v>
      </c>
    </row>
    <row r="2442" spans="1:2">
      <c r="A2442" s="14">
        <v>45410.134028</v>
      </c>
      <c r="B2442" s="15">
        <v>11.17606</v>
      </c>
    </row>
    <row r="2443" spans="1:2">
      <c r="A2443" s="14">
        <v>45410.134722000003</v>
      </c>
      <c r="B2443" s="15">
        <v>11.131266</v>
      </c>
    </row>
    <row r="2444" spans="1:2">
      <c r="A2444" s="14">
        <v>45410.135416999998</v>
      </c>
      <c r="B2444" s="15">
        <v>11.474997</v>
      </c>
    </row>
    <row r="2445" spans="1:2">
      <c r="A2445" s="14">
        <v>45410.136111</v>
      </c>
      <c r="B2445" s="15">
        <v>11.027115999999999</v>
      </c>
    </row>
    <row r="2446" spans="1:2">
      <c r="A2446" s="14">
        <v>45410.136806000002</v>
      </c>
      <c r="B2446" s="15">
        <v>11.490029</v>
      </c>
    </row>
    <row r="2447" spans="1:2">
      <c r="A2447" s="14">
        <v>45410.137499999997</v>
      </c>
      <c r="B2447" s="15">
        <v>11.279011000000001</v>
      </c>
    </row>
    <row r="2448" spans="1:2">
      <c r="A2448" s="14">
        <v>45410.138193999999</v>
      </c>
      <c r="B2448" s="15">
        <v>11.265167</v>
      </c>
    </row>
    <row r="2449" spans="1:2">
      <c r="A2449" s="14">
        <v>45410.138889000002</v>
      </c>
      <c r="B2449" s="15">
        <v>11.262846</v>
      </c>
    </row>
    <row r="2450" spans="1:2">
      <c r="A2450" s="14">
        <v>45410.139582999996</v>
      </c>
      <c r="B2450" s="15">
        <v>11.429809000000001</v>
      </c>
    </row>
    <row r="2451" spans="1:2">
      <c r="A2451" s="14">
        <v>45410.140277999999</v>
      </c>
      <c r="B2451" s="15">
        <v>11.225725000000001</v>
      </c>
    </row>
    <row r="2452" spans="1:2">
      <c r="A2452" s="14">
        <v>45410.140972000001</v>
      </c>
      <c r="B2452" s="15">
        <v>11.054064</v>
      </c>
    </row>
    <row r="2453" spans="1:2">
      <c r="A2453" s="14">
        <v>45410.141667000004</v>
      </c>
      <c r="B2453" s="15">
        <v>11.229361000000001</v>
      </c>
    </row>
    <row r="2454" spans="1:2">
      <c r="A2454" s="14">
        <v>45410.142360999998</v>
      </c>
      <c r="B2454" s="15">
        <v>10.948244000000001</v>
      </c>
    </row>
    <row r="2455" spans="1:2">
      <c r="A2455" s="14">
        <v>45410.143056000001</v>
      </c>
      <c r="B2455" s="15">
        <v>11.262093999999999</v>
      </c>
    </row>
    <row r="2456" spans="1:2">
      <c r="A2456" s="14">
        <v>45410.143750000003</v>
      </c>
      <c r="B2456" s="15">
        <v>11.188722</v>
      </c>
    </row>
    <row r="2457" spans="1:2">
      <c r="A2457" s="14">
        <v>45410.144443999998</v>
      </c>
      <c r="B2457" s="15">
        <v>11.217013</v>
      </c>
    </row>
    <row r="2458" spans="1:2">
      <c r="A2458" s="14">
        <v>45410.145139</v>
      </c>
      <c r="B2458" s="15">
        <v>11.34493</v>
      </c>
    </row>
    <row r="2459" spans="1:2">
      <c r="A2459" s="14">
        <v>45410.145833000002</v>
      </c>
      <c r="B2459" s="15">
        <v>11.117623</v>
      </c>
    </row>
    <row r="2460" spans="1:2">
      <c r="A2460" s="14">
        <v>45410.146527999997</v>
      </c>
      <c r="B2460" s="15">
        <v>11.638468</v>
      </c>
    </row>
    <row r="2461" spans="1:2">
      <c r="A2461" s="14">
        <v>45410.147222</v>
      </c>
      <c r="B2461" s="15">
        <v>11.384135000000001</v>
      </c>
    </row>
    <row r="2462" spans="1:2">
      <c r="A2462" s="14">
        <v>45410.147917000002</v>
      </c>
      <c r="B2462" s="15">
        <v>11.271972999999999</v>
      </c>
    </row>
    <row r="2463" spans="1:2">
      <c r="A2463" s="14">
        <v>45410.148610999997</v>
      </c>
      <c r="B2463" s="15">
        <v>11.262793</v>
      </c>
    </row>
    <row r="2464" spans="1:2">
      <c r="A2464" s="14">
        <v>45410.149305999999</v>
      </c>
      <c r="B2464" s="15">
        <v>11.199417</v>
      </c>
    </row>
    <row r="2465" spans="1:2">
      <c r="A2465" s="14">
        <v>45410.15</v>
      </c>
      <c r="B2465" s="15">
        <v>11.553385</v>
      </c>
    </row>
    <row r="2466" spans="1:2">
      <c r="A2466" s="14">
        <v>45410.150694000004</v>
      </c>
      <c r="B2466" s="15">
        <v>11.284651999999999</v>
      </c>
    </row>
    <row r="2467" spans="1:2">
      <c r="A2467" s="14">
        <v>45410.151388999999</v>
      </c>
      <c r="B2467" s="15">
        <v>11.474145</v>
      </c>
    </row>
    <row r="2468" spans="1:2">
      <c r="A2468" s="14">
        <v>45410.152083000001</v>
      </c>
      <c r="B2468" s="15">
        <v>11.009437999999999</v>
      </c>
    </row>
    <row r="2469" spans="1:2">
      <c r="A2469" s="14">
        <v>45410.152778000003</v>
      </c>
      <c r="B2469" s="15">
        <v>11.39175</v>
      </c>
    </row>
    <row r="2470" spans="1:2">
      <c r="A2470" s="14">
        <v>45410.153471999998</v>
      </c>
      <c r="B2470" s="15">
        <v>11.418272</v>
      </c>
    </row>
    <row r="2471" spans="1:2">
      <c r="A2471" s="14">
        <v>45410.154167000001</v>
      </c>
      <c r="B2471" s="15">
        <v>11.070902</v>
      </c>
    </row>
    <row r="2472" spans="1:2">
      <c r="A2472" s="14">
        <v>45410.154861000003</v>
      </c>
      <c r="B2472" s="15">
        <v>11.215381000000001</v>
      </c>
    </row>
    <row r="2473" spans="1:2">
      <c r="A2473" s="14">
        <v>45410.155555999998</v>
      </c>
      <c r="B2473" s="15">
        <v>11.506149000000001</v>
      </c>
    </row>
    <row r="2474" spans="1:2">
      <c r="A2474" s="14">
        <v>45410.15625</v>
      </c>
      <c r="B2474" s="15">
        <v>11.162380000000001</v>
      </c>
    </row>
    <row r="2475" spans="1:2">
      <c r="A2475" s="14">
        <v>45410.156944000002</v>
      </c>
      <c r="B2475" s="15">
        <v>11.067807999999999</v>
      </c>
    </row>
    <row r="2476" spans="1:2">
      <c r="A2476" s="14">
        <v>45410.157638999997</v>
      </c>
      <c r="B2476" s="15">
        <v>11.353403</v>
      </c>
    </row>
    <row r="2477" spans="1:2">
      <c r="A2477" s="14">
        <v>45410.158332999999</v>
      </c>
      <c r="B2477" s="15">
        <v>11.027430000000001</v>
      </c>
    </row>
    <row r="2478" spans="1:2">
      <c r="A2478" s="14">
        <v>45410.159028000002</v>
      </c>
      <c r="B2478" s="15">
        <v>11.221208000000001</v>
      </c>
    </row>
    <row r="2479" spans="1:2">
      <c r="A2479" s="14">
        <v>45410.159721999997</v>
      </c>
      <c r="B2479" s="15">
        <v>11.555336</v>
      </c>
    </row>
    <row r="2480" spans="1:2">
      <c r="A2480" s="14">
        <v>45410.160416999999</v>
      </c>
      <c r="B2480" s="15">
        <v>11.211190999999999</v>
      </c>
    </row>
    <row r="2481" spans="1:2">
      <c r="A2481" s="14">
        <v>45410.161111000001</v>
      </c>
      <c r="B2481" s="15">
        <v>11.348905</v>
      </c>
    </row>
    <row r="2482" spans="1:2">
      <c r="A2482" s="14">
        <v>45410.161805999996</v>
      </c>
      <c r="B2482" s="15">
        <v>11.22203</v>
      </c>
    </row>
    <row r="2483" spans="1:2">
      <c r="A2483" s="14">
        <v>45410.162499999999</v>
      </c>
      <c r="B2483" s="15">
        <v>11.311083999999999</v>
      </c>
    </row>
    <row r="2484" spans="1:2">
      <c r="A2484" s="14">
        <v>45410.163194000001</v>
      </c>
      <c r="B2484" s="15">
        <v>11.317527</v>
      </c>
    </row>
    <row r="2485" spans="1:2">
      <c r="A2485" s="14">
        <v>45410.163889000003</v>
      </c>
      <c r="B2485" s="15">
        <v>11.365385</v>
      </c>
    </row>
    <row r="2486" spans="1:2">
      <c r="A2486" s="14">
        <v>45410.164582999998</v>
      </c>
      <c r="B2486" s="15">
        <v>11.400029</v>
      </c>
    </row>
    <row r="2487" spans="1:2">
      <c r="A2487" s="14">
        <v>45410.165278</v>
      </c>
      <c r="B2487" s="15">
        <v>11.289322</v>
      </c>
    </row>
    <row r="2488" spans="1:2">
      <c r="A2488" s="14">
        <v>45410.165972000003</v>
      </c>
      <c r="B2488" s="15">
        <v>11.280212000000001</v>
      </c>
    </row>
    <row r="2489" spans="1:2">
      <c r="A2489" s="14">
        <v>45410.166666999998</v>
      </c>
      <c r="B2489" s="15">
        <v>11.452095999999999</v>
      </c>
    </row>
    <row r="2490" spans="1:2">
      <c r="A2490" s="14">
        <v>45410.167361</v>
      </c>
      <c r="B2490" s="15">
        <v>11.269961</v>
      </c>
    </row>
    <row r="2491" spans="1:2">
      <c r="A2491" s="14">
        <v>45410.168056000002</v>
      </c>
      <c r="B2491" s="15">
        <v>11.096496999999999</v>
      </c>
    </row>
    <row r="2492" spans="1:2">
      <c r="A2492" s="14">
        <v>45410.168749999997</v>
      </c>
      <c r="B2492" s="15">
        <v>11.378888</v>
      </c>
    </row>
    <row r="2493" spans="1:2">
      <c r="A2493" s="14">
        <v>45410.169443999999</v>
      </c>
      <c r="B2493" s="15">
        <v>11.407099000000001</v>
      </c>
    </row>
    <row r="2494" spans="1:2">
      <c r="A2494" s="14">
        <v>45410.170139000002</v>
      </c>
      <c r="B2494" s="15">
        <v>11.256207</v>
      </c>
    </row>
    <row r="2495" spans="1:2">
      <c r="A2495" s="14">
        <v>45410.170832999996</v>
      </c>
      <c r="B2495" s="15">
        <v>11.261342000000001</v>
      </c>
    </row>
    <row r="2496" spans="1:2">
      <c r="A2496" s="14">
        <v>45410.171527999999</v>
      </c>
      <c r="B2496" s="15">
        <v>11.356982</v>
      </c>
    </row>
    <row r="2497" spans="1:2">
      <c r="A2497" s="14">
        <v>45410.172222000001</v>
      </c>
      <c r="B2497" s="15">
        <v>11.410245</v>
      </c>
    </row>
    <row r="2498" spans="1:2">
      <c r="A2498" s="14">
        <v>45410.172917000004</v>
      </c>
      <c r="B2498" s="15">
        <v>11.435290999999999</v>
      </c>
    </row>
    <row r="2499" spans="1:2">
      <c r="A2499" s="14">
        <v>45410.173610999998</v>
      </c>
      <c r="B2499" s="15">
        <v>11.270445</v>
      </c>
    </row>
    <row r="2500" spans="1:2">
      <c r="A2500" s="14">
        <v>45410.174306000001</v>
      </c>
      <c r="B2500" s="15">
        <v>11.073798</v>
      </c>
    </row>
    <row r="2501" spans="1:2">
      <c r="A2501" s="14">
        <v>45410.175000000003</v>
      </c>
      <c r="B2501" s="15">
        <v>11.351122</v>
      </c>
    </row>
    <row r="2502" spans="1:2">
      <c r="A2502" s="14">
        <v>45410.175693999998</v>
      </c>
      <c r="B2502" s="15">
        <v>11.387905</v>
      </c>
    </row>
    <row r="2503" spans="1:2">
      <c r="A2503" s="14">
        <v>45410.176389</v>
      </c>
      <c r="B2503" s="15">
        <v>11.454155999999999</v>
      </c>
    </row>
    <row r="2504" spans="1:2">
      <c r="A2504" s="14">
        <v>45410.177083000002</v>
      </c>
      <c r="B2504" s="15">
        <v>11.036360999999999</v>
      </c>
    </row>
    <row r="2505" spans="1:2">
      <c r="A2505" s="14">
        <v>45410.177777999997</v>
      </c>
      <c r="B2505" s="15">
        <v>11.167452000000001</v>
      </c>
    </row>
    <row r="2506" spans="1:2">
      <c r="A2506" s="14">
        <v>45410.178472</v>
      </c>
      <c r="B2506" s="15">
        <v>11.288916</v>
      </c>
    </row>
    <row r="2507" spans="1:2">
      <c r="A2507" s="14">
        <v>45410.179167000002</v>
      </c>
      <c r="B2507" s="15">
        <v>11.377421999999999</v>
      </c>
    </row>
    <row r="2508" spans="1:2">
      <c r="A2508" s="14">
        <v>45410.179860999997</v>
      </c>
      <c r="B2508" s="15">
        <v>11.208791</v>
      </c>
    </row>
    <row r="2509" spans="1:2">
      <c r="A2509" s="14">
        <v>45410.180555999999</v>
      </c>
      <c r="B2509" s="15">
        <v>10.917890999999999</v>
      </c>
    </row>
    <row r="2510" spans="1:2">
      <c r="A2510" s="14">
        <v>45410.181250000001</v>
      </c>
      <c r="B2510" s="15">
        <v>11.291524000000001</v>
      </c>
    </row>
    <row r="2511" spans="1:2">
      <c r="A2511" s="14">
        <v>45410.181944000004</v>
      </c>
      <c r="B2511" s="15">
        <v>11.187773999999999</v>
      </c>
    </row>
    <row r="2512" spans="1:2">
      <c r="A2512" s="14">
        <v>45410.182638999999</v>
      </c>
      <c r="B2512" s="15">
        <v>11.314035000000001</v>
      </c>
    </row>
    <row r="2513" spans="1:2">
      <c r="A2513" s="14">
        <v>45410.183333000001</v>
      </c>
      <c r="B2513" s="15">
        <v>11.417636999999999</v>
      </c>
    </row>
    <row r="2514" spans="1:2">
      <c r="A2514" s="14">
        <v>45410.184028000003</v>
      </c>
      <c r="B2514" s="15">
        <v>11.589385</v>
      </c>
    </row>
    <row r="2515" spans="1:2">
      <c r="A2515" s="14">
        <v>45410.184721999998</v>
      </c>
      <c r="B2515" s="15">
        <v>11.317776</v>
      </c>
    </row>
    <row r="2516" spans="1:2">
      <c r="A2516" s="14">
        <v>45410.185417000001</v>
      </c>
      <c r="B2516" s="15">
        <v>11.293153</v>
      </c>
    </row>
    <row r="2517" spans="1:2">
      <c r="A2517" s="14">
        <v>45410.186111000003</v>
      </c>
      <c r="B2517" s="15">
        <v>11.610986</v>
      </c>
    </row>
    <row r="2518" spans="1:2">
      <c r="A2518" s="14">
        <v>45410.186805999998</v>
      </c>
      <c r="B2518" s="15">
        <v>11.173342999999999</v>
      </c>
    </row>
    <row r="2519" spans="1:2">
      <c r="A2519" s="14">
        <v>45410.1875</v>
      </c>
      <c r="B2519" s="15">
        <v>11.388215000000001</v>
      </c>
    </row>
    <row r="2520" spans="1:2">
      <c r="A2520" s="14">
        <v>45410.188194000002</v>
      </c>
      <c r="B2520" s="15">
        <v>11.195829</v>
      </c>
    </row>
    <row r="2521" spans="1:2">
      <c r="A2521" s="14">
        <v>45410.188888999997</v>
      </c>
      <c r="B2521" s="15">
        <v>11.379974000000001</v>
      </c>
    </row>
    <row r="2522" spans="1:2">
      <c r="A2522" s="14">
        <v>45410.189582999999</v>
      </c>
      <c r="B2522" s="15">
        <v>11.243007</v>
      </c>
    </row>
    <row r="2523" spans="1:2">
      <c r="A2523" s="14">
        <v>45410.190278000002</v>
      </c>
      <c r="B2523" s="15">
        <v>11.281145</v>
      </c>
    </row>
    <row r="2524" spans="1:2">
      <c r="A2524" s="14">
        <v>45410.190971999997</v>
      </c>
      <c r="B2524" s="15">
        <v>10.886438</v>
      </c>
    </row>
    <row r="2525" spans="1:2">
      <c r="A2525" s="14">
        <v>45410.191666999999</v>
      </c>
      <c r="B2525" s="15">
        <v>11.072884</v>
      </c>
    </row>
    <row r="2526" spans="1:2">
      <c r="A2526" s="14">
        <v>45410.192361000001</v>
      </c>
      <c r="B2526" s="15">
        <v>11.091433</v>
      </c>
    </row>
    <row r="2527" spans="1:2">
      <c r="A2527" s="14">
        <v>45410.193055999996</v>
      </c>
      <c r="B2527" s="15">
        <v>11.586466</v>
      </c>
    </row>
    <row r="2528" spans="1:2">
      <c r="A2528" s="14">
        <v>45410.193749999999</v>
      </c>
      <c r="B2528" s="15">
        <v>11.453632000000001</v>
      </c>
    </row>
    <row r="2529" spans="1:2">
      <c r="A2529" s="14">
        <v>45410.194444000001</v>
      </c>
      <c r="B2529" s="15">
        <v>11.325030999999999</v>
      </c>
    </row>
    <row r="2530" spans="1:2">
      <c r="A2530" s="14">
        <v>45410.195139000003</v>
      </c>
      <c r="B2530" s="15">
        <v>10.936344</v>
      </c>
    </row>
    <row r="2531" spans="1:2">
      <c r="A2531" s="14">
        <v>45410.195832999998</v>
      </c>
      <c r="B2531" s="15">
        <v>11.490038999999999</v>
      </c>
    </row>
    <row r="2532" spans="1:2">
      <c r="A2532" s="14">
        <v>45410.196528</v>
      </c>
      <c r="B2532" s="15">
        <v>11.009074999999999</v>
      </c>
    </row>
    <row r="2533" spans="1:2">
      <c r="A2533" s="14">
        <v>45410.197222000003</v>
      </c>
      <c r="B2533" s="15">
        <v>11.155404000000001</v>
      </c>
    </row>
    <row r="2534" spans="1:2">
      <c r="A2534" s="14">
        <v>45410.197916999998</v>
      </c>
      <c r="B2534" s="15">
        <v>11.279589</v>
      </c>
    </row>
    <row r="2535" spans="1:2">
      <c r="A2535" s="14">
        <v>45410.198611</v>
      </c>
      <c r="B2535" s="15">
        <v>11.463559999999999</v>
      </c>
    </row>
    <row r="2536" spans="1:2">
      <c r="A2536" s="14">
        <v>45410.199306000002</v>
      </c>
      <c r="B2536" s="15">
        <v>11.244273</v>
      </c>
    </row>
    <row r="2537" spans="1:2">
      <c r="A2537" s="14">
        <v>45410.2</v>
      </c>
      <c r="B2537" s="15">
        <v>11.326416</v>
      </c>
    </row>
    <row r="2538" spans="1:2">
      <c r="A2538" s="14">
        <v>45410.200693999999</v>
      </c>
      <c r="B2538" s="15">
        <v>11.243219</v>
      </c>
    </row>
    <row r="2539" spans="1:2">
      <c r="A2539" s="14">
        <v>45410.201389000002</v>
      </c>
      <c r="B2539" s="15">
        <v>10.907772</v>
      </c>
    </row>
    <row r="2540" spans="1:2">
      <c r="A2540" s="14">
        <v>45410.202082999996</v>
      </c>
      <c r="B2540" s="15">
        <v>11.393409999999999</v>
      </c>
    </row>
    <row r="2541" spans="1:2">
      <c r="A2541" s="14">
        <v>45410.202777999999</v>
      </c>
      <c r="B2541" s="15">
        <v>11.439292</v>
      </c>
    </row>
    <row r="2542" spans="1:2">
      <c r="A2542" s="14">
        <v>45410.203472000001</v>
      </c>
      <c r="B2542" s="15">
        <v>11.19755</v>
      </c>
    </row>
    <row r="2543" spans="1:2">
      <c r="A2543" s="14">
        <v>45410.204167000004</v>
      </c>
      <c r="B2543" s="15">
        <v>11.350231000000001</v>
      </c>
    </row>
    <row r="2544" spans="1:2">
      <c r="A2544" s="14">
        <v>45410.204860999998</v>
      </c>
      <c r="B2544" s="15">
        <v>11.181183000000001</v>
      </c>
    </row>
    <row r="2545" spans="1:2">
      <c r="A2545" s="14">
        <v>45410.205556000001</v>
      </c>
      <c r="B2545" s="15">
        <v>11.137155</v>
      </c>
    </row>
    <row r="2546" spans="1:2">
      <c r="A2546" s="14">
        <v>45410.206250000003</v>
      </c>
      <c r="B2546" s="15">
        <v>11.127195</v>
      </c>
    </row>
    <row r="2547" spans="1:2">
      <c r="A2547" s="14">
        <v>45410.206943999998</v>
      </c>
      <c r="B2547" s="15">
        <v>11.297416</v>
      </c>
    </row>
    <row r="2548" spans="1:2">
      <c r="A2548" s="14">
        <v>45410.207639</v>
      </c>
      <c r="B2548" s="15">
        <v>11.211739</v>
      </c>
    </row>
    <row r="2549" spans="1:2">
      <c r="A2549" s="14">
        <v>45410.208333000002</v>
      </c>
      <c r="B2549" s="15">
        <v>11.093907</v>
      </c>
    </row>
    <row r="2550" spans="1:2">
      <c r="A2550" s="14">
        <v>45410.209027999997</v>
      </c>
      <c r="B2550" s="15">
        <v>11.208596</v>
      </c>
    </row>
    <row r="2551" spans="1:2">
      <c r="A2551" s="14">
        <v>45410.209722</v>
      </c>
      <c r="B2551" s="15">
        <v>11.167074</v>
      </c>
    </row>
    <row r="2552" spans="1:2">
      <c r="A2552" s="14">
        <v>45410.210417000002</v>
      </c>
      <c r="B2552" s="15">
        <v>11.219382</v>
      </c>
    </row>
    <row r="2553" spans="1:2">
      <c r="A2553" s="14">
        <v>45410.211110999997</v>
      </c>
      <c r="B2553" s="15">
        <v>11.280227</v>
      </c>
    </row>
    <row r="2554" spans="1:2">
      <c r="A2554" s="14">
        <v>45410.211805999999</v>
      </c>
      <c r="B2554" s="15">
        <v>11.246043</v>
      </c>
    </row>
    <row r="2555" spans="1:2">
      <c r="A2555" s="14">
        <v>45410.212500000001</v>
      </c>
      <c r="B2555" s="15">
        <v>11.350871</v>
      </c>
    </row>
    <row r="2556" spans="1:2">
      <c r="A2556" s="14">
        <v>45410.213194000004</v>
      </c>
      <c r="B2556" s="15">
        <v>10.939325</v>
      </c>
    </row>
    <row r="2557" spans="1:2">
      <c r="A2557" s="14">
        <v>45410.213888999999</v>
      </c>
      <c r="B2557" s="15">
        <v>11.090617</v>
      </c>
    </row>
    <row r="2558" spans="1:2">
      <c r="A2558" s="14">
        <v>45410.214583000001</v>
      </c>
      <c r="B2558" s="15">
        <v>11.624548000000001</v>
      </c>
    </row>
    <row r="2559" spans="1:2">
      <c r="A2559" s="14">
        <v>45410.215278000003</v>
      </c>
      <c r="B2559" s="15">
        <v>11.382289999999999</v>
      </c>
    </row>
    <row r="2560" spans="1:2">
      <c r="A2560" s="14">
        <v>45410.215971999998</v>
      </c>
      <c r="B2560" s="15">
        <v>10.905132</v>
      </c>
    </row>
    <row r="2561" spans="1:2">
      <c r="A2561" s="14">
        <v>45410.216667000001</v>
      </c>
      <c r="B2561" s="15">
        <v>11.364349000000001</v>
      </c>
    </row>
    <row r="2562" spans="1:2">
      <c r="A2562" s="14">
        <v>45410.217361000003</v>
      </c>
      <c r="B2562" s="15">
        <v>11.323321</v>
      </c>
    </row>
    <row r="2563" spans="1:2">
      <c r="A2563" s="14">
        <v>45410.218055999998</v>
      </c>
      <c r="B2563" s="15">
        <v>11.149011</v>
      </c>
    </row>
    <row r="2564" spans="1:2">
      <c r="A2564" s="14">
        <v>45410.21875</v>
      </c>
      <c r="B2564" s="15">
        <v>10.922349000000001</v>
      </c>
    </row>
    <row r="2565" spans="1:2">
      <c r="A2565" s="14">
        <v>45410.219444000002</v>
      </c>
      <c r="B2565" s="15">
        <v>11.393234</v>
      </c>
    </row>
    <row r="2566" spans="1:2">
      <c r="A2566" s="14">
        <v>45410.220138999997</v>
      </c>
      <c r="B2566" s="15">
        <v>11.062583</v>
      </c>
    </row>
    <row r="2567" spans="1:2">
      <c r="A2567" s="14">
        <v>45410.220832999999</v>
      </c>
      <c r="B2567" s="15">
        <v>11.345013</v>
      </c>
    </row>
    <row r="2568" spans="1:2">
      <c r="A2568" s="14">
        <v>45410.221528000002</v>
      </c>
      <c r="B2568" s="15">
        <v>11.225844</v>
      </c>
    </row>
    <row r="2569" spans="1:2">
      <c r="A2569" s="14">
        <v>45410.222221999997</v>
      </c>
      <c r="B2569" s="15">
        <v>11.214316999999999</v>
      </c>
    </row>
    <row r="2570" spans="1:2">
      <c r="A2570" s="14">
        <v>45410.222916999999</v>
      </c>
      <c r="B2570" s="15">
        <v>11.557093999999999</v>
      </c>
    </row>
    <row r="2571" spans="1:2">
      <c r="A2571" s="14">
        <v>45410.223611000001</v>
      </c>
      <c r="B2571" s="15">
        <v>11.190671999999999</v>
      </c>
    </row>
    <row r="2572" spans="1:2">
      <c r="A2572" s="14">
        <v>45410.224305999996</v>
      </c>
      <c r="B2572" s="15">
        <v>11.188378</v>
      </c>
    </row>
    <row r="2573" spans="1:2">
      <c r="A2573" s="14">
        <v>45410.224999999999</v>
      </c>
      <c r="B2573" s="15">
        <v>11.117577000000001</v>
      </c>
    </row>
    <row r="2574" spans="1:2">
      <c r="A2574" s="14">
        <v>45410.225694000001</v>
      </c>
      <c r="B2574" s="15">
        <v>11.162969</v>
      </c>
    </row>
    <row r="2575" spans="1:2">
      <c r="A2575" s="14">
        <v>45410.226389000003</v>
      </c>
      <c r="B2575" s="15">
        <v>10.905521</v>
      </c>
    </row>
    <row r="2576" spans="1:2">
      <c r="A2576" s="14">
        <v>45410.227082999998</v>
      </c>
      <c r="B2576" s="15">
        <v>11.213692</v>
      </c>
    </row>
    <row r="2577" spans="1:2">
      <c r="A2577" s="14">
        <v>45410.227778</v>
      </c>
      <c r="B2577" s="15">
        <v>11.295638</v>
      </c>
    </row>
    <row r="2578" spans="1:2">
      <c r="A2578" s="14">
        <v>45410.228472000003</v>
      </c>
      <c r="B2578" s="15">
        <v>11.283654</v>
      </c>
    </row>
    <row r="2579" spans="1:2">
      <c r="A2579" s="14">
        <v>45410.229166999998</v>
      </c>
      <c r="B2579" s="15">
        <v>10.966303999999999</v>
      </c>
    </row>
    <row r="2580" spans="1:2">
      <c r="A2580" s="14">
        <v>45410.229861</v>
      </c>
      <c r="B2580" s="15">
        <v>11.200229</v>
      </c>
    </row>
    <row r="2581" spans="1:2">
      <c r="A2581" s="14">
        <v>45410.230556000002</v>
      </c>
      <c r="B2581" s="15">
        <v>11.350802</v>
      </c>
    </row>
    <row r="2582" spans="1:2">
      <c r="A2582" s="14">
        <v>45410.231249999997</v>
      </c>
      <c r="B2582" s="15">
        <v>11.573796</v>
      </c>
    </row>
    <row r="2583" spans="1:2">
      <c r="A2583" s="14">
        <v>45410.231943999999</v>
      </c>
      <c r="B2583" s="15">
        <v>11.404586999999999</v>
      </c>
    </row>
    <row r="2584" spans="1:2">
      <c r="A2584" s="14">
        <v>45410.232639000002</v>
      </c>
      <c r="B2584" s="15">
        <v>10.847756</v>
      </c>
    </row>
    <row r="2585" spans="1:2">
      <c r="A2585" s="14">
        <v>45410.233332999996</v>
      </c>
      <c r="B2585" s="15">
        <v>11.107825</v>
      </c>
    </row>
    <row r="2586" spans="1:2">
      <c r="A2586" s="14">
        <v>45410.234027999999</v>
      </c>
      <c r="B2586" s="15">
        <v>11.204841999999999</v>
      </c>
    </row>
    <row r="2587" spans="1:2">
      <c r="A2587" s="14">
        <v>45410.234722000001</v>
      </c>
      <c r="B2587" s="15">
        <v>11.17806</v>
      </c>
    </row>
    <row r="2588" spans="1:2">
      <c r="A2588" s="14">
        <v>45410.235417000004</v>
      </c>
      <c r="B2588" s="15">
        <v>11.344628</v>
      </c>
    </row>
    <row r="2589" spans="1:2">
      <c r="A2589" s="14">
        <v>45410.236110999998</v>
      </c>
      <c r="B2589" s="15">
        <v>11.416706</v>
      </c>
    </row>
    <row r="2590" spans="1:2">
      <c r="A2590" s="14">
        <v>45410.236806000001</v>
      </c>
      <c r="B2590" s="15">
        <v>11.054392</v>
      </c>
    </row>
    <row r="2591" spans="1:2">
      <c r="A2591" s="14">
        <v>45410.237500000003</v>
      </c>
      <c r="B2591" s="15">
        <v>11.240988</v>
      </c>
    </row>
    <row r="2592" spans="1:2">
      <c r="A2592" s="14">
        <v>45410.238193999998</v>
      </c>
      <c r="B2592" s="15">
        <v>11.105097000000001</v>
      </c>
    </row>
    <row r="2593" spans="1:2">
      <c r="A2593" s="14">
        <v>45410.238889</v>
      </c>
      <c r="B2593" s="15">
        <v>11.369303</v>
      </c>
    </row>
    <row r="2594" spans="1:2">
      <c r="A2594" s="14">
        <v>45410.239583000002</v>
      </c>
      <c r="B2594" s="15">
        <v>11.259236</v>
      </c>
    </row>
    <row r="2595" spans="1:2">
      <c r="A2595" s="14">
        <v>45410.240277999997</v>
      </c>
      <c r="B2595" s="15">
        <v>11.169923000000001</v>
      </c>
    </row>
    <row r="2596" spans="1:2">
      <c r="A2596" s="14">
        <v>45410.240972</v>
      </c>
      <c r="B2596" s="15">
        <v>11.263472</v>
      </c>
    </row>
    <row r="2597" spans="1:2">
      <c r="A2597" s="14">
        <v>45410.241667000002</v>
      </c>
      <c r="B2597" s="15">
        <v>11.552455999999999</v>
      </c>
    </row>
    <row r="2598" spans="1:2">
      <c r="A2598" s="14">
        <v>45410.242360999997</v>
      </c>
      <c r="B2598" s="15">
        <v>11.144653</v>
      </c>
    </row>
    <row r="2599" spans="1:2">
      <c r="A2599" s="14">
        <v>45410.243055999999</v>
      </c>
      <c r="B2599" s="15">
        <v>11.421870999999999</v>
      </c>
    </row>
    <row r="2600" spans="1:2">
      <c r="A2600" s="14">
        <v>45410.243750000001</v>
      </c>
      <c r="B2600" s="15">
        <v>11.000634</v>
      </c>
    </row>
    <row r="2601" spans="1:2">
      <c r="A2601" s="14">
        <v>45410.244444000004</v>
      </c>
      <c r="B2601" s="15">
        <v>11.786999</v>
      </c>
    </row>
    <row r="2602" spans="1:2">
      <c r="A2602" s="14">
        <v>45410.245138999999</v>
      </c>
      <c r="B2602" s="15">
        <v>10.835426</v>
      </c>
    </row>
    <row r="2603" spans="1:2">
      <c r="A2603" s="14">
        <v>45410.245833000001</v>
      </c>
      <c r="B2603" s="15">
        <v>11.282719</v>
      </c>
    </row>
    <row r="2604" spans="1:2">
      <c r="A2604" s="14">
        <v>45410.246528000003</v>
      </c>
      <c r="B2604" s="15">
        <v>11.340085</v>
      </c>
    </row>
    <row r="2605" spans="1:2">
      <c r="A2605" s="14">
        <v>45410.247221999998</v>
      </c>
      <c r="B2605" s="15">
        <v>11.205746</v>
      </c>
    </row>
    <row r="2606" spans="1:2">
      <c r="A2606" s="14">
        <v>45410.247917000001</v>
      </c>
      <c r="B2606" s="15">
        <v>10.9604</v>
      </c>
    </row>
    <row r="2607" spans="1:2">
      <c r="A2607" s="14">
        <v>45410.248611000003</v>
      </c>
      <c r="B2607" s="15">
        <v>11.379108</v>
      </c>
    </row>
    <row r="2608" spans="1:2">
      <c r="A2608" s="14">
        <v>45410.249305999998</v>
      </c>
      <c r="B2608" s="15">
        <v>11.257402000000001</v>
      </c>
    </row>
    <row r="2609" spans="1:2">
      <c r="A2609" s="14">
        <v>45410.25</v>
      </c>
      <c r="B2609" s="15">
        <v>11.221384</v>
      </c>
    </row>
    <row r="2610" spans="1:2">
      <c r="A2610" s="14">
        <v>45410.250694000002</v>
      </c>
      <c r="B2610" s="15">
        <v>11.382629</v>
      </c>
    </row>
    <row r="2611" spans="1:2">
      <c r="A2611" s="14">
        <v>45410.251388999997</v>
      </c>
      <c r="B2611" s="15">
        <v>11.485151</v>
      </c>
    </row>
    <row r="2612" spans="1:2">
      <c r="A2612" s="14">
        <v>45410.252082999999</v>
      </c>
      <c r="B2612" s="15">
        <v>11.057858</v>
      </c>
    </row>
    <row r="2613" spans="1:2">
      <c r="A2613" s="14">
        <v>45410.252778000002</v>
      </c>
      <c r="B2613" s="15">
        <v>11.039267000000001</v>
      </c>
    </row>
    <row r="2614" spans="1:2">
      <c r="A2614" s="14">
        <v>45410.253471999997</v>
      </c>
      <c r="B2614" s="15">
        <v>11.253873</v>
      </c>
    </row>
    <row r="2615" spans="1:2">
      <c r="A2615" s="14">
        <v>45410.254166999999</v>
      </c>
      <c r="B2615" s="15">
        <v>11.456046000000001</v>
      </c>
    </row>
    <row r="2616" spans="1:2">
      <c r="A2616" s="14">
        <v>45410.254861000001</v>
      </c>
      <c r="B2616" s="15">
        <v>11.118914</v>
      </c>
    </row>
    <row r="2617" spans="1:2">
      <c r="A2617" s="14">
        <v>45410.255555999996</v>
      </c>
      <c r="B2617" s="15">
        <v>11.321508</v>
      </c>
    </row>
    <row r="2618" spans="1:2">
      <c r="A2618" s="14">
        <v>45410.256249999999</v>
      </c>
      <c r="B2618" s="15">
        <v>11.27416</v>
      </c>
    </row>
    <row r="2619" spans="1:2">
      <c r="A2619" s="14">
        <v>45410.256944000001</v>
      </c>
      <c r="B2619" s="15">
        <v>11.387281</v>
      </c>
    </row>
    <row r="2620" spans="1:2">
      <c r="A2620" s="14">
        <v>45410.257639000003</v>
      </c>
      <c r="B2620" s="15">
        <v>10.97794</v>
      </c>
    </row>
    <row r="2621" spans="1:2">
      <c r="A2621" s="14">
        <v>45410.258332999998</v>
      </c>
      <c r="B2621" s="15">
        <v>11.388201</v>
      </c>
    </row>
    <row r="2622" spans="1:2">
      <c r="A2622" s="14">
        <v>45410.259028</v>
      </c>
      <c r="B2622" s="15">
        <v>11.362584999999999</v>
      </c>
    </row>
    <row r="2623" spans="1:2">
      <c r="A2623" s="14">
        <v>45410.259722000003</v>
      </c>
      <c r="B2623" s="15">
        <v>11.294473999999999</v>
      </c>
    </row>
    <row r="2624" spans="1:2">
      <c r="A2624" s="14">
        <v>45410.260416999998</v>
      </c>
      <c r="B2624" s="15">
        <v>11.135114</v>
      </c>
    </row>
    <row r="2625" spans="1:2">
      <c r="A2625" s="14">
        <v>45410.261111</v>
      </c>
      <c r="B2625" s="15">
        <v>11.413136</v>
      </c>
    </row>
    <row r="2626" spans="1:2">
      <c r="A2626" s="14">
        <v>45410.261806000002</v>
      </c>
      <c r="B2626" s="15">
        <v>11.167319000000001</v>
      </c>
    </row>
    <row r="2627" spans="1:2">
      <c r="A2627" s="14">
        <v>45410.262499999997</v>
      </c>
      <c r="B2627" s="15">
        <v>10.893746</v>
      </c>
    </row>
    <row r="2628" spans="1:2">
      <c r="A2628" s="14">
        <v>45410.263193999999</v>
      </c>
      <c r="B2628" s="15">
        <v>11.25759</v>
      </c>
    </row>
    <row r="2629" spans="1:2">
      <c r="A2629" s="14">
        <v>45410.263889000002</v>
      </c>
      <c r="B2629" s="15">
        <v>11.265048</v>
      </c>
    </row>
    <row r="2630" spans="1:2">
      <c r="A2630" s="14">
        <v>45410.264582999996</v>
      </c>
      <c r="B2630" s="15">
        <v>11.339718</v>
      </c>
    </row>
    <row r="2631" spans="1:2">
      <c r="A2631" s="14">
        <v>45410.265277999999</v>
      </c>
      <c r="B2631" s="15">
        <v>11.162153</v>
      </c>
    </row>
    <row r="2632" spans="1:2">
      <c r="A2632" s="14">
        <v>45410.265972000001</v>
      </c>
      <c r="B2632" s="15">
        <v>11.025086</v>
      </c>
    </row>
    <row r="2633" spans="1:2">
      <c r="A2633" s="14">
        <v>45410.266667000004</v>
      </c>
      <c r="B2633" s="15">
        <v>11.044097000000001</v>
      </c>
    </row>
    <row r="2634" spans="1:2">
      <c r="A2634" s="14">
        <v>45410.267360999998</v>
      </c>
      <c r="B2634" s="15">
        <v>11.691242000000001</v>
      </c>
    </row>
    <row r="2635" spans="1:2">
      <c r="A2635" s="14">
        <v>45410.268056000001</v>
      </c>
      <c r="B2635" s="15">
        <v>10.963855000000001</v>
      </c>
    </row>
    <row r="2636" spans="1:2">
      <c r="A2636" s="14">
        <v>45410.268750000003</v>
      </c>
      <c r="B2636" s="15">
        <v>11.430453999999999</v>
      </c>
    </row>
    <row r="2637" spans="1:2">
      <c r="A2637" s="14">
        <v>45410.269443999998</v>
      </c>
      <c r="B2637" s="15">
        <v>11.272667999999999</v>
      </c>
    </row>
    <row r="2638" spans="1:2">
      <c r="A2638" s="14">
        <v>45410.270139</v>
      </c>
      <c r="B2638" s="15">
        <v>11.337954</v>
      </c>
    </row>
    <row r="2639" spans="1:2">
      <c r="A2639" s="14">
        <v>45410.270833000002</v>
      </c>
      <c r="B2639" s="15">
        <v>11.018027999999999</v>
      </c>
    </row>
    <row r="2640" spans="1:2">
      <c r="A2640" s="14">
        <v>45410.271527999997</v>
      </c>
      <c r="B2640" s="15">
        <v>11.494712</v>
      </c>
    </row>
    <row r="2641" spans="1:2">
      <c r="A2641" s="14">
        <v>45410.272222</v>
      </c>
      <c r="B2641" s="15">
        <v>11.436673000000001</v>
      </c>
    </row>
    <row r="2642" spans="1:2">
      <c r="A2642" s="14">
        <v>45410.272917000002</v>
      </c>
      <c r="B2642" s="15">
        <v>11.101504</v>
      </c>
    </row>
    <row r="2643" spans="1:2">
      <c r="A2643" s="14">
        <v>45410.273610999997</v>
      </c>
      <c r="B2643" s="15">
        <v>11.312177999999999</v>
      </c>
    </row>
    <row r="2644" spans="1:2">
      <c r="A2644" s="14">
        <v>45410.274305999999</v>
      </c>
      <c r="B2644" s="15">
        <v>10.947892</v>
      </c>
    </row>
    <row r="2645" spans="1:2">
      <c r="A2645" s="14">
        <v>45410.275000000001</v>
      </c>
      <c r="B2645" s="15">
        <v>11.403499</v>
      </c>
    </row>
    <row r="2646" spans="1:2">
      <c r="A2646" s="14">
        <v>45410.275694000004</v>
      </c>
      <c r="B2646" s="15">
        <v>11.154315</v>
      </c>
    </row>
    <row r="2647" spans="1:2">
      <c r="A2647" s="14">
        <v>45410.276388999999</v>
      </c>
      <c r="B2647" s="15">
        <v>11.127872999999999</v>
      </c>
    </row>
    <row r="2648" spans="1:2">
      <c r="A2648" s="14">
        <v>45410.277083000001</v>
      </c>
      <c r="B2648" s="15">
        <v>11.243525</v>
      </c>
    </row>
    <row r="2649" spans="1:2">
      <c r="A2649" s="14">
        <v>45410.277778000003</v>
      </c>
      <c r="B2649" s="15">
        <v>11.244956999999999</v>
      </c>
    </row>
    <row r="2650" spans="1:2">
      <c r="A2650" s="14">
        <v>45410.278471999998</v>
      </c>
      <c r="B2650" s="15">
        <v>11.658044</v>
      </c>
    </row>
    <row r="2651" spans="1:2">
      <c r="A2651" s="14">
        <v>45410.279167000001</v>
      </c>
      <c r="B2651" s="15">
        <v>11.376975</v>
      </c>
    </row>
    <row r="2652" spans="1:2">
      <c r="A2652" s="14">
        <v>45410.279861000003</v>
      </c>
      <c r="B2652" s="15">
        <v>11.167033</v>
      </c>
    </row>
    <row r="2653" spans="1:2">
      <c r="A2653" s="14">
        <v>45410.280555999998</v>
      </c>
      <c r="B2653" s="15">
        <v>10.773123</v>
      </c>
    </row>
    <row r="2654" spans="1:2">
      <c r="A2654" s="14">
        <v>45410.28125</v>
      </c>
      <c r="B2654" s="15">
        <v>11.314327</v>
      </c>
    </row>
    <row r="2655" spans="1:2">
      <c r="A2655" s="14">
        <v>45410.281944000002</v>
      </c>
      <c r="B2655" s="15">
        <v>11.303492</v>
      </c>
    </row>
    <row r="2656" spans="1:2">
      <c r="A2656" s="14">
        <v>45410.282638999997</v>
      </c>
      <c r="B2656" s="15">
        <v>11.13463</v>
      </c>
    </row>
    <row r="2657" spans="1:2">
      <c r="A2657" s="14">
        <v>45410.283332999999</v>
      </c>
      <c r="B2657" s="15">
        <v>11.549856</v>
      </c>
    </row>
    <row r="2658" spans="1:2">
      <c r="A2658" s="14">
        <v>45410.284028000002</v>
      </c>
      <c r="B2658" s="15">
        <v>11.397093999999999</v>
      </c>
    </row>
    <row r="2659" spans="1:2">
      <c r="A2659" s="14">
        <v>45410.284721999997</v>
      </c>
      <c r="B2659" s="15">
        <v>11.294741999999999</v>
      </c>
    </row>
    <row r="2660" spans="1:2">
      <c r="A2660" s="14">
        <v>45410.285416999999</v>
      </c>
      <c r="B2660" s="15">
        <v>11.413906000000001</v>
      </c>
    </row>
    <row r="2661" spans="1:2">
      <c r="A2661" s="14">
        <v>45410.286111000001</v>
      </c>
      <c r="B2661" s="15">
        <v>11.408894999999999</v>
      </c>
    </row>
    <row r="2662" spans="1:2">
      <c r="A2662" s="14">
        <v>45410.286805999996</v>
      </c>
      <c r="B2662" s="15">
        <v>11.126996999999999</v>
      </c>
    </row>
    <row r="2663" spans="1:2">
      <c r="A2663" s="14">
        <v>45410.287499999999</v>
      </c>
      <c r="B2663" s="15">
        <v>11.270080999999999</v>
      </c>
    </row>
    <row r="2664" spans="1:2">
      <c r="A2664" s="14">
        <v>45410.288194000001</v>
      </c>
      <c r="B2664" s="15">
        <v>10.941330000000001</v>
      </c>
    </row>
    <row r="2665" spans="1:2">
      <c r="A2665" s="14">
        <v>45410.288889000003</v>
      </c>
      <c r="B2665" s="15">
        <v>11.079374</v>
      </c>
    </row>
    <row r="2666" spans="1:2">
      <c r="A2666" s="14">
        <v>45410.289582999998</v>
      </c>
      <c r="B2666" s="15">
        <v>11.117118</v>
      </c>
    </row>
    <row r="2667" spans="1:2">
      <c r="A2667" s="14">
        <v>45410.290278</v>
      </c>
      <c r="B2667" s="15">
        <v>11.173064</v>
      </c>
    </row>
    <row r="2668" spans="1:2">
      <c r="A2668" s="14">
        <v>45410.290972000003</v>
      </c>
      <c r="B2668" s="15">
        <v>11.515905999999999</v>
      </c>
    </row>
    <row r="2669" spans="1:2">
      <c r="A2669" s="14">
        <v>45410.291666999998</v>
      </c>
      <c r="B2669" s="15">
        <v>11.453821</v>
      </c>
    </row>
    <row r="2670" spans="1:2">
      <c r="A2670" s="14">
        <v>45410.292361</v>
      </c>
      <c r="B2670" s="15">
        <v>11.494539</v>
      </c>
    </row>
    <row r="2671" spans="1:2">
      <c r="A2671" s="14">
        <v>45410.293056000002</v>
      </c>
      <c r="B2671" s="15">
        <v>11.074375</v>
      </c>
    </row>
    <row r="2672" spans="1:2">
      <c r="A2672" s="14">
        <v>45410.293749999997</v>
      </c>
      <c r="B2672" s="15">
        <v>11.277965999999999</v>
      </c>
    </row>
    <row r="2673" spans="1:2">
      <c r="A2673" s="14">
        <v>45410.294443999999</v>
      </c>
      <c r="B2673" s="15">
        <v>11.514037999999999</v>
      </c>
    </row>
    <row r="2674" spans="1:2">
      <c r="A2674" s="14">
        <v>45410.295139000002</v>
      </c>
      <c r="B2674" s="15">
        <v>11.731996000000001</v>
      </c>
    </row>
    <row r="2675" spans="1:2">
      <c r="A2675" s="14">
        <v>45410.295832999996</v>
      </c>
      <c r="B2675" s="15">
        <v>11.276929000000001</v>
      </c>
    </row>
    <row r="2676" spans="1:2">
      <c r="A2676" s="14">
        <v>45410.296527999999</v>
      </c>
      <c r="B2676" s="15">
        <v>11.066053</v>
      </c>
    </row>
    <row r="2677" spans="1:2">
      <c r="A2677" s="14">
        <v>45410.297222000001</v>
      </c>
      <c r="B2677" s="15">
        <v>11.049739000000001</v>
      </c>
    </row>
    <row r="2678" spans="1:2">
      <c r="A2678" s="14">
        <v>45410.297917000004</v>
      </c>
      <c r="B2678" s="15">
        <v>11.067156000000001</v>
      </c>
    </row>
    <row r="2679" spans="1:2">
      <c r="A2679" s="14">
        <v>45410.298610999998</v>
      </c>
      <c r="B2679" s="15">
        <v>11.23057</v>
      </c>
    </row>
    <row r="2680" spans="1:2">
      <c r="A2680" s="14">
        <v>45410.299306000001</v>
      </c>
      <c r="B2680" s="15">
        <v>11.508274999999999</v>
      </c>
    </row>
    <row r="2681" spans="1:2">
      <c r="A2681" s="14">
        <v>45410.3</v>
      </c>
      <c r="B2681" s="15">
        <v>11.206893000000001</v>
      </c>
    </row>
    <row r="2682" spans="1:2">
      <c r="A2682" s="14">
        <v>45410.300693999998</v>
      </c>
      <c r="B2682" s="15">
        <v>11.123231000000001</v>
      </c>
    </row>
    <row r="2683" spans="1:2">
      <c r="A2683" s="14">
        <v>45410.301389</v>
      </c>
      <c r="B2683" s="15">
        <v>11.140632999999999</v>
      </c>
    </row>
    <row r="2684" spans="1:2">
      <c r="A2684" s="14">
        <v>45410.302083000002</v>
      </c>
      <c r="B2684" s="15">
        <v>10.491028999999999</v>
      </c>
    </row>
    <row r="2685" spans="1:2">
      <c r="A2685" s="14">
        <v>45410.302777999997</v>
      </c>
      <c r="B2685" s="15">
        <v>12.156157</v>
      </c>
    </row>
    <row r="2686" spans="1:2">
      <c r="A2686" s="14">
        <v>45410.303472</v>
      </c>
      <c r="B2686" s="15">
        <v>11.361105999999999</v>
      </c>
    </row>
    <row r="2687" spans="1:2">
      <c r="A2687" s="14">
        <v>45410.304167000002</v>
      </c>
      <c r="B2687" s="15">
        <v>11.188723</v>
      </c>
    </row>
    <row r="2688" spans="1:2">
      <c r="A2688" s="14">
        <v>45410.304860999997</v>
      </c>
      <c r="B2688" s="15">
        <v>11.227625</v>
      </c>
    </row>
    <row r="2689" spans="1:2">
      <c r="A2689" s="14">
        <v>45410.305555999999</v>
      </c>
      <c r="B2689" s="15">
        <v>11.069497999999999</v>
      </c>
    </row>
    <row r="2690" spans="1:2">
      <c r="A2690" s="14">
        <v>45410.306250000001</v>
      </c>
      <c r="B2690" s="15">
        <v>11.431702</v>
      </c>
    </row>
    <row r="2691" spans="1:2">
      <c r="A2691" s="14">
        <v>45410.306944000004</v>
      </c>
      <c r="B2691" s="15">
        <v>11.34526</v>
      </c>
    </row>
    <row r="2692" spans="1:2">
      <c r="A2692" s="14">
        <v>45410.307638999999</v>
      </c>
      <c r="B2692" s="15">
        <v>11.201022</v>
      </c>
    </row>
    <row r="2693" spans="1:2">
      <c r="A2693" s="14">
        <v>45410.308333000001</v>
      </c>
      <c r="B2693" s="15">
        <v>11.504083</v>
      </c>
    </row>
    <row r="2694" spans="1:2">
      <c r="A2694" s="14">
        <v>45410.309028000003</v>
      </c>
      <c r="B2694" s="15">
        <v>11.137886999999999</v>
      </c>
    </row>
    <row r="2695" spans="1:2">
      <c r="A2695" s="14">
        <v>45410.309721999998</v>
      </c>
      <c r="B2695" s="15">
        <v>11.256698999999999</v>
      </c>
    </row>
    <row r="2696" spans="1:2">
      <c r="A2696" s="14">
        <v>45410.310417000001</v>
      </c>
      <c r="B2696" s="15">
        <v>11.338483</v>
      </c>
    </row>
    <row r="2697" spans="1:2">
      <c r="A2697" s="14">
        <v>45410.311111000003</v>
      </c>
      <c r="B2697" s="15">
        <v>11.432022</v>
      </c>
    </row>
    <row r="2698" spans="1:2">
      <c r="A2698" s="14">
        <v>45410.311805999998</v>
      </c>
      <c r="B2698" s="15">
        <v>11.131682</v>
      </c>
    </row>
    <row r="2699" spans="1:2">
      <c r="A2699" s="14">
        <v>45410.3125</v>
      </c>
      <c r="B2699" s="15">
        <v>11.177161999999999</v>
      </c>
    </row>
    <row r="2700" spans="1:2">
      <c r="A2700" s="14">
        <v>45410.313194000002</v>
      </c>
      <c r="B2700" s="15">
        <v>11.224054000000001</v>
      </c>
    </row>
    <row r="2701" spans="1:2">
      <c r="A2701" s="14">
        <v>45410.313888999997</v>
      </c>
      <c r="B2701" s="15">
        <v>11.429573</v>
      </c>
    </row>
    <row r="2702" spans="1:2">
      <c r="A2702" s="14">
        <v>45410.314582999999</v>
      </c>
      <c r="B2702" s="15">
        <v>11.018307</v>
      </c>
    </row>
    <row r="2703" spans="1:2">
      <c r="A2703" s="14">
        <v>45410.315278000002</v>
      </c>
      <c r="B2703" s="15">
        <v>11.054586</v>
      </c>
    </row>
    <row r="2704" spans="1:2">
      <c r="A2704" s="14">
        <v>45410.315971999997</v>
      </c>
      <c r="B2704" s="15">
        <v>11.443434</v>
      </c>
    </row>
    <row r="2705" spans="1:2">
      <c r="A2705" s="14">
        <v>45410.316666999999</v>
      </c>
      <c r="B2705" s="15">
        <v>11.593401</v>
      </c>
    </row>
    <row r="2706" spans="1:2">
      <c r="A2706" s="14">
        <v>45410.317361000001</v>
      </c>
      <c r="B2706" s="15">
        <v>11.05533</v>
      </c>
    </row>
    <row r="2707" spans="1:2">
      <c r="A2707" s="14">
        <v>45410.318055999996</v>
      </c>
      <c r="B2707" s="15">
        <v>11.01505</v>
      </c>
    </row>
    <row r="2708" spans="1:2">
      <c r="A2708" s="14">
        <v>45410.318749999999</v>
      </c>
      <c r="B2708" s="15">
        <v>10.985215</v>
      </c>
    </row>
    <row r="2709" spans="1:2">
      <c r="A2709" s="14">
        <v>45410.319444000001</v>
      </c>
      <c r="B2709" s="15">
        <v>11.175782999999999</v>
      </c>
    </row>
    <row r="2710" spans="1:2">
      <c r="A2710" s="14">
        <v>45410.320139000003</v>
      </c>
      <c r="B2710" s="15">
        <v>11.348653000000001</v>
      </c>
    </row>
    <row r="2711" spans="1:2">
      <c r="A2711" s="14">
        <v>45410.320832999998</v>
      </c>
      <c r="B2711" s="15">
        <v>11.289367</v>
      </c>
    </row>
    <row r="2712" spans="1:2">
      <c r="A2712" s="14">
        <v>45410.321528</v>
      </c>
      <c r="B2712" s="15">
        <v>11.039971</v>
      </c>
    </row>
    <row r="2713" spans="1:2">
      <c r="A2713" s="14">
        <v>45410.322222000003</v>
      </c>
      <c r="B2713" s="15">
        <v>11.389362999999999</v>
      </c>
    </row>
    <row r="2714" spans="1:2">
      <c r="A2714" s="14">
        <v>45410.322916999998</v>
      </c>
      <c r="B2714" s="15">
        <v>11.041142000000001</v>
      </c>
    </row>
    <row r="2715" spans="1:2">
      <c r="A2715" s="14">
        <v>45410.323611</v>
      </c>
      <c r="B2715" s="15">
        <v>11.296116</v>
      </c>
    </row>
    <row r="2716" spans="1:2">
      <c r="A2716" s="14">
        <v>45410.324306000002</v>
      </c>
      <c r="B2716" s="15">
        <v>10.993055</v>
      </c>
    </row>
    <row r="2717" spans="1:2">
      <c r="A2717" s="14">
        <v>45410.324999999997</v>
      </c>
      <c r="B2717" s="15">
        <v>10.905459</v>
      </c>
    </row>
    <row r="2718" spans="1:2">
      <c r="A2718" s="14">
        <v>45410.325693999999</v>
      </c>
      <c r="B2718" s="15">
        <v>11.328573</v>
      </c>
    </row>
    <row r="2719" spans="1:2">
      <c r="A2719" s="14">
        <v>45410.326389000002</v>
      </c>
      <c r="B2719" s="15">
        <v>11.229865</v>
      </c>
    </row>
    <row r="2720" spans="1:2">
      <c r="A2720" s="14">
        <v>45410.327082999996</v>
      </c>
      <c r="B2720" s="15">
        <v>11.365218</v>
      </c>
    </row>
    <row r="2721" spans="1:2">
      <c r="A2721" s="14">
        <v>45410.327777999999</v>
      </c>
      <c r="B2721" s="15">
        <v>11.103647</v>
      </c>
    </row>
    <row r="2722" spans="1:2">
      <c r="A2722" s="14">
        <v>45410.328472000001</v>
      </c>
      <c r="B2722" s="15">
        <v>11.321061</v>
      </c>
    </row>
    <row r="2723" spans="1:2">
      <c r="A2723" s="14">
        <v>45410.329167000004</v>
      </c>
      <c r="B2723" s="15">
        <v>11.408355999999999</v>
      </c>
    </row>
    <row r="2724" spans="1:2">
      <c r="A2724" s="14">
        <v>45410.329860999998</v>
      </c>
      <c r="B2724" s="15">
        <v>11.017607999999999</v>
      </c>
    </row>
    <row r="2725" spans="1:2">
      <c r="A2725" s="14">
        <v>45410.330556000001</v>
      </c>
      <c r="B2725" s="15">
        <v>11.139858</v>
      </c>
    </row>
    <row r="2726" spans="1:2">
      <c r="A2726" s="14">
        <v>45410.331250000003</v>
      </c>
      <c r="B2726" s="15">
        <v>11.258832999999999</v>
      </c>
    </row>
    <row r="2727" spans="1:2">
      <c r="A2727" s="14">
        <v>45410.331943999998</v>
      </c>
      <c r="B2727" s="15">
        <v>11.025392</v>
      </c>
    </row>
    <row r="2728" spans="1:2">
      <c r="A2728" s="14">
        <v>45410.332639</v>
      </c>
      <c r="B2728" s="15">
        <v>11.440115</v>
      </c>
    </row>
    <row r="2729" spans="1:2">
      <c r="A2729" s="14">
        <v>45410.333333000002</v>
      </c>
      <c r="B2729" s="15">
        <v>11.139763</v>
      </c>
    </row>
    <row r="2730" spans="1:2">
      <c r="A2730" s="14">
        <v>45410.334027999997</v>
      </c>
      <c r="B2730" s="15">
        <v>11.345079999999999</v>
      </c>
    </row>
    <row r="2731" spans="1:2">
      <c r="A2731" s="14">
        <v>45410.334722</v>
      </c>
      <c r="B2731" s="15">
        <v>11.425897000000001</v>
      </c>
    </row>
    <row r="2732" spans="1:2">
      <c r="A2732" s="14">
        <v>45410.335417000002</v>
      </c>
      <c r="B2732" s="15">
        <v>11.255164000000001</v>
      </c>
    </row>
    <row r="2733" spans="1:2">
      <c r="A2733" s="14">
        <v>45410.336110999997</v>
      </c>
      <c r="B2733" s="15">
        <v>11.525463999999999</v>
      </c>
    </row>
    <row r="2734" spans="1:2">
      <c r="A2734" s="14">
        <v>45410.336805999999</v>
      </c>
      <c r="B2734" s="15">
        <v>11.237688</v>
      </c>
    </row>
    <row r="2735" spans="1:2">
      <c r="A2735" s="14">
        <v>45410.337500000001</v>
      </c>
      <c r="B2735" s="15">
        <v>11.105392</v>
      </c>
    </row>
    <row r="2736" spans="1:2">
      <c r="A2736" s="14">
        <v>45410.338194000004</v>
      </c>
      <c r="B2736" s="15">
        <v>11.24239</v>
      </c>
    </row>
    <row r="2737" spans="1:2">
      <c r="A2737" s="14">
        <v>45410.338888999999</v>
      </c>
      <c r="B2737" s="15">
        <v>10.751244</v>
      </c>
    </row>
    <row r="2738" spans="1:2">
      <c r="A2738" s="14">
        <v>45410.339583000001</v>
      </c>
      <c r="B2738" s="15">
        <v>11.190509</v>
      </c>
    </row>
    <row r="2739" spans="1:2">
      <c r="A2739" s="14">
        <v>45410.340278000003</v>
      </c>
      <c r="B2739" s="15">
        <v>11.118002000000001</v>
      </c>
    </row>
    <row r="2740" spans="1:2">
      <c r="A2740" s="14">
        <v>45410.340971999998</v>
      </c>
      <c r="B2740" s="15">
        <v>11.137938999999999</v>
      </c>
    </row>
    <row r="2741" spans="1:2">
      <c r="A2741" s="14">
        <v>45410.341667000001</v>
      </c>
      <c r="B2741" s="15">
        <v>11.203113999999999</v>
      </c>
    </row>
    <row r="2742" spans="1:2">
      <c r="A2742" s="14">
        <v>45410.342361000003</v>
      </c>
      <c r="B2742" s="15">
        <v>11.403691</v>
      </c>
    </row>
    <row r="2743" spans="1:2">
      <c r="A2743" s="14">
        <v>45410.343055999998</v>
      </c>
      <c r="B2743" s="15">
        <v>11.280373000000001</v>
      </c>
    </row>
    <row r="2744" spans="1:2">
      <c r="A2744" s="14">
        <v>45410.34375</v>
      </c>
      <c r="B2744" s="15">
        <v>10.991533</v>
      </c>
    </row>
    <row r="2745" spans="1:2">
      <c r="A2745" s="14">
        <v>45410.344444000002</v>
      </c>
      <c r="B2745" s="15">
        <v>11.3573</v>
      </c>
    </row>
    <row r="2746" spans="1:2">
      <c r="A2746" s="14">
        <v>45410.345138999997</v>
      </c>
      <c r="B2746" s="15">
        <v>11.24497</v>
      </c>
    </row>
    <row r="2747" spans="1:2">
      <c r="A2747" s="14">
        <v>45410.345832999999</v>
      </c>
      <c r="B2747" s="15">
        <v>11.01192</v>
      </c>
    </row>
    <row r="2748" spans="1:2">
      <c r="A2748" s="14">
        <v>45410.346528000002</v>
      </c>
      <c r="B2748" s="15">
        <v>11.411110000000001</v>
      </c>
    </row>
    <row r="2749" spans="1:2">
      <c r="A2749" s="14">
        <v>45410.347221999997</v>
      </c>
      <c r="B2749" s="15">
        <v>11.315528</v>
      </c>
    </row>
    <row r="2750" spans="1:2">
      <c r="A2750" s="14">
        <v>45410.347916999999</v>
      </c>
      <c r="B2750" s="15">
        <v>11.287737999999999</v>
      </c>
    </row>
    <row r="2751" spans="1:2">
      <c r="A2751" s="14">
        <v>45410.348611000001</v>
      </c>
      <c r="B2751" s="15">
        <v>11.342053</v>
      </c>
    </row>
    <row r="2752" spans="1:2">
      <c r="A2752" s="14">
        <v>45410.349305999996</v>
      </c>
      <c r="B2752" s="15">
        <v>11.110595999999999</v>
      </c>
    </row>
    <row r="2753" spans="1:2">
      <c r="A2753" s="14">
        <v>45410.35</v>
      </c>
      <c r="B2753" s="15">
        <v>11.580174</v>
      </c>
    </row>
    <row r="2754" spans="1:2">
      <c r="A2754" s="14">
        <v>45410.350694000001</v>
      </c>
      <c r="B2754" s="15">
        <v>11.472371000000001</v>
      </c>
    </row>
    <row r="2755" spans="1:2">
      <c r="A2755" s="14">
        <v>45410.351389000003</v>
      </c>
      <c r="B2755" s="15">
        <v>10.157883</v>
      </c>
    </row>
    <row r="2756" spans="1:2">
      <c r="A2756" s="14">
        <v>45410.352082999998</v>
      </c>
      <c r="B2756" s="15">
        <v>9.6102089999999993</v>
      </c>
    </row>
    <row r="2757" spans="1:2">
      <c r="A2757" s="14">
        <v>45410.352778</v>
      </c>
      <c r="B2757" s="15">
        <v>9.7295130000000007</v>
      </c>
    </row>
    <row r="2758" spans="1:2">
      <c r="A2758" s="14">
        <v>45410.353472000003</v>
      </c>
      <c r="B2758" s="15">
        <v>9.8815580000000001</v>
      </c>
    </row>
    <row r="2759" spans="1:2">
      <c r="A2759" s="14">
        <v>45410.354166999998</v>
      </c>
      <c r="B2759" s="15">
        <v>9.5382759999999998</v>
      </c>
    </row>
    <row r="2760" spans="1:2">
      <c r="A2760" s="14">
        <v>45410.354861</v>
      </c>
      <c r="B2760" s="15">
        <v>9.6655859999999993</v>
      </c>
    </row>
    <row r="2761" spans="1:2">
      <c r="A2761" s="14">
        <v>45410.355556000002</v>
      </c>
      <c r="B2761" s="15">
        <v>9.6711740000000006</v>
      </c>
    </row>
    <row r="2762" spans="1:2">
      <c r="A2762" s="14">
        <v>45410.356249999997</v>
      </c>
      <c r="B2762" s="15">
        <v>9.8045419999999996</v>
      </c>
    </row>
    <row r="2763" spans="1:2">
      <c r="A2763" s="14">
        <v>45410.356943999999</v>
      </c>
      <c r="B2763" s="15">
        <v>9.8600890000000003</v>
      </c>
    </row>
    <row r="2764" spans="1:2">
      <c r="A2764" s="14">
        <v>45410.357639000002</v>
      </c>
      <c r="B2764" s="15">
        <v>9.5346159999999998</v>
      </c>
    </row>
    <row r="2765" spans="1:2">
      <c r="A2765" s="14">
        <v>45410.358332999996</v>
      </c>
      <c r="B2765" s="15">
        <v>9.7561590000000002</v>
      </c>
    </row>
    <row r="2766" spans="1:2">
      <c r="A2766" s="14">
        <v>45410.359027999999</v>
      </c>
      <c r="B2766" s="15">
        <v>9.9619459999999993</v>
      </c>
    </row>
    <row r="2767" spans="1:2">
      <c r="A2767" s="14">
        <v>45410.359722000001</v>
      </c>
      <c r="B2767" s="15">
        <v>9.9306509999999992</v>
      </c>
    </row>
    <row r="2768" spans="1:2">
      <c r="A2768" s="14">
        <v>45410.360417000004</v>
      </c>
      <c r="B2768" s="15">
        <v>9.5838249999999992</v>
      </c>
    </row>
    <row r="2769" spans="1:2">
      <c r="A2769" s="14">
        <v>45410.361110999998</v>
      </c>
      <c r="B2769" s="15">
        <v>9.6095900000000007</v>
      </c>
    </row>
    <row r="2770" spans="1:2">
      <c r="A2770" s="14">
        <v>45410.361806000001</v>
      </c>
      <c r="B2770" s="15">
        <v>9.3986739999999998</v>
      </c>
    </row>
    <row r="2771" spans="1:2">
      <c r="A2771" s="14">
        <v>45410.362500000003</v>
      </c>
      <c r="B2771" s="15">
        <v>9.2108450000000008</v>
      </c>
    </row>
    <row r="2772" spans="1:2">
      <c r="A2772" s="14">
        <v>45410.363193999998</v>
      </c>
      <c r="B2772" s="15">
        <v>9.2789479999999998</v>
      </c>
    </row>
    <row r="2773" spans="1:2">
      <c r="A2773" s="14">
        <v>45410.363889</v>
      </c>
      <c r="B2773" s="15">
        <v>9.6976829999999996</v>
      </c>
    </row>
    <row r="2774" spans="1:2">
      <c r="A2774" s="14">
        <v>45410.364583000002</v>
      </c>
      <c r="B2774" s="15">
        <v>9.5860210000000006</v>
      </c>
    </row>
    <row r="2775" spans="1:2">
      <c r="A2775" s="14">
        <v>45410.365277999997</v>
      </c>
      <c r="B2775" s="15">
        <v>9.4766980000000007</v>
      </c>
    </row>
    <row r="2776" spans="1:2">
      <c r="A2776" s="14">
        <v>45410.365972</v>
      </c>
      <c r="B2776" s="15">
        <v>9.9759480000000007</v>
      </c>
    </row>
    <row r="2777" spans="1:2">
      <c r="A2777" s="14">
        <v>45410.366667000002</v>
      </c>
      <c r="B2777" s="15">
        <v>9.7748439999999999</v>
      </c>
    </row>
    <row r="2778" spans="1:2">
      <c r="A2778" s="14">
        <v>45410.367360999997</v>
      </c>
      <c r="B2778" s="15">
        <v>9.5228640000000002</v>
      </c>
    </row>
    <row r="2779" spans="1:2">
      <c r="A2779" s="14">
        <v>45410.368055999999</v>
      </c>
      <c r="B2779" s="15">
        <v>9.7661789999999993</v>
      </c>
    </row>
    <row r="2780" spans="1:2">
      <c r="A2780" s="14">
        <v>45410.368750000001</v>
      </c>
      <c r="B2780" s="15">
        <v>9.8412439999999997</v>
      </c>
    </row>
    <row r="2781" spans="1:2">
      <c r="A2781" s="14">
        <v>45410.369444000004</v>
      </c>
      <c r="B2781" s="15">
        <v>9.4184669999999997</v>
      </c>
    </row>
    <row r="2782" spans="1:2">
      <c r="A2782" s="14">
        <v>45410.370138999999</v>
      </c>
      <c r="B2782" s="15">
        <v>9.6991779999999999</v>
      </c>
    </row>
    <row r="2783" spans="1:2">
      <c r="A2783" s="14">
        <v>45410.370833000001</v>
      </c>
      <c r="B2783" s="15">
        <v>10.166485</v>
      </c>
    </row>
    <row r="2784" spans="1:2">
      <c r="A2784" s="14">
        <v>45410.371528000003</v>
      </c>
      <c r="B2784" s="15">
        <v>9.5947300000000002</v>
      </c>
    </row>
    <row r="2785" spans="1:2">
      <c r="A2785" s="14">
        <v>45410.372221999998</v>
      </c>
      <c r="B2785" s="15">
        <v>9.8778140000000008</v>
      </c>
    </row>
    <row r="2786" spans="1:2">
      <c r="A2786" s="14">
        <v>45410.372917000001</v>
      </c>
      <c r="B2786" s="15">
        <v>9.4359350000000006</v>
      </c>
    </row>
    <row r="2787" spans="1:2">
      <c r="A2787" s="14">
        <v>45410.373611000003</v>
      </c>
      <c r="B2787" s="15">
        <v>9.4205100000000002</v>
      </c>
    </row>
    <row r="2788" spans="1:2">
      <c r="A2788" s="14">
        <v>45410.374305999998</v>
      </c>
      <c r="B2788" s="15">
        <v>9.6640259999999998</v>
      </c>
    </row>
    <row r="2789" spans="1:2">
      <c r="A2789" s="14">
        <v>45410.375</v>
      </c>
      <c r="B2789" s="15">
        <v>9.6932379999999991</v>
      </c>
    </row>
    <row r="2790" spans="1:2">
      <c r="A2790" s="14">
        <v>45410.375694000002</v>
      </c>
      <c r="B2790" s="15">
        <v>9.5948960000000003</v>
      </c>
    </row>
    <row r="2791" spans="1:2">
      <c r="A2791" s="14">
        <v>45410.376388999997</v>
      </c>
      <c r="B2791" s="15">
        <v>9.5606639999999992</v>
      </c>
    </row>
    <row r="2792" spans="1:2">
      <c r="A2792" s="14">
        <v>45410.377082999999</v>
      </c>
      <c r="B2792" s="15">
        <v>9.6760590000000004</v>
      </c>
    </row>
    <row r="2793" spans="1:2">
      <c r="A2793" s="14">
        <v>45410.377778000002</v>
      </c>
      <c r="B2793" s="15">
        <v>9.6778519999999997</v>
      </c>
    </row>
    <row r="2794" spans="1:2">
      <c r="A2794" s="14">
        <v>45410.378471999997</v>
      </c>
      <c r="B2794" s="15">
        <v>9.7796140000000005</v>
      </c>
    </row>
    <row r="2795" spans="1:2">
      <c r="A2795" s="14">
        <v>45410.379166999999</v>
      </c>
      <c r="B2795" s="15">
        <v>9.6149360000000001</v>
      </c>
    </row>
    <row r="2796" spans="1:2">
      <c r="A2796" s="14">
        <v>45410.379861000001</v>
      </c>
      <c r="B2796" s="15">
        <v>9.7188890000000008</v>
      </c>
    </row>
    <row r="2797" spans="1:2">
      <c r="A2797" s="14">
        <v>45410.380555999996</v>
      </c>
      <c r="B2797" s="15">
        <v>9.5782690000000006</v>
      </c>
    </row>
    <row r="2798" spans="1:2">
      <c r="A2798" s="14">
        <v>45410.381249999999</v>
      </c>
      <c r="B2798" s="15">
        <v>9.8558479999999999</v>
      </c>
    </row>
    <row r="2799" spans="1:2">
      <c r="A2799" s="14">
        <v>45410.381944000001</v>
      </c>
      <c r="B2799" s="15">
        <v>9.4517170000000004</v>
      </c>
    </row>
    <row r="2800" spans="1:2">
      <c r="A2800" s="14">
        <v>45410.382639000003</v>
      </c>
      <c r="B2800" s="15">
        <v>9.3950069999999997</v>
      </c>
    </row>
    <row r="2801" spans="1:2">
      <c r="A2801" s="14">
        <v>45410.383332999998</v>
      </c>
      <c r="B2801" s="15">
        <v>9.6177019999999995</v>
      </c>
    </row>
    <row r="2802" spans="1:2">
      <c r="A2802" s="14">
        <v>45410.384028</v>
      </c>
      <c r="B2802" s="15">
        <v>9.5650700000000004</v>
      </c>
    </row>
    <row r="2803" spans="1:2">
      <c r="A2803" s="14">
        <v>45410.384722000003</v>
      </c>
      <c r="B2803" s="15">
        <v>9.6071650000000002</v>
      </c>
    </row>
    <row r="2804" spans="1:2">
      <c r="A2804" s="14">
        <v>45410.385416999998</v>
      </c>
      <c r="B2804" s="15">
        <v>9.6661909999999995</v>
      </c>
    </row>
    <row r="2805" spans="1:2">
      <c r="A2805" s="14">
        <v>45410.386111</v>
      </c>
      <c r="B2805" s="15">
        <v>9.5416070000000008</v>
      </c>
    </row>
    <row r="2806" spans="1:2">
      <c r="A2806" s="14">
        <v>45410.386806000002</v>
      </c>
      <c r="B2806" s="15">
        <v>9.4821220000000004</v>
      </c>
    </row>
    <row r="2807" spans="1:2">
      <c r="A2807" s="14">
        <v>45410.387499999997</v>
      </c>
      <c r="B2807" s="15">
        <v>9.4531130000000001</v>
      </c>
    </row>
    <row r="2808" spans="1:2">
      <c r="A2808" s="14">
        <v>45410.388193999999</v>
      </c>
      <c r="B2808" s="15">
        <v>9.4933019999999999</v>
      </c>
    </row>
    <row r="2809" spans="1:2">
      <c r="A2809" s="14">
        <v>45410.388889000002</v>
      </c>
      <c r="B2809" s="15">
        <v>9.7201210000000007</v>
      </c>
    </row>
    <row r="2810" spans="1:2">
      <c r="A2810" s="14">
        <v>45410.389582999996</v>
      </c>
      <c r="B2810" s="15">
        <v>9.5356249999999996</v>
      </c>
    </row>
    <row r="2811" spans="1:2">
      <c r="A2811" s="14">
        <v>45410.390277999999</v>
      </c>
      <c r="B2811" s="15">
        <v>9.3416940000000004</v>
      </c>
    </row>
    <row r="2812" spans="1:2">
      <c r="A2812" s="14">
        <v>45410.390972000001</v>
      </c>
      <c r="B2812" s="15">
        <v>9.4672649999999994</v>
      </c>
    </row>
    <row r="2813" spans="1:2">
      <c r="A2813" s="14">
        <v>45410.391667000004</v>
      </c>
      <c r="B2813" s="15">
        <v>9.5550300000000004</v>
      </c>
    </row>
    <row r="2814" spans="1:2">
      <c r="A2814" s="14">
        <v>45410.392360999998</v>
      </c>
      <c r="B2814" s="15">
        <v>9.4564609999999991</v>
      </c>
    </row>
    <row r="2815" spans="1:2">
      <c r="A2815" s="14">
        <v>45410.393056000001</v>
      </c>
      <c r="B2815" s="15">
        <v>9.6318649999999995</v>
      </c>
    </row>
    <row r="2816" spans="1:2">
      <c r="A2816" s="14">
        <v>45410.393750000003</v>
      </c>
      <c r="B2816" s="15">
        <v>9.5928199999999997</v>
      </c>
    </row>
    <row r="2817" spans="1:2">
      <c r="A2817" s="14">
        <v>45410.394443999998</v>
      </c>
      <c r="B2817" s="15">
        <v>9.5940580000000004</v>
      </c>
    </row>
    <row r="2818" spans="1:2">
      <c r="A2818" s="14">
        <v>45410.395139</v>
      </c>
      <c r="B2818" s="15">
        <v>9.5462620000000005</v>
      </c>
    </row>
    <row r="2819" spans="1:2">
      <c r="A2819" s="14">
        <v>45410.395833000002</v>
      </c>
      <c r="B2819" s="15">
        <v>9.4614550000000008</v>
      </c>
    </row>
    <row r="2820" spans="1:2">
      <c r="A2820" s="14">
        <v>45410.396527999997</v>
      </c>
      <c r="B2820" s="15">
        <v>9.6453290000000003</v>
      </c>
    </row>
    <row r="2821" spans="1:2">
      <c r="A2821" s="14">
        <v>45410.397222</v>
      </c>
      <c r="B2821" s="15">
        <v>9.7269900000000007</v>
      </c>
    </row>
    <row r="2822" spans="1:2">
      <c r="A2822" s="14">
        <v>45410.397917000002</v>
      </c>
      <c r="B2822" s="15">
        <v>9.831887</v>
      </c>
    </row>
    <row r="2823" spans="1:2">
      <c r="A2823" s="14">
        <v>45410.398610999997</v>
      </c>
      <c r="B2823" s="15">
        <v>9.7184519999999992</v>
      </c>
    </row>
    <row r="2824" spans="1:2">
      <c r="A2824" s="14">
        <v>45410.399305999999</v>
      </c>
      <c r="B2824" s="15">
        <v>9.626925</v>
      </c>
    </row>
    <row r="2825" spans="1:2">
      <c r="A2825" s="14">
        <v>45410.400000000001</v>
      </c>
      <c r="B2825" s="15">
        <v>9.6956450000000007</v>
      </c>
    </row>
    <row r="2826" spans="1:2">
      <c r="A2826" s="14">
        <v>45410.400694000004</v>
      </c>
      <c r="B2826" s="15">
        <v>9.7771050000000006</v>
      </c>
    </row>
    <row r="2827" spans="1:2">
      <c r="A2827" s="14">
        <v>45410.401388999999</v>
      </c>
      <c r="B2827" s="15">
        <v>9.4687629999999992</v>
      </c>
    </row>
    <row r="2828" spans="1:2">
      <c r="A2828" s="14">
        <v>45410.402083000001</v>
      </c>
      <c r="B2828" s="15">
        <v>9.6845280000000002</v>
      </c>
    </row>
    <row r="2829" spans="1:2">
      <c r="A2829" s="14">
        <v>45410.402778000003</v>
      </c>
      <c r="B2829" s="15">
        <v>9.5375049999999995</v>
      </c>
    </row>
    <row r="2830" spans="1:2">
      <c r="A2830" s="14">
        <v>45410.403471999998</v>
      </c>
      <c r="B2830" s="15">
        <v>9.5418839999999996</v>
      </c>
    </row>
    <row r="2831" spans="1:2">
      <c r="A2831" s="14">
        <v>45410.404167000001</v>
      </c>
      <c r="B2831" s="15">
        <v>9.59788</v>
      </c>
    </row>
    <row r="2832" spans="1:2">
      <c r="A2832" s="14">
        <v>45410.404861000003</v>
      </c>
      <c r="B2832" s="15">
        <v>9.4357030000000002</v>
      </c>
    </row>
    <row r="2833" spans="1:2">
      <c r="A2833" s="14">
        <v>45410.405555999998</v>
      </c>
      <c r="B2833" s="15">
        <v>9.4182210000000008</v>
      </c>
    </row>
    <row r="2834" spans="1:2">
      <c r="A2834" s="14">
        <v>45410.40625</v>
      </c>
      <c r="B2834" s="15">
        <v>9.7316599999999998</v>
      </c>
    </row>
    <row r="2835" spans="1:2">
      <c r="A2835" s="14">
        <v>45410.406944000002</v>
      </c>
      <c r="B2835" s="15">
        <v>9.6790380000000003</v>
      </c>
    </row>
    <row r="2836" spans="1:2">
      <c r="A2836" s="14">
        <v>45410.407638999997</v>
      </c>
      <c r="B2836" s="15">
        <v>9.7821820000000006</v>
      </c>
    </row>
    <row r="2837" spans="1:2">
      <c r="A2837" s="14">
        <v>45410.408332999999</v>
      </c>
      <c r="B2837" s="15">
        <v>9.4024190000000001</v>
      </c>
    </row>
    <row r="2838" spans="1:2">
      <c r="A2838" s="14">
        <v>45410.409028000002</v>
      </c>
      <c r="B2838" s="15">
        <v>9.6209550000000004</v>
      </c>
    </row>
    <row r="2839" spans="1:2">
      <c r="A2839" s="14">
        <v>45410.409721999997</v>
      </c>
      <c r="B2839" s="15">
        <v>9.6082529999999995</v>
      </c>
    </row>
    <row r="2840" spans="1:2">
      <c r="A2840" s="14">
        <v>45410.410416999999</v>
      </c>
      <c r="B2840" s="15">
        <v>9.5260909999999992</v>
      </c>
    </row>
    <row r="2841" spans="1:2">
      <c r="A2841" s="14">
        <v>45410.411111000001</v>
      </c>
      <c r="B2841" s="15">
        <v>9.5290520000000001</v>
      </c>
    </row>
    <row r="2842" spans="1:2">
      <c r="A2842" s="14">
        <v>45410.411805999996</v>
      </c>
      <c r="B2842" s="15">
        <v>9.3898309999999992</v>
      </c>
    </row>
    <row r="2843" spans="1:2">
      <c r="A2843" s="14">
        <v>45410.412499999999</v>
      </c>
      <c r="B2843" s="15">
        <v>9.4638679999999997</v>
      </c>
    </row>
    <row r="2844" spans="1:2">
      <c r="A2844" s="14">
        <v>45410.413194000001</v>
      </c>
      <c r="B2844" s="15">
        <v>9.6757150000000003</v>
      </c>
    </row>
    <row r="2845" spans="1:2">
      <c r="A2845" s="14">
        <v>45410.413889000003</v>
      </c>
      <c r="B2845" s="15">
        <v>9.5566750000000003</v>
      </c>
    </row>
    <row r="2846" spans="1:2">
      <c r="A2846" s="14">
        <v>45410.414582999998</v>
      </c>
      <c r="B2846" s="15">
        <v>9.4356740000000006</v>
      </c>
    </row>
    <row r="2847" spans="1:2">
      <c r="A2847" s="14">
        <v>45410.415278</v>
      </c>
      <c r="B2847" s="15">
        <v>9.4509100000000004</v>
      </c>
    </row>
    <row r="2848" spans="1:2">
      <c r="A2848" s="14">
        <v>45410.415972000003</v>
      </c>
      <c r="B2848" s="15">
        <v>9.524343</v>
      </c>
    </row>
    <row r="2849" spans="1:2">
      <c r="A2849" s="14">
        <v>45410.416666999998</v>
      </c>
      <c r="B2849" s="15">
        <v>9.573537</v>
      </c>
    </row>
    <row r="2850" spans="1:2">
      <c r="A2850" s="14">
        <v>45410.417361</v>
      </c>
      <c r="B2850" s="15">
        <v>9.3886629999999993</v>
      </c>
    </row>
    <row r="2851" spans="1:2">
      <c r="A2851" s="14">
        <v>45410.418056000002</v>
      </c>
      <c r="B2851" s="15">
        <v>9.3962690000000002</v>
      </c>
    </row>
    <row r="2852" spans="1:2">
      <c r="A2852" s="14">
        <v>45410.418749999997</v>
      </c>
      <c r="B2852" s="15">
        <v>9.688955</v>
      </c>
    </row>
    <row r="2853" spans="1:2">
      <c r="A2853" s="14">
        <v>45410.419443999999</v>
      </c>
      <c r="B2853" s="15">
        <v>9.612387</v>
      </c>
    </row>
    <row r="2854" spans="1:2">
      <c r="A2854" s="14">
        <v>45410.420139000002</v>
      </c>
      <c r="B2854" s="15">
        <v>9.3120279999999998</v>
      </c>
    </row>
    <row r="2855" spans="1:2">
      <c r="A2855" s="14">
        <v>45410.420832999996</v>
      </c>
      <c r="B2855" s="15">
        <v>9.5537519999999994</v>
      </c>
    </row>
    <row r="2856" spans="1:2">
      <c r="A2856" s="14">
        <v>45410.421527999999</v>
      </c>
      <c r="B2856" s="15">
        <v>9.5601979999999998</v>
      </c>
    </row>
    <row r="2857" spans="1:2">
      <c r="A2857" s="14">
        <v>45410.422222000001</v>
      </c>
      <c r="B2857" s="15">
        <v>9.3966659999999997</v>
      </c>
    </row>
    <row r="2858" spans="1:2">
      <c r="A2858" s="14">
        <v>45410.422917000004</v>
      </c>
      <c r="B2858" s="15">
        <v>9.3676499999999994</v>
      </c>
    </row>
    <row r="2859" spans="1:2">
      <c r="A2859" s="14">
        <v>45410.423610999998</v>
      </c>
      <c r="B2859" s="15">
        <v>9.7096090000000004</v>
      </c>
    </row>
    <row r="2860" spans="1:2">
      <c r="A2860" s="14">
        <v>45410.424306000001</v>
      </c>
      <c r="B2860" s="15">
        <v>9.3987169999999995</v>
      </c>
    </row>
    <row r="2861" spans="1:2">
      <c r="A2861" s="14">
        <v>45410.425000000003</v>
      </c>
      <c r="B2861" s="15">
        <v>9.4911949999999994</v>
      </c>
    </row>
    <row r="2862" spans="1:2">
      <c r="A2862" s="14">
        <v>45410.425693999998</v>
      </c>
      <c r="B2862" s="15">
        <v>9.4099629999999994</v>
      </c>
    </row>
    <row r="2863" spans="1:2">
      <c r="A2863" s="14">
        <v>45410.426389</v>
      </c>
      <c r="B2863" s="15">
        <v>9.2806069999999998</v>
      </c>
    </row>
    <row r="2864" spans="1:2">
      <c r="A2864" s="14">
        <v>45410.427083000002</v>
      </c>
      <c r="B2864" s="15">
        <v>9.6117500000000007</v>
      </c>
    </row>
    <row r="2865" spans="1:2">
      <c r="A2865" s="14">
        <v>45410.427777999997</v>
      </c>
      <c r="B2865" s="15">
        <v>9.1765500000000007</v>
      </c>
    </row>
    <row r="2866" spans="1:2">
      <c r="A2866" s="14">
        <v>45410.428472</v>
      </c>
      <c r="B2866" s="15">
        <v>9.5732289999999995</v>
      </c>
    </row>
    <row r="2867" spans="1:2">
      <c r="A2867" s="14">
        <v>45410.429167000002</v>
      </c>
      <c r="B2867" s="15">
        <v>9.1702820000000003</v>
      </c>
    </row>
    <row r="2868" spans="1:2">
      <c r="A2868" s="14">
        <v>45410.429860999997</v>
      </c>
      <c r="B2868" s="15">
        <v>9.4590130000000006</v>
      </c>
    </row>
    <row r="2869" spans="1:2">
      <c r="A2869" s="14">
        <v>45410.430555999999</v>
      </c>
      <c r="B2869" s="15">
        <v>9.2390209999999993</v>
      </c>
    </row>
    <row r="2870" spans="1:2">
      <c r="A2870" s="14">
        <v>45410.431250000001</v>
      </c>
      <c r="B2870" s="15">
        <v>9.4206599999999998</v>
      </c>
    </row>
    <row r="2871" spans="1:2">
      <c r="A2871" s="14">
        <v>45410.431944000004</v>
      </c>
      <c r="B2871" s="15">
        <v>9.3095649999999992</v>
      </c>
    </row>
    <row r="2872" spans="1:2">
      <c r="A2872" s="14">
        <v>45410.432638999999</v>
      </c>
      <c r="B2872" s="15">
        <v>9.0916680000000003</v>
      </c>
    </row>
    <row r="2873" spans="1:2">
      <c r="A2873" s="14">
        <v>45410.433333000001</v>
      </c>
      <c r="B2873" s="15">
        <v>9.7608219999999992</v>
      </c>
    </row>
    <row r="2874" spans="1:2">
      <c r="A2874" s="14">
        <v>45410.434028000003</v>
      </c>
      <c r="B2874" s="15">
        <v>9.4663900000000005</v>
      </c>
    </row>
    <row r="2875" spans="1:2">
      <c r="A2875" s="14">
        <v>45410.434721999998</v>
      </c>
      <c r="B2875" s="15">
        <v>9.4975559999999994</v>
      </c>
    </row>
    <row r="2876" spans="1:2">
      <c r="A2876" s="14">
        <v>45410.435417000001</v>
      </c>
      <c r="B2876" s="15">
        <v>9.3427249999999997</v>
      </c>
    </row>
    <row r="2877" spans="1:2">
      <c r="A2877" s="14">
        <v>45410.436111000003</v>
      </c>
      <c r="B2877" s="15">
        <v>9.1531579999999995</v>
      </c>
    </row>
    <row r="2878" spans="1:2">
      <c r="A2878" s="14">
        <v>45410.436805999998</v>
      </c>
      <c r="B2878" s="15">
        <v>9.4438150000000007</v>
      </c>
    </row>
    <row r="2879" spans="1:2">
      <c r="A2879" s="14">
        <v>45410.4375</v>
      </c>
      <c r="B2879" s="15">
        <v>9.2608669999999993</v>
      </c>
    </row>
    <row r="2880" spans="1:2">
      <c r="A2880" s="14">
        <v>45410.438194000002</v>
      </c>
      <c r="B2880" s="15">
        <v>9.3269939999999991</v>
      </c>
    </row>
    <row r="2881" spans="1:2">
      <c r="A2881" s="14">
        <v>45410.438888999997</v>
      </c>
      <c r="B2881" s="15">
        <v>9.4573029999999996</v>
      </c>
    </row>
    <row r="2882" spans="1:2">
      <c r="A2882" s="14">
        <v>45410.439582999999</v>
      </c>
      <c r="B2882" s="15">
        <v>9.5706989999999994</v>
      </c>
    </row>
    <row r="2883" spans="1:2">
      <c r="A2883" s="14">
        <v>45410.440278000002</v>
      </c>
      <c r="B2883" s="15">
        <v>9.3263069999999999</v>
      </c>
    </row>
    <row r="2884" spans="1:2">
      <c r="A2884" s="14">
        <v>45410.440971999997</v>
      </c>
      <c r="B2884" s="15">
        <v>9.3102990000000005</v>
      </c>
    </row>
    <row r="2885" spans="1:2">
      <c r="A2885" s="14">
        <v>45410.441666999999</v>
      </c>
      <c r="B2885" s="15">
        <v>9.2777759999999994</v>
      </c>
    </row>
    <row r="2886" spans="1:2">
      <c r="A2886" s="14">
        <v>45410.442361000001</v>
      </c>
      <c r="B2886" s="15">
        <v>9.3557240000000004</v>
      </c>
    </row>
    <row r="2887" spans="1:2">
      <c r="A2887" s="14">
        <v>45410.443055999996</v>
      </c>
      <c r="B2887" s="15">
        <v>9.3798329999999996</v>
      </c>
    </row>
    <row r="2888" spans="1:2">
      <c r="A2888" s="14">
        <v>45410.443749999999</v>
      </c>
      <c r="B2888" s="15">
        <v>9.5850810000000006</v>
      </c>
    </row>
    <row r="2889" spans="1:2">
      <c r="A2889" s="14">
        <v>45410.444444000001</v>
      </c>
      <c r="B2889" s="15">
        <v>9.2141780000000004</v>
      </c>
    </row>
    <row r="2890" spans="1:2">
      <c r="A2890" s="14">
        <v>45410.445139000003</v>
      </c>
      <c r="B2890" s="15">
        <v>9.3724419999999995</v>
      </c>
    </row>
    <row r="2891" spans="1:2">
      <c r="A2891" s="14">
        <v>45410.445832999998</v>
      </c>
      <c r="B2891" s="15">
        <v>9.6095450000000007</v>
      </c>
    </row>
    <row r="2892" spans="1:2">
      <c r="A2892" s="14">
        <v>45410.446528</v>
      </c>
      <c r="B2892" s="15">
        <v>9.4963499999999996</v>
      </c>
    </row>
    <row r="2893" spans="1:2">
      <c r="A2893" s="14">
        <v>45410.447222000003</v>
      </c>
      <c r="B2893" s="15">
        <v>9.4795759999999998</v>
      </c>
    </row>
    <row r="2894" spans="1:2">
      <c r="A2894" s="14">
        <v>45410.447916999998</v>
      </c>
      <c r="B2894" s="15">
        <v>9.7082829999999998</v>
      </c>
    </row>
    <row r="2895" spans="1:2">
      <c r="A2895" s="14">
        <v>45410.448611</v>
      </c>
      <c r="B2895" s="15">
        <v>9.6290739999999992</v>
      </c>
    </row>
    <row r="2896" spans="1:2">
      <c r="A2896" s="14">
        <v>45410.449306000002</v>
      </c>
      <c r="B2896" s="15">
        <v>9.557544</v>
      </c>
    </row>
    <row r="2897" spans="1:2">
      <c r="A2897" s="14">
        <v>45410.45</v>
      </c>
      <c r="B2897" s="15">
        <v>9.6182219999999994</v>
      </c>
    </row>
    <row r="2898" spans="1:2">
      <c r="A2898" s="14">
        <v>45410.450693999999</v>
      </c>
      <c r="B2898" s="15">
        <v>9.2459249999999997</v>
      </c>
    </row>
    <row r="2899" spans="1:2">
      <c r="A2899" s="14">
        <v>45410.451389000002</v>
      </c>
      <c r="B2899" s="15">
        <v>9.2071989999999992</v>
      </c>
    </row>
    <row r="2900" spans="1:2">
      <c r="A2900" s="14">
        <v>45410.452082999996</v>
      </c>
      <c r="B2900" s="15">
        <v>9.3290970000000009</v>
      </c>
    </row>
    <row r="2901" spans="1:2">
      <c r="A2901" s="14">
        <v>45410.452777999999</v>
      </c>
      <c r="B2901" s="15">
        <v>9.6758620000000004</v>
      </c>
    </row>
    <row r="2902" spans="1:2">
      <c r="A2902" s="14">
        <v>45410.453472000001</v>
      </c>
      <c r="B2902" s="15">
        <v>9.5228479999999998</v>
      </c>
    </row>
    <row r="2903" spans="1:2">
      <c r="A2903" s="14">
        <v>45410.454167000004</v>
      </c>
      <c r="B2903" s="15">
        <v>9.5946379999999998</v>
      </c>
    </row>
    <row r="2904" spans="1:2">
      <c r="A2904" s="14">
        <v>45410.454860999998</v>
      </c>
      <c r="B2904" s="15">
        <v>9.3111390000000007</v>
      </c>
    </row>
    <row r="2905" spans="1:2">
      <c r="A2905" s="14">
        <v>45410.455556000001</v>
      </c>
      <c r="B2905" s="15">
        <v>9.1858439999999995</v>
      </c>
    </row>
    <row r="2906" spans="1:2">
      <c r="A2906" s="14">
        <v>45410.456250000003</v>
      </c>
      <c r="B2906" s="15">
        <v>9.6885720000000006</v>
      </c>
    </row>
    <row r="2907" spans="1:2">
      <c r="A2907" s="14">
        <v>45410.456943999998</v>
      </c>
      <c r="B2907" s="15">
        <v>9.5345739999999992</v>
      </c>
    </row>
    <row r="2908" spans="1:2">
      <c r="A2908" s="14">
        <v>45410.457639</v>
      </c>
      <c r="B2908" s="15">
        <v>9.3181689999999993</v>
      </c>
    </row>
    <row r="2909" spans="1:2">
      <c r="A2909" s="14">
        <v>45410.458333000002</v>
      </c>
      <c r="B2909" s="15">
        <v>9.3415990000000004</v>
      </c>
    </row>
    <row r="2910" spans="1:2">
      <c r="A2910" s="14">
        <v>45410.459027999997</v>
      </c>
      <c r="B2910" s="15">
        <v>9.4055090000000003</v>
      </c>
    </row>
    <row r="2911" spans="1:2">
      <c r="A2911" s="14">
        <v>45410.459722</v>
      </c>
      <c r="B2911" s="15">
        <v>9.3888069999999999</v>
      </c>
    </row>
    <row r="2912" spans="1:2">
      <c r="A2912" s="14">
        <v>45410.460417000002</v>
      </c>
      <c r="B2912" s="15">
        <v>9.4821679999999997</v>
      </c>
    </row>
    <row r="2913" spans="1:2">
      <c r="A2913" s="14">
        <v>45410.461110999997</v>
      </c>
      <c r="B2913" s="15">
        <v>9.0185340000000007</v>
      </c>
    </row>
    <row r="2914" spans="1:2">
      <c r="A2914" s="14">
        <v>45410.461805999999</v>
      </c>
      <c r="B2914" s="15">
        <v>9.5094829999999995</v>
      </c>
    </row>
    <row r="2915" spans="1:2">
      <c r="A2915" s="14">
        <v>45410.462500000001</v>
      </c>
      <c r="B2915" s="15">
        <v>9.1722000000000001</v>
      </c>
    </row>
    <row r="2916" spans="1:2">
      <c r="A2916" s="14">
        <v>45410.463194000004</v>
      </c>
      <c r="B2916" s="15">
        <v>9.5184879999999996</v>
      </c>
    </row>
    <row r="2917" spans="1:2">
      <c r="A2917" s="14">
        <v>45410.463888999999</v>
      </c>
      <c r="B2917" s="15">
        <v>9.1296619999999997</v>
      </c>
    </row>
    <row r="2918" spans="1:2">
      <c r="A2918" s="14">
        <v>45410.464583000001</v>
      </c>
      <c r="B2918" s="15">
        <v>9.0958749999999995</v>
      </c>
    </row>
    <row r="2919" spans="1:2">
      <c r="A2919" s="14">
        <v>45410.465278000003</v>
      </c>
      <c r="B2919" s="15">
        <v>9.423114</v>
      </c>
    </row>
    <row r="2920" spans="1:2">
      <c r="A2920" s="14">
        <v>45410.465971999998</v>
      </c>
      <c r="B2920" s="15">
        <v>9.3613320000000009</v>
      </c>
    </row>
    <row r="2921" spans="1:2">
      <c r="A2921" s="14">
        <v>45410.466667000001</v>
      </c>
      <c r="B2921" s="15">
        <v>9.6136859999999995</v>
      </c>
    </row>
    <row r="2922" spans="1:2">
      <c r="A2922" s="14">
        <v>45410.467361000003</v>
      </c>
      <c r="B2922" s="15">
        <v>9.1909270000000003</v>
      </c>
    </row>
    <row r="2923" spans="1:2">
      <c r="A2923" s="14">
        <v>45410.468055999998</v>
      </c>
      <c r="B2923" s="15">
        <v>9.4023509999999995</v>
      </c>
    </row>
    <row r="2924" spans="1:2">
      <c r="A2924" s="14">
        <v>45410.46875</v>
      </c>
      <c r="B2924" s="15">
        <v>9.2442969999999995</v>
      </c>
    </row>
    <row r="2925" spans="1:2">
      <c r="A2925" s="14">
        <v>45410.469444000002</v>
      </c>
      <c r="B2925" s="15">
        <v>9.0693479999999997</v>
      </c>
    </row>
    <row r="2926" spans="1:2">
      <c r="A2926" s="14">
        <v>45410.470138999997</v>
      </c>
      <c r="B2926" s="15">
        <v>9.5366689999999998</v>
      </c>
    </row>
    <row r="2927" spans="1:2">
      <c r="A2927" s="14">
        <v>45410.470832999999</v>
      </c>
      <c r="B2927" s="15">
        <v>9.2547180000000004</v>
      </c>
    </row>
    <row r="2928" spans="1:2">
      <c r="A2928" s="14">
        <v>45410.471528000002</v>
      </c>
      <c r="B2928" s="15">
        <v>9.2474500000000006</v>
      </c>
    </row>
    <row r="2929" spans="1:2">
      <c r="A2929" s="14">
        <v>45410.472221999997</v>
      </c>
      <c r="B2929" s="15">
        <v>9.5791389999999996</v>
      </c>
    </row>
    <row r="2930" spans="1:2">
      <c r="A2930" s="14">
        <v>45410.472916999999</v>
      </c>
      <c r="B2930" s="15">
        <v>9.4798559999999998</v>
      </c>
    </row>
    <row r="2931" spans="1:2">
      <c r="A2931" s="14">
        <v>45410.473611000001</v>
      </c>
      <c r="B2931" s="15">
        <v>9.2141269999999995</v>
      </c>
    </row>
    <row r="2932" spans="1:2">
      <c r="A2932" s="14">
        <v>45410.474305999996</v>
      </c>
      <c r="B2932" s="15">
        <v>9.0930970000000002</v>
      </c>
    </row>
    <row r="2933" spans="1:2">
      <c r="A2933" s="14">
        <v>45410.474999999999</v>
      </c>
      <c r="B2933" s="15">
        <v>9.5829389999999997</v>
      </c>
    </row>
    <row r="2934" spans="1:2">
      <c r="A2934" s="14">
        <v>45410.475694000001</v>
      </c>
      <c r="B2934" s="15">
        <v>9.0014979999999998</v>
      </c>
    </row>
    <row r="2935" spans="1:2">
      <c r="A2935" s="14">
        <v>45410.476389000003</v>
      </c>
      <c r="B2935" s="15">
        <v>8.9867019999999993</v>
      </c>
    </row>
    <row r="2936" spans="1:2">
      <c r="A2936" s="14">
        <v>45410.477082999998</v>
      </c>
      <c r="B2936" s="15">
        <v>9.3858859999999993</v>
      </c>
    </row>
    <row r="2937" spans="1:2">
      <c r="A2937" s="14">
        <v>45410.477778</v>
      </c>
      <c r="B2937" s="15">
        <v>9.2622020000000003</v>
      </c>
    </row>
    <row r="2938" spans="1:2">
      <c r="A2938" s="14">
        <v>45410.478472000003</v>
      </c>
      <c r="B2938" s="15">
        <v>9.2396250000000002</v>
      </c>
    </row>
    <row r="2939" spans="1:2">
      <c r="A2939" s="14">
        <v>45410.479166999998</v>
      </c>
      <c r="B2939" s="15">
        <v>9.5442289999999996</v>
      </c>
    </row>
    <row r="2940" spans="1:2">
      <c r="A2940" s="14">
        <v>45410.479861</v>
      </c>
      <c r="B2940" s="15">
        <v>9.1487420000000004</v>
      </c>
    </row>
    <row r="2941" spans="1:2">
      <c r="A2941" s="14">
        <v>45410.480556000002</v>
      </c>
      <c r="B2941" s="15">
        <v>9.2503790000000006</v>
      </c>
    </row>
    <row r="2942" spans="1:2">
      <c r="A2942" s="14">
        <v>45410.481249999997</v>
      </c>
      <c r="B2942" s="15">
        <v>9.2633399999999995</v>
      </c>
    </row>
    <row r="2943" spans="1:2">
      <c r="A2943" s="14">
        <v>45410.481943999999</v>
      </c>
      <c r="B2943" s="15">
        <v>9.1441239999999997</v>
      </c>
    </row>
    <row r="2944" spans="1:2">
      <c r="A2944" s="14">
        <v>45410.482639000002</v>
      </c>
      <c r="B2944" s="15">
        <v>9.1279369999999993</v>
      </c>
    </row>
    <row r="2945" spans="1:2">
      <c r="A2945" s="14">
        <v>45410.483332999996</v>
      </c>
      <c r="B2945" s="15">
        <v>9.0148910000000004</v>
      </c>
    </row>
    <row r="2946" spans="1:2">
      <c r="A2946" s="14">
        <v>45410.484027999999</v>
      </c>
      <c r="B2946" s="15">
        <v>9.1758839999999999</v>
      </c>
    </row>
    <row r="2947" spans="1:2">
      <c r="A2947" s="14">
        <v>45410.484722000001</v>
      </c>
      <c r="B2947" s="15">
        <v>9.1278129999999997</v>
      </c>
    </row>
    <row r="2948" spans="1:2">
      <c r="A2948" s="14">
        <v>45410.485417000004</v>
      </c>
      <c r="B2948" s="15">
        <v>9.05063</v>
      </c>
    </row>
    <row r="2949" spans="1:2">
      <c r="A2949" s="14">
        <v>45410.486110999998</v>
      </c>
      <c r="B2949" s="15">
        <v>9.0713620000000006</v>
      </c>
    </row>
    <row r="2950" spans="1:2">
      <c r="A2950" s="14">
        <v>45410.486806000001</v>
      </c>
      <c r="B2950" s="15">
        <v>9.1004070000000006</v>
      </c>
    </row>
    <row r="2951" spans="1:2">
      <c r="A2951" s="14">
        <v>45410.487500000003</v>
      </c>
      <c r="B2951" s="15">
        <v>9.5274830000000001</v>
      </c>
    </row>
    <row r="2952" spans="1:2">
      <c r="A2952" s="14">
        <v>45410.488193999998</v>
      </c>
      <c r="B2952" s="15">
        <v>9.1759350000000008</v>
      </c>
    </row>
    <row r="2953" spans="1:2">
      <c r="A2953" s="14">
        <v>45410.488889</v>
      </c>
      <c r="B2953" s="15">
        <v>9.4997589999999992</v>
      </c>
    </row>
    <row r="2954" spans="1:2">
      <c r="A2954" s="14">
        <v>45410.489583000002</v>
      </c>
      <c r="B2954" s="15">
        <v>8.9064589999999999</v>
      </c>
    </row>
    <row r="2955" spans="1:2">
      <c r="A2955" s="14">
        <v>45410.490277999997</v>
      </c>
      <c r="B2955" s="15">
        <v>9.243252</v>
      </c>
    </row>
    <row r="2956" spans="1:2">
      <c r="A2956" s="14">
        <v>45410.490972</v>
      </c>
      <c r="B2956" s="15">
        <v>9.2275449999999992</v>
      </c>
    </row>
    <row r="2957" spans="1:2">
      <c r="A2957" s="14">
        <v>45410.491667000002</v>
      </c>
      <c r="B2957" s="15">
        <v>8.9759379999999993</v>
      </c>
    </row>
    <row r="2958" spans="1:2">
      <c r="A2958" s="14">
        <v>45410.492360999997</v>
      </c>
      <c r="B2958" s="15">
        <v>9.262124</v>
      </c>
    </row>
    <row r="2959" spans="1:2">
      <c r="A2959" s="14">
        <v>45410.493055999999</v>
      </c>
      <c r="B2959" s="15">
        <v>9.534573</v>
      </c>
    </row>
    <row r="2960" spans="1:2">
      <c r="A2960" s="14">
        <v>45410.493750000001</v>
      </c>
      <c r="B2960" s="15">
        <v>9.0208440000000003</v>
      </c>
    </row>
    <row r="2961" spans="1:2">
      <c r="A2961" s="14">
        <v>45410.494444000004</v>
      </c>
      <c r="B2961" s="15">
        <v>9.0964430000000007</v>
      </c>
    </row>
    <row r="2962" spans="1:2">
      <c r="A2962" s="14">
        <v>45410.495138999999</v>
      </c>
      <c r="B2962" s="15">
        <v>9.4498540000000002</v>
      </c>
    </row>
    <row r="2963" spans="1:2">
      <c r="A2963" s="14">
        <v>45410.495833000001</v>
      </c>
      <c r="B2963" s="15">
        <v>9.2462750000000007</v>
      </c>
    </row>
    <row r="2964" spans="1:2">
      <c r="A2964" s="14">
        <v>45410.496528000003</v>
      </c>
      <c r="B2964" s="15">
        <v>9.4235600000000002</v>
      </c>
    </row>
    <row r="2965" spans="1:2">
      <c r="A2965" s="14">
        <v>45410.497221999998</v>
      </c>
      <c r="B2965" s="15">
        <v>9.0075310000000002</v>
      </c>
    </row>
    <row r="2966" spans="1:2">
      <c r="A2966" s="14">
        <v>45410.497917000001</v>
      </c>
      <c r="B2966" s="15">
        <v>9.4161859999999997</v>
      </c>
    </row>
    <row r="2967" spans="1:2">
      <c r="A2967" s="14">
        <v>45410.498611000003</v>
      </c>
      <c r="B2967" s="15">
        <v>8.868544</v>
      </c>
    </row>
    <row r="2968" spans="1:2">
      <c r="A2968" s="14">
        <v>45410.499305999998</v>
      </c>
      <c r="B2968" s="15">
        <v>9.2944589999999998</v>
      </c>
    </row>
    <row r="2969" spans="1:2">
      <c r="A2969" s="14">
        <v>45410.5</v>
      </c>
      <c r="B2969" s="15">
        <v>9.4540019999999991</v>
      </c>
    </row>
    <row r="2970" spans="1:2">
      <c r="A2970" s="14">
        <v>45410.500694000002</v>
      </c>
      <c r="B2970" s="15">
        <v>9.1262670000000004</v>
      </c>
    </row>
    <row r="2971" spans="1:2">
      <c r="A2971" s="14">
        <v>45410.501388999997</v>
      </c>
      <c r="B2971" s="15">
        <v>9.1726469999999996</v>
      </c>
    </row>
    <row r="2972" spans="1:2">
      <c r="A2972" s="14">
        <v>45410.502082999999</v>
      </c>
      <c r="B2972" s="15">
        <v>9.4408720000000006</v>
      </c>
    </row>
    <row r="2973" spans="1:2">
      <c r="A2973" s="14">
        <v>45410.502778000002</v>
      </c>
      <c r="B2973" s="15">
        <v>9.2828149999999994</v>
      </c>
    </row>
    <row r="2974" spans="1:2">
      <c r="A2974" s="14">
        <v>45410.503471999997</v>
      </c>
      <c r="B2974" s="15">
        <v>9.7398880000000005</v>
      </c>
    </row>
    <row r="2975" spans="1:2">
      <c r="A2975" s="14">
        <v>45410.504166999999</v>
      </c>
      <c r="B2975" s="15">
        <v>9.3149300000000004</v>
      </c>
    </row>
    <row r="2976" spans="1:2">
      <c r="A2976" s="14">
        <v>45410.504861000001</v>
      </c>
      <c r="B2976" s="15">
        <v>9.053623</v>
      </c>
    </row>
    <row r="2977" spans="1:2">
      <c r="A2977" s="14">
        <v>45410.505555999996</v>
      </c>
      <c r="B2977" s="15">
        <v>9.3593050000000009</v>
      </c>
    </row>
    <row r="2978" spans="1:2">
      <c r="A2978" s="14">
        <v>45410.506249999999</v>
      </c>
      <c r="B2978" s="15">
        <v>9.0431089999999994</v>
      </c>
    </row>
    <row r="2979" spans="1:2">
      <c r="A2979" s="14">
        <v>45410.506944000001</v>
      </c>
      <c r="B2979" s="15">
        <v>9.3811789999999995</v>
      </c>
    </row>
    <row r="2980" spans="1:2">
      <c r="A2980" s="14">
        <v>45410.507639000003</v>
      </c>
      <c r="B2980" s="15">
        <v>9.1624759999999998</v>
      </c>
    </row>
    <row r="2981" spans="1:2">
      <c r="A2981" s="14">
        <v>45410.508332999998</v>
      </c>
      <c r="B2981" s="15">
        <v>9.6573030000000006</v>
      </c>
    </row>
    <row r="2982" spans="1:2">
      <c r="A2982" s="14">
        <v>45410.509028</v>
      </c>
      <c r="B2982" s="15">
        <v>9.1209319999999998</v>
      </c>
    </row>
    <row r="2983" spans="1:2">
      <c r="A2983" s="14">
        <v>45410.509722000003</v>
      </c>
      <c r="B2983" s="15">
        <v>9.0570869999999992</v>
      </c>
    </row>
    <row r="2984" spans="1:2">
      <c r="A2984" s="14">
        <v>45410.510416999998</v>
      </c>
      <c r="B2984" s="15">
        <v>9.1665799999999997</v>
      </c>
    </row>
    <row r="2985" spans="1:2">
      <c r="A2985" s="14">
        <v>45410.511111</v>
      </c>
      <c r="B2985" s="15">
        <v>8.7932020000000009</v>
      </c>
    </row>
    <row r="2986" spans="1:2">
      <c r="A2986" s="14">
        <v>45410.511806000002</v>
      </c>
      <c r="B2986" s="15">
        <v>9.478764</v>
      </c>
    </row>
    <row r="2987" spans="1:2">
      <c r="A2987" s="14">
        <v>45410.512499999997</v>
      </c>
      <c r="B2987" s="15">
        <v>9.0773589999999995</v>
      </c>
    </row>
    <row r="2988" spans="1:2">
      <c r="A2988" s="14">
        <v>45410.513193999999</v>
      </c>
      <c r="B2988" s="15">
        <v>9.3840599999999998</v>
      </c>
    </row>
    <row r="2989" spans="1:2">
      <c r="A2989" s="14">
        <v>45410.513889000002</v>
      </c>
      <c r="B2989" s="15">
        <v>9.1069300000000002</v>
      </c>
    </row>
    <row r="2990" spans="1:2">
      <c r="A2990" s="14">
        <v>45410.514582999996</v>
      </c>
      <c r="B2990" s="15">
        <v>9.5993670000000009</v>
      </c>
    </row>
    <row r="2991" spans="1:2">
      <c r="A2991" s="14">
        <v>45410.515277999999</v>
      </c>
      <c r="B2991" s="15">
        <v>9.0317450000000008</v>
      </c>
    </row>
    <row r="2992" spans="1:2">
      <c r="A2992" s="14">
        <v>45410.515972000001</v>
      </c>
      <c r="B2992" s="15">
        <v>9.099126</v>
      </c>
    </row>
    <row r="2993" spans="1:2">
      <c r="A2993" s="14">
        <v>45410.516667000004</v>
      </c>
      <c r="B2993" s="15">
        <v>9.3878520000000005</v>
      </c>
    </row>
    <row r="2994" spans="1:2">
      <c r="A2994" s="14">
        <v>45410.517360999998</v>
      </c>
      <c r="B2994" s="15">
        <v>9.5537779999999994</v>
      </c>
    </row>
    <row r="2995" spans="1:2">
      <c r="A2995" s="14">
        <v>45410.518056000001</v>
      </c>
      <c r="B2995" s="15">
        <v>9.1988830000000004</v>
      </c>
    </row>
    <row r="2996" spans="1:2">
      <c r="A2996" s="14">
        <v>45410.518750000003</v>
      </c>
      <c r="B2996" s="15">
        <v>8.6628670000000003</v>
      </c>
    </row>
    <row r="2997" spans="1:2">
      <c r="A2997" s="14">
        <v>45410.519443999998</v>
      </c>
      <c r="B2997" s="15">
        <v>9.0834869999999999</v>
      </c>
    </row>
    <row r="2998" spans="1:2">
      <c r="A2998" s="14">
        <v>45410.520139</v>
      </c>
      <c r="B2998" s="15">
        <v>9.16737</v>
      </c>
    </row>
    <row r="2999" spans="1:2">
      <c r="A2999" s="14">
        <v>45410.520833000002</v>
      </c>
      <c r="B2999" s="15">
        <v>8.9842610000000001</v>
      </c>
    </row>
    <row r="3000" spans="1:2">
      <c r="A3000" s="14">
        <v>45410.521527999997</v>
      </c>
      <c r="B3000" s="15">
        <v>9.1931930000000008</v>
      </c>
    </row>
    <row r="3001" spans="1:2">
      <c r="A3001" s="14">
        <v>45410.522222</v>
      </c>
      <c r="B3001" s="15">
        <v>9.4531159999999996</v>
      </c>
    </row>
    <row r="3002" spans="1:2">
      <c r="A3002" s="14">
        <v>45410.522917000002</v>
      </c>
      <c r="B3002" s="15">
        <v>8.877319</v>
      </c>
    </row>
    <row r="3003" spans="1:2">
      <c r="A3003" s="14">
        <v>45410.523610999997</v>
      </c>
      <c r="B3003" s="15">
        <v>9.2493630000000007</v>
      </c>
    </row>
    <row r="3004" spans="1:2">
      <c r="A3004" s="14">
        <v>45410.524305999999</v>
      </c>
      <c r="B3004" s="15">
        <v>9.1810519999999993</v>
      </c>
    </row>
    <row r="3005" spans="1:2">
      <c r="A3005" s="14">
        <v>45410.525000000001</v>
      </c>
      <c r="B3005" s="15">
        <v>9.0764440000000004</v>
      </c>
    </row>
    <row r="3006" spans="1:2">
      <c r="A3006" s="14">
        <v>45410.525694000004</v>
      </c>
      <c r="B3006" s="15">
        <v>9.2325049999999997</v>
      </c>
    </row>
    <row r="3007" spans="1:2">
      <c r="A3007" s="14">
        <v>45410.526388999999</v>
      </c>
      <c r="B3007" s="15">
        <v>9.0010809999999992</v>
      </c>
    </row>
    <row r="3008" spans="1:2">
      <c r="A3008" s="14">
        <v>45410.527083000001</v>
      </c>
      <c r="B3008" s="15">
        <v>9.1227129999999992</v>
      </c>
    </row>
    <row r="3009" spans="1:2">
      <c r="A3009" s="14">
        <v>45410.527778000003</v>
      </c>
      <c r="B3009" s="15">
        <v>9.4135650000000002</v>
      </c>
    </row>
    <row r="3010" spans="1:2">
      <c r="A3010" s="14">
        <v>45410.528471999998</v>
      </c>
      <c r="B3010" s="15">
        <v>8.9697560000000003</v>
      </c>
    </row>
    <row r="3011" spans="1:2">
      <c r="A3011" s="14">
        <v>45410.529167000001</v>
      </c>
      <c r="B3011" s="15">
        <v>9.3376769999999993</v>
      </c>
    </row>
    <row r="3012" spans="1:2">
      <c r="A3012" s="14">
        <v>45410.529861000003</v>
      </c>
      <c r="B3012" s="15">
        <v>9.0941790000000005</v>
      </c>
    </row>
    <row r="3013" spans="1:2">
      <c r="A3013" s="14">
        <v>45410.530555999998</v>
      </c>
      <c r="B3013" s="15">
        <v>9.1846680000000003</v>
      </c>
    </row>
    <row r="3014" spans="1:2">
      <c r="A3014" s="14">
        <v>45410.53125</v>
      </c>
      <c r="B3014" s="15">
        <v>9.1357140000000001</v>
      </c>
    </row>
    <row r="3015" spans="1:2">
      <c r="A3015" s="14">
        <v>45410.531944000002</v>
      </c>
      <c r="B3015" s="15">
        <v>9.1304789999999993</v>
      </c>
    </row>
    <row r="3016" spans="1:2">
      <c r="A3016" s="14">
        <v>45410.532638999997</v>
      </c>
      <c r="B3016" s="15">
        <v>8.9449079999999999</v>
      </c>
    </row>
    <row r="3017" spans="1:2">
      <c r="A3017" s="14">
        <v>45410.533332999999</v>
      </c>
      <c r="B3017" s="15">
        <v>9.4770050000000001</v>
      </c>
    </row>
    <row r="3018" spans="1:2">
      <c r="A3018" s="14">
        <v>45410.534028000002</v>
      </c>
      <c r="B3018" s="15">
        <v>9.1267180000000003</v>
      </c>
    </row>
    <row r="3019" spans="1:2">
      <c r="A3019" s="14">
        <v>45410.534721999997</v>
      </c>
      <c r="B3019" s="15">
        <v>8.9530209999999997</v>
      </c>
    </row>
    <row r="3020" spans="1:2">
      <c r="A3020" s="14">
        <v>45410.535416999999</v>
      </c>
      <c r="B3020" s="15">
        <v>9.4163739999999994</v>
      </c>
    </row>
    <row r="3021" spans="1:2">
      <c r="A3021" s="14">
        <v>45410.536111000001</v>
      </c>
      <c r="B3021" s="15">
        <v>9.0628960000000003</v>
      </c>
    </row>
    <row r="3022" spans="1:2">
      <c r="A3022" s="14">
        <v>45410.536805999996</v>
      </c>
      <c r="B3022" s="15">
        <v>9.0556450000000002</v>
      </c>
    </row>
    <row r="3023" spans="1:2">
      <c r="A3023" s="14">
        <v>45410.537499999999</v>
      </c>
      <c r="B3023" s="15">
        <v>9.2989909999999991</v>
      </c>
    </row>
    <row r="3024" spans="1:2">
      <c r="A3024" s="14">
        <v>45410.538194000001</v>
      </c>
      <c r="B3024" s="15">
        <v>9.3164010000000008</v>
      </c>
    </row>
    <row r="3025" spans="1:2">
      <c r="A3025" s="14">
        <v>45410.538889000003</v>
      </c>
      <c r="B3025" s="15">
        <v>9.0878370000000004</v>
      </c>
    </row>
    <row r="3026" spans="1:2">
      <c r="A3026" s="14">
        <v>45410.539582999998</v>
      </c>
      <c r="B3026" s="15">
        <v>9.7389700000000001</v>
      </c>
    </row>
    <row r="3027" spans="1:2">
      <c r="A3027" s="14">
        <v>45410.540278</v>
      </c>
      <c r="B3027" s="15">
        <v>8.7015320000000003</v>
      </c>
    </row>
    <row r="3028" spans="1:2">
      <c r="A3028" s="14">
        <v>45410.540972000003</v>
      </c>
      <c r="B3028" s="15">
        <v>9.0581250000000004</v>
      </c>
    </row>
    <row r="3029" spans="1:2">
      <c r="A3029" s="14">
        <v>45410.541666999998</v>
      </c>
      <c r="B3029" s="15">
        <v>9.0071469999999998</v>
      </c>
    </row>
    <row r="3030" spans="1:2">
      <c r="A3030" s="14">
        <v>45410.542361</v>
      </c>
      <c r="B3030" s="15">
        <v>9.1201980000000002</v>
      </c>
    </row>
    <row r="3031" spans="1:2">
      <c r="A3031" s="14">
        <v>45410.543056000002</v>
      </c>
      <c r="B3031" s="15">
        <v>9.2437419999999992</v>
      </c>
    </row>
    <row r="3032" spans="1:2">
      <c r="A3032" s="14">
        <v>45410.543749999997</v>
      </c>
      <c r="B3032" s="15">
        <v>9.0583290000000005</v>
      </c>
    </row>
    <row r="3033" spans="1:2">
      <c r="A3033" s="14">
        <v>45410.544443999999</v>
      </c>
      <c r="B3033" s="15">
        <v>9.0584009999999999</v>
      </c>
    </row>
    <row r="3034" spans="1:2">
      <c r="A3034" s="14">
        <v>45410.545139000002</v>
      </c>
      <c r="B3034" s="15">
        <v>9.1428689999999992</v>
      </c>
    </row>
    <row r="3035" spans="1:2">
      <c r="A3035" s="14">
        <v>45410.545832999996</v>
      </c>
      <c r="B3035" s="15">
        <v>9.1212630000000008</v>
      </c>
    </row>
    <row r="3036" spans="1:2">
      <c r="A3036" s="14">
        <v>45410.546527999999</v>
      </c>
      <c r="B3036" s="15">
        <v>9.0888919999999995</v>
      </c>
    </row>
    <row r="3037" spans="1:2">
      <c r="A3037" s="14">
        <v>45410.547222000001</v>
      </c>
      <c r="B3037" s="15">
        <v>9.1674260000000007</v>
      </c>
    </row>
    <row r="3038" spans="1:2">
      <c r="A3038" s="14">
        <v>45410.547917000004</v>
      </c>
      <c r="B3038" s="15">
        <v>9.1262270000000001</v>
      </c>
    </row>
    <row r="3039" spans="1:2">
      <c r="A3039" s="14">
        <v>45410.548610999998</v>
      </c>
      <c r="B3039" s="15">
        <v>8.8335080000000001</v>
      </c>
    </row>
    <row r="3040" spans="1:2">
      <c r="A3040" s="14">
        <v>45410.549306000001</v>
      </c>
      <c r="B3040" s="15">
        <v>9.1152820000000006</v>
      </c>
    </row>
    <row r="3041" spans="1:2">
      <c r="A3041" s="14">
        <v>45410.55</v>
      </c>
      <c r="B3041" s="15">
        <v>9.1866679999999992</v>
      </c>
    </row>
    <row r="3042" spans="1:2">
      <c r="A3042" s="14">
        <v>45410.550693999998</v>
      </c>
      <c r="B3042" s="15">
        <v>9.0428569999999997</v>
      </c>
    </row>
    <row r="3043" spans="1:2">
      <c r="A3043" s="14">
        <v>45410.551389</v>
      </c>
      <c r="B3043" s="15">
        <v>8.8479089999999996</v>
      </c>
    </row>
    <row r="3044" spans="1:2">
      <c r="A3044" s="14">
        <v>45410.552083000002</v>
      </c>
      <c r="B3044" s="15">
        <v>8.9013550000000006</v>
      </c>
    </row>
    <row r="3045" spans="1:2">
      <c r="A3045" s="14">
        <v>45410.552777999997</v>
      </c>
      <c r="B3045" s="15">
        <v>9.0864550000000008</v>
      </c>
    </row>
    <row r="3046" spans="1:2">
      <c r="A3046" s="14">
        <v>45410.553472</v>
      </c>
      <c r="B3046" s="15">
        <v>9.1795849999999994</v>
      </c>
    </row>
    <row r="3047" spans="1:2">
      <c r="A3047" s="14">
        <v>45410.554167000002</v>
      </c>
      <c r="B3047" s="15">
        <v>9.1469229999999992</v>
      </c>
    </row>
    <row r="3048" spans="1:2">
      <c r="A3048" s="14">
        <v>45410.554860999997</v>
      </c>
      <c r="B3048" s="15">
        <v>9.0861719999999995</v>
      </c>
    </row>
    <row r="3049" spans="1:2">
      <c r="A3049" s="14">
        <v>45410.555555999999</v>
      </c>
      <c r="B3049" s="15">
        <v>8.9130420000000008</v>
      </c>
    </row>
    <row r="3050" spans="1:2">
      <c r="A3050" s="14">
        <v>45410.556250000001</v>
      </c>
      <c r="B3050" s="15">
        <v>8.9792919999999992</v>
      </c>
    </row>
    <row r="3051" spans="1:2">
      <c r="A3051" s="14">
        <v>45410.556944000004</v>
      </c>
      <c r="B3051" s="15">
        <v>9.1019729999999992</v>
      </c>
    </row>
    <row r="3052" spans="1:2">
      <c r="A3052" s="14">
        <v>45410.557638999999</v>
      </c>
      <c r="B3052" s="15">
        <v>8.9615349999999996</v>
      </c>
    </row>
    <row r="3053" spans="1:2">
      <c r="A3053" s="14">
        <v>45410.558333000001</v>
      </c>
      <c r="B3053" s="15">
        <v>8.9710169999999998</v>
      </c>
    </row>
    <row r="3054" spans="1:2">
      <c r="A3054" s="14">
        <v>45410.559028000003</v>
      </c>
      <c r="B3054" s="15">
        <v>9.1548719999999992</v>
      </c>
    </row>
    <row r="3055" spans="1:2">
      <c r="A3055" s="14">
        <v>45410.559721999998</v>
      </c>
      <c r="B3055" s="15">
        <v>9.2381639999999994</v>
      </c>
    </row>
    <row r="3056" spans="1:2">
      <c r="A3056" s="14">
        <v>45410.560417000001</v>
      </c>
      <c r="B3056" s="15">
        <v>8.6929200000000009</v>
      </c>
    </row>
    <row r="3057" spans="1:2">
      <c r="A3057" s="14">
        <v>45410.561111000003</v>
      </c>
      <c r="B3057" s="15">
        <v>8.7597710000000006</v>
      </c>
    </row>
    <row r="3058" spans="1:2">
      <c r="A3058" s="14">
        <v>45410.561805999998</v>
      </c>
      <c r="B3058" s="15">
        <v>9.9512520000000002</v>
      </c>
    </row>
    <row r="3059" spans="1:2">
      <c r="A3059" s="14">
        <v>45410.5625</v>
      </c>
      <c r="B3059" s="15">
        <v>9.0895469999999996</v>
      </c>
    </row>
    <row r="3060" spans="1:2">
      <c r="A3060" s="14">
        <v>45410.563194000002</v>
      </c>
      <c r="B3060" s="15">
        <v>9.1116829999999993</v>
      </c>
    </row>
    <row r="3061" spans="1:2">
      <c r="A3061" s="14">
        <v>45410.563888999997</v>
      </c>
      <c r="B3061" s="15">
        <v>9.1323539999999994</v>
      </c>
    </row>
    <row r="3062" spans="1:2">
      <c r="A3062" s="14">
        <v>45410.564582999999</v>
      </c>
      <c r="B3062" s="15">
        <v>8.9984280000000005</v>
      </c>
    </row>
    <row r="3063" spans="1:2">
      <c r="A3063" s="14">
        <v>45410.565278000002</v>
      </c>
      <c r="B3063" s="15">
        <v>9.1660319999999995</v>
      </c>
    </row>
    <row r="3064" spans="1:2">
      <c r="A3064" s="14">
        <v>45410.565971999997</v>
      </c>
      <c r="B3064" s="15">
        <v>9.279579</v>
      </c>
    </row>
    <row r="3065" spans="1:2">
      <c r="A3065" s="14">
        <v>45410.566666999999</v>
      </c>
      <c r="B3065" s="15">
        <v>9.1241389999999996</v>
      </c>
    </row>
    <row r="3066" spans="1:2">
      <c r="A3066" s="14">
        <v>45410.567361000001</v>
      </c>
      <c r="B3066" s="15">
        <v>9.4535420000000006</v>
      </c>
    </row>
    <row r="3067" spans="1:2">
      <c r="A3067" s="14">
        <v>45410.568055999996</v>
      </c>
      <c r="B3067" s="15">
        <v>9.1632470000000001</v>
      </c>
    </row>
    <row r="3068" spans="1:2">
      <c r="A3068" s="14">
        <v>45410.568749999999</v>
      </c>
      <c r="B3068" s="15">
        <v>9.0932689999999994</v>
      </c>
    </row>
    <row r="3069" spans="1:2">
      <c r="A3069" s="14">
        <v>45410.569444000001</v>
      </c>
      <c r="B3069" s="15">
        <v>8.9837249999999997</v>
      </c>
    </row>
    <row r="3070" spans="1:2">
      <c r="A3070" s="14">
        <v>45410.570139000003</v>
      </c>
      <c r="B3070" s="15">
        <v>9.1244519999999998</v>
      </c>
    </row>
    <row r="3071" spans="1:2">
      <c r="A3071" s="14">
        <v>45410.570832999998</v>
      </c>
      <c r="B3071" s="15">
        <v>9.2638180000000006</v>
      </c>
    </row>
    <row r="3072" spans="1:2">
      <c r="A3072" s="14">
        <v>45410.571528</v>
      </c>
      <c r="B3072" s="15">
        <v>9.0782419999999995</v>
      </c>
    </row>
    <row r="3073" spans="1:2">
      <c r="A3073" s="14">
        <v>45410.572222000003</v>
      </c>
      <c r="B3073" s="15">
        <v>9.213635</v>
      </c>
    </row>
    <row r="3074" spans="1:2">
      <c r="A3074" s="14">
        <v>45410.572916999998</v>
      </c>
      <c r="B3074" s="15">
        <v>9.0703840000000007</v>
      </c>
    </row>
    <row r="3075" spans="1:2">
      <c r="A3075" s="14">
        <v>45410.573611</v>
      </c>
      <c r="B3075" s="15">
        <v>9.0481449999999999</v>
      </c>
    </row>
    <row r="3076" spans="1:2">
      <c r="A3076" s="14">
        <v>45410.574306000002</v>
      </c>
      <c r="B3076" s="15">
        <v>9.2294780000000003</v>
      </c>
    </row>
    <row r="3077" spans="1:2">
      <c r="A3077" s="14">
        <v>45410.574999999997</v>
      </c>
      <c r="B3077" s="15">
        <v>9.0876999999999999</v>
      </c>
    </row>
    <row r="3078" spans="1:2">
      <c r="A3078" s="14">
        <v>45410.575693999999</v>
      </c>
      <c r="B3078" s="15">
        <v>9.2298690000000008</v>
      </c>
    </row>
    <row r="3079" spans="1:2">
      <c r="A3079" s="14">
        <v>45410.576389000002</v>
      </c>
      <c r="B3079" s="15">
        <v>8.9528560000000006</v>
      </c>
    </row>
    <row r="3080" spans="1:2">
      <c r="A3080" s="14">
        <v>45410.577082999996</v>
      </c>
      <c r="B3080" s="15">
        <v>9.0991160000000004</v>
      </c>
    </row>
    <row r="3081" spans="1:2">
      <c r="A3081" s="14">
        <v>45410.577777999999</v>
      </c>
      <c r="B3081" s="15">
        <v>9.1957780000000007</v>
      </c>
    </row>
    <row r="3082" spans="1:2">
      <c r="A3082" s="14">
        <v>45410.578472000001</v>
      </c>
      <c r="B3082" s="15">
        <v>9.1634600000000006</v>
      </c>
    </row>
    <row r="3083" spans="1:2">
      <c r="A3083" s="14">
        <v>45410.579167000004</v>
      </c>
      <c r="B3083" s="15">
        <v>9.1395979999999994</v>
      </c>
    </row>
    <row r="3084" spans="1:2">
      <c r="A3084" s="14">
        <v>45410.579860999998</v>
      </c>
      <c r="B3084" s="15">
        <v>9.1993170000000006</v>
      </c>
    </row>
    <row r="3085" spans="1:2">
      <c r="A3085" s="14">
        <v>45410.580556000001</v>
      </c>
      <c r="B3085" s="15">
        <v>9.1211300000000008</v>
      </c>
    </row>
    <row r="3086" spans="1:2">
      <c r="A3086" s="14">
        <v>45410.581250000003</v>
      </c>
      <c r="B3086" s="15">
        <v>8.6793709999999997</v>
      </c>
    </row>
    <row r="3087" spans="1:2">
      <c r="A3087" s="14">
        <v>45410.581943999998</v>
      </c>
      <c r="B3087" s="15">
        <v>9.2345190000000006</v>
      </c>
    </row>
    <row r="3088" spans="1:2">
      <c r="A3088" s="14">
        <v>45410.582639</v>
      </c>
      <c r="B3088" s="15">
        <v>8.9940029999999993</v>
      </c>
    </row>
    <row r="3089" spans="1:2">
      <c r="A3089" s="14">
        <v>45410.583333000002</v>
      </c>
      <c r="B3089" s="15">
        <v>8.9622650000000004</v>
      </c>
    </row>
    <row r="3090" spans="1:2">
      <c r="A3090" s="14">
        <v>45410.584027999997</v>
      </c>
      <c r="B3090" s="15">
        <v>9.0674229999999998</v>
      </c>
    </row>
    <row r="3091" spans="1:2">
      <c r="A3091" s="14">
        <v>45410.584722</v>
      </c>
      <c r="B3091" s="15">
        <v>8.9049940000000003</v>
      </c>
    </row>
    <row r="3092" spans="1:2">
      <c r="A3092" s="14">
        <v>45410.585417000002</v>
      </c>
      <c r="B3092" s="15">
        <v>9.1001440000000002</v>
      </c>
    </row>
    <row r="3093" spans="1:2">
      <c r="A3093" s="14">
        <v>45410.586110999997</v>
      </c>
      <c r="B3093" s="15">
        <v>9.1997990000000005</v>
      </c>
    </row>
    <row r="3094" spans="1:2">
      <c r="A3094" s="14">
        <v>45410.586805999999</v>
      </c>
      <c r="B3094" s="15">
        <v>8.9858569999999993</v>
      </c>
    </row>
    <row r="3095" spans="1:2">
      <c r="A3095" s="14">
        <v>45410.587500000001</v>
      </c>
      <c r="B3095" s="15">
        <v>9.2950890000000008</v>
      </c>
    </row>
    <row r="3096" spans="1:2">
      <c r="A3096" s="14">
        <v>45410.588194000004</v>
      </c>
      <c r="B3096" s="15">
        <v>9.0772259999999996</v>
      </c>
    </row>
    <row r="3097" spans="1:2">
      <c r="A3097" s="14">
        <v>45410.588888999999</v>
      </c>
      <c r="B3097" s="15">
        <v>9.0101189999999995</v>
      </c>
    </row>
    <row r="3098" spans="1:2">
      <c r="A3098" s="14">
        <v>45410.589583000001</v>
      </c>
      <c r="B3098" s="15">
        <v>9.0493430000000004</v>
      </c>
    </row>
    <row r="3099" spans="1:2">
      <c r="A3099" s="14">
        <v>45410.590278000003</v>
      </c>
      <c r="B3099" s="15">
        <v>9.3332770000000007</v>
      </c>
    </row>
    <row r="3100" spans="1:2">
      <c r="A3100" s="14">
        <v>45410.590971999998</v>
      </c>
      <c r="B3100" s="15">
        <v>8.8643219999999996</v>
      </c>
    </row>
    <row r="3101" spans="1:2">
      <c r="A3101" s="14">
        <v>45410.591667000001</v>
      </c>
      <c r="B3101" s="15">
        <v>8.8011730000000004</v>
      </c>
    </row>
    <row r="3102" spans="1:2">
      <c r="A3102" s="14">
        <v>45410.592361000003</v>
      </c>
      <c r="B3102" s="15">
        <v>8.8769629999999999</v>
      </c>
    </row>
    <row r="3103" spans="1:2">
      <c r="A3103" s="14">
        <v>45410.593055999998</v>
      </c>
      <c r="B3103" s="15">
        <v>8.9813759999999991</v>
      </c>
    </row>
    <row r="3104" spans="1:2">
      <c r="A3104" s="14">
        <v>45410.59375</v>
      </c>
      <c r="B3104" s="15">
        <v>9.2453509999999994</v>
      </c>
    </row>
    <row r="3105" spans="1:2">
      <c r="A3105" s="14">
        <v>45410.594444000002</v>
      </c>
      <c r="B3105" s="15">
        <v>9.1931899999999995</v>
      </c>
    </row>
    <row r="3106" spans="1:2">
      <c r="A3106" s="14">
        <v>45410.595138999997</v>
      </c>
      <c r="B3106" s="15">
        <v>8.8940959999999993</v>
      </c>
    </row>
    <row r="3107" spans="1:2">
      <c r="A3107" s="14">
        <v>45410.595832999999</v>
      </c>
      <c r="B3107" s="15">
        <v>9.0955390000000005</v>
      </c>
    </row>
    <row r="3108" spans="1:2">
      <c r="A3108" s="14">
        <v>45410.596528000002</v>
      </c>
      <c r="B3108" s="15">
        <v>9.1451510000000003</v>
      </c>
    </row>
    <row r="3109" spans="1:2">
      <c r="A3109" s="14">
        <v>45410.597221999997</v>
      </c>
      <c r="B3109" s="15">
        <v>9.2264160000000004</v>
      </c>
    </row>
    <row r="3110" spans="1:2">
      <c r="A3110" s="14">
        <v>45410.597916999999</v>
      </c>
      <c r="B3110" s="15">
        <v>9.2020289999999996</v>
      </c>
    </row>
    <row r="3111" spans="1:2">
      <c r="A3111" s="14">
        <v>45410.598611000001</v>
      </c>
      <c r="B3111" s="15">
        <v>9.1220529999999993</v>
      </c>
    </row>
    <row r="3112" spans="1:2">
      <c r="A3112" s="14">
        <v>45410.599305999996</v>
      </c>
      <c r="B3112" s="15">
        <v>9.1574480000000005</v>
      </c>
    </row>
    <row r="3113" spans="1:2">
      <c r="A3113" s="14">
        <v>45410.6</v>
      </c>
      <c r="B3113" s="15">
        <v>9.0768989999999992</v>
      </c>
    </row>
    <row r="3114" spans="1:2">
      <c r="A3114" s="14">
        <v>45410.600694000001</v>
      </c>
      <c r="B3114" s="15">
        <v>9.1402210000000004</v>
      </c>
    </row>
    <row r="3115" spans="1:2">
      <c r="A3115" s="14">
        <v>45410.601389000003</v>
      </c>
      <c r="B3115" s="15">
        <v>9.1806789999999996</v>
      </c>
    </row>
    <row r="3116" spans="1:2">
      <c r="A3116" s="14">
        <v>45410.602082999998</v>
      </c>
      <c r="B3116" s="15">
        <v>8.9601310000000005</v>
      </c>
    </row>
    <row r="3117" spans="1:2">
      <c r="A3117" s="14">
        <v>45410.602778</v>
      </c>
      <c r="B3117" s="15">
        <v>8.8412450000000007</v>
      </c>
    </row>
    <row r="3118" spans="1:2">
      <c r="A3118" s="14">
        <v>45410.603472000003</v>
      </c>
      <c r="B3118" s="15">
        <v>8.8952249999999999</v>
      </c>
    </row>
    <row r="3119" spans="1:2">
      <c r="A3119" s="14">
        <v>45410.604166999998</v>
      </c>
      <c r="B3119" s="15">
        <v>9.0720460000000003</v>
      </c>
    </row>
    <row r="3120" spans="1:2">
      <c r="A3120" s="14">
        <v>45410.604861</v>
      </c>
      <c r="B3120" s="15">
        <v>9.3270850000000003</v>
      </c>
    </row>
    <row r="3121" spans="1:2">
      <c r="A3121" s="14">
        <v>45410.605556000002</v>
      </c>
      <c r="B3121" s="15">
        <v>9.2223769999999998</v>
      </c>
    </row>
    <row r="3122" spans="1:2">
      <c r="A3122" s="14">
        <v>45410.606249999997</v>
      </c>
      <c r="B3122" s="15">
        <v>9.0263399999999994</v>
      </c>
    </row>
    <row r="3123" spans="1:2">
      <c r="A3123" s="14">
        <v>45410.606943999999</v>
      </c>
      <c r="B3123" s="15">
        <v>9.2183089999999996</v>
      </c>
    </row>
    <row r="3124" spans="1:2">
      <c r="A3124" s="14">
        <v>45410.607639000002</v>
      </c>
      <c r="B3124" s="15">
        <v>9.1688980000000004</v>
      </c>
    </row>
    <row r="3125" spans="1:2">
      <c r="A3125" s="14">
        <v>45410.608332999996</v>
      </c>
      <c r="B3125" s="15">
        <v>9.1146060000000002</v>
      </c>
    </row>
    <row r="3126" spans="1:2">
      <c r="A3126" s="14">
        <v>45410.609027999999</v>
      </c>
      <c r="B3126" s="15">
        <v>9.0741639999999997</v>
      </c>
    </row>
    <row r="3127" spans="1:2">
      <c r="A3127" s="14">
        <v>45410.609722000001</v>
      </c>
      <c r="B3127" s="15">
        <v>8.7012549999999997</v>
      </c>
    </row>
    <row r="3128" spans="1:2">
      <c r="A3128" s="14">
        <v>45410.610417000004</v>
      </c>
      <c r="B3128" s="15">
        <v>9.2192500000000006</v>
      </c>
    </row>
    <row r="3129" spans="1:2">
      <c r="A3129" s="14">
        <v>45410.611110999998</v>
      </c>
      <c r="B3129" s="15">
        <v>9.1991859999999992</v>
      </c>
    </row>
    <row r="3130" spans="1:2">
      <c r="A3130" s="14">
        <v>45410.611806000001</v>
      </c>
      <c r="B3130" s="15">
        <v>8.9348880000000008</v>
      </c>
    </row>
    <row r="3131" spans="1:2">
      <c r="A3131" s="14">
        <v>45410.612500000003</v>
      </c>
      <c r="B3131" s="15">
        <v>8.9936450000000008</v>
      </c>
    </row>
    <row r="3132" spans="1:2">
      <c r="A3132" s="14">
        <v>45410.613193999998</v>
      </c>
      <c r="B3132" s="15">
        <v>9.0629439999999999</v>
      </c>
    </row>
    <row r="3133" spans="1:2">
      <c r="A3133" s="14">
        <v>45410.613889</v>
      </c>
      <c r="B3133" s="15">
        <v>9.1704489999999996</v>
      </c>
    </row>
    <row r="3134" spans="1:2">
      <c r="A3134" s="14">
        <v>45410.614583000002</v>
      </c>
      <c r="B3134" s="15">
        <v>8.775226</v>
      </c>
    </row>
    <row r="3135" spans="1:2">
      <c r="A3135" s="14">
        <v>45410.615277999997</v>
      </c>
      <c r="B3135" s="15">
        <v>9.1956509999999998</v>
      </c>
    </row>
    <row r="3136" spans="1:2">
      <c r="A3136" s="14">
        <v>45410.615972</v>
      </c>
      <c r="B3136" s="15">
        <v>9.1678080000000008</v>
      </c>
    </row>
    <row r="3137" spans="1:2">
      <c r="A3137" s="14">
        <v>45410.616667000002</v>
      </c>
      <c r="B3137" s="15">
        <v>8.8749009999999995</v>
      </c>
    </row>
    <row r="3138" spans="1:2">
      <c r="A3138" s="14">
        <v>45410.617360999997</v>
      </c>
      <c r="B3138" s="15">
        <v>9.2729330000000001</v>
      </c>
    </row>
    <row r="3139" spans="1:2">
      <c r="A3139" s="14">
        <v>45410.618055999999</v>
      </c>
      <c r="B3139" s="15">
        <v>8.8789440000000006</v>
      </c>
    </row>
    <row r="3140" spans="1:2">
      <c r="A3140" s="14">
        <v>45410.618750000001</v>
      </c>
      <c r="B3140" s="15">
        <v>8.9127120000000009</v>
      </c>
    </row>
    <row r="3141" spans="1:2">
      <c r="A3141" s="14">
        <v>45410.619444000004</v>
      </c>
      <c r="B3141" s="15">
        <v>9.0252809999999997</v>
      </c>
    </row>
    <row r="3142" spans="1:2">
      <c r="A3142" s="14">
        <v>45410.620138999999</v>
      </c>
      <c r="B3142" s="15">
        <v>8.9433790000000002</v>
      </c>
    </row>
    <row r="3143" spans="1:2">
      <c r="A3143" s="14">
        <v>45410.620833000001</v>
      </c>
      <c r="B3143" s="15">
        <v>9.3046520000000008</v>
      </c>
    </row>
    <row r="3144" spans="1:2">
      <c r="A3144" s="14">
        <v>45410.621528000003</v>
      </c>
      <c r="B3144" s="15">
        <v>8.788551</v>
      </c>
    </row>
    <row r="3145" spans="1:2">
      <c r="A3145" s="14">
        <v>45410.622221999998</v>
      </c>
      <c r="B3145" s="15">
        <v>9.5339899999999993</v>
      </c>
    </row>
    <row r="3146" spans="1:2">
      <c r="A3146" s="14">
        <v>45410.622917000001</v>
      </c>
      <c r="B3146" s="15">
        <v>8.8756380000000004</v>
      </c>
    </row>
    <row r="3147" spans="1:2">
      <c r="A3147" s="14">
        <v>45410.623611000003</v>
      </c>
      <c r="B3147" s="15">
        <v>9.170731</v>
      </c>
    </row>
    <row r="3148" spans="1:2">
      <c r="A3148" s="14">
        <v>45410.624305999998</v>
      </c>
      <c r="B3148" s="15">
        <v>8.8464019999999994</v>
      </c>
    </row>
    <row r="3149" spans="1:2">
      <c r="A3149" s="14">
        <v>45410.625</v>
      </c>
      <c r="B3149" s="15">
        <v>9.0187790000000003</v>
      </c>
    </row>
    <row r="3150" spans="1:2">
      <c r="A3150" s="14">
        <v>45410.625694000002</v>
      </c>
      <c r="B3150" s="15">
        <v>9.2924749999999996</v>
      </c>
    </row>
    <row r="3151" spans="1:2">
      <c r="A3151" s="14">
        <v>45410.626388999997</v>
      </c>
      <c r="B3151" s="15">
        <v>8.9587800000000009</v>
      </c>
    </row>
    <row r="3152" spans="1:2">
      <c r="A3152" s="14">
        <v>45410.627082999999</v>
      </c>
      <c r="B3152" s="15">
        <v>8.9799550000000004</v>
      </c>
    </row>
    <row r="3153" spans="1:2">
      <c r="A3153" s="14">
        <v>45410.627778000002</v>
      </c>
      <c r="B3153" s="15">
        <v>8.8434779999999993</v>
      </c>
    </row>
    <row r="3154" spans="1:2">
      <c r="A3154" s="14">
        <v>45410.628471999997</v>
      </c>
      <c r="B3154" s="15">
        <v>9.1766330000000007</v>
      </c>
    </row>
    <row r="3155" spans="1:2">
      <c r="A3155" s="14">
        <v>45410.629166999999</v>
      </c>
      <c r="B3155" s="15">
        <v>9.0345270000000006</v>
      </c>
    </row>
    <row r="3156" spans="1:2">
      <c r="A3156" s="14">
        <v>45410.629861000001</v>
      </c>
      <c r="B3156" s="15">
        <v>9.0436709999999998</v>
      </c>
    </row>
    <row r="3157" spans="1:2">
      <c r="A3157" s="14">
        <v>45410.630555999996</v>
      </c>
      <c r="B3157" s="15">
        <v>9.2129910000000006</v>
      </c>
    </row>
    <row r="3158" spans="1:2">
      <c r="A3158" s="14">
        <v>45410.631249999999</v>
      </c>
      <c r="B3158" s="15">
        <v>9.2355640000000001</v>
      </c>
    </row>
    <row r="3159" spans="1:2">
      <c r="A3159" s="14">
        <v>45410.631944000001</v>
      </c>
      <c r="B3159" s="15">
        <v>8.7687069999999991</v>
      </c>
    </row>
    <row r="3160" spans="1:2">
      <c r="A3160" s="14">
        <v>45410.632639000003</v>
      </c>
      <c r="B3160" s="15">
        <v>8.9258500000000005</v>
      </c>
    </row>
    <row r="3161" spans="1:2">
      <c r="A3161" s="14">
        <v>45410.633332999998</v>
      </c>
      <c r="B3161" s="15">
        <v>8.7801869999999997</v>
      </c>
    </row>
    <row r="3162" spans="1:2">
      <c r="A3162" s="14">
        <v>45410.634028</v>
      </c>
      <c r="B3162" s="15">
        <v>9.1316100000000002</v>
      </c>
    </row>
    <row r="3163" spans="1:2">
      <c r="A3163" s="14">
        <v>45410.634722000003</v>
      </c>
      <c r="B3163" s="15">
        <v>9.0374780000000001</v>
      </c>
    </row>
    <row r="3164" spans="1:2">
      <c r="A3164" s="14">
        <v>45410.635416999998</v>
      </c>
      <c r="B3164" s="15">
        <v>8.9913399999999992</v>
      </c>
    </row>
    <row r="3165" spans="1:2">
      <c r="A3165" s="14">
        <v>45410.636111</v>
      </c>
      <c r="B3165" s="15">
        <v>9.0304079999999995</v>
      </c>
    </row>
    <row r="3166" spans="1:2">
      <c r="A3166" s="14">
        <v>45410.636806000002</v>
      </c>
      <c r="B3166" s="15">
        <v>9.0444980000000008</v>
      </c>
    </row>
    <row r="3167" spans="1:2">
      <c r="A3167" s="14">
        <v>45410.637499999997</v>
      </c>
      <c r="B3167" s="15">
        <v>9.0604859999999992</v>
      </c>
    </row>
    <row r="3168" spans="1:2">
      <c r="A3168" s="14">
        <v>45410.638193999999</v>
      </c>
      <c r="B3168" s="15">
        <v>8.8921069999999993</v>
      </c>
    </row>
    <row r="3169" spans="1:2">
      <c r="A3169" s="14">
        <v>45410.638889000002</v>
      </c>
      <c r="B3169" s="15">
        <v>8.8955219999999997</v>
      </c>
    </row>
    <row r="3170" spans="1:2">
      <c r="A3170" s="14">
        <v>45410.639582999996</v>
      </c>
      <c r="B3170" s="15">
        <v>9.0750969999999995</v>
      </c>
    </row>
    <row r="3171" spans="1:2">
      <c r="A3171" s="14">
        <v>45410.640277999999</v>
      </c>
      <c r="B3171" s="15">
        <v>9.1716669999999993</v>
      </c>
    </row>
    <row r="3172" spans="1:2">
      <c r="A3172" s="14">
        <v>45410.640972000001</v>
      </c>
      <c r="B3172" s="15">
        <v>9.0293620000000008</v>
      </c>
    </row>
    <row r="3173" spans="1:2">
      <c r="A3173" s="14">
        <v>45410.641667000004</v>
      </c>
      <c r="B3173" s="15">
        <v>8.8797379999999997</v>
      </c>
    </row>
    <row r="3174" spans="1:2">
      <c r="A3174" s="14">
        <v>45410.642360999998</v>
      </c>
      <c r="B3174" s="15">
        <v>8.9432170000000006</v>
      </c>
    </row>
    <row r="3175" spans="1:2">
      <c r="A3175" s="14">
        <v>45410.643056000001</v>
      </c>
      <c r="B3175" s="15">
        <v>8.7862910000000003</v>
      </c>
    </row>
    <row r="3176" spans="1:2">
      <c r="A3176" s="14">
        <v>45410.643750000003</v>
      </c>
      <c r="B3176" s="15">
        <v>9.1321130000000004</v>
      </c>
    </row>
    <row r="3177" spans="1:2">
      <c r="A3177" s="14">
        <v>45410.644443999998</v>
      </c>
      <c r="B3177" s="15">
        <v>9.0479079999999996</v>
      </c>
    </row>
    <row r="3178" spans="1:2">
      <c r="A3178" s="14">
        <v>45410.645139</v>
      </c>
      <c r="B3178" s="15">
        <v>8.9434769999999997</v>
      </c>
    </row>
    <row r="3179" spans="1:2">
      <c r="A3179" s="14">
        <v>45410.645833000002</v>
      </c>
      <c r="B3179" s="15">
        <v>8.8630669999999991</v>
      </c>
    </row>
    <row r="3180" spans="1:2">
      <c r="A3180" s="14">
        <v>45410.646527999997</v>
      </c>
      <c r="B3180" s="15">
        <v>8.7019830000000002</v>
      </c>
    </row>
    <row r="3181" spans="1:2">
      <c r="A3181" s="14">
        <v>45410.647222</v>
      </c>
      <c r="B3181" s="15">
        <v>8.7630429999999997</v>
      </c>
    </row>
    <row r="3182" spans="1:2">
      <c r="A3182" s="14">
        <v>45410.647917000002</v>
      </c>
      <c r="B3182" s="15">
        <v>9.1026790000000002</v>
      </c>
    </row>
    <row r="3183" spans="1:2">
      <c r="A3183" s="14">
        <v>45410.648610999997</v>
      </c>
      <c r="B3183" s="15">
        <v>8.9008230000000008</v>
      </c>
    </row>
    <row r="3184" spans="1:2">
      <c r="A3184" s="14">
        <v>45410.649305999999</v>
      </c>
      <c r="B3184" s="15">
        <v>9.2589570000000005</v>
      </c>
    </row>
    <row r="3185" spans="1:2">
      <c r="A3185" s="14">
        <v>45410.65</v>
      </c>
      <c r="B3185" s="15">
        <v>8.8727599999999995</v>
      </c>
    </row>
    <row r="3186" spans="1:2">
      <c r="A3186" s="14">
        <v>45410.650694000004</v>
      </c>
      <c r="B3186" s="15">
        <v>8.6986760000000007</v>
      </c>
    </row>
    <row r="3187" spans="1:2">
      <c r="A3187" s="14">
        <v>45410.651388999999</v>
      </c>
      <c r="B3187" s="15">
        <v>9.0678859999999997</v>
      </c>
    </row>
    <row r="3188" spans="1:2">
      <c r="A3188" s="14">
        <v>45410.652083000001</v>
      </c>
      <c r="B3188" s="15">
        <v>8.9306699999999992</v>
      </c>
    </row>
    <row r="3189" spans="1:2">
      <c r="A3189" s="14">
        <v>45410.652778000003</v>
      </c>
      <c r="B3189" s="15">
        <v>8.9589370000000006</v>
      </c>
    </row>
    <row r="3190" spans="1:2">
      <c r="A3190" s="14">
        <v>45410.653471999998</v>
      </c>
      <c r="B3190" s="15">
        <v>9.1414729999999995</v>
      </c>
    </row>
    <row r="3191" spans="1:2">
      <c r="A3191" s="14">
        <v>45410.654167000001</v>
      </c>
      <c r="B3191" s="15">
        <v>8.9947929999999996</v>
      </c>
    </row>
    <row r="3192" spans="1:2">
      <c r="A3192" s="14">
        <v>45410.654861000003</v>
      </c>
      <c r="B3192" s="15">
        <v>9.0966930000000001</v>
      </c>
    </row>
    <row r="3193" spans="1:2">
      <c r="A3193" s="14">
        <v>45410.655555999998</v>
      </c>
      <c r="B3193" s="15">
        <v>8.8826590000000003</v>
      </c>
    </row>
    <row r="3194" spans="1:2">
      <c r="A3194" s="14">
        <v>45410.65625</v>
      </c>
      <c r="B3194" s="15">
        <v>9.0978739999999991</v>
      </c>
    </row>
    <row r="3195" spans="1:2">
      <c r="A3195" s="14">
        <v>45410.656944000002</v>
      </c>
      <c r="B3195" s="15">
        <v>9.1218599999999999</v>
      </c>
    </row>
    <row r="3196" spans="1:2">
      <c r="A3196" s="14">
        <v>45410.657638999997</v>
      </c>
      <c r="B3196" s="15">
        <v>8.6680109999999999</v>
      </c>
    </row>
    <row r="3197" spans="1:2">
      <c r="A3197" s="14">
        <v>45410.658332999999</v>
      </c>
      <c r="B3197" s="15">
        <v>7.6801680000000001</v>
      </c>
    </row>
    <row r="3198" spans="1:2">
      <c r="A3198" s="14">
        <v>45410.659028000002</v>
      </c>
      <c r="B3198" s="15">
        <v>7.4540990000000003</v>
      </c>
    </row>
    <row r="3199" spans="1:2">
      <c r="A3199" s="14">
        <v>45410.659721999997</v>
      </c>
      <c r="B3199" s="15">
        <v>7.8406599999999997</v>
      </c>
    </row>
    <row r="3200" spans="1:2">
      <c r="A3200" s="14">
        <v>45410.660416999999</v>
      </c>
      <c r="B3200" s="15">
        <v>7.6621790000000001</v>
      </c>
    </row>
    <row r="3201" spans="1:2">
      <c r="A3201" s="14">
        <v>45410.661111000001</v>
      </c>
      <c r="B3201" s="15">
        <v>7.944172</v>
      </c>
    </row>
    <row r="3202" spans="1:2">
      <c r="A3202" s="14">
        <v>45410.661805999996</v>
      </c>
      <c r="B3202" s="15">
        <v>7.8647109999999998</v>
      </c>
    </row>
    <row r="3203" spans="1:2">
      <c r="A3203" s="14">
        <v>45410.662499999999</v>
      </c>
      <c r="B3203" s="15">
        <v>7.8593840000000004</v>
      </c>
    </row>
    <row r="3204" spans="1:2">
      <c r="A3204" s="14">
        <v>45410.663194000001</v>
      </c>
      <c r="B3204" s="15">
        <v>7.954116</v>
      </c>
    </row>
    <row r="3205" spans="1:2">
      <c r="A3205" s="14">
        <v>45410.663889000003</v>
      </c>
      <c r="B3205" s="15">
        <v>7.940887</v>
      </c>
    </row>
    <row r="3206" spans="1:2">
      <c r="A3206" s="14">
        <v>45410.664582999998</v>
      </c>
      <c r="B3206" s="15">
        <v>7.7719659999999999</v>
      </c>
    </row>
    <row r="3207" spans="1:2">
      <c r="A3207" s="14">
        <v>45410.665278</v>
      </c>
      <c r="B3207" s="15">
        <v>8.0308689999999991</v>
      </c>
    </row>
    <row r="3208" spans="1:2">
      <c r="A3208" s="14">
        <v>45410.665972000003</v>
      </c>
      <c r="B3208" s="15">
        <v>8.0850279999999994</v>
      </c>
    </row>
    <row r="3209" spans="1:2">
      <c r="A3209" s="14">
        <v>45410.666666999998</v>
      </c>
      <c r="B3209" s="15">
        <v>7.5933789999999997</v>
      </c>
    </row>
    <row r="3210" spans="1:2">
      <c r="A3210" s="14">
        <v>45410.667361</v>
      </c>
      <c r="B3210" s="15">
        <v>7.7805710000000001</v>
      </c>
    </row>
    <row r="3211" spans="1:2">
      <c r="A3211" s="14">
        <v>45410.668056000002</v>
      </c>
      <c r="B3211" s="15">
        <v>7.829955</v>
      </c>
    </row>
    <row r="3212" spans="1:2">
      <c r="A3212" s="14">
        <v>45410.668749999997</v>
      </c>
      <c r="B3212" s="15">
        <v>7.7520619999999996</v>
      </c>
    </row>
    <row r="3213" spans="1:2">
      <c r="A3213" s="14">
        <v>45410.669443999999</v>
      </c>
      <c r="B3213" s="15">
        <v>7.875413</v>
      </c>
    </row>
    <row r="3214" spans="1:2">
      <c r="A3214" s="14">
        <v>45410.670139000002</v>
      </c>
      <c r="B3214" s="15">
        <v>7.8822349999999997</v>
      </c>
    </row>
    <row r="3215" spans="1:2">
      <c r="A3215" s="14">
        <v>45410.670832999996</v>
      </c>
      <c r="B3215" s="15">
        <v>7.8974099999999998</v>
      </c>
    </row>
    <row r="3216" spans="1:2">
      <c r="A3216" s="14">
        <v>45410.671527999999</v>
      </c>
      <c r="B3216" s="15">
        <v>7.885262</v>
      </c>
    </row>
    <row r="3217" spans="1:2">
      <c r="A3217" s="14">
        <v>45410.672222000001</v>
      </c>
      <c r="B3217" s="15">
        <v>7.877427</v>
      </c>
    </row>
    <row r="3218" spans="1:2">
      <c r="A3218" s="14">
        <v>45410.672917000004</v>
      </c>
      <c r="B3218" s="15">
        <v>7.8978400000000004</v>
      </c>
    </row>
    <row r="3219" spans="1:2">
      <c r="A3219" s="14">
        <v>45410.673610999998</v>
      </c>
      <c r="B3219" s="15">
        <v>7.8882440000000003</v>
      </c>
    </row>
    <row r="3220" spans="1:2">
      <c r="A3220" s="14">
        <v>45410.674306000001</v>
      </c>
      <c r="B3220" s="15">
        <v>7.7828160000000004</v>
      </c>
    </row>
    <row r="3221" spans="1:2">
      <c r="A3221" s="14">
        <v>45410.675000000003</v>
      </c>
      <c r="B3221" s="15">
        <v>7.8799650000000003</v>
      </c>
    </row>
    <row r="3222" spans="1:2">
      <c r="A3222" s="14">
        <v>45410.675693999998</v>
      </c>
      <c r="B3222" s="15">
        <v>7.908099</v>
      </c>
    </row>
    <row r="3223" spans="1:2">
      <c r="A3223" s="14">
        <v>45410.676389</v>
      </c>
      <c r="B3223" s="15">
        <v>7.7829769999999998</v>
      </c>
    </row>
    <row r="3224" spans="1:2">
      <c r="A3224" s="14">
        <v>45410.677083000002</v>
      </c>
      <c r="B3224" s="15">
        <v>7.8255100000000004</v>
      </c>
    </row>
    <row r="3225" spans="1:2">
      <c r="A3225" s="14">
        <v>45410.677777999997</v>
      </c>
      <c r="B3225" s="15">
        <v>7.6983139999999999</v>
      </c>
    </row>
    <row r="3226" spans="1:2">
      <c r="A3226" s="14">
        <v>45410.678472</v>
      </c>
      <c r="B3226" s="15">
        <v>7.4320079999999997</v>
      </c>
    </row>
    <row r="3227" spans="1:2">
      <c r="A3227" s="14">
        <v>45410.679167000002</v>
      </c>
      <c r="B3227" s="15">
        <v>7.7477669999999996</v>
      </c>
    </row>
    <row r="3228" spans="1:2">
      <c r="A3228" s="14">
        <v>45410.679860999997</v>
      </c>
      <c r="B3228" s="15">
        <v>7.6042269999999998</v>
      </c>
    </row>
    <row r="3229" spans="1:2">
      <c r="A3229" s="14">
        <v>45410.680555999999</v>
      </c>
      <c r="B3229" s="15">
        <v>7.8550950000000004</v>
      </c>
    </row>
    <row r="3230" spans="1:2">
      <c r="A3230" s="14">
        <v>45410.681250000001</v>
      </c>
      <c r="B3230" s="15">
        <v>7.8286699999999998</v>
      </c>
    </row>
    <row r="3231" spans="1:2">
      <c r="A3231" s="14">
        <v>45410.681944000004</v>
      </c>
      <c r="B3231" s="15">
        <v>7.7769550000000001</v>
      </c>
    </row>
    <row r="3232" spans="1:2">
      <c r="A3232" s="14">
        <v>45410.682638999999</v>
      </c>
      <c r="B3232" s="15">
        <v>7.8272009999999996</v>
      </c>
    </row>
    <row r="3233" spans="1:2">
      <c r="A3233" s="14">
        <v>45410.683333000001</v>
      </c>
      <c r="B3233" s="15">
        <v>7.8033929999999998</v>
      </c>
    </row>
    <row r="3234" spans="1:2">
      <c r="A3234" s="14">
        <v>45410.684028000003</v>
      </c>
      <c r="B3234" s="15">
        <v>8.2808309999999992</v>
      </c>
    </row>
    <row r="3235" spans="1:2">
      <c r="A3235" s="14">
        <v>45410.684721999998</v>
      </c>
      <c r="B3235" s="15">
        <v>7.7488619999999999</v>
      </c>
    </row>
    <row r="3236" spans="1:2">
      <c r="A3236" s="14">
        <v>45410.685417000001</v>
      </c>
      <c r="B3236" s="15">
        <v>7.5695579999999998</v>
      </c>
    </row>
    <row r="3237" spans="1:2">
      <c r="A3237" s="14">
        <v>45410.686111000003</v>
      </c>
      <c r="B3237" s="15">
        <v>7.748977</v>
      </c>
    </row>
    <row r="3238" spans="1:2">
      <c r="A3238" s="14">
        <v>45410.686805999998</v>
      </c>
      <c r="B3238" s="15">
        <v>7.8966830000000003</v>
      </c>
    </row>
    <row r="3239" spans="1:2">
      <c r="A3239" s="14">
        <v>45410.6875</v>
      </c>
      <c r="B3239" s="15">
        <v>7.7410810000000003</v>
      </c>
    </row>
    <row r="3240" spans="1:2">
      <c r="A3240" s="14">
        <v>45410.688194000002</v>
      </c>
      <c r="B3240" s="15">
        <v>7.928598</v>
      </c>
    </row>
    <row r="3241" spans="1:2">
      <c r="A3241" s="14">
        <v>45410.688888999997</v>
      </c>
      <c r="B3241" s="15">
        <v>7.6251699999999998</v>
      </c>
    </row>
    <row r="3242" spans="1:2">
      <c r="A3242" s="14">
        <v>45410.689582999999</v>
      </c>
      <c r="B3242" s="15">
        <v>7.8057569999999998</v>
      </c>
    </row>
    <row r="3243" spans="1:2">
      <c r="A3243" s="14">
        <v>45410.690278000002</v>
      </c>
      <c r="B3243" s="15">
        <v>7.7205899999999996</v>
      </c>
    </row>
    <row r="3244" spans="1:2">
      <c r="A3244" s="14">
        <v>45410.690971999997</v>
      </c>
      <c r="B3244" s="15">
        <v>7.789345</v>
      </c>
    </row>
    <row r="3245" spans="1:2">
      <c r="A3245" s="14">
        <v>45410.691666999999</v>
      </c>
      <c r="B3245" s="15">
        <v>7.9541120000000003</v>
      </c>
    </row>
    <row r="3246" spans="1:2">
      <c r="A3246" s="14">
        <v>45410.692361000001</v>
      </c>
      <c r="B3246" s="15">
        <v>7.6529069999999999</v>
      </c>
    </row>
    <row r="3247" spans="1:2">
      <c r="A3247" s="14">
        <v>45410.693055999996</v>
      </c>
      <c r="B3247" s="15">
        <v>7.7977759999999998</v>
      </c>
    </row>
    <row r="3248" spans="1:2">
      <c r="A3248" s="14">
        <v>45410.693749999999</v>
      </c>
      <c r="B3248" s="15">
        <v>7.727309</v>
      </c>
    </row>
    <row r="3249" spans="1:2">
      <c r="A3249" s="14">
        <v>45410.694444000001</v>
      </c>
      <c r="B3249" s="15">
        <v>7.5646550000000001</v>
      </c>
    </row>
    <row r="3250" spans="1:2">
      <c r="A3250" s="14">
        <v>45410.695139000003</v>
      </c>
      <c r="B3250" s="15">
        <v>7.584212</v>
      </c>
    </row>
    <row r="3251" spans="1:2">
      <c r="A3251" s="14">
        <v>45410.695832999998</v>
      </c>
      <c r="B3251" s="15">
        <v>7.7171130000000003</v>
      </c>
    </row>
    <row r="3252" spans="1:2">
      <c r="A3252" s="14">
        <v>45410.696528</v>
      </c>
      <c r="B3252" s="15">
        <v>7.7299689999999996</v>
      </c>
    </row>
    <row r="3253" spans="1:2">
      <c r="A3253" s="14">
        <v>45410.697222000003</v>
      </c>
      <c r="B3253" s="15">
        <v>7.721095</v>
      </c>
    </row>
    <row r="3254" spans="1:2">
      <c r="A3254" s="14">
        <v>45410.697916999998</v>
      </c>
      <c r="B3254" s="15">
        <v>8.0349059999999994</v>
      </c>
    </row>
    <row r="3255" spans="1:2">
      <c r="A3255" s="14">
        <v>45410.698611</v>
      </c>
      <c r="B3255" s="15">
        <v>7.6683459999999997</v>
      </c>
    </row>
    <row r="3256" spans="1:2">
      <c r="A3256" s="14">
        <v>45410.699306000002</v>
      </c>
      <c r="B3256" s="15">
        <v>7.5073610000000004</v>
      </c>
    </row>
    <row r="3257" spans="1:2">
      <c r="A3257" s="14">
        <v>45410.7</v>
      </c>
      <c r="B3257" s="15">
        <v>7.6293620000000004</v>
      </c>
    </row>
    <row r="3258" spans="1:2">
      <c r="A3258" s="14">
        <v>45410.700693999999</v>
      </c>
      <c r="B3258" s="15">
        <v>7.9382539999999997</v>
      </c>
    </row>
    <row r="3259" spans="1:2">
      <c r="A3259" s="14">
        <v>45410.701389000002</v>
      </c>
      <c r="B3259" s="15">
        <v>7.846635</v>
      </c>
    </row>
    <row r="3260" spans="1:2">
      <c r="A3260" s="14">
        <v>45410.702082999996</v>
      </c>
      <c r="B3260" s="15">
        <v>7.5699069999999997</v>
      </c>
    </row>
    <row r="3261" spans="1:2">
      <c r="A3261" s="14">
        <v>45410.702777999999</v>
      </c>
      <c r="B3261" s="15">
        <v>7.8242890000000003</v>
      </c>
    </row>
    <row r="3262" spans="1:2">
      <c r="A3262" s="14">
        <v>45410.703472000001</v>
      </c>
      <c r="B3262" s="15">
        <v>7.6636179999999996</v>
      </c>
    </row>
    <row r="3263" spans="1:2">
      <c r="A3263" s="14">
        <v>45410.704167000004</v>
      </c>
      <c r="B3263" s="15">
        <v>7.4935429999999998</v>
      </c>
    </row>
    <row r="3264" spans="1:2">
      <c r="A3264" s="14">
        <v>45410.704860999998</v>
      </c>
      <c r="B3264" s="15">
        <v>7.654331</v>
      </c>
    </row>
    <row r="3265" spans="1:2">
      <c r="A3265" s="14">
        <v>45410.705556000001</v>
      </c>
      <c r="B3265" s="15">
        <v>7.6510389999999999</v>
      </c>
    </row>
    <row r="3266" spans="1:2">
      <c r="A3266" s="14">
        <v>45410.706250000003</v>
      </c>
      <c r="B3266" s="15">
        <v>7.5147139999999997</v>
      </c>
    </row>
    <row r="3267" spans="1:2">
      <c r="A3267" s="14">
        <v>45410.706943999998</v>
      </c>
      <c r="B3267" s="15">
        <v>7.5471000000000004</v>
      </c>
    </row>
    <row r="3268" spans="1:2">
      <c r="A3268" s="14">
        <v>45410.707639</v>
      </c>
      <c r="B3268" s="15">
        <v>7.5884349999999996</v>
      </c>
    </row>
    <row r="3269" spans="1:2">
      <c r="A3269" s="14">
        <v>45410.708333000002</v>
      </c>
      <c r="B3269" s="15">
        <v>7.5734320000000004</v>
      </c>
    </row>
    <row r="3270" spans="1:2">
      <c r="A3270" s="14">
        <v>45410.709027999997</v>
      </c>
      <c r="B3270" s="15">
        <v>7.4581379999999999</v>
      </c>
    </row>
    <row r="3271" spans="1:2">
      <c r="A3271" s="14">
        <v>45410.709722</v>
      </c>
      <c r="B3271" s="15">
        <v>7.763744</v>
      </c>
    </row>
    <row r="3272" spans="1:2">
      <c r="A3272" s="14">
        <v>45410.710417000002</v>
      </c>
      <c r="B3272" s="15">
        <v>7.5506679999999999</v>
      </c>
    </row>
    <row r="3273" spans="1:2">
      <c r="A3273" s="14">
        <v>45410.711110999997</v>
      </c>
      <c r="B3273" s="15">
        <v>7.6036320000000002</v>
      </c>
    </row>
    <row r="3274" spans="1:2">
      <c r="A3274" s="14">
        <v>45410.711805999999</v>
      </c>
      <c r="B3274" s="15">
        <v>7.6834519999999999</v>
      </c>
    </row>
    <row r="3275" spans="1:2">
      <c r="A3275" s="14">
        <v>45410.712500000001</v>
      </c>
      <c r="B3275" s="15">
        <v>7.6346850000000002</v>
      </c>
    </row>
    <row r="3276" spans="1:2">
      <c r="A3276" s="14">
        <v>45410.713194000004</v>
      </c>
      <c r="B3276" s="15">
        <v>7.3726330000000004</v>
      </c>
    </row>
    <row r="3277" spans="1:2">
      <c r="A3277" s="14">
        <v>45410.713888999999</v>
      </c>
      <c r="B3277" s="15">
        <v>7.2791370000000004</v>
      </c>
    </row>
    <row r="3278" spans="1:2">
      <c r="A3278" s="14">
        <v>45410.714583000001</v>
      </c>
      <c r="B3278" s="15">
        <v>7.489528</v>
      </c>
    </row>
    <row r="3279" spans="1:2">
      <c r="A3279" s="14">
        <v>45410.715278000003</v>
      </c>
      <c r="B3279" s="15">
        <v>7.4544499999999996</v>
      </c>
    </row>
    <row r="3280" spans="1:2">
      <c r="A3280" s="14">
        <v>45410.715971999998</v>
      </c>
      <c r="B3280" s="15">
        <v>7.3780039999999998</v>
      </c>
    </row>
    <row r="3281" spans="1:2">
      <c r="A3281" s="14">
        <v>45410.716667000001</v>
      </c>
      <c r="B3281" s="15">
        <v>7.7611210000000002</v>
      </c>
    </row>
    <row r="3282" spans="1:2">
      <c r="A3282" s="14">
        <v>45410.717361000003</v>
      </c>
      <c r="B3282" s="15">
        <v>7.5435699999999999</v>
      </c>
    </row>
    <row r="3283" spans="1:2">
      <c r="A3283" s="14">
        <v>45410.718055999998</v>
      </c>
      <c r="B3283" s="15">
        <v>7.5358309999999999</v>
      </c>
    </row>
    <row r="3284" spans="1:2">
      <c r="A3284" s="14">
        <v>45410.71875</v>
      </c>
      <c r="B3284" s="15">
        <v>7.6024099999999999</v>
      </c>
    </row>
    <row r="3285" spans="1:2">
      <c r="A3285" s="14">
        <v>45410.719444000002</v>
      </c>
      <c r="B3285" s="15">
        <v>7.5873049999999997</v>
      </c>
    </row>
    <row r="3286" spans="1:2">
      <c r="A3286" s="14">
        <v>45410.720138999997</v>
      </c>
      <c r="B3286" s="15">
        <v>7.5058619999999996</v>
      </c>
    </row>
    <row r="3287" spans="1:2">
      <c r="A3287" s="14">
        <v>45410.720832999999</v>
      </c>
      <c r="B3287" s="15">
        <v>7.8030020000000002</v>
      </c>
    </row>
    <row r="3288" spans="1:2">
      <c r="A3288" s="14">
        <v>45410.721528000002</v>
      </c>
      <c r="B3288" s="15">
        <v>7.3322789999999998</v>
      </c>
    </row>
    <row r="3289" spans="1:2">
      <c r="A3289" s="14">
        <v>45410.722221999997</v>
      </c>
      <c r="B3289" s="15">
        <v>7.4900960000000003</v>
      </c>
    </row>
    <row r="3290" spans="1:2">
      <c r="A3290" s="14">
        <v>45410.722916999999</v>
      </c>
      <c r="B3290" s="15">
        <v>7.4461760000000004</v>
      </c>
    </row>
    <row r="3291" spans="1:2">
      <c r="A3291" s="14">
        <v>45410.723611000001</v>
      </c>
      <c r="B3291" s="15">
        <v>7.3196539999999999</v>
      </c>
    </row>
    <row r="3292" spans="1:2">
      <c r="A3292" s="14">
        <v>45410.724305999996</v>
      </c>
      <c r="B3292" s="15">
        <v>7.4141849999999998</v>
      </c>
    </row>
    <row r="3293" spans="1:2">
      <c r="A3293" s="14">
        <v>45410.724999999999</v>
      </c>
      <c r="B3293" s="15">
        <v>7.7994370000000002</v>
      </c>
    </row>
    <row r="3294" spans="1:2">
      <c r="A3294" s="14">
        <v>45410.725694000001</v>
      </c>
      <c r="B3294" s="15">
        <v>7.3587340000000001</v>
      </c>
    </row>
    <row r="3295" spans="1:2">
      <c r="A3295" s="14">
        <v>45410.726389000003</v>
      </c>
      <c r="B3295" s="15">
        <v>7.5436160000000001</v>
      </c>
    </row>
    <row r="3296" spans="1:2">
      <c r="A3296" s="14">
        <v>45410.727082999998</v>
      </c>
      <c r="B3296" s="15">
        <v>7.6546120000000002</v>
      </c>
    </row>
    <row r="3297" spans="1:2">
      <c r="A3297" s="14">
        <v>45410.727778</v>
      </c>
      <c r="B3297" s="15">
        <v>7.2822459999999998</v>
      </c>
    </row>
    <row r="3298" spans="1:2">
      <c r="A3298" s="14">
        <v>45410.728472000003</v>
      </c>
      <c r="B3298" s="15">
        <v>7.4651579999999997</v>
      </c>
    </row>
    <row r="3299" spans="1:2">
      <c r="A3299" s="14">
        <v>45410.729166999998</v>
      </c>
      <c r="B3299" s="15">
        <v>7.5284930000000001</v>
      </c>
    </row>
    <row r="3300" spans="1:2">
      <c r="A3300" s="14">
        <v>45410.729861</v>
      </c>
      <c r="B3300" s="15">
        <v>7.4539330000000001</v>
      </c>
    </row>
    <row r="3301" spans="1:2">
      <c r="A3301" s="14">
        <v>45410.730556000002</v>
      </c>
      <c r="B3301" s="15">
        <v>7.5474030000000001</v>
      </c>
    </row>
    <row r="3302" spans="1:2">
      <c r="A3302" s="14">
        <v>45410.731249999997</v>
      </c>
      <c r="B3302" s="15">
        <v>7.7677610000000001</v>
      </c>
    </row>
    <row r="3303" spans="1:2">
      <c r="A3303" s="14">
        <v>45410.731943999999</v>
      </c>
      <c r="B3303" s="15">
        <v>7.594868</v>
      </c>
    </row>
    <row r="3304" spans="1:2">
      <c r="A3304" s="14">
        <v>45410.732639000002</v>
      </c>
      <c r="B3304" s="15">
        <v>7.4896010000000004</v>
      </c>
    </row>
    <row r="3305" spans="1:2">
      <c r="A3305" s="14">
        <v>45410.733332999996</v>
      </c>
      <c r="B3305" s="15">
        <v>7.3896639999999998</v>
      </c>
    </row>
    <row r="3306" spans="1:2">
      <c r="A3306" s="14">
        <v>45410.734027999999</v>
      </c>
      <c r="B3306" s="15">
        <v>7.4331680000000002</v>
      </c>
    </row>
    <row r="3307" spans="1:2">
      <c r="A3307" s="14">
        <v>45410.734722000001</v>
      </c>
      <c r="B3307" s="15">
        <v>7.4585590000000002</v>
      </c>
    </row>
    <row r="3308" spans="1:2">
      <c r="A3308" s="14">
        <v>45410.735417000004</v>
      </c>
      <c r="B3308" s="15">
        <v>7.3028919999999999</v>
      </c>
    </row>
    <row r="3309" spans="1:2">
      <c r="A3309" s="14">
        <v>45410.736110999998</v>
      </c>
      <c r="B3309" s="15">
        <v>7.703271</v>
      </c>
    </row>
    <row r="3310" spans="1:2">
      <c r="A3310" s="14">
        <v>45410.736806000001</v>
      </c>
      <c r="B3310" s="15">
        <v>7.4245130000000001</v>
      </c>
    </row>
    <row r="3311" spans="1:2">
      <c r="A3311" s="14">
        <v>45410.737500000003</v>
      </c>
      <c r="B3311" s="15">
        <v>7.5439670000000003</v>
      </c>
    </row>
    <row r="3312" spans="1:2">
      <c r="A3312" s="14">
        <v>45410.738193999998</v>
      </c>
      <c r="B3312" s="15">
        <v>7.6942250000000003</v>
      </c>
    </row>
    <row r="3313" spans="1:2">
      <c r="A3313" s="14">
        <v>45410.738889</v>
      </c>
      <c r="B3313" s="15">
        <v>7.6713699999999996</v>
      </c>
    </row>
    <row r="3314" spans="1:2">
      <c r="A3314" s="14">
        <v>45410.739583000002</v>
      </c>
      <c r="B3314" s="15">
        <v>7.5580509999999999</v>
      </c>
    </row>
    <row r="3315" spans="1:2">
      <c r="A3315" s="14">
        <v>45410.740277999997</v>
      </c>
      <c r="B3315" s="15">
        <v>7.4769969999999999</v>
      </c>
    </row>
    <row r="3316" spans="1:2">
      <c r="A3316" s="14">
        <v>45410.740972</v>
      </c>
      <c r="B3316" s="15">
        <v>7.554945</v>
      </c>
    </row>
    <row r="3317" spans="1:2">
      <c r="A3317" s="14">
        <v>45410.741667000002</v>
      </c>
      <c r="B3317" s="15">
        <v>7.5010760000000003</v>
      </c>
    </row>
    <row r="3318" spans="1:2">
      <c r="A3318" s="14">
        <v>45410.742360999997</v>
      </c>
      <c r="B3318" s="15">
        <v>7.3936650000000004</v>
      </c>
    </row>
    <row r="3319" spans="1:2">
      <c r="A3319" s="14">
        <v>45410.743055999999</v>
      </c>
      <c r="B3319" s="15">
        <v>7.3461090000000002</v>
      </c>
    </row>
    <row r="3320" spans="1:2">
      <c r="A3320" s="14">
        <v>45410.743750000001</v>
      </c>
      <c r="B3320" s="15">
        <v>7.5901149999999999</v>
      </c>
    </row>
    <row r="3321" spans="1:2">
      <c r="A3321" s="14">
        <v>45410.744444000004</v>
      </c>
      <c r="B3321" s="15">
        <v>7.3091720000000002</v>
      </c>
    </row>
    <row r="3322" spans="1:2">
      <c r="A3322" s="14">
        <v>45410.745138999999</v>
      </c>
      <c r="B3322" s="15">
        <v>7.2518070000000003</v>
      </c>
    </row>
    <row r="3323" spans="1:2">
      <c r="A3323" s="14">
        <v>45410.745833000001</v>
      </c>
      <c r="B3323" s="15">
        <v>7.336792</v>
      </c>
    </row>
    <row r="3324" spans="1:2">
      <c r="A3324" s="14">
        <v>45410.746528000003</v>
      </c>
      <c r="B3324" s="15">
        <v>7.5383610000000001</v>
      </c>
    </row>
    <row r="3325" spans="1:2">
      <c r="A3325" s="14">
        <v>45410.747221999998</v>
      </c>
      <c r="B3325" s="15">
        <v>7.5767819999999997</v>
      </c>
    </row>
    <row r="3326" spans="1:2">
      <c r="A3326" s="14">
        <v>45410.747917000001</v>
      </c>
      <c r="B3326" s="15">
        <v>7.4835649999999996</v>
      </c>
    </row>
    <row r="3327" spans="1:2">
      <c r="A3327" s="14">
        <v>45410.748611000003</v>
      </c>
      <c r="B3327" s="15">
        <v>7.5758159999999997</v>
      </c>
    </row>
    <row r="3328" spans="1:2">
      <c r="A3328" s="14">
        <v>45410.749305999998</v>
      </c>
      <c r="B3328" s="15">
        <v>7.4670990000000002</v>
      </c>
    </row>
    <row r="3329" spans="1:2">
      <c r="A3329" s="14">
        <v>45410.75</v>
      </c>
      <c r="B3329" s="15">
        <v>7.1468150000000001</v>
      </c>
    </row>
    <row r="3330" spans="1:2">
      <c r="A3330" s="14">
        <v>45410.750694000002</v>
      </c>
      <c r="B3330" s="15">
        <v>7.4244450000000004</v>
      </c>
    </row>
    <row r="3331" spans="1:2">
      <c r="A3331" s="14">
        <v>45410.751388999997</v>
      </c>
      <c r="B3331" s="15">
        <v>7.2200379999999997</v>
      </c>
    </row>
    <row r="3332" spans="1:2">
      <c r="A3332" s="14">
        <v>45410.752082999999</v>
      </c>
      <c r="B3332" s="15">
        <v>7.4149849999999997</v>
      </c>
    </row>
    <row r="3333" spans="1:2">
      <c r="A3333" s="14">
        <v>45410.752778000002</v>
      </c>
      <c r="B3333" s="15">
        <v>7.5003120000000001</v>
      </c>
    </row>
    <row r="3334" spans="1:2">
      <c r="A3334" s="14">
        <v>45410.753471999997</v>
      </c>
      <c r="B3334" s="15">
        <v>7.3144049999999998</v>
      </c>
    </row>
    <row r="3335" spans="1:2">
      <c r="A3335" s="14">
        <v>45410.754166999999</v>
      </c>
      <c r="B3335" s="15">
        <v>7.6495410000000001</v>
      </c>
    </row>
    <row r="3336" spans="1:2">
      <c r="A3336" s="14">
        <v>45410.754861000001</v>
      </c>
      <c r="B3336" s="15">
        <v>7.2254550000000002</v>
      </c>
    </row>
    <row r="3337" spans="1:2">
      <c r="A3337" s="14">
        <v>45410.755555999996</v>
      </c>
      <c r="B3337" s="15">
        <v>7.2419460000000004</v>
      </c>
    </row>
    <row r="3338" spans="1:2">
      <c r="A3338" s="14">
        <v>45410.756249999999</v>
      </c>
      <c r="B3338" s="15">
        <v>7.3584139999999998</v>
      </c>
    </row>
    <row r="3339" spans="1:2">
      <c r="A3339" s="14">
        <v>45410.756944000001</v>
      </c>
      <c r="B3339" s="15">
        <v>7.4691869999999998</v>
      </c>
    </row>
    <row r="3340" spans="1:2">
      <c r="A3340" s="14">
        <v>45410.757639000003</v>
      </c>
      <c r="B3340" s="15">
        <v>7.3258520000000003</v>
      </c>
    </row>
    <row r="3341" spans="1:2">
      <c r="A3341" s="14">
        <v>45410.758332999998</v>
      </c>
      <c r="B3341" s="15">
        <v>7.5721759999999998</v>
      </c>
    </row>
    <row r="3342" spans="1:2">
      <c r="A3342" s="14">
        <v>45410.759028</v>
      </c>
      <c r="B3342" s="15">
        <v>7.5477420000000004</v>
      </c>
    </row>
    <row r="3343" spans="1:2">
      <c r="A3343" s="14">
        <v>45410.759722000003</v>
      </c>
      <c r="B3343" s="15">
        <v>7.4676790000000004</v>
      </c>
    </row>
    <row r="3344" spans="1:2">
      <c r="A3344" s="14">
        <v>45410.760416999998</v>
      </c>
      <c r="B3344" s="15">
        <v>7.4185660000000002</v>
      </c>
    </row>
    <row r="3345" spans="1:2">
      <c r="A3345" s="14">
        <v>45410.761111</v>
      </c>
      <c r="B3345" s="15">
        <v>7.4480899999999997</v>
      </c>
    </row>
    <row r="3346" spans="1:2">
      <c r="A3346" s="14">
        <v>45410.761806000002</v>
      </c>
      <c r="B3346" s="15">
        <v>7.4132090000000002</v>
      </c>
    </row>
    <row r="3347" spans="1:2">
      <c r="A3347" s="14">
        <v>45410.762499999997</v>
      </c>
      <c r="B3347" s="15">
        <v>7.6732170000000002</v>
      </c>
    </row>
    <row r="3348" spans="1:2">
      <c r="A3348" s="14">
        <v>45410.763193999999</v>
      </c>
      <c r="B3348" s="15">
        <v>7.4305700000000003</v>
      </c>
    </row>
    <row r="3349" spans="1:2">
      <c r="A3349" s="14">
        <v>45410.763889000002</v>
      </c>
      <c r="B3349" s="15">
        <v>7.109623</v>
      </c>
    </row>
    <row r="3350" spans="1:2">
      <c r="A3350" s="14">
        <v>45410.764582999996</v>
      </c>
      <c r="B3350" s="15">
        <v>7.3697540000000004</v>
      </c>
    </row>
    <row r="3351" spans="1:2">
      <c r="A3351" s="14">
        <v>45410.765277999999</v>
      </c>
      <c r="B3351" s="15">
        <v>7.440105</v>
      </c>
    </row>
    <row r="3352" spans="1:2">
      <c r="A3352" s="14">
        <v>45410.765972000001</v>
      </c>
      <c r="B3352" s="15">
        <v>7.455495</v>
      </c>
    </row>
    <row r="3353" spans="1:2">
      <c r="A3353" s="14">
        <v>45410.766667000004</v>
      </c>
      <c r="B3353" s="15">
        <v>7.3809399999999998</v>
      </c>
    </row>
    <row r="3354" spans="1:2">
      <c r="A3354" s="14">
        <v>45410.767360999998</v>
      </c>
      <c r="B3354" s="15">
        <v>7.325088</v>
      </c>
    </row>
    <row r="3355" spans="1:2">
      <c r="A3355" s="14">
        <v>45410.768056000001</v>
      </c>
      <c r="B3355" s="15">
        <v>7.4654639999999999</v>
      </c>
    </row>
    <row r="3356" spans="1:2">
      <c r="A3356" s="14">
        <v>45410.768750000003</v>
      </c>
      <c r="B3356" s="15">
        <v>7.6595550000000001</v>
      </c>
    </row>
    <row r="3357" spans="1:2">
      <c r="A3357" s="14">
        <v>45410.769443999998</v>
      </c>
      <c r="B3357" s="15">
        <v>7.6196060000000001</v>
      </c>
    </row>
    <row r="3358" spans="1:2">
      <c r="A3358" s="14">
        <v>45410.770139</v>
      </c>
      <c r="B3358" s="15">
        <v>7.4279900000000003</v>
      </c>
    </row>
    <row r="3359" spans="1:2">
      <c r="A3359" s="14">
        <v>45410.770833000002</v>
      </c>
      <c r="B3359" s="15">
        <v>7.4279289999999998</v>
      </c>
    </row>
    <row r="3360" spans="1:2">
      <c r="A3360" s="14">
        <v>45410.771527999997</v>
      </c>
      <c r="B3360" s="15">
        <v>7.7234379999999998</v>
      </c>
    </row>
    <row r="3361" spans="1:2">
      <c r="A3361" s="14">
        <v>45410.772222</v>
      </c>
      <c r="B3361" s="15">
        <v>7.2472690000000002</v>
      </c>
    </row>
    <row r="3362" spans="1:2">
      <c r="A3362" s="14">
        <v>45410.772917000002</v>
      </c>
      <c r="B3362" s="15">
        <v>7.7036800000000003</v>
      </c>
    </row>
    <row r="3363" spans="1:2">
      <c r="A3363" s="14">
        <v>45410.773610999997</v>
      </c>
      <c r="B3363" s="15">
        <v>7.4573090000000004</v>
      </c>
    </row>
    <row r="3364" spans="1:2">
      <c r="A3364" s="14">
        <v>45410.774305999999</v>
      </c>
      <c r="B3364" s="15">
        <v>7.2643839999999997</v>
      </c>
    </row>
    <row r="3365" spans="1:2">
      <c r="A3365" s="14">
        <v>45410.775000000001</v>
      </c>
      <c r="B3365" s="15">
        <v>7.2511840000000003</v>
      </c>
    </row>
    <row r="3366" spans="1:2">
      <c r="A3366" s="14">
        <v>45410.775694000004</v>
      </c>
      <c r="B3366" s="15">
        <v>7.3015140000000001</v>
      </c>
    </row>
    <row r="3367" spans="1:2">
      <c r="A3367" s="14">
        <v>45410.776388999999</v>
      </c>
      <c r="B3367" s="15">
        <v>7.1390799999999999</v>
      </c>
    </row>
    <row r="3368" spans="1:2">
      <c r="A3368" s="14">
        <v>45410.777083000001</v>
      </c>
      <c r="B3368" s="15">
        <v>7.2486629999999996</v>
      </c>
    </row>
    <row r="3369" spans="1:2">
      <c r="A3369" s="14">
        <v>45410.777778000003</v>
      </c>
      <c r="B3369" s="15">
        <v>7.3729690000000003</v>
      </c>
    </row>
    <row r="3370" spans="1:2">
      <c r="A3370" s="14">
        <v>45410.778471999998</v>
      </c>
      <c r="B3370" s="15">
        <v>7.4129180000000003</v>
      </c>
    </row>
    <row r="3371" spans="1:2">
      <c r="A3371" s="14">
        <v>45410.779167000001</v>
      </c>
      <c r="B3371" s="15">
        <v>7.488448</v>
      </c>
    </row>
    <row r="3372" spans="1:2">
      <c r="A3372" s="14">
        <v>45410.779861000003</v>
      </c>
      <c r="B3372" s="15">
        <v>7.1089599999999997</v>
      </c>
    </row>
    <row r="3373" spans="1:2">
      <c r="A3373" s="14">
        <v>45410.780555999998</v>
      </c>
      <c r="B3373" s="15">
        <v>7.240545</v>
      </c>
    </row>
    <row r="3374" spans="1:2">
      <c r="A3374" s="14">
        <v>45410.78125</v>
      </c>
      <c r="B3374" s="15">
        <v>7.3424829999999996</v>
      </c>
    </row>
    <row r="3375" spans="1:2">
      <c r="A3375" s="14">
        <v>45410.781944000002</v>
      </c>
      <c r="B3375" s="15">
        <v>7.1212739999999997</v>
      </c>
    </row>
    <row r="3376" spans="1:2">
      <c r="A3376" s="14">
        <v>45410.782638999997</v>
      </c>
      <c r="B3376" s="15">
        <v>7.3678600000000003</v>
      </c>
    </row>
    <row r="3377" spans="1:2">
      <c r="A3377" s="14">
        <v>45410.783332999999</v>
      </c>
      <c r="B3377" s="15">
        <v>7.4814160000000003</v>
      </c>
    </row>
    <row r="3378" spans="1:2">
      <c r="A3378" s="14">
        <v>45410.784028000002</v>
      </c>
      <c r="B3378" s="15">
        <v>7.3874009999999997</v>
      </c>
    </row>
    <row r="3379" spans="1:2">
      <c r="A3379" s="14">
        <v>45410.784721999997</v>
      </c>
      <c r="B3379" s="15">
        <v>7.2508809999999997</v>
      </c>
    </row>
    <row r="3380" spans="1:2">
      <c r="A3380" s="14">
        <v>45410.785416999999</v>
      </c>
      <c r="B3380" s="15">
        <v>7.2156399999999996</v>
      </c>
    </row>
    <row r="3381" spans="1:2">
      <c r="A3381" s="14">
        <v>45410.786111000001</v>
      </c>
      <c r="B3381" s="15">
        <v>7.7704909999999998</v>
      </c>
    </row>
    <row r="3382" spans="1:2">
      <c r="A3382" s="14">
        <v>45410.786805999996</v>
      </c>
      <c r="B3382" s="15">
        <v>7.2370780000000003</v>
      </c>
    </row>
    <row r="3383" spans="1:2">
      <c r="A3383" s="14">
        <v>45410.787499999999</v>
      </c>
      <c r="B3383" s="15">
        <v>7.2292329999999998</v>
      </c>
    </row>
    <row r="3384" spans="1:2">
      <c r="A3384" s="14">
        <v>45410.788194000001</v>
      </c>
      <c r="B3384" s="15">
        <v>7.3391460000000004</v>
      </c>
    </row>
    <row r="3385" spans="1:2">
      <c r="A3385" s="14">
        <v>45410.788889000003</v>
      </c>
      <c r="B3385" s="15">
        <v>7.2213520000000004</v>
      </c>
    </row>
    <row r="3386" spans="1:2">
      <c r="A3386" s="14">
        <v>45410.789582999998</v>
      </c>
      <c r="B3386" s="15">
        <v>7.2520939999999996</v>
      </c>
    </row>
    <row r="3387" spans="1:2">
      <c r="A3387" s="14">
        <v>45410.790278</v>
      </c>
      <c r="B3387" s="15">
        <v>7.264202</v>
      </c>
    </row>
    <row r="3388" spans="1:2">
      <c r="A3388" s="14">
        <v>45410.790972000003</v>
      </c>
      <c r="B3388" s="15">
        <v>7.2493249999999998</v>
      </c>
    </row>
    <row r="3389" spans="1:2">
      <c r="A3389" s="14">
        <v>45410.791666999998</v>
      </c>
      <c r="B3389" s="15">
        <v>7.2334690000000004</v>
      </c>
    </row>
    <row r="3390" spans="1:2">
      <c r="A3390" s="14">
        <v>45410.792361</v>
      </c>
      <c r="B3390" s="15">
        <v>7.2916879999999997</v>
      </c>
    </row>
    <row r="3391" spans="1:2">
      <c r="A3391" s="14">
        <v>45410.793056000002</v>
      </c>
      <c r="B3391" s="15">
        <v>7.3729019999999998</v>
      </c>
    </row>
    <row r="3392" spans="1:2">
      <c r="A3392" s="14">
        <v>45410.793749999997</v>
      </c>
      <c r="B3392" s="15">
        <v>7.4754839999999998</v>
      </c>
    </row>
    <row r="3393" spans="1:2">
      <c r="A3393" s="14">
        <v>45410.794443999999</v>
      </c>
      <c r="B3393" s="15">
        <v>7.4971969999999999</v>
      </c>
    </row>
    <row r="3394" spans="1:2">
      <c r="A3394" s="14">
        <v>45410.795139000002</v>
      </c>
      <c r="B3394" s="15">
        <v>7.413227</v>
      </c>
    </row>
    <row r="3395" spans="1:2">
      <c r="A3395" s="14">
        <v>45410.795832999996</v>
      </c>
      <c r="B3395" s="15">
        <v>7.2232580000000004</v>
      </c>
    </row>
    <row r="3396" spans="1:2">
      <c r="A3396" s="14">
        <v>45410.796527999999</v>
      </c>
      <c r="B3396" s="15">
        <v>6.9788139999999999</v>
      </c>
    </row>
    <row r="3397" spans="1:2">
      <c r="A3397" s="14">
        <v>45410.797222000001</v>
      </c>
      <c r="B3397" s="15">
        <v>7.1974130000000001</v>
      </c>
    </row>
    <row r="3398" spans="1:2">
      <c r="A3398" s="14">
        <v>45410.797917000004</v>
      </c>
      <c r="B3398" s="15">
        <v>7.3599889999999997</v>
      </c>
    </row>
    <row r="3399" spans="1:2">
      <c r="A3399" s="14">
        <v>45410.798610999998</v>
      </c>
      <c r="B3399" s="15">
        <v>7.3406190000000002</v>
      </c>
    </row>
    <row r="3400" spans="1:2">
      <c r="A3400" s="14">
        <v>45410.799306000001</v>
      </c>
      <c r="B3400" s="15">
        <v>7.3767079999999998</v>
      </c>
    </row>
    <row r="3401" spans="1:2">
      <c r="A3401" s="14">
        <v>45410.8</v>
      </c>
      <c r="B3401" s="15">
        <v>7.2661020000000001</v>
      </c>
    </row>
    <row r="3402" spans="1:2">
      <c r="A3402" s="14">
        <v>45410.800693999998</v>
      </c>
      <c r="B3402" s="15">
        <v>7.2901720000000001</v>
      </c>
    </row>
    <row r="3403" spans="1:2">
      <c r="A3403" s="14">
        <v>45410.801389</v>
      </c>
      <c r="B3403" s="15">
        <v>7.3457920000000003</v>
      </c>
    </row>
    <row r="3404" spans="1:2">
      <c r="A3404" s="14">
        <v>45410.802083000002</v>
      </c>
      <c r="B3404" s="15">
        <v>7.3807650000000002</v>
      </c>
    </row>
    <row r="3405" spans="1:2">
      <c r="A3405" s="14">
        <v>45410.802777999997</v>
      </c>
      <c r="B3405" s="15">
        <v>7.2375879999999997</v>
      </c>
    </row>
    <row r="3406" spans="1:2">
      <c r="A3406" s="14">
        <v>45410.803472</v>
      </c>
      <c r="B3406" s="15">
        <v>7.4392079999999998</v>
      </c>
    </row>
    <row r="3407" spans="1:2">
      <c r="A3407" s="14">
        <v>45410.804167000002</v>
      </c>
      <c r="B3407" s="15">
        <v>7.2603229999999996</v>
      </c>
    </row>
    <row r="3408" spans="1:2">
      <c r="A3408" s="14">
        <v>45410.804860999997</v>
      </c>
      <c r="B3408" s="15">
        <v>7.1161899999999996</v>
      </c>
    </row>
    <row r="3409" spans="1:2">
      <c r="A3409" s="14">
        <v>45410.805555999999</v>
      </c>
      <c r="B3409" s="15">
        <v>7.2526469999999996</v>
      </c>
    </row>
    <row r="3410" spans="1:2">
      <c r="A3410" s="14">
        <v>45410.806250000001</v>
      </c>
      <c r="B3410" s="15">
        <v>7.3450160000000002</v>
      </c>
    </row>
    <row r="3411" spans="1:2">
      <c r="A3411" s="14">
        <v>45410.806944000004</v>
      </c>
      <c r="B3411" s="15">
        <v>7.4080380000000003</v>
      </c>
    </row>
    <row r="3412" spans="1:2">
      <c r="A3412" s="14">
        <v>45410.807638999999</v>
      </c>
      <c r="B3412" s="15">
        <v>7.5246320000000004</v>
      </c>
    </row>
    <row r="3413" spans="1:2">
      <c r="A3413" s="14">
        <v>45410.808333000001</v>
      </c>
      <c r="B3413" s="15">
        <v>7.5038369999999999</v>
      </c>
    </row>
    <row r="3414" spans="1:2">
      <c r="A3414" s="14">
        <v>45410.809028000003</v>
      </c>
      <c r="B3414" s="15">
        <v>7.1957149999999999</v>
      </c>
    </row>
    <row r="3415" spans="1:2">
      <c r="A3415" s="14">
        <v>45410.809721999998</v>
      </c>
      <c r="B3415" s="15">
        <v>7.2004450000000002</v>
      </c>
    </row>
    <row r="3416" spans="1:2">
      <c r="A3416" s="14">
        <v>45410.810417000001</v>
      </c>
      <c r="B3416" s="15">
        <v>7.2885669999999996</v>
      </c>
    </row>
    <row r="3417" spans="1:2">
      <c r="A3417" s="14">
        <v>45410.811111000003</v>
      </c>
      <c r="B3417" s="15">
        <v>7.2271089999999996</v>
      </c>
    </row>
    <row r="3418" spans="1:2">
      <c r="A3418" s="14">
        <v>45410.811805999998</v>
      </c>
      <c r="B3418" s="15">
        <v>7.2066280000000003</v>
      </c>
    </row>
    <row r="3419" spans="1:2">
      <c r="A3419" s="14">
        <v>45410.8125</v>
      </c>
      <c r="B3419" s="15">
        <v>7.6554260000000003</v>
      </c>
    </row>
    <row r="3420" spans="1:2">
      <c r="A3420" s="14">
        <v>45410.813194000002</v>
      </c>
      <c r="B3420" s="15">
        <v>7.2156339999999997</v>
      </c>
    </row>
    <row r="3421" spans="1:2">
      <c r="A3421" s="14">
        <v>45410.813888999997</v>
      </c>
      <c r="B3421" s="15">
        <v>7.1483569999999999</v>
      </c>
    </row>
    <row r="3422" spans="1:2">
      <c r="A3422" s="14">
        <v>45410.814582999999</v>
      </c>
      <c r="B3422" s="15">
        <v>7.0769380000000002</v>
      </c>
    </row>
    <row r="3423" spans="1:2">
      <c r="A3423" s="14">
        <v>45410.815278000002</v>
      </c>
      <c r="B3423" s="15">
        <v>7.0381689999999999</v>
      </c>
    </row>
    <row r="3424" spans="1:2">
      <c r="A3424" s="14">
        <v>45410.815971999997</v>
      </c>
      <c r="B3424" s="15">
        <v>7.4528569999999998</v>
      </c>
    </row>
    <row r="3425" spans="1:2">
      <c r="A3425" s="14">
        <v>45410.816666999999</v>
      </c>
      <c r="B3425" s="15">
        <v>7.147214</v>
      </c>
    </row>
    <row r="3426" spans="1:2">
      <c r="A3426" s="14">
        <v>45410.817361000001</v>
      </c>
      <c r="B3426" s="15">
        <v>7.1415100000000002</v>
      </c>
    </row>
    <row r="3427" spans="1:2">
      <c r="A3427" s="14">
        <v>45410.818055999996</v>
      </c>
      <c r="B3427" s="15">
        <v>7.1983170000000003</v>
      </c>
    </row>
    <row r="3428" spans="1:2">
      <c r="A3428" s="14">
        <v>45410.818749999999</v>
      </c>
      <c r="B3428" s="15">
        <v>7.2365349999999999</v>
      </c>
    </row>
    <row r="3429" spans="1:2">
      <c r="A3429" s="14">
        <v>45410.819444000001</v>
      </c>
      <c r="B3429" s="15">
        <v>7.2911900000000003</v>
      </c>
    </row>
    <row r="3430" spans="1:2">
      <c r="A3430" s="14">
        <v>45410.820139000003</v>
      </c>
      <c r="B3430" s="15">
        <v>7.298991</v>
      </c>
    </row>
    <row r="3431" spans="1:2">
      <c r="A3431" s="14">
        <v>45410.820832999998</v>
      </c>
      <c r="B3431" s="15">
        <v>7.1987579999999998</v>
      </c>
    </row>
    <row r="3432" spans="1:2">
      <c r="A3432" s="14">
        <v>45410.821528</v>
      </c>
      <c r="B3432" s="15">
        <v>7.0931600000000001</v>
      </c>
    </row>
    <row r="3433" spans="1:2">
      <c r="A3433" s="14">
        <v>45410.822222000003</v>
      </c>
      <c r="B3433" s="15">
        <v>7.1591909999999999</v>
      </c>
    </row>
    <row r="3434" spans="1:2">
      <c r="A3434" s="14">
        <v>45410.822916999998</v>
      </c>
      <c r="B3434" s="15">
        <v>6.9641390000000003</v>
      </c>
    </row>
    <row r="3435" spans="1:2">
      <c r="A3435" s="14">
        <v>45410.823611</v>
      </c>
      <c r="B3435" s="15">
        <v>7.1450360000000002</v>
      </c>
    </row>
    <row r="3436" spans="1:2">
      <c r="A3436" s="14">
        <v>45410.824306000002</v>
      </c>
      <c r="B3436" s="15">
        <v>7.321142</v>
      </c>
    </row>
    <row r="3437" spans="1:2">
      <c r="A3437" s="14">
        <v>45410.824999999997</v>
      </c>
      <c r="B3437" s="15">
        <v>7.337288</v>
      </c>
    </row>
    <row r="3438" spans="1:2">
      <c r="A3438" s="14">
        <v>45410.825693999999</v>
      </c>
      <c r="B3438" s="15">
        <v>7.3436459999999997</v>
      </c>
    </row>
    <row r="3439" spans="1:2">
      <c r="A3439" s="14">
        <v>45410.826389000002</v>
      </c>
      <c r="B3439" s="15">
        <v>7.2478550000000004</v>
      </c>
    </row>
    <row r="3440" spans="1:2">
      <c r="A3440" s="14">
        <v>45410.827082999996</v>
      </c>
      <c r="B3440" s="15">
        <v>7.2589199999999998</v>
      </c>
    </row>
    <row r="3441" spans="1:2">
      <c r="A3441" s="14">
        <v>45410.827777999999</v>
      </c>
      <c r="B3441" s="15">
        <v>7.3786560000000003</v>
      </c>
    </row>
    <row r="3442" spans="1:2">
      <c r="A3442" s="14">
        <v>45410.828472000001</v>
      </c>
      <c r="B3442" s="15">
        <v>7.6159350000000003</v>
      </c>
    </row>
    <row r="3443" spans="1:2">
      <c r="A3443" s="14">
        <v>45410.829167000004</v>
      </c>
      <c r="B3443" s="15">
        <v>7.1174759999999999</v>
      </c>
    </row>
    <row r="3444" spans="1:2">
      <c r="A3444" s="14">
        <v>45410.829860999998</v>
      </c>
      <c r="B3444" s="15">
        <v>7.1005940000000001</v>
      </c>
    </row>
    <row r="3445" spans="1:2">
      <c r="A3445" s="14">
        <v>45410.830556000001</v>
      </c>
      <c r="B3445" s="15">
        <v>7.1924910000000004</v>
      </c>
    </row>
    <row r="3446" spans="1:2">
      <c r="A3446" s="14">
        <v>45410.831250000003</v>
      </c>
      <c r="B3446" s="15">
        <v>7.313142</v>
      </c>
    </row>
    <row r="3447" spans="1:2">
      <c r="A3447" s="14">
        <v>45410.831943999998</v>
      </c>
      <c r="B3447" s="15">
        <v>7.3098039999999997</v>
      </c>
    </row>
    <row r="3448" spans="1:2">
      <c r="A3448" s="14">
        <v>45410.832639</v>
      </c>
      <c r="B3448" s="15">
        <v>7.2266979999999998</v>
      </c>
    </row>
    <row r="3449" spans="1:2">
      <c r="A3449" s="14">
        <v>45410.833333000002</v>
      </c>
      <c r="B3449" s="15">
        <v>7.2503869999999999</v>
      </c>
    </row>
    <row r="3450" spans="1:2">
      <c r="A3450" s="14">
        <v>45410.834027999997</v>
      </c>
      <c r="B3450" s="15">
        <v>7.2750019999999997</v>
      </c>
    </row>
    <row r="3451" spans="1:2">
      <c r="A3451" s="14">
        <v>45410.834722</v>
      </c>
      <c r="B3451" s="15">
        <v>7.2918029999999998</v>
      </c>
    </row>
    <row r="3452" spans="1:2">
      <c r="A3452" s="14">
        <v>45410.835417000002</v>
      </c>
      <c r="B3452" s="15">
        <v>7.3161560000000003</v>
      </c>
    </row>
    <row r="3453" spans="1:2">
      <c r="A3453" s="14">
        <v>45410.836110999997</v>
      </c>
      <c r="B3453" s="15">
        <v>7.1565060000000003</v>
      </c>
    </row>
    <row r="3454" spans="1:2">
      <c r="A3454" s="14">
        <v>45410.836805999999</v>
      </c>
      <c r="B3454" s="15">
        <v>7.1963590000000002</v>
      </c>
    </row>
    <row r="3455" spans="1:2">
      <c r="A3455" s="14">
        <v>45410.837500000001</v>
      </c>
      <c r="B3455" s="15">
        <v>7.2553359999999998</v>
      </c>
    </row>
    <row r="3456" spans="1:2">
      <c r="A3456" s="14">
        <v>45410.838194000004</v>
      </c>
      <c r="B3456" s="15">
        <v>7.2780440000000004</v>
      </c>
    </row>
    <row r="3457" spans="1:2">
      <c r="A3457" s="14">
        <v>45410.838888999999</v>
      </c>
      <c r="B3457" s="15">
        <v>7.2958679999999996</v>
      </c>
    </row>
    <row r="3458" spans="1:2">
      <c r="A3458" s="14">
        <v>45410.839583000001</v>
      </c>
      <c r="B3458" s="15">
        <v>7.3379349999999999</v>
      </c>
    </row>
    <row r="3459" spans="1:2">
      <c r="A3459" s="14">
        <v>45410.840278000003</v>
      </c>
      <c r="B3459" s="15">
        <v>7.2042700000000002</v>
      </c>
    </row>
    <row r="3460" spans="1:2">
      <c r="A3460" s="14">
        <v>45410.840971999998</v>
      </c>
      <c r="B3460" s="15">
        <v>7.1223710000000002</v>
      </c>
    </row>
    <row r="3461" spans="1:2">
      <c r="A3461" s="14">
        <v>45410.841667000001</v>
      </c>
      <c r="B3461" s="15">
        <v>7.3209520000000001</v>
      </c>
    </row>
    <row r="3462" spans="1:2">
      <c r="A3462" s="14">
        <v>45410.842361000003</v>
      </c>
      <c r="B3462" s="15">
        <v>7.1257419999999998</v>
      </c>
    </row>
    <row r="3463" spans="1:2">
      <c r="A3463" s="14">
        <v>45410.843055999998</v>
      </c>
      <c r="B3463" s="15">
        <v>7.1591420000000001</v>
      </c>
    </row>
    <row r="3464" spans="1:2">
      <c r="A3464" s="14">
        <v>45410.84375</v>
      </c>
      <c r="B3464" s="15">
        <v>7.3310599999999999</v>
      </c>
    </row>
    <row r="3465" spans="1:2">
      <c r="A3465" s="14">
        <v>45410.844444000002</v>
      </c>
      <c r="B3465" s="15">
        <v>7.4839890000000002</v>
      </c>
    </row>
    <row r="3466" spans="1:2">
      <c r="A3466" s="14">
        <v>45410.845138999997</v>
      </c>
      <c r="B3466" s="15">
        <v>7.0157369999999997</v>
      </c>
    </row>
    <row r="3467" spans="1:2">
      <c r="A3467" s="14">
        <v>45410.845832999999</v>
      </c>
      <c r="B3467" s="15">
        <v>7.0083900000000003</v>
      </c>
    </row>
    <row r="3468" spans="1:2">
      <c r="A3468" s="14">
        <v>45410.846528000002</v>
      </c>
      <c r="B3468" s="15">
        <v>7.1623780000000004</v>
      </c>
    </row>
    <row r="3469" spans="1:2">
      <c r="A3469" s="14">
        <v>45410.847221999997</v>
      </c>
      <c r="B3469" s="15">
        <v>7.2799009999999997</v>
      </c>
    </row>
    <row r="3470" spans="1:2">
      <c r="A3470" s="14">
        <v>45410.847916999999</v>
      </c>
      <c r="B3470" s="15">
        <v>7.2386920000000003</v>
      </c>
    </row>
    <row r="3471" spans="1:2">
      <c r="A3471" s="14">
        <v>45410.848611000001</v>
      </c>
      <c r="B3471" s="15">
        <v>7.311464</v>
      </c>
    </row>
    <row r="3472" spans="1:2">
      <c r="A3472" s="14">
        <v>45410.849305999996</v>
      </c>
      <c r="B3472" s="15">
        <v>7.1715590000000002</v>
      </c>
    </row>
    <row r="3473" spans="1:2">
      <c r="A3473" s="14">
        <v>45410.85</v>
      </c>
      <c r="B3473" s="15">
        <v>7.2047629999999998</v>
      </c>
    </row>
    <row r="3474" spans="1:2">
      <c r="A3474" s="14">
        <v>45410.850694000001</v>
      </c>
      <c r="B3474" s="15">
        <v>7.2390379999999999</v>
      </c>
    </row>
    <row r="3475" spans="1:2">
      <c r="A3475" s="14">
        <v>45410.851389000003</v>
      </c>
      <c r="B3475" s="15">
        <v>6.9620959999999998</v>
      </c>
    </row>
    <row r="3476" spans="1:2">
      <c r="A3476" s="14">
        <v>45410.852082999998</v>
      </c>
      <c r="B3476" s="15">
        <v>7.4048939999999996</v>
      </c>
    </row>
    <row r="3477" spans="1:2">
      <c r="A3477" s="14">
        <v>45410.852778</v>
      </c>
      <c r="B3477" s="15">
        <v>7.269603</v>
      </c>
    </row>
    <row r="3478" spans="1:2">
      <c r="A3478" s="14">
        <v>45410.853472000003</v>
      </c>
      <c r="B3478" s="15">
        <v>6.9403490000000003</v>
      </c>
    </row>
    <row r="3479" spans="1:2">
      <c r="A3479" s="14">
        <v>45410.854166999998</v>
      </c>
      <c r="B3479" s="15">
        <v>6.5410250000000003</v>
      </c>
    </row>
    <row r="3480" spans="1:2">
      <c r="A3480" s="14">
        <v>45410.854861</v>
      </c>
      <c r="B3480" s="15">
        <v>7.2737290000000003</v>
      </c>
    </row>
    <row r="3481" spans="1:2">
      <c r="A3481" s="14">
        <v>45410.855556000002</v>
      </c>
      <c r="B3481" s="15">
        <v>7.2176229999999997</v>
      </c>
    </row>
    <row r="3482" spans="1:2">
      <c r="A3482" s="14">
        <v>45410.856249999997</v>
      </c>
      <c r="B3482" s="15">
        <v>7.289974</v>
      </c>
    </row>
    <row r="3483" spans="1:2">
      <c r="A3483" s="14">
        <v>45410.856943999999</v>
      </c>
      <c r="B3483" s="15">
        <v>7.4276689999999999</v>
      </c>
    </row>
    <row r="3484" spans="1:2">
      <c r="A3484" s="14">
        <v>45410.857639000002</v>
      </c>
      <c r="B3484" s="15">
        <v>7.2059480000000002</v>
      </c>
    </row>
    <row r="3485" spans="1:2">
      <c r="A3485" s="14">
        <v>45410.858332999996</v>
      </c>
      <c r="B3485" s="15">
        <v>7.2649800000000004</v>
      </c>
    </row>
    <row r="3486" spans="1:2">
      <c r="A3486" s="14">
        <v>45410.859027999999</v>
      </c>
      <c r="B3486" s="15">
        <v>7.2112699999999998</v>
      </c>
    </row>
    <row r="3487" spans="1:2">
      <c r="A3487" s="14">
        <v>45410.859722000001</v>
      </c>
      <c r="B3487" s="15">
        <v>7.2196400000000001</v>
      </c>
    </row>
    <row r="3488" spans="1:2">
      <c r="A3488" s="14">
        <v>45410.860417000004</v>
      </c>
      <c r="B3488" s="15">
        <v>7.3079409999999996</v>
      </c>
    </row>
    <row r="3489" spans="1:2">
      <c r="A3489" s="14">
        <v>45410.861110999998</v>
      </c>
      <c r="B3489" s="15">
        <v>7.2855720000000002</v>
      </c>
    </row>
    <row r="3490" spans="1:2">
      <c r="A3490" s="14">
        <v>45410.861806000001</v>
      </c>
      <c r="B3490" s="15">
        <v>7.2502339999999998</v>
      </c>
    </row>
    <row r="3491" spans="1:2">
      <c r="A3491" s="14">
        <v>45410.862500000003</v>
      </c>
      <c r="B3491" s="15">
        <v>7.287992</v>
      </c>
    </row>
    <row r="3492" spans="1:2">
      <c r="A3492" s="14">
        <v>45410.863193999998</v>
      </c>
      <c r="B3492" s="15">
        <v>7.2527699999999999</v>
      </c>
    </row>
    <row r="3493" spans="1:2">
      <c r="A3493" s="14">
        <v>45410.863889</v>
      </c>
      <c r="B3493" s="15">
        <v>7.0657389999999998</v>
      </c>
    </row>
    <row r="3494" spans="1:2">
      <c r="A3494" s="14">
        <v>45410.864583000002</v>
      </c>
      <c r="B3494" s="15">
        <v>7.425376</v>
      </c>
    </row>
    <row r="3495" spans="1:2">
      <c r="A3495" s="14">
        <v>45410.865277999997</v>
      </c>
      <c r="B3495" s="15">
        <v>7.1332500000000003</v>
      </c>
    </row>
    <row r="3496" spans="1:2">
      <c r="A3496" s="14">
        <v>45410.865972</v>
      </c>
      <c r="B3496" s="15">
        <v>7.0954160000000002</v>
      </c>
    </row>
    <row r="3497" spans="1:2">
      <c r="A3497" s="14">
        <v>45410.866667000002</v>
      </c>
      <c r="B3497" s="15">
        <v>7.1288669999999996</v>
      </c>
    </row>
    <row r="3498" spans="1:2">
      <c r="A3498" s="14">
        <v>45410.867360999997</v>
      </c>
      <c r="B3498" s="15">
        <v>6.8204859999999998</v>
      </c>
    </row>
    <row r="3499" spans="1:2">
      <c r="A3499" s="14">
        <v>45410.868055999999</v>
      </c>
      <c r="B3499" s="15">
        <v>7.0554680000000003</v>
      </c>
    </row>
    <row r="3500" spans="1:2">
      <c r="A3500" s="14">
        <v>45410.868750000001</v>
      </c>
      <c r="B3500" s="15">
        <v>7.1603690000000002</v>
      </c>
    </row>
    <row r="3501" spans="1:2">
      <c r="A3501" s="14">
        <v>45410.869444000004</v>
      </c>
      <c r="B3501" s="15">
        <v>7.1963720000000002</v>
      </c>
    </row>
    <row r="3502" spans="1:2">
      <c r="A3502" s="14">
        <v>45410.870138999999</v>
      </c>
      <c r="B3502" s="15">
        <v>7.1654720000000003</v>
      </c>
    </row>
    <row r="3503" spans="1:2">
      <c r="A3503" s="14">
        <v>45410.870833000001</v>
      </c>
      <c r="B3503" s="15">
        <v>7.7425459999999999</v>
      </c>
    </row>
    <row r="3504" spans="1:2">
      <c r="A3504" s="14">
        <v>45410.871528000003</v>
      </c>
      <c r="B3504" s="15">
        <v>7.1122180000000004</v>
      </c>
    </row>
    <row r="3505" spans="1:2">
      <c r="A3505" s="14">
        <v>45410.872221999998</v>
      </c>
      <c r="B3505" s="15">
        <v>7.1603510000000004</v>
      </c>
    </row>
    <row r="3506" spans="1:2">
      <c r="A3506" s="14">
        <v>45410.872917000001</v>
      </c>
      <c r="B3506" s="15">
        <v>7.4052210000000001</v>
      </c>
    </row>
    <row r="3507" spans="1:2">
      <c r="A3507" s="14">
        <v>45410.873611000003</v>
      </c>
      <c r="B3507" s="15">
        <v>6.9528080000000001</v>
      </c>
    </row>
    <row r="3508" spans="1:2">
      <c r="A3508" s="14">
        <v>45410.874305999998</v>
      </c>
      <c r="B3508" s="15">
        <v>7.2001879999999998</v>
      </c>
    </row>
    <row r="3509" spans="1:2">
      <c r="A3509" s="14">
        <v>45410.875</v>
      </c>
      <c r="B3509" s="15">
        <v>7.2481590000000002</v>
      </c>
    </row>
    <row r="3510" spans="1:2">
      <c r="A3510" s="14">
        <v>45410.875694000002</v>
      </c>
      <c r="B3510" s="15">
        <v>7.1824310000000002</v>
      </c>
    </row>
    <row r="3511" spans="1:2">
      <c r="A3511" s="14">
        <v>45410.876388999997</v>
      </c>
      <c r="B3511" s="15">
        <v>7.0391969999999997</v>
      </c>
    </row>
    <row r="3512" spans="1:2">
      <c r="A3512" s="14">
        <v>45410.877082999999</v>
      </c>
      <c r="B3512" s="15">
        <v>7.2840210000000001</v>
      </c>
    </row>
    <row r="3513" spans="1:2">
      <c r="A3513" s="14">
        <v>45410.877778000002</v>
      </c>
      <c r="B3513" s="15">
        <v>7.0448560000000002</v>
      </c>
    </row>
    <row r="3514" spans="1:2">
      <c r="A3514" s="14">
        <v>45410.878471999997</v>
      </c>
      <c r="B3514" s="15">
        <v>7.1085589999999996</v>
      </c>
    </row>
    <row r="3515" spans="1:2">
      <c r="A3515" s="14">
        <v>45410.879166999999</v>
      </c>
      <c r="B3515" s="15">
        <v>7.2326620000000004</v>
      </c>
    </row>
    <row r="3516" spans="1:2">
      <c r="A3516" s="14">
        <v>45410.879861000001</v>
      </c>
      <c r="B3516" s="15">
        <v>6.9630700000000001</v>
      </c>
    </row>
    <row r="3517" spans="1:2">
      <c r="A3517" s="14">
        <v>45410.880555999996</v>
      </c>
      <c r="B3517" s="15">
        <v>7.1959840000000002</v>
      </c>
    </row>
    <row r="3518" spans="1:2">
      <c r="A3518" s="14">
        <v>45410.881249999999</v>
      </c>
      <c r="B3518" s="15">
        <v>7.3834739999999996</v>
      </c>
    </row>
    <row r="3519" spans="1:2">
      <c r="A3519" s="14">
        <v>45410.881944000001</v>
      </c>
      <c r="B3519" s="15">
        <v>7.2720060000000002</v>
      </c>
    </row>
    <row r="3520" spans="1:2">
      <c r="A3520" s="14">
        <v>45410.882639000003</v>
      </c>
      <c r="B3520" s="15">
        <v>6.8660899999999998</v>
      </c>
    </row>
    <row r="3521" spans="1:2">
      <c r="A3521" s="14">
        <v>45410.883332999998</v>
      </c>
      <c r="B3521" s="15">
        <v>7.1620949999999999</v>
      </c>
    </row>
    <row r="3522" spans="1:2">
      <c r="A3522" s="14">
        <v>45410.884028</v>
      </c>
      <c r="B3522" s="15">
        <v>7.3624409999999996</v>
      </c>
    </row>
    <row r="3523" spans="1:2">
      <c r="A3523" s="14">
        <v>45410.884722000003</v>
      </c>
      <c r="B3523" s="15">
        <v>7.3556780000000002</v>
      </c>
    </row>
    <row r="3524" spans="1:2">
      <c r="A3524" s="14">
        <v>45410.885416999998</v>
      </c>
      <c r="B3524" s="15">
        <v>7.1903649999999999</v>
      </c>
    </row>
    <row r="3525" spans="1:2">
      <c r="A3525" s="14">
        <v>45410.886111</v>
      </c>
      <c r="B3525" s="15">
        <v>6.915991</v>
      </c>
    </row>
    <row r="3526" spans="1:2">
      <c r="A3526" s="14">
        <v>45410.886806000002</v>
      </c>
      <c r="B3526" s="15">
        <v>7.2592030000000003</v>
      </c>
    </row>
    <row r="3527" spans="1:2">
      <c r="A3527" s="14">
        <v>45410.887499999997</v>
      </c>
      <c r="B3527" s="15">
        <v>7.28864</v>
      </c>
    </row>
    <row r="3528" spans="1:2">
      <c r="A3528" s="14">
        <v>45410.888193999999</v>
      </c>
      <c r="B3528" s="15">
        <v>7.2905220000000002</v>
      </c>
    </row>
    <row r="3529" spans="1:2">
      <c r="A3529" s="14">
        <v>45410.888889000002</v>
      </c>
      <c r="B3529" s="15">
        <v>7.3010440000000001</v>
      </c>
    </row>
    <row r="3530" spans="1:2">
      <c r="A3530" s="14">
        <v>45410.889582999996</v>
      </c>
      <c r="B3530" s="15">
        <v>7.2165910000000002</v>
      </c>
    </row>
    <row r="3531" spans="1:2">
      <c r="A3531" s="14">
        <v>45410.890277999999</v>
      </c>
      <c r="B3531" s="15">
        <v>7.0905550000000002</v>
      </c>
    </row>
    <row r="3532" spans="1:2">
      <c r="A3532" s="14">
        <v>45410.890972000001</v>
      </c>
      <c r="B3532" s="15">
        <v>7.0454280000000002</v>
      </c>
    </row>
    <row r="3533" spans="1:2">
      <c r="A3533" s="14">
        <v>45410.891667000004</v>
      </c>
      <c r="B3533" s="15">
        <v>7.006291</v>
      </c>
    </row>
    <row r="3534" spans="1:2">
      <c r="A3534" s="14">
        <v>45410.892360999998</v>
      </c>
      <c r="B3534" s="15">
        <v>6.9211520000000002</v>
      </c>
    </row>
    <row r="3535" spans="1:2">
      <c r="A3535" s="14">
        <v>45410.893056000001</v>
      </c>
      <c r="B3535" s="15">
        <v>7.0835730000000003</v>
      </c>
    </row>
    <row r="3536" spans="1:2">
      <c r="A3536" s="14">
        <v>45410.893750000003</v>
      </c>
      <c r="B3536" s="15">
        <v>6.869224</v>
      </c>
    </row>
    <row r="3537" spans="1:2">
      <c r="A3537" s="14">
        <v>45410.894443999998</v>
      </c>
      <c r="B3537" s="15">
        <v>6.7174300000000002</v>
      </c>
    </row>
    <row r="3538" spans="1:2">
      <c r="A3538" s="14">
        <v>45410.895139</v>
      </c>
      <c r="B3538" s="15">
        <v>6.7828670000000004</v>
      </c>
    </row>
    <row r="3539" spans="1:2">
      <c r="A3539" s="14">
        <v>45410.895833000002</v>
      </c>
      <c r="B3539" s="15">
        <v>6.8174099999999997</v>
      </c>
    </row>
    <row r="3540" spans="1:2">
      <c r="A3540" s="14">
        <v>45410.896527999997</v>
      </c>
      <c r="B3540" s="15">
        <v>7.2525680000000001</v>
      </c>
    </row>
    <row r="3541" spans="1:2">
      <c r="A3541" s="14">
        <v>45410.897222</v>
      </c>
      <c r="B3541" s="15">
        <v>7.4769759999999996</v>
      </c>
    </row>
    <row r="3542" spans="1:2">
      <c r="A3542" s="14">
        <v>45410.897917000002</v>
      </c>
      <c r="B3542" s="15">
        <v>7.0208680000000001</v>
      </c>
    </row>
    <row r="3543" spans="1:2">
      <c r="A3543" s="14">
        <v>45410.898610999997</v>
      </c>
      <c r="B3543" s="15">
        <v>7.3927680000000002</v>
      </c>
    </row>
    <row r="3544" spans="1:2">
      <c r="A3544" s="14">
        <v>45410.899305999999</v>
      </c>
      <c r="B3544" s="15">
        <v>7.4526700000000003</v>
      </c>
    </row>
    <row r="3545" spans="1:2">
      <c r="A3545" s="14">
        <v>45410.9</v>
      </c>
      <c r="B3545" s="15">
        <v>7.2402199999999999</v>
      </c>
    </row>
    <row r="3546" spans="1:2">
      <c r="A3546" s="14">
        <v>45410.900694000004</v>
      </c>
      <c r="B3546" s="15">
        <v>7.0832709999999999</v>
      </c>
    </row>
    <row r="3547" spans="1:2">
      <c r="A3547" s="14">
        <v>45410.901388999999</v>
      </c>
      <c r="B3547" s="15">
        <v>7.3313480000000002</v>
      </c>
    </row>
    <row r="3548" spans="1:2">
      <c r="A3548" s="14">
        <v>45410.902083000001</v>
      </c>
      <c r="B3548" s="15">
        <v>7.0670250000000001</v>
      </c>
    </row>
    <row r="3549" spans="1:2">
      <c r="A3549" s="14">
        <v>45410.902778000003</v>
      </c>
      <c r="B3549" s="15">
        <v>7.1785420000000002</v>
      </c>
    </row>
    <row r="3550" spans="1:2">
      <c r="A3550" s="14">
        <v>45410.903471999998</v>
      </c>
      <c r="B3550" s="15">
        <v>7.2354919999999998</v>
      </c>
    </row>
    <row r="3551" spans="1:2">
      <c r="A3551" s="14">
        <v>45410.904167000001</v>
      </c>
      <c r="B3551" s="15">
        <v>7.224615</v>
      </c>
    </row>
    <row r="3552" spans="1:2">
      <c r="A3552" s="14">
        <v>45410.904861000003</v>
      </c>
      <c r="B3552" s="15">
        <v>7.3584569999999996</v>
      </c>
    </row>
    <row r="3553" spans="1:2">
      <c r="A3553" s="14">
        <v>45410.905555999998</v>
      </c>
      <c r="B3553" s="15">
        <v>7.0422690000000001</v>
      </c>
    </row>
    <row r="3554" spans="1:2">
      <c r="A3554" s="14">
        <v>45410.90625</v>
      </c>
      <c r="B3554" s="15">
        <v>6.9451010000000002</v>
      </c>
    </row>
    <row r="3555" spans="1:2">
      <c r="A3555" s="14">
        <v>45410.906944000002</v>
      </c>
      <c r="B3555" s="15">
        <v>6.973725</v>
      </c>
    </row>
    <row r="3556" spans="1:2">
      <c r="A3556" s="14">
        <v>45410.907638999997</v>
      </c>
      <c r="B3556" s="15">
        <v>7.2408440000000001</v>
      </c>
    </row>
    <row r="3557" spans="1:2">
      <c r="A3557" s="14">
        <v>45410.908332999999</v>
      </c>
      <c r="B3557" s="15">
        <v>7.1683620000000001</v>
      </c>
    </row>
    <row r="3558" spans="1:2">
      <c r="A3558" s="14">
        <v>45410.909028000002</v>
      </c>
      <c r="B3558" s="15">
        <v>7.2114070000000003</v>
      </c>
    </row>
    <row r="3559" spans="1:2">
      <c r="A3559" s="14">
        <v>45410.909721999997</v>
      </c>
      <c r="B3559" s="15">
        <v>7.2899229999999999</v>
      </c>
    </row>
    <row r="3560" spans="1:2">
      <c r="A3560" s="14">
        <v>45410.910416999999</v>
      </c>
      <c r="B3560" s="15">
        <v>7.3469449999999998</v>
      </c>
    </row>
    <row r="3561" spans="1:2">
      <c r="A3561" s="14">
        <v>45410.911111000001</v>
      </c>
      <c r="B3561" s="15">
        <v>7.0991030000000004</v>
      </c>
    </row>
    <row r="3562" spans="1:2">
      <c r="A3562" s="14">
        <v>45410.911805999996</v>
      </c>
      <c r="B3562" s="15">
        <v>7.465554</v>
      </c>
    </row>
    <row r="3563" spans="1:2">
      <c r="A3563" s="14">
        <v>45410.912499999999</v>
      </c>
      <c r="B3563" s="15">
        <v>7.2571529999999997</v>
      </c>
    </row>
    <row r="3564" spans="1:2">
      <c r="A3564" s="14">
        <v>45410.913194000001</v>
      </c>
      <c r="B3564" s="15">
        <v>7.1639540000000004</v>
      </c>
    </row>
    <row r="3565" spans="1:2">
      <c r="A3565" s="14">
        <v>45410.913889000003</v>
      </c>
      <c r="B3565" s="15">
        <v>7.4091420000000001</v>
      </c>
    </row>
    <row r="3566" spans="1:2">
      <c r="A3566" s="14">
        <v>45410.914582999998</v>
      </c>
      <c r="B3566" s="15">
        <v>7.1391109999999998</v>
      </c>
    </row>
    <row r="3567" spans="1:2">
      <c r="A3567" s="14">
        <v>45410.915278</v>
      </c>
      <c r="B3567" s="15">
        <v>7.3156949999999998</v>
      </c>
    </row>
    <row r="3568" spans="1:2">
      <c r="A3568" s="14">
        <v>45410.915972000003</v>
      </c>
      <c r="B3568" s="15">
        <v>7.1721000000000004</v>
      </c>
    </row>
    <row r="3569" spans="1:2">
      <c r="A3569" s="14">
        <v>45410.916666999998</v>
      </c>
      <c r="B3569" s="15">
        <v>7.0431400000000002</v>
      </c>
    </row>
    <row r="3570" spans="1:2">
      <c r="A3570" s="14">
        <v>45410.917361</v>
      </c>
      <c r="B3570" s="15">
        <v>7.3115620000000003</v>
      </c>
    </row>
    <row r="3571" spans="1:2">
      <c r="A3571" s="14">
        <v>45410.918056000002</v>
      </c>
      <c r="B3571" s="15">
        <v>7.4645049999999999</v>
      </c>
    </row>
    <row r="3572" spans="1:2">
      <c r="A3572" s="14">
        <v>45410.918749999997</v>
      </c>
      <c r="B3572" s="15">
        <v>7.0868419999999999</v>
      </c>
    </row>
    <row r="3573" spans="1:2">
      <c r="A3573" s="14">
        <v>45410.919443999999</v>
      </c>
      <c r="B3573" s="15">
        <v>7.0119720000000001</v>
      </c>
    </row>
    <row r="3574" spans="1:2">
      <c r="A3574" s="14">
        <v>45410.920139000002</v>
      </c>
      <c r="B3574" s="15">
        <v>7.1625329999999998</v>
      </c>
    </row>
    <row r="3575" spans="1:2">
      <c r="A3575" s="14">
        <v>45410.920832999996</v>
      </c>
      <c r="B3575" s="15">
        <v>7.0629119999999999</v>
      </c>
    </row>
    <row r="3576" spans="1:2">
      <c r="A3576" s="14">
        <v>45410.921527999999</v>
      </c>
      <c r="B3576" s="15">
        <v>7.3633329999999999</v>
      </c>
    </row>
    <row r="3577" spans="1:2">
      <c r="A3577" s="14">
        <v>45410.922222000001</v>
      </c>
      <c r="B3577" s="15">
        <v>7.2257230000000003</v>
      </c>
    </row>
    <row r="3578" spans="1:2">
      <c r="A3578" s="14">
        <v>45410.922917000004</v>
      </c>
      <c r="B3578" s="15">
        <v>6.9945029999999999</v>
      </c>
    </row>
    <row r="3579" spans="1:2">
      <c r="A3579" s="14">
        <v>45410.923610999998</v>
      </c>
      <c r="B3579" s="15">
        <v>6.8496829999999997</v>
      </c>
    </row>
    <row r="3580" spans="1:2">
      <c r="A3580" s="14">
        <v>45410.924306000001</v>
      </c>
      <c r="B3580" s="15">
        <v>6.8327590000000002</v>
      </c>
    </row>
    <row r="3581" spans="1:2">
      <c r="A3581" s="14">
        <v>45410.925000000003</v>
      </c>
      <c r="B3581" s="15">
        <v>7.2079760000000004</v>
      </c>
    </row>
    <row r="3582" spans="1:2">
      <c r="A3582" s="14">
        <v>45410.925693999998</v>
      </c>
      <c r="B3582" s="15">
        <v>7.3678179999999998</v>
      </c>
    </row>
    <row r="3583" spans="1:2">
      <c r="A3583" s="14">
        <v>45410.926389</v>
      </c>
      <c r="B3583" s="15">
        <v>7.0341810000000002</v>
      </c>
    </row>
    <row r="3584" spans="1:2">
      <c r="A3584" s="14">
        <v>45410.927083000002</v>
      </c>
      <c r="B3584" s="15">
        <v>6.9401109999999999</v>
      </c>
    </row>
    <row r="3585" spans="1:2">
      <c r="A3585" s="14">
        <v>45410.927777999997</v>
      </c>
      <c r="B3585" s="15">
        <v>6.8964800000000004</v>
      </c>
    </row>
    <row r="3586" spans="1:2">
      <c r="A3586" s="14">
        <v>45410.928472</v>
      </c>
      <c r="B3586" s="15">
        <v>7.0187600000000003</v>
      </c>
    </row>
    <row r="3587" spans="1:2">
      <c r="A3587" s="14">
        <v>45410.929167000002</v>
      </c>
      <c r="B3587" s="15">
        <v>7.2537570000000002</v>
      </c>
    </row>
    <row r="3588" spans="1:2">
      <c r="A3588" s="14">
        <v>45410.929860999997</v>
      </c>
      <c r="B3588" s="15">
        <v>6.8685099999999997</v>
      </c>
    </row>
    <row r="3589" spans="1:2">
      <c r="A3589" s="14">
        <v>45410.930555999999</v>
      </c>
      <c r="B3589" s="15">
        <v>6.8570250000000001</v>
      </c>
    </row>
    <row r="3590" spans="1:2">
      <c r="A3590" s="14">
        <v>45410.931250000001</v>
      </c>
      <c r="B3590" s="15">
        <v>7.0256699999999999</v>
      </c>
    </row>
    <row r="3591" spans="1:2">
      <c r="A3591" s="14">
        <v>45410.931944000004</v>
      </c>
      <c r="B3591" s="15">
        <v>7.2702939999999998</v>
      </c>
    </row>
    <row r="3592" spans="1:2">
      <c r="A3592" s="14">
        <v>45410.932638999999</v>
      </c>
      <c r="B3592" s="15">
        <v>7.1689439999999998</v>
      </c>
    </row>
    <row r="3593" spans="1:2">
      <c r="A3593" s="14">
        <v>45410.933333000001</v>
      </c>
      <c r="B3593" s="15">
        <v>7.0952830000000002</v>
      </c>
    </row>
    <row r="3594" spans="1:2">
      <c r="A3594" s="14">
        <v>45410.934028000003</v>
      </c>
      <c r="B3594" s="15">
        <v>7.1358959999999998</v>
      </c>
    </row>
    <row r="3595" spans="1:2">
      <c r="A3595" s="14">
        <v>45410.934721999998</v>
      </c>
      <c r="B3595" s="15">
        <v>7.1028840000000004</v>
      </c>
    </row>
    <row r="3596" spans="1:2">
      <c r="A3596" s="14">
        <v>45410.935417000001</v>
      </c>
      <c r="B3596" s="15">
        <v>6.8922119999999998</v>
      </c>
    </row>
    <row r="3597" spans="1:2">
      <c r="A3597" s="14">
        <v>45410.936111000003</v>
      </c>
      <c r="B3597" s="15">
        <v>7.236021</v>
      </c>
    </row>
    <row r="3598" spans="1:2">
      <c r="A3598" s="14">
        <v>45410.936805999998</v>
      </c>
      <c r="B3598" s="15">
        <v>7.0559240000000001</v>
      </c>
    </row>
    <row r="3599" spans="1:2">
      <c r="A3599" s="14">
        <v>45410.9375</v>
      </c>
      <c r="B3599" s="15">
        <v>7.0821300000000003</v>
      </c>
    </row>
    <row r="3600" spans="1:2">
      <c r="A3600" s="14">
        <v>45410.938194000002</v>
      </c>
      <c r="B3600" s="15">
        <v>7.3084559999999996</v>
      </c>
    </row>
    <row r="3601" spans="1:2">
      <c r="A3601" s="14">
        <v>45410.938888999997</v>
      </c>
      <c r="B3601" s="15">
        <v>7.0035270000000001</v>
      </c>
    </row>
    <row r="3602" spans="1:2">
      <c r="A3602" s="14">
        <v>45410.939582999999</v>
      </c>
      <c r="B3602" s="15">
        <v>7.2556159999999998</v>
      </c>
    </row>
    <row r="3603" spans="1:2">
      <c r="A3603" s="14">
        <v>45410.940278000002</v>
      </c>
      <c r="B3603" s="15">
        <v>7.2236570000000002</v>
      </c>
    </row>
    <row r="3604" spans="1:2">
      <c r="A3604" s="14">
        <v>45410.940971999997</v>
      </c>
      <c r="B3604" s="15">
        <v>7.0963050000000001</v>
      </c>
    </row>
    <row r="3605" spans="1:2">
      <c r="A3605" s="14">
        <v>45410.941666999999</v>
      </c>
      <c r="B3605" s="15">
        <v>7.0075620000000001</v>
      </c>
    </row>
    <row r="3606" spans="1:2">
      <c r="A3606" s="14">
        <v>45410.942361000001</v>
      </c>
      <c r="B3606" s="15">
        <v>7.1360900000000003</v>
      </c>
    </row>
    <row r="3607" spans="1:2">
      <c r="A3607" s="14">
        <v>45410.943055999996</v>
      </c>
      <c r="B3607" s="15">
        <v>7.1224540000000003</v>
      </c>
    </row>
    <row r="3608" spans="1:2">
      <c r="A3608" s="14">
        <v>45410.943749999999</v>
      </c>
      <c r="B3608" s="15">
        <v>7.0803640000000003</v>
      </c>
    </row>
    <row r="3609" spans="1:2">
      <c r="A3609" s="14">
        <v>45410.944444000001</v>
      </c>
      <c r="B3609" s="15">
        <v>7.0252889999999999</v>
      </c>
    </row>
    <row r="3610" spans="1:2">
      <c r="A3610" s="14">
        <v>45410.945139000003</v>
      </c>
      <c r="B3610" s="15">
        <v>6.8879609999999998</v>
      </c>
    </row>
    <row r="3611" spans="1:2">
      <c r="A3611" s="14">
        <v>45410.945832999998</v>
      </c>
      <c r="B3611" s="15">
        <v>7.0861340000000004</v>
      </c>
    </row>
    <row r="3612" spans="1:2">
      <c r="A3612" s="14">
        <v>45410.946528</v>
      </c>
      <c r="B3612" s="15">
        <v>7.032902</v>
      </c>
    </row>
    <row r="3613" spans="1:2">
      <c r="A3613" s="14">
        <v>45410.947222000003</v>
      </c>
      <c r="B3613" s="15">
        <v>6.8070620000000002</v>
      </c>
    </row>
    <row r="3614" spans="1:2">
      <c r="A3614" s="14">
        <v>45410.947916999998</v>
      </c>
      <c r="B3614" s="15">
        <v>6.8959469999999996</v>
      </c>
    </row>
    <row r="3615" spans="1:2">
      <c r="A3615" s="14">
        <v>45410.948611</v>
      </c>
      <c r="B3615" s="15">
        <v>7.430777</v>
      </c>
    </row>
    <row r="3616" spans="1:2">
      <c r="A3616" s="14">
        <v>45410.949306000002</v>
      </c>
      <c r="B3616" s="15">
        <v>7.1540809999999997</v>
      </c>
    </row>
    <row r="3617" spans="1:2">
      <c r="A3617" s="14">
        <v>45410.95</v>
      </c>
      <c r="B3617" s="15">
        <v>6.7366089999999996</v>
      </c>
    </row>
    <row r="3618" spans="1:2">
      <c r="A3618" s="14">
        <v>45410.950693999999</v>
      </c>
      <c r="B3618" s="15">
        <v>7.333215</v>
      </c>
    </row>
    <row r="3619" spans="1:2">
      <c r="A3619" s="14">
        <v>45410.951389000002</v>
      </c>
      <c r="B3619" s="15">
        <v>6.9779549999999997</v>
      </c>
    </row>
    <row r="3620" spans="1:2">
      <c r="A3620" s="14">
        <v>45410.952082999996</v>
      </c>
      <c r="B3620" s="15">
        <v>7.1149760000000004</v>
      </c>
    </row>
    <row r="3621" spans="1:2">
      <c r="A3621" s="14">
        <v>45410.952777999999</v>
      </c>
      <c r="B3621" s="15">
        <v>7.1738429999999997</v>
      </c>
    </row>
    <row r="3622" spans="1:2">
      <c r="A3622" s="14">
        <v>45410.953472000001</v>
      </c>
      <c r="B3622" s="15">
        <v>6.8713559999999996</v>
      </c>
    </row>
    <row r="3623" spans="1:2">
      <c r="A3623" s="14">
        <v>45410.954167000004</v>
      </c>
      <c r="B3623" s="15">
        <v>7.0430020000000004</v>
      </c>
    </row>
    <row r="3624" spans="1:2">
      <c r="A3624" s="14">
        <v>45410.954860999998</v>
      </c>
      <c r="B3624" s="15">
        <v>7.1511529999999999</v>
      </c>
    </row>
    <row r="3625" spans="1:2">
      <c r="A3625" s="14">
        <v>45410.955556000001</v>
      </c>
      <c r="B3625" s="15">
        <v>7.095313</v>
      </c>
    </row>
    <row r="3626" spans="1:2">
      <c r="A3626" s="14">
        <v>45410.956250000003</v>
      </c>
      <c r="B3626" s="15">
        <v>6.885459</v>
      </c>
    </row>
    <row r="3627" spans="1:2">
      <c r="A3627" s="14">
        <v>45410.956943999998</v>
      </c>
      <c r="B3627" s="15">
        <v>7.301806</v>
      </c>
    </row>
    <row r="3628" spans="1:2">
      <c r="A3628" s="14">
        <v>45410.957639</v>
      </c>
      <c r="B3628" s="15">
        <v>7.2758659999999997</v>
      </c>
    </row>
    <row r="3629" spans="1:2">
      <c r="A3629" s="14">
        <v>45410.958333000002</v>
      </c>
      <c r="B3629" s="15">
        <v>7.2750320000000004</v>
      </c>
    </row>
    <row r="3630" spans="1:2">
      <c r="A3630" s="14">
        <v>45410.959027999997</v>
      </c>
      <c r="B3630" s="15">
        <v>7.2112730000000003</v>
      </c>
    </row>
    <row r="3631" spans="1:2">
      <c r="A3631" s="14">
        <v>45410.959722</v>
      </c>
      <c r="B3631" s="15">
        <v>6.9477770000000003</v>
      </c>
    </row>
    <row r="3632" spans="1:2">
      <c r="A3632" s="14">
        <v>45410.960417000002</v>
      </c>
      <c r="B3632" s="15">
        <v>7.0169509999999997</v>
      </c>
    </row>
    <row r="3633" spans="1:2">
      <c r="A3633" s="14">
        <v>45410.961110999997</v>
      </c>
      <c r="B3633" s="15">
        <v>7.1207940000000001</v>
      </c>
    </row>
    <row r="3634" spans="1:2">
      <c r="A3634" s="14">
        <v>45410.961805999999</v>
      </c>
      <c r="B3634" s="15">
        <v>7.2005860000000004</v>
      </c>
    </row>
    <row r="3635" spans="1:2">
      <c r="A3635" s="14">
        <v>45410.962500000001</v>
      </c>
      <c r="B3635" s="15">
        <v>7.2165710000000001</v>
      </c>
    </row>
    <row r="3636" spans="1:2">
      <c r="A3636" s="14">
        <v>45410.963194000004</v>
      </c>
      <c r="B3636" s="15">
        <v>6.8520839999999996</v>
      </c>
    </row>
    <row r="3637" spans="1:2">
      <c r="A3637" s="14">
        <v>45410.963888999999</v>
      </c>
      <c r="B3637" s="15">
        <v>7.1732630000000004</v>
      </c>
    </row>
    <row r="3638" spans="1:2">
      <c r="A3638" s="14">
        <v>45410.964583000001</v>
      </c>
      <c r="B3638" s="15">
        <v>7.3284609999999999</v>
      </c>
    </row>
    <row r="3639" spans="1:2">
      <c r="A3639" s="14">
        <v>45410.965278000003</v>
      </c>
      <c r="B3639" s="15">
        <v>7.293946</v>
      </c>
    </row>
    <row r="3640" spans="1:2">
      <c r="A3640" s="14">
        <v>45410.965971999998</v>
      </c>
      <c r="B3640" s="15">
        <v>7.089906</v>
      </c>
    </row>
    <row r="3641" spans="1:2">
      <c r="A3641" s="14">
        <v>45410.966667000001</v>
      </c>
      <c r="B3641" s="15">
        <v>6.9198329999999997</v>
      </c>
    </row>
    <row r="3642" spans="1:2">
      <c r="A3642" s="14">
        <v>45410.967361000003</v>
      </c>
      <c r="B3642" s="15">
        <v>6.8045080000000002</v>
      </c>
    </row>
    <row r="3643" spans="1:2">
      <c r="A3643" s="14">
        <v>45410.968055999998</v>
      </c>
      <c r="B3643" s="15">
        <v>6.8545970000000001</v>
      </c>
    </row>
    <row r="3644" spans="1:2">
      <c r="A3644" s="14">
        <v>45410.96875</v>
      </c>
      <c r="B3644" s="15">
        <v>7.5018960000000003</v>
      </c>
    </row>
    <row r="3645" spans="1:2">
      <c r="A3645" s="14">
        <v>45410.969444000002</v>
      </c>
      <c r="B3645" s="15">
        <v>6.8913409999999997</v>
      </c>
    </row>
    <row r="3646" spans="1:2">
      <c r="A3646" s="14">
        <v>45410.970138999997</v>
      </c>
      <c r="B3646" s="15">
        <v>7.2308469999999998</v>
      </c>
    </row>
    <row r="3647" spans="1:2">
      <c r="A3647" s="14">
        <v>45410.970832999999</v>
      </c>
      <c r="B3647" s="15">
        <v>7.3279779999999999</v>
      </c>
    </row>
    <row r="3648" spans="1:2">
      <c r="A3648" s="14">
        <v>45410.971528000002</v>
      </c>
      <c r="B3648" s="15">
        <v>7.0565160000000002</v>
      </c>
    </row>
    <row r="3649" spans="1:2">
      <c r="A3649" s="14">
        <v>45410.972221999997</v>
      </c>
      <c r="B3649" s="15">
        <v>7.2765639999999996</v>
      </c>
    </row>
    <row r="3650" spans="1:2">
      <c r="A3650" s="14">
        <v>45410.972916999999</v>
      </c>
      <c r="B3650" s="15">
        <v>7.1705610000000002</v>
      </c>
    </row>
    <row r="3651" spans="1:2">
      <c r="A3651" s="14">
        <v>45410.973611000001</v>
      </c>
      <c r="B3651" s="15">
        <v>7.0984800000000003</v>
      </c>
    </row>
    <row r="3652" spans="1:2">
      <c r="A3652" s="14">
        <v>45410.974305999996</v>
      </c>
      <c r="B3652" s="15">
        <v>7.0704000000000002</v>
      </c>
    </row>
    <row r="3653" spans="1:2">
      <c r="A3653" s="14">
        <v>45410.974999999999</v>
      </c>
      <c r="B3653" s="15">
        <v>7.1344570000000003</v>
      </c>
    </row>
    <row r="3654" spans="1:2">
      <c r="A3654" s="14">
        <v>45410.975694000001</v>
      </c>
      <c r="B3654" s="15">
        <v>7.2561980000000004</v>
      </c>
    </row>
    <row r="3655" spans="1:2">
      <c r="A3655" s="14">
        <v>45410.976389000003</v>
      </c>
      <c r="B3655" s="15">
        <v>7.0955430000000002</v>
      </c>
    </row>
    <row r="3656" spans="1:2">
      <c r="A3656" s="14">
        <v>45410.977082999998</v>
      </c>
      <c r="B3656" s="15">
        <v>7.0912309999999996</v>
      </c>
    </row>
    <row r="3657" spans="1:2">
      <c r="A3657" s="14">
        <v>45410.977778</v>
      </c>
      <c r="B3657" s="15">
        <v>7.2686159999999997</v>
      </c>
    </row>
    <row r="3658" spans="1:2">
      <c r="A3658" s="14">
        <v>45410.978472000003</v>
      </c>
      <c r="B3658" s="15">
        <v>6.9738069999999999</v>
      </c>
    </row>
    <row r="3659" spans="1:2">
      <c r="A3659" s="14">
        <v>45410.979166999998</v>
      </c>
      <c r="B3659" s="15">
        <v>7.111472</v>
      </c>
    </row>
    <row r="3660" spans="1:2">
      <c r="A3660" s="14">
        <v>45410.979861</v>
      </c>
      <c r="B3660" s="15">
        <v>7.0138249999999998</v>
      </c>
    </row>
    <row r="3661" spans="1:2">
      <c r="A3661" s="14">
        <v>45410.980556000002</v>
      </c>
      <c r="B3661" s="15">
        <v>6.8630680000000002</v>
      </c>
    </row>
    <row r="3662" spans="1:2">
      <c r="A3662" s="14">
        <v>45410.981249999997</v>
      </c>
      <c r="B3662" s="15">
        <v>7.0778930000000004</v>
      </c>
    </row>
    <row r="3663" spans="1:2">
      <c r="A3663" s="14">
        <v>45410.981943999999</v>
      </c>
      <c r="B3663" s="15">
        <v>6.9587680000000001</v>
      </c>
    </row>
    <row r="3664" spans="1:2">
      <c r="A3664" s="14">
        <v>45410.982639000002</v>
      </c>
      <c r="B3664" s="15">
        <v>7.1486749999999999</v>
      </c>
    </row>
    <row r="3665" spans="1:2">
      <c r="A3665" s="14">
        <v>45410.983332999996</v>
      </c>
      <c r="B3665" s="15">
        <v>7.289682</v>
      </c>
    </row>
    <row r="3666" spans="1:2">
      <c r="A3666" s="14">
        <v>45410.984027999999</v>
      </c>
      <c r="B3666" s="15">
        <v>6.9627160000000003</v>
      </c>
    </row>
    <row r="3667" spans="1:2">
      <c r="A3667" s="14">
        <v>45410.984722000001</v>
      </c>
      <c r="B3667" s="15">
        <v>7.2763720000000003</v>
      </c>
    </row>
    <row r="3668" spans="1:2">
      <c r="A3668" s="14">
        <v>45410.985417000004</v>
      </c>
      <c r="B3668" s="15">
        <v>6.9212199999999999</v>
      </c>
    </row>
    <row r="3669" spans="1:2">
      <c r="A3669" s="14">
        <v>45410.986110999998</v>
      </c>
      <c r="B3669" s="15">
        <v>6.8496379999999997</v>
      </c>
    </row>
    <row r="3670" spans="1:2">
      <c r="A3670" s="14">
        <v>45410.986806000001</v>
      </c>
      <c r="B3670" s="15">
        <v>7.2107900000000003</v>
      </c>
    </row>
    <row r="3671" spans="1:2">
      <c r="A3671" s="14">
        <v>45410.987500000003</v>
      </c>
      <c r="B3671" s="15">
        <v>7.1691419999999999</v>
      </c>
    </row>
    <row r="3672" spans="1:2">
      <c r="A3672" s="14">
        <v>45410.988193999998</v>
      </c>
      <c r="B3672" s="15">
        <v>7.1736370000000003</v>
      </c>
    </row>
    <row r="3673" spans="1:2">
      <c r="A3673" s="14">
        <v>45410.988889</v>
      </c>
      <c r="B3673" s="15">
        <v>7.1579759999999997</v>
      </c>
    </row>
    <row r="3674" spans="1:2">
      <c r="A3674" s="14">
        <v>45410.989583000002</v>
      </c>
      <c r="B3674" s="15">
        <v>7.0990060000000001</v>
      </c>
    </row>
    <row r="3675" spans="1:2">
      <c r="A3675" s="14">
        <v>45410.990277999997</v>
      </c>
      <c r="B3675" s="15">
        <v>6.8801680000000003</v>
      </c>
    </row>
    <row r="3676" spans="1:2">
      <c r="A3676" s="14">
        <v>45410.990972</v>
      </c>
      <c r="B3676" s="15">
        <v>7.0344579999999999</v>
      </c>
    </row>
    <row r="3677" spans="1:2">
      <c r="A3677" s="14">
        <v>45410.991667000002</v>
      </c>
      <c r="B3677" s="15">
        <v>7.1154549999999999</v>
      </c>
    </row>
    <row r="3678" spans="1:2">
      <c r="A3678" s="14">
        <v>45410.992360999997</v>
      </c>
      <c r="B3678" s="15">
        <v>7.1785750000000004</v>
      </c>
    </row>
    <row r="3679" spans="1:2">
      <c r="A3679" s="14">
        <v>45410.993055999999</v>
      </c>
      <c r="B3679" s="15">
        <v>7.2520709999999999</v>
      </c>
    </row>
    <row r="3680" spans="1:2">
      <c r="A3680" s="14">
        <v>45410.993750000001</v>
      </c>
      <c r="B3680" s="15">
        <v>7.2023890000000002</v>
      </c>
    </row>
    <row r="3681" spans="1:2">
      <c r="A3681" s="14">
        <v>45410.994444000004</v>
      </c>
      <c r="B3681" s="15">
        <v>7.2575310000000002</v>
      </c>
    </row>
    <row r="3682" spans="1:2">
      <c r="A3682" s="14">
        <v>45410.995138999999</v>
      </c>
      <c r="B3682" s="15">
        <v>7.196415</v>
      </c>
    </row>
    <row r="3683" spans="1:2">
      <c r="A3683" s="14">
        <v>45410.995833000001</v>
      </c>
      <c r="B3683" s="15">
        <v>7.066351</v>
      </c>
    </row>
    <row r="3684" spans="1:2">
      <c r="A3684" s="14">
        <v>45410.996528000003</v>
      </c>
      <c r="B3684" s="15">
        <v>7.1046329999999998</v>
      </c>
    </row>
    <row r="3685" spans="1:2">
      <c r="A3685" s="14">
        <v>45410.997221999998</v>
      </c>
      <c r="B3685" s="15">
        <v>7.2146629999999998</v>
      </c>
    </row>
    <row r="3686" spans="1:2">
      <c r="A3686" s="14">
        <v>45410.997917000001</v>
      </c>
      <c r="B3686" s="15">
        <v>7.0866420000000003</v>
      </c>
    </row>
    <row r="3687" spans="1:2">
      <c r="A3687" s="14">
        <v>45410.998611000003</v>
      </c>
      <c r="B3687" s="15">
        <v>6.9830129999999997</v>
      </c>
    </row>
    <row r="3688" spans="1:2">
      <c r="A3688" s="14">
        <v>45410.999305999998</v>
      </c>
      <c r="B3688" s="15">
        <v>7.1133139999999999</v>
      </c>
    </row>
    <row r="3689" spans="1:2">
      <c r="A3689" s="14">
        <v>45411</v>
      </c>
      <c r="B3689" s="15">
        <v>7.1593859999999996</v>
      </c>
    </row>
    <row r="3690" spans="1:2">
      <c r="A3690" s="14">
        <v>45411.000694000002</v>
      </c>
      <c r="B3690" s="15">
        <v>7.2243620000000002</v>
      </c>
    </row>
    <row r="3691" spans="1:2">
      <c r="A3691" s="14">
        <v>45411.001388999997</v>
      </c>
      <c r="B3691" s="15">
        <v>7.2131030000000003</v>
      </c>
    </row>
    <row r="3692" spans="1:2">
      <c r="A3692" s="14">
        <v>45411.002082999999</v>
      </c>
      <c r="B3692" s="15">
        <v>7.1440960000000002</v>
      </c>
    </row>
    <row r="3693" spans="1:2">
      <c r="A3693" s="14">
        <v>45411.002778000002</v>
      </c>
      <c r="B3693" s="15">
        <v>7.3775029999999999</v>
      </c>
    </row>
    <row r="3694" spans="1:2">
      <c r="A3694" s="14">
        <v>45411.003471999997</v>
      </c>
      <c r="B3694" s="15">
        <v>6.9337239999999998</v>
      </c>
    </row>
    <row r="3695" spans="1:2">
      <c r="A3695" s="14">
        <v>45411.004166999999</v>
      </c>
      <c r="B3695" s="15">
        <v>6.8635869999999999</v>
      </c>
    </row>
    <row r="3696" spans="1:2">
      <c r="A3696" s="14">
        <v>45411.004861000001</v>
      </c>
      <c r="B3696" s="15">
        <v>6.9097059999999999</v>
      </c>
    </row>
    <row r="3697" spans="1:2">
      <c r="A3697" s="14">
        <v>45411.005555999996</v>
      </c>
      <c r="B3697" s="15">
        <v>6.9926979999999999</v>
      </c>
    </row>
    <row r="3698" spans="1:2">
      <c r="A3698" s="14">
        <v>45411.006249999999</v>
      </c>
      <c r="B3698" s="15">
        <v>7.3645769999999997</v>
      </c>
    </row>
    <row r="3699" spans="1:2">
      <c r="A3699" s="14">
        <v>45411.006944000001</v>
      </c>
      <c r="B3699" s="15">
        <v>7.1955470000000004</v>
      </c>
    </row>
    <row r="3700" spans="1:2">
      <c r="A3700" s="14">
        <v>45411.007639000003</v>
      </c>
      <c r="B3700" s="15">
        <v>6.9018769999999998</v>
      </c>
    </row>
    <row r="3701" spans="1:2">
      <c r="A3701" s="14">
        <v>45411.008332999998</v>
      </c>
      <c r="B3701" s="15">
        <v>6.5955000000000004</v>
      </c>
    </row>
    <row r="3702" spans="1:2">
      <c r="A3702" s="14">
        <v>45411.009028</v>
      </c>
      <c r="B3702" s="15">
        <v>7.8485550000000002</v>
      </c>
    </row>
    <row r="3703" spans="1:2">
      <c r="A3703" s="14">
        <v>45411.009722000003</v>
      </c>
      <c r="B3703" s="15">
        <v>7.2263159999999997</v>
      </c>
    </row>
    <row r="3704" spans="1:2">
      <c r="A3704" s="14">
        <v>45411.010416999998</v>
      </c>
      <c r="B3704" s="15">
        <v>6.9145190000000003</v>
      </c>
    </row>
    <row r="3705" spans="1:2">
      <c r="A3705" s="14">
        <v>45411.011111</v>
      </c>
      <c r="B3705" s="15">
        <v>6.9169090000000004</v>
      </c>
    </row>
    <row r="3706" spans="1:2">
      <c r="A3706" s="14">
        <v>45411.011806000002</v>
      </c>
      <c r="B3706" s="15">
        <v>7.1438639999999998</v>
      </c>
    </row>
    <row r="3707" spans="1:2">
      <c r="A3707" s="14">
        <v>45411.012499999997</v>
      </c>
      <c r="B3707" s="15">
        <v>7.2113759999999996</v>
      </c>
    </row>
    <row r="3708" spans="1:2">
      <c r="A3708" s="14">
        <v>45411.013193999999</v>
      </c>
      <c r="B3708" s="15">
        <v>7.0419119999999999</v>
      </c>
    </row>
    <row r="3709" spans="1:2">
      <c r="A3709" s="14">
        <v>45411.013889000002</v>
      </c>
      <c r="B3709" s="15">
        <v>6.8906619999999998</v>
      </c>
    </row>
    <row r="3710" spans="1:2">
      <c r="A3710" s="14">
        <v>45411.014582999996</v>
      </c>
      <c r="B3710" s="15">
        <v>7.0975380000000001</v>
      </c>
    </row>
    <row r="3711" spans="1:2">
      <c r="A3711" s="14">
        <v>45411.015277999999</v>
      </c>
      <c r="B3711" s="15">
        <v>7.2933110000000001</v>
      </c>
    </row>
    <row r="3712" spans="1:2">
      <c r="A3712" s="14">
        <v>45411.015972000001</v>
      </c>
      <c r="B3712" s="15">
        <v>7.1512320000000003</v>
      </c>
    </row>
    <row r="3713" spans="1:2">
      <c r="A3713" s="14">
        <v>45411.016667000004</v>
      </c>
      <c r="B3713" s="15">
        <v>7.1123510000000003</v>
      </c>
    </row>
    <row r="3714" spans="1:2">
      <c r="A3714" s="14">
        <v>45411.017360999998</v>
      </c>
      <c r="B3714" s="15">
        <v>7.2862580000000001</v>
      </c>
    </row>
    <row r="3715" spans="1:2">
      <c r="A3715" s="14">
        <v>45411.018056000001</v>
      </c>
      <c r="B3715" s="15">
        <v>6.9499820000000003</v>
      </c>
    </row>
    <row r="3716" spans="1:2">
      <c r="A3716" s="14">
        <v>45411.018750000003</v>
      </c>
      <c r="B3716" s="15">
        <v>7.1528099999999997</v>
      </c>
    </row>
    <row r="3717" spans="1:2">
      <c r="A3717" s="14">
        <v>45411.019443999998</v>
      </c>
      <c r="B3717" s="15">
        <v>7.2328950000000001</v>
      </c>
    </row>
    <row r="3718" spans="1:2">
      <c r="A3718" s="14">
        <v>45411.020139</v>
      </c>
      <c r="B3718" s="15">
        <v>7.239471</v>
      </c>
    </row>
    <row r="3719" spans="1:2">
      <c r="A3719" s="14">
        <v>45411.020833000002</v>
      </c>
      <c r="B3719" s="15">
        <v>7.3038530000000002</v>
      </c>
    </row>
    <row r="3720" spans="1:2">
      <c r="A3720" s="14">
        <v>45411.021527999997</v>
      </c>
      <c r="B3720" s="15">
        <v>7.2838599999999998</v>
      </c>
    </row>
    <row r="3721" spans="1:2">
      <c r="A3721" s="14">
        <v>45411.022222</v>
      </c>
      <c r="B3721" s="15">
        <v>7.0541489999999998</v>
      </c>
    </row>
    <row r="3722" spans="1:2">
      <c r="A3722" s="14">
        <v>45411.022917000002</v>
      </c>
      <c r="B3722" s="15">
        <v>6.9348020000000004</v>
      </c>
    </row>
    <row r="3723" spans="1:2">
      <c r="A3723" s="14">
        <v>45411.023610999997</v>
      </c>
      <c r="B3723" s="15">
        <v>6.9628930000000002</v>
      </c>
    </row>
    <row r="3724" spans="1:2">
      <c r="A3724" s="14">
        <v>45411.024305999999</v>
      </c>
      <c r="B3724" s="15">
        <v>6.996359</v>
      </c>
    </row>
    <row r="3725" spans="1:2">
      <c r="A3725" s="14">
        <v>45411.025000000001</v>
      </c>
      <c r="B3725" s="15">
        <v>7.2163649999999997</v>
      </c>
    </row>
    <row r="3726" spans="1:2">
      <c r="A3726" s="14">
        <v>45411.025694000004</v>
      </c>
      <c r="B3726" s="15">
        <v>7.186623</v>
      </c>
    </row>
    <row r="3727" spans="1:2">
      <c r="A3727" s="14">
        <v>45411.026388999999</v>
      </c>
      <c r="B3727" s="15">
        <v>7.004251</v>
      </c>
    </row>
    <row r="3728" spans="1:2">
      <c r="A3728" s="14">
        <v>45411.027083000001</v>
      </c>
      <c r="B3728" s="15">
        <v>7.207846</v>
      </c>
    </row>
    <row r="3729" spans="1:2">
      <c r="A3729" s="14">
        <v>45411.027778000003</v>
      </c>
      <c r="B3729" s="15">
        <v>7.3317649999999999</v>
      </c>
    </row>
    <row r="3730" spans="1:2">
      <c r="A3730" s="14">
        <v>45411.028471999998</v>
      </c>
      <c r="B3730" s="15">
        <v>7.2010129999999997</v>
      </c>
    </row>
    <row r="3731" spans="1:2">
      <c r="A3731" s="14">
        <v>45411.029167000001</v>
      </c>
      <c r="B3731" s="15">
        <v>7.0453429999999999</v>
      </c>
    </row>
    <row r="3732" spans="1:2">
      <c r="A3732" s="14">
        <v>45411.029861000003</v>
      </c>
      <c r="B3732" s="15">
        <v>6.956874</v>
      </c>
    </row>
    <row r="3733" spans="1:2">
      <c r="A3733" s="14">
        <v>45411.030555999998</v>
      </c>
      <c r="B3733" s="15">
        <v>6.8341399999999997</v>
      </c>
    </row>
    <row r="3734" spans="1:2">
      <c r="A3734" s="14">
        <v>45411.03125</v>
      </c>
      <c r="B3734" s="15">
        <v>7.0497629999999996</v>
      </c>
    </row>
    <row r="3735" spans="1:2">
      <c r="A3735" s="14">
        <v>45411.031944000002</v>
      </c>
      <c r="B3735" s="15">
        <v>7.14297</v>
      </c>
    </row>
    <row r="3736" spans="1:2">
      <c r="A3736" s="14">
        <v>45411.032638999997</v>
      </c>
      <c r="B3736" s="15">
        <v>7.001735</v>
      </c>
    </row>
    <row r="3737" spans="1:2">
      <c r="A3737" s="14">
        <v>45411.033332999999</v>
      </c>
      <c r="B3737" s="15">
        <v>6.9470590000000003</v>
      </c>
    </row>
    <row r="3738" spans="1:2">
      <c r="A3738" s="14">
        <v>45411.034028000002</v>
      </c>
      <c r="B3738" s="15">
        <v>7.0851920000000002</v>
      </c>
    </row>
    <row r="3739" spans="1:2">
      <c r="A3739" s="14">
        <v>45411.034721999997</v>
      </c>
      <c r="B3739" s="15">
        <v>7.1645459999999996</v>
      </c>
    </row>
    <row r="3740" spans="1:2">
      <c r="A3740" s="14">
        <v>45411.035416999999</v>
      </c>
      <c r="B3740" s="15">
        <v>7.1488849999999999</v>
      </c>
    </row>
    <row r="3741" spans="1:2">
      <c r="A3741" s="14">
        <v>45411.036111000001</v>
      </c>
      <c r="B3741" s="15">
        <v>6.847283</v>
      </c>
    </row>
    <row r="3742" spans="1:2">
      <c r="A3742" s="14">
        <v>45411.036805999996</v>
      </c>
      <c r="B3742" s="15">
        <v>6.9618169999999999</v>
      </c>
    </row>
    <row r="3743" spans="1:2">
      <c r="A3743" s="14">
        <v>45411.037499999999</v>
      </c>
      <c r="B3743" s="15">
        <v>7.1219530000000004</v>
      </c>
    </row>
    <row r="3744" spans="1:2">
      <c r="A3744" s="14">
        <v>45411.038194000001</v>
      </c>
      <c r="B3744" s="15">
        <v>7.3095990000000004</v>
      </c>
    </row>
    <row r="3745" spans="1:2">
      <c r="A3745" s="14">
        <v>45411.038889000003</v>
      </c>
      <c r="B3745" s="15">
        <v>7.4570210000000001</v>
      </c>
    </row>
    <row r="3746" spans="1:2">
      <c r="A3746" s="14">
        <v>45411.039582999998</v>
      </c>
      <c r="B3746" s="15">
        <v>7.0021339999999999</v>
      </c>
    </row>
    <row r="3747" spans="1:2">
      <c r="A3747" s="14">
        <v>45411.040278</v>
      </c>
      <c r="B3747" s="15">
        <v>7.3079650000000003</v>
      </c>
    </row>
    <row r="3748" spans="1:2">
      <c r="A3748" s="14">
        <v>45411.040972000003</v>
      </c>
      <c r="B3748" s="15">
        <v>7.2338959999999997</v>
      </c>
    </row>
    <row r="3749" spans="1:2">
      <c r="A3749" s="14">
        <v>45411.041666999998</v>
      </c>
      <c r="B3749" s="15">
        <v>6.8168480000000002</v>
      </c>
    </row>
    <row r="3750" spans="1:2">
      <c r="A3750" s="14">
        <v>45411.042361</v>
      </c>
      <c r="B3750" s="15">
        <v>7.1256320000000004</v>
      </c>
    </row>
    <row r="3751" spans="1:2">
      <c r="A3751" s="14">
        <v>45411.043056000002</v>
      </c>
      <c r="B3751" s="15">
        <v>7.0765659999999997</v>
      </c>
    </row>
    <row r="3752" spans="1:2">
      <c r="A3752" s="14">
        <v>45411.043749999997</v>
      </c>
      <c r="B3752" s="15">
        <v>7.0981909999999999</v>
      </c>
    </row>
    <row r="3753" spans="1:2">
      <c r="A3753" s="14">
        <v>45411.044443999999</v>
      </c>
      <c r="B3753" s="15">
        <v>7.1616860000000004</v>
      </c>
    </row>
    <row r="3754" spans="1:2">
      <c r="A3754" s="14">
        <v>45411.045139000002</v>
      </c>
      <c r="B3754" s="15">
        <v>7.2476529999999997</v>
      </c>
    </row>
    <row r="3755" spans="1:2">
      <c r="A3755" s="14">
        <v>45411.045832999996</v>
      </c>
      <c r="B3755" s="15">
        <v>7.1368660000000004</v>
      </c>
    </row>
    <row r="3756" spans="1:2">
      <c r="A3756" s="14">
        <v>45411.046527999999</v>
      </c>
      <c r="B3756" s="15">
        <v>7.0308020000000004</v>
      </c>
    </row>
    <row r="3757" spans="1:2">
      <c r="A3757" s="14">
        <v>45411.047222000001</v>
      </c>
      <c r="B3757" s="15">
        <v>7.0134740000000004</v>
      </c>
    </row>
    <row r="3758" spans="1:2">
      <c r="A3758" s="14">
        <v>45411.047917000004</v>
      </c>
      <c r="B3758" s="15">
        <v>7.1366909999999999</v>
      </c>
    </row>
    <row r="3759" spans="1:2">
      <c r="A3759" s="14">
        <v>45411.048610999998</v>
      </c>
      <c r="B3759" s="15">
        <v>7.2472969999999997</v>
      </c>
    </row>
    <row r="3760" spans="1:2">
      <c r="A3760" s="14">
        <v>45411.049306000001</v>
      </c>
      <c r="B3760" s="15">
        <v>7.0844180000000003</v>
      </c>
    </row>
    <row r="3761" spans="1:2">
      <c r="A3761" s="14">
        <v>45411.05</v>
      </c>
      <c r="B3761" s="15">
        <v>7.0141520000000002</v>
      </c>
    </row>
    <row r="3762" spans="1:2">
      <c r="A3762" s="14">
        <v>45411.050693999998</v>
      </c>
      <c r="B3762" s="15">
        <v>7.0188430000000004</v>
      </c>
    </row>
    <row r="3763" spans="1:2">
      <c r="A3763" s="14">
        <v>45411.051389</v>
      </c>
      <c r="B3763" s="15">
        <v>7.1173840000000004</v>
      </c>
    </row>
    <row r="3764" spans="1:2">
      <c r="A3764" s="14">
        <v>45411.052083000002</v>
      </c>
      <c r="B3764" s="15">
        <v>6.9646549999999996</v>
      </c>
    </row>
    <row r="3765" spans="1:2">
      <c r="A3765" s="14">
        <v>45411.052777999997</v>
      </c>
      <c r="B3765" s="15">
        <v>7.0654529999999998</v>
      </c>
    </row>
    <row r="3766" spans="1:2">
      <c r="A3766" s="14">
        <v>45411.053472</v>
      </c>
      <c r="B3766" s="15">
        <v>7.2558059999999998</v>
      </c>
    </row>
    <row r="3767" spans="1:2">
      <c r="A3767" s="14">
        <v>45411.054167000002</v>
      </c>
      <c r="B3767" s="15">
        <v>7.3668760000000004</v>
      </c>
    </row>
    <row r="3768" spans="1:2">
      <c r="A3768" s="14">
        <v>45411.054860999997</v>
      </c>
      <c r="B3768" s="15">
        <v>6.9861829999999996</v>
      </c>
    </row>
    <row r="3769" spans="1:2">
      <c r="A3769" s="14">
        <v>45411.055555999999</v>
      </c>
      <c r="B3769" s="15">
        <v>7.0982519999999996</v>
      </c>
    </row>
    <row r="3770" spans="1:2">
      <c r="A3770" s="14">
        <v>45411.056250000001</v>
      </c>
      <c r="B3770" s="15">
        <v>7.1279159999999999</v>
      </c>
    </row>
    <row r="3771" spans="1:2">
      <c r="A3771" s="14">
        <v>45411.056944000004</v>
      </c>
      <c r="B3771" s="15">
        <v>7.0149800000000004</v>
      </c>
    </row>
    <row r="3772" spans="1:2">
      <c r="A3772" s="14">
        <v>45411.057638999999</v>
      </c>
      <c r="B3772" s="15">
        <v>7.0217689999999999</v>
      </c>
    </row>
    <row r="3773" spans="1:2">
      <c r="A3773" s="14">
        <v>45411.058333000001</v>
      </c>
      <c r="B3773" s="15">
        <v>7.1638169999999999</v>
      </c>
    </row>
    <row r="3774" spans="1:2">
      <c r="A3774" s="14">
        <v>45411.059028000003</v>
      </c>
      <c r="B3774" s="15">
        <v>7.2194979999999997</v>
      </c>
    </row>
    <row r="3775" spans="1:2">
      <c r="A3775" s="14">
        <v>45411.059721999998</v>
      </c>
      <c r="B3775" s="15">
        <v>7.1658939999999998</v>
      </c>
    </row>
    <row r="3776" spans="1:2">
      <c r="A3776" s="14">
        <v>45411.060417000001</v>
      </c>
      <c r="B3776" s="15">
        <v>6.8976850000000001</v>
      </c>
    </row>
    <row r="3777" spans="1:2">
      <c r="A3777" s="14">
        <v>45411.061111000003</v>
      </c>
      <c r="B3777" s="15">
        <v>7.3756940000000002</v>
      </c>
    </row>
    <row r="3778" spans="1:2">
      <c r="A3778" s="14">
        <v>45411.061805999998</v>
      </c>
      <c r="B3778" s="15">
        <v>7.2711509999999997</v>
      </c>
    </row>
    <row r="3779" spans="1:2">
      <c r="A3779" s="14">
        <v>45411.0625</v>
      </c>
      <c r="B3779" s="15">
        <v>7.1235020000000002</v>
      </c>
    </row>
    <row r="3780" spans="1:2">
      <c r="A3780" s="14">
        <v>45411.063194000002</v>
      </c>
      <c r="B3780" s="15">
        <v>7.1128260000000001</v>
      </c>
    </row>
    <row r="3781" spans="1:2">
      <c r="A3781" s="14">
        <v>45411.063888999997</v>
      </c>
      <c r="B3781" s="15">
        <v>7.14405</v>
      </c>
    </row>
    <row r="3782" spans="1:2">
      <c r="A3782" s="14">
        <v>45411.064582999999</v>
      </c>
      <c r="B3782" s="15">
        <v>7.026853</v>
      </c>
    </row>
    <row r="3783" spans="1:2">
      <c r="A3783" s="14">
        <v>45411.065278000002</v>
      </c>
      <c r="B3783" s="15">
        <v>6.8589200000000003</v>
      </c>
    </row>
    <row r="3784" spans="1:2">
      <c r="A3784" s="14">
        <v>45411.065971999997</v>
      </c>
      <c r="B3784" s="15">
        <v>6.6896880000000003</v>
      </c>
    </row>
    <row r="3785" spans="1:2">
      <c r="A3785" s="14">
        <v>45411.066666999999</v>
      </c>
      <c r="B3785" s="15">
        <v>7.4943970000000002</v>
      </c>
    </row>
    <row r="3786" spans="1:2">
      <c r="A3786" s="14">
        <v>45411.067361000001</v>
      </c>
      <c r="B3786" s="15">
        <v>7.0535119999999996</v>
      </c>
    </row>
    <row r="3787" spans="1:2">
      <c r="A3787" s="14">
        <v>45411.068055999996</v>
      </c>
      <c r="B3787" s="15">
        <v>7.0213260000000002</v>
      </c>
    </row>
    <row r="3788" spans="1:2">
      <c r="A3788" s="14">
        <v>45411.068749999999</v>
      </c>
      <c r="B3788" s="15">
        <v>7.0806089999999999</v>
      </c>
    </row>
    <row r="3789" spans="1:2">
      <c r="A3789" s="14">
        <v>45411.069444000001</v>
      </c>
      <c r="B3789" s="15">
        <v>6.8812059999999997</v>
      </c>
    </row>
    <row r="3790" spans="1:2">
      <c r="A3790" s="14">
        <v>45411.070139000003</v>
      </c>
      <c r="B3790" s="15">
        <v>7.3576069999999998</v>
      </c>
    </row>
    <row r="3791" spans="1:2">
      <c r="A3791" s="14">
        <v>45411.070832999998</v>
      </c>
      <c r="B3791" s="15">
        <v>7.2272809999999996</v>
      </c>
    </row>
    <row r="3792" spans="1:2">
      <c r="A3792" s="14">
        <v>45411.071528</v>
      </c>
      <c r="B3792" s="15">
        <v>7.0844209999999999</v>
      </c>
    </row>
    <row r="3793" spans="1:2">
      <c r="A3793" s="14">
        <v>45411.072222000003</v>
      </c>
      <c r="B3793" s="15">
        <v>7.1124809999999998</v>
      </c>
    </row>
    <row r="3794" spans="1:2">
      <c r="A3794" s="14">
        <v>45411.072916999998</v>
      </c>
      <c r="B3794" s="15">
        <v>6.8529239999999998</v>
      </c>
    </row>
    <row r="3795" spans="1:2">
      <c r="A3795" s="14">
        <v>45411.073611</v>
      </c>
      <c r="B3795" s="15">
        <v>7.1047019999999996</v>
      </c>
    </row>
    <row r="3796" spans="1:2">
      <c r="A3796" s="14">
        <v>45411.074306000002</v>
      </c>
      <c r="B3796" s="15">
        <v>7.1031639999999996</v>
      </c>
    </row>
    <row r="3797" spans="1:2">
      <c r="A3797" s="14">
        <v>45411.074999999997</v>
      </c>
      <c r="B3797" s="15">
        <v>6.9123679999999998</v>
      </c>
    </row>
    <row r="3798" spans="1:2">
      <c r="A3798" s="14">
        <v>45411.075693999999</v>
      </c>
      <c r="B3798" s="15">
        <v>7.4303920000000003</v>
      </c>
    </row>
    <row r="3799" spans="1:2">
      <c r="A3799" s="14">
        <v>45411.076389000002</v>
      </c>
      <c r="B3799" s="15">
        <v>7.1238539999999997</v>
      </c>
    </row>
    <row r="3800" spans="1:2">
      <c r="A3800" s="14">
        <v>45411.077082999996</v>
      </c>
      <c r="B3800" s="15">
        <v>7.0916240000000004</v>
      </c>
    </row>
    <row r="3801" spans="1:2">
      <c r="A3801" s="14">
        <v>45411.077777999999</v>
      </c>
      <c r="B3801" s="15">
        <v>7.1682860000000002</v>
      </c>
    </row>
    <row r="3802" spans="1:2">
      <c r="A3802" s="14">
        <v>45411.078472000001</v>
      </c>
      <c r="B3802" s="15">
        <v>7.3020990000000001</v>
      </c>
    </row>
    <row r="3803" spans="1:2">
      <c r="A3803" s="14">
        <v>45411.079167000004</v>
      </c>
      <c r="B3803" s="15">
        <v>7.3477670000000002</v>
      </c>
    </row>
    <row r="3804" spans="1:2">
      <c r="A3804" s="14">
        <v>45411.079860999998</v>
      </c>
      <c r="B3804" s="15">
        <v>7.1629459999999998</v>
      </c>
    </row>
    <row r="3805" spans="1:2">
      <c r="A3805" s="14">
        <v>45411.080556000001</v>
      </c>
      <c r="B3805" s="15">
        <v>7.1061189999999996</v>
      </c>
    </row>
    <row r="3806" spans="1:2">
      <c r="A3806" s="14">
        <v>45411.081250000003</v>
      </c>
      <c r="B3806" s="15">
        <v>7.1551239999999998</v>
      </c>
    </row>
    <row r="3807" spans="1:2">
      <c r="A3807" s="14">
        <v>45411.081943999998</v>
      </c>
      <c r="B3807" s="15">
        <v>7.2414189999999996</v>
      </c>
    </row>
    <row r="3808" spans="1:2">
      <c r="A3808" s="14">
        <v>45411.082639</v>
      </c>
      <c r="B3808" s="15">
        <v>6.9309079999999996</v>
      </c>
    </row>
    <row r="3809" spans="1:2">
      <c r="A3809" s="14">
        <v>45411.083333000002</v>
      </c>
      <c r="B3809" s="15">
        <v>6.9940410000000002</v>
      </c>
    </row>
    <row r="3810" spans="1:2">
      <c r="A3810" s="14">
        <v>45411.084027999997</v>
      </c>
      <c r="B3810" s="15">
        <v>7.1162010000000002</v>
      </c>
    </row>
    <row r="3811" spans="1:2">
      <c r="A3811" s="14">
        <v>45411.084722</v>
      </c>
      <c r="B3811" s="15">
        <v>7.093858</v>
      </c>
    </row>
    <row r="3812" spans="1:2">
      <c r="A3812" s="14">
        <v>45411.085417000002</v>
      </c>
      <c r="B3812" s="15">
        <v>7.0645899999999999</v>
      </c>
    </row>
    <row r="3813" spans="1:2">
      <c r="A3813" s="14">
        <v>45411.086110999997</v>
      </c>
      <c r="B3813" s="15">
        <v>7.1359729999999999</v>
      </c>
    </row>
    <row r="3814" spans="1:2">
      <c r="A3814" s="14">
        <v>45411.086805999999</v>
      </c>
      <c r="B3814" s="15">
        <v>7.1624100000000004</v>
      </c>
    </row>
    <row r="3815" spans="1:2">
      <c r="A3815" s="14">
        <v>45411.087500000001</v>
      </c>
      <c r="B3815" s="15">
        <v>7.1134620000000002</v>
      </c>
    </row>
    <row r="3816" spans="1:2">
      <c r="A3816" s="14">
        <v>45411.088194000004</v>
      </c>
      <c r="B3816" s="15">
        <v>7.1666910000000001</v>
      </c>
    </row>
    <row r="3817" spans="1:2">
      <c r="A3817" s="14">
        <v>45411.088888999999</v>
      </c>
      <c r="B3817" s="15">
        <v>7.2692329999999998</v>
      </c>
    </row>
    <row r="3818" spans="1:2">
      <c r="A3818" s="14">
        <v>45411.089583000001</v>
      </c>
      <c r="B3818" s="15">
        <v>7.1494080000000002</v>
      </c>
    </row>
    <row r="3819" spans="1:2">
      <c r="A3819" s="14">
        <v>45411.090278000003</v>
      </c>
      <c r="B3819" s="15">
        <v>7.0188269999999999</v>
      </c>
    </row>
    <row r="3820" spans="1:2">
      <c r="A3820" s="14">
        <v>45411.090971999998</v>
      </c>
      <c r="B3820" s="15">
        <v>7.2338570000000004</v>
      </c>
    </row>
    <row r="3821" spans="1:2">
      <c r="A3821" s="14">
        <v>45411.091667000001</v>
      </c>
      <c r="B3821" s="15">
        <v>7.1291359999999999</v>
      </c>
    </row>
    <row r="3822" spans="1:2">
      <c r="A3822" s="14">
        <v>45411.092361000003</v>
      </c>
      <c r="B3822" s="15">
        <v>7.1542680000000001</v>
      </c>
    </row>
    <row r="3823" spans="1:2">
      <c r="A3823" s="14">
        <v>45411.093055999998</v>
      </c>
      <c r="B3823" s="15">
        <v>7.1220689999999998</v>
      </c>
    </row>
    <row r="3824" spans="1:2">
      <c r="A3824" s="14">
        <v>45411.09375</v>
      </c>
      <c r="B3824" s="15">
        <v>6.9898400000000001</v>
      </c>
    </row>
    <row r="3825" spans="1:2">
      <c r="A3825" s="14">
        <v>45411.094444000002</v>
      </c>
      <c r="B3825" s="15">
        <v>7.2945000000000002</v>
      </c>
    </row>
    <row r="3826" spans="1:2">
      <c r="A3826" s="14">
        <v>45411.095138999997</v>
      </c>
      <c r="B3826" s="15">
        <v>7.0480960000000001</v>
      </c>
    </row>
    <row r="3827" spans="1:2">
      <c r="A3827" s="14">
        <v>45411.095832999999</v>
      </c>
      <c r="B3827" s="15">
        <v>7.0304869999999999</v>
      </c>
    </row>
    <row r="3828" spans="1:2">
      <c r="A3828" s="14">
        <v>45411.096528000002</v>
      </c>
      <c r="B3828" s="15">
        <v>7.1200739999999998</v>
      </c>
    </row>
    <row r="3829" spans="1:2">
      <c r="A3829" s="14">
        <v>45411.097221999997</v>
      </c>
      <c r="B3829" s="15">
        <v>6.9672359999999998</v>
      </c>
    </row>
    <row r="3830" spans="1:2">
      <c r="A3830" s="14">
        <v>45411.097916999999</v>
      </c>
      <c r="B3830" s="15">
        <v>7.0728309999999999</v>
      </c>
    </row>
    <row r="3831" spans="1:2">
      <c r="A3831" s="14">
        <v>45411.098611000001</v>
      </c>
      <c r="B3831" s="15">
        <v>7.0333509999999997</v>
      </c>
    </row>
    <row r="3832" spans="1:2">
      <c r="A3832" s="14">
        <v>45411.099305999996</v>
      </c>
      <c r="B3832" s="15">
        <v>6.9772210000000001</v>
      </c>
    </row>
    <row r="3833" spans="1:2">
      <c r="A3833" s="14">
        <v>45411.1</v>
      </c>
      <c r="B3833" s="15">
        <v>7.029706</v>
      </c>
    </row>
    <row r="3834" spans="1:2">
      <c r="A3834" s="14">
        <v>45411.100694000001</v>
      </c>
      <c r="B3834" s="15">
        <v>7.1384939999999997</v>
      </c>
    </row>
    <row r="3835" spans="1:2">
      <c r="A3835" s="14">
        <v>45411.101389000003</v>
      </c>
      <c r="B3835" s="15">
        <v>7.0898409999999998</v>
      </c>
    </row>
    <row r="3836" spans="1:2">
      <c r="A3836" s="14">
        <v>45411.102082999998</v>
      </c>
      <c r="B3836" s="15">
        <v>7.0495239999999999</v>
      </c>
    </row>
    <row r="3837" spans="1:2">
      <c r="A3837" s="14">
        <v>45411.102778</v>
      </c>
      <c r="B3837" s="15">
        <v>7.0686600000000004</v>
      </c>
    </row>
    <row r="3838" spans="1:2">
      <c r="A3838" s="14">
        <v>45411.103472000003</v>
      </c>
      <c r="B3838" s="15">
        <v>7.0495049999999999</v>
      </c>
    </row>
    <row r="3839" spans="1:2">
      <c r="A3839" s="14">
        <v>45411.104166999998</v>
      </c>
      <c r="B3839" s="15">
        <v>6.8764560000000001</v>
      </c>
    </row>
    <row r="3840" spans="1:2">
      <c r="A3840" s="14">
        <v>45411.104861</v>
      </c>
      <c r="B3840" s="15">
        <v>6.9575709999999997</v>
      </c>
    </row>
    <row r="3841" spans="1:2">
      <c r="A3841" s="14">
        <v>45411.105556000002</v>
      </c>
      <c r="B3841" s="15">
        <v>7.3157699999999997</v>
      </c>
    </row>
    <row r="3842" spans="1:2">
      <c r="A3842" s="14">
        <v>45411.106249999997</v>
      </c>
      <c r="B3842" s="15">
        <v>6.9259690000000003</v>
      </c>
    </row>
    <row r="3843" spans="1:2">
      <c r="A3843" s="14">
        <v>45411.106943999999</v>
      </c>
      <c r="B3843" s="15">
        <v>7.1508700000000003</v>
      </c>
    </row>
    <row r="3844" spans="1:2">
      <c r="A3844" s="14">
        <v>45411.107639000002</v>
      </c>
      <c r="B3844" s="15">
        <v>7.2274279999999997</v>
      </c>
    </row>
    <row r="3845" spans="1:2">
      <c r="A3845" s="14">
        <v>45411.108332999996</v>
      </c>
      <c r="B3845" s="15">
        <v>7.1645099999999999</v>
      </c>
    </row>
    <row r="3846" spans="1:2">
      <c r="A3846" s="14">
        <v>45411.109027999999</v>
      </c>
      <c r="B3846" s="15">
        <v>6.9216769999999999</v>
      </c>
    </row>
    <row r="3847" spans="1:2">
      <c r="A3847" s="14">
        <v>45411.109722000001</v>
      </c>
      <c r="B3847" s="15">
        <v>7.2171149999999997</v>
      </c>
    </row>
    <row r="3848" spans="1:2">
      <c r="A3848" s="14">
        <v>45411.110417000004</v>
      </c>
      <c r="B3848" s="15">
        <v>7.2572260000000002</v>
      </c>
    </row>
    <row r="3849" spans="1:2">
      <c r="A3849" s="14">
        <v>45411.111110999998</v>
      </c>
      <c r="B3849" s="15">
        <v>7.1902869999999997</v>
      </c>
    </row>
    <row r="3850" spans="1:2">
      <c r="A3850" s="14">
        <v>45411.111806000001</v>
      </c>
      <c r="B3850" s="15">
        <v>7.0628289999999998</v>
      </c>
    </row>
    <row r="3851" spans="1:2">
      <c r="A3851" s="14">
        <v>45411.112500000003</v>
      </c>
      <c r="B3851" s="15">
        <v>7.0653740000000003</v>
      </c>
    </row>
    <row r="3852" spans="1:2">
      <c r="A3852" s="14">
        <v>45411.113193999998</v>
      </c>
      <c r="B3852" s="15">
        <v>6.96204</v>
      </c>
    </row>
    <row r="3853" spans="1:2">
      <c r="A3853" s="14">
        <v>45411.113889</v>
      </c>
      <c r="B3853" s="15">
        <v>7.0031540000000003</v>
      </c>
    </row>
    <row r="3854" spans="1:2">
      <c r="A3854" s="14">
        <v>45411.114583000002</v>
      </c>
      <c r="B3854" s="15">
        <v>7.1735300000000004</v>
      </c>
    </row>
    <row r="3855" spans="1:2">
      <c r="A3855" s="14">
        <v>45411.115277999997</v>
      </c>
      <c r="B3855" s="15">
        <v>7.4503209999999997</v>
      </c>
    </row>
    <row r="3856" spans="1:2">
      <c r="A3856" s="14">
        <v>45411.115972</v>
      </c>
      <c r="B3856" s="15">
        <v>7.1186340000000001</v>
      </c>
    </row>
    <row r="3857" spans="1:2">
      <c r="A3857" s="14">
        <v>45411.116667000002</v>
      </c>
      <c r="B3857" s="15">
        <v>7.045477</v>
      </c>
    </row>
    <row r="3858" spans="1:2">
      <c r="A3858" s="14">
        <v>45411.117360999997</v>
      </c>
      <c r="B3858" s="15">
        <v>7.0768829999999996</v>
      </c>
    </row>
    <row r="3859" spans="1:2">
      <c r="A3859" s="14">
        <v>45411.118055999999</v>
      </c>
      <c r="B3859" s="15">
        <v>7.2156399999999996</v>
      </c>
    </row>
    <row r="3860" spans="1:2">
      <c r="A3860" s="14">
        <v>45411.118750000001</v>
      </c>
      <c r="B3860" s="15">
        <v>7.2943030000000002</v>
      </c>
    </row>
    <row r="3861" spans="1:2">
      <c r="A3861" s="14">
        <v>45411.119444000004</v>
      </c>
      <c r="B3861" s="15">
        <v>7.0639380000000003</v>
      </c>
    </row>
    <row r="3862" spans="1:2">
      <c r="A3862" s="14">
        <v>45411.120138999999</v>
      </c>
      <c r="B3862" s="15">
        <v>6.9246109999999996</v>
      </c>
    </row>
    <row r="3863" spans="1:2">
      <c r="A3863" s="14">
        <v>45411.120833000001</v>
      </c>
      <c r="B3863" s="15">
        <v>6.8658190000000001</v>
      </c>
    </row>
    <row r="3864" spans="1:2">
      <c r="A3864" s="14">
        <v>45411.121528000003</v>
      </c>
      <c r="B3864" s="15">
        <v>6.9251810000000003</v>
      </c>
    </row>
    <row r="3865" spans="1:2">
      <c r="A3865" s="14">
        <v>45411.122221999998</v>
      </c>
      <c r="B3865" s="15">
        <v>7.0879890000000003</v>
      </c>
    </row>
    <row r="3866" spans="1:2">
      <c r="A3866" s="14">
        <v>45411.122917000001</v>
      </c>
      <c r="B3866" s="15">
        <v>6.9846940000000002</v>
      </c>
    </row>
    <row r="3867" spans="1:2">
      <c r="A3867" s="14">
        <v>45411.123611000003</v>
      </c>
      <c r="B3867" s="15">
        <v>6.7590399999999997</v>
      </c>
    </row>
    <row r="3868" spans="1:2">
      <c r="A3868" s="14">
        <v>45411.124305999998</v>
      </c>
      <c r="B3868" s="15">
        <v>7.1568500000000004</v>
      </c>
    </row>
    <row r="3869" spans="1:2">
      <c r="A3869" s="14">
        <v>45411.125</v>
      </c>
      <c r="B3869" s="15">
        <v>7.1646970000000003</v>
      </c>
    </row>
    <row r="3870" spans="1:2">
      <c r="A3870" s="14">
        <v>45411.125694000002</v>
      </c>
      <c r="B3870" s="15">
        <v>7.1660880000000002</v>
      </c>
    </row>
    <row r="3871" spans="1:2">
      <c r="A3871" s="14">
        <v>45411.126388999997</v>
      </c>
      <c r="B3871" s="15">
        <v>7.141267</v>
      </c>
    </row>
    <row r="3872" spans="1:2">
      <c r="A3872" s="14">
        <v>45411.127082999999</v>
      </c>
      <c r="B3872" s="15">
        <v>7.0411020000000004</v>
      </c>
    </row>
    <row r="3873" spans="1:2">
      <c r="A3873" s="14">
        <v>45411.127778000002</v>
      </c>
      <c r="B3873" s="15">
        <v>6.9404880000000002</v>
      </c>
    </row>
    <row r="3874" spans="1:2">
      <c r="A3874" s="14">
        <v>45411.128471999997</v>
      </c>
      <c r="B3874" s="15">
        <v>6.8940409999999996</v>
      </c>
    </row>
    <row r="3875" spans="1:2">
      <c r="A3875" s="14">
        <v>45411.129166999999</v>
      </c>
      <c r="B3875" s="15">
        <v>6.8678330000000001</v>
      </c>
    </row>
    <row r="3876" spans="1:2">
      <c r="A3876" s="14">
        <v>45411.129861000001</v>
      </c>
      <c r="B3876" s="15">
        <v>6.8694579999999998</v>
      </c>
    </row>
    <row r="3877" spans="1:2">
      <c r="A3877" s="14">
        <v>45411.130555999996</v>
      </c>
      <c r="B3877" s="15">
        <v>7.2979599999999998</v>
      </c>
    </row>
    <row r="3878" spans="1:2">
      <c r="A3878" s="14">
        <v>45411.131249999999</v>
      </c>
      <c r="B3878" s="15">
        <v>7.244904</v>
      </c>
    </row>
    <row r="3879" spans="1:2">
      <c r="A3879" s="14">
        <v>45411.131944000001</v>
      </c>
      <c r="B3879" s="15">
        <v>7.0307909999999998</v>
      </c>
    </row>
    <row r="3880" spans="1:2">
      <c r="A3880" s="14">
        <v>45411.132639000003</v>
      </c>
      <c r="B3880" s="15">
        <v>6.749155</v>
      </c>
    </row>
    <row r="3881" spans="1:2">
      <c r="A3881" s="14">
        <v>45411.133332999998</v>
      </c>
      <c r="B3881" s="15">
        <v>7.1562159999999997</v>
      </c>
    </row>
    <row r="3882" spans="1:2">
      <c r="A3882" s="14">
        <v>45411.134028</v>
      </c>
      <c r="B3882" s="15">
        <v>7.3500810000000003</v>
      </c>
    </row>
    <row r="3883" spans="1:2">
      <c r="A3883" s="14">
        <v>45411.134722000003</v>
      </c>
      <c r="B3883" s="15">
        <v>7.3011970000000002</v>
      </c>
    </row>
    <row r="3884" spans="1:2">
      <c r="A3884" s="14">
        <v>45411.135416999998</v>
      </c>
      <c r="B3884" s="15">
        <v>7.1492139999999997</v>
      </c>
    </row>
    <row r="3885" spans="1:2">
      <c r="A3885" s="14">
        <v>45411.136111</v>
      </c>
      <c r="B3885" s="15">
        <v>7.1895699999999998</v>
      </c>
    </row>
    <row r="3886" spans="1:2">
      <c r="A3886" s="14">
        <v>45411.136806000002</v>
      </c>
      <c r="B3886" s="15">
        <v>7.4470919999999996</v>
      </c>
    </row>
    <row r="3887" spans="1:2">
      <c r="A3887" s="14">
        <v>45411.137499999997</v>
      </c>
      <c r="B3887" s="15">
        <v>7.1710779999999996</v>
      </c>
    </row>
    <row r="3888" spans="1:2">
      <c r="A3888" s="14">
        <v>45411.138193999999</v>
      </c>
      <c r="B3888" s="15">
        <v>7.1207529999999997</v>
      </c>
    </row>
    <row r="3889" spans="1:2">
      <c r="A3889" s="14">
        <v>45411.138889000002</v>
      </c>
      <c r="B3889" s="15">
        <v>7.3212799999999998</v>
      </c>
    </row>
    <row r="3890" spans="1:2">
      <c r="A3890" s="14">
        <v>45411.139582999996</v>
      </c>
      <c r="B3890" s="15">
        <v>6.9505999999999997</v>
      </c>
    </row>
    <row r="3891" spans="1:2">
      <c r="A3891" s="14">
        <v>45411.140277999999</v>
      </c>
      <c r="B3891" s="15">
        <v>6.9600489999999997</v>
      </c>
    </row>
    <row r="3892" spans="1:2">
      <c r="A3892" s="14">
        <v>45411.140972000001</v>
      </c>
      <c r="B3892" s="15">
        <v>7.1096060000000003</v>
      </c>
    </row>
    <row r="3893" spans="1:2">
      <c r="A3893" s="14">
        <v>45411.141667000004</v>
      </c>
      <c r="B3893" s="15">
        <v>7.2499479999999998</v>
      </c>
    </row>
    <row r="3894" spans="1:2">
      <c r="A3894" s="14">
        <v>45411.142360999998</v>
      </c>
      <c r="B3894" s="15">
        <v>7.0145679999999997</v>
      </c>
    </row>
    <row r="3895" spans="1:2">
      <c r="A3895" s="14">
        <v>45411.143056000001</v>
      </c>
      <c r="B3895" s="15">
        <v>6.9430199999999997</v>
      </c>
    </row>
    <row r="3896" spans="1:2">
      <c r="A3896" s="14">
        <v>45411.143750000003</v>
      </c>
      <c r="B3896" s="15">
        <v>7.0817750000000004</v>
      </c>
    </row>
    <row r="3897" spans="1:2">
      <c r="A3897" s="14">
        <v>45411.144443999998</v>
      </c>
      <c r="B3897" s="15">
        <v>7.1871299999999998</v>
      </c>
    </row>
    <row r="3898" spans="1:2">
      <c r="A3898" s="14">
        <v>45411.145139</v>
      </c>
      <c r="B3898" s="15">
        <v>7.1110949999999997</v>
      </c>
    </row>
    <row r="3899" spans="1:2">
      <c r="A3899" s="14">
        <v>45411.145833000002</v>
      </c>
      <c r="B3899" s="15">
        <v>7.004988</v>
      </c>
    </row>
    <row r="3900" spans="1:2">
      <c r="A3900" s="14">
        <v>45411.146527999997</v>
      </c>
      <c r="B3900" s="15">
        <v>7.1972050000000003</v>
      </c>
    </row>
    <row r="3901" spans="1:2">
      <c r="A3901" s="14">
        <v>45411.147222</v>
      </c>
      <c r="B3901" s="15">
        <v>7.2013439999999997</v>
      </c>
    </row>
    <row r="3902" spans="1:2">
      <c r="A3902" s="14">
        <v>45411.147917000002</v>
      </c>
      <c r="B3902" s="15">
        <v>7.0373710000000003</v>
      </c>
    </row>
    <row r="3903" spans="1:2">
      <c r="A3903" s="14">
        <v>45411.148610999997</v>
      </c>
      <c r="B3903" s="15">
        <v>7.0447280000000001</v>
      </c>
    </row>
    <row r="3904" spans="1:2">
      <c r="A3904" s="14">
        <v>45411.149305999999</v>
      </c>
      <c r="B3904" s="15">
        <v>7.1086830000000001</v>
      </c>
    </row>
    <row r="3905" spans="1:2">
      <c r="A3905" s="14">
        <v>45411.15</v>
      </c>
      <c r="B3905" s="15">
        <v>7.156199</v>
      </c>
    </row>
    <row r="3906" spans="1:2">
      <c r="A3906" s="14">
        <v>45411.150694000004</v>
      </c>
      <c r="B3906" s="15">
        <v>7.164917</v>
      </c>
    </row>
    <row r="3907" spans="1:2">
      <c r="A3907" s="14">
        <v>45411.151388999999</v>
      </c>
      <c r="B3907" s="15">
        <v>7.0740509999999999</v>
      </c>
    </row>
    <row r="3908" spans="1:2">
      <c r="A3908" s="14">
        <v>45411.152083000001</v>
      </c>
      <c r="B3908" s="15">
        <v>7.1177460000000004</v>
      </c>
    </row>
    <row r="3909" spans="1:2">
      <c r="A3909" s="14">
        <v>45411.152778000003</v>
      </c>
      <c r="B3909" s="15">
        <v>7.2199179999999998</v>
      </c>
    </row>
    <row r="3910" spans="1:2">
      <c r="A3910" s="14">
        <v>45411.153471999998</v>
      </c>
      <c r="B3910" s="15">
        <v>7.2164479999999998</v>
      </c>
    </row>
    <row r="3911" spans="1:2">
      <c r="A3911" s="14">
        <v>45411.154167000001</v>
      </c>
      <c r="B3911" s="15">
        <v>7.0840459999999998</v>
      </c>
    </row>
    <row r="3912" spans="1:2">
      <c r="A3912" s="14">
        <v>45411.154861000003</v>
      </c>
      <c r="B3912" s="15">
        <v>7.0752389999999998</v>
      </c>
    </row>
    <row r="3913" spans="1:2">
      <c r="A3913" s="14">
        <v>45411.155555999998</v>
      </c>
      <c r="B3913" s="15">
        <v>7.2137370000000001</v>
      </c>
    </row>
    <row r="3914" spans="1:2">
      <c r="A3914" s="14">
        <v>45411.15625</v>
      </c>
      <c r="B3914" s="15">
        <v>6.9502810000000004</v>
      </c>
    </row>
    <row r="3915" spans="1:2">
      <c r="A3915" s="14">
        <v>45411.156944000002</v>
      </c>
      <c r="B3915" s="15">
        <v>6.67544</v>
      </c>
    </row>
    <row r="3916" spans="1:2">
      <c r="A3916" s="14">
        <v>45411.157638999997</v>
      </c>
      <c r="B3916" s="15">
        <v>7.667332</v>
      </c>
    </row>
    <row r="3917" spans="1:2">
      <c r="A3917" s="14">
        <v>45411.158332999999</v>
      </c>
      <c r="B3917" s="15">
        <v>7.06989</v>
      </c>
    </row>
    <row r="3918" spans="1:2">
      <c r="A3918" s="14">
        <v>45411.159028000002</v>
      </c>
      <c r="B3918" s="15">
        <v>7.1110930000000003</v>
      </c>
    </row>
    <row r="3919" spans="1:2">
      <c r="A3919" s="14">
        <v>45411.159721999997</v>
      </c>
      <c r="B3919" s="15">
        <v>7.2362799999999998</v>
      </c>
    </row>
    <row r="3920" spans="1:2">
      <c r="A3920" s="14">
        <v>45411.160416999999</v>
      </c>
      <c r="B3920" s="15">
        <v>7.2896289999999997</v>
      </c>
    </row>
    <row r="3921" spans="1:2">
      <c r="A3921" s="14">
        <v>45411.161111000001</v>
      </c>
      <c r="B3921" s="15">
        <v>7.1195139999999997</v>
      </c>
    </row>
    <row r="3922" spans="1:2">
      <c r="A3922" s="14">
        <v>45411.161805999996</v>
      </c>
      <c r="B3922" s="15">
        <v>7.0854910000000002</v>
      </c>
    </row>
    <row r="3923" spans="1:2">
      <c r="A3923" s="14">
        <v>45411.162499999999</v>
      </c>
      <c r="B3923" s="15">
        <v>7.1054930000000001</v>
      </c>
    </row>
    <row r="3924" spans="1:2">
      <c r="A3924" s="14">
        <v>45411.163194000001</v>
      </c>
      <c r="B3924" s="15">
        <v>7.1245890000000003</v>
      </c>
    </row>
    <row r="3925" spans="1:2">
      <c r="A3925" s="14">
        <v>45411.163889000003</v>
      </c>
      <c r="B3925" s="15">
        <v>6.9463660000000003</v>
      </c>
    </row>
    <row r="3926" spans="1:2">
      <c r="A3926" s="14">
        <v>45411.164582999998</v>
      </c>
      <c r="B3926" s="15">
        <v>7.1522940000000004</v>
      </c>
    </row>
    <row r="3927" spans="1:2">
      <c r="A3927" s="14">
        <v>45411.165278</v>
      </c>
      <c r="B3927" s="15">
        <v>7.0534920000000003</v>
      </c>
    </row>
    <row r="3928" spans="1:2">
      <c r="A3928" s="14">
        <v>45411.165972000003</v>
      </c>
      <c r="B3928" s="15">
        <v>6.9325599999999996</v>
      </c>
    </row>
    <row r="3929" spans="1:2">
      <c r="A3929" s="14">
        <v>45411.166666999998</v>
      </c>
      <c r="B3929" s="15">
        <v>6.981903</v>
      </c>
    </row>
    <row r="3930" spans="1:2">
      <c r="A3930" s="14">
        <v>45411.167361</v>
      </c>
      <c r="B3930" s="15">
        <v>7.3610090000000001</v>
      </c>
    </row>
    <row r="3931" spans="1:2">
      <c r="A3931" s="14">
        <v>45411.168056000002</v>
      </c>
      <c r="B3931" s="15">
        <v>7.1609189999999998</v>
      </c>
    </row>
    <row r="3932" spans="1:2">
      <c r="A3932" s="14">
        <v>45411.168749999997</v>
      </c>
      <c r="B3932" s="15">
        <v>7.0168889999999999</v>
      </c>
    </row>
    <row r="3933" spans="1:2">
      <c r="A3933" s="14">
        <v>45411.169443999999</v>
      </c>
      <c r="B3933" s="15">
        <v>7.0206910000000002</v>
      </c>
    </row>
    <row r="3934" spans="1:2">
      <c r="A3934" s="14">
        <v>45411.170139000002</v>
      </c>
      <c r="B3934" s="15">
        <v>7.23271</v>
      </c>
    </row>
    <row r="3935" spans="1:2">
      <c r="A3935" s="14">
        <v>45411.170832999996</v>
      </c>
      <c r="B3935" s="15">
        <v>7.2249559999999997</v>
      </c>
    </row>
    <row r="3936" spans="1:2">
      <c r="A3936" s="14">
        <v>45411.171527999999</v>
      </c>
      <c r="B3936" s="15">
        <v>7.0069049999999997</v>
      </c>
    </row>
    <row r="3937" spans="1:2">
      <c r="A3937" s="14">
        <v>45411.172222000001</v>
      </c>
      <c r="B3937" s="15">
        <v>6.8046519999999999</v>
      </c>
    </row>
    <row r="3938" spans="1:2">
      <c r="A3938" s="14">
        <v>45411.172917000004</v>
      </c>
      <c r="B3938" s="15">
        <v>7.2230679999999996</v>
      </c>
    </row>
    <row r="3939" spans="1:2">
      <c r="A3939" s="14">
        <v>45411.173610999998</v>
      </c>
      <c r="B3939" s="15">
        <v>7.1110629999999997</v>
      </c>
    </row>
    <row r="3940" spans="1:2">
      <c r="A3940" s="14">
        <v>45411.174306000001</v>
      </c>
      <c r="B3940" s="15">
        <v>7.206499</v>
      </c>
    </row>
    <row r="3941" spans="1:2">
      <c r="A3941" s="14">
        <v>45411.175000000003</v>
      </c>
      <c r="B3941" s="15">
        <v>7.2243329999999997</v>
      </c>
    </row>
    <row r="3942" spans="1:2">
      <c r="A3942" s="14">
        <v>45411.175693999998</v>
      </c>
      <c r="B3942" s="15">
        <v>6.9811909999999999</v>
      </c>
    </row>
    <row r="3943" spans="1:2">
      <c r="A3943" s="14">
        <v>45411.176389</v>
      </c>
      <c r="B3943" s="15">
        <v>7.3639859999999997</v>
      </c>
    </row>
    <row r="3944" spans="1:2">
      <c r="A3944" s="14">
        <v>45411.177083000002</v>
      </c>
      <c r="B3944" s="15">
        <v>7.0302049999999996</v>
      </c>
    </row>
    <row r="3945" spans="1:2">
      <c r="A3945" s="14">
        <v>45411.177777999997</v>
      </c>
      <c r="B3945" s="15">
        <v>6.9120229999999996</v>
      </c>
    </row>
    <row r="3946" spans="1:2">
      <c r="A3946" s="14">
        <v>45411.178472</v>
      </c>
      <c r="B3946" s="15">
        <v>6.9693319999999996</v>
      </c>
    </row>
    <row r="3947" spans="1:2">
      <c r="A3947" s="14">
        <v>45411.179167000002</v>
      </c>
      <c r="B3947" s="15">
        <v>6.9765629999999996</v>
      </c>
    </row>
    <row r="3948" spans="1:2">
      <c r="A3948" s="14">
        <v>45411.179860999997</v>
      </c>
      <c r="B3948" s="15">
        <v>6.8223669999999998</v>
      </c>
    </row>
    <row r="3949" spans="1:2">
      <c r="A3949" s="14">
        <v>45411.180555999999</v>
      </c>
      <c r="B3949" s="15">
        <v>6.8982070000000002</v>
      </c>
    </row>
    <row r="3950" spans="1:2">
      <c r="A3950" s="14">
        <v>45411.181250000001</v>
      </c>
      <c r="B3950" s="15">
        <v>7.1141839999999998</v>
      </c>
    </row>
    <row r="3951" spans="1:2">
      <c r="A3951" s="14">
        <v>45411.181944000004</v>
      </c>
      <c r="B3951" s="15">
        <v>6.8308730000000004</v>
      </c>
    </row>
    <row r="3952" spans="1:2">
      <c r="A3952" s="14">
        <v>45411.182638999999</v>
      </c>
      <c r="B3952" s="15">
        <v>7.0082199999999997</v>
      </c>
    </row>
    <row r="3953" spans="1:2">
      <c r="A3953" s="14">
        <v>45411.183333000001</v>
      </c>
      <c r="B3953" s="15">
        <v>7.0092930000000004</v>
      </c>
    </row>
    <row r="3954" spans="1:2">
      <c r="A3954" s="14">
        <v>45411.184028000003</v>
      </c>
      <c r="B3954" s="15">
        <v>6.9237250000000001</v>
      </c>
    </row>
    <row r="3955" spans="1:2">
      <c r="A3955" s="14">
        <v>45411.184721999998</v>
      </c>
      <c r="B3955" s="15">
        <v>6.9748729999999997</v>
      </c>
    </row>
    <row r="3956" spans="1:2">
      <c r="A3956" s="14">
        <v>45411.185417000001</v>
      </c>
      <c r="B3956" s="15">
        <v>6.9703460000000002</v>
      </c>
    </row>
    <row r="3957" spans="1:2">
      <c r="A3957" s="14">
        <v>45411.186111000003</v>
      </c>
      <c r="B3957" s="15">
        <v>7.0005230000000003</v>
      </c>
    </row>
    <row r="3958" spans="1:2">
      <c r="A3958" s="14">
        <v>45411.186805999998</v>
      </c>
      <c r="B3958" s="15">
        <v>7.0608339999999998</v>
      </c>
    </row>
    <row r="3959" spans="1:2">
      <c r="A3959" s="14">
        <v>45411.1875</v>
      </c>
      <c r="B3959" s="15">
        <v>7.1924049999999999</v>
      </c>
    </row>
    <row r="3960" spans="1:2">
      <c r="A3960" s="14">
        <v>45411.188194000002</v>
      </c>
      <c r="B3960" s="15">
        <v>6.8433909999999996</v>
      </c>
    </row>
    <row r="3961" spans="1:2">
      <c r="A3961" s="14">
        <v>45411.188888999997</v>
      </c>
      <c r="B3961" s="15">
        <v>6.8205299999999998</v>
      </c>
    </row>
    <row r="3962" spans="1:2">
      <c r="A3962" s="14">
        <v>45411.189582999999</v>
      </c>
      <c r="B3962" s="15">
        <v>6.8970770000000003</v>
      </c>
    </row>
    <row r="3963" spans="1:2">
      <c r="A3963" s="14">
        <v>45411.190278000002</v>
      </c>
      <c r="B3963" s="15">
        <v>7.1262819999999998</v>
      </c>
    </row>
    <row r="3964" spans="1:2">
      <c r="A3964" s="14">
        <v>45411.190971999997</v>
      </c>
      <c r="B3964" s="15">
        <v>6.761387</v>
      </c>
    </row>
    <row r="3965" spans="1:2">
      <c r="A3965" s="14">
        <v>45411.191666999999</v>
      </c>
      <c r="B3965" s="15">
        <v>6.7944820000000004</v>
      </c>
    </row>
    <row r="3966" spans="1:2">
      <c r="A3966" s="14">
        <v>45411.192361000001</v>
      </c>
      <c r="B3966" s="15">
        <v>6.8626019999999999</v>
      </c>
    </row>
    <row r="3967" spans="1:2">
      <c r="A3967" s="14">
        <v>45411.193055999996</v>
      </c>
      <c r="B3967" s="15">
        <v>6.7639199999999997</v>
      </c>
    </row>
    <row r="3968" spans="1:2">
      <c r="A3968" s="14">
        <v>45411.193749999999</v>
      </c>
      <c r="B3968" s="15">
        <v>6.7231129999999997</v>
      </c>
    </row>
    <row r="3969" spans="1:2">
      <c r="A3969" s="14">
        <v>45411.194444000001</v>
      </c>
      <c r="B3969" s="15">
        <v>6.858339</v>
      </c>
    </row>
    <row r="3970" spans="1:2">
      <c r="A3970" s="14">
        <v>45411.195139000003</v>
      </c>
      <c r="B3970" s="15">
        <v>7.0221539999999996</v>
      </c>
    </row>
    <row r="3971" spans="1:2">
      <c r="A3971" s="14">
        <v>45411.195832999998</v>
      </c>
      <c r="B3971" s="15">
        <v>6.8188709999999997</v>
      </c>
    </row>
    <row r="3972" spans="1:2">
      <c r="A3972" s="14">
        <v>45411.196528</v>
      </c>
      <c r="B3972" s="15">
        <v>6.8161750000000003</v>
      </c>
    </row>
    <row r="3973" spans="1:2">
      <c r="A3973" s="14">
        <v>45411.197222000003</v>
      </c>
      <c r="B3973" s="15">
        <v>6.7716669999999999</v>
      </c>
    </row>
    <row r="3974" spans="1:2">
      <c r="A3974" s="14">
        <v>45411.197916999998</v>
      </c>
      <c r="B3974" s="15">
        <v>6.7045490000000001</v>
      </c>
    </row>
    <row r="3975" spans="1:2">
      <c r="A3975" s="14">
        <v>45411.198611</v>
      </c>
      <c r="B3975" s="15">
        <v>6.5665339999999999</v>
      </c>
    </row>
    <row r="3976" spans="1:2">
      <c r="A3976" s="14">
        <v>45411.199306000002</v>
      </c>
      <c r="B3976" s="15">
        <v>6.8470339999999998</v>
      </c>
    </row>
    <row r="3977" spans="1:2">
      <c r="A3977" s="14">
        <v>45411.199999999997</v>
      </c>
      <c r="B3977" s="15">
        <v>6.903416</v>
      </c>
    </row>
    <row r="3978" spans="1:2">
      <c r="A3978" s="14">
        <v>45411.200693999999</v>
      </c>
      <c r="B3978" s="15">
        <v>6.7180850000000003</v>
      </c>
    </row>
    <row r="3979" spans="1:2">
      <c r="A3979" s="14">
        <v>45411.201389000002</v>
      </c>
      <c r="B3979" s="15">
        <v>6.7009249999999998</v>
      </c>
    </row>
    <row r="3980" spans="1:2">
      <c r="A3980" s="14">
        <v>45411.202082999996</v>
      </c>
      <c r="B3980" s="15">
        <v>6.6778040000000001</v>
      </c>
    </row>
    <row r="3981" spans="1:2">
      <c r="A3981" s="14">
        <v>45411.202777999999</v>
      </c>
      <c r="B3981" s="15">
        <v>6.6535130000000002</v>
      </c>
    </row>
    <row r="3982" spans="1:2">
      <c r="A3982" s="14">
        <v>45411.203472000001</v>
      </c>
      <c r="B3982" s="15">
        <v>6.620635</v>
      </c>
    </row>
    <row r="3983" spans="1:2">
      <c r="A3983" s="14">
        <v>45411.204167000004</v>
      </c>
      <c r="B3983" s="15">
        <v>6.9533370000000003</v>
      </c>
    </row>
    <row r="3984" spans="1:2">
      <c r="A3984" s="14">
        <v>45411.204860999998</v>
      </c>
      <c r="B3984" s="15">
        <v>6.9409640000000001</v>
      </c>
    </row>
    <row r="3985" spans="1:2">
      <c r="A3985" s="14">
        <v>45411.205556000001</v>
      </c>
      <c r="B3985" s="15">
        <v>6.8573829999999996</v>
      </c>
    </row>
    <row r="3986" spans="1:2">
      <c r="A3986" s="14">
        <v>45411.206250000003</v>
      </c>
      <c r="B3986" s="15">
        <v>6.8462550000000002</v>
      </c>
    </row>
    <row r="3987" spans="1:2">
      <c r="A3987" s="14">
        <v>45411.206943999998</v>
      </c>
      <c r="B3987" s="15">
        <v>7.0337139999999998</v>
      </c>
    </row>
    <row r="3988" spans="1:2">
      <c r="A3988" s="14">
        <v>45411.207639</v>
      </c>
      <c r="B3988" s="15">
        <v>7.0538670000000003</v>
      </c>
    </row>
    <row r="3989" spans="1:2">
      <c r="A3989" s="14">
        <v>45411.208333000002</v>
      </c>
      <c r="B3989" s="15">
        <v>6.9678950000000004</v>
      </c>
    </row>
    <row r="3990" spans="1:2">
      <c r="A3990" s="14">
        <v>45411.209027999997</v>
      </c>
      <c r="B3990" s="15">
        <v>6.7185800000000002</v>
      </c>
    </row>
    <row r="3991" spans="1:2">
      <c r="A3991" s="14">
        <v>45411.209722</v>
      </c>
      <c r="B3991" s="15">
        <v>6.658029</v>
      </c>
    </row>
    <row r="3992" spans="1:2">
      <c r="A3992" s="14">
        <v>45411.210417000002</v>
      </c>
      <c r="B3992" s="15">
        <v>6.8497130000000004</v>
      </c>
    </row>
    <row r="3993" spans="1:2">
      <c r="A3993" s="14">
        <v>45411.211110999997</v>
      </c>
      <c r="B3993" s="15">
        <v>7.0123579999999999</v>
      </c>
    </row>
    <row r="3994" spans="1:2">
      <c r="A3994" s="14">
        <v>45411.211805999999</v>
      </c>
      <c r="B3994" s="15">
        <v>6.6163119999999997</v>
      </c>
    </row>
    <row r="3995" spans="1:2">
      <c r="A3995" s="14">
        <v>45411.212500000001</v>
      </c>
      <c r="B3995" s="15">
        <v>6.7737569999999998</v>
      </c>
    </row>
    <row r="3996" spans="1:2">
      <c r="A3996" s="14">
        <v>45411.213194000004</v>
      </c>
      <c r="B3996" s="15">
        <v>6.9366479999999999</v>
      </c>
    </row>
    <row r="3997" spans="1:2">
      <c r="A3997" s="14">
        <v>45411.213888999999</v>
      </c>
      <c r="B3997" s="15">
        <v>7.0845890000000002</v>
      </c>
    </row>
    <row r="3998" spans="1:2">
      <c r="A3998" s="14">
        <v>45411.214583000001</v>
      </c>
      <c r="B3998" s="15">
        <v>7.0006599999999999</v>
      </c>
    </row>
    <row r="3999" spans="1:2">
      <c r="A3999" s="14">
        <v>45411.215278000003</v>
      </c>
      <c r="B3999" s="15">
        <v>7.0583140000000002</v>
      </c>
    </row>
    <row r="4000" spans="1:2">
      <c r="A4000" s="14">
        <v>45411.215971999998</v>
      </c>
      <c r="B4000" s="15">
        <v>6.8452010000000003</v>
      </c>
    </row>
    <row r="4001" spans="1:2">
      <c r="A4001" s="14">
        <v>45411.216667000001</v>
      </c>
      <c r="B4001" s="15">
        <v>6.6300439999999998</v>
      </c>
    </row>
    <row r="4002" spans="1:2">
      <c r="A4002" s="14">
        <v>45411.217361000003</v>
      </c>
      <c r="B4002" s="15">
        <v>6.6795450000000001</v>
      </c>
    </row>
    <row r="4003" spans="1:2">
      <c r="A4003" s="14">
        <v>45411.218055999998</v>
      </c>
      <c r="B4003" s="15">
        <v>6.8978359999999999</v>
      </c>
    </row>
    <row r="4004" spans="1:2">
      <c r="A4004" s="14">
        <v>45411.21875</v>
      </c>
      <c r="B4004" s="15">
        <v>6.9290969999999996</v>
      </c>
    </row>
    <row r="4005" spans="1:2">
      <c r="A4005" s="14">
        <v>45411.219444000002</v>
      </c>
      <c r="B4005" s="15">
        <v>6.8728629999999997</v>
      </c>
    </row>
    <row r="4006" spans="1:2">
      <c r="A4006" s="14">
        <v>45411.220138999997</v>
      </c>
      <c r="B4006" s="15">
        <v>6.9620069999999998</v>
      </c>
    </row>
    <row r="4007" spans="1:2">
      <c r="A4007" s="14">
        <v>45411.220832999999</v>
      </c>
      <c r="B4007" s="15">
        <v>6.7897439999999998</v>
      </c>
    </row>
    <row r="4008" spans="1:2">
      <c r="A4008" s="14">
        <v>45411.221528000002</v>
      </c>
      <c r="B4008" s="15">
        <v>6.7912129999999999</v>
      </c>
    </row>
    <row r="4009" spans="1:2">
      <c r="A4009" s="14">
        <v>45411.222221999997</v>
      </c>
      <c r="B4009" s="15">
        <v>6.8814010000000003</v>
      </c>
    </row>
    <row r="4010" spans="1:2">
      <c r="A4010" s="14">
        <v>45411.222916999999</v>
      </c>
      <c r="B4010" s="15">
        <v>6.8882219999999998</v>
      </c>
    </row>
    <row r="4011" spans="1:2">
      <c r="A4011" s="14">
        <v>45411.223611000001</v>
      </c>
      <c r="B4011" s="15">
        <v>7.0071680000000001</v>
      </c>
    </row>
    <row r="4012" spans="1:2">
      <c r="A4012" s="14">
        <v>45411.224305999996</v>
      </c>
      <c r="B4012" s="15">
        <v>6.9139609999999996</v>
      </c>
    </row>
    <row r="4013" spans="1:2">
      <c r="A4013" s="14">
        <v>45411.224999999999</v>
      </c>
      <c r="B4013" s="15">
        <v>6.7205170000000001</v>
      </c>
    </row>
    <row r="4014" spans="1:2">
      <c r="A4014" s="14">
        <v>45411.225694000001</v>
      </c>
      <c r="B4014" s="15">
        <v>6.952985</v>
      </c>
    </row>
    <row r="4015" spans="1:2">
      <c r="A4015" s="14">
        <v>45411.226389000003</v>
      </c>
      <c r="B4015" s="15">
        <v>6.8186530000000003</v>
      </c>
    </row>
    <row r="4016" spans="1:2">
      <c r="A4016" s="14">
        <v>45411.227082999998</v>
      </c>
      <c r="B4016" s="15">
        <v>6.9759919999999997</v>
      </c>
    </row>
    <row r="4017" spans="1:2">
      <c r="A4017" s="14">
        <v>45411.227778</v>
      </c>
      <c r="B4017" s="15">
        <v>7.3265140000000004</v>
      </c>
    </row>
    <row r="4018" spans="1:2">
      <c r="A4018" s="14">
        <v>45411.228472000003</v>
      </c>
      <c r="B4018" s="15">
        <v>7.0200579999999997</v>
      </c>
    </row>
    <row r="4019" spans="1:2">
      <c r="A4019" s="14">
        <v>45411.229166999998</v>
      </c>
      <c r="B4019" s="15">
        <v>6.8619250000000003</v>
      </c>
    </row>
    <row r="4020" spans="1:2">
      <c r="A4020" s="14">
        <v>45411.229861</v>
      </c>
      <c r="B4020" s="15">
        <v>6.8402019999999997</v>
      </c>
    </row>
    <row r="4021" spans="1:2">
      <c r="A4021" s="14">
        <v>45411.230556000002</v>
      </c>
      <c r="B4021" s="15">
        <v>6.872242</v>
      </c>
    </row>
    <row r="4022" spans="1:2">
      <c r="A4022" s="14">
        <v>45411.231249999997</v>
      </c>
      <c r="B4022" s="15">
        <v>6.9317599999999997</v>
      </c>
    </row>
    <row r="4023" spans="1:2">
      <c r="A4023" s="14">
        <v>45411.231943999999</v>
      </c>
      <c r="B4023" s="15">
        <v>6.7150090000000002</v>
      </c>
    </row>
    <row r="4024" spans="1:2">
      <c r="A4024" s="14">
        <v>45411.232639000002</v>
      </c>
      <c r="B4024" s="15">
        <v>6.7664140000000002</v>
      </c>
    </row>
    <row r="4025" spans="1:2">
      <c r="A4025" s="14">
        <v>45411.233332999996</v>
      </c>
      <c r="B4025" s="15">
        <v>6.9407709999999998</v>
      </c>
    </row>
    <row r="4026" spans="1:2">
      <c r="A4026" s="14">
        <v>45411.234027999999</v>
      </c>
      <c r="B4026" s="15">
        <v>6.8446280000000002</v>
      </c>
    </row>
    <row r="4027" spans="1:2">
      <c r="A4027" s="14">
        <v>45411.234722000001</v>
      </c>
      <c r="B4027" s="15">
        <v>6.990869</v>
      </c>
    </row>
    <row r="4028" spans="1:2">
      <c r="A4028" s="14">
        <v>45411.235417000004</v>
      </c>
      <c r="B4028" s="15">
        <v>7.0531360000000003</v>
      </c>
    </row>
    <row r="4029" spans="1:2">
      <c r="A4029" s="14">
        <v>45411.236110999998</v>
      </c>
      <c r="B4029" s="15">
        <v>7.0192519999999998</v>
      </c>
    </row>
    <row r="4030" spans="1:2">
      <c r="A4030" s="14">
        <v>45411.236806000001</v>
      </c>
      <c r="B4030" s="15">
        <v>6.6812579999999997</v>
      </c>
    </row>
    <row r="4031" spans="1:2">
      <c r="A4031" s="14">
        <v>45411.237500000003</v>
      </c>
      <c r="B4031" s="15">
        <v>6.824751</v>
      </c>
    </row>
    <row r="4032" spans="1:2">
      <c r="A4032" s="14">
        <v>45411.238193999998</v>
      </c>
      <c r="B4032" s="15">
        <v>6.9466749999999999</v>
      </c>
    </row>
    <row r="4033" spans="1:2">
      <c r="A4033" s="14">
        <v>45411.238889</v>
      </c>
      <c r="B4033" s="15">
        <v>7.0127430000000004</v>
      </c>
    </row>
    <row r="4034" spans="1:2">
      <c r="A4034" s="14">
        <v>45411.239583000002</v>
      </c>
      <c r="B4034" s="15">
        <v>6.5862119999999997</v>
      </c>
    </row>
    <row r="4035" spans="1:2">
      <c r="A4035" s="14">
        <v>45411.240277999997</v>
      </c>
      <c r="B4035" s="15">
        <v>6.8174429999999999</v>
      </c>
    </row>
    <row r="4036" spans="1:2">
      <c r="A4036" s="14">
        <v>45411.240972</v>
      </c>
      <c r="B4036" s="15">
        <v>6.8683050000000003</v>
      </c>
    </row>
    <row r="4037" spans="1:2">
      <c r="A4037" s="14">
        <v>45411.241667000002</v>
      </c>
      <c r="B4037" s="15">
        <v>6.7748660000000003</v>
      </c>
    </row>
    <row r="4038" spans="1:2">
      <c r="A4038" s="14">
        <v>45411.242360999997</v>
      </c>
      <c r="B4038" s="15">
        <v>7.0118720000000003</v>
      </c>
    </row>
    <row r="4039" spans="1:2">
      <c r="A4039" s="14">
        <v>45411.243055999999</v>
      </c>
      <c r="B4039" s="15">
        <v>6.9060350000000001</v>
      </c>
    </row>
    <row r="4040" spans="1:2">
      <c r="A4040" s="14">
        <v>45411.243750000001</v>
      </c>
      <c r="B4040" s="15">
        <v>6.8431790000000001</v>
      </c>
    </row>
    <row r="4041" spans="1:2">
      <c r="A4041" s="14">
        <v>45411.244444000004</v>
      </c>
      <c r="B4041" s="15">
        <v>6.8148809999999997</v>
      </c>
    </row>
    <row r="4042" spans="1:2">
      <c r="A4042" s="14">
        <v>45411.245138999999</v>
      </c>
      <c r="B4042" s="15">
        <v>6.9867970000000001</v>
      </c>
    </row>
    <row r="4043" spans="1:2">
      <c r="A4043" s="14">
        <v>45411.245833000001</v>
      </c>
      <c r="B4043" s="15">
        <v>6.9069770000000004</v>
      </c>
    </row>
    <row r="4044" spans="1:2">
      <c r="A4044" s="14">
        <v>45411.246528000003</v>
      </c>
      <c r="B4044" s="15">
        <v>6.8442809999999996</v>
      </c>
    </row>
    <row r="4045" spans="1:2">
      <c r="A4045" s="14">
        <v>45411.247221999998</v>
      </c>
      <c r="B4045" s="15">
        <v>6.7963449999999996</v>
      </c>
    </row>
    <row r="4046" spans="1:2">
      <c r="A4046" s="14">
        <v>45411.247917000001</v>
      </c>
      <c r="B4046" s="15">
        <v>6.8954490000000002</v>
      </c>
    </row>
    <row r="4047" spans="1:2">
      <c r="A4047" s="14">
        <v>45411.248611000003</v>
      </c>
      <c r="B4047" s="15">
        <v>6.8991090000000002</v>
      </c>
    </row>
    <row r="4048" spans="1:2">
      <c r="A4048" s="14">
        <v>45411.249305999998</v>
      </c>
      <c r="B4048" s="15">
        <v>6.8785499999999997</v>
      </c>
    </row>
    <row r="4049" spans="1:2">
      <c r="A4049" s="14">
        <v>45411.25</v>
      </c>
      <c r="B4049" s="15">
        <v>6.8314690000000002</v>
      </c>
    </row>
    <row r="4050" spans="1:2">
      <c r="A4050" s="14">
        <v>45411.250694000002</v>
      </c>
      <c r="B4050" s="15">
        <v>6.7225479999999997</v>
      </c>
    </row>
    <row r="4051" spans="1:2">
      <c r="A4051" s="14">
        <v>45411.251388999997</v>
      </c>
      <c r="B4051" s="15">
        <v>6.7823409999999997</v>
      </c>
    </row>
    <row r="4052" spans="1:2">
      <c r="A4052" s="14">
        <v>45411.252082999999</v>
      </c>
      <c r="B4052" s="15">
        <v>6.7956139999999996</v>
      </c>
    </row>
    <row r="4053" spans="1:2">
      <c r="A4053" s="14">
        <v>45411.252778000002</v>
      </c>
      <c r="B4053" s="15">
        <v>6.7071339999999999</v>
      </c>
    </row>
    <row r="4054" spans="1:2">
      <c r="A4054" s="14">
        <v>45411.253471999997</v>
      </c>
      <c r="B4054" s="15">
        <v>6.9467420000000004</v>
      </c>
    </row>
    <row r="4055" spans="1:2">
      <c r="A4055" s="14">
        <v>45411.254166999999</v>
      </c>
      <c r="B4055" s="15">
        <v>6.9283659999999996</v>
      </c>
    </row>
    <row r="4056" spans="1:2">
      <c r="A4056" s="14">
        <v>45411.254861000001</v>
      </c>
      <c r="B4056" s="15">
        <v>6.8251169999999997</v>
      </c>
    </row>
    <row r="4057" spans="1:2">
      <c r="A4057" s="14">
        <v>45411.255555999996</v>
      </c>
      <c r="B4057" s="15">
        <v>6.6068860000000003</v>
      </c>
    </row>
    <row r="4058" spans="1:2">
      <c r="A4058" s="14">
        <v>45411.256249999999</v>
      </c>
      <c r="B4058" s="15">
        <v>6.7563829999999996</v>
      </c>
    </row>
    <row r="4059" spans="1:2">
      <c r="A4059" s="14">
        <v>45411.256944000001</v>
      </c>
      <c r="B4059" s="15">
        <v>6.8478269999999997</v>
      </c>
    </row>
    <row r="4060" spans="1:2">
      <c r="A4060" s="14">
        <v>45411.257639000003</v>
      </c>
      <c r="B4060" s="15">
        <v>6.9145630000000002</v>
      </c>
    </row>
    <row r="4061" spans="1:2">
      <c r="A4061" s="14">
        <v>45411.258332999998</v>
      </c>
      <c r="B4061" s="15">
        <v>6.9096169999999999</v>
      </c>
    </row>
    <row r="4062" spans="1:2">
      <c r="A4062" s="14">
        <v>45411.259028</v>
      </c>
      <c r="B4062" s="15">
        <v>6.7572049999999999</v>
      </c>
    </row>
    <row r="4063" spans="1:2">
      <c r="A4063" s="14">
        <v>45411.259722000003</v>
      </c>
      <c r="B4063" s="15">
        <v>6.7267619999999999</v>
      </c>
    </row>
    <row r="4064" spans="1:2">
      <c r="A4064" s="14">
        <v>45411.260416999998</v>
      </c>
      <c r="B4064" s="15">
        <v>6.7756239999999996</v>
      </c>
    </row>
    <row r="4065" spans="1:2">
      <c r="A4065" s="14">
        <v>45411.261111</v>
      </c>
      <c r="B4065" s="15">
        <v>7.3054129999999997</v>
      </c>
    </row>
    <row r="4066" spans="1:2">
      <c r="A4066" s="14">
        <v>45411.261806000002</v>
      </c>
      <c r="B4066" s="15">
        <v>6.8637249999999996</v>
      </c>
    </row>
    <row r="4067" spans="1:2">
      <c r="A4067" s="14">
        <v>45411.262499999997</v>
      </c>
      <c r="B4067" s="15">
        <v>6.8308689999999999</v>
      </c>
    </row>
    <row r="4068" spans="1:2">
      <c r="A4068" s="14">
        <v>45411.263193999999</v>
      </c>
      <c r="B4068" s="15">
        <v>6.9029530000000001</v>
      </c>
    </row>
    <row r="4069" spans="1:2">
      <c r="A4069" s="14">
        <v>45411.263889000002</v>
      </c>
      <c r="B4069" s="15">
        <v>6.8164090000000002</v>
      </c>
    </row>
    <row r="4070" spans="1:2">
      <c r="A4070" s="14">
        <v>45411.264582999996</v>
      </c>
      <c r="B4070" s="15">
        <v>7.065321</v>
      </c>
    </row>
    <row r="4071" spans="1:2">
      <c r="A4071" s="14">
        <v>45411.265277999999</v>
      </c>
      <c r="B4071" s="15">
        <v>6.9734069999999999</v>
      </c>
    </row>
    <row r="4072" spans="1:2">
      <c r="A4072" s="14">
        <v>45411.265972000001</v>
      </c>
      <c r="B4072" s="15">
        <v>6.7732109999999999</v>
      </c>
    </row>
    <row r="4073" spans="1:2">
      <c r="A4073" s="14">
        <v>45411.266667000004</v>
      </c>
      <c r="B4073" s="15">
        <v>6.6333140000000004</v>
      </c>
    </row>
    <row r="4074" spans="1:2">
      <c r="A4074" s="14">
        <v>45411.267360999998</v>
      </c>
      <c r="B4074" s="15">
        <v>6.7567279999999998</v>
      </c>
    </row>
    <row r="4075" spans="1:2">
      <c r="A4075" s="14">
        <v>45411.268056000001</v>
      </c>
      <c r="B4075" s="15">
        <v>6.9181350000000004</v>
      </c>
    </row>
    <row r="4076" spans="1:2">
      <c r="A4076" s="14">
        <v>45411.268750000003</v>
      </c>
      <c r="B4076" s="15">
        <v>7.0924579999999997</v>
      </c>
    </row>
    <row r="4077" spans="1:2">
      <c r="A4077" s="14">
        <v>45411.269443999998</v>
      </c>
      <c r="B4077" s="15">
        <v>6.9493640000000001</v>
      </c>
    </row>
    <row r="4078" spans="1:2">
      <c r="A4078" s="14">
        <v>45411.270139</v>
      </c>
      <c r="B4078" s="15">
        <v>6.9223999999999997</v>
      </c>
    </row>
    <row r="4079" spans="1:2">
      <c r="A4079" s="14">
        <v>45411.270833000002</v>
      </c>
      <c r="B4079" s="15">
        <v>6.8643179999999999</v>
      </c>
    </row>
    <row r="4080" spans="1:2">
      <c r="A4080" s="14">
        <v>45411.271527999997</v>
      </c>
      <c r="B4080" s="15">
        <v>6.7885559999999998</v>
      </c>
    </row>
    <row r="4081" spans="1:2">
      <c r="A4081" s="14">
        <v>45411.272222</v>
      </c>
      <c r="B4081" s="15">
        <v>6.6658759999999999</v>
      </c>
    </row>
    <row r="4082" spans="1:2">
      <c r="A4082" s="14">
        <v>45411.272917000002</v>
      </c>
      <c r="B4082" s="15">
        <v>6.994224</v>
      </c>
    </row>
    <row r="4083" spans="1:2">
      <c r="A4083" s="14">
        <v>45411.273610999997</v>
      </c>
      <c r="B4083" s="15">
        <v>7.1127149999999997</v>
      </c>
    </row>
    <row r="4084" spans="1:2">
      <c r="A4084" s="14">
        <v>45411.274305999999</v>
      </c>
      <c r="B4084" s="15">
        <v>7.0536649999999996</v>
      </c>
    </row>
    <row r="4085" spans="1:2">
      <c r="A4085" s="14">
        <v>45411.275000000001</v>
      </c>
      <c r="B4085" s="15">
        <v>6.8447990000000001</v>
      </c>
    </row>
    <row r="4086" spans="1:2">
      <c r="A4086" s="14">
        <v>45411.275694000004</v>
      </c>
      <c r="B4086" s="15">
        <v>6.9788819999999996</v>
      </c>
    </row>
    <row r="4087" spans="1:2">
      <c r="A4087" s="14">
        <v>45411.276388999999</v>
      </c>
      <c r="B4087" s="15">
        <v>6.9459770000000001</v>
      </c>
    </row>
    <row r="4088" spans="1:2">
      <c r="A4088" s="14">
        <v>45411.277083000001</v>
      </c>
      <c r="B4088" s="15">
        <v>6.8760940000000002</v>
      </c>
    </row>
    <row r="4089" spans="1:2">
      <c r="A4089" s="14">
        <v>45411.277778000003</v>
      </c>
      <c r="B4089" s="15">
        <v>7.0500829999999999</v>
      </c>
    </row>
    <row r="4090" spans="1:2">
      <c r="A4090" s="14">
        <v>45411.278471999998</v>
      </c>
      <c r="B4090" s="15">
        <v>6.9302820000000001</v>
      </c>
    </row>
    <row r="4091" spans="1:2">
      <c r="A4091" s="14">
        <v>45411.279167000001</v>
      </c>
      <c r="B4091" s="15">
        <v>6.9361059999999997</v>
      </c>
    </row>
    <row r="4092" spans="1:2">
      <c r="A4092" s="14">
        <v>45411.279861000003</v>
      </c>
      <c r="B4092" s="15">
        <v>6.9696569999999998</v>
      </c>
    </row>
    <row r="4093" spans="1:2">
      <c r="A4093" s="14">
        <v>45411.280555999998</v>
      </c>
      <c r="B4093" s="15">
        <v>6.931584</v>
      </c>
    </row>
    <row r="4094" spans="1:2">
      <c r="A4094" s="14">
        <v>45411.28125</v>
      </c>
      <c r="B4094" s="15">
        <v>6.9602510000000004</v>
      </c>
    </row>
    <row r="4095" spans="1:2">
      <c r="A4095" s="14">
        <v>45411.281944000002</v>
      </c>
      <c r="B4095" s="15">
        <v>7.0017440000000004</v>
      </c>
    </row>
    <row r="4096" spans="1:2">
      <c r="A4096" s="14">
        <v>45411.282638999997</v>
      </c>
      <c r="B4096" s="15">
        <v>7.0019640000000001</v>
      </c>
    </row>
    <row r="4097" spans="1:2">
      <c r="A4097" s="14">
        <v>45411.283332999999</v>
      </c>
      <c r="B4097" s="15">
        <v>6.8525989999999997</v>
      </c>
    </row>
    <row r="4098" spans="1:2">
      <c r="A4098" s="14">
        <v>45411.284028000002</v>
      </c>
      <c r="B4098" s="15">
        <v>7.1109309999999999</v>
      </c>
    </row>
    <row r="4099" spans="1:2">
      <c r="A4099" s="14">
        <v>45411.284721999997</v>
      </c>
      <c r="B4099" s="15">
        <v>7.1170809999999998</v>
      </c>
    </row>
    <row r="4100" spans="1:2">
      <c r="A4100" s="14">
        <v>45411.285416999999</v>
      </c>
      <c r="B4100" s="15">
        <v>7.0033750000000001</v>
      </c>
    </row>
    <row r="4101" spans="1:2">
      <c r="A4101" s="14">
        <v>45411.286111000001</v>
      </c>
      <c r="B4101" s="15">
        <v>6.7712859999999999</v>
      </c>
    </row>
    <row r="4102" spans="1:2">
      <c r="A4102" s="14">
        <v>45411.286805999996</v>
      </c>
      <c r="B4102" s="15">
        <v>7.0692700000000004</v>
      </c>
    </row>
    <row r="4103" spans="1:2">
      <c r="A4103" s="14">
        <v>45411.287499999999</v>
      </c>
      <c r="B4103" s="15">
        <v>7.0481350000000003</v>
      </c>
    </row>
    <row r="4104" spans="1:2">
      <c r="A4104" s="14">
        <v>45411.288194000001</v>
      </c>
      <c r="B4104" s="15">
        <v>7.0340689999999997</v>
      </c>
    </row>
    <row r="4105" spans="1:2">
      <c r="A4105" s="14">
        <v>45411.288889000003</v>
      </c>
      <c r="B4105" s="15">
        <v>7.0844899999999997</v>
      </c>
    </row>
    <row r="4106" spans="1:2">
      <c r="A4106" s="14">
        <v>45411.289582999998</v>
      </c>
      <c r="B4106" s="15">
        <v>6.9358190000000004</v>
      </c>
    </row>
    <row r="4107" spans="1:2">
      <c r="A4107" s="14">
        <v>45411.290278</v>
      </c>
      <c r="B4107" s="15">
        <v>6.9166920000000003</v>
      </c>
    </row>
    <row r="4108" spans="1:2">
      <c r="A4108" s="14">
        <v>45411.290972000003</v>
      </c>
      <c r="B4108" s="15">
        <v>6.9095560000000003</v>
      </c>
    </row>
    <row r="4109" spans="1:2">
      <c r="A4109" s="14">
        <v>45411.291666999998</v>
      </c>
      <c r="B4109" s="15">
        <v>6.9140350000000002</v>
      </c>
    </row>
    <row r="4110" spans="1:2">
      <c r="A4110" s="14">
        <v>45411.292361</v>
      </c>
      <c r="B4110" s="15">
        <v>7.430796</v>
      </c>
    </row>
    <row r="4111" spans="1:2">
      <c r="A4111" s="14">
        <v>45411.293056000002</v>
      </c>
      <c r="B4111" s="15">
        <v>6.9489999999999998</v>
      </c>
    </row>
    <row r="4112" spans="1:2">
      <c r="A4112" s="14">
        <v>45411.293749999997</v>
      </c>
      <c r="B4112" s="15">
        <v>6.8108930000000001</v>
      </c>
    </row>
    <row r="4113" spans="1:2">
      <c r="A4113" s="14">
        <v>45411.294443999999</v>
      </c>
      <c r="B4113" s="15">
        <v>6.8344040000000001</v>
      </c>
    </row>
    <row r="4114" spans="1:2">
      <c r="A4114" s="14">
        <v>45411.295139000002</v>
      </c>
      <c r="B4114" s="15">
        <v>6.9101410000000003</v>
      </c>
    </row>
    <row r="4115" spans="1:2">
      <c r="A4115" s="14">
        <v>45411.295832999996</v>
      </c>
      <c r="B4115" s="15">
        <v>7.0223490000000002</v>
      </c>
    </row>
    <row r="4116" spans="1:2">
      <c r="A4116" s="14">
        <v>45411.296527999999</v>
      </c>
      <c r="B4116" s="15">
        <v>7.145251</v>
      </c>
    </row>
    <row r="4117" spans="1:2">
      <c r="A4117" s="14">
        <v>45411.297222000001</v>
      </c>
      <c r="B4117" s="15">
        <v>7.1972449999999997</v>
      </c>
    </row>
    <row r="4118" spans="1:2">
      <c r="A4118" s="14">
        <v>45411.297917000004</v>
      </c>
      <c r="B4118" s="15">
        <v>6.8814659999999996</v>
      </c>
    </row>
    <row r="4119" spans="1:2">
      <c r="A4119" s="14">
        <v>45411.298610999998</v>
      </c>
      <c r="B4119" s="15">
        <v>6.8709509999999998</v>
      </c>
    </row>
    <row r="4120" spans="1:2">
      <c r="A4120" s="14">
        <v>45411.299306000001</v>
      </c>
      <c r="B4120" s="15">
        <v>6.9976000000000003</v>
      </c>
    </row>
    <row r="4121" spans="1:2">
      <c r="A4121" s="14">
        <v>45411.3</v>
      </c>
      <c r="B4121" s="15">
        <v>7.1535140000000004</v>
      </c>
    </row>
    <row r="4122" spans="1:2">
      <c r="A4122" s="14">
        <v>45411.300693999998</v>
      </c>
      <c r="B4122" s="15">
        <v>7.2161150000000003</v>
      </c>
    </row>
    <row r="4123" spans="1:2">
      <c r="A4123" s="14">
        <v>45411.301389</v>
      </c>
      <c r="B4123" s="15">
        <v>7.1428409999999998</v>
      </c>
    </row>
    <row r="4124" spans="1:2">
      <c r="A4124" s="14">
        <v>45411.302083000002</v>
      </c>
      <c r="B4124" s="15">
        <v>7.0759359999999996</v>
      </c>
    </row>
    <row r="4125" spans="1:2">
      <c r="A4125" s="14">
        <v>45411.302777999997</v>
      </c>
      <c r="B4125" s="15">
        <v>7.027984</v>
      </c>
    </row>
    <row r="4126" spans="1:2">
      <c r="A4126" s="14">
        <v>45411.303472</v>
      </c>
      <c r="B4126" s="15">
        <v>7.0028990000000002</v>
      </c>
    </row>
    <row r="4127" spans="1:2">
      <c r="A4127" s="14">
        <v>45411.304167000002</v>
      </c>
      <c r="B4127" s="15">
        <v>7.1125059999999998</v>
      </c>
    </row>
    <row r="4128" spans="1:2">
      <c r="A4128" s="14">
        <v>45411.304860999997</v>
      </c>
      <c r="B4128" s="15">
        <v>6.9989910000000002</v>
      </c>
    </row>
    <row r="4129" spans="1:2">
      <c r="A4129" s="14">
        <v>45411.305555999999</v>
      </c>
      <c r="B4129" s="15">
        <v>6.9527939999999999</v>
      </c>
    </row>
    <row r="4130" spans="1:2">
      <c r="A4130" s="14">
        <v>45411.306250000001</v>
      </c>
      <c r="B4130" s="15">
        <v>6.9603729999999997</v>
      </c>
    </row>
    <row r="4131" spans="1:2">
      <c r="A4131" s="14">
        <v>45411.306944000004</v>
      </c>
      <c r="B4131" s="15">
        <v>7.0384760000000002</v>
      </c>
    </row>
    <row r="4132" spans="1:2">
      <c r="A4132" s="14">
        <v>45411.307638999999</v>
      </c>
      <c r="B4132" s="15">
        <v>7.2392029999999998</v>
      </c>
    </row>
    <row r="4133" spans="1:2">
      <c r="A4133" s="14">
        <v>45411.308333000001</v>
      </c>
      <c r="B4133" s="15">
        <v>7.1921359999999996</v>
      </c>
    </row>
    <row r="4134" spans="1:2">
      <c r="A4134" s="14">
        <v>45411.309028000003</v>
      </c>
      <c r="B4134" s="15">
        <v>7.0622259999999999</v>
      </c>
    </row>
    <row r="4135" spans="1:2">
      <c r="A4135" s="14">
        <v>45411.309721999998</v>
      </c>
      <c r="B4135" s="15">
        <v>7.0244720000000003</v>
      </c>
    </row>
    <row r="4136" spans="1:2">
      <c r="A4136" s="14">
        <v>45411.310417000001</v>
      </c>
      <c r="B4136" s="15">
        <v>6.9289310000000004</v>
      </c>
    </row>
    <row r="4137" spans="1:2">
      <c r="A4137" s="14">
        <v>45411.311111000003</v>
      </c>
      <c r="B4137" s="15">
        <v>6.9696499999999997</v>
      </c>
    </row>
    <row r="4138" spans="1:2">
      <c r="A4138" s="14">
        <v>45411.311805999998</v>
      </c>
      <c r="B4138" s="15">
        <v>7.0345339999999998</v>
      </c>
    </row>
    <row r="4139" spans="1:2">
      <c r="A4139" s="14">
        <v>45411.3125</v>
      </c>
      <c r="B4139" s="15">
        <v>7.0977220000000001</v>
      </c>
    </row>
    <row r="4140" spans="1:2">
      <c r="A4140" s="14">
        <v>45411.313194000002</v>
      </c>
      <c r="B4140" s="15">
        <v>7.1201239999999997</v>
      </c>
    </row>
    <row r="4141" spans="1:2">
      <c r="A4141" s="14">
        <v>45411.313888999997</v>
      </c>
      <c r="B4141" s="15">
        <v>7.0662630000000002</v>
      </c>
    </row>
    <row r="4142" spans="1:2">
      <c r="A4142" s="14">
        <v>45411.314582999999</v>
      </c>
      <c r="B4142" s="15">
        <v>7.0195410000000003</v>
      </c>
    </row>
    <row r="4143" spans="1:2">
      <c r="A4143" s="14">
        <v>45411.315278000002</v>
      </c>
      <c r="B4143" s="15">
        <v>6.9887249999999996</v>
      </c>
    </row>
    <row r="4144" spans="1:2">
      <c r="A4144" s="14">
        <v>45411.315971999997</v>
      </c>
      <c r="B4144" s="15">
        <v>7.0242019999999998</v>
      </c>
    </row>
    <row r="4145" spans="1:2">
      <c r="A4145" s="14">
        <v>45411.316666999999</v>
      </c>
      <c r="B4145" s="15">
        <v>7.1440299999999999</v>
      </c>
    </row>
    <row r="4146" spans="1:2">
      <c r="A4146" s="14">
        <v>45411.317361000001</v>
      </c>
      <c r="B4146" s="15">
        <v>7.1330229999999997</v>
      </c>
    </row>
    <row r="4147" spans="1:2">
      <c r="A4147" s="14">
        <v>45411.318055999996</v>
      </c>
      <c r="B4147" s="15">
        <v>7.0508470000000001</v>
      </c>
    </row>
    <row r="4148" spans="1:2">
      <c r="A4148" s="14">
        <v>45411.318749999999</v>
      </c>
      <c r="B4148" s="15">
        <v>7.0655570000000001</v>
      </c>
    </row>
    <row r="4149" spans="1:2">
      <c r="A4149" s="14">
        <v>45411.319444000001</v>
      </c>
      <c r="B4149" s="15">
        <v>7.1162450000000002</v>
      </c>
    </row>
    <row r="4150" spans="1:2">
      <c r="A4150" s="14">
        <v>45411.320139000003</v>
      </c>
      <c r="B4150" s="15">
        <v>7.2318210000000001</v>
      </c>
    </row>
    <row r="4151" spans="1:2">
      <c r="A4151" s="14">
        <v>45411.320832999998</v>
      </c>
      <c r="B4151" s="15">
        <v>7.226102</v>
      </c>
    </row>
    <row r="4152" spans="1:2">
      <c r="A4152" s="14">
        <v>45411.321528</v>
      </c>
      <c r="B4152" s="15">
        <v>6.9453959999999997</v>
      </c>
    </row>
    <row r="4153" spans="1:2">
      <c r="A4153" s="14">
        <v>45411.322222000003</v>
      </c>
      <c r="B4153" s="15">
        <v>7.0735320000000002</v>
      </c>
    </row>
    <row r="4154" spans="1:2">
      <c r="A4154" s="14">
        <v>45411.322916999998</v>
      </c>
      <c r="B4154" s="15">
        <v>7.1370750000000003</v>
      </c>
    </row>
    <row r="4155" spans="1:2">
      <c r="A4155" s="14">
        <v>45411.323611</v>
      </c>
      <c r="B4155" s="15">
        <v>7.1302709999999996</v>
      </c>
    </row>
    <row r="4156" spans="1:2">
      <c r="A4156" s="14">
        <v>45411.324306000002</v>
      </c>
      <c r="B4156" s="15">
        <v>7.0671390000000001</v>
      </c>
    </row>
    <row r="4157" spans="1:2">
      <c r="A4157" s="14">
        <v>45411.324999999997</v>
      </c>
      <c r="B4157" s="15">
        <v>7.1829640000000001</v>
      </c>
    </row>
    <row r="4158" spans="1:2">
      <c r="A4158" s="14">
        <v>45411.325693999999</v>
      </c>
      <c r="B4158" s="15">
        <v>6.9314530000000003</v>
      </c>
    </row>
    <row r="4159" spans="1:2">
      <c r="A4159" s="14">
        <v>45411.326389000002</v>
      </c>
      <c r="B4159" s="15">
        <v>6.9152089999999999</v>
      </c>
    </row>
    <row r="4160" spans="1:2">
      <c r="A4160" s="14">
        <v>45411.327082999996</v>
      </c>
      <c r="B4160" s="15">
        <v>7.0078930000000001</v>
      </c>
    </row>
    <row r="4161" spans="1:2">
      <c r="A4161" s="14">
        <v>45411.327777999999</v>
      </c>
      <c r="B4161" s="15">
        <v>7.1074010000000003</v>
      </c>
    </row>
    <row r="4162" spans="1:2">
      <c r="A4162" s="14">
        <v>45411.328472000001</v>
      </c>
      <c r="B4162" s="15">
        <v>7.0394550000000002</v>
      </c>
    </row>
    <row r="4163" spans="1:2">
      <c r="A4163" s="14">
        <v>45411.329167000004</v>
      </c>
      <c r="B4163" s="15">
        <v>7.0595819999999998</v>
      </c>
    </row>
    <row r="4164" spans="1:2">
      <c r="A4164" s="14">
        <v>45411.329860999998</v>
      </c>
      <c r="B4164" s="15">
        <v>7.1180199999999996</v>
      </c>
    </row>
    <row r="4165" spans="1:2">
      <c r="A4165" s="14">
        <v>45411.330556000001</v>
      </c>
      <c r="B4165" s="15">
        <v>7.2079420000000001</v>
      </c>
    </row>
    <row r="4166" spans="1:2">
      <c r="A4166" s="14">
        <v>45411.331250000003</v>
      </c>
      <c r="B4166" s="15">
        <v>7.0378990000000003</v>
      </c>
    </row>
    <row r="4167" spans="1:2">
      <c r="A4167" s="14">
        <v>45411.331943999998</v>
      </c>
      <c r="B4167" s="15">
        <v>7.1175189999999997</v>
      </c>
    </row>
    <row r="4168" spans="1:2">
      <c r="A4168" s="14">
        <v>45411.332639</v>
      </c>
      <c r="B4168" s="15">
        <v>7.0455050000000004</v>
      </c>
    </row>
    <row r="4169" spans="1:2">
      <c r="A4169" s="14">
        <v>45411.333333000002</v>
      </c>
      <c r="B4169" s="15">
        <v>6.7865690000000001</v>
      </c>
    </row>
    <row r="4170" spans="1:2">
      <c r="A4170" s="14">
        <v>45411.334027999997</v>
      </c>
      <c r="B4170" s="15">
        <v>7.0512410000000001</v>
      </c>
    </row>
    <row r="4171" spans="1:2">
      <c r="A4171" s="14">
        <v>45411.334722</v>
      </c>
      <c r="B4171" s="15">
        <v>7.061585</v>
      </c>
    </row>
    <row r="4172" spans="1:2">
      <c r="A4172" s="14">
        <v>45411.335417000002</v>
      </c>
      <c r="B4172" s="15">
        <v>7.019717</v>
      </c>
    </row>
    <row r="4173" spans="1:2">
      <c r="A4173" s="14">
        <v>45411.336110999997</v>
      </c>
      <c r="B4173" s="15">
        <v>6.9495690000000003</v>
      </c>
    </row>
    <row r="4174" spans="1:2">
      <c r="A4174" s="14">
        <v>45411.336805999999</v>
      </c>
      <c r="B4174" s="15">
        <v>7.0564460000000002</v>
      </c>
    </row>
    <row r="4175" spans="1:2">
      <c r="A4175" s="14">
        <v>45411.337500000001</v>
      </c>
      <c r="B4175" s="15">
        <v>7.238518</v>
      </c>
    </row>
    <row r="4176" spans="1:2">
      <c r="A4176" s="14">
        <v>45411.338194000004</v>
      </c>
      <c r="B4176" s="15">
        <v>7.0724309999999999</v>
      </c>
    </row>
    <row r="4177" spans="1:2">
      <c r="A4177" s="14">
        <v>45411.338888999999</v>
      </c>
      <c r="B4177" s="15">
        <v>6.8733829999999996</v>
      </c>
    </row>
    <row r="4178" spans="1:2">
      <c r="A4178" s="14">
        <v>45411.339583000001</v>
      </c>
      <c r="B4178" s="15">
        <v>7.2340479999999996</v>
      </c>
    </row>
    <row r="4179" spans="1:2">
      <c r="A4179" s="14">
        <v>45411.340278000003</v>
      </c>
      <c r="B4179" s="15">
        <v>7.1084509999999996</v>
      </c>
    </row>
    <row r="4180" spans="1:2">
      <c r="A4180" s="14">
        <v>45411.340971999998</v>
      </c>
      <c r="B4180" s="15">
        <v>7.0332160000000004</v>
      </c>
    </row>
    <row r="4181" spans="1:2">
      <c r="A4181" s="14">
        <v>45411.341667000001</v>
      </c>
      <c r="B4181" s="15">
        <v>6.9936319999999998</v>
      </c>
    </row>
    <row r="4182" spans="1:2">
      <c r="A4182" s="14">
        <v>45411.342361000003</v>
      </c>
      <c r="B4182" s="15">
        <v>7.0048709999999996</v>
      </c>
    </row>
    <row r="4183" spans="1:2">
      <c r="A4183" s="14">
        <v>45411.343055999998</v>
      </c>
      <c r="B4183" s="15">
        <v>7.0602080000000003</v>
      </c>
    </row>
    <row r="4184" spans="1:2">
      <c r="A4184" s="14">
        <v>45411.34375</v>
      </c>
      <c r="B4184" s="15">
        <v>7.1325500000000002</v>
      </c>
    </row>
    <row r="4185" spans="1:2">
      <c r="A4185" s="14">
        <v>45411.344444000002</v>
      </c>
      <c r="B4185" s="15">
        <v>7.0680839999999998</v>
      </c>
    </row>
    <row r="4186" spans="1:2">
      <c r="A4186" s="14">
        <v>45411.345138999997</v>
      </c>
      <c r="B4186" s="15">
        <v>6.8602449999999999</v>
      </c>
    </row>
    <row r="4187" spans="1:2">
      <c r="A4187" s="14">
        <v>45411.345832999999</v>
      </c>
      <c r="B4187" s="15">
        <v>7.1815550000000004</v>
      </c>
    </row>
    <row r="4188" spans="1:2">
      <c r="A4188" s="14">
        <v>45411.346528000002</v>
      </c>
      <c r="B4188" s="15">
        <v>7.030481</v>
      </c>
    </row>
    <row r="4189" spans="1:2">
      <c r="A4189" s="14">
        <v>45411.347221999997</v>
      </c>
      <c r="B4189" s="15">
        <v>4.2331390000000004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60876f9-5b2a-45e5-929b-63ae9864abc8}" enabled="1" method="Standard" siteId="{9e2777ed-8237-4ab9-9278-2c144d6f6da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Acidic catholyte_Cs2SO4</vt:lpstr>
      <vt:lpstr>Flow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Govea Alvarez</dc:creator>
  <cp:lastModifiedBy>Paulina Govea Alvarez</cp:lastModifiedBy>
  <dcterms:created xsi:type="dcterms:W3CDTF">2024-05-17T15:35:51Z</dcterms:created>
  <dcterms:modified xsi:type="dcterms:W3CDTF">2026-08-14T04:29:54Z</dcterms:modified>
</cp:coreProperties>
</file>