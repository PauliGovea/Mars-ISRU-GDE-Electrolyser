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30 - Ag60 GDE_0.9 M Na2SO4_pH2/"/>
    </mc:Choice>
  </mc:AlternateContent>
  <xr:revisionPtr revIDLastSave="175" documentId="8_{99172C6E-3916-40BE-A50D-EF70DFCC63BC}" xr6:coauthVersionLast="47" xr6:coauthVersionMax="47" xr10:uidLastSave="{19769CBD-5837-4870-B654-5A179CC92F71}"/>
  <bookViews>
    <workbookView xWindow="-96" yWindow="0" windowWidth="11712" windowHeight="12336" xr2:uid="{15374DF8-AA4F-49FF-8BB1-7BFD50C5D9E4}"/>
  </bookViews>
  <sheets>
    <sheet name="Acidic Catholyte_Na2SO4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P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S3" i="1"/>
  <c r="Q3" i="1"/>
  <c r="R3" i="1"/>
  <c r="U3" i="1"/>
  <c r="U7" i="1" l="1"/>
  <c r="U12" i="1"/>
  <c r="U13" i="1"/>
  <c r="U14" i="1"/>
  <c r="U15" i="1"/>
  <c r="U19" i="1"/>
  <c r="U24" i="1"/>
  <c r="U25" i="1"/>
  <c r="U26" i="1"/>
  <c r="U27" i="1"/>
  <c r="U31" i="1"/>
  <c r="U36" i="1"/>
  <c r="U37" i="1"/>
  <c r="U38" i="1"/>
  <c r="U39" i="1"/>
  <c r="U43" i="1"/>
  <c r="U48" i="1"/>
  <c r="U49" i="1"/>
  <c r="U50" i="1"/>
  <c r="U51" i="1"/>
  <c r="U55" i="1"/>
  <c r="U60" i="1"/>
  <c r="U61" i="1"/>
  <c r="U62" i="1"/>
  <c r="U63" i="1"/>
  <c r="U67" i="1"/>
  <c r="U72" i="1"/>
  <c r="U73" i="1"/>
  <c r="U74" i="1"/>
  <c r="U75" i="1"/>
  <c r="U79" i="1"/>
  <c r="U84" i="1"/>
  <c r="U85" i="1"/>
  <c r="U86" i="1"/>
  <c r="U87" i="1"/>
  <c r="U91" i="1"/>
  <c r="U96" i="1"/>
  <c r="U97" i="1"/>
  <c r="U98" i="1"/>
  <c r="U99" i="1"/>
  <c r="U103" i="1"/>
  <c r="U108" i="1"/>
  <c r="U109" i="1"/>
  <c r="U110" i="1"/>
  <c r="U111" i="1"/>
  <c r="U115" i="1"/>
  <c r="U120" i="1"/>
  <c r="U121" i="1"/>
  <c r="U122" i="1"/>
  <c r="U12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9" i="1"/>
  <c r="T30" i="1"/>
  <c r="T31" i="1"/>
  <c r="T33" i="1"/>
  <c r="T34" i="1"/>
  <c r="T35" i="1"/>
  <c r="T36" i="1"/>
  <c r="T37" i="1"/>
  <c r="T38" i="1"/>
  <c r="T39" i="1"/>
  <c r="T40" i="1"/>
  <c r="T42" i="1"/>
  <c r="T43" i="1"/>
  <c r="T44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U4" i="1"/>
  <c r="U5" i="1"/>
  <c r="U6" i="1"/>
  <c r="U8" i="1"/>
  <c r="U9" i="1"/>
  <c r="U10" i="1"/>
  <c r="U11" i="1"/>
  <c r="U16" i="1"/>
  <c r="U17" i="1"/>
  <c r="U18" i="1"/>
  <c r="U20" i="1"/>
  <c r="U21" i="1"/>
  <c r="U22" i="1"/>
  <c r="U23" i="1"/>
  <c r="U28" i="1"/>
  <c r="U29" i="1"/>
  <c r="U30" i="1"/>
  <c r="U32" i="1"/>
  <c r="U33" i="1"/>
  <c r="U34" i="1"/>
  <c r="U35" i="1"/>
  <c r="U40" i="1"/>
  <c r="U41" i="1"/>
  <c r="U42" i="1"/>
  <c r="U44" i="1"/>
  <c r="U45" i="1"/>
  <c r="U46" i="1"/>
  <c r="U47" i="1"/>
  <c r="U52" i="1"/>
  <c r="U53" i="1"/>
  <c r="U54" i="1"/>
  <c r="U56" i="1"/>
  <c r="U57" i="1"/>
  <c r="U58" i="1"/>
  <c r="U59" i="1"/>
  <c r="U64" i="1"/>
  <c r="U65" i="1"/>
  <c r="U66" i="1"/>
  <c r="U68" i="1"/>
  <c r="U69" i="1"/>
  <c r="U70" i="1"/>
  <c r="U71" i="1"/>
  <c r="U76" i="1"/>
  <c r="U77" i="1"/>
  <c r="U78" i="1"/>
  <c r="U80" i="1"/>
  <c r="U81" i="1"/>
  <c r="U82" i="1"/>
  <c r="U83" i="1"/>
  <c r="U88" i="1"/>
  <c r="U89" i="1"/>
  <c r="U90" i="1"/>
  <c r="U92" i="1"/>
  <c r="U93" i="1"/>
  <c r="U94" i="1"/>
  <c r="U95" i="1"/>
  <c r="U100" i="1"/>
  <c r="U101" i="1"/>
  <c r="U102" i="1"/>
  <c r="U104" i="1"/>
  <c r="U105" i="1"/>
  <c r="U106" i="1"/>
  <c r="U107" i="1"/>
  <c r="U112" i="1"/>
  <c r="U113" i="1"/>
  <c r="U114" i="1"/>
  <c r="U116" i="1"/>
  <c r="U117" i="1"/>
  <c r="U118" i="1"/>
  <c r="U119" i="1"/>
  <c r="U124" i="1"/>
  <c r="U125" i="1"/>
  <c r="T4" i="1"/>
  <c r="T28" i="1"/>
  <c r="T32" i="1"/>
  <c r="T41" i="1"/>
  <c r="T45" i="1"/>
  <c r="T1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2" i="1"/>
  <c r="C119" i="2"/>
  <c r="D119" i="2"/>
  <c r="E119" i="2" s="1" a="1"/>
  <c r="E119" i="2" s="1"/>
  <c r="C120" i="2"/>
  <c r="D120" i="2"/>
  <c r="E120" i="2" s="1" a="1"/>
  <c r="E120" i="2" s="1"/>
  <c r="C121" i="2"/>
  <c r="D121" i="2" s="1"/>
  <c r="E121" i="2" s="1" a="1"/>
  <c r="E121" i="2" s="1"/>
  <c r="C122" i="2"/>
  <c r="D122" i="2"/>
  <c r="E122" i="2" s="1" a="1"/>
  <c r="E122" i="2" s="1"/>
  <c r="C123" i="2"/>
  <c r="D123" i="2"/>
  <c r="E123" i="2" s="1" a="1"/>
  <c r="E123" i="2" s="1"/>
  <c r="C124" i="2"/>
  <c r="D124" i="2" s="1"/>
  <c r="E124" i="2" s="1" a="1"/>
  <c r="E124" i="2" s="1"/>
  <c r="C103" i="2"/>
  <c r="D103" i="2" s="1"/>
  <c r="E103" i="2" s="1" a="1"/>
  <c r="E103" i="2" s="1"/>
  <c r="C104" i="2"/>
  <c r="D104" i="2" s="1"/>
  <c r="E104" i="2" s="1" a="1"/>
  <c r="E104" i="2" s="1"/>
  <c r="C105" i="2"/>
  <c r="D105" i="2" s="1"/>
  <c r="E105" i="2" s="1" a="1"/>
  <c r="E105" i="2" s="1"/>
  <c r="C106" i="2"/>
  <c r="D106" i="2" s="1"/>
  <c r="E106" i="2" s="1" a="1"/>
  <c r="E106" i="2" s="1"/>
  <c r="C107" i="2"/>
  <c r="D107" i="2" s="1"/>
  <c r="E107" i="2" s="1" a="1"/>
  <c r="E107" i="2" s="1"/>
  <c r="C108" i="2"/>
  <c r="D108" i="2" s="1"/>
  <c r="E108" i="2" s="1" a="1"/>
  <c r="E108" i="2" s="1"/>
  <c r="C109" i="2"/>
  <c r="D109" i="2" s="1"/>
  <c r="E109" i="2" s="1" a="1"/>
  <c r="E109" i="2" s="1"/>
  <c r="C110" i="2"/>
  <c r="D110" i="2" s="1"/>
  <c r="E110" i="2" s="1" a="1"/>
  <c r="E110" i="2" s="1"/>
  <c r="C111" i="2"/>
  <c r="D111" i="2" s="1"/>
  <c r="E111" i="2" s="1" a="1"/>
  <c r="E111" i="2" s="1"/>
  <c r="C112" i="2"/>
  <c r="D112" i="2" s="1"/>
  <c r="E112" i="2" s="1" a="1"/>
  <c r="E112" i="2" s="1"/>
  <c r="C113" i="2"/>
  <c r="D113" i="2" s="1"/>
  <c r="E113" i="2" s="1" a="1"/>
  <c r="E113" i="2" s="1"/>
  <c r="C114" i="2"/>
  <c r="D114" i="2" s="1"/>
  <c r="E114" i="2" s="1" a="1"/>
  <c r="E114" i="2" s="1"/>
  <c r="C115" i="2"/>
  <c r="D115" i="2" s="1"/>
  <c r="E115" i="2" s="1" a="1"/>
  <c r="E115" i="2" s="1"/>
  <c r="C116" i="2"/>
  <c r="D116" i="2" s="1"/>
  <c r="E116" i="2" s="1" a="1"/>
  <c r="E116" i="2" s="1"/>
  <c r="C117" i="2"/>
  <c r="D117" i="2" s="1"/>
  <c r="E117" i="2" s="1" a="1"/>
  <c r="E117" i="2" s="1"/>
  <c r="C118" i="2"/>
  <c r="D118" i="2" s="1"/>
  <c r="E118" i="2" s="1" a="1"/>
  <c r="E118" i="2" s="1"/>
  <c r="C92" i="2"/>
  <c r="D92" i="2"/>
  <c r="E92" i="2" s="1" a="1"/>
  <c r="E92" i="2" s="1"/>
  <c r="C93" i="2"/>
  <c r="D93" i="2"/>
  <c r="E93" i="2" s="1" a="1"/>
  <c r="E93" i="2" s="1"/>
  <c r="C94" i="2"/>
  <c r="D94" i="2" s="1"/>
  <c r="E94" i="2" s="1" a="1"/>
  <c r="E94" i="2" s="1"/>
  <c r="C95" i="2"/>
  <c r="D95" i="2"/>
  <c r="E95" i="2" s="1" a="1"/>
  <c r="E95" i="2" s="1"/>
  <c r="C96" i="2"/>
  <c r="D96" i="2"/>
  <c r="E96" i="2" s="1" a="1"/>
  <c r="E96" i="2" s="1"/>
  <c r="C97" i="2"/>
  <c r="D97" i="2" s="1"/>
  <c r="E97" i="2" s="1" a="1"/>
  <c r="E97" i="2" s="1"/>
  <c r="C98" i="2"/>
  <c r="D98" i="2"/>
  <c r="E98" i="2" s="1" a="1"/>
  <c r="E98" i="2" s="1"/>
  <c r="C99" i="2"/>
  <c r="D99" i="2"/>
  <c r="E99" i="2" a="1"/>
  <c r="E99" i="2" s="1"/>
  <c r="C100" i="2"/>
  <c r="D100" i="2" s="1"/>
  <c r="E100" i="2" s="1" a="1"/>
  <c r="E100" i="2" s="1"/>
  <c r="C101" i="2"/>
  <c r="D101" i="2"/>
  <c r="E101" i="2" s="1" a="1"/>
  <c r="E101" i="2" s="1"/>
  <c r="C102" i="2"/>
  <c r="D102" i="2"/>
  <c r="E102" i="2" a="1"/>
  <c r="E102" i="2" s="1"/>
  <c r="C73" i="2"/>
  <c r="D73" i="2" s="1"/>
  <c r="E73" i="2" s="1" a="1"/>
  <c r="E73" i="2" s="1"/>
  <c r="C74" i="2"/>
  <c r="D74" i="2" s="1"/>
  <c r="E74" i="2" s="1" a="1"/>
  <c r="E74" i="2" s="1"/>
  <c r="C75" i="2"/>
  <c r="D75" i="2"/>
  <c r="E75" i="2" a="1"/>
  <c r="E75" i="2" s="1"/>
  <c r="C76" i="2"/>
  <c r="D76" i="2" s="1"/>
  <c r="E76" i="2" s="1" a="1"/>
  <c r="E76" i="2" s="1"/>
  <c r="C77" i="2"/>
  <c r="D77" i="2" s="1"/>
  <c r="E77" i="2" s="1" a="1"/>
  <c r="E77" i="2" s="1"/>
  <c r="C78" i="2"/>
  <c r="D78" i="2"/>
  <c r="E78" i="2" a="1"/>
  <c r="E78" i="2" s="1"/>
  <c r="C79" i="2"/>
  <c r="D79" i="2" s="1"/>
  <c r="E79" i="2" s="1" a="1"/>
  <c r="E79" i="2" s="1"/>
  <c r="C80" i="2"/>
  <c r="D80" i="2" s="1"/>
  <c r="E80" i="2" s="1" a="1"/>
  <c r="E80" i="2" s="1"/>
  <c r="C81" i="2"/>
  <c r="D81" i="2"/>
  <c r="E81" i="2" a="1"/>
  <c r="E81" i="2" s="1"/>
  <c r="C82" i="2"/>
  <c r="D82" i="2" s="1"/>
  <c r="E82" i="2" s="1" a="1"/>
  <c r="E82" i="2" s="1"/>
  <c r="C83" i="2"/>
  <c r="D83" i="2" s="1"/>
  <c r="E83" i="2" s="1" a="1"/>
  <c r="E83" i="2" s="1"/>
  <c r="C84" i="2"/>
  <c r="D84" i="2"/>
  <c r="E84" i="2" a="1"/>
  <c r="E84" i="2" s="1"/>
  <c r="C85" i="2"/>
  <c r="D85" i="2" s="1"/>
  <c r="E85" i="2" s="1" a="1"/>
  <c r="E85" i="2" s="1"/>
  <c r="C86" i="2"/>
  <c r="D86" i="2" s="1"/>
  <c r="E86" i="2" s="1" a="1"/>
  <c r="E86" i="2" s="1"/>
  <c r="C87" i="2"/>
  <c r="D87" i="2"/>
  <c r="E87" i="2" a="1"/>
  <c r="E87" i="2" s="1"/>
  <c r="C88" i="2"/>
  <c r="D88" i="2" s="1"/>
  <c r="E88" i="2" s="1" a="1"/>
  <c r="E88" i="2" s="1"/>
  <c r="C89" i="2"/>
  <c r="D89" i="2" s="1"/>
  <c r="E89" i="2" s="1" a="1"/>
  <c r="E89" i="2" s="1"/>
  <c r="C90" i="2"/>
  <c r="D90" i="2"/>
  <c r="E90" i="2" a="1"/>
  <c r="E90" i="2" s="1"/>
  <c r="C91" i="2"/>
  <c r="D91" i="2" s="1"/>
  <c r="E91" i="2" s="1" a="1"/>
  <c r="E91" i="2" s="1"/>
  <c r="C56" i="2"/>
  <c r="D56" i="2" s="1"/>
  <c r="E56" i="2" s="1" a="1"/>
  <c r="E56" i="2" s="1"/>
  <c r="C57" i="2"/>
  <c r="D57" i="2" s="1"/>
  <c r="E57" i="2" s="1" a="1"/>
  <c r="E57" i="2" s="1"/>
  <c r="C58" i="2"/>
  <c r="D58" i="2"/>
  <c r="E58" i="2" a="1"/>
  <c r="E58" i="2"/>
  <c r="C59" i="2"/>
  <c r="D59" i="2" s="1"/>
  <c r="E59" i="2" s="1" a="1"/>
  <c r="E59" i="2" s="1"/>
  <c r="C60" i="2"/>
  <c r="D60" i="2" s="1"/>
  <c r="E60" i="2" s="1" a="1"/>
  <c r="E60" i="2" s="1"/>
  <c r="C61" i="2"/>
  <c r="D61" i="2"/>
  <c r="E61" i="2" a="1"/>
  <c r="E61" i="2"/>
  <c r="C62" i="2"/>
  <c r="D62" i="2" s="1"/>
  <c r="E62" i="2" s="1" a="1"/>
  <c r="E62" i="2" s="1"/>
  <c r="C63" i="2"/>
  <c r="D63" i="2" s="1"/>
  <c r="E63" i="2" s="1" a="1"/>
  <c r="E63" i="2" s="1"/>
  <c r="C64" i="2"/>
  <c r="D64" i="2"/>
  <c r="E64" i="2" a="1"/>
  <c r="E64" i="2"/>
  <c r="C65" i="2"/>
  <c r="D65" i="2" s="1"/>
  <c r="E65" i="2" s="1" a="1"/>
  <c r="E65" i="2" s="1"/>
  <c r="C66" i="2"/>
  <c r="D66" i="2" s="1"/>
  <c r="E66" i="2" s="1" a="1"/>
  <c r="E66" i="2" s="1"/>
  <c r="C67" i="2"/>
  <c r="D67" i="2"/>
  <c r="E67" i="2" a="1"/>
  <c r="E67" i="2"/>
  <c r="C68" i="2"/>
  <c r="D68" i="2" s="1"/>
  <c r="E68" i="2" s="1" a="1"/>
  <c r="E68" i="2" s="1"/>
  <c r="C69" i="2"/>
  <c r="D69" i="2" s="1"/>
  <c r="E69" i="2" s="1" a="1"/>
  <c r="E69" i="2" s="1"/>
  <c r="C70" i="2"/>
  <c r="D70" i="2"/>
  <c r="E70" i="2" a="1"/>
  <c r="E70" i="2"/>
  <c r="C71" i="2"/>
  <c r="D71" i="2" s="1"/>
  <c r="E71" i="2" s="1" a="1"/>
  <c r="E71" i="2" s="1"/>
  <c r="C72" i="2"/>
  <c r="D72" i="2" s="1"/>
  <c r="E72" i="2" s="1" a="1"/>
  <c r="E72" i="2" s="1"/>
  <c r="C30" i="2"/>
  <c r="D30" i="2"/>
  <c r="E30" i="2" s="1" a="1"/>
  <c r="E30" i="2" s="1"/>
  <c r="C31" i="2"/>
  <c r="D31" i="2" s="1"/>
  <c r="E31" i="2" s="1" a="1"/>
  <c r="E31" i="2" s="1"/>
  <c r="C32" i="2"/>
  <c r="D32" i="2"/>
  <c r="E32" i="2" a="1"/>
  <c r="E32" i="2" s="1"/>
  <c r="C33" i="2"/>
  <c r="D33" i="2"/>
  <c r="E33" i="2" s="1" a="1"/>
  <c r="E33" i="2" s="1"/>
  <c r="C34" i="2"/>
  <c r="D34" i="2" s="1"/>
  <c r="E34" i="2" s="1" a="1"/>
  <c r="E34" i="2" s="1"/>
  <c r="C35" i="2"/>
  <c r="D35" i="2"/>
  <c r="E35" i="2" a="1"/>
  <c r="E35" i="2" s="1"/>
  <c r="C36" i="2"/>
  <c r="D36" i="2"/>
  <c r="E36" i="2" s="1" a="1"/>
  <c r="E36" i="2" s="1"/>
  <c r="C37" i="2"/>
  <c r="D37" i="2" s="1"/>
  <c r="E37" i="2" s="1" a="1"/>
  <c r="E37" i="2" s="1"/>
  <c r="C38" i="2"/>
  <c r="D38" i="2"/>
  <c r="E38" i="2" a="1"/>
  <c r="E38" i="2" s="1"/>
  <c r="C39" i="2"/>
  <c r="D39" i="2"/>
  <c r="E39" i="2" s="1" a="1"/>
  <c r="E39" i="2" s="1"/>
  <c r="C40" i="2"/>
  <c r="D40" i="2" s="1"/>
  <c r="E40" i="2" s="1" a="1"/>
  <c r="E40" i="2" s="1"/>
  <c r="C41" i="2"/>
  <c r="D41" i="2"/>
  <c r="E41" i="2" a="1"/>
  <c r="E41" i="2" s="1"/>
  <c r="C42" i="2"/>
  <c r="D42" i="2"/>
  <c r="E42" i="2" s="1" a="1"/>
  <c r="E42" i="2" s="1"/>
  <c r="C43" i="2"/>
  <c r="D43" i="2" s="1"/>
  <c r="E43" i="2" s="1" a="1"/>
  <c r="E43" i="2" s="1"/>
  <c r="C44" i="2"/>
  <c r="D44" i="2"/>
  <c r="E44" i="2" a="1"/>
  <c r="E44" i="2" s="1"/>
  <c r="C45" i="2"/>
  <c r="D45" i="2"/>
  <c r="E45" i="2" s="1" a="1"/>
  <c r="E45" i="2" s="1"/>
  <c r="C46" i="2"/>
  <c r="D46" i="2" s="1"/>
  <c r="E46" i="2" s="1" a="1"/>
  <c r="E46" i="2" s="1"/>
  <c r="C47" i="2"/>
  <c r="D47" i="2"/>
  <c r="E47" i="2" a="1"/>
  <c r="E47" i="2" s="1"/>
  <c r="C48" i="2"/>
  <c r="D48" i="2"/>
  <c r="E48" i="2" s="1" a="1"/>
  <c r="E48" i="2" s="1"/>
  <c r="C49" i="2"/>
  <c r="D49" i="2" s="1"/>
  <c r="E49" i="2" s="1" a="1"/>
  <c r="E49" i="2" s="1"/>
  <c r="C50" i="2"/>
  <c r="D50" i="2"/>
  <c r="E50" i="2" a="1"/>
  <c r="E50" i="2" s="1"/>
  <c r="C51" i="2"/>
  <c r="D51" i="2"/>
  <c r="E51" i="2" s="1" a="1"/>
  <c r="E51" i="2" s="1"/>
  <c r="C52" i="2"/>
  <c r="D52" i="2" s="1"/>
  <c r="E52" i="2" s="1" a="1"/>
  <c r="E52" i="2" s="1"/>
  <c r="C53" i="2"/>
  <c r="D53" i="2"/>
  <c r="E53" i="2" a="1"/>
  <c r="E53" i="2" s="1"/>
  <c r="C54" i="2"/>
  <c r="D54" i="2"/>
  <c r="E54" i="2" s="1" a="1"/>
  <c r="E54" i="2" s="1"/>
  <c r="C55" i="2"/>
  <c r="D55" i="2" s="1"/>
  <c r="E55" i="2" s="1" a="1"/>
  <c r="E55" i="2" s="1"/>
  <c r="C3" i="2"/>
  <c r="D3" i="2" s="1"/>
  <c r="E3" i="2" s="1" a="1"/>
  <c r="E3" i="2" s="1"/>
  <c r="C4" i="2"/>
  <c r="D4" i="2" s="1"/>
  <c r="E4" i="2" s="1" a="1"/>
  <c r="E4" i="2" s="1"/>
  <c r="C5" i="2"/>
  <c r="D5" i="2"/>
  <c r="E5" i="2" a="1"/>
  <c r="E5" i="2" s="1"/>
  <c r="C6" i="2"/>
  <c r="D6" i="2" s="1"/>
  <c r="E6" i="2" s="1" a="1"/>
  <c r="E6" i="2" s="1"/>
  <c r="C7" i="2"/>
  <c r="D7" i="2" s="1"/>
  <c r="E7" i="2" s="1" a="1"/>
  <c r="E7" i="2" s="1"/>
  <c r="C8" i="2"/>
  <c r="D8" i="2"/>
  <c r="E8" i="2" a="1"/>
  <c r="E8" i="2" s="1"/>
  <c r="C9" i="2"/>
  <c r="D9" i="2" s="1"/>
  <c r="E9" i="2" s="1" a="1"/>
  <c r="E9" i="2" s="1"/>
  <c r="C10" i="2"/>
  <c r="D10" i="2" s="1"/>
  <c r="E10" i="2" s="1" a="1"/>
  <c r="E10" i="2" s="1"/>
  <c r="C11" i="2"/>
  <c r="D11" i="2"/>
  <c r="E11" i="2" a="1"/>
  <c r="E11" i="2" s="1"/>
  <c r="C12" i="2"/>
  <c r="D12" i="2" s="1"/>
  <c r="E12" i="2" s="1" a="1"/>
  <c r="E12" i="2" s="1"/>
  <c r="C13" i="2"/>
  <c r="D13" i="2"/>
  <c r="E13" i="2" s="1" a="1"/>
  <c r="E13" i="2" s="1"/>
  <c r="C14" i="2"/>
  <c r="D14" i="2"/>
  <c r="E14" i="2" a="1"/>
  <c r="E14" i="2" s="1"/>
  <c r="C15" i="2"/>
  <c r="D15" i="2"/>
  <c r="E15" i="2" s="1" a="1"/>
  <c r="E15" i="2" s="1"/>
  <c r="C16" i="2"/>
  <c r="D16" i="2"/>
  <c r="E16" i="2" s="1" a="1"/>
  <c r="E16" i="2" s="1"/>
  <c r="C17" i="2"/>
  <c r="D17" i="2"/>
  <c r="E17" i="2" a="1"/>
  <c r="E17" i="2" s="1"/>
  <c r="C18" i="2"/>
  <c r="D18" i="2"/>
  <c r="E18" i="2" s="1" a="1"/>
  <c r="E18" i="2" s="1"/>
  <c r="C19" i="2"/>
  <c r="D19" i="2" s="1"/>
  <c r="E19" i="2" s="1" a="1"/>
  <c r="E19" i="2" s="1"/>
  <c r="C20" i="2"/>
  <c r="D20" i="2"/>
  <c r="E20" i="2" a="1"/>
  <c r="E20" i="2" s="1"/>
  <c r="C21" i="2"/>
  <c r="D21" i="2"/>
  <c r="E21" i="2" s="1" a="1"/>
  <c r="E21" i="2" s="1"/>
  <c r="C22" i="2"/>
  <c r="D22" i="2" s="1"/>
  <c r="E22" i="2" s="1" a="1"/>
  <c r="E22" i="2" s="1"/>
  <c r="C23" i="2"/>
  <c r="D23" i="2"/>
  <c r="E23" i="2" a="1"/>
  <c r="E23" i="2" s="1"/>
  <c r="C24" i="2"/>
  <c r="D24" i="2" s="1"/>
  <c r="E24" i="2" s="1" a="1"/>
  <c r="E24" i="2" s="1"/>
  <c r="C25" i="2"/>
  <c r="D25" i="2" s="1"/>
  <c r="E25" i="2" s="1" a="1"/>
  <c r="E25" i="2" s="1"/>
  <c r="C26" i="2"/>
  <c r="D26" i="2"/>
  <c r="E26" i="2" a="1"/>
  <c r="E26" i="2" s="1"/>
  <c r="C27" i="2"/>
  <c r="D27" i="2" s="1"/>
  <c r="E27" i="2" s="1" a="1"/>
  <c r="E27" i="2" s="1"/>
  <c r="C28" i="2"/>
  <c r="D28" i="2" s="1"/>
  <c r="E28" i="2" s="1" a="1"/>
  <c r="E28" i="2" s="1"/>
  <c r="C29" i="2"/>
  <c r="D29" i="2"/>
  <c r="E29" i="2" a="1"/>
  <c r="E29" i="2" s="1"/>
  <c r="C2" i="2"/>
  <c r="D2" i="2" s="1"/>
  <c r="E2" i="2" s="1" a="1"/>
  <c r="E2" i="2" s="1"/>
  <c r="C1" i="2"/>
  <c r="D1" i="2" s="1"/>
  <c r="E1" i="2" s="1" a="1"/>
  <c r="E1" i="2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3" i="1"/>
  <c r="X125" i="1"/>
  <c r="Y124" i="1"/>
  <c r="X124" i="1"/>
  <c r="X123" i="1"/>
  <c r="Y122" i="1"/>
  <c r="X122" i="1"/>
  <c r="X121" i="1"/>
  <c r="Y120" i="1"/>
  <c r="X120" i="1"/>
  <c r="X119" i="1"/>
  <c r="Y118" i="1"/>
  <c r="X118" i="1"/>
  <c r="X117" i="1"/>
  <c r="Y116" i="1"/>
  <c r="X116" i="1"/>
  <c r="X115" i="1"/>
  <c r="Y114" i="1"/>
  <c r="X114" i="1"/>
  <c r="X113" i="1"/>
  <c r="Y112" i="1"/>
  <c r="X112" i="1"/>
  <c r="X111" i="1"/>
  <c r="Y110" i="1"/>
  <c r="X110" i="1"/>
  <c r="X109" i="1"/>
  <c r="Y108" i="1"/>
  <c r="X108" i="1"/>
  <c r="X107" i="1"/>
  <c r="Y106" i="1"/>
  <c r="X106" i="1"/>
  <c r="X105" i="1"/>
  <c r="Y104" i="1"/>
  <c r="X104" i="1"/>
  <c r="X103" i="1"/>
  <c r="Y102" i="1"/>
  <c r="X102" i="1"/>
  <c r="X101" i="1"/>
  <c r="Y100" i="1"/>
  <c r="X100" i="1"/>
  <c r="X99" i="1"/>
  <c r="Y98" i="1"/>
  <c r="X98" i="1"/>
  <c r="X97" i="1"/>
  <c r="Y96" i="1"/>
  <c r="X96" i="1"/>
  <c r="X95" i="1"/>
  <c r="Y94" i="1"/>
  <c r="X94" i="1"/>
  <c r="X93" i="1"/>
  <c r="Y92" i="1"/>
  <c r="X92" i="1"/>
  <c r="X91" i="1"/>
  <c r="Y90" i="1"/>
  <c r="X90" i="1"/>
  <c r="X89" i="1"/>
  <c r="Y88" i="1"/>
  <c r="X88" i="1"/>
  <c r="X87" i="1"/>
  <c r="Y86" i="1"/>
  <c r="X86" i="1"/>
  <c r="X85" i="1"/>
  <c r="Y84" i="1"/>
  <c r="X84" i="1"/>
  <c r="X83" i="1"/>
  <c r="Y82" i="1"/>
  <c r="X82" i="1"/>
  <c r="X81" i="1"/>
  <c r="Y80" i="1"/>
  <c r="X80" i="1"/>
  <c r="X79" i="1"/>
  <c r="Y78" i="1"/>
  <c r="X78" i="1"/>
  <c r="X77" i="1"/>
  <c r="Y76" i="1"/>
  <c r="X76" i="1"/>
  <c r="X75" i="1"/>
  <c r="Y74" i="1"/>
  <c r="X74" i="1"/>
  <c r="X73" i="1"/>
  <c r="Y72" i="1"/>
  <c r="X72" i="1"/>
  <c r="X71" i="1"/>
  <c r="Y70" i="1"/>
  <c r="X70" i="1"/>
  <c r="X69" i="1"/>
  <c r="Y68" i="1"/>
  <c r="X68" i="1"/>
  <c r="X67" i="1"/>
  <c r="Y66" i="1"/>
  <c r="X66" i="1"/>
  <c r="X65" i="1"/>
  <c r="Y64" i="1"/>
  <c r="X64" i="1"/>
  <c r="X63" i="1"/>
  <c r="Y62" i="1"/>
  <c r="X62" i="1"/>
  <c r="X61" i="1"/>
  <c r="Y60" i="1"/>
  <c r="X60" i="1"/>
  <c r="X59" i="1"/>
  <c r="Y58" i="1"/>
  <c r="X58" i="1"/>
  <c r="X57" i="1"/>
  <c r="Y56" i="1"/>
  <c r="X56" i="1"/>
  <c r="X55" i="1"/>
  <c r="Y54" i="1"/>
  <c r="X54" i="1"/>
  <c r="X53" i="1"/>
  <c r="Y52" i="1"/>
  <c r="X52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S2" i="1"/>
  <c r="R2" i="1"/>
  <c r="Q2" i="1"/>
  <c r="P2" i="1"/>
  <c r="W29" i="1" l="1"/>
  <c r="W95" i="1"/>
  <c r="W71" i="1"/>
  <c r="W47" i="1"/>
  <c r="W103" i="1"/>
  <c r="W79" i="1"/>
  <c r="W55" i="1"/>
  <c r="W7" i="1"/>
  <c r="W42" i="1"/>
  <c r="W30" i="1"/>
  <c r="W6" i="1"/>
  <c r="W97" i="1"/>
  <c r="W52" i="1"/>
  <c r="W60" i="1"/>
  <c r="W89" i="1"/>
  <c r="W87" i="1"/>
  <c r="W121" i="1"/>
  <c r="W9" i="1"/>
  <c r="W31" i="1"/>
  <c r="W49" i="1"/>
  <c r="W96" i="1"/>
  <c r="W90" i="1"/>
  <c r="W54" i="1"/>
  <c r="W21" i="1"/>
  <c r="W23" i="1"/>
  <c r="W57" i="1"/>
  <c r="W65" i="1"/>
  <c r="W15" i="1"/>
  <c r="W8" i="1"/>
  <c r="W122" i="1"/>
  <c r="W74" i="1"/>
  <c r="W38" i="1"/>
  <c r="W14" i="1"/>
  <c r="W32" i="1"/>
  <c r="W36" i="1"/>
  <c r="W40" i="1"/>
  <c r="W63" i="1"/>
  <c r="W34" i="1"/>
  <c r="W12" i="1"/>
  <c r="W20" i="1"/>
  <c r="W33" i="1"/>
  <c r="W41" i="1"/>
  <c r="W59" i="1"/>
  <c r="W62" i="1"/>
  <c r="W70" i="1"/>
  <c r="W75" i="1"/>
  <c r="W78" i="1"/>
  <c r="W86" i="1"/>
  <c r="W91" i="1"/>
  <c r="W94" i="1"/>
  <c r="W99" i="1"/>
  <c r="W102" i="1"/>
  <c r="W107" i="1"/>
  <c r="W110" i="1"/>
  <c r="W118" i="1"/>
  <c r="W123" i="1"/>
  <c r="W39" i="1"/>
  <c r="W46" i="1"/>
  <c r="W51" i="1"/>
  <c r="W56" i="1"/>
  <c r="W64" i="1"/>
  <c r="W72" i="1"/>
  <c r="W80" i="1"/>
  <c r="W88" i="1"/>
  <c r="W104" i="1"/>
  <c r="W112" i="1"/>
  <c r="W120" i="1"/>
  <c r="W17" i="1"/>
  <c r="W43" i="1"/>
  <c r="W48" i="1"/>
  <c r="W53" i="1"/>
  <c r="W61" i="1"/>
  <c r="W77" i="1"/>
  <c r="W93" i="1"/>
  <c r="W109" i="1"/>
  <c r="W22" i="1"/>
  <c r="W37" i="1"/>
  <c r="W58" i="1"/>
  <c r="W82" i="1"/>
  <c r="W106" i="1"/>
  <c r="W24" i="1"/>
  <c r="W26" i="1"/>
  <c r="W68" i="1"/>
  <c r="W76" i="1"/>
  <c r="W84" i="1"/>
  <c r="W92" i="1"/>
  <c r="W100" i="1"/>
  <c r="W108" i="1"/>
  <c r="W116" i="1"/>
  <c r="W124" i="1"/>
  <c r="W19" i="1"/>
  <c r="W16" i="1"/>
  <c r="W18" i="1"/>
  <c r="W5" i="1"/>
  <c r="W111" i="1"/>
  <c r="W98" i="1"/>
  <c r="W67" i="1"/>
  <c r="W83" i="1"/>
  <c r="W11" i="1"/>
  <c r="W114" i="1"/>
  <c r="W66" i="1"/>
  <c r="W10" i="1"/>
  <c r="W35" i="1"/>
  <c r="W44" i="1"/>
  <c r="W50" i="1"/>
  <c r="W73" i="1"/>
  <c r="W105" i="1"/>
  <c r="W3" i="1"/>
  <c r="W13" i="1"/>
  <c r="W69" i="1"/>
  <c r="W85" i="1"/>
  <c r="W101" i="1"/>
  <c r="W25" i="1"/>
  <c r="W115" i="1"/>
  <c r="W27" i="1"/>
  <c r="W119" i="1"/>
  <c r="W125" i="1" l="1"/>
  <c r="W4" i="1"/>
  <c r="W117" i="1"/>
  <c r="W28" i="1"/>
  <c r="W81" i="1"/>
  <c r="W45" i="1"/>
  <c r="W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<sst xmlns="http://schemas.openxmlformats.org/spreadsheetml/2006/main" count="521" uniqueCount="29">
  <si>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</si>
  <si>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</si>
  <si>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</si>
  <si>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</si>
  <si>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</si>
  <si>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</si>
  <si>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</si>
  <si>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</si>
  <si>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</si>
  <si>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</si>
  <si>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</si>
  <si>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</si>
  <si>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</si>
  <si>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</si>
  <si>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</si>
  <si>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</si>
  <si>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</si>
  <si>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</si>
  <si>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</si>
  <si>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</si>
  <si>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</si>
  <si>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</si>
  <si>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</si>
  <si>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</si>
  <si>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</si>
  <si>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</si>
  <si>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</si>
  <si>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</si>
  <si>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0.9Mna2so4ph2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</si>
</sst>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0.0"/>
    <numFmt numFmtId="166" formatCode="m/d/yy\ h:mm;@"/>
    <numFmt numFmtId="167" formatCode="d/mm/yy\ h:mm;@"/>
    <numFmt numFmtId="168" formatCode="0.0000"/>
  </numFmts>
  <fonts count="9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164" fontId="8" fillId="0" borderId="0" xfId="0" applyNumberFormat="1" applyFont="1"/>
    <xf numFmtId="165" fontId="0" fillId="0" borderId="0" xfId="0" applyNumberFormat="1" applyAlignment="1">
      <alignment horizontal="center" vertical="center"/>
    </xf>
    <xf numFmtId="0" fontId="0" fillId="6" borderId="0" xfId="0" applyFill="1"/>
    <xf numFmtId="2" fontId="0" fillId="0" borderId="0" xfId="0" applyNumberFormat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22" fontId="0" fillId="0" borderId="0" xfId="0" applyNumberFormat="1"/>
    <xf numFmtId="168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25"/>
  <sheetViews>
    <sheetView tabSelected="1" topLeftCell="J1" zoomScale="70" zoomScaleNormal="70" workbookViewId="0">
      <selection activeCell="W17" sqref="W17"/>
    </sheetView>
  </sheetViews>
  <sheetFormatPr defaultRowHeight="14.4" x14ac:dyDescent="0.3"/>
  <cols>
    <col min="1" max="1" width="24.77734375" customWidth="1"/>
    <col min="2" max="2" width="5.21875" bestFit="1" customWidth="1"/>
    <col min="3" max="3" width="10.33203125" customWidth="1"/>
    <col min="4" max="4" width="14.33203125" customWidth="1"/>
    <col min="5" max="5" width="13.109375" customWidth="1"/>
    <col min="6" max="6" width="13.5546875" customWidth="1"/>
    <col min="7" max="7" width="14.88671875" customWidth="1"/>
    <col min="8" max="8" width="24.77734375" customWidth="1"/>
    <col min="9" max="9" width="12.6640625" bestFit="1" customWidth="1"/>
    <col min="12" max="12" width="10" bestFit="1" customWidth="1"/>
    <col min="13" max="13" width="11.5546875" customWidth="1"/>
  </cols>
  <sheetData>
    <row r="1" spans="1:25" s="10" customFormat="1" ht="34.200000000000003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27</v>
      </c>
      <c r="I1" s="6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6" t="s">
        <v>21</v>
      </c>
      <c r="X1" s="6" t="s">
        <v>22</v>
      </c>
      <c r="Y1" s="6"/>
    </row>
    <row r="2" spans="1:25" ht="15.6" x14ac:dyDescent="0.35">
      <c r="A2" s="1" t="s">
        <v>23</v>
      </c>
      <c r="B2" s="1">
        <v>60</v>
      </c>
      <c r="C2" s="13">
        <f>+'Flow rate'!E1</f>
        <v>51.4</v>
      </c>
      <c r="D2" s="1" t="s">
        <v>25</v>
      </c>
      <c r="E2" s="1" t="s">
        <v>26</v>
      </c>
      <c r="F2" s="1" t="s">
        <v>24</v>
      </c>
      <c r="G2" s="1">
        <v>-0.107</v>
      </c>
      <c r="H2" s="12">
        <v>45412.484027777777</v>
      </c>
      <c r="I2" s="15">
        <v>0</v>
      </c>
      <c r="J2" s="11">
        <v>0</v>
      </c>
      <c r="K2" s="11">
        <v>0</v>
      </c>
      <c r="L2">
        <v>0</v>
      </c>
      <c r="P2" s="2">
        <f t="shared" ref="P2:Q2" si="0">+J2/100</f>
        <v>0</v>
      </c>
      <c r="Q2" s="2">
        <f t="shared" si="0"/>
        <v>0</v>
      </c>
      <c r="R2" s="2">
        <f>+L2/100</f>
        <v>0</v>
      </c>
      <c r="S2" s="2">
        <f t="shared" ref="S2" si="1">+N2/100</f>
        <v>0</v>
      </c>
      <c r="T2" s="3">
        <v>0</v>
      </c>
      <c r="U2" s="4">
        <v>0</v>
      </c>
      <c r="V2" s="14"/>
      <c r="W2" s="2">
        <v>0</v>
      </c>
      <c r="X2" s="2">
        <v>0</v>
      </c>
    </row>
    <row r="3" spans="1:25" ht="15.6" x14ac:dyDescent="0.35">
      <c r="A3" s="1" t="s">
        <v>23</v>
      </c>
      <c r="B3" s="1">
        <v>60</v>
      </c>
      <c r="C3" s="13">
        <f>+'Flow rate'!E2</f>
        <v>54.1</v>
      </c>
      <c r="D3" s="1" t="s">
        <v>25</v>
      </c>
      <c r="E3" s="1" t="s">
        <v>26</v>
      </c>
      <c r="F3" s="1" t="s">
        <v>24</v>
      </c>
      <c r="G3" s="1">
        <v>-0.107</v>
      </c>
      <c r="H3" s="12">
        <v>45412.496527777781</v>
      </c>
      <c r="I3" s="15">
        <f>+(H3-H$2)*24</f>
        <v>0.30000000010477379</v>
      </c>
      <c r="J3" s="22">
        <v>1.4638350466066328</v>
      </c>
      <c r="K3" s="22">
        <v>0.13249176094599333</v>
      </c>
      <c r="L3" s="22">
        <v>100.73552143934128</v>
      </c>
      <c r="N3" s="22">
        <v>0.18274548036107627</v>
      </c>
      <c r="O3" s="22">
        <v>0.41898139116455907</v>
      </c>
      <c r="P3" s="2">
        <f>+J3/SUM($J3:$O3)</f>
        <v>1.422116199619579E-2</v>
      </c>
      <c r="Q3" s="2">
        <f t="shared" ref="Q3:R3" si="2">+K3/SUM($J3:$O3)</f>
        <v>1.2871578665519842E-3</v>
      </c>
      <c r="R3" s="2">
        <f t="shared" si="2"/>
        <v>0.97864590172303323</v>
      </c>
      <c r="S3" s="2">
        <f>+N3/SUM($J3:$O3)</f>
        <v>1.7753729057874207E-3</v>
      </c>
      <c r="T3" s="3">
        <f>+P3*C3/1000/60/24.3*2*96485/-1/G3</f>
        <v>0.95165787088291021</v>
      </c>
      <c r="U3" s="4">
        <f>+Q3*C3/1000/60/24.3*2*96485/-1/G3</f>
        <v>8.6134586969807692E-2</v>
      </c>
      <c r="V3" s="14"/>
      <c r="W3" s="2">
        <f t="shared" ref="W3:W66" si="3">+T3+U3</f>
        <v>1.037792457852718</v>
      </c>
      <c r="X3" s="2">
        <f t="shared" ref="X3:X66" si="4">+K3/(K3+L3)</f>
        <v>1.3135161161835591E-3</v>
      </c>
    </row>
    <row r="4" spans="1:25" ht="15.6" x14ac:dyDescent="0.35">
      <c r="A4" s="1" t="s">
        <v>23</v>
      </c>
      <c r="B4" s="1">
        <v>60</v>
      </c>
      <c r="C4" s="13">
        <f>+'Flow rate'!E3</f>
        <v>56.4</v>
      </c>
      <c r="D4" s="1" t="s">
        <v>25</v>
      </c>
      <c r="E4" s="1" t="s">
        <v>26</v>
      </c>
      <c r="F4" s="1" t="s">
        <v>24</v>
      </c>
      <c r="G4" s="1">
        <v>-0.107</v>
      </c>
      <c r="H4" s="12">
        <v>45412.520138888889</v>
      </c>
      <c r="I4" s="15">
        <f t="shared" ref="I4:I67" si="5">+(H4-H$2)*24</f>
        <v>0.86666666669771075</v>
      </c>
      <c r="J4" s="22">
        <v>1.5029161822642862</v>
      </c>
      <c r="K4" s="22">
        <v>0.2435121870946613</v>
      </c>
      <c r="L4" s="22">
        <v>100.87689316548811</v>
      </c>
      <c r="N4" s="22">
        <v>0.11542300720606111</v>
      </c>
      <c r="O4" s="22">
        <v>2.0328662707399525E-3</v>
      </c>
      <c r="P4" s="2">
        <f t="shared" ref="P4:P67" si="6">+J4/SUM($J4:$O4)</f>
        <v>1.4628234476864323E-2</v>
      </c>
      <c r="Q4" s="2">
        <f t="shared" ref="Q4:Q67" si="7">+K4/SUM($J4:$O4)</f>
        <v>2.3701610328182351E-3</v>
      </c>
      <c r="R4" s="2">
        <f t="shared" ref="R4:R67" si="8">+L4/SUM($J4:$O4)</f>
        <v>0.98185837902094031</v>
      </c>
      <c r="S4" s="2">
        <f t="shared" ref="S4:S67" si="9">+N4/SUM($J4:$O4)</f>
        <v>1.12343910682449E-3</v>
      </c>
      <c r="T4" s="3">
        <f t="shared" ref="T4:T67" si="10">+P4*C4/1000/60/24.3*2*96485/-1/G4</f>
        <v>1.0205152811739848</v>
      </c>
      <c r="U4" s="4">
        <f t="shared" ref="U4:U67" si="11">+Q4*C4/1000/60/24.3*2*96485/-1/G4</f>
        <v>0.16535047730193408</v>
      </c>
      <c r="V4" s="14"/>
      <c r="W4" s="2">
        <f t="shared" si="3"/>
        <v>1.1858657584759189</v>
      </c>
      <c r="X4" s="2">
        <f t="shared" si="4"/>
        <v>2.4081409310573103E-3</v>
      </c>
      <c r="Y4">
        <f>+SUM(K4:L4)</f>
        <v>101.12040535258278</v>
      </c>
    </row>
    <row r="5" spans="1:25" ht="15.6" x14ac:dyDescent="0.35">
      <c r="A5" s="1" t="s">
        <v>23</v>
      </c>
      <c r="B5" s="1">
        <v>60</v>
      </c>
      <c r="C5" s="13">
        <f>+'Flow rate'!E4</f>
        <v>58.2</v>
      </c>
      <c r="D5" s="1" t="s">
        <v>25</v>
      </c>
      <c r="E5" s="1" t="s">
        <v>26</v>
      </c>
      <c r="F5" s="1" t="s">
        <v>24</v>
      </c>
      <c r="G5" s="1">
        <v>-0.107</v>
      </c>
      <c r="H5" s="12">
        <v>45412.556250000001</v>
      </c>
      <c r="I5" s="15">
        <f t="shared" si="5"/>
        <v>1.7333333333954215</v>
      </c>
      <c r="J5" s="22">
        <v>1.3065707060412246</v>
      </c>
      <c r="K5" s="22">
        <v>0.38515701656479023</v>
      </c>
      <c r="L5" s="22">
        <v>100.99945823753328</v>
      </c>
      <c r="N5" s="22">
        <v>8.0514409509737234E-2</v>
      </c>
      <c r="O5" s="22">
        <v>1.6609532159925222E-3</v>
      </c>
      <c r="P5" s="2">
        <f t="shared" si="6"/>
        <v>1.2713126137196204E-2</v>
      </c>
      <c r="Q5" s="2">
        <f t="shared" si="7"/>
        <v>3.7476347139684387E-3</v>
      </c>
      <c r="R5" s="2">
        <f t="shared" si="8"/>
        <v>0.98273966072045671</v>
      </c>
      <c r="S5" s="2">
        <f t="shared" si="9"/>
        <v>7.834171080266535E-4</v>
      </c>
      <c r="T5" s="3">
        <f t="shared" si="10"/>
        <v>0.91521648866347793</v>
      </c>
      <c r="U5" s="4">
        <f t="shared" si="11"/>
        <v>0.26979179209717125</v>
      </c>
      <c r="V5" s="14"/>
      <c r="W5" s="2">
        <f t="shared" si="3"/>
        <v>1.1850082807606492</v>
      </c>
      <c r="X5" s="2">
        <f t="shared" si="4"/>
        <v>3.7989690605372377E-3</v>
      </c>
    </row>
    <row r="6" spans="1:25" ht="15.6" x14ac:dyDescent="0.35">
      <c r="A6" s="1" t="s">
        <v>23</v>
      </c>
      <c r="B6" s="1">
        <v>60</v>
      </c>
      <c r="C6" s="13">
        <f>+'Flow rate'!E5</f>
        <v>58.7</v>
      </c>
      <c r="D6" s="1" t="s">
        <v>25</v>
      </c>
      <c r="E6" s="1" t="s">
        <v>26</v>
      </c>
      <c r="F6" s="1" t="s">
        <v>24</v>
      </c>
      <c r="G6" s="1">
        <v>-0.25</v>
      </c>
      <c r="H6" s="12">
        <v>45412.597916666666</v>
      </c>
      <c r="I6" s="15">
        <f t="shared" si="5"/>
        <v>2.7333333333372138</v>
      </c>
      <c r="J6" s="22">
        <v>0.66959518471821333</v>
      </c>
      <c r="K6" s="22">
        <v>2.9350719668027274</v>
      </c>
      <c r="L6" s="22">
        <v>99.133421327091568</v>
      </c>
      <c r="N6" s="22">
        <v>5.9833496803107296E-2</v>
      </c>
      <c r="O6" s="22">
        <v>1.9212214438814601E-3</v>
      </c>
      <c r="P6" s="2">
        <f t="shared" si="6"/>
        <v>6.5135817710923246E-3</v>
      </c>
      <c r="Q6" s="2">
        <f t="shared" si="7"/>
        <v>2.8551327273740365E-2</v>
      </c>
      <c r="R6" s="2">
        <f t="shared" si="8"/>
        <v>0.96433436320766741</v>
      </c>
      <c r="S6" s="2">
        <f t="shared" si="9"/>
        <v>5.8203879444181084E-4</v>
      </c>
      <c r="T6" s="3">
        <f t="shared" si="10"/>
        <v>0.20241851529597574</v>
      </c>
      <c r="U6" s="4">
        <f t="shared" si="11"/>
        <v>0.88727177758464459</v>
      </c>
      <c r="V6" s="14"/>
      <c r="W6" s="2">
        <f t="shared" si="3"/>
        <v>1.0896902928806202</v>
      </c>
      <c r="X6" s="2">
        <f t="shared" si="4"/>
        <v>2.8755905687287173E-2</v>
      </c>
      <c r="Y6">
        <f>+SUM(K6:L6)</f>
        <v>102.06849329389429</v>
      </c>
    </row>
    <row r="7" spans="1:25" ht="15.6" x14ac:dyDescent="0.35">
      <c r="A7" s="1" t="s">
        <v>23</v>
      </c>
      <c r="B7" s="1">
        <v>60</v>
      </c>
      <c r="C7" s="13">
        <f>+'Flow rate'!E6</f>
        <v>59.5</v>
      </c>
      <c r="D7" s="1" t="s">
        <v>25</v>
      </c>
      <c r="E7" s="1" t="s">
        <v>26</v>
      </c>
      <c r="F7" s="1" t="s">
        <v>24</v>
      </c>
      <c r="G7" s="1">
        <v>-0.25</v>
      </c>
      <c r="H7" s="12">
        <v>45412.640277777777</v>
      </c>
      <c r="I7" s="15">
        <f t="shared" si="5"/>
        <v>3.75</v>
      </c>
      <c r="J7" s="22">
        <v>0.78932616453242377</v>
      </c>
      <c r="K7" s="22">
        <v>2.7953558797419058</v>
      </c>
      <c r="L7" s="22">
        <v>99.007259930646853</v>
      </c>
      <c r="N7" s="22">
        <v>5.1699679011875846E-2</v>
      </c>
      <c r="O7" s="22">
        <v>2.1336787257399403E-3</v>
      </c>
      <c r="P7" s="2">
        <f t="shared" si="6"/>
        <v>7.6898066381625736E-3</v>
      </c>
      <c r="Q7" s="2">
        <f t="shared" si="7"/>
        <v>2.7233033904051067E-2</v>
      </c>
      <c r="R7" s="2">
        <f t="shared" si="8"/>
        <v>0.96455270185041619</v>
      </c>
      <c r="S7" s="2">
        <f t="shared" si="9"/>
        <v>5.0367079253213617E-4</v>
      </c>
      <c r="T7" s="3">
        <f t="shared" si="10"/>
        <v>0.24222817071190891</v>
      </c>
      <c r="U7" s="4">
        <f t="shared" si="11"/>
        <v>0.85783795300864663</v>
      </c>
      <c r="V7" s="14"/>
      <c r="W7" s="2">
        <f t="shared" si="3"/>
        <v>1.1000661237205556</v>
      </c>
      <c r="X7" s="2">
        <f t="shared" si="4"/>
        <v>2.7458585985141701E-2</v>
      </c>
    </row>
    <row r="8" spans="1:25" ht="15.6" x14ac:dyDescent="0.35">
      <c r="A8" s="1" t="s">
        <v>23</v>
      </c>
      <c r="B8" s="1">
        <v>60</v>
      </c>
      <c r="C8" s="13">
        <f>+'Flow rate'!E7</f>
        <v>59.3</v>
      </c>
      <c r="D8" s="1" t="s">
        <v>25</v>
      </c>
      <c r="E8" s="1" t="s">
        <v>26</v>
      </c>
      <c r="F8" s="1" t="s">
        <v>24</v>
      </c>
      <c r="G8" s="1">
        <v>-0.52</v>
      </c>
      <c r="H8" s="12">
        <v>45412.663888888892</v>
      </c>
      <c r="I8" s="15">
        <f t="shared" si="5"/>
        <v>4.3166666667675599</v>
      </c>
      <c r="J8" s="22">
        <v>0.68906852084862813</v>
      </c>
      <c r="K8" s="22">
        <v>5.4731077893437448</v>
      </c>
      <c r="L8" s="22">
        <v>96.947090936472136</v>
      </c>
      <c r="N8" s="22">
        <v>5.0708369080009572E-2</v>
      </c>
      <c r="O8" s="22">
        <v>1.6239342041433069E-3</v>
      </c>
      <c r="P8" s="2">
        <f t="shared" si="6"/>
        <v>6.6795059775609207E-3</v>
      </c>
      <c r="Q8" s="2">
        <f t="shared" si="7"/>
        <v>5.3053731361481858E-2</v>
      </c>
      <c r="R8" s="2">
        <f t="shared" si="8"/>
        <v>0.93975947793958348</v>
      </c>
      <c r="S8" s="2">
        <f t="shared" si="9"/>
        <v>4.915430673935765E-4</v>
      </c>
      <c r="T8" s="3">
        <f t="shared" si="10"/>
        <v>0.10081565252908738</v>
      </c>
      <c r="U8" s="4">
        <f t="shared" si="11"/>
        <v>0.80075481095142398</v>
      </c>
      <c r="V8" s="14"/>
      <c r="W8" s="2">
        <f t="shared" si="3"/>
        <v>0.9015704634805114</v>
      </c>
      <c r="X8" s="2">
        <f t="shared" si="4"/>
        <v>5.343777748367326E-2</v>
      </c>
      <c r="Y8">
        <f>+SUM(K8:L8)</f>
        <v>102.42019872581588</v>
      </c>
    </row>
    <row r="9" spans="1:25" ht="15.6" x14ac:dyDescent="0.35">
      <c r="A9" s="1" t="s">
        <v>23</v>
      </c>
      <c r="B9" s="1">
        <v>60</v>
      </c>
      <c r="C9" s="13">
        <f>+'Flow rate'!E8</f>
        <v>59.1</v>
      </c>
      <c r="D9" s="1" t="s">
        <v>25</v>
      </c>
      <c r="E9" s="1" t="s">
        <v>26</v>
      </c>
      <c r="F9" s="1" t="s">
        <v>24</v>
      </c>
      <c r="G9" s="1">
        <v>-0.52</v>
      </c>
      <c r="H9" s="12">
        <v>45412.6875</v>
      </c>
      <c r="I9" s="15">
        <f t="shared" si="5"/>
        <v>4.8833333333604969</v>
      </c>
      <c r="J9" s="22">
        <v>0.74276785192125405</v>
      </c>
      <c r="K9" s="22">
        <v>5.6996066808637567</v>
      </c>
      <c r="L9" s="22">
        <v>96.6539777775441</v>
      </c>
      <c r="N9" s="22">
        <v>4.9679149942894525E-2</v>
      </c>
      <c r="O9" s="22">
        <v>1.5866903196646298E-3</v>
      </c>
      <c r="P9" s="2">
        <f t="shared" si="6"/>
        <v>7.2010179705443199E-3</v>
      </c>
      <c r="Q9" s="2">
        <f t="shared" si="7"/>
        <v>5.525679393335621E-2</v>
      </c>
      <c r="R9" s="2">
        <f t="shared" si="8"/>
        <v>0.93704517380549601</v>
      </c>
      <c r="S9" s="2">
        <f t="shared" si="9"/>
        <v>4.8163157650780482E-4</v>
      </c>
      <c r="T9" s="3">
        <f t="shared" si="10"/>
        <v>0.10832041240972605</v>
      </c>
      <c r="U9" s="4">
        <f t="shared" si="11"/>
        <v>0.83119341345678621</v>
      </c>
      <c r="V9" s="14"/>
      <c r="W9" s="2">
        <f t="shared" si="3"/>
        <v>0.93951382586651222</v>
      </c>
      <c r="X9" s="2">
        <f t="shared" si="4"/>
        <v>5.5685462419538756E-2</v>
      </c>
    </row>
    <row r="10" spans="1:25" ht="15.6" x14ac:dyDescent="0.35">
      <c r="A10" s="1" t="s">
        <v>23</v>
      </c>
      <c r="B10" s="1">
        <v>60</v>
      </c>
      <c r="C10" s="13">
        <f>+'Flow rate'!E9</f>
        <v>58.8</v>
      </c>
      <c r="D10" s="1" t="s">
        <v>25</v>
      </c>
      <c r="E10" s="1" t="s">
        <v>26</v>
      </c>
      <c r="F10" s="1" t="s">
        <v>24</v>
      </c>
      <c r="G10" s="1">
        <v>-0.52</v>
      </c>
      <c r="H10" s="12">
        <v>45412.711805555555</v>
      </c>
      <c r="I10" s="15">
        <f t="shared" si="5"/>
        <v>5.4666666666744277</v>
      </c>
      <c r="J10" s="22">
        <v>0.77996722294485499</v>
      </c>
      <c r="K10" s="22">
        <v>5.6558227638162357</v>
      </c>
      <c r="L10" s="22">
        <v>96.573858921899159</v>
      </c>
      <c r="N10" s="22">
        <v>4.9579608709574952E-2</v>
      </c>
      <c r="O10" s="22">
        <v>1.7831439289917039E-3</v>
      </c>
      <c r="P10" s="2">
        <f t="shared" si="6"/>
        <v>7.5680144253595181E-3</v>
      </c>
      <c r="Q10" s="2">
        <f t="shared" si="7"/>
        <v>5.4878393610220053E-2</v>
      </c>
      <c r="R10" s="2">
        <f t="shared" si="8"/>
        <v>0.93705521967202177</v>
      </c>
      <c r="S10" s="2">
        <f t="shared" si="9"/>
        <v>4.8107046409086383E-4</v>
      </c>
      <c r="T10" s="3">
        <f t="shared" si="10"/>
        <v>0.11326303804909731</v>
      </c>
      <c r="U10" s="4">
        <f t="shared" si="11"/>
        <v>0.82131101160690734</v>
      </c>
      <c r="V10" s="14"/>
      <c r="W10" s="2">
        <f t="shared" si="3"/>
        <v>0.93457404965600466</v>
      </c>
      <c r="X10" s="2">
        <f t="shared" si="4"/>
        <v>5.5324663743001039E-2</v>
      </c>
      <c r="Y10">
        <f>+SUM(K10:L10)</f>
        <v>102.22968168571539</v>
      </c>
    </row>
    <row r="11" spans="1:25" ht="15.6" x14ac:dyDescent="0.35">
      <c r="A11" s="1" t="s">
        <v>23</v>
      </c>
      <c r="B11" s="1">
        <v>60</v>
      </c>
      <c r="C11" s="13">
        <f>+'Flow rate'!E10</f>
        <v>59.3</v>
      </c>
      <c r="D11" s="1" t="s">
        <v>25</v>
      </c>
      <c r="E11" s="1" t="s">
        <v>26</v>
      </c>
      <c r="F11" s="1" t="s">
        <v>24</v>
      </c>
      <c r="G11" s="1">
        <v>-0.76</v>
      </c>
      <c r="H11" s="12">
        <v>45412.747916666667</v>
      </c>
      <c r="I11" s="15">
        <f t="shared" si="5"/>
        <v>6.3333333333721384</v>
      </c>
      <c r="J11" s="22">
        <v>1.4276036674558694</v>
      </c>
      <c r="K11" s="22">
        <v>7.5580749674646155</v>
      </c>
      <c r="L11" s="22">
        <v>94.284345146844998</v>
      </c>
      <c r="N11" s="22">
        <v>4.7759776200856113E-2</v>
      </c>
      <c r="O11" s="22">
        <v>7.5558353461111505E-3</v>
      </c>
      <c r="P11" s="2">
        <f t="shared" si="6"/>
        <v>1.3816588223549241E-2</v>
      </c>
      <c r="Q11" s="2">
        <f t="shared" si="7"/>
        <v>7.3148319781408802E-2</v>
      </c>
      <c r="R11" s="2">
        <f t="shared" si="8"/>
        <v>0.91249973820988362</v>
      </c>
      <c r="S11" s="2">
        <f t="shared" si="9"/>
        <v>4.622271408086686E-4</v>
      </c>
      <c r="T11" s="3">
        <f t="shared" si="10"/>
        <v>0.14268364274172352</v>
      </c>
      <c r="U11" s="4">
        <f t="shared" si="11"/>
        <v>0.75540130153540763</v>
      </c>
      <c r="V11" s="14"/>
      <c r="W11" s="2">
        <f t="shared" si="3"/>
        <v>0.89808494427713115</v>
      </c>
      <c r="X11" s="2">
        <f t="shared" si="4"/>
        <v>7.4213426575893499E-2</v>
      </c>
    </row>
    <row r="12" spans="1:25" ht="15.6" x14ac:dyDescent="0.35">
      <c r="A12" s="1" t="s">
        <v>23</v>
      </c>
      <c r="B12" s="1">
        <v>60</v>
      </c>
      <c r="C12" s="13">
        <f>+'Flow rate'!E11</f>
        <v>59.6</v>
      </c>
      <c r="D12" s="1" t="s">
        <v>25</v>
      </c>
      <c r="E12" s="1" t="s">
        <v>26</v>
      </c>
      <c r="F12" s="1" t="s">
        <v>24</v>
      </c>
      <c r="G12" s="1">
        <v>-0.76</v>
      </c>
      <c r="H12" s="12">
        <v>45412.78402777778</v>
      </c>
      <c r="I12" s="15">
        <f t="shared" si="5"/>
        <v>7.2000000000698492</v>
      </c>
      <c r="J12" s="22">
        <v>1.776336655884249</v>
      </c>
      <c r="K12" s="22">
        <v>7.2003554436028576</v>
      </c>
      <c r="L12" s="22">
        <v>93.124619845963963</v>
      </c>
      <c r="N12" s="22">
        <v>4.9107444806622561E-2</v>
      </c>
      <c r="O12" s="22">
        <v>1.5969927138050344E-3</v>
      </c>
      <c r="P12" s="2">
        <f t="shared" si="6"/>
        <v>1.7389149218794669E-2</v>
      </c>
      <c r="Q12" s="2">
        <f t="shared" si="7"/>
        <v>7.0486669755088063E-2</v>
      </c>
      <c r="R12" s="2">
        <f t="shared" si="8"/>
        <v>0.91162781845476737</v>
      </c>
      <c r="S12" s="2">
        <f t="shared" si="9"/>
        <v>4.8072907951730512E-4</v>
      </c>
      <c r="T12" s="3">
        <f t="shared" si="10"/>
        <v>0.18048589798132639</v>
      </c>
      <c r="U12" s="4">
        <f t="shared" si="11"/>
        <v>0.73159702791612957</v>
      </c>
      <c r="V12" s="14"/>
      <c r="W12" s="2">
        <f t="shared" si="3"/>
        <v>0.91208292589745599</v>
      </c>
      <c r="X12" s="2">
        <f t="shared" si="4"/>
        <v>7.1770318635220737E-2</v>
      </c>
      <c r="Y12">
        <f>+SUM(K12:L12)</f>
        <v>100.32497528956682</v>
      </c>
    </row>
    <row r="13" spans="1:25" ht="15.6" x14ac:dyDescent="0.35">
      <c r="A13" s="1" t="s">
        <v>23</v>
      </c>
      <c r="B13" s="1">
        <v>60</v>
      </c>
      <c r="C13" s="13">
        <f>+'Flow rate'!E12</f>
        <v>60.1</v>
      </c>
      <c r="D13" s="1" t="s">
        <v>25</v>
      </c>
      <c r="E13" s="1" t="s">
        <v>26</v>
      </c>
      <c r="F13" s="1" t="s">
        <v>24</v>
      </c>
      <c r="G13" s="1">
        <v>-1.1000000000000001</v>
      </c>
      <c r="H13" s="12">
        <v>45412.820138888892</v>
      </c>
      <c r="I13" s="15">
        <f t="shared" si="5"/>
        <v>8.0666666667675599</v>
      </c>
      <c r="J13" s="22">
        <v>1.9805120947471169</v>
      </c>
      <c r="K13" s="22">
        <v>7.2279469461936028</v>
      </c>
      <c r="L13" s="22">
        <v>93.40463278457203</v>
      </c>
      <c r="N13" s="22">
        <v>4.7472912398387537E-2</v>
      </c>
      <c r="O13" s="22">
        <v>1.6647145916069417E-3</v>
      </c>
      <c r="P13" s="2">
        <f t="shared" si="6"/>
        <v>1.929153599438839E-2</v>
      </c>
      <c r="Q13" s="2">
        <f t="shared" si="7"/>
        <v>7.0405123527320743E-2</v>
      </c>
      <c r="R13" s="2">
        <f t="shared" si="8"/>
        <v>0.90982470654201208</v>
      </c>
      <c r="S13" s="2">
        <f t="shared" si="9"/>
        <v>4.624184829373021E-4</v>
      </c>
      <c r="T13" s="3">
        <f t="shared" si="10"/>
        <v>0.13950213918213702</v>
      </c>
      <c r="U13" s="4">
        <f t="shared" si="11"/>
        <v>0.5091178506626336</v>
      </c>
      <c r="V13" s="14"/>
      <c r="W13" s="2">
        <f t="shared" si="3"/>
        <v>0.64861998984477065</v>
      </c>
      <c r="X13" s="2">
        <f t="shared" si="4"/>
        <v>7.1825118321833678E-2</v>
      </c>
    </row>
    <row r="14" spans="1:25" ht="15.6" x14ac:dyDescent="0.35">
      <c r="A14" s="1" t="s">
        <v>23</v>
      </c>
      <c r="B14" s="1">
        <v>60</v>
      </c>
      <c r="C14" s="13">
        <f>+'Flow rate'!E13</f>
        <v>60.1</v>
      </c>
      <c r="D14" s="1" t="s">
        <v>25</v>
      </c>
      <c r="E14" s="1" t="s">
        <v>26</v>
      </c>
      <c r="F14" s="1" t="s">
        <v>24</v>
      </c>
      <c r="G14" s="1">
        <v>-1.1000000000000001</v>
      </c>
      <c r="H14" s="12">
        <v>45412.84375</v>
      </c>
      <c r="I14" s="15">
        <f t="shared" si="5"/>
        <v>8.6333333333604969</v>
      </c>
      <c r="J14" s="22">
        <v>2.8631016375640095</v>
      </c>
      <c r="K14" s="22">
        <v>8.4990975998559524</v>
      </c>
      <c r="L14" s="22">
        <v>91.228941478206764</v>
      </c>
      <c r="N14" s="22">
        <v>4.9279110809149887E-2</v>
      </c>
      <c r="O14" s="22">
        <v>1.3292039374392384E-3</v>
      </c>
      <c r="P14" s="2">
        <f t="shared" si="6"/>
        <v>2.7894123634981827E-2</v>
      </c>
      <c r="Q14" s="2">
        <f t="shared" si="7"/>
        <v>8.2803514945375051E-2</v>
      </c>
      <c r="R14" s="2">
        <f t="shared" si="8"/>
        <v>0.88880930362177168</v>
      </c>
      <c r="S14" s="2">
        <f t="shared" si="9"/>
        <v>4.8010786326884802E-4</v>
      </c>
      <c r="T14" s="3">
        <f t="shared" si="10"/>
        <v>0.20170969894895299</v>
      </c>
      <c r="U14" s="4">
        <f t="shared" si="11"/>
        <v>0.59877385968851615</v>
      </c>
      <c r="V14" s="14"/>
      <c r="W14" s="2">
        <f t="shared" si="3"/>
        <v>0.80048355863746912</v>
      </c>
      <c r="X14" s="2">
        <f t="shared" si="4"/>
        <v>8.5222748571274251E-2</v>
      </c>
      <c r="Y14">
        <f>+SUM(K14:L14)</f>
        <v>99.728039078062722</v>
      </c>
    </row>
    <row r="15" spans="1:25" ht="15.6" x14ac:dyDescent="0.35">
      <c r="A15" s="1" t="s">
        <v>23</v>
      </c>
      <c r="B15" s="1">
        <v>60</v>
      </c>
      <c r="C15" s="13">
        <f>+'Flow rate'!E14</f>
        <v>60</v>
      </c>
      <c r="D15" s="1" t="s">
        <v>25</v>
      </c>
      <c r="E15" s="1" t="s">
        <v>26</v>
      </c>
      <c r="F15" s="1" t="s">
        <v>24</v>
      </c>
      <c r="G15" s="1">
        <v>-1.1000000000000001</v>
      </c>
      <c r="H15" s="12">
        <v>45412.861111111109</v>
      </c>
      <c r="I15" s="15">
        <f t="shared" si="5"/>
        <v>9.0499999999883585</v>
      </c>
      <c r="J15" s="22">
        <v>2.9218100916290868</v>
      </c>
      <c r="K15" s="22">
        <v>8.4724242655035162</v>
      </c>
      <c r="L15" s="22">
        <v>91.268317451014525</v>
      </c>
      <c r="N15" s="22">
        <v>4.8643687193063549E-2</v>
      </c>
      <c r="O15" s="22">
        <v>1.2287746495301954E-3</v>
      </c>
      <c r="P15" s="2">
        <f t="shared" si="6"/>
        <v>2.8446510851976595E-2</v>
      </c>
      <c r="Q15" s="2">
        <f t="shared" si="7"/>
        <v>8.2486849334145934E-2</v>
      </c>
      <c r="R15" s="2">
        <f t="shared" si="8"/>
        <v>0.88858108548880865</v>
      </c>
      <c r="S15" s="2">
        <f t="shared" si="9"/>
        <v>4.7359107273331241E-4</v>
      </c>
      <c r="T15" s="3">
        <f t="shared" si="10"/>
        <v>0.20536188548843709</v>
      </c>
      <c r="U15" s="4">
        <f t="shared" si="11"/>
        <v>0.59549148208043912</v>
      </c>
      <c r="V15" s="14"/>
      <c r="W15" s="2">
        <f t="shared" si="3"/>
        <v>0.80085336756887626</v>
      </c>
      <c r="X15" s="2">
        <f t="shared" si="4"/>
        <v>8.4944468225268868E-2</v>
      </c>
    </row>
    <row r="16" spans="1:25" ht="15.6" x14ac:dyDescent="0.35">
      <c r="A16" s="1" t="s">
        <v>23</v>
      </c>
      <c r="B16" s="1">
        <v>60</v>
      </c>
      <c r="C16" s="13">
        <f>+'Flow rate'!E15</f>
        <v>60.1</v>
      </c>
      <c r="D16" s="1" t="s">
        <v>25</v>
      </c>
      <c r="E16" s="1" t="s">
        <v>26</v>
      </c>
      <c r="F16" s="1" t="s">
        <v>24</v>
      </c>
      <c r="G16" s="1">
        <v>-1.1000000000000001</v>
      </c>
      <c r="H16" s="12">
        <v>45412.879166666666</v>
      </c>
      <c r="I16" s="15">
        <f t="shared" si="5"/>
        <v>9.4833333333372138</v>
      </c>
      <c r="J16" s="22">
        <v>2.9826453807127487</v>
      </c>
      <c r="K16" s="22">
        <v>8.4328758728462017</v>
      </c>
      <c r="L16" s="22">
        <v>91.165468194018842</v>
      </c>
      <c r="N16" s="22">
        <v>4.9578840762410814E-2</v>
      </c>
      <c r="O16" s="22">
        <v>1.6483630349424794E-3</v>
      </c>
      <c r="P16" s="2">
        <f t="shared" si="6"/>
        <v>2.9061492365933275E-2</v>
      </c>
      <c r="Q16" s="2">
        <f t="shared" si="7"/>
        <v>8.2165972323206285E-2</v>
      </c>
      <c r="R16" s="2">
        <f t="shared" si="8"/>
        <v>0.88827340155472845</v>
      </c>
      <c r="S16" s="2">
        <f t="shared" si="9"/>
        <v>4.8307288276567216E-4</v>
      </c>
      <c r="T16" s="3">
        <f t="shared" si="10"/>
        <v>0.21015124736839635</v>
      </c>
      <c r="U16" s="4">
        <f t="shared" si="11"/>
        <v>0.59416362234721787</v>
      </c>
      <c r="V16" s="14"/>
      <c r="W16" s="2">
        <f t="shared" si="3"/>
        <v>0.80431486971561417</v>
      </c>
      <c r="X16" s="2">
        <f t="shared" si="4"/>
        <v>8.4668836132303735E-2</v>
      </c>
      <c r="Y16">
        <f>+SUM(K16:L16)</f>
        <v>99.598344066865039</v>
      </c>
    </row>
    <row r="17" spans="1:25" ht="15.6" x14ac:dyDescent="0.35">
      <c r="A17" s="1" t="s">
        <v>23</v>
      </c>
      <c r="B17" s="1">
        <v>60</v>
      </c>
      <c r="C17" s="13">
        <f>+'Flow rate'!E16</f>
        <v>59.8</v>
      </c>
      <c r="D17" s="1" t="s">
        <v>25</v>
      </c>
      <c r="E17" s="1" t="s">
        <v>26</v>
      </c>
      <c r="F17" s="1" t="s">
        <v>24</v>
      </c>
      <c r="G17" s="1">
        <v>-1.1000000000000001</v>
      </c>
      <c r="H17" s="12">
        <v>45412.896527777775</v>
      </c>
      <c r="I17" s="15">
        <f t="shared" si="5"/>
        <v>9.8999999999650754</v>
      </c>
      <c r="J17" s="22">
        <v>3.0491527117936368</v>
      </c>
      <c r="K17" s="22">
        <v>8.3290102579668783</v>
      </c>
      <c r="L17" s="22">
        <v>91.144445626573329</v>
      </c>
      <c r="N17" s="22">
        <v>4.8706978890722723E-2</v>
      </c>
      <c r="O17" s="22">
        <v>1.4200486239652199E-3</v>
      </c>
      <c r="P17" s="2">
        <f t="shared" si="6"/>
        <v>2.9726736771215623E-2</v>
      </c>
      <c r="Q17" s="2">
        <f t="shared" si="7"/>
        <v>8.1201015136329796E-2</v>
      </c>
      <c r="R17" s="2">
        <f t="shared" si="8"/>
        <v>0.88858355070898509</v>
      </c>
      <c r="S17" s="2">
        <f t="shared" si="9"/>
        <v>4.7485307469364381E-4</v>
      </c>
      <c r="T17" s="3">
        <f t="shared" si="10"/>
        <v>0.21388878289408927</v>
      </c>
      <c r="U17" s="4">
        <f t="shared" si="11"/>
        <v>0.58425472095852471</v>
      </c>
      <c r="V17" s="14"/>
      <c r="W17" s="2">
        <f t="shared" si="3"/>
        <v>0.79814350385261401</v>
      </c>
      <c r="X17" s="2">
        <f t="shared" si="4"/>
        <v>8.3730983144231358E-2</v>
      </c>
    </row>
    <row r="18" spans="1:25" ht="15.6" x14ac:dyDescent="0.35">
      <c r="A18" s="1" t="s">
        <v>23</v>
      </c>
      <c r="B18" s="1">
        <v>60</v>
      </c>
      <c r="C18" s="13">
        <f>+'Flow rate'!E17</f>
        <v>63.5</v>
      </c>
      <c r="D18" s="1" t="s">
        <v>25</v>
      </c>
      <c r="E18" s="1" t="s">
        <v>26</v>
      </c>
      <c r="F18" s="1" t="s">
        <v>24</v>
      </c>
      <c r="G18" s="1">
        <v>-1.52</v>
      </c>
      <c r="H18" s="12">
        <v>45412.914583333331</v>
      </c>
      <c r="I18" s="15">
        <f t="shared" si="5"/>
        <v>10.333333333313931</v>
      </c>
      <c r="J18" s="22">
        <v>6.5798087267143828</v>
      </c>
      <c r="K18" s="22">
        <v>9.0005209728138098</v>
      </c>
      <c r="L18" s="22">
        <v>87.175384709175759</v>
      </c>
      <c r="N18" s="22">
        <v>5.0514350735888676E-2</v>
      </c>
      <c r="O18" s="22">
        <v>1.5452261992967564E-3</v>
      </c>
      <c r="P18" s="2">
        <f t="shared" si="6"/>
        <v>6.4001081548886493E-2</v>
      </c>
      <c r="Q18" s="2">
        <f t="shared" si="7"/>
        <v>8.7547085438023989E-2</v>
      </c>
      <c r="R18" s="2">
        <f t="shared" si="8"/>
        <v>0.84794545518856368</v>
      </c>
      <c r="S18" s="2">
        <f t="shared" si="9"/>
        <v>4.9134757788788278E-4</v>
      </c>
      <c r="T18" s="3">
        <f t="shared" si="10"/>
        <v>0.3538748704344577</v>
      </c>
      <c r="U18" s="4">
        <f t="shared" si="11"/>
        <v>0.48406546837229419</v>
      </c>
      <c r="V18" s="14"/>
      <c r="W18" s="2">
        <f t="shared" si="3"/>
        <v>0.83794033880675189</v>
      </c>
      <c r="X18" s="2">
        <f t="shared" si="4"/>
        <v>9.3583948172783329E-2</v>
      </c>
      <c r="Y18">
        <f>+SUM(K18:L18)</f>
        <v>96.175905681989576</v>
      </c>
    </row>
    <row r="19" spans="1:25" ht="15.6" x14ac:dyDescent="0.35">
      <c r="A19" s="1" t="s">
        <v>23</v>
      </c>
      <c r="B19" s="1">
        <v>60</v>
      </c>
      <c r="C19" s="13">
        <f>+'Flow rate'!E18</f>
        <v>63.3</v>
      </c>
      <c r="D19" s="1" t="s">
        <v>25</v>
      </c>
      <c r="E19" s="1" t="s">
        <v>26</v>
      </c>
      <c r="F19" s="1" t="s">
        <v>24</v>
      </c>
      <c r="G19" s="1">
        <v>-1.52</v>
      </c>
      <c r="H19" s="12">
        <v>45412.931944444441</v>
      </c>
      <c r="I19" s="15">
        <f t="shared" si="5"/>
        <v>10.749999999941792</v>
      </c>
      <c r="J19" s="22">
        <v>7.2556477843270724</v>
      </c>
      <c r="K19" s="22">
        <v>8.6877688015417824</v>
      </c>
      <c r="L19" s="22">
        <v>86.67627096227433</v>
      </c>
      <c r="N19" s="22">
        <v>5.0171332913834091E-2</v>
      </c>
      <c r="O19" s="22">
        <v>1.3235874414585513E-3</v>
      </c>
      <c r="P19" s="2">
        <f t="shared" si="6"/>
        <v>7.0668785630800021E-2</v>
      </c>
      <c r="Q19" s="2">
        <f t="shared" si="7"/>
        <v>8.4617402786876045E-2</v>
      </c>
      <c r="R19" s="2">
        <f t="shared" si="8"/>
        <v>0.84421225974355851</v>
      </c>
      <c r="S19" s="2">
        <f t="shared" si="9"/>
        <v>4.8866032033114673E-4</v>
      </c>
      <c r="T19" s="3">
        <f t="shared" si="10"/>
        <v>0.38951126595056662</v>
      </c>
      <c r="U19" s="4">
        <f t="shared" si="11"/>
        <v>0.46639306713373296</v>
      </c>
      <c r="V19" s="14"/>
      <c r="W19" s="2">
        <f t="shared" si="3"/>
        <v>0.85590433308429958</v>
      </c>
      <c r="X19" s="2">
        <f t="shared" si="4"/>
        <v>9.11010987271344E-2</v>
      </c>
    </row>
    <row r="20" spans="1:25" ht="15.6" x14ac:dyDescent="0.35">
      <c r="A20" s="1" t="s">
        <v>23</v>
      </c>
      <c r="B20" s="1">
        <v>60</v>
      </c>
      <c r="C20" s="13">
        <f>+'Flow rate'!E19</f>
        <v>63.4</v>
      </c>
      <c r="D20" s="1" t="s">
        <v>25</v>
      </c>
      <c r="E20" s="1" t="s">
        <v>26</v>
      </c>
      <c r="F20" s="1" t="s">
        <v>24</v>
      </c>
      <c r="G20" s="1">
        <v>-1.52</v>
      </c>
      <c r="H20" s="12">
        <v>45412.95</v>
      </c>
      <c r="I20" s="15">
        <f t="shared" si="5"/>
        <v>11.183333333290648</v>
      </c>
      <c r="J20" s="22">
        <v>7.4883164507299043</v>
      </c>
      <c r="K20" s="22">
        <v>8.5670262277098121</v>
      </c>
      <c r="L20" s="22">
        <v>86.596063201912017</v>
      </c>
      <c r="N20" s="22">
        <v>4.9586391719772541E-2</v>
      </c>
      <c r="O20" s="22">
        <v>1.506894739686182E-3</v>
      </c>
      <c r="P20" s="2">
        <f t="shared" si="6"/>
        <v>7.291269941315888E-2</v>
      </c>
      <c r="Q20" s="2">
        <f t="shared" si="7"/>
        <v>8.3415947004318744E-2</v>
      </c>
      <c r="R20" s="2">
        <f t="shared" si="8"/>
        <v>0.84317386533370697</v>
      </c>
      <c r="S20" s="2">
        <f t="shared" si="9"/>
        <v>4.8281582358802638E-4</v>
      </c>
      <c r="T20" s="3">
        <f t="shared" si="10"/>
        <v>0.402514120192139</v>
      </c>
      <c r="U20" s="4">
        <f t="shared" si="11"/>
        <v>0.46049723558003164</v>
      </c>
      <c r="V20" s="14"/>
      <c r="W20" s="2">
        <f t="shared" si="3"/>
        <v>0.86301135577217059</v>
      </c>
      <c r="X20" s="2">
        <f t="shared" si="4"/>
        <v>9.0024675313274516E-2</v>
      </c>
      <c r="Y20">
        <f>+SUM(K20:L20)</f>
        <v>95.163089429621834</v>
      </c>
    </row>
    <row r="21" spans="1:25" ht="15.6" x14ac:dyDescent="0.35">
      <c r="A21" s="1" t="s">
        <v>23</v>
      </c>
      <c r="B21" s="1">
        <v>60</v>
      </c>
      <c r="C21" s="13">
        <f>+'Flow rate'!E20</f>
        <v>63</v>
      </c>
      <c r="D21" s="1" t="s">
        <v>25</v>
      </c>
      <c r="E21" s="1" t="s">
        <v>26</v>
      </c>
      <c r="F21" s="1" t="s">
        <v>24</v>
      </c>
      <c r="G21" s="1">
        <v>-1.52</v>
      </c>
      <c r="H21" s="12">
        <v>45412.967361111114</v>
      </c>
      <c r="I21" s="15">
        <f t="shared" si="5"/>
        <v>11.600000000093132</v>
      </c>
      <c r="J21" s="22">
        <v>7.6126596696394842</v>
      </c>
      <c r="K21" s="22">
        <v>8.5323628940406682</v>
      </c>
      <c r="L21" s="22">
        <v>86.557594645021695</v>
      </c>
      <c r="N21" s="22">
        <v>4.9815675016925312E-2</v>
      </c>
      <c r="O21" s="22">
        <v>1.5299358197998214E-3</v>
      </c>
      <c r="P21" s="2">
        <f t="shared" si="6"/>
        <v>7.4086287873969411E-2</v>
      </c>
      <c r="Q21" s="2">
        <f t="shared" si="7"/>
        <v>8.3036825635869754E-2</v>
      </c>
      <c r="R21" s="2">
        <f t="shared" si="8"/>
        <v>0.84237719178809956</v>
      </c>
      <c r="S21" s="2">
        <f t="shared" si="9"/>
        <v>4.8480538998202908E-4</v>
      </c>
      <c r="T21" s="3">
        <f t="shared" si="10"/>
        <v>0.40641251135997053</v>
      </c>
      <c r="U21" s="4">
        <f t="shared" si="11"/>
        <v>0.45551215765381947</v>
      </c>
      <c r="V21" s="14"/>
      <c r="W21" s="2">
        <f t="shared" si="3"/>
        <v>0.86192466901379006</v>
      </c>
      <c r="X21" s="2">
        <f t="shared" si="4"/>
        <v>8.972937957760288E-2</v>
      </c>
    </row>
    <row r="22" spans="1:25" ht="15.6" x14ac:dyDescent="0.35">
      <c r="A22" s="1" t="s">
        <v>23</v>
      </c>
      <c r="B22" s="1">
        <v>60</v>
      </c>
      <c r="C22" s="13">
        <f>+'Flow rate'!E21</f>
        <v>66.900000000000006</v>
      </c>
      <c r="D22" s="1" t="s">
        <v>25</v>
      </c>
      <c r="E22" s="1" t="s">
        <v>26</v>
      </c>
      <c r="F22" s="1" t="s">
        <v>24</v>
      </c>
      <c r="G22" s="1">
        <v>-2.1</v>
      </c>
      <c r="H22" s="12">
        <v>45412.98541666667</v>
      </c>
      <c r="I22" s="15">
        <f t="shared" si="5"/>
        <v>12.033333333441988</v>
      </c>
      <c r="J22" s="22">
        <v>7.6570528323931875</v>
      </c>
      <c r="K22" s="22">
        <v>8.6137543425252936</v>
      </c>
      <c r="L22" s="22">
        <v>86.358580975923104</v>
      </c>
      <c r="N22" s="22">
        <v>4.9753136606145054E-2</v>
      </c>
      <c r="O22" s="22">
        <v>1.4224060285888962E-3</v>
      </c>
      <c r="P22" s="2">
        <f t="shared" si="6"/>
        <v>7.4571589373536612E-2</v>
      </c>
      <c r="Q22" s="2">
        <f t="shared" si="7"/>
        <v>8.3888849385743661E-2</v>
      </c>
      <c r="R22" s="2">
        <f t="shared" si="8"/>
        <v>0.84104116562626341</v>
      </c>
      <c r="S22" s="2">
        <f t="shared" si="9"/>
        <v>4.8454288539619752E-4</v>
      </c>
      <c r="T22" s="3">
        <f t="shared" si="10"/>
        <v>0.31442168833183748</v>
      </c>
      <c r="U22" s="4">
        <f t="shared" si="11"/>
        <v>0.35370673841961892</v>
      </c>
      <c r="V22" s="14"/>
      <c r="W22" s="2">
        <f t="shared" si="3"/>
        <v>0.66812842675145645</v>
      </c>
      <c r="X22" s="2">
        <f t="shared" si="4"/>
        <v>9.0697510107999521E-2</v>
      </c>
      <c r="Y22">
        <f>+SUM(K22:L22)</f>
        <v>94.972335318448401</v>
      </c>
    </row>
    <row r="23" spans="1:25" ht="15.6" x14ac:dyDescent="0.35">
      <c r="A23" s="1" t="s">
        <v>23</v>
      </c>
      <c r="B23" s="1">
        <v>60</v>
      </c>
      <c r="C23" s="13">
        <f>+'Flow rate'!E22</f>
        <v>66.8</v>
      </c>
      <c r="D23" s="1" t="s">
        <v>25</v>
      </c>
      <c r="E23" s="1" t="s">
        <v>26</v>
      </c>
      <c r="F23" s="1" t="s">
        <v>24</v>
      </c>
      <c r="G23" s="1">
        <v>-2.1</v>
      </c>
      <c r="H23" s="12">
        <v>45413.00277777778</v>
      </c>
      <c r="I23" s="15">
        <f t="shared" si="5"/>
        <v>12.450000000069849</v>
      </c>
      <c r="J23" s="22">
        <v>11.836662454776636</v>
      </c>
      <c r="K23" s="22">
        <v>8.6327435092181357</v>
      </c>
      <c r="L23" s="22">
        <v>82.375399362673235</v>
      </c>
      <c r="N23" s="22">
        <v>5.1067999496195032E-2</v>
      </c>
      <c r="O23" s="22">
        <v>1.4338770672399637E-3</v>
      </c>
      <c r="P23" s="2">
        <f t="shared" si="6"/>
        <v>0.11503374360806315</v>
      </c>
      <c r="Q23" s="2">
        <f t="shared" si="7"/>
        <v>8.389669024251227E-2</v>
      </c>
      <c r="R23" s="2">
        <f t="shared" si="8"/>
        <v>0.80055933047863348</v>
      </c>
      <c r="S23" s="2">
        <f t="shared" si="9"/>
        <v>4.9630064074787823E-4</v>
      </c>
      <c r="T23" s="3">
        <f t="shared" si="10"/>
        <v>0.48430025098647933</v>
      </c>
      <c r="U23" s="4">
        <f t="shared" si="11"/>
        <v>0.35321103936093773</v>
      </c>
      <c r="V23" s="14"/>
      <c r="W23" s="2">
        <f t="shared" si="3"/>
        <v>0.83751129034741711</v>
      </c>
      <c r="X23" s="2">
        <f t="shared" si="4"/>
        <v>9.4856825299359362E-2</v>
      </c>
    </row>
    <row r="24" spans="1:25" ht="15.6" x14ac:dyDescent="0.35">
      <c r="A24" s="1" t="s">
        <v>23</v>
      </c>
      <c r="B24" s="1">
        <v>60</v>
      </c>
      <c r="C24" s="13">
        <f>+'Flow rate'!E23</f>
        <v>67.099999999999994</v>
      </c>
      <c r="D24" s="1" t="s">
        <v>25</v>
      </c>
      <c r="E24" s="1" t="s">
        <v>26</v>
      </c>
      <c r="F24" s="1" t="s">
        <v>24</v>
      </c>
      <c r="G24" s="1">
        <v>-2.1</v>
      </c>
      <c r="H24" s="12">
        <v>45413.020833333336</v>
      </c>
      <c r="I24" s="15">
        <f t="shared" si="5"/>
        <v>12.883333333418705</v>
      </c>
      <c r="J24" s="22">
        <v>12.158981337865379</v>
      </c>
      <c r="K24" s="22">
        <v>8.4915474123828769</v>
      </c>
      <c r="L24" s="22">
        <v>82.21929223068075</v>
      </c>
      <c r="N24" s="22">
        <v>5.0710319721814709E-2</v>
      </c>
      <c r="O24" s="22">
        <v>1.5641454445946001E-3</v>
      </c>
      <c r="P24" s="2">
        <f t="shared" si="6"/>
        <v>0.11813771654341748</v>
      </c>
      <c r="Q24" s="2">
        <f t="shared" si="7"/>
        <v>8.2504610653115332E-2</v>
      </c>
      <c r="R24" s="2">
        <f t="shared" si="8"/>
        <v>0.7988497695690856</v>
      </c>
      <c r="S24" s="2">
        <f t="shared" si="9"/>
        <v>4.9270586167159624E-4</v>
      </c>
      <c r="T24" s="3">
        <f t="shared" si="10"/>
        <v>0.49960188755921908</v>
      </c>
      <c r="U24" s="4">
        <f t="shared" si="11"/>
        <v>0.34891024154412265</v>
      </c>
      <c r="V24" s="14"/>
      <c r="W24" s="2">
        <f t="shared" si="3"/>
        <v>0.84851212910334173</v>
      </c>
      <c r="X24" s="2">
        <f t="shared" si="4"/>
        <v>9.361116538879044E-2</v>
      </c>
      <c r="Y24">
        <f>+SUM(K24:L24)</f>
        <v>90.710839643063622</v>
      </c>
    </row>
    <row r="25" spans="1:25" ht="15.6" x14ac:dyDescent="0.35">
      <c r="A25" s="1" t="s">
        <v>23</v>
      </c>
      <c r="B25" s="1">
        <v>60</v>
      </c>
      <c r="C25" s="13">
        <f>+'Flow rate'!E24</f>
        <v>66.7</v>
      </c>
      <c r="D25" s="1" t="s">
        <v>25</v>
      </c>
      <c r="E25" s="1" t="s">
        <v>26</v>
      </c>
      <c r="F25" s="1" t="s">
        <v>24</v>
      </c>
      <c r="G25" s="1">
        <v>-2.1</v>
      </c>
      <c r="H25" s="12">
        <v>45413.044444444444</v>
      </c>
      <c r="I25" s="15">
        <f t="shared" si="5"/>
        <v>13.450000000011642</v>
      </c>
      <c r="J25" s="22">
        <v>12.364513700361812</v>
      </c>
      <c r="K25" s="22">
        <v>8.3790033824041483</v>
      </c>
      <c r="L25" s="22">
        <v>82.01076088910439</v>
      </c>
      <c r="N25" s="22">
        <v>5.1125049841675929E-2</v>
      </c>
      <c r="O25" s="22">
        <v>1.4344492361849093E-3</v>
      </c>
      <c r="P25" s="2">
        <f t="shared" si="6"/>
        <v>0.12026937122597368</v>
      </c>
      <c r="Q25" s="2">
        <f t="shared" si="7"/>
        <v>8.1502394087085289E-2</v>
      </c>
      <c r="R25" s="2">
        <f t="shared" si="8"/>
        <v>0.79771698951715631</v>
      </c>
      <c r="S25" s="2">
        <f t="shared" si="9"/>
        <v>4.9729231147804896E-4</v>
      </c>
      <c r="T25" s="3">
        <f t="shared" si="10"/>
        <v>0.50558461810610056</v>
      </c>
      <c r="U25" s="4">
        <f t="shared" si="11"/>
        <v>0.34261721308769</v>
      </c>
      <c r="V25" s="14"/>
      <c r="W25" s="2">
        <f t="shared" si="3"/>
        <v>0.84820183119379056</v>
      </c>
      <c r="X25" s="2">
        <f t="shared" si="4"/>
        <v>9.2698586504061348E-2</v>
      </c>
    </row>
    <row r="26" spans="1:25" ht="15.6" x14ac:dyDescent="0.35">
      <c r="A26" s="1" t="s">
        <v>23</v>
      </c>
      <c r="B26" s="1">
        <v>60</v>
      </c>
      <c r="C26" s="13">
        <f>+'Flow rate'!E25</f>
        <v>67.099999999999994</v>
      </c>
      <c r="D26" s="1" t="s">
        <v>25</v>
      </c>
      <c r="E26" s="1" t="s">
        <v>26</v>
      </c>
      <c r="F26" s="1" t="s">
        <v>24</v>
      </c>
      <c r="G26" s="1">
        <v>-2.1</v>
      </c>
      <c r="H26" s="12">
        <v>45413.0625</v>
      </c>
      <c r="I26" s="15">
        <f t="shared" si="5"/>
        <v>13.883333333360497</v>
      </c>
      <c r="J26" s="22">
        <v>12.658992876936038</v>
      </c>
      <c r="K26" s="22">
        <v>8.0728871016537092</v>
      </c>
      <c r="L26" s="22">
        <v>82.081489000287476</v>
      </c>
      <c r="N26" s="22">
        <v>5.10902658385331E-2</v>
      </c>
      <c r="O26" s="22">
        <v>1.2190075497743313E-3</v>
      </c>
      <c r="P26" s="2">
        <f t="shared" si="6"/>
        <v>0.12306332969381099</v>
      </c>
      <c r="Q26" s="2">
        <f t="shared" si="7"/>
        <v>7.847988987984833E-2</v>
      </c>
      <c r="R26" s="2">
        <f t="shared" si="8"/>
        <v>0.79794826024471088</v>
      </c>
      <c r="S26" s="2">
        <f t="shared" si="9"/>
        <v>4.966697027286443E-4</v>
      </c>
      <c r="T26" s="3">
        <f t="shared" si="10"/>
        <v>0.52043220068295992</v>
      </c>
      <c r="U26" s="4">
        <f t="shared" si="11"/>
        <v>0.33188978309905004</v>
      </c>
      <c r="V26" s="14"/>
      <c r="W26" s="2">
        <f t="shared" si="3"/>
        <v>0.85232198378200996</v>
      </c>
      <c r="X26" s="2">
        <f t="shared" si="4"/>
        <v>8.9545149672217467E-2</v>
      </c>
      <c r="Y26">
        <f>+SUM(K26:L26)</f>
        <v>90.154376101941182</v>
      </c>
    </row>
    <row r="27" spans="1:25" ht="15.6" x14ac:dyDescent="0.35">
      <c r="A27" s="1" t="s">
        <v>23</v>
      </c>
      <c r="B27" s="1">
        <v>60</v>
      </c>
      <c r="C27" s="13">
        <f>+'Flow rate'!E26</f>
        <v>75.2</v>
      </c>
      <c r="D27" s="1" t="s">
        <v>25</v>
      </c>
      <c r="E27" s="1" t="s">
        <v>26</v>
      </c>
      <c r="F27" s="1" t="s">
        <v>24</v>
      </c>
      <c r="G27" s="1">
        <v>-3.1</v>
      </c>
      <c r="H27" s="12">
        <v>45413.079861111109</v>
      </c>
      <c r="I27" s="15">
        <f t="shared" si="5"/>
        <v>14.299999999988358</v>
      </c>
      <c r="J27" s="22">
        <v>20.412791400422833</v>
      </c>
      <c r="K27" s="22">
        <v>7.5704487782876226</v>
      </c>
      <c r="L27" s="22">
        <v>75.440615114213074</v>
      </c>
      <c r="N27" s="22">
        <v>5.2569907509438171E-2</v>
      </c>
      <c r="O27" s="22">
        <v>1.7152632580143545E-3</v>
      </c>
      <c r="P27" s="2">
        <f t="shared" si="6"/>
        <v>0.19726670105349828</v>
      </c>
      <c r="Q27" s="2">
        <f t="shared" si="7"/>
        <v>7.3159884245735801E-2</v>
      </c>
      <c r="R27" s="2">
        <f t="shared" si="8"/>
        <v>0.72904880949889228</v>
      </c>
      <c r="S27" s="2">
        <f t="shared" si="9"/>
        <v>5.0802910908400215E-4</v>
      </c>
      <c r="T27" s="3">
        <f t="shared" si="10"/>
        <v>0.63334770537025442</v>
      </c>
      <c r="U27" s="4">
        <f t="shared" si="11"/>
        <v>0.23488832410506053</v>
      </c>
      <c r="V27" s="14"/>
      <c r="W27" s="2">
        <f t="shared" si="3"/>
        <v>0.86823602947531497</v>
      </c>
      <c r="X27" s="2">
        <f t="shared" si="4"/>
        <v>9.1198069549998192E-2</v>
      </c>
    </row>
    <row r="28" spans="1:25" ht="15.6" x14ac:dyDescent="0.35">
      <c r="A28" s="1" t="s">
        <v>23</v>
      </c>
      <c r="B28" s="1">
        <v>60</v>
      </c>
      <c r="C28" s="13">
        <f>+'Flow rate'!E27</f>
        <v>75.099999999999994</v>
      </c>
      <c r="D28" s="1" t="s">
        <v>25</v>
      </c>
      <c r="E28" s="1" t="s">
        <v>26</v>
      </c>
      <c r="F28" s="1" t="s">
        <v>24</v>
      </c>
      <c r="G28" s="1">
        <v>-3</v>
      </c>
      <c r="H28" s="12">
        <v>45413.097916666666</v>
      </c>
      <c r="I28" s="15">
        <f t="shared" si="5"/>
        <v>14.733333333337214</v>
      </c>
      <c r="J28" s="22">
        <v>20.830375431397194</v>
      </c>
      <c r="K28" s="22">
        <v>7.7672550683866328</v>
      </c>
      <c r="L28" s="22">
        <v>74.740942243997992</v>
      </c>
      <c r="N28" s="22">
        <v>5.258205057071573E-2</v>
      </c>
      <c r="O28" s="22">
        <v>1.4786619106838539E-3</v>
      </c>
      <c r="P28" s="2">
        <f t="shared" si="6"/>
        <v>0.20146866111316128</v>
      </c>
      <c r="Q28" s="2">
        <f t="shared" si="7"/>
        <v>7.512387303368484E-2</v>
      </c>
      <c r="R28" s="2">
        <f t="shared" si="8"/>
        <v>0.72288459772730951</v>
      </c>
      <c r="S28" s="2">
        <f t="shared" si="9"/>
        <v>5.0856670163990753E-4</v>
      </c>
      <c r="T28" s="3">
        <f t="shared" si="10"/>
        <v>0.66751104386808546</v>
      </c>
      <c r="U28" s="4">
        <f t="shared" si="11"/>
        <v>0.24890230883086265</v>
      </c>
      <c r="V28" s="14"/>
      <c r="W28" s="2">
        <f t="shared" si="3"/>
        <v>0.91641335269894808</v>
      </c>
      <c r="X28" s="2">
        <f t="shared" si="4"/>
        <v>9.4139192485069051E-2</v>
      </c>
      <c r="Y28">
        <f>+SUM(K28:L28)</f>
        <v>82.508197312384624</v>
      </c>
    </row>
    <row r="29" spans="1:25" ht="15.6" x14ac:dyDescent="0.35">
      <c r="A29" s="1" t="s">
        <v>23</v>
      </c>
      <c r="B29" s="1">
        <v>60</v>
      </c>
      <c r="C29" s="13">
        <f>+'Flow rate'!E28</f>
        <v>74.900000000000006</v>
      </c>
      <c r="D29" s="1" t="s">
        <v>25</v>
      </c>
      <c r="E29" s="1" t="s">
        <v>26</v>
      </c>
      <c r="F29" s="1" t="s">
        <v>24</v>
      </c>
      <c r="G29" s="1">
        <v>-3</v>
      </c>
      <c r="H29" s="12">
        <v>45413.115277777775</v>
      </c>
      <c r="I29" s="15">
        <f t="shared" si="5"/>
        <v>15.149999999965075</v>
      </c>
      <c r="J29" s="22">
        <v>21.206270025984082</v>
      </c>
      <c r="K29" s="22">
        <v>7.5293663461575786</v>
      </c>
      <c r="L29" s="22">
        <v>74.482074208665821</v>
      </c>
      <c r="N29" s="22">
        <v>5.2192937977652239E-2</v>
      </c>
      <c r="O29" s="22">
        <v>1.1605619329839167E-3</v>
      </c>
      <c r="P29" s="2">
        <f t="shared" si="6"/>
        <v>0.20534571048293804</v>
      </c>
      <c r="Q29" s="2">
        <f t="shared" si="7"/>
        <v>7.2908770846715792E-2</v>
      </c>
      <c r="R29" s="2">
        <f t="shared" si="8"/>
        <v>0.72122888315016864</v>
      </c>
      <c r="S29" s="2">
        <f t="shared" si="9"/>
        <v>5.0539750357232217E-4</v>
      </c>
      <c r="T29" s="3">
        <f t="shared" si="10"/>
        <v>0.67854471312682962</v>
      </c>
      <c r="U29" s="4">
        <f t="shared" si="11"/>
        <v>0.24091986573405968</v>
      </c>
      <c r="V29" s="14"/>
      <c r="W29" s="2">
        <f t="shared" si="3"/>
        <v>0.91946457886088928</v>
      </c>
      <c r="X29" s="2">
        <f t="shared" si="4"/>
        <v>9.1808731747911584E-2</v>
      </c>
    </row>
    <row r="30" spans="1:25" ht="15.6" x14ac:dyDescent="0.35">
      <c r="A30" s="1" t="s">
        <v>23</v>
      </c>
      <c r="B30" s="1">
        <v>60</v>
      </c>
      <c r="C30" s="13">
        <f>+'Flow rate'!E29</f>
        <v>74.7</v>
      </c>
      <c r="D30" s="1" t="s">
        <v>25</v>
      </c>
      <c r="E30" s="1" t="s">
        <v>26</v>
      </c>
      <c r="F30" s="1" t="s">
        <v>24</v>
      </c>
      <c r="G30" s="1">
        <v>-3</v>
      </c>
      <c r="H30" s="12">
        <v>45413.133333333331</v>
      </c>
      <c r="I30" s="15">
        <f t="shared" si="5"/>
        <v>15.583333333313931</v>
      </c>
      <c r="J30" s="22">
        <v>21.224671269547354</v>
      </c>
      <c r="K30" s="22">
        <v>7.6989485692780093</v>
      </c>
      <c r="L30" s="22">
        <v>74.449024247350536</v>
      </c>
      <c r="N30" s="22">
        <v>5.2775571309243735E-2</v>
      </c>
      <c r="O30" s="22">
        <v>1.4800296731993234E-3</v>
      </c>
      <c r="P30" s="2">
        <f t="shared" si="6"/>
        <v>0.20521422699265773</v>
      </c>
      <c r="Q30" s="2">
        <f t="shared" si="7"/>
        <v>7.4438551214098939E-2</v>
      </c>
      <c r="R30" s="2">
        <f t="shared" si="8"/>
        <v>0.71982264258660988</v>
      </c>
      <c r="S30" s="2">
        <f t="shared" si="9"/>
        <v>5.1026929617804676E-4</v>
      </c>
      <c r="T30" s="3">
        <f t="shared" si="10"/>
        <v>0.67629953061114667</v>
      </c>
      <c r="U30" s="4">
        <f t="shared" si="11"/>
        <v>0.24531806582430613</v>
      </c>
      <c r="V30" s="14"/>
      <c r="W30" s="2">
        <f t="shared" si="3"/>
        <v>0.92161759643545282</v>
      </c>
      <c r="X30" s="2">
        <f t="shared" si="4"/>
        <v>9.3720493705470656E-2</v>
      </c>
      <c r="Y30">
        <f>+SUM(K30:L30)</f>
        <v>82.147972816628538</v>
      </c>
    </row>
    <row r="31" spans="1:25" ht="15.6" x14ac:dyDescent="0.35">
      <c r="A31" s="1" t="s">
        <v>23</v>
      </c>
      <c r="B31" s="1">
        <v>60</v>
      </c>
      <c r="C31" s="13">
        <f>+'Flow rate'!E30</f>
        <v>75.099999999999994</v>
      </c>
      <c r="D31" s="1" t="s">
        <v>25</v>
      </c>
      <c r="E31" s="1" t="s">
        <v>26</v>
      </c>
      <c r="F31" s="1" t="s">
        <v>24</v>
      </c>
      <c r="G31" s="1">
        <v>-3</v>
      </c>
      <c r="H31" s="12">
        <v>45413.150694444441</v>
      </c>
      <c r="I31" s="15">
        <f t="shared" si="5"/>
        <v>15.999999999941792</v>
      </c>
      <c r="J31" s="22">
        <v>21.371326014350409</v>
      </c>
      <c r="K31" s="22">
        <v>7.5746157977332018</v>
      </c>
      <c r="L31" s="22">
        <v>74.197659476265684</v>
      </c>
      <c r="N31" s="22">
        <v>5.2552399667818238E-2</v>
      </c>
      <c r="O31" s="22">
        <v>1.4246497371440681E-3</v>
      </c>
      <c r="P31" s="2">
        <f t="shared" si="6"/>
        <v>0.2070913519346784</v>
      </c>
      <c r="Q31" s="2">
        <f t="shared" si="7"/>
        <v>7.3399162264664031E-2</v>
      </c>
      <c r="R31" s="2">
        <f t="shared" si="8"/>
        <v>0.71898644010254731</v>
      </c>
      <c r="S31" s="2">
        <f t="shared" si="9"/>
        <v>5.0924062864944413E-4</v>
      </c>
      <c r="T31" s="3">
        <f t="shared" si="10"/>
        <v>0.6861402847578647</v>
      </c>
      <c r="U31" s="4">
        <f t="shared" si="11"/>
        <v>0.24318795365801038</v>
      </c>
      <c r="V31" s="14"/>
      <c r="W31" s="2">
        <f t="shared" si="3"/>
        <v>0.92932823841587509</v>
      </c>
      <c r="X31" s="2">
        <f t="shared" si="4"/>
        <v>9.2630610709467459E-2</v>
      </c>
    </row>
    <row r="32" spans="1:25" ht="15.6" x14ac:dyDescent="0.35">
      <c r="A32" s="1" t="s">
        <v>23</v>
      </c>
      <c r="B32" s="1">
        <v>60</v>
      </c>
      <c r="C32" s="13">
        <f>+'Flow rate'!E31</f>
        <v>58</v>
      </c>
      <c r="D32" s="1" t="s">
        <v>25</v>
      </c>
      <c r="E32" s="1" t="s">
        <v>26</v>
      </c>
      <c r="F32" s="1" t="s">
        <v>24</v>
      </c>
      <c r="G32" s="1">
        <v>-3</v>
      </c>
      <c r="H32" s="12">
        <v>45413.168749999997</v>
      </c>
      <c r="I32" s="15">
        <f t="shared" si="5"/>
        <v>16.433333333290648</v>
      </c>
      <c r="J32" s="22">
        <v>2.9077593895824321</v>
      </c>
      <c r="K32" s="22">
        <v>4.2576203487426127</v>
      </c>
      <c r="L32" s="22">
        <v>95.26945497002167</v>
      </c>
      <c r="N32" s="22">
        <v>4.7549913325607637E-2</v>
      </c>
      <c r="O32" s="22">
        <v>1.4145763953144486E-3</v>
      </c>
      <c r="P32" s="2">
        <f t="shared" si="6"/>
        <v>2.8372868807904798E-2</v>
      </c>
      <c r="Q32" s="2">
        <f t="shared" si="7"/>
        <v>4.1544325854997101E-2</v>
      </c>
      <c r="R32" s="2">
        <f t="shared" si="8"/>
        <v>0.92960502748241203</v>
      </c>
      <c r="S32" s="2">
        <f t="shared" si="9"/>
        <v>4.6397492772208039E-4</v>
      </c>
      <c r="T32" s="3">
        <f t="shared" si="10"/>
        <v>7.2600942991303277E-2</v>
      </c>
      <c r="U32" s="4">
        <f t="shared" si="11"/>
        <v>0.10630427446132829</v>
      </c>
      <c r="V32" s="14"/>
      <c r="W32" s="2">
        <f t="shared" si="3"/>
        <v>0.17890521745263155</v>
      </c>
      <c r="X32" s="2">
        <f t="shared" si="4"/>
        <v>4.2778513636679776E-2</v>
      </c>
      <c r="Y32">
        <f>+SUM(K32:L32)</f>
        <v>99.527075318764275</v>
      </c>
    </row>
    <row r="33" spans="1:25" ht="15.6" x14ac:dyDescent="0.35">
      <c r="A33" s="1" t="s">
        <v>23</v>
      </c>
      <c r="B33" s="1">
        <v>60</v>
      </c>
      <c r="C33" s="13">
        <f>+'Flow rate'!E32</f>
        <v>59</v>
      </c>
      <c r="D33" s="1" t="s">
        <v>25</v>
      </c>
      <c r="E33" s="1" t="s">
        <v>26</v>
      </c>
      <c r="F33" s="1" t="s">
        <v>24</v>
      </c>
      <c r="G33" s="1">
        <v>-3</v>
      </c>
      <c r="H33" s="12">
        <v>45413.186111111114</v>
      </c>
      <c r="I33" s="15">
        <f t="shared" si="5"/>
        <v>16.850000000093132</v>
      </c>
      <c r="J33" s="22">
        <v>2.536799457074693</v>
      </c>
      <c r="K33" s="22">
        <v>4.0784107403069596</v>
      </c>
      <c r="L33" s="22">
        <v>95.714603094248375</v>
      </c>
      <c r="N33" s="22">
        <v>4.7968421341242531E-2</v>
      </c>
      <c r="O33" s="22">
        <v>1.4579294969256362E-3</v>
      </c>
      <c r="P33" s="2">
        <f t="shared" si="6"/>
        <v>2.4778455729245294E-2</v>
      </c>
      <c r="Q33" s="2">
        <f t="shared" si="7"/>
        <v>3.9836306213541985E-2</v>
      </c>
      <c r="R33" s="2">
        <f t="shared" si="8"/>
        <v>0.93490246097261265</v>
      </c>
      <c r="S33" s="2">
        <f t="shared" si="9"/>
        <v>4.6853660477221037E-4</v>
      </c>
      <c r="T33" s="3">
        <f t="shared" si="10"/>
        <v>6.4496666100200134E-2</v>
      </c>
      <c r="U33" s="4">
        <f t="shared" si="11"/>
        <v>0.10369124567709294</v>
      </c>
      <c r="V33" s="14"/>
      <c r="W33" s="2">
        <f t="shared" si="3"/>
        <v>0.16818791177729309</v>
      </c>
      <c r="X33" s="2">
        <f t="shared" si="4"/>
        <v>4.0868699957979704E-2</v>
      </c>
    </row>
    <row r="34" spans="1:25" ht="15.6" x14ac:dyDescent="0.35">
      <c r="A34" s="1" t="s">
        <v>23</v>
      </c>
      <c r="B34" s="1">
        <v>60</v>
      </c>
      <c r="C34" s="13">
        <f>+'Flow rate'!E33</f>
        <v>59.4</v>
      </c>
      <c r="D34" s="1" t="s">
        <v>25</v>
      </c>
      <c r="E34" s="1" t="s">
        <v>26</v>
      </c>
      <c r="F34" s="1" t="s">
        <v>24</v>
      </c>
      <c r="G34" s="1">
        <v>-3</v>
      </c>
      <c r="H34" s="12">
        <v>45413.209722222222</v>
      </c>
      <c r="I34" s="15">
        <f t="shared" si="5"/>
        <v>17.416666666686069</v>
      </c>
      <c r="J34" s="22">
        <v>2.4728035552441674</v>
      </c>
      <c r="K34" s="22">
        <v>3.9764233727916949</v>
      </c>
      <c r="L34" s="22">
        <v>95.94828749072424</v>
      </c>
      <c r="N34" s="22">
        <v>4.7933524466362468E-2</v>
      </c>
      <c r="O34" s="22">
        <v>1.5036057130060065E-3</v>
      </c>
      <c r="P34" s="2">
        <f t="shared" si="6"/>
        <v>2.4137404948188192E-2</v>
      </c>
      <c r="Q34" s="2">
        <f t="shared" si="7"/>
        <v>3.8814462633298907E-2</v>
      </c>
      <c r="R34" s="2">
        <f t="shared" si="8"/>
        <v>0.93656556920475298</v>
      </c>
      <c r="S34" s="2">
        <f t="shared" si="9"/>
        <v>4.6788629375139933E-4</v>
      </c>
      <c r="T34" s="3">
        <f t="shared" si="10"/>
        <v>6.325400661897608E-2</v>
      </c>
      <c r="U34" s="4">
        <f t="shared" si="11"/>
        <v>0.10171641407138839</v>
      </c>
      <c r="V34" s="14"/>
      <c r="W34" s="2">
        <f t="shared" si="3"/>
        <v>0.16497042069036447</v>
      </c>
      <c r="X34" s="2">
        <f t="shared" si="4"/>
        <v>3.9794194433276552E-2</v>
      </c>
      <c r="Y34">
        <f>+SUM(K34:L34)</f>
        <v>99.924710863515941</v>
      </c>
    </row>
    <row r="35" spans="1:25" ht="15.6" x14ac:dyDescent="0.35">
      <c r="A35" s="1" t="s">
        <v>23</v>
      </c>
      <c r="B35" s="1">
        <v>60</v>
      </c>
      <c r="C35" s="13">
        <f>+'Flow rate'!E34</f>
        <v>59.9</v>
      </c>
      <c r="D35" s="1" t="s">
        <v>25</v>
      </c>
      <c r="E35" s="1" t="s">
        <v>26</v>
      </c>
      <c r="F35" s="1" t="s">
        <v>24</v>
      </c>
      <c r="G35" s="1">
        <v>-3</v>
      </c>
      <c r="H35" s="12">
        <v>45413.227777777778</v>
      </c>
      <c r="I35" s="15">
        <f t="shared" si="5"/>
        <v>17.850000000034925</v>
      </c>
      <c r="J35" s="22">
        <v>2.4564958923110338</v>
      </c>
      <c r="K35" s="22">
        <v>3.897073270667152</v>
      </c>
      <c r="L35" s="22">
        <v>96.072863848313006</v>
      </c>
      <c r="N35" s="22">
        <v>4.6996245314344431E-2</v>
      </c>
      <c r="O35" s="22">
        <v>0.1220138457220421</v>
      </c>
      <c r="P35" s="2">
        <f t="shared" si="6"/>
        <v>2.3943518523146797E-2</v>
      </c>
      <c r="Q35" s="2">
        <f t="shared" si="7"/>
        <v>3.7984857346736671E-2</v>
      </c>
      <c r="R35" s="2">
        <f t="shared" si="8"/>
        <v>0.93642427912213388</v>
      </c>
      <c r="S35" s="2">
        <f t="shared" si="9"/>
        <v>4.5807341820699473E-4</v>
      </c>
      <c r="T35" s="3">
        <f t="shared" si="10"/>
        <v>6.3274075923126907E-2</v>
      </c>
      <c r="U35" s="4">
        <f t="shared" si="11"/>
        <v>0.10038026555550217</v>
      </c>
      <c r="V35" s="14"/>
      <c r="W35" s="2">
        <f t="shared" si="3"/>
        <v>0.16365434147862906</v>
      </c>
      <c r="X35" s="2">
        <f t="shared" si="4"/>
        <v>3.8982451954821314E-2</v>
      </c>
    </row>
    <row r="36" spans="1:25" ht="15.6" x14ac:dyDescent="0.35">
      <c r="A36" s="1" t="s">
        <v>23</v>
      </c>
      <c r="B36" s="1">
        <v>60</v>
      </c>
      <c r="C36" s="13">
        <f>+'Flow rate'!E35</f>
        <v>59.8</v>
      </c>
      <c r="D36" s="1" t="s">
        <v>25</v>
      </c>
      <c r="E36" s="1" t="s">
        <v>26</v>
      </c>
      <c r="F36" s="1" t="s">
        <v>24</v>
      </c>
      <c r="G36" s="1">
        <v>-3</v>
      </c>
      <c r="H36" s="12">
        <v>45413.245138888888</v>
      </c>
      <c r="I36" s="15">
        <f t="shared" si="5"/>
        <v>18.266666666662786</v>
      </c>
      <c r="J36" s="22">
        <v>2.4716374828835384</v>
      </c>
      <c r="K36" s="22">
        <v>3.8369865233307547</v>
      </c>
      <c r="L36" s="22">
        <v>96.13121069178689</v>
      </c>
      <c r="N36" s="22">
        <v>4.873448845568093E-2</v>
      </c>
      <c r="O36" s="22">
        <v>1.3146203380096644E-3</v>
      </c>
      <c r="P36" s="2">
        <f t="shared" si="6"/>
        <v>2.4115916528336175E-2</v>
      </c>
      <c r="Q36" s="2">
        <f t="shared" si="7"/>
        <v>3.7437709760349741E-2</v>
      </c>
      <c r="R36" s="2">
        <f t="shared" si="8"/>
        <v>0.93795804152734918</v>
      </c>
      <c r="S36" s="2">
        <f t="shared" si="9"/>
        <v>4.7550535375326413E-4</v>
      </c>
      <c r="T36" s="3">
        <f t="shared" si="10"/>
        <v>6.3623268190646384E-2</v>
      </c>
      <c r="U36" s="4">
        <f t="shared" si="11"/>
        <v>9.87691861400984E-2</v>
      </c>
      <c r="V36" s="14"/>
      <c r="W36" s="2">
        <f t="shared" si="3"/>
        <v>0.16239245433074478</v>
      </c>
      <c r="X36" s="2">
        <f t="shared" si="4"/>
        <v>3.8382071801035825E-2</v>
      </c>
      <c r="Y36">
        <f>+SUM(K36:L36)</f>
        <v>99.968197215117641</v>
      </c>
    </row>
    <row r="37" spans="1:25" ht="15.6" x14ac:dyDescent="0.35">
      <c r="A37" s="1" t="s">
        <v>23</v>
      </c>
      <c r="B37" s="1">
        <v>60</v>
      </c>
      <c r="C37" s="13">
        <f>+'Flow rate'!E36</f>
        <v>61</v>
      </c>
      <c r="D37" s="1" t="s">
        <v>25</v>
      </c>
      <c r="E37" s="1" t="s">
        <v>26</v>
      </c>
      <c r="F37" s="1" t="s">
        <v>24</v>
      </c>
      <c r="G37" s="1">
        <v>-3</v>
      </c>
      <c r="H37" s="12">
        <v>45413.263194444444</v>
      </c>
      <c r="I37" s="15">
        <f t="shared" si="5"/>
        <v>18.700000000011642</v>
      </c>
      <c r="J37" s="22">
        <v>2.4877875489322223</v>
      </c>
      <c r="K37" s="22">
        <v>3.8092007831328418</v>
      </c>
      <c r="L37" s="22">
        <v>96.479400323139018</v>
      </c>
      <c r="N37" s="22">
        <v>4.8555646950852377E-2</v>
      </c>
      <c r="O37" s="22">
        <v>1.4727860099227885E-3</v>
      </c>
      <c r="P37" s="2">
        <f t="shared" si="6"/>
        <v>2.4194050705852729E-2</v>
      </c>
      <c r="Q37" s="2">
        <f t="shared" si="7"/>
        <v>3.7044962675951039E-2</v>
      </c>
      <c r="R37" s="2">
        <f t="shared" si="8"/>
        <v>0.93827445373707974</v>
      </c>
      <c r="S37" s="2">
        <f t="shared" si="9"/>
        <v>4.7220984962667768E-4</v>
      </c>
      <c r="T37" s="3">
        <f t="shared" si="10"/>
        <v>6.5110261510565259E-2</v>
      </c>
      <c r="U37" s="4">
        <f t="shared" si="11"/>
        <v>9.9694228006921473E-2</v>
      </c>
      <c r="V37" s="14"/>
      <c r="W37" s="2">
        <f t="shared" si="3"/>
        <v>0.16480448951748672</v>
      </c>
      <c r="X37" s="2">
        <f t="shared" si="4"/>
        <v>3.7982390232927696E-2</v>
      </c>
    </row>
    <row r="38" spans="1:25" ht="15.6" x14ac:dyDescent="0.35">
      <c r="A38" s="1" t="s">
        <v>23</v>
      </c>
      <c r="B38" s="1">
        <v>60</v>
      </c>
      <c r="C38" s="13">
        <f>+'Flow rate'!E37</f>
        <v>60.5</v>
      </c>
      <c r="D38" s="1" t="s">
        <v>25</v>
      </c>
      <c r="E38" s="1" t="s">
        <v>26</v>
      </c>
      <c r="F38" s="1" t="s">
        <v>24</v>
      </c>
      <c r="G38" s="1">
        <v>-3</v>
      </c>
      <c r="H38" s="12">
        <v>45413.280555555553</v>
      </c>
      <c r="I38" s="15">
        <f t="shared" si="5"/>
        <v>19.116666666639503</v>
      </c>
      <c r="J38" s="22">
        <v>2.5053422514326833</v>
      </c>
      <c r="K38" s="22">
        <v>3.7807613004165765</v>
      </c>
      <c r="L38" s="22">
        <v>96.434046885742589</v>
      </c>
      <c r="N38" s="22">
        <v>4.7018862298780426E-2</v>
      </c>
      <c r="O38" s="22">
        <v>1.4107024110397437E-3</v>
      </c>
      <c r="P38" s="2">
        <f t="shared" si="6"/>
        <v>2.4378484663080603E-2</v>
      </c>
      <c r="Q38" s="2">
        <f t="shared" si="7"/>
        <v>3.6789077949037539E-2</v>
      </c>
      <c r="R38" s="2">
        <f t="shared" si="8"/>
        <v>0.93836118863939533</v>
      </c>
      <c r="S38" s="2">
        <f t="shared" si="9"/>
        <v>4.5752176684476283E-4</v>
      </c>
      <c r="T38" s="3">
        <f t="shared" si="10"/>
        <v>6.506884527178719E-2</v>
      </c>
      <c r="U38" s="4">
        <f t="shared" si="11"/>
        <v>9.8194077845326758E-2</v>
      </c>
      <c r="V38" s="14"/>
      <c r="W38" s="2">
        <f t="shared" si="3"/>
        <v>0.16326292311711393</v>
      </c>
      <c r="X38" s="2">
        <f t="shared" si="4"/>
        <v>3.772657323649644E-2</v>
      </c>
      <c r="Y38">
        <f>+SUM(K38:L38)</f>
        <v>100.21480818615916</v>
      </c>
    </row>
    <row r="39" spans="1:25" ht="15.6" x14ac:dyDescent="0.35">
      <c r="A39" s="1" t="s">
        <v>23</v>
      </c>
      <c r="B39" s="1">
        <v>60</v>
      </c>
      <c r="C39" s="13">
        <f>+'Flow rate'!E38</f>
        <v>61</v>
      </c>
      <c r="D39" s="1" t="s">
        <v>25</v>
      </c>
      <c r="E39" s="1" t="s">
        <v>26</v>
      </c>
      <c r="F39" s="1" t="s">
        <v>24</v>
      </c>
      <c r="G39" s="1">
        <v>-3</v>
      </c>
      <c r="H39" s="12">
        <v>45413.298611111109</v>
      </c>
      <c r="I39" s="15">
        <f t="shared" si="5"/>
        <v>19.549999999988358</v>
      </c>
      <c r="J39" s="22">
        <v>2.5451087166612472</v>
      </c>
      <c r="K39" s="22">
        <v>3.721186909472034</v>
      </c>
      <c r="L39" s="22">
        <v>96.538018564794911</v>
      </c>
      <c r="N39" s="22">
        <v>4.7209271899416642E-2</v>
      </c>
      <c r="O39" s="22">
        <v>1.2405406941037866E-3</v>
      </c>
      <c r="P39" s="2">
        <f t="shared" si="6"/>
        <v>2.4745165978953192E-2</v>
      </c>
      <c r="Q39" s="2">
        <f t="shared" si="7"/>
        <v>3.6179746315272765E-2</v>
      </c>
      <c r="R39" s="2">
        <f t="shared" si="8"/>
        <v>0.9386040278070642</v>
      </c>
      <c r="S39" s="2">
        <f t="shared" si="9"/>
        <v>4.5899857292897039E-4</v>
      </c>
      <c r="T39" s="3">
        <f t="shared" si="10"/>
        <v>6.6593405445010176E-2</v>
      </c>
      <c r="U39" s="4">
        <f t="shared" si="11"/>
        <v>9.7365785192946808E-2</v>
      </c>
      <c r="V39" s="14"/>
      <c r="W39" s="2">
        <f t="shared" si="3"/>
        <v>0.163959190637957</v>
      </c>
      <c r="X39" s="2">
        <f t="shared" si="4"/>
        <v>3.7115663263730267E-2</v>
      </c>
    </row>
    <row r="40" spans="1:25" ht="15.6" x14ac:dyDescent="0.35">
      <c r="A40" s="1" t="s">
        <v>23</v>
      </c>
      <c r="B40" s="1">
        <v>60</v>
      </c>
      <c r="C40" s="13">
        <f>+'Flow rate'!E39</f>
        <v>60.5</v>
      </c>
      <c r="D40" s="1" t="s">
        <v>25</v>
      </c>
      <c r="E40" s="1" t="s">
        <v>26</v>
      </c>
      <c r="F40" s="1" t="s">
        <v>24</v>
      </c>
      <c r="G40" s="1">
        <v>-3</v>
      </c>
      <c r="H40" s="12">
        <v>45413.315972222219</v>
      </c>
      <c r="I40" s="15">
        <f t="shared" si="5"/>
        <v>19.96666666661622</v>
      </c>
      <c r="J40" s="22">
        <v>2.578507689420841</v>
      </c>
      <c r="K40" s="22">
        <v>3.6807360020404567</v>
      </c>
      <c r="L40" s="22">
        <v>96.512850814901</v>
      </c>
      <c r="N40" s="22">
        <v>4.8061856042946702E-2</v>
      </c>
      <c r="O40" s="22">
        <v>1.292287127205527E-3</v>
      </c>
      <c r="P40" s="2">
        <f t="shared" si="6"/>
        <v>2.5077527337799926E-2</v>
      </c>
      <c r="Q40" s="2">
        <f t="shared" si="7"/>
        <v>3.5797356002892633E-2</v>
      </c>
      <c r="R40" s="2">
        <f t="shared" si="8"/>
        <v>0.93864511813936469</v>
      </c>
      <c r="S40" s="2">
        <f t="shared" si="9"/>
        <v>4.6743025578997472E-4</v>
      </c>
      <c r="T40" s="3">
        <f t="shared" si="10"/>
        <v>6.693466672329737E-2</v>
      </c>
      <c r="U40" s="4">
        <f t="shared" si="11"/>
        <v>9.5547063366856574E-2</v>
      </c>
      <c r="V40" s="14"/>
      <c r="W40" s="2">
        <f t="shared" si="3"/>
        <v>0.16248173009015393</v>
      </c>
      <c r="X40" s="2">
        <f t="shared" si="4"/>
        <v>3.6736243495956881E-2</v>
      </c>
      <c r="Y40">
        <f>+SUM(K40:L40)</f>
        <v>100.19358681694146</v>
      </c>
    </row>
    <row r="41" spans="1:25" ht="15.6" x14ac:dyDescent="0.35">
      <c r="A41" s="1" t="s">
        <v>23</v>
      </c>
      <c r="B41" s="1">
        <v>60</v>
      </c>
      <c r="C41" s="13">
        <f>+'Flow rate'!E40</f>
        <v>61.1</v>
      </c>
      <c r="D41" s="1" t="s">
        <v>25</v>
      </c>
      <c r="E41" s="1" t="s">
        <v>26</v>
      </c>
      <c r="F41" s="1" t="s">
        <v>24</v>
      </c>
      <c r="G41" s="1">
        <v>-3</v>
      </c>
      <c r="H41" s="12">
        <v>45413.334027777775</v>
      </c>
      <c r="I41" s="15">
        <f t="shared" si="5"/>
        <v>20.399999999965075</v>
      </c>
      <c r="J41" s="22">
        <v>2.5890254741541572</v>
      </c>
      <c r="K41" s="22">
        <v>3.6584562415696915</v>
      </c>
      <c r="L41" s="22">
        <v>96.349881120425636</v>
      </c>
      <c r="N41" s="22">
        <v>4.7706822443224356E-2</v>
      </c>
      <c r="O41" s="22">
        <v>1.251027971717722E-3</v>
      </c>
      <c r="P41" s="2">
        <f t="shared" si="6"/>
        <v>2.5222779119963526E-2</v>
      </c>
      <c r="Q41" s="2">
        <f t="shared" si="7"/>
        <v>3.5641377275869121E-2</v>
      </c>
      <c r="R41" s="2">
        <f t="shared" si="8"/>
        <v>0.93865888690384458</v>
      </c>
      <c r="S41" s="2">
        <f t="shared" si="9"/>
        <v>4.6476894762647637E-4</v>
      </c>
      <c r="T41" s="3">
        <f t="shared" si="10"/>
        <v>6.7990019401513266E-2</v>
      </c>
      <c r="U41" s="4">
        <f t="shared" si="11"/>
        <v>9.6074184409164334E-2</v>
      </c>
      <c r="V41" s="14"/>
      <c r="W41" s="2">
        <f t="shared" si="3"/>
        <v>0.1640642038106776</v>
      </c>
      <c r="X41" s="2">
        <f t="shared" si="4"/>
        <v>3.6581512482577877E-2</v>
      </c>
    </row>
    <row r="42" spans="1:25" ht="15.6" x14ac:dyDescent="0.35">
      <c r="A42" s="1" t="s">
        <v>23</v>
      </c>
      <c r="B42" s="1">
        <v>60</v>
      </c>
      <c r="C42" s="13">
        <f>+'Flow rate'!E41</f>
        <v>61.3</v>
      </c>
      <c r="D42" s="1" t="s">
        <v>25</v>
      </c>
      <c r="E42" s="1" t="s">
        <v>26</v>
      </c>
      <c r="F42" s="1" t="s">
        <v>24</v>
      </c>
      <c r="G42" s="1">
        <v>-3</v>
      </c>
      <c r="H42" s="12">
        <v>45413.345833333333</v>
      </c>
      <c r="I42" s="15">
        <f t="shared" si="5"/>
        <v>20.683333333348855</v>
      </c>
      <c r="J42" s="22">
        <v>2.5965026511076745</v>
      </c>
      <c r="K42" s="22">
        <v>3.6455668763354101</v>
      </c>
      <c r="L42" s="22">
        <v>96.344476117720859</v>
      </c>
      <c r="N42" s="22">
        <v>4.7860559549381378E-2</v>
      </c>
      <c r="O42" s="22">
        <v>1.3126057936312385E-3</v>
      </c>
      <c r="P42" s="2">
        <f t="shared" si="6"/>
        <v>2.5298236142346452E-2</v>
      </c>
      <c r="Q42" s="2">
        <f t="shared" si="7"/>
        <v>3.5519475272211068E-2</v>
      </c>
      <c r="R42" s="2">
        <f t="shared" si="8"/>
        <v>0.93870318476161885</v>
      </c>
      <c r="S42" s="2">
        <f t="shared" si="9"/>
        <v>4.6631484734612524E-4</v>
      </c>
      <c r="T42" s="3">
        <f t="shared" si="10"/>
        <v>6.841663889351185E-2</v>
      </c>
      <c r="U42" s="4">
        <f t="shared" si="11"/>
        <v>9.6058993983305044E-2</v>
      </c>
      <c r="V42" s="14"/>
      <c r="W42" s="2">
        <f t="shared" si="3"/>
        <v>0.16447563287681688</v>
      </c>
      <c r="X42" s="2">
        <f t="shared" si="4"/>
        <v>3.6459299017924357E-2</v>
      </c>
      <c r="Y42">
        <f>+SUM(K42:L42)</f>
        <v>99.990042994056267</v>
      </c>
    </row>
    <row r="43" spans="1:25" ht="15.6" x14ac:dyDescent="0.35">
      <c r="A43" s="1" t="s">
        <v>23</v>
      </c>
      <c r="B43" s="1">
        <v>60</v>
      </c>
      <c r="C43" s="13">
        <f>+'Flow rate'!E42</f>
        <v>61.3</v>
      </c>
      <c r="D43" s="1" t="s">
        <v>25</v>
      </c>
      <c r="E43" s="1" t="s">
        <v>26</v>
      </c>
      <c r="F43" s="1" t="s">
        <v>24</v>
      </c>
      <c r="G43" s="1">
        <v>-3</v>
      </c>
      <c r="H43" s="12">
        <v>45413.363194444442</v>
      </c>
      <c r="I43" s="15">
        <f t="shared" si="5"/>
        <v>21.099999999976717</v>
      </c>
      <c r="J43" s="22">
        <v>2.6241731939939554</v>
      </c>
      <c r="K43" s="22">
        <v>3.6125198890626939</v>
      </c>
      <c r="L43" s="22">
        <v>96.485486898062518</v>
      </c>
      <c r="N43" s="22">
        <v>4.9222890423075025E-2</v>
      </c>
      <c r="O43" s="22">
        <v>1.479154551266626E-3</v>
      </c>
      <c r="P43" s="2">
        <f t="shared" si="6"/>
        <v>2.5533712223110482E-2</v>
      </c>
      <c r="Q43" s="2">
        <f t="shared" si="7"/>
        <v>3.5150516535534089E-2</v>
      </c>
      <c r="R43" s="2">
        <f t="shared" si="8"/>
        <v>0.93882243054705172</v>
      </c>
      <c r="S43" s="2">
        <f t="shared" si="9"/>
        <v>4.789482347160176E-4</v>
      </c>
      <c r="T43" s="3">
        <f t="shared" si="10"/>
        <v>6.9053461235395394E-2</v>
      </c>
      <c r="U43" s="4">
        <f t="shared" si="11"/>
        <v>9.506118067680415E-2</v>
      </c>
      <c r="V43" s="14"/>
      <c r="W43" s="2">
        <f t="shared" si="3"/>
        <v>0.16411464191219954</v>
      </c>
      <c r="X43" s="2">
        <f t="shared" si="4"/>
        <v>3.6089828409323961E-2</v>
      </c>
    </row>
    <row r="44" spans="1:25" ht="15.6" x14ac:dyDescent="0.35">
      <c r="A44" s="1" t="s">
        <v>23</v>
      </c>
      <c r="B44" s="1">
        <v>60</v>
      </c>
      <c r="C44" s="13">
        <f>+'Flow rate'!E43</f>
        <v>60.9</v>
      </c>
      <c r="D44" s="1" t="s">
        <v>25</v>
      </c>
      <c r="E44" s="1" t="s">
        <v>26</v>
      </c>
      <c r="F44" s="1" t="s">
        <v>24</v>
      </c>
      <c r="G44" s="1">
        <v>-3</v>
      </c>
      <c r="H44" s="12">
        <v>45413.375</v>
      </c>
      <c r="I44" s="15">
        <f t="shared" si="5"/>
        <v>21.383333333360497</v>
      </c>
      <c r="J44" s="22">
        <v>2.630041147714508</v>
      </c>
      <c r="K44" s="22">
        <v>3.5986347615373382</v>
      </c>
      <c r="L44" s="22">
        <v>96.497261813556349</v>
      </c>
      <c r="N44" s="22">
        <v>4.697973653382348E-2</v>
      </c>
      <c r="O44" s="22">
        <v>1.4028889185137006E-3</v>
      </c>
      <c r="P44" s="2">
        <f t="shared" si="6"/>
        <v>2.5590450404365254E-2</v>
      </c>
      <c r="Q44" s="2">
        <f t="shared" si="7"/>
        <v>3.5014921522643232E-2</v>
      </c>
      <c r="R44" s="2">
        <f t="shared" si="8"/>
        <v>0.93892386236723546</v>
      </c>
      <c r="S44" s="2">
        <f t="shared" si="9"/>
        <v>4.5711551654759849E-4</v>
      </c>
      <c r="T44" s="3">
        <f t="shared" si="10"/>
        <v>6.8755309365546205E-2</v>
      </c>
      <c r="U44" s="4">
        <f t="shared" si="11"/>
        <v>9.4076568550313197E-2</v>
      </c>
      <c r="V44" s="14"/>
      <c r="W44" s="2">
        <f t="shared" si="3"/>
        <v>0.1628318779158594</v>
      </c>
      <c r="X44" s="2">
        <f t="shared" si="4"/>
        <v>3.5951871002399979E-2</v>
      </c>
      <c r="Y44">
        <f>+SUM(K44:L44)</f>
        <v>100.09589657509369</v>
      </c>
    </row>
    <row r="45" spans="1:25" ht="15.6" x14ac:dyDescent="0.35">
      <c r="A45" s="1" t="s">
        <v>23</v>
      </c>
      <c r="B45" s="1">
        <v>60</v>
      </c>
      <c r="C45" s="13">
        <f>+'Flow rate'!E44</f>
        <v>61.2</v>
      </c>
      <c r="D45" s="1" t="s">
        <v>25</v>
      </c>
      <c r="E45" s="1" t="s">
        <v>26</v>
      </c>
      <c r="F45" s="1" t="s">
        <v>24</v>
      </c>
      <c r="G45" s="1">
        <v>-3</v>
      </c>
      <c r="H45" s="12">
        <v>45413.386805555558</v>
      </c>
      <c r="I45" s="15">
        <f t="shared" si="5"/>
        <v>21.666666666744277</v>
      </c>
      <c r="J45" s="22">
        <v>2.6523324318063288</v>
      </c>
      <c r="K45" s="22">
        <v>3.5502995577503569</v>
      </c>
      <c r="L45" s="22">
        <v>96.448489677507794</v>
      </c>
      <c r="N45" s="22">
        <v>4.7531708789163171E-2</v>
      </c>
      <c r="O45" s="22">
        <v>1.4080626318713763E-3</v>
      </c>
      <c r="P45" s="2">
        <f t="shared" si="6"/>
        <v>2.5826006281359459E-2</v>
      </c>
      <c r="Q45" s="2">
        <f t="shared" si="7"/>
        <v>3.4569595266278279E-2</v>
      </c>
      <c r="R45" s="2">
        <f t="shared" si="8"/>
        <v>0.93912786737014531</v>
      </c>
      <c r="S45" s="2">
        <f t="shared" si="9"/>
        <v>4.6282064609701667E-4</v>
      </c>
      <c r="T45" s="3">
        <f t="shared" si="10"/>
        <v>6.9730004399948045E-2</v>
      </c>
      <c r="U45" s="4">
        <f t="shared" si="11"/>
        <v>9.3337622695533529E-2</v>
      </c>
      <c r="V45" s="14"/>
      <c r="W45" s="2">
        <f t="shared" si="3"/>
        <v>0.16306762709548156</v>
      </c>
      <c r="X45" s="2">
        <f t="shared" si="4"/>
        <v>3.5503425440460951E-2</v>
      </c>
    </row>
    <row r="46" spans="1:25" ht="15.6" x14ac:dyDescent="0.35">
      <c r="A46" s="1" t="s">
        <v>23</v>
      </c>
      <c r="B46" s="1">
        <v>60</v>
      </c>
      <c r="C46" s="13">
        <f>+'Flow rate'!E45</f>
        <v>61.6</v>
      </c>
      <c r="D46" s="1" t="s">
        <v>25</v>
      </c>
      <c r="E46" s="1" t="s">
        <v>26</v>
      </c>
      <c r="F46" s="1" t="s">
        <v>24</v>
      </c>
      <c r="G46" s="1">
        <v>-3</v>
      </c>
      <c r="H46" s="12">
        <v>45413.398611111108</v>
      </c>
      <c r="I46" s="15">
        <f t="shared" si="5"/>
        <v>21.949999999953434</v>
      </c>
      <c r="J46" s="22">
        <v>2.6476912758514231</v>
      </c>
      <c r="K46" s="22">
        <v>3.5604869331167199</v>
      </c>
      <c r="L46" s="22">
        <v>96.396811789962115</v>
      </c>
      <c r="N46" s="22">
        <v>4.6535740247164309E-2</v>
      </c>
      <c r="O46" s="22">
        <v>1.3930401479937404E-3</v>
      </c>
      <c r="P46" s="2">
        <f t="shared" si="6"/>
        <v>2.5792654581436762E-2</v>
      </c>
      <c r="Q46" s="2">
        <f t="shared" si="7"/>
        <v>3.4684712090561738E-2</v>
      </c>
      <c r="R46" s="2">
        <f t="shared" si="8"/>
        <v>0.93905573203610371</v>
      </c>
      <c r="S46" s="2">
        <f t="shared" si="9"/>
        <v>4.533309018441348E-4</v>
      </c>
      <c r="T46" s="3">
        <f t="shared" si="10"/>
        <v>7.0095118189784839E-2</v>
      </c>
      <c r="U46" s="4">
        <f t="shared" si="11"/>
        <v>9.4260518462351853E-2</v>
      </c>
      <c r="V46" s="14"/>
      <c r="W46" s="2">
        <f t="shared" si="3"/>
        <v>0.16435563665213671</v>
      </c>
      <c r="X46" s="2">
        <f t="shared" si="4"/>
        <v>3.5620079559979645E-2</v>
      </c>
      <c r="Y46">
        <f>+SUM(K46:L46)</f>
        <v>99.957298723078836</v>
      </c>
    </row>
    <row r="47" spans="1:25" ht="15.6" x14ac:dyDescent="0.35">
      <c r="A47" s="1" t="s">
        <v>23</v>
      </c>
      <c r="B47" s="1">
        <v>60</v>
      </c>
      <c r="C47" s="13">
        <f>+'Flow rate'!E46</f>
        <v>61.2</v>
      </c>
      <c r="D47" s="1" t="s">
        <v>25</v>
      </c>
      <c r="E47" s="1" t="s">
        <v>26</v>
      </c>
      <c r="F47" s="1" t="s">
        <v>24</v>
      </c>
      <c r="G47" s="1">
        <v>-3</v>
      </c>
      <c r="H47" s="12">
        <v>45413.410416666666</v>
      </c>
      <c r="I47" s="15">
        <f t="shared" si="5"/>
        <v>22.233333333337214</v>
      </c>
      <c r="J47" s="22">
        <v>2.6542279319486597</v>
      </c>
      <c r="K47" s="22">
        <v>3.5610984281139366</v>
      </c>
      <c r="L47" s="22">
        <v>96.269190905021858</v>
      </c>
      <c r="N47" s="22">
        <v>4.6464569148671406E-2</v>
      </c>
      <c r="O47" s="22">
        <v>1.3147770242802337E-3</v>
      </c>
      <c r="P47" s="2">
        <f t="shared" si="6"/>
        <v>2.5886750025818132E-2</v>
      </c>
      <c r="Q47" s="2">
        <f t="shared" si="7"/>
        <v>3.4731480185365815E-2</v>
      </c>
      <c r="R47" s="2">
        <f t="shared" si="8"/>
        <v>0.93891577665541248</v>
      </c>
      <c r="S47" s="2">
        <f t="shared" si="9"/>
        <v>4.5317008088522509E-4</v>
      </c>
      <c r="T47" s="3">
        <f t="shared" si="10"/>
        <v>6.9894012010037962E-2</v>
      </c>
      <c r="U47" s="4">
        <f t="shared" si="11"/>
        <v>9.3774710644683693E-2</v>
      </c>
      <c r="V47" s="14"/>
      <c r="W47" s="2">
        <f t="shared" si="3"/>
        <v>0.16366872265472165</v>
      </c>
      <c r="X47" s="2">
        <f t="shared" si="4"/>
        <v>3.5671522660126485E-2</v>
      </c>
    </row>
    <row r="48" spans="1:25" ht="15.6" x14ac:dyDescent="0.35">
      <c r="A48" s="1" t="s">
        <v>23</v>
      </c>
      <c r="B48" s="1">
        <v>60</v>
      </c>
      <c r="C48" s="13">
        <f>+'Flow rate'!E47</f>
        <v>61.4</v>
      </c>
      <c r="D48" s="1" t="s">
        <v>25</v>
      </c>
      <c r="E48" s="1" t="s">
        <v>26</v>
      </c>
      <c r="F48" s="1" t="s">
        <v>24</v>
      </c>
      <c r="G48" s="1">
        <v>-3</v>
      </c>
      <c r="H48" s="12">
        <v>45413.422222222223</v>
      </c>
      <c r="I48" s="15">
        <f t="shared" si="5"/>
        <v>22.516666666720994</v>
      </c>
      <c r="J48" s="22">
        <v>2.6714912970893305</v>
      </c>
      <c r="K48" s="22">
        <v>3.5485897955203534</v>
      </c>
      <c r="L48" s="22">
        <v>96.354928300012105</v>
      </c>
      <c r="N48" s="22">
        <v>4.6423729704986899E-2</v>
      </c>
      <c r="O48" s="22">
        <v>1.5228198857391573E-3</v>
      </c>
      <c r="P48" s="2">
        <f t="shared" si="6"/>
        <v>2.6032102394260213E-2</v>
      </c>
      <c r="Q48" s="2">
        <f t="shared" si="7"/>
        <v>3.4578908421996554E-2</v>
      </c>
      <c r="R48" s="2">
        <f t="shared" si="8"/>
        <v>0.93892177842031788</v>
      </c>
      <c r="S48" s="2">
        <f t="shared" si="9"/>
        <v>4.5237178444877701E-4</v>
      </c>
      <c r="T48" s="3">
        <f t="shared" si="10"/>
        <v>7.0516156529458654E-2</v>
      </c>
      <c r="U48" s="4">
        <f t="shared" si="11"/>
        <v>9.3667875224743999E-2</v>
      </c>
      <c r="V48" s="14"/>
      <c r="W48" s="2">
        <f t="shared" si="3"/>
        <v>0.16418403175420265</v>
      </c>
      <c r="X48" s="2">
        <f t="shared" si="4"/>
        <v>3.5520168490232991E-2</v>
      </c>
      <c r="Y48">
        <f>+SUM(K48:L48)</f>
        <v>99.903518095532462</v>
      </c>
    </row>
    <row r="49" spans="1:25" ht="15.6" x14ac:dyDescent="0.35">
      <c r="A49" s="1" t="s">
        <v>23</v>
      </c>
      <c r="B49" s="1">
        <v>60</v>
      </c>
      <c r="C49" s="13">
        <f>+'Flow rate'!E48</f>
        <v>61.6</v>
      </c>
      <c r="D49" s="1" t="s">
        <v>25</v>
      </c>
      <c r="E49" s="1" t="s">
        <v>26</v>
      </c>
      <c r="F49" s="1" t="s">
        <v>24</v>
      </c>
      <c r="G49" s="1">
        <v>-3</v>
      </c>
      <c r="H49" s="12">
        <v>45413.434027777781</v>
      </c>
      <c r="I49" s="15">
        <f t="shared" si="5"/>
        <v>22.800000000104774</v>
      </c>
      <c r="J49" s="22">
        <v>2.6554518380283563</v>
      </c>
      <c r="K49" s="22">
        <v>3.564413596147233</v>
      </c>
      <c r="L49" s="22">
        <v>96.402328382782713</v>
      </c>
      <c r="N49" s="22">
        <v>4.6684562046527003E-2</v>
      </c>
      <c r="O49" s="22">
        <v>1.2695397524810081E-3</v>
      </c>
      <c r="P49" s="2">
        <f t="shared" si="6"/>
        <v>2.5863913628814583E-2</v>
      </c>
      <c r="Q49" s="2">
        <f t="shared" si="7"/>
        <v>3.4717137049103571E-2</v>
      </c>
      <c r="R49" s="2">
        <f t="shared" si="8"/>
        <v>0.93895187975248351</v>
      </c>
      <c r="S49" s="2">
        <f t="shared" si="9"/>
        <v>4.54704341942396E-4</v>
      </c>
      <c r="T49" s="3">
        <f t="shared" si="10"/>
        <v>7.0288774539978213E-2</v>
      </c>
      <c r="U49" s="4">
        <f t="shared" si="11"/>
        <v>9.4348637786949199E-2</v>
      </c>
      <c r="V49" s="14"/>
      <c r="W49" s="2">
        <f t="shared" si="3"/>
        <v>0.16463741232692741</v>
      </c>
      <c r="X49" s="2">
        <f t="shared" si="4"/>
        <v>3.5655994439615792E-2</v>
      </c>
    </row>
    <row r="50" spans="1:25" ht="15.6" x14ac:dyDescent="0.35">
      <c r="A50" s="1" t="s">
        <v>23</v>
      </c>
      <c r="B50" s="1">
        <v>60</v>
      </c>
      <c r="C50" s="13">
        <f>+'Flow rate'!E49</f>
        <v>61.8</v>
      </c>
      <c r="D50" s="1" t="s">
        <v>25</v>
      </c>
      <c r="E50" s="1" t="s">
        <v>26</v>
      </c>
      <c r="F50" s="1" t="s">
        <v>24</v>
      </c>
      <c r="G50" s="1">
        <v>-3</v>
      </c>
      <c r="H50" s="12">
        <v>45413.445833333331</v>
      </c>
      <c r="I50" s="15">
        <f t="shared" si="5"/>
        <v>23.083333333313931</v>
      </c>
      <c r="J50" s="22">
        <v>2.6656515373068199</v>
      </c>
      <c r="K50" s="22">
        <v>3.5388085686341171</v>
      </c>
      <c r="L50" s="22">
        <v>96.41001358943268</v>
      </c>
      <c r="N50" s="22">
        <v>4.6024520504870242E-2</v>
      </c>
      <c r="O50" s="22">
        <v>1.3458351628056198E-3</v>
      </c>
      <c r="P50" s="2">
        <f t="shared" si="6"/>
        <v>2.5965358034885037E-2</v>
      </c>
      <c r="Q50" s="2">
        <f t="shared" si="7"/>
        <v>3.4470533832167444E-2</v>
      </c>
      <c r="R50" s="2">
        <f t="shared" si="8"/>
        <v>0.93910268689017173</v>
      </c>
      <c r="S50" s="2">
        <f t="shared" si="9"/>
        <v>4.4831184292761997E-4</v>
      </c>
      <c r="T50" s="3">
        <f t="shared" si="10"/>
        <v>7.079356919329928E-2</v>
      </c>
      <c r="U50" s="4">
        <f t="shared" si="11"/>
        <v>9.398261016462485E-2</v>
      </c>
      <c r="V50" s="14"/>
      <c r="W50" s="2">
        <f t="shared" si="3"/>
        <v>0.16477617935792413</v>
      </c>
      <c r="X50" s="2">
        <f t="shared" si="4"/>
        <v>3.540620581838945E-2</v>
      </c>
      <c r="Y50">
        <f>+SUM(K50:L50)</f>
        <v>99.948822158066804</v>
      </c>
    </row>
    <row r="51" spans="1:25" ht="15.6" x14ac:dyDescent="0.35">
      <c r="A51" s="1" t="s">
        <v>23</v>
      </c>
      <c r="B51" s="1">
        <v>60</v>
      </c>
      <c r="C51" s="13">
        <f>+'Flow rate'!E50</f>
        <v>62.1</v>
      </c>
      <c r="D51" s="1" t="s">
        <v>25</v>
      </c>
      <c r="E51" s="1" t="s">
        <v>26</v>
      </c>
      <c r="F51" s="1" t="s">
        <v>24</v>
      </c>
      <c r="G51" s="1">
        <v>-3</v>
      </c>
      <c r="H51" s="12">
        <v>45413.457638888889</v>
      </c>
      <c r="I51" s="15">
        <f t="shared" si="5"/>
        <v>23.366666666697711</v>
      </c>
      <c r="J51" s="22">
        <v>2.6872285749681959</v>
      </c>
      <c r="K51" s="22">
        <v>3.5401507269351691</v>
      </c>
      <c r="L51" s="22">
        <v>96.176259942794886</v>
      </c>
      <c r="N51" s="22">
        <v>4.6077881793753162E-2</v>
      </c>
      <c r="O51" s="22">
        <v>0.12064574016154428</v>
      </c>
      <c r="P51" s="2">
        <f t="shared" si="6"/>
        <v>2.61988794800475E-2</v>
      </c>
      <c r="Q51" s="2">
        <f t="shared" si="7"/>
        <v>3.4514362901665235E-2</v>
      </c>
      <c r="R51" s="2">
        <f t="shared" si="8"/>
        <v>0.93766130151873095</v>
      </c>
      <c r="S51" s="2">
        <f t="shared" si="9"/>
        <v>4.4923192729323425E-4</v>
      </c>
      <c r="T51" s="3">
        <f t="shared" si="10"/>
        <v>7.1777005422894835E-2</v>
      </c>
      <c r="U51" s="4">
        <f t="shared" si="11"/>
        <v>9.4558914821043102E-2</v>
      </c>
      <c r="V51" s="14"/>
      <c r="W51" s="2">
        <f t="shared" si="3"/>
        <v>0.16633592024393795</v>
      </c>
      <c r="X51" s="2">
        <f t="shared" si="4"/>
        <v>3.5502187685640577E-2</v>
      </c>
    </row>
    <row r="52" spans="1:25" ht="15.6" x14ac:dyDescent="0.35">
      <c r="A52" s="1" t="s">
        <v>23</v>
      </c>
      <c r="B52" s="1">
        <v>60</v>
      </c>
      <c r="C52" s="13">
        <f>+'Flow rate'!E51</f>
        <v>62.1</v>
      </c>
      <c r="D52" s="1" t="s">
        <v>25</v>
      </c>
      <c r="E52" s="1" t="s">
        <v>26</v>
      </c>
      <c r="F52" s="1" t="s">
        <v>24</v>
      </c>
      <c r="G52" s="1">
        <v>-3</v>
      </c>
      <c r="H52" s="12">
        <v>45413.475694444445</v>
      </c>
      <c r="I52" s="15">
        <f t="shared" si="5"/>
        <v>23.800000000046566</v>
      </c>
      <c r="J52" s="22">
        <v>2.7152974475945322</v>
      </c>
      <c r="K52" s="22">
        <v>3.4952458198845111</v>
      </c>
      <c r="L52" s="22">
        <v>96.349110919020873</v>
      </c>
      <c r="N52" s="22">
        <v>4.5237045343158831E-2</v>
      </c>
      <c r="O52" s="22">
        <v>0.11388451118270737</v>
      </c>
      <c r="P52" s="2">
        <f t="shared" si="6"/>
        <v>2.64342855330311E-2</v>
      </c>
      <c r="Q52" s="2">
        <f t="shared" si="7"/>
        <v>3.4027331367623169E-2</v>
      </c>
      <c r="R52" s="2">
        <f t="shared" si="8"/>
        <v>0.93798928406292481</v>
      </c>
      <c r="S52" s="2">
        <f t="shared" si="9"/>
        <v>4.4039704538856186E-4</v>
      </c>
      <c r="T52" s="3">
        <f t="shared" si="10"/>
        <v>7.2421946805004481E-2</v>
      </c>
      <c r="U52" s="4">
        <f t="shared" si="11"/>
        <v>9.3224595729775039E-2</v>
      </c>
      <c r="V52" s="14"/>
      <c r="W52" s="2">
        <f t="shared" si="3"/>
        <v>0.16564654253477951</v>
      </c>
      <c r="X52" s="2">
        <f t="shared" si="4"/>
        <v>3.5006944148327133E-2</v>
      </c>
      <c r="Y52">
        <f>+SUM(K52:L52)</f>
        <v>99.84435673890539</v>
      </c>
    </row>
    <row r="53" spans="1:25" ht="15.6" x14ac:dyDescent="0.35">
      <c r="A53" s="1" t="s">
        <v>23</v>
      </c>
      <c r="B53" s="1">
        <v>60</v>
      </c>
      <c r="C53" s="13">
        <f>+'Flow rate'!E52</f>
        <v>61.6</v>
      </c>
      <c r="D53" s="1" t="s">
        <v>25</v>
      </c>
      <c r="E53" s="1" t="s">
        <v>26</v>
      </c>
      <c r="F53" s="1" t="s">
        <v>24</v>
      </c>
      <c r="G53" s="1">
        <v>-3</v>
      </c>
      <c r="H53" s="12">
        <v>45413.487500000003</v>
      </c>
      <c r="I53" s="15">
        <f t="shared" si="5"/>
        <v>24.083333333430346</v>
      </c>
      <c r="J53" s="22">
        <v>2.7220929095845792</v>
      </c>
      <c r="K53" s="22">
        <v>3.5043255022763149</v>
      </c>
      <c r="L53" s="22">
        <v>96.328503944391613</v>
      </c>
      <c r="N53" s="22">
        <v>4.5963659614303827E-2</v>
      </c>
      <c r="O53" s="22">
        <v>1.7430728003060558E-3</v>
      </c>
      <c r="P53" s="2">
        <f t="shared" si="6"/>
        <v>2.6530440143324219E-2</v>
      </c>
      <c r="Q53" s="2">
        <f t="shared" si="7"/>
        <v>3.415434412745845E-2</v>
      </c>
      <c r="R53" s="2">
        <f t="shared" si="8"/>
        <v>0.93885024974502818</v>
      </c>
      <c r="S53" s="2">
        <f t="shared" si="9"/>
        <v>4.4797740586728012E-4</v>
      </c>
      <c r="T53" s="3">
        <f t="shared" si="10"/>
        <v>7.2100152840093315E-2</v>
      </c>
      <c r="U53" s="4">
        <f t="shared" si="11"/>
        <v>9.2819169921028899E-2</v>
      </c>
      <c r="V53" s="14"/>
      <c r="W53" s="2">
        <f t="shared" si="3"/>
        <v>0.1649193227611222</v>
      </c>
      <c r="X53" s="2">
        <f t="shared" si="4"/>
        <v>3.5101935121936753E-2</v>
      </c>
    </row>
    <row r="54" spans="1:25" ht="15.6" x14ac:dyDescent="0.35">
      <c r="A54" s="1" t="s">
        <v>23</v>
      </c>
      <c r="B54" s="1">
        <v>60</v>
      </c>
      <c r="C54" s="13">
        <f>+'Flow rate'!E53</f>
        <v>61.6</v>
      </c>
      <c r="D54" s="1" t="s">
        <v>25</v>
      </c>
      <c r="E54" s="1" t="s">
        <v>26</v>
      </c>
      <c r="F54" s="1" t="s">
        <v>24</v>
      </c>
      <c r="G54" s="1">
        <v>-3</v>
      </c>
      <c r="H54" s="12">
        <v>45413.499305555553</v>
      </c>
      <c r="I54" s="15">
        <f t="shared" si="5"/>
        <v>24.366666666639503</v>
      </c>
      <c r="J54" s="22">
        <v>2.7230023448168645</v>
      </c>
      <c r="K54" s="22">
        <v>3.4934279982578138</v>
      </c>
      <c r="L54" s="22">
        <v>96.326937641653686</v>
      </c>
      <c r="N54" s="22">
        <v>4.5934047681007555E-2</v>
      </c>
      <c r="O54" s="22">
        <v>1.3119824611349529E-3</v>
      </c>
      <c r="P54" s="2">
        <f t="shared" si="6"/>
        <v>2.654241200293592E-2</v>
      </c>
      <c r="Q54" s="2">
        <f t="shared" si="7"/>
        <v>3.4052120964510865E-2</v>
      </c>
      <c r="R54" s="2">
        <f t="shared" si="8"/>
        <v>0.93894493727945827</v>
      </c>
      <c r="S54" s="2">
        <f t="shared" si="9"/>
        <v>4.4774122976152012E-4</v>
      </c>
      <c r="T54" s="3">
        <f t="shared" si="10"/>
        <v>7.2132688029977854E-2</v>
      </c>
      <c r="U54" s="4">
        <f t="shared" si="11"/>
        <v>9.2541364289742675E-2</v>
      </c>
      <c r="V54" s="14"/>
      <c r="W54" s="2">
        <f t="shared" si="3"/>
        <v>0.16467405231972054</v>
      </c>
      <c r="X54" s="2">
        <f t="shared" si="4"/>
        <v>3.4997146883431425E-2</v>
      </c>
      <c r="Y54">
        <f>+SUM(K54:L54)</f>
        <v>99.8203656399115</v>
      </c>
    </row>
    <row r="55" spans="1:25" ht="15.6" x14ac:dyDescent="0.35">
      <c r="A55" s="1" t="s">
        <v>23</v>
      </c>
      <c r="B55" s="1">
        <v>60</v>
      </c>
      <c r="C55" s="13">
        <f>+'Flow rate'!E54</f>
        <v>61.1</v>
      </c>
      <c r="D55" s="1" t="s">
        <v>25</v>
      </c>
      <c r="E55" s="1" t="s">
        <v>26</v>
      </c>
      <c r="F55" s="1" t="s">
        <v>24</v>
      </c>
      <c r="G55" s="1">
        <v>-3</v>
      </c>
      <c r="H55" s="12">
        <v>45413.511111111111</v>
      </c>
      <c r="I55" s="15">
        <f t="shared" si="5"/>
        <v>24.650000000023283</v>
      </c>
      <c r="J55" s="22">
        <v>2.7345539072784564</v>
      </c>
      <c r="K55" s="22">
        <v>3.4846048306955759</v>
      </c>
      <c r="L55" s="22">
        <v>96.323251677786885</v>
      </c>
      <c r="N55" s="22">
        <v>4.5766816862067627E-2</v>
      </c>
      <c r="O55" s="22">
        <v>1.3997951319733581E-3</v>
      </c>
      <c r="P55" s="2">
        <f t="shared" si="6"/>
        <v>2.6655280063574493E-2</v>
      </c>
      <c r="Q55" s="2">
        <f t="shared" si="7"/>
        <v>3.3966460644952637E-2</v>
      </c>
      <c r="R55" s="2">
        <f t="shared" si="8"/>
        <v>0.93891849901795821</v>
      </c>
      <c r="S55" s="2">
        <f t="shared" si="9"/>
        <v>4.4611565997280315E-4</v>
      </c>
      <c r="T55" s="3">
        <f t="shared" si="10"/>
        <v>7.1851440321292398E-2</v>
      </c>
      <c r="U55" s="4">
        <f t="shared" si="11"/>
        <v>9.1559312606564414E-2</v>
      </c>
      <c r="V55" s="14"/>
      <c r="W55" s="2">
        <f t="shared" si="3"/>
        <v>0.16341075292785681</v>
      </c>
      <c r="X55" s="2">
        <f t="shared" si="4"/>
        <v>3.4913131617042861E-2</v>
      </c>
    </row>
    <row r="56" spans="1:25" ht="15.6" x14ac:dyDescent="0.35">
      <c r="A56" s="1" t="s">
        <v>23</v>
      </c>
      <c r="B56" s="1">
        <v>60</v>
      </c>
      <c r="C56" s="13">
        <f>+'Flow rate'!E55</f>
        <v>61.4</v>
      </c>
      <c r="D56" s="1" t="s">
        <v>25</v>
      </c>
      <c r="E56" s="1" t="s">
        <v>26</v>
      </c>
      <c r="F56" s="1" t="s">
        <v>24</v>
      </c>
      <c r="G56" s="1">
        <v>-3</v>
      </c>
      <c r="H56" s="12">
        <v>45413.522916666669</v>
      </c>
      <c r="I56" s="15">
        <f t="shared" si="5"/>
        <v>24.933333333407063</v>
      </c>
      <c r="J56" s="22">
        <v>2.7334500061658211</v>
      </c>
      <c r="K56" s="22">
        <v>3.4820869794257518</v>
      </c>
      <c r="L56" s="22">
        <v>96.294723550000683</v>
      </c>
      <c r="N56" s="22">
        <v>4.4419467013563488E-2</v>
      </c>
      <c r="O56" s="22">
        <v>0.1128331127045506</v>
      </c>
      <c r="P56" s="2">
        <f t="shared" si="6"/>
        <v>2.6624293539629851E-2</v>
      </c>
      <c r="Q56" s="2">
        <f t="shared" si="7"/>
        <v>3.3916151991671091E-2</v>
      </c>
      <c r="R56" s="2">
        <f t="shared" si="8"/>
        <v>0.93792788612545697</v>
      </c>
      <c r="S56" s="2">
        <f t="shared" si="9"/>
        <v>4.3265357916748255E-4</v>
      </c>
      <c r="T56" s="3">
        <f t="shared" si="10"/>
        <v>7.2120292948015932E-2</v>
      </c>
      <c r="U56" s="4">
        <f t="shared" si="11"/>
        <v>9.1872590484620972E-2</v>
      </c>
      <c r="V56" s="14"/>
      <c r="W56" s="2">
        <f t="shared" si="3"/>
        <v>0.1639928834326369</v>
      </c>
      <c r="X56" s="2">
        <f t="shared" si="4"/>
        <v>3.4898760152278128E-2</v>
      </c>
      <c r="Y56">
        <f>+SUM(K56:L56)</f>
        <v>99.776810529426427</v>
      </c>
    </row>
    <row r="57" spans="1:25" ht="15.6" x14ac:dyDescent="0.35">
      <c r="A57" s="1" t="s">
        <v>23</v>
      </c>
      <c r="B57" s="1">
        <v>60</v>
      </c>
      <c r="C57" s="13">
        <f>+'Flow rate'!E56</f>
        <v>61.3</v>
      </c>
      <c r="D57" s="1" t="s">
        <v>25</v>
      </c>
      <c r="E57" s="1" t="s">
        <v>26</v>
      </c>
      <c r="F57" s="1" t="s">
        <v>24</v>
      </c>
      <c r="G57" s="1">
        <v>-3</v>
      </c>
      <c r="H57" s="12">
        <v>45413.534722222219</v>
      </c>
      <c r="I57" s="15">
        <f t="shared" si="5"/>
        <v>25.21666666661622</v>
      </c>
      <c r="J57" s="22">
        <v>2.7660913572056698</v>
      </c>
      <c r="K57" s="22">
        <v>3.445707487487577</v>
      </c>
      <c r="L57" s="22">
        <v>96.28251320344782</v>
      </c>
      <c r="N57" s="22">
        <v>4.5557003109431483E-2</v>
      </c>
      <c r="O57" s="22">
        <v>1.2843925771264808E-3</v>
      </c>
      <c r="P57" s="2">
        <f t="shared" si="6"/>
        <v>2.6975426590270832E-2</v>
      </c>
      <c r="Q57" s="2">
        <f t="shared" si="7"/>
        <v>3.3603166843399576E-2</v>
      </c>
      <c r="R57" s="2">
        <f t="shared" si="8"/>
        <v>0.9389646007462914</v>
      </c>
      <c r="S57" s="2">
        <f t="shared" si="9"/>
        <v>4.4428018975218328E-4</v>
      </c>
      <c r="T57" s="3">
        <f t="shared" si="10"/>
        <v>7.2952438645938658E-2</v>
      </c>
      <c r="U57" s="4">
        <f t="shared" si="11"/>
        <v>9.0876522721479433E-2</v>
      </c>
      <c r="V57" s="14"/>
      <c r="W57" s="2">
        <f t="shared" si="3"/>
        <v>0.16382896136741809</v>
      </c>
      <c r="X57" s="2">
        <f t="shared" si="4"/>
        <v>3.455097728220842E-2</v>
      </c>
    </row>
    <row r="58" spans="1:25" ht="15.6" x14ac:dyDescent="0.35">
      <c r="A58" s="1" t="s">
        <v>23</v>
      </c>
      <c r="B58" s="1">
        <v>60</v>
      </c>
      <c r="C58" s="13">
        <f>+'Flow rate'!E57</f>
        <v>61.3</v>
      </c>
      <c r="D58" s="1" t="s">
        <v>25</v>
      </c>
      <c r="E58" s="1" t="s">
        <v>26</v>
      </c>
      <c r="F58" s="1" t="s">
        <v>24</v>
      </c>
      <c r="G58" s="1">
        <v>-3</v>
      </c>
      <c r="H58" s="12">
        <v>45413.546527777777</v>
      </c>
      <c r="I58" s="15">
        <f t="shared" si="5"/>
        <v>25.5</v>
      </c>
      <c r="J58" s="22">
        <v>2.7596869957407955</v>
      </c>
      <c r="K58" s="22">
        <v>3.4297433106350672</v>
      </c>
      <c r="L58" s="22">
        <v>96.26673445298519</v>
      </c>
      <c r="N58" s="22">
        <v>4.6155630369664274E-2</v>
      </c>
      <c r="O58" s="22">
        <v>0.12048017175495901</v>
      </c>
      <c r="P58" s="2">
        <f t="shared" si="6"/>
        <v>2.6891558022598978E-2</v>
      </c>
      <c r="Q58" s="2">
        <f t="shared" si="7"/>
        <v>3.3420870331639041E-2</v>
      </c>
      <c r="R58" s="2">
        <f t="shared" si="8"/>
        <v>0.93806380186738025</v>
      </c>
      <c r="S58" s="2">
        <f t="shared" si="9"/>
        <v>4.4975999599631341E-4</v>
      </c>
      <c r="T58" s="3">
        <f t="shared" si="10"/>
        <v>7.2725624196242039E-2</v>
      </c>
      <c r="U58" s="4">
        <f t="shared" si="11"/>
        <v>9.0383519393243794E-2</v>
      </c>
      <c r="V58" s="14"/>
      <c r="W58" s="2">
        <f t="shared" si="3"/>
        <v>0.16310914358948583</v>
      </c>
      <c r="X58" s="2">
        <f t="shared" si="4"/>
        <v>3.4401850371955645E-2</v>
      </c>
      <c r="Y58">
        <f>+SUM(K58:L58)</f>
        <v>99.696477763620251</v>
      </c>
    </row>
    <row r="59" spans="1:25" ht="15.6" x14ac:dyDescent="0.35">
      <c r="A59" s="1" t="s">
        <v>23</v>
      </c>
      <c r="B59" s="1">
        <v>60</v>
      </c>
      <c r="C59" s="13">
        <f>+'Flow rate'!E58</f>
        <v>61.2</v>
      </c>
      <c r="D59" s="1" t="s">
        <v>25</v>
      </c>
      <c r="E59" s="1" t="s">
        <v>26</v>
      </c>
      <c r="F59" s="1" t="s">
        <v>24</v>
      </c>
      <c r="G59" s="1">
        <v>-3</v>
      </c>
      <c r="H59" s="12">
        <v>45413.558333333334</v>
      </c>
      <c r="I59" s="15">
        <f t="shared" si="5"/>
        <v>25.78333333338378</v>
      </c>
      <c r="J59" s="22">
        <v>2.7704317778214405</v>
      </c>
      <c r="K59" s="22">
        <v>3.4140861436573067</v>
      </c>
      <c r="L59" s="22">
        <v>96.233096232667009</v>
      </c>
      <c r="N59" s="22">
        <v>4.4636099797726127E-2</v>
      </c>
      <c r="O59" s="22">
        <v>0.11645196501991656</v>
      </c>
      <c r="P59" s="2">
        <f t="shared" si="6"/>
        <v>2.7007865355010111E-2</v>
      </c>
      <c r="Q59" s="2">
        <f t="shared" si="7"/>
        <v>3.3282602234230213E-2</v>
      </c>
      <c r="R59" s="2">
        <f t="shared" si="8"/>
        <v>0.93813914731782111</v>
      </c>
      <c r="S59" s="2">
        <f t="shared" si="9"/>
        <v>4.351400323085233E-4</v>
      </c>
      <c r="T59" s="3">
        <f t="shared" si="10"/>
        <v>7.292101417156964E-2</v>
      </c>
      <c r="U59" s="4">
        <f t="shared" si="11"/>
        <v>8.986275210153899E-2</v>
      </c>
      <c r="V59" s="14"/>
      <c r="W59" s="2">
        <f t="shared" si="3"/>
        <v>0.16278376627310864</v>
      </c>
      <c r="X59" s="2">
        <f t="shared" si="4"/>
        <v>3.4261742903715829E-2</v>
      </c>
    </row>
    <row r="60" spans="1:25" ht="15.6" x14ac:dyDescent="0.35">
      <c r="A60" s="1" t="s">
        <v>23</v>
      </c>
      <c r="B60" s="1">
        <v>60</v>
      </c>
      <c r="C60" s="13">
        <f>+'Flow rate'!E59</f>
        <v>61.1</v>
      </c>
      <c r="D60" s="1" t="s">
        <v>25</v>
      </c>
      <c r="E60" s="1" t="s">
        <v>26</v>
      </c>
      <c r="F60" s="1" t="s">
        <v>24</v>
      </c>
      <c r="G60" s="1">
        <v>-3</v>
      </c>
      <c r="H60" s="12">
        <v>45413.570138888892</v>
      </c>
      <c r="I60" s="15">
        <f t="shared" si="5"/>
        <v>26.06666666676756</v>
      </c>
      <c r="J60" s="22">
        <v>2.7695469219197562</v>
      </c>
      <c r="K60" s="22">
        <v>3.4032552930984568</v>
      </c>
      <c r="L60" s="22">
        <v>96.203373309974808</v>
      </c>
      <c r="N60" s="22">
        <v>4.4327985070967219E-2</v>
      </c>
      <c r="O60" s="22">
        <v>0.11558232106255478</v>
      </c>
      <c r="P60" s="2">
        <f t="shared" si="6"/>
        <v>2.7010460751165262E-2</v>
      </c>
      <c r="Q60" s="2">
        <f t="shared" si="7"/>
        <v>3.3190805612606504E-2</v>
      </c>
      <c r="R60" s="2">
        <f t="shared" si="8"/>
        <v>0.93823918213943236</v>
      </c>
      <c r="S60" s="2">
        <f t="shared" si="9"/>
        <v>4.3231594722636387E-4</v>
      </c>
      <c r="T60" s="3">
        <f t="shared" si="10"/>
        <v>7.280885828564454E-2</v>
      </c>
      <c r="U60" s="4">
        <f t="shared" si="11"/>
        <v>8.94684724002862E-2</v>
      </c>
      <c r="V60" s="14"/>
      <c r="W60" s="2">
        <f t="shared" si="3"/>
        <v>0.16227733068593075</v>
      </c>
      <c r="X60" s="2">
        <f t="shared" si="4"/>
        <v>3.4166955962943342E-2</v>
      </c>
      <c r="Y60">
        <f>+SUM(K60:L60)</f>
        <v>99.606628603073261</v>
      </c>
    </row>
    <row r="61" spans="1:25" ht="15.6" x14ac:dyDescent="0.35">
      <c r="A61" s="1" t="s">
        <v>23</v>
      </c>
      <c r="B61" s="1">
        <v>60</v>
      </c>
      <c r="C61" s="13">
        <f>+'Flow rate'!E60</f>
        <v>61.2</v>
      </c>
      <c r="D61" s="1" t="s">
        <v>25</v>
      </c>
      <c r="E61" s="1" t="s">
        <v>26</v>
      </c>
      <c r="F61" s="1" t="s">
        <v>24</v>
      </c>
      <c r="G61" s="1">
        <v>-3</v>
      </c>
      <c r="H61" s="12">
        <v>45413.587500000001</v>
      </c>
      <c r="I61" s="15">
        <f t="shared" si="5"/>
        <v>26.483333333395422</v>
      </c>
      <c r="J61" s="22">
        <v>2.7818163454192333</v>
      </c>
      <c r="K61" s="22">
        <v>3.3683352762829726</v>
      </c>
      <c r="L61" s="22">
        <v>96.22984432220349</v>
      </c>
      <c r="N61" s="22">
        <v>4.5575063368345027E-2</v>
      </c>
      <c r="O61" s="22">
        <v>0.12188153150744402</v>
      </c>
      <c r="P61" s="2">
        <f t="shared" si="6"/>
        <v>2.7127113122261164E-2</v>
      </c>
      <c r="Q61" s="2">
        <f t="shared" si="7"/>
        <v>3.2846601186988358E-2</v>
      </c>
      <c r="R61" s="2">
        <f t="shared" si="8"/>
        <v>0.93839331879854548</v>
      </c>
      <c r="S61" s="2">
        <f t="shared" si="9"/>
        <v>4.4442901544637989E-4</v>
      </c>
      <c r="T61" s="3">
        <f t="shared" si="10"/>
        <v>7.3242982161684386E-2</v>
      </c>
      <c r="U61" s="4">
        <f t="shared" si="11"/>
        <v>8.868555286247197E-2</v>
      </c>
      <c r="V61" s="14"/>
      <c r="W61" s="2">
        <f t="shared" si="3"/>
        <v>0.16192853502415636</v>
      </c>
      <c r="X61" s="2">
        <f t="shared" si="4"/>
        <v>3.3819245390446465E-2</v>
      </c>
    </row>
    <row r="62" spans="1:25" ht="15.6" x14ac:dyDescent="0.35">
      <c r="A62" s="1" t="s">
        <v>23</v>
      </c>
      <c r="B62" s="1">
        <v>60</v>
      </c>
      <c r="C62" s="13">
        <f>+'Flow rate'!E61</f>
        <v>61.2</v>
      </c>
      <c r="D62" s="1" t="s">
        <v>25</v>
      </c>
      <c r="E62" s="1" t="s">
        <v>26</v>
      </c>
      <c r="F62" s="1" t="s">
        <v>24</v>
      </c>
      <c r="G62" s="1">
        <v>-3</v>
      </c>
      <c r="H62" s="12">
        <v>45413.599305555559</v>
      </c>
      <c r="I62" s="15">
        <f t="shared" si="5"/>
        <v>26.766666666779201</v>
      </c>
      <c r="J62" s="22">
        <v>2.8163199422129521</v>
      </c>
      <c r="K62" s="22">
        <v>3.3263050521547988</v>
      </c>
      <c r="L62" s="22">
        <v>96.191033831157185</v>
      </c>
      <c r="N62" s="22">
        <v>4.5758774359527618E-2</v>
      </c>
      <c r="O62" s="22">
        <v>1.3616952649047609E-3</v>
      </c>
      <c r="P62" s="2">
        <f t="shared" si="6"/>
        <v>2.7508287801696629E-2</v>
      </c>
      <c r="Q62" s="2">
        <f t="shared" si="7"/>
        <v>3.2489546134099351E-2</v>
      </c>
      <c r="R62" s="2">
        <f t="shared" si="8"/>
        <v>0.93954191883861304</v>
      </c>
      <c r="S62" s="2">
        <f t="shared" si="9"/>
        <v>4.4694692377376342E-4</v>
      </c>
      <c r="T62" s="3">
        <f t="shared" si="10"/>
        <v>7.4272150658919969E-2</v>
      </c>
      <c r="U62" s="4">
        <f t="shared" si="11"/>
        <v>8.772150715839637E-2</v>
      </c>
      <c r="V62" s="14"/>
      <c r="W62" s="2">
        <f t="shared" si="3"/>
        <v>0.16199365781731634</v>
      </c>
      <c r="X62" s="2">
        <f t="shared" si="4"/>
        <v>3.3424376992787393E-2</v>
      </c>
      <c r="Y62">
        <f>+SUM(K62:L62)</f>
        <v>99.517338883311979</v>
      </c>
    </row>
    <row r="63" spans="1:25" ht="15.6" x14ac:dyDescent="0.35">
      <c r="A63" s="1" t="s">
        <v>23</v>
      </c>
      <c r="B63" s="1">
        <v>60</v>
      </c>
      <c r="C63" s="13">
        <f>+'Flow rate'!E62</f>
        <v>61.3</v>
      </c>
      <c r="D63" s="1" t="s">
        <v>25</v>
      </c>
      <c r="E63" s="1" t="s">
        <v>26</v>
      </c>
      <c r="F63" s="1" t="s">
        <v>24</v>
      </c>
      <c r="G63" s="1">
        <v>-3</v>
      </c>
      <c r="H63" s="12">
        <v>45413.611111111109</v>
      </c>
      <c r="I63" s="15">
        <f t="shared" si="5"/>
        <v>27.049999999988358</v>
      </c>
      <c r="J63" s="22">
        <v>2.8256232188459234</v>
      </c>
      <c r="K63" s="22">
        <v>3.3190056567394666</v>
      </c>
      <c r="L63" s="22">
        <v>96.229290688281296</v>
      </c>
      <c r="N63" s="22">
        <v>4.4647285846397114E-2</v>
      </c>
      <c r="O63" s="22">
        <v>0.11649950446339152</v>
      </c>
      <c r="P63" s="2">
        <f t="shared" si="6"/>
        <v>2.7557628032205687E-2</v>
      </c>
      <c r="Q63" s="2">
        <f t="shared" si="7"/>
        <v>3.2369469048520068E-2</v>
      </c>
      <c r="R63" s="2">
        <f t="shared" si="8"/>
        <v>0.93850127678160589</v>
      </c>
      <c r="S63" s="2">
        <f t="shared" si="9"/>
        <v>4.3543430978214352E-4</v>
      </c>
      <c r="T63" s="3">
        <f t="shared" si="10"/>
        <v>7.4526946275324871E-2</v>
      </c>
      <c r="U63" s="4">
        <f t="shared" si="11"/>
        <v>8.7540106061398212E-2</v>
      </c>
      <c r="V63" s="14"/>
      <c r="W63" s="2">
        <f t="shared" si="3"/>
        <v>0.16206705233672308</v>
      </c>
      <c r="X63" s="2">
        <f t="shared" si="4"/>
        <v>3.3340657536079246E-2</v>
      </c>
    </row>
    <row r="64" spans="1:25" ht="15.6" x14ac:dyDescent="0.35">
      <c r="A64" s="1" t="s">
        <v>23</v>
      </c>
      <c r="B64" s="1">
        <v>60</v>
      </c>
      <c r="C64" s="13">
        <f>+'Flow rate'!E63</f>
        <v>61.3</v>
      </c>
      <c r="D64" s="1" t="s">
        <v>25</v>
      </c>
      <c r="E64" s="1" t="s">
        <v>26</v>
      </c>
      <c r="F64" s="1" t="s">
        <v>24</v>
      </c>
      <c r="G64" s="1">
        <v>-3</v>
      </c>
      <c r="H64" s="12">
        <v>45413.622916666667</v>
      </c>
      <c r="I64" s="15">
        <f t="shared" si="5"/>
        <v>27.333333333372138</v>
      </c>
      <c r="J64" s="22">
        <v>2.8262615585200974</v>
      </c>
      <c r="K64" s="22">
        <v>3.3118545484401563</v>
      </c>
      <c r="L64" s="22">
        <v>96.180050332967255</v>
      </c>
      <c r="N64" s="22">
        <v>4.6380634988013231E-2</v>
      </c>
      <c r="O64" s="22">
        <v>1.2496562171028236E-3</v>
      </c>
      <c r="P64" s="2">
        <f t="shared" si="6"/>
        <v>2.7609432532854437E-2</v>
      </c>
      <c r="Q64" s="2">
        <f t="shared" si="7"/>
        <v>3.2353136049327678E-2</v>
      </c>
      <c r="R64" s="2">
        <f t="shared" si="8"/>
        <v>0.93957213643916193</v>
      </c>
      <c r="S64" s="2">
        <f t="shared" si="9"/>
        <v>4.5308722707286308E-4</v>
      </c>
      <c r="T64" s="3">
        <f t="shared" si="10"/>
        <v>7.4667046549272892E-2</v>
      </c>
      <c r="U64" s="4">
        <f t="shared" si="11"/>
        <v>8.7495935040877035E-2</v>
      </c>
      <c r="V64" s="14"/>
      <c r="W64" s="2">
        <f t="shared" si="3"/>
        <v>0.16216298159014991</v>
      </c>
      <c r="X64" s="2">
        <f t="shared" si="4"/>
        <v>3.3287678554228393E-2</v>
      </c>
      <c r="Y64">
        <f>+SUM(K64:L64)</f>
        <v>99.491904881407407</v>
      </c>
    </row>
    <row r="65" spans="1:25" ht="15.6" x14ac:dyDescent="0.35">
      <c r="A65" s="1" t="s">
        <v>23</v>
      </c>
      <c r="B65" s="1">
        <v>60</v>
      </c>
      <c r="C65" s="13">
        <f>+'Flow rate'!E64</f>
        <v>61.4</v>
      </c>
      <c r="D65" s="1" t="s">
        <v>25</v>
      </c>
      <c r="E65" s="1" t="s">
        <v>26</v>
      </c>
      <c r="F65" s="1" t="s">
        <v>24</v>
      </c>
      <c r="G65" s="1">
        <v>-3</v>
      </c>
      <c r="H65" s="12">
        <v>45413.634722222225</v>
      </c>
      <c r="I65" s="15">
        <f t="shared" si="5"/>
        <v>27.616666666755918</v>
      </c>
      <c r="J65" s="22">
        <v>2.841042411269934</v>
      </c>
      <c r="K65" s="22">
        <v>3.3050643113971407</v>
      </c>
      <c r="L65" s="22">
        <v>96.169835107464124</v>
      </c>
      <c r="N65" s="22">
        <v>4.5602017039176997E-2</v>
      </c>
      <c r="O65" s="22">
        <v>1.5335138428986261E-3</v>
      </c>
      <c r="P65" s="2">
        <f t="shared" si="6"/>
        <v>2.7754562333546975E-2</v>
      </c>
      <c r="Q65" s="2">
        <f t="shared" si="7"/>
        <v>3.2287660713255686E-2</v>
      </c>
      <c r="R65" s="2">
        <f t="shared" si="8"/>
        <v>0.93949730300011525</v>
      </c>
      <c r="S65" s="2">
        <f t="shared" si="9"/>
        <v>4.4549283017692186E-4</v>
      </c>
      <c r="T65" s="3">
        <f t="shared" si="10"/>
        <v>7.5181982318513932E-2</v>
      </c>
      <c r="U65" s="4">
        <f t="shared" si="11"/>
        <v>8.7461308439229238E-2</v>
      </c>
      <c r="V65" s="14"/>
      <c r="W65" s="2">
        <f t="shared" si="3"/>
        <v>0.16264329075774317</v>
      </c>
      <c r="X65" s="2">
        <f t="shared" si="4"/>
        <v>3.3225108351006519E-2</v>
      </c>
    </row>
    <row r="66" spans="1:25" ht="15.6" x14ac:dyDescent="0.35">
      <c r="A66" s="1" t="s">
        <v>23</v>
      </c>
      <c r="B66" s="1">
        <v>60</v>
      </c>
      <c r="C66" s="13">
        <f>+'Flow rate'!E65</f>
        <v>61.6</v>
      </c>
      <c r="D66" s="1" t="s">
        <v>25</v>
      </c>
      <c r="E66" s="1" t="s">
        <v>26</v>
      </c>
      <c r="F66" s="1" t="s">
        <v>24</v>
      </c>
      <c r="G66" s="1">
        <v>-3</v>
      </c>
      <c r="H66" s="12">
        <v>45413.646527777775</v>
      </c>
      <c r="I66" s="15">
        <f t="shared" si="5"/>
        <v>27.899999999965075</v>
      </c>
      <c r="J66" s="22">
        <v>2.8411638620799695</v>
      </c>
      <c r="K66" s="22">
        <v>3.3039850639646775</v>
      </c>
      <c r="L66" s="22">
        <v>96.194079276946866</v>
      </c>
      <c r="N66" s="22">
        <v>4.55309647522366E-2</v>
      </c>
      <c r="O66" s="22">
        <v>1.3852210485982841E-3</v>
      </c>
      <c r="P66" s="2">
        <f t="shared" si="6"/>
        <v>2.7749495588887285E-2</v>
      </c>
      <c r="Q66" s="2">
        <f t="shared" si="7"/>
        <v>3.2269845531231342E-2</v>
      </c>
      <c r="R66" s="2">
        <f t="shared" si="8"/>
        <v>0.9395224310007001</v>
      </c>
      <c r="S66" s="2">
        <f t="shared" si="9"/>
        <v>4.4469849923580709E-4</v>
      </c>
      <c r="T66" s="3">
        <f t="shared" si="10"/>
        <v>7.5413105187314783E-2</v>
      </c>
      <c r="U66" s="4">
        <f t="shared" si="11"/>
        <v>8.7697783465286117E-2</v>
      </c>
      <c r="V66" s="14"/>
      <c r="W66" s="2">
        <f t="shared" si="3"/>
        <v>0.1631108886526009</v>
      </c>
      <c r="X66" s="2">
        <f t="shared" si="4"/>
        <v>3.3206526034960736E-2</v>
      </c>
      <c r="Y66">
        <f>+SUM(K66:L66)</f>
        <v>99.49806434091154</v>
      </c>
    </row>
    <row r="67" spans="1:25" ht="15.6" x14ac:dyDescent="0.35">
      <c r="A67" s="1" t="s">
        <v>23</v>
      </c>
      <c r="B67" s="1">
        <v>60</v>
      </c>
      <c r="C67" s="13">
        <f>+'Flow rate'!E66</f>
        <v>61.3</v>
      </c>
      <c r="D67" s="1" t="s">
        <v>25</v>
      </c>
      <c r="E67" s="1" t="s">
        <v>26</v>
      </c>
      <c r="F67" s="1" t="s">
        <v>24</v>
      </c>
      <c r="G67" s="1">
        <v>-3</v>
      </c>
      <c r="H67" s="12">
        <v>45413.658333333333</v>
      </c>
      <c r="I67" s="15">
        <f t="shared" si="5"/>
        <v>28.183333333348855</v>
      </c>
      <c r="J67" s="22">
        <v>2.8257967200031162</v>
      </c>
      <c r="K67" s="22">
        <v>3.3149950036171418</v>
      </c>
      <c r="L67" s="22">
        <v>96.190001967004619</v>
      </c>
      <c r="N67" s="22">
        <v>4.5793069531207653E-2</v>
      </c>
      <c r="O67" s="22">
        <v>1.1219308215728585E-3</v>
      </c>
      <c r="P67" s="2">
        <f t="shared" si="6"/>
        <v>2.7601679663808963E-2</v>
      </c>
      <c r="Q67" s="2">
        <f t="shared" si="7"/>
        <v>3.2380046848121007E-2</v>
      </c>
      <c r="R67" s="2">
        <f t="shared" si="8"/>
        <v>0.93956001943108203</v>
      </c>
      <c r="S67" s="2">
        <f t="shared" si="9"/>
        <v>4.4729531571596217E-4</v>
      </c>
      <c r="T67" s="3">
        <f t="shared" si="10"/>
        <v>7.4646079662929951E-2</v>
      </c>
      <c r="U67" s="4">
        <f t="shared" si="11"/>
        <v>8.7568712699881368E-2</v>
      </c>
      <c r="V67" s="14"/>
      <c r="W67" s="2">
        <f t="shared" ref="W67:W125" si="12">+T67+U67</f>
        <v>0.16221479236281133</v>
      </c>
      <c r="X67" s="2">
        <f t="shared" ref="X67:X125" si="13">+K67/(K67+L67)</f>
        <v>3.3314859600426634E-2</v>
      </c>
    </row>
    <row r="68" spans="1:25" ht="15.6" x14ac:dyDescent="0.35">
      <c r="A68" s="1" t="s">
        <v>23</v>
      </c>
      <c r="B68" s="1">
        <v>60</v>
      </c>
      <c r="C68" s="13">
        <f>+'Flow rate'!E67</f>
        <v>61.5</v>
      </c>
      <c r="D68" s="1" t="s">
        <v>25</v>
      </c>
      <c r="E68" s="1" t="s">
        <v>26</v>
      </c>
      <c r="F68" s="1" t="s">
        <v>24</v>
      </c>
      <c r="G68" s="1">
        <v>-3</v>
      </c>
      <c r="H68" s="12">
        <v>45413.670138888891</v>
      </c>
      <c r="I68" s="15">
        <f t="shared" ref="I68:I125" si="14">+(H68-H$2)*24</f>
        <v>28.466666666732635</v>
      </c>
      <c r="J68" s="22">
        <v>2.8474793042017832</v>
      </c>
      <c r="K68" s="22">
        <v>3.2645411960509501</v>
      </c>
      <c r="L68" s="22">
        <v>96.195717952532689</v>
      </c>
      <c r="N68" s="22">
        <v>4.5467761768146403E-2</v>
      </c>
      <c r="O68" s="22">
        <v>1.5820140097101976E-3</v>
      </c>
      <c r="P68" s="2">
        <f t="shared" ref="P68:P125" si="15">+J68/SUM($J68:$O68)</f>
        <v>2.7819698066720841E-2</v>
      </c>
      <c r="Q68" s="2">
        <f t="shared" ref="Q68:Q125" si="16">+K68/SUM($J68:$O68)</f>
        <v>3.1894367157118908E-2</v>
      </c>
      <c r="R68" s="2">
        <f t="shared" ref="R68:R125" si="17">+L68/SUM($J68:$O68)</f>
        <v>0.93982626135401603</v>
      </c>
      <c r="S68" s="2">
        <f t="shared" ref="S68:S125" si="18">+N68/SUM($J68:$O68)</f>
        <v>4.4421724234937251E-4</v>
      </c>
      <c r="T68" s="3">
        <f t="shared" ref="T68:T125" si="19">+P68*C68/1000/60/24.3*2*96485/-1/G68</f>
        <v>7.5481156575219463E-2</v>
      </c>
      <c r="U68" s="4">
        <f t="shared" ref="U68:U125" si="20">+Q68*C68/1000/60/24.3*2*96485/-1/G68</f>
        <v>8.6536658862372662E-2</v>
      </c>
      <c r="V68" s="14"/>
      <c r="W68" s="2">
        <f t="shared" si="12"/>
        <v>0.16201781543759214</v>
      </c>
      <c r="X68" s="2">
        <f t="shared" si="13"/>
        <v>3.2822568772659773E-2</v>
      </c>
      <c r="Y68">
        <f>+SUM(K68:L68)</f>
        <v>99.460259148583646</v>
      </c>
    </row>
    <row r="69" spans="1:25" ht="15.6" x14ac:dyDescent="0.35">
      <c r="A69" s="1" t="s">
        <v>23</v>
      </c>
      <c r="B69" s="1">
        <v>60</v>
      </c>
      <c r="C69" s="13">
        <f>+'Flow rate'!E68</f>
        <v>61.3</v>
      </c>
      <c r="D69" s="1" t="s">
        <v>25</v>
      </c>
      <c r="E69" s="1" t="s">
        <v>26</v>
      </c>
      <c r="F69" s="1" t="s">
        <v>24</v>
      </c>
      <c r="G69" s="1">
        <v>-3</v>
      </c>
      <c r="H69" s="12">
        <v>45413.681944444441</v>
      </c>
      <c r="I69" s="15">
        <f t="shared" si="14"/>
        <v>28.749999999941792</v>
      </c>
      <c r="J69" s="22">
        <v>2.8440367520744863</v>
      </c>
      <c r="K69" s="22">
        <v>3.2969851041673008</v>
      </c>
      <c r="L69" s="22">
        <v>96.163647228921022</v>
      </c>
      <c r="N69" s="22">
        <v>4.5486752584965137E-2</v>
      </c>
      <c r="O69" s="22">
        <v>1.5070199444936483E-3</v>
      </c>
      <c r="P69" s="2">
        <f t="shared" si="15"/>
        <v>2.778691300823103E-2</v>
      </c>
      <c r="Q69" s="2">
        <f t="shared" si="16"/>
        <v>3.2212325741608747E-2</v>
      </c>
      <c r="R69" s="2">
        <f t="shared" si="17"/>
        <v>0.93954162095661364</v>
      </c>
      <c r="S69" s="2">
        <f t="shared" si="18"/>
        <v>4.4441635157612455E-4</v>
      </c>
      <c r="T69" s="3">
        <f t="shared" si="19"/>
        <v>7.5147025371755438E-2</v>
      </c>
      <c r="U69" s="4">
        <f t="shared" si="20"/>
        <v>8.7115127148916324E-2</v>
      </c>
      <c r="V69" s="14"/>
      <c r="W69" s="2">
        <f t="shared" si="12"/>
        <v>0.16226215252067178</v>
      </c>
      <c r="X69" s="2">
        <f t="shared" si="13"/>
        <v>3.3148644110022087E-2</v>
      </c>
    </row>
    <row r="70" spans="1:25" ht="15.6" x14ac:dyDescent="0.35">
      <c r="A70" s="1" t="s">
        <v>23</v>
      </c>
      <c r="B70" s="1">
        <v>60</v>
      </c>
      <c r="C70" s="13">
        <f>+'Flow rate'!E69</f>
        <v>61</v>
      </c>
      <c r="D70" s="1" t="s">
        <v>25</v>
      </c>
      <c r="E70" s="1" t="s">
        <v>26</v>
      </c>
      <c r="F70" s="1" t="s">
        <v>24</v>
      </c>
      <c r="G70" s="1">
        <v>-3</v>
      </c>
      <c r="H70" s="12">
        <v>45413.7</v>
      </c>
      <c r="I70" s="15">
        <f t="shared" si="14"/>
        <v>29.183333333290648</v>
      </c>
      <c r="J70" s="22">
        <v>2.8655263162357776</v>
      </c>
      <c r="K70" s="22">
        <v>3.2758845713184486</v>
      </c>
      <c r="L70" s="22">
        <v>96.152100361375147</v>
      </c>
      <c r="N70" s="22">
        <v>4.7483404099672624E-2</v>
      </c>
      <c r="O70" s="22">
        <v>1.5214252448598753E-3</v>
      </c>
      <c r="P70" s="2">
        <f t="shared" si="15"/>
        <v>2.7999373340051138E-2</v>
      </c>
      <c r="Q70" s="2">
        <f t="shared" si="16"/>
        <v>3.2009029060932767E-2</v>
      </c>
      <c r="R70" s="2">
        <f t="shared" si="17"/>
        <v>0.93951276601247324</v>
      </c>
      <c r="S70" s="2">
        <f t="shared" si="18"/>
        <v>4.6396557285494349E-4</v>
      </c>
      <c r="T70" s="3">
        <f t="shared" si="19"/>
        <v>7.5351025029540414E-2</v>
      </c>
      <c r="U70" s="4">
        <f t="shared" si="20"/>
        <v>8.6141683267302219E-2</v>
      </c>
      <c r="V70" s="14"/>
      <c r="W70" s="2">
        <f t="shared" si="12"/>
        <v>0.16149270829684265</v>
      </c>
      <c r="X70" s="2">
        <f t="shared" si="13"/>
        <v>3.2947309286575743E-2</v>
      </c>
      <c r="Y70">
        <f>+SUM(K70:L70)</f>
        <v>99.42798493269359</v>
      </c>
    </row>
    <row r="71" spans="1:25" ht="15.6" x14ac:dyDescent="0.35">
      <c r="A71" s="1" t="s">
        <v>23</v>
      </c>
      <c r="B71" s="1">
        <v>60</v>
      </c>
      <c r="C71" s="13">
        <f>+'Flow rate'!E70</f>
        <v>61.2</v>
      </c>
      <c r="D71" s="1" t="s">
        <v>25</v>
      </c>
      <c r="E71" s="1" t="s">
        <v>26</v>
      </c>
      <c r="F71" s="1" t="s">
        <v>24</v>
      </c>
      <c r="G71" s="1">
        <v>-3</v>
      </c>
      <c r="H71" s="12">
        <v>45413.705555555556</v>
      </c>
      <c r="I71" s="15">
        <f t="shared" si="14"/>
        <v>29.316666666709352</v>
      </c>
      <c r="J71" s="22">
        <v>2.8846512042088301</v>
      </c>
      <c r="K71" s="22">
        <v>3.2601560380101424</v>
      </c>
      <c r="L71" s="22">
        <v>96.202400133957198</v>
      </c>
      <c r="N71" s="22">
        <v>3.0219683271874579E-2</v>
      </c>
      <c r="O71" s="22">
        <v>1.2809102874957734E-3</v>
      </c>
      <c r="P71" s="2">
        <f t="shared" si="15"/>
        <v>2.817628060965147E-2</v>
      </c>
      <c r="Q71" s="2">
        <f t="shared" si="16"/>
        <v>3.1844082648258137E-2</v>
      </c>
      <c r="R71" s="2">
        <f t="shared" si="17"/>
        <v>0.93967194978076751</v>
      </c>
      <c r="S71" s="2">
        <f t="shared" si="18"/>
        <v>2.9517547028243317E-4</v>
      </c>
      <c r="T71" s="3">
        <f t="shared" si="19"/>
        <v>7.6075725742514852E-2</v>
      </c>
      <c r="U71" s="4">
        <f t="shared" si="20"/>
        <v>8.5978761059081768E-2</v>
      </c>
      <c r="V71" s="14"/>
      <c r="W71" s="2">
        <f t="shared" si="12"/>
        <v>0.16205448680159662</v>
      </c>
      <c r="X71" s="2">
        <f t="shared" si="13"/>
        <v>3.2777722225170294E-2</v>
      </c>
    </row>
    <row r="72" spans="1:25" ht="15.6" x14ac:dyDescent="0.35">
      <c r="A72" s="1" t="s">
        <v>23</v>
      </c>
      <c r="B72" s="1">
        <v>60</v>
      </c>
      <c r="C72" s="13">
        <f>+'Flow rate'!E71</f>
        <v>61.5</v>
      </c>
      <c r="D72" s="1" t="s">
        <v>25</v>
      </c>
      <c r="E72" s="1" t="s">
        <v>26</v>
      </c>
      <c r="F72" s="1" t="s">
        <v>24</v>
      </c>
      <c r="G72" s="1">
        <v>-3</v>
      </c>
      <c r="H72" s="12">
        <v>45413.717361111114</v>
      </c>
      <c r="I72" s="15">
        <f t="shared" si="14"/>
        <v>29.600000000093132</v>
      </c>
      <c r="J72" s="22">
        <v>2.883807554831979</v>
      </c>
      <c r="K72" s="22">
        <v>3.2556337017632537</v>
      </c>
      <c r="L72" s="22">
        <v>96.182280298399235</v>
      </c>
      <c r="N72" s="22">
        <v>4.5282060219780457E-2</v>
      </c>
      <c r="O72" s="22">
        <v>1.2809369541120219E-3</v>
      </c>
      <c r="P72" s="2">
        <f t="shared" si="15"/>
        <v>2.8170908279334786E-2</v>
      </c>
      <c r="Q72" s="2">
        <f t="shared" si="16"/>
        <v>3.1803147976990236E-2</v>
      </c>
      <c r="R72" s="2">
        <f t="shared" si="17"/>
        <v>0.93957108609535556</v>
      </c>
      <c r="S72" s="2">
        <f t="shared" si="18"/>
        <v>4.4234462282802115E-4</v>
      </c>
      <c r="T72" s="3">
        <f t="shared" si="19"/>
        <v>7.6434069614949432E-2</v>
      </c>
      <c r="U72" s="4">
        <f t="shared" si="20"/>
        <v>8.6289160517802457E-2</v>
      </c>
      <c r="V72" s="14"/>
      <c r="W72" s="2">
        <f t="shared" si="12"/>
        <v>0.16272323013275189</v>
      </c>
      <c r="X72" s="2">
        <f t="shared" si="13"/>
        <v>3.2740366031390536E-2</v>
      </c>
      <c r="Y72">
        <f>+SUM(K72:L72)</f>
        <v>99.437914000162493</v>
      </c>
    </row>
    <row r="73" spans="1:25" ht="15.6" x14ac:dyDescent="0.35">
      <c r="A73" s="1" t="s">
        <v>23</v>
      </c>
      <c r="B73" s="1">
        <v>60</v>
      </c>
      <c r="C73" s="13">
        <f>+'Flow rate'!E72</f>
        <v>61.6</v>
      </c>
      <c r="D73" s="1" t="s">
        <v>25</v>
      </c>
      <c r="E73" s="1" t="s">
        <v>26</v>
      </c>
      <c r="F73" s="1" t="s">
        <v>24</v>
      </c>
      <c r="G73" s="1">
        <v>-3</v>
      </c>
      <c r="H73" s="12">
        <v>45413.729166666664</v>
      </c>
      <c r="I73" s="15">
        <f t="shared" si="14"/>
        <v>29.883333333302289</v>
      </c>
      <c r="J73" s="22">
        <v>2.8916845073685256</v>
      </c>
      <c r="K73" s="22">
        <v>3.2377453270555048</v>
      </c>
      <c r="L73" s="22">
        <v>96.158186752611272</v>
      </c>
      <c r="N73" s="22">
        <v>4.3946994898411348E-2</v>
      </c>
      <c r="O73" s="22">
        <v>0.11623464184974508</v>
      </c>
      <c r="P73" s="2">
        <f t="shared" si="15"/>
        <v>2.8225931230381637E-2</v>
      </c>
      <c r="Q73" s="2">
        <f t="shared" si="16"/>
        <v>3.1603854677121367E-2</v>
      </c>
      <c r="R73" s="2">
        <f t="shared" si="17"/>
        <v>0.93860667012644461</v>
      </c>
      <c r="S73" s="2">
        <f t="shared" si="18"/>
        <v>4.2896963780924841E-4</v>
      </c>
      <c r="T73" s="3">
        <f t="shared" si="19"/>
        <v>7.6707885160230319E-2</v>
      </c>
      <c r="U73" s="4">
        <f t="shared" si="20"/>
        <v>8.5887860896643173E-2</v>
      </c>
      <c r="V73" s="14"/>
      <c r="W73" s="2">
        <f t="shared" si="12"/>
        <v>0.16259574605687349</v>
      </c>
      <c r="X73" s="2">
        <f t="shared" si="13"/>
        <v>3.2574223706262159E-2</v>
      </c>
    </row>
    <row r="74" spans="1:25" ht="15.6" x14ac:dyDescent="0.35">
      <c r="A74" s="1" t="s">
        <v>23</v>
      </c>
      <c r="B74" s="1">
        <v>60</v>
      </c>
      <c r="C74" s="13">
        <f>+'Flow rate'!E73</f>
        <v>61.7</v>
      </c>
      <c r="D74" s="1" t="s">
        <v>25</v>
      </c>
      <c r="E74" s="1" t="s">
        <v>26</v>
      </c>
      <c r="F74" s="1" t="s">
        <v>24</v>
      </c>
      <c r="G74" s="1">
        <v>-3</v>
      </c>
      <c r="H74" s="12">
        <v>45413.740972222222</v>
      </c>
      <c r="I74" s="15">
        <f t="shared" si="14"/>
        <v>30.166666666686069</v>
      </c>
      <c r="J74" s="22">
        <v>2.9117166618094026</v>
      </c>
      <c r="K74" s="22">
        <v>3.2009272014914756</v>
      </c>
      <c r="L74" s="22">
        <v>96.133017165842986</v>
      </c>
      <c r="N74" s="22">
        <v>4.4034489734550653E-2</v>
      </c>
      <c r="O74" s="22">
        <v>0.11618710240627017</v>
      </c>
      <c r="P74" s="2">
        <f t="shared" si="15"/>
        <v>2.8433099615746225E-2</v>
      </c>
      <c r="Q74" s="2">
        <f t="shared" si="16"/>
        <v>3.1257259051504671E-2</v>
      </c>
      <c r="R74" s="2">
        <f t="shared" si="17"/>
        <v>0.93874506722782824</v>
      </c>
      <c r="S74" s="2">
        <f t="shared" si="18"/>
        <v>4.2999961142269619E-4</v>
      </c>
      <c r="T74" s="3">
        <f t="shared" si="19"/>
        <v>7.7396333760146069E-2</v>
      </c>
      <c r="U74" s="4">
        <f t="shared" si="20"/>
        <v>8.5083838437292739E-2</v>
      </c>
      <c r="V74" s="14"/>
      <c r="W74" s="2">
        <f t="shared" si="12"/>
        <v>0.16248017219743882</v>
      </c>
      <c r="X74" s="2">
        <f t="shared" si="13"/>
        <v>3.2223901123411815E-2</v>
      </c>
      <c r="Y74">
        <f>+SUM(K74:L74)</f>
        <v>99.333944367334468</v>
      </c>
    </row>
    <row r="75" spans="1:25" ht="15.6" x14ac:dyDescent="0.35">
      <c r="A75" s="1" t="s">
        <v>23</v>
      </c>
      <c r="B75" s="1">
        <v>60</v>
      </c>
      <c r="C75" s="13">
        <f>+'Flow rate'!E74</f>
        <v>61.4</v>
      </c>
      <c r="D75" s="1" t="s">
        <v>25</v>
      </c>
      <c r="E75" s="1" t="s">
        <v>26</v>
      </c>
      <c r="F75" s="1" t="s">
        <v>24</v>
      </c>
      <c r="G75" s="1">
        <v>-3</v>
      </c>
      <c r="H75" s="12">
        <v>45413.75277777778</v>
      </c>
      <c r="I75" s="15">
        <f t="shared" si="14"/>
        <v>30.450000000069849</v>
      </c>
      <c r="J75" s="22">
        <v>2.9156724881933949</v>
      </c>
      <c r="K75" s="22">
        <v>3.1783692133217052</v>
      </c>
      <c r="L75" s="22">
        <v>95.787383177741347</v>
      </c>
      <c r="N75" s="22">
        <v>4.5529962417388492E-2</v>
      </c>
      <c r="O75" s="22">
        <v>1.4845211320349549E-3</v>
      </c>
      <c r="P75" s="2">
        <f t="shared" si="15"/>
        <v>2.8605093008589086E-2</v>
      </c>
      <c r="Q75" s="2">
        <f t="shared" si="16"/>
        <v>3.1182359243317383E-2</v>
      </c>
      <c r="R75" s="2">
        <f t="shared" si="17"/>
        <v>0.93975129783743727</v>
      </c>
      <c r="S75" s="2">
        <f t="shared" si="18"/>
        <v>4.4668556393106683E-4</v>
      </c>
      <c r="T75" s="3">
        <f t="shared" si="19"/>
        <v>7.7485912800425369E-2</v>
      </c>
      <c r="U75" s="4">
        <f t="shared" si="20"/>
        <v>8.4467250937227581E-2</v>
      </c>
      <c r="V75" s="14"/>
      <c r="W75" s="2">
        <f t="shared" si="12"/>
        <v>0.16195316373765295</v>
      </c>
      <c r="X75" s="2">
        <f t="shared" si="13"/>
        <v>3.2115849539165658E-2</v>
      </c>
    </row>
    <row r="76" spans="1:25" ht="15.6" x14ac:dyDescent="0.35">
      <c r="A76" s="1" t="s">
        <v>23</v>
      </c>
      <c r="B76" s="1">
        <v>60</v>
      </c>
      <c r="C76" s="13">
        <f>+'Flow rate'!E75</f>
        <v>61.6</v>
      </c>
      <c r="D76" s="1" t="s">
        <v>25</v>
      </c>
      <c r="E76" s="1" t="s">
        <v>26</v>
      </c>
      <c r="F76" s="1" t="s">
        <v>24</v>
      </c>
      <c r="G76" s="1">
        <v>-3</v>
      </c>
      <c r="H76" s="12">
        <v>45413.76458333333</v>
      </c>
      <c r="I76" s="15">
        <f t="shared" si="14"/>
        <v>30.733333333279006</v>
      </c>
      <c r="J76" s="22">
        <v>2.9186661060764547</v>
      </c>
      <c r="K76" s="22">
        <v>3.1756172333590484</v>
      </c>
      <c r="L76" s="22">
        <v>95.763758953343896</v>
      </c>
      <c r="N76" s="22">
        <v>4.5227770556412972E-2</v>
      </c>
      <c r="O76" s="22">
        <v>1.5975762313615305E-3</v>
      </c>
      <c r="P76" s="2">
        <f t="shared" si="15"/>
        <v>2.8641086276659938E-2</v>
      </c>
      <c r="Q76" s="2">
        <f t="shared" si="16"/>
        <v>3.1162566685146588E-2</v>
      </c>
      <c r="R76" s="2">
        <f t="shared" si="17"/>
        <v>0.9397368464483552</v>
      </c>
      <c r="S76" s="2">
        <f t="shared" si="18"/>
        <v>4.4382345617072498E-4</v>
      </c>
      <c r="T76" s="3">
        <f t="shared" si="19"/>
        <v>7.7836126611457571E-2</v>
      </c>
      <c r="U76" s="4">
        <f t="shared" si="20"/>
        <v>8.468859953889725E-2</v>
      </c>
      <c r="V76" s="14"/>
      <c r="W76" s="2">
        <f t="shared" si="12"/>
        <v>0.16252472615035482</v>
      </c>
      <c r="X76" s="2">
        <f t="shared" si="13"/>
        <v>3.2096596479105746E-2</v>
      </c>
      <c r="Y76">
        <f>+SUM(K76:L76)</f>
        <v>98.939376186702944</v>
      </c>
    </row>
    <row r="77" spans="1:25" ht="15.6" x14ac:dyDescent="0.35">
      <c r="A77" s="1" t="s">
        <v>23</v>
      </c>
      <c r="B77" s="1">
        <v>60</v>
      </c>
      <c r="C77" s="13">
        <f>+'Flow rate'!E76</f>
        <v>61.8</v>
      </c>
      <c r="D77" s="1" t="s">
        <v>25</v>
      </c>
      <c r="E77" s="1" t="s">
        <v>26</v>
      </c>
      <c r="F77" s="1" t="s">
        <v>24</v>
      </c>
      <c r="G77" s="1">
        <v>-3</v>
      </c>
      <c r="H77" s="12">
        <v>45413.776388888888</v>
      </c>
      <c r="I77" s="15">
        <f t="shared" si="14"/>
        <v>31.016666666662786</v>
      </c>
      <c r="J77" s="22">
        <v>2.9312630130101338</v>
      </c>
      <c r="K77" s="22">
        <v>3.1630406007712932</v>
      </c>
      <c r="L77" s="22">
        <v>95.718735051201804</v>
      </c>
      <c r="N77" s="22">
        <v>4.6226094226117294E-2</v>
      </c>
      <c r="O77" s="22">
        <v>1.3760414265475696E-3</v>
      </c>
      <c r="P77" s="2">
        <f t="shared" si="15"/>
        <v>2.8777189991836715E-2</v>
      </c>
      <c r="Q77" s="2">
        <f t="shared" si="16"/>
        <v>3.1052628138890984E-2</v>
      </c>
      <c r="R77" s="2">
        <f t="shared" si="17"/>
        <v>0.93970285577276924</v>
      </c>
      <c r="S77" s="2">
        <f t="shared" si="18"/>
        <v>4.5381703730484202E-4</v>
      </c>
      <c r="T77" s="3">
        <f t="shared" si="19"/>
        <v>7.8459922953449557E-2</v>
      </c>
      <c r="U77" s="4">
        <f t="shared" si="20"/>
        <v>8.4663819225248918E-2</v>
      </c>
      <c r="V77" s="14"/>
      <c r="W77" s="2">
        <f t="shared" si="12"/>
        <v>0.16312374217869846</v>
      </c>
      <c r="X77" s="2">
        <f t="shared" si="13"/>
        <v>3.1988104783878618E-2</v>
      </c>
    </row>
    <row r="78" spans="1:25" ht="15.6" x14ac:dyDescent="0.35">
      <c r="A78" s="1" t="s">
        <v>23</v>
      </c>
      <c r="B78" s="1">
        <v>60</v>
      </c>
      <c r="C78" s="13">
        <f>+'Flow rate'!E77</f>
        <v>61.7</v>
      </c>
      <c r="D78" s="1" t="s">
        <v>25</v>
      </c>
      <c r="E78" s="1" t="s">
        <v>26</v>
      </c>
      <c r="F78" s="1" t="s">
        <v>24</v>
      </c>
      <c r="G78" s="1">
        <v>-3</v>
      </c>
      <c r="H78" s="12">
        <v>45413.788194444445</v>
      </c>
      <c r="I78" s="15">
        <f t="shared" si="14"/>
        <v>31.300000000046566</v>
      </c>
      <c r="J78" s="22">
        <v>2.9490794130893554</v>
      </c>
      <c r="K78" s="22">
        <v>3.1450392854791476</v>
      </c>
      <c r="L78" s="22">
        <v>95.616975244369371</v>
      </c>
      <c r="N78" s="22">
        <v>4.596493969837679E-2</v>
      </c>
      <c r="O78" s="22">
        <v>1.4252191618843724E-3</v>
      </c>
      <c r="P78" s="2">
        <f t="shared" si="15"/>
        <v>2.8981164952684699E-2</v>
      </c>
      <c r="Q78" s="2">
        <f t="shared" si="16"/>
        <v>3.0906899933109092E-2</v>
      </c>
      <c r="R78" s="2">
        <f t="shared" si="17"/>
        <v>0.93964622299910761</v>
      </c>
      <c r="S78" s="2">
        <f t="shared" si="18"/>
        <v>4.5170621500605231E-4</v>
      </c>
      <c r="T78" s="3">
        <f t="shared" si="19"/>
        <v>7.8888195298751088E-2</v>
      </c>
      <c r="U78" s="4">
        <f t="shared" si="20"/>
        <v>8.4130143214833142E-2</v>
      </c>
      <c r="V78" s="14"/>
      <c r="W78" s="2">
        <f t="shared" si="12"/>
        <v>0.16301833851358422</v>
      </c>
      <c r="X78" s="2">
        <f t="shared" si="13"/>
        <v>3.1844624681371121E-2</v>
      </c>
      <c r="Y78">
        <f>+SUM(K78:L78)</f>
        <v>98.762014529848514</v>
      </c>
    </row>
    <row r="79" spans="1:25" ht="15.6" x14ac:dyDescent="0.35">
      <c r="A79" s="1" t="s">
        <v>23</v>
      </c>
      <c r="B79" s="1">
        <v>60</v>
      </c>
      <c r="C79" s="13">
        <f>+'Flow rate'!E78</f>
        <v>61.6</v>
      </c>
      <c r="D79" s="1" t="s">
        <v>25</v>
      </c>
      <c r="E79" s="1" t="s">
        <v>26</v>
      </c>
      <c r="F79" s="1" t="s">
        <v>24</v>
      </c>
      <c r="G79" s="1">
        <v>-3</v>
      </c>
      <c r="H79" s="12">
        <v>45413.8</v>
      </c>
      <c r="I79" s="15">
        <f t="shared" si="14"/>
        <v>31.583333333430346</v>
      </c>
      <c r="J79" s="22">
        <v>2.9756489465489557</v>
      </c>
      <c r="K79" s="22">
        <v>3.117692010590273</v>
      </c>
      <c r="L79" s="22">
        <v>95.674393823402696</v>
      </c>
      <c r="N79" s="22">
        <v>4.4073474775463292E-2</v>
      </c>
      <c r="O79" s="22">
        <v>0.11562388880253871</v>
      </c>
      <c r="P79" s="2">
        <f t="shared" si="15"/>
        <v>2.9193798803265714E-2</v>
      </c>
      <c r="Q79" s="2">
        <f t="shared" si="16"/>
        <v>3.0587369317633974E-2</v>
      </c>
      <c r="R79" s="2">
        <f t="shared" si="17"/>
        <v>0.93865205677039154</v>
      </c>
      <c r="S79" s="2">
        <f t="shared" si="18"/>
        <v>4.3240052111923863E-4</v>
      </c>
      <c r="T79" s="3">
        <f t="shared" si="19"/>
        <v>7.9338199604955875E-2</v>
      </c>
      <c r="U79" s="4">
        <f t="shared" si="20"/>
        <v>8.3125420869910344E-2</v>
      </c>
      <c r="V79" s="14"/>
      <c r="W79" s="2">
        <f t="shared" si="12"/>
        <v>0.16246362047486623</v>
      </c>
      <c r="X79" s="2">
        <f t="shared" si="13"/>
        <v>3.1558115048093444E-2</v>
      </c>
    </row>
    <row r="80" spans="1:25" ht="15.6" x14ac:dyDescent="0.35">
      <c r="A80" s="1" t="s">
        <v>23</v>
      </c>
      <c r="B80" s="1">
        <v>60</v>
      </c>
      <c r="C80" s="13">
        <f>+'Flow rate'!E79</f>
        <v>62</v>
      </c>
      <c r="D80" s="1" t="s">
        <v>25</v>
      </c>
      <c r="E80" s="1" t="s">
        <v>26</v>
      </c>
      <c r="F80" s="1" t="s">
        <v>24</v>
      </c>
      <c r="G80" s="1">
        <v>-3</v>
      </c>
      <c r="H80" s="12">
        <v>45413.818055555559</v>
      </c>
      <c r="I80" s="15">
        <f t="shared" si="14"/>
        <v>32.016666666779201</v>
      </c>
      <c r="J80" s="22">
        <v>2.9645925853068493</v>
      </c>
      <c r="K80" s="22">
        <v>3.1074031401830844</v>
      </c>
      <c r="L80" s="22">
        <v>95.560838803615425</v>
      </c>
      <c r="N80" s="22">
        <v>4.540896539164882E-2</v>
      </c>
      <c r="O80" s="22">
        <v>1.3505084670420997E-3</v>
      </c>
      <c r="P80" s="2">
        <f t="shared" si="15"/>
        <v>2.9156219734909925E-2</v>
      </c>
      <c r="Q80" s="2">
        <f t="shared" si="16"/>
        <v>3.0560735127369811E-2</v>
      </c>
      <c r="R80" s="2">
        <f t="shared" si="17"/>
        <v>0.93982317436111851</v>
      </c>
      <c r="S80" s="2">
        <f t="shared" si="18"/>
        <v>4.4658877562321018E-4</v>
      </c>
      <c r="T80" s="3">
        <f t="shared" si="19"/>
        <v>7.9750593227989316E-2</v>
      </c>
      <c r="U80" s="4">
        <f t="shared" si="20"/>
        <v>8.3592344208223646E-2</v>
      </c>
      <c r="V80" s="14"/>
      <c r="W80" s="2">
        <f t="shared" si="12"/>
        <v>0.16334293743621298</v>
      </c>
      <c r="X80" s="2">
        <f t="shared" si="13"/>
        <v>3.1493447931838732E-2</v>
      </c>
      <c r="Y80">
        <f>+SUM(K80:L80)</f>
        <v>98.668241943798506</v>
      </c>
    </row>
    <row r="81" spans="1:25" ht="15.6" x14ac:dyDescent="0.35">
      <c r="A81" s="1" t="s">
        <v>23</v>
      </c>
      <c r="B81" s="1">
        <v>60</v>
      </c>
      <c r="C81" s="13">
        <f>+'Flow rate'!E80</f>
        <v>61.7</v>
      </c>
      <c r="D81" s="1" t="s">
        <v>25</v>
      </c>
      <c r="E81" s="1" t="s">
        <v>26</v>
      </c>
      <c r="F81" s="1" t="s">
        <v>24</v>
      </c>
      <c r="G81" s="1">
        <v>-3</v>
      </c>
      <c r="H81" s="12">
        <v>45413.829861111109</v>
      </c>
      <c r="I81" s="15">
        <f t="shared" si="14"/>
        <v>32.299999999988358</v>
      </c>
      <c r="J81" s="22">
        <v>2.9871332773121342</v>
      </c>
      <c r="K81" s="22">
        <v>3.0855877658111908</v>
      </c>
      <c r="L81" s="22">
        <v>95.596659046945732</v>
      </c>
      <c r="N81" s="22">
        <v>4.5535904884122201E-2</v>
      </c>
      <c r="O81" s="22">
        <v>1.2428831580361122E-3</v>
      </c>
      <c r="P81" s="2">
        <f t="shared" si="15"/>
        <v>2.9367342517246289E-2</v>
      </c>
      <c r="Q81" s="2">
        <f t="shared" si="16"/>
        <v>3.0335276123715216E-2</v>
      </c>
      <c r="R81" s="2">
        <f t="shared" si="17"/>
        <v>0.93983748601342076</v>
      </c>
      <c r="S81" s="2">
        <f t="shared" si="18"/>
        <v>4.4767621375369583E-4</v>
      </c>
      <c r="T81" s="3">
        <f t="shared" si="19"/>
        <v>7.9939390141431463E-2</v>
      </c>
      <c r="U81" s="4">
        <f t="shared" si="20"/>
        <v>8.2574154323893034E-2</v>
      </c>
      <c r="V81" s="14"/>
      <c r="W81" s="2">
        <f t="shared" si="12"/>
        <v>0.16251354446532451</v>
      </c>
      <c r="X81" s="2">
        <f t="shared" si="13"/>
        <v>3.1267911559268516E-2</v>
      </c>
    </row>
    <row r="82" spans="1:25" ht="15.6" x14ac:dyDescent="0.35">
      <c r="A82" s="1" t="s">
        <v>23</v>
      </c>
      <c r="B82" s="1">
        <v>60</v>
      </c>
      <c r="C82" s="13">
        <f>+'Flow rate'!E81</f>
        <v>61.8</v>
      </c>
      <c r="D82" s="1" t="s">
        <v>25</v>
      </c>
      <c r="E82" s="1" t="s">
        <v>26</v>
      </c>
      <c r="F82" s="1" t="s">
        <v>24</v>
      </c>
      <c r="G82" s="1">
        <v>-3</v>
      </c>
      <c r="H82" s="12">
        <v>45413.841666666667</v>
      </c>
      <c r="I82" s="15">
        <f t="shared" si="14"/>
        <v>32.583333333372138</v>
      </c>
      <c r="J82" s="22">
        <v>2.9852486209921283</v>
      </c>
      <c r="K82" s="22">
        <v>3.0974912994466304</v>
      </c>
      <c r="L82" s="22">
        <v>95.617308177840684</v>
      </c>
      <c r="N82" s="22">
        <v>4.5669833186042119E-2</v>
      </c>
      <c r="O82" s="22">
        <v>1.240980104361411E-3</v>
      </c>
      <c r="P82" s="2">
        <f t="shared" si="15"/>
        <v>2.9339929693492493E-2</v>
      </c>
      <c r="Q82" s="2">
        <f t="shared" si="16"/>
        <v>3.0443084811396844E-2</v>
      </c>
      <c r="R82" s="2">
        <f t="shared" si="17"/>
        <v>0.93975593178114991</v>
      </c>
      <c r="S82" s="2">
        <f t="shared" si="18"/>
        <v>4.4885698476486766E-4</v>
      </c>
      <c r="T82" s="3">
        <f t="shared" si="19"/>
        <v>7.9994211521835987E-2</v>
      </c>
      <c r="U82" s="4">
        <f t="shared" si="20"/>
        <v>8.3001922336583073E-2</v>
      </c>
      <c r="V82" s="14"/>
      <c r="W82" s="2">
        <f t="shared" si="12"/>
        <v>0.16299613385841905</v>
      </c>
      <c r="X82" s="2">
        <f t="shared" si="13"/>
        <v>3.1378185599812855E-2</v>
      </c>
      <c r="Y82">
        <f>+SUM(K82:L82)</f>
        <v>98.714799477287315</v>
      </c>
    </row>
    <row r="83" spans="1:25" ht="15.6" x14ac:dyDescent="0.35">
      <c r="A83" s="1" t="s">
        <v>23</v>
      </c>
      <c r="B83" s="1">
        <v>60</v>
      </c>
      <c r="C83" s="13">
        <f>+'Flow rate'!E82</f>
        <v>61.9</v>
      </c>
      <c r="D83" s="1" t="s">
        <v>25</v>
      </c>
      <c r="E83" s="1" t="s">
        <v>26</v>
      </c>
      <c r="F83" s="1" t="s">
        <v>24</v>
      </c>
      <c r="G83" s="1">
        <v>-3</v>
      </c>
      <c r="H83" s="12">
        <v>45413.853472222225</v>
      </c>
      <c r="I83" s="15">
        <f t="shared" si="14"/>
        <v>32.866666666755918</v>
      </c>
      <c r="J83" s="22">
        <v>3.0068928903519154</v>
      </c>
      <c r="K83" s="22">
        <v>3.0935489829520977</v>
      </c>
      <c r="L83" s="22">
        <v>95.699635415644565</v>
      </c>
      <c r="N83" s="22">
        <v>4.4273383863098079E-2</v>
      </c>
      <c r="O83" s="22">
        <v>0.11371939976214335</v>
      </c>
      <c r="P83" s="2">
        <f t="shared" si="15"/>
        <v>2.9491465346603827E-2</v>
      </c>
      <c r="Q83" s="2">
        <f t="shared" si="16"/>
        <v>3.0341384264630622E-2</v>
      </c>
      <c r="R83" s="2">
        <f t="shared" si="17"/>
        <v>0.93861756452947276</v>
      </c>
      <c r="S83" s="2">
        <f t="shared" si="18"/>
        <v>4.3423128577840141E-4</v>
      </c>
      <c r="T83" s="3">
        <f t="shared" si="19"/>
        <v>8.0537476773004865E-2</v>
      </c>
      <c r="U83" s="4">
        <f t="shared" si="20"/>
        <v>8.2858498272446998E-2</v>
      </c>
      <c r="V83" s="14"/>
      <c r="W83" s="2">
        <f t="shared" si="12"/>
        <v>0.16339597504545186</v>
      </c>
      <c r="X83" s="2">
        <f t="shared" si="13"/>
        <v>3.1313384640692284E-2</v>
      </c>
    </row>
    <row r="84" spans="1:25" ht="15.6" x14ac:dyDescent="0.35">
      <c r="A84" s="1" t="s">
        <v>23</v>
      </c>
      <c r="B84" s="1">
        <v>60</v>
      </c>
      <c r="C84" s="13">
        <f>+'Flow rate'!E83</f>
        <v>61.2</v>
      </c>
      <c r="D84" s="1" t="s">
        <v>25</v>
      </c>
      <c r="E84" s="1" t="s">
        <v>26</v>
      </c>
      <c r="F84" s="1" t="s">
        <v>24</v>
      </c>
      <c r="G84" s="1">
        <v>-3</v>
      </c>
      <c r="H84" s="12">
        <v>45413.865277777775</v>
      </c>
      <c r="I84" s="15">
        <f t="shared" si="14"/>
        <v>33.149999999965075</v>
      </c>
      <c r="J84" s="22">
        <v>3.0152968526534378</v>
      </c>
      <c r="K84" s="22">
        <v>3.0843955777943384</v>
      </c>
      <c r="L84" s="22">
        <v>95.706814930792675</v>
      </c>
      <c r="N84" s="22">
        <v>4.5718125831352041E-2</v>
      </c>
      <c r="O84" s="22">
        <v>1.2807868556402591E-3</v>
      </c>
      <c r="P84" s="2">
        <f t="shared" si="15"/>
        <v>2.9604251860942524E-2</v>
      </c>
      <c r="Q84" s="2">
        <f t="shared" si="16"/>
        <v>3.0282664688038183E-2</v>
      </c>
      <c r="R84" s="2">
        <f t="shared" si="17"/>
        <v>0.93965164707630477</v>
      </c>
      <c r="S84" s="2">
        <f t="shared" si="18"/>
        <v>4.4886158075301339E-4</v>
      </c>
      <c r="T84" s="3">
        <f t="shared" si="19"/>
        <v>7.9931236368150888E-2</v>
      </c>
      <c r="U84" s="4">
        <f t="shared" si="20"/>
        <v>8.1762945417664504E-2</v>
      </c>
      <c r="V84" s="14"/>
      <c r="W84" s="2">
        <f t="shared" si="12"/>
        <v>0.16169418178581541</v>
      </c>
      <c r="X84" s="2">
        <f t="shared" si="13"/>
        <v>3.1221356251386757E-2</v>
      </c>
      <c r="Y84">
        <f>+SUM(K84:L84)</f>
        <v>98.791210508587014</v>
      </c>
    </row>
    <row r="85" spans="1:25" ht="15.6" x14ac:dyDescent="0.35">
      <c r="A85" s="1" t="s">
        <v>23</v>
      </c>
      <c r="B85" s="1">
        <v>60</v>
      </c>
      <c r="C85" s="13">
        <f>+'Flow rate'!E84</f>
        <v>61.6</v>
      </c>
      <c r="D85" s="1" t="s">
        <v>25</v>
      </c>
      <c r="E85" s="1" t="s">
        <v>26</v>
      </c>
      <c r="F85" s="1" t="s">
        <v>24</v>
      </c>
      <c r="G85" s="1">
        <v>-3</v>
      </c>
      <c r="H85" s="12">
        <v>45413.877083333333</v>
      </c>
      <c r="I85" s="15">
        <f t="shared" si="14"/>
        <v>33.433333333348855</v>
      </c>
      <c r="J85" s="22">
        <v>3.0213954183287597</v>
      </c>
      <c r="K85" s="22">
        <v>3.0683418563950471</v>
      </c>
      <c r="L85" s="22">
        <v>95.692806008743204</v>
      </c>
      <c r="N85" s="22">
        <v>4.563347784778872E-2</v>
      </c>
      <c r="O85" s="22">
        <v>1.4082177941561747E-3</v>
      </c>
      <c r="P85" s="2">
        <f t="shared" si="15"/>
        <v>2.967109626292418E-2</v>
      </c>
      <c r="Q85" s="2">
        <f t="shared" si="16"/>
        <v>3.0132125717929018E-2</v>
      </c>
      <c r="R85" s="2">
        <f t="shared" si="17"/>
        <v>0.9397348131034341</v>
      </c>
      <c r="S85" s="2">
        <f t="shared" si="18"/>
        <v>4.4813575403602742E-4</v>
      </c>
      <c r="T85" s="3">
        <f t="shared" si="19"/>
        <v>8.0635321688330833E-2</v>
      </c>
      <c r="U85" s="4">
        <f t="shared" si="20"/>
        <v>8.1888233211474121E-2</v>
      </c>
      <c r="V85" s="14"/>
      <c r="W85" s="2">
        <f t="shared" si="12"/>
        <v>0.16252355489980497</v>
      </c>
      <c r="X85" s="2">
        <f t="shared" si="13"/>
        <v>3.106830897292702E-2</v>
      </c>
    </row>
    <row r="86" spans="1:25" ht="15.6" x14ac:dyDescent="0.35">
      <c r="A86" s="1" t="s">
        <v>23</v>
      </c>
      <c r="B86" s="1">
        <v>60</v>
      </c>
      <c r="C86" s="13">
        <f>+'Flow rate'!E85</f>
        <v>61.6</v>
      </c>
      <c r="D86" s="1" t="s">
        <v>25</v>
      </c>
      <c r="E86" s="1" t="s">
        <v>26</v>
      </c>
      <c r="F86" s="1" t="s">
        <v>24</v>
      </c>
      <c r="G86" s="1">
        <v>-3</v>
      </c>
      <c r="H86" s="12">
        <v>45413.888888888891</v>
      </c>
      <c r="I86" s="15">
        <f t="shared" si="14"/>
        <v>33.716666666732635</v>
      </c>
      <c r="J86" s="22">
        <v>3.0414391395134444</v>
      </c>
      <c r="K86" s="22">
        <v>3.0554033426501159</v>
      </c>
      <c r="L86" s="22">
        <v>95.671575231593053</v>
      </c>
      <c r="N86" s="22">
        <v>4.4068158633520697E-2</v>
      </c>
      <c r="O86" s="22">
        <v>0.11616017119444955</v>
      </c>
      <c r="P86" s="2">
        <f t="shared" si="15"/>
        <v>2.9838904543212787E-2</v>
      </c>
      <c r="Q86" s="2">
        <f t="shared" si="16"/>
        <v>2.9975904333543569E-2</v>
      </c>
      <c r="R86" s="2">
        <f t="shared" si="17"/>
        <v>0.93861322547818382</v>
      </c>
      <c r="S86" s="2">
        <f t="shared" si="18"/>
        <v>4.3234321600501977E-4</v>
      </c>
      <c r="T86" s="3">
        <f t="shared" si="19"/>
        <v>8.1091363977538258E-2</v>
      </c>
      <c r="U86" s="4">
        <f t="shared" si="20"/>
        <v>8.146367991985011E-2</v>
      </c>
      <c r="V86" s="14"/>
      <c r="W86" s="2">
        <f t="shared" si="12"/>
        <v>0.16255504389738837</v>
      </c>
      <c r="X86" s="2">
        <f t="shared" si="13"/>
        <v>3.0948008201754477E-2</v>
      </c>
      <c r="Y86">
        <f>+SUM(K86:L86)</f>
        <v>98.726978574243162</v>
      </c>
    </row>
    <row r="87" spans="1:25" ht="15.6" x14ac:dyDescent="0.35">
      <c r="A87" s="1" t="s">
        <v>23</v>
      </c>
      <c r="B87" s="1">
        <v>60</v>
      </c>
      <c r="C87" s="13">
        <f>+'Flow rate'!E86</f>
        <v>61.3</v>
      </c>
      <c r="D87" s="1" t="s">
        <v>25</v>
      </c>
      <c r="E87" s="1" t="s">
        <v>26</v>
      </c>
      <c r="F87" s="1" t="s">
        <v>24</v>
      </c>
      <c r="G87" s="1">
        <v>-3</v>
      </c>
      <c r="H87" s="12">
        <v>45413.900694444441</v>
      </c>
      <c r="I87" s="15">
        <f t="shared" si="14"/>
        <v>33.999999999941792</v>
      </c>
      <c r="J87" s="22">
        <v>3.0330460210342474</v>
      </c>
      <c r="K87" s="22">
        <v>3.0466781354755375</v>
      </c>
      <c r="L87" s="22">
        <v>95.640317324870338</v>
      </c>
      <c r="N87" s="22">
        <v>4.5597381723938554E-2</v>
      </c>
      <c r="O87" s="22">
        <v>1.140418000087795E-3</v>
      </c>
      <c r="P87" s="2">
        <f t="shared" si="15"/>
        <v>2.9803891235038991E-2</v>
      </c>
      <c r="Q87" s="2">
        <f t="shared" si="16"/>
        <v>2.9937845699723725E-2</v>
      </c>
      <c r="R87" s="2">
        <f t="shared" si="17"/>
        <v>0.93979899924600085</v>
      </c>
      <c r="S87" s="2">
        <f t="shared" si="18"/>
        <v>4.4805762790220269E-4</v>
      </c>
      <c r="T87" s="3">
        <f t="shared" si="19"/>
        <v>8.0601748389721437E-2</v>
      </c>
      <c r="U87" s="4">
        <f t="shared" si="20"/>
        <v>8.0964015315642332E-2</v>
      </c>
      <c r="V87" s="14"/>
      <c r="W87" s="2">
        <f t="shared" si="12"/>
        <v>0.16156576370536377</v>
      </c>
      <c r="X87" s="2">
        <f t="shared" si="13"/>
        <v>3.0872133874009215E-2</v>
      </c>
    </row>
    <row r="88" spans="1:25" ht="15.6" x14ac:dyDescent="0.35">
      <c r="A88" s="1" t="s">
        <v>23</v>
      </c>
      <c r="B88" s="1">
        <v>60</v>
      </c>
      <c r="C88" s="13">
        <f>+'Flow rate'!E87</f>
        <v>61.3</v>
      </c>
      <c r="D88" s="1" t="s">
        <v>25</v>
      </c>
      <c r="E88" s="1" t="s">
        <v>26</v>
      </c>
      <c r="F88" s="1" t="s">
        <v>24</v>
      </c>
      <c r="G88" s="1">
        <v>-3</v>
      </c>
      <c r="H88" s="12">
        <v>45413.912499999999</v>
      </c>
      <c r="I88" s="15">
        <f t="shared" si="14"/>
        <v>34.283333333325572</v>
      </c>
      <c r="J88" s="22">
        <v>3.0487088379998193</v>
      </c>
      <c r="K88" s="22">
        <v>3.0298908893864924</v>
      </c>
      <c r="L88" s="22">
        <v>95.498142884642476</v>
      </c>
      <c r="N88" s="22">
        <v>4.6164948527115959E-2</v>
      </c>
      <c r="O88" s="22">
        <v>1.3982995922119379E-3</v>
      </c>
      <c r="P88" s="2">
        <f t="shared" si="15"/>
        <v>2.9999799872634285E-2</v>
      </c>
      <c r="Q88" s="2">
        <f t="shared" si="16"/>
        <v>2.9814628141776673E-2</v>
      </c>
      <c r="R88" s="2">
        <f t="shared" si="17"/>
        <v>0.93971754174698852</v>
      </c>
      <c r="S88" s="2">
        <f t="shared" si="18"/>
        <v>4.5427073903605869E-4</v>
      </c>
      <c r="T88" s="3">
        <f t="shared" si="19"/>
        <v>8.1131564398990205E-2</v>
      </c>
      <c r="U88" s="4">
        <f t="shared" si="20"/>
        <v>8.0630785318105372E-2</v>
      </c>
      <c r="V88" s="14"/>
      <c r="W88" s="2">
        <f t="shared" si="12"/>
        <v>0.16176234971709558</v>
      </c>
      <c r="X88" s="2">
        <f t="shared" si="13"/>
        <v>3.0751561493000606E-2</v>
      </c>
      <c r="Y88">
        <f>+SUM(K88:L88)</f>
        <v>98.52803377402897</v>
      </c>
    </row>
    <row r="89" spans="1:25" ht="15.6" x14ac:dyDescent="0.35">
      <c r="A89" s="1" t="s">
        <v>23</v>
      </c>
      <c r="B89" s="1">
        <v>60</v>
      </c>
      <c r="C89" s="13">
        <f>+'Flow rate'!E88</f>
        <v>61.7</v>
      </c>
      <c r="D89" s="1" t="s">
        <v>25</v>
      </c>
      <c r="E89" s="1" t="s">
        <v>26</v>
      </c>
      <c r="F89" s="1" t="s">
        <v>24</v>
      </c>
      <c r="G89" s="1">
        <v>-3</v>
      </c>
      <c r="H89" s="12">
        <v>45413.930555555555</v>
      </c>
      <c r="I89" s="15">
        <f t="shared" si="14"/>
        <v>34.716666666674428</v>
      </c>
      <c r="J89" s="22">
        <v>3.0506563884893065</v>
      </c>
      <c r="K89" s="22">
        <v>3.0168949796068647</v>
      </c>
      <c r="L89" s="22">
        <v>95.607998347692913</v>
      </c>
      <c r="N89" s="22">
        <v>4.5677992795435274E-2</v>
      </c>
      <c r="O89" s="22">
        <v>1.3185333337790706E-3</v>
      </c>
      <c r="P89" s="2">
        <f t="shared" si="15"/>
        <v>2.9989972736567009E-2</v>
      </c>
      <c r="Q89" s="2">
        <f t="shared" si="16"/>
        <v>2.9658075727204407E-2</v>
      </c>
      <c r="R89" s="2">
        <f t="shared" si="17"/>
        <v>0.93988994455876418</v>
      </c>
      <c r="S89" s="2">
        <f t="shared" si="18"/>
        <v>4.4904492153394481E-4</v>
      </c>
      <c r="T89" s="3">
        <f t="shared" si="19"/>
        <v>8.1634221057333853E-2</v>
      </c>
      <c r="U89" s="4">
        <f t="shared" si="20"/>
        <v>8.0730780628475482E-2</v>
      </c>
      <c r="V89" s="14"/>
      <c r="W89" s="2">
        <f t="shared" si="12"/>
        <v>0.16236500168580933</v>
      </c>
      <c r="X89" s="2">
        <f t="shared" si="13"/>
        <v>3.0589589279401287E-2</v>
      </c>
    </row>
    <row r="90" spans="1:25" ht="15.6" x14ac:dyDescent="0.35">
      <c r="A90" s="1" t="s">
        <v>23</v>
      </c>
      <c r="B90" s="1">
        <v>60</v>
      </c>
      <c r="C90" s="13">
        <f>+'Flow rate'!E89</f>
        <v>61.6</v>
      </c>
      <c r="D90" s="1" t="s">
        <v>25</v>
      </c>
      <c r="E90" s="1" t="s">
        <v>26</v>
      </c>
      <c r="F90" s="1" t="s">
        <v>24</v>
      </c>
      <c r="G90" s="1">
        <v>-3</v>
      </c>
      <c r="H90" s="12">
        <v>45413.942361111112</v>
      </c>
      <c r="I90" s="15">
        <f t="shared" si="14"/>
        <v>35.000000000058208</v>
      </c>
      <c r="J90" s="22">
        <v>3.0731912971226825</v>
      </c>
      <c r="K90" s="22">
        <v>2.9882260810686572</v>
      </c>
      <c r="L90" s="22">
        <v>95.526676155677023</v>
      </c>
      <c r="N90" s="22">
        <v>4.5376153487005577E-2</v>
      </c>
      <c r="O90" s="22">
        <v>1.4409343558883236E-3</v>
      </c>
      <c r="P90" s="2">
        <f t="shared" si="15"/>
        <v>3.0237555957137695E-2</v>
      </c>
      <c r="Q90" s="2">
        <f t="shared" si="16"/>
        <v>2.940157139696753E-2</v>
      </c>
      <c r="R90" s="2">
        <f t="shared" si="17"/>
        <v>0.939900232816957</v>
      </c>
      <c r="S90" s="2">
        <f t="shared" si="18"/>
        <v>4.4646227570265923E-4</v>
      </c>
      <c r="T90" s="3">
        <f t="shared" si="19"/>
        <v>8.2174754517560566E-2</v>
      </c>
      <c r="U90" s="4">
        <f t="shared" si="20"/>
        <v>7.9902850461894367E-2</v>
      </c>
      <c r="V90" s="14"/>
      <c r="W90" s="2">
        <f t="shared" si="12"/>
        <v>0.16207760497945495</v>
      </c>
      <c r="X90" s="2">
        <f t="shared" si="13"/>
        <v>3.0332731528144991E-2</v>
      </c>
      <c r="Y90">
        <f>+SUM(K90:L90)</f>
        <v>98.514902236745684</v>
      </c>
    </row>
    <row r="91" spans="1:25" ht="15.6" x14ac:dyDescent="0.35">
      <c r="A91" s="1" t="s">
        <v>23</v>
      </c>
      <c r="B91" s="1">
        <v>60</v>
      </c>
      <c r="C91" s="13">
        <f>+'Flow rate'!E90</f>
        <v>61.7</v>
      </c>
      <c r="D91" s="1" t="s">
        <v>25</v>
      </c>
      <c r="E91" s="1" t="s">
        <v>26</v>
      </c>
      <c r="F91" s="1" t="s">
        <v>24</v>
      </c>
      <c r="G91" s="1">
        <v>-3</v>
      </c>
      <c r="H91" s="12">
        <v>45413.95416666667</v>
      </c>
      <c r="I91" s="15">
        <f t="shared" si="14"/>
        <v>35.283333333441988</v>
      </c>
      <c r="J91" s="22">
        <v>3.0464815168943571</v>
      </c>
      <c r="K91" s="22">
        <v>3.0168884152509849</v>
      </c>
      <c r="L91" s="22">
        <v>95.599431073991923</v>
      </c>
      <c r="N91" s="22">
        <v>4.5284226102899776E-2</v>
      </c>
      <c r="O91" s="22">
        <v>0.11901757276863822</v>
      </c>
      <c r="P91" s="2">
        <f t="shared" si="15"/>
        <v>2.9918179276180908E-2</v>
      </c>
      <c r="Q91" s="2">
        <f t="shared" si="16"/>
        <v>2.9627558205481873E-2</v>
      </c>
      <c r="R91" s="2">
        <f t="shared" si="17"/>
        <v>0.93884072550956887</v>
      </c>
      <c r="S91" s="2">
        <f t="shared" si="18"/>
        <v>4.4471682740120419E-4</v>
      </c>
      <c r="T91" s="3">
        <f t="shared" si="19"/>
        <v>8.14387956307384E-2</v>
      </c>
      <c r="U91" s="4">
        <f t="shared" si="20"/>
        <v>8.0647710392423494E-2</v>
      </c>
      <c r="V91" s="14"/>
      <c r="W91" s="2">
        <f t="shared" si="12"/>
        <v>0.16208650602316188</v>
      </c>
      <c r="X91" s="2">
        <f t="shared" si="13"/>
        <v>3.0592182215642999E-2</v>
      </c>
    </row>
    <row r="92" spans="1:25" ht="15.6" x14ac:dyDescent="0.35">
      <c r="A92" s="1" t="s">
        <v>23</v>
      </c>
      <c r="B92" s="1">
        <v>60</v>
      </c>
      <c r="C92" s="13">
        <f>+'Flow rate'!E91</f>
        <v>61.7</v>
      </c>
      <c r="D92" s="1" t="s">
        <v>25</v>
      </c>
      <c r="E92" s="1" t="s">
        <v>26</v>
      </c>
      <c r="F92" s="1" t="s">
        <v>24</v>
      </c>
      <c r="G92" s="1">
        <v>-3</v>
      </c>
      <c r="H92" s="12">
        <v>45413.96597222222</v>
      </c>
      <c r="I92" s="15">
        <f t="shared" si="14"/>
        <v>35.566666666651145</v>
      </c>
      <c r="J92" s="22">
        <v>3.0443033544501019</v>
      </c>
      <c r="K92" s="22">
        <v>3.0126932868969103</v>
      </c>
      <c r="L92" s="22">
        <v>95.586560646650142</v>
      </c>
      <c r="N92" s="22">
        <v>4.5102944470879952E-2</v>
      </c>
      <c r="O92" s="22">
        <v>1.2248796104915027E-3</v>
      </c>
      <c r="P92" s="2">
        <f t="shared" si="15"/>
        <v>2.9937130434308117E-2</v>
      </c>
      <c r="Q92" s="2">
        <f t="shared" si="16"/>
        <v>2.9626282727888226E-2</v>
      </c>
      <c r="R92" s="2">
        <f t="shared" si="17"/>
        <v>0.93998100736664669</v>
      </c>
      <c r="S92" s="2">
        <f t="shared" si="18"/>
        <v>4.4353422585903491E-4</v>
      </c>
      <c r="T92" s="3">
        <f t="shared" si="19"/>
        <v>8.1490381640683715E-2</v>
      </c>
      <c r="U92" s="4">
        <f t="shared" si="20"/>
        <v>8.0644238477969019E-2</v>
      </c>
      <c r="V92" s="14"/>
      <c r="W92" s="2">
        <f t="shared" si="12"/>
        <v>0.16213462011865273</v>
      </c>
      <c r="X92" s="2">
        <f t="shared" si="13"/>
        <v>3.0554929846907115E-2</v>
      </c>
      <c r="Y92">
        <f>+SUM(K92:L92)</f>
        <v>98.599253933547047</v>
      </c>
    </row>
    <row r="93" spans="1:25" ht="15.6" x14ac:dyDescent="0.35">
      <c r="A93" s="1" t="s">
        <v>23</v>
      </c>
      <c r="B93" s="1">
        <v>60</v>
      </c>
      <c r="C93" s="13">
        <f>+'Flow rate'!E92</f>
        <v>61.6</v>
      </c>
      <c r="D93" s="1" t="s">
        <v>25</v>
      </c>
      <c r="E93" s="1" t="s">
        <v>26</v>
      </c>
      <c r="F93" s="1" t="s">
        <v>24</v>
      </c>
      <c r="G93" s="1">
        <v>-3</v>
      </c>
      <c r="H93" s="12">
        <v>45413.977777777778</v>
      </c>
      <c r="I93" s="15">
        <f t="shared" si="14"/>
        <v>35.850000000034925</v>
      </c>
      <c r="J93" s="22">
        <v>3.0504489100221641</v>
      </c>
      <c r="K93" s="22">
        <v>3.0079033269105255</v>
      </c>
      <c r="L93" s="22">
        <v>95.582564251022035</v>
      </c>
      <c r="N93" s="22">
        <v>4.5695966865409623E-2</v>
      </c>
      <c r="O93" s="22">
        <v>1.4362941847036459E-3</v>
      </c>
      <c r="P93" s="2">
        <f t="shared" si="15"/>
        <v>2.9998106439740463E-2</v>
      </c>
      <c r="Q93" s="2">
        <f t="shared" si="16"/>
        <v>2.9579713288971556E-2</v>
      </c>
      <c r="R93" s="2">
        <f t="shared" si="17"/>
        <v>0.93995868174191366</v>
      </c>
      <c r="S93" s="2">
        <f t="shared" si="18"/>
        <v>4.4937401619535772E-4</v>
      </c>
      <c r="T93" s="3">
        <f t="shared" si="19"/>
        <v>8.1524017224528081E-2</v>
      </c>
      <c r="U93" s="4">
        <f t="shared" si="20"/>
        <v>8.0386975774981009E-2</v>
      </c>
      <c r="V93" s="14"/>
      <c r="W93" s="2">
        <f t="shared" si="12"/>
        <v>0.16191099299950909</v>
      </c>
      <c r="X93" s="2">
        <f t="shared" si="13"/>
        <v>3.0509068481015936E-2</v>
      </c>
    </row>
    <row r="94" spans="1:25" ht="15.6" x14ac:dyDescent="0.35">
      <c r="A94" s="1" t="s">
        <v>23</v>
      </c>
      <c r="B94" s="1">
        <v>60</v>
      </c>
      <c r="C94" s="13">
        <f>+'Flow rate'!E93</f>
        <v>61.5</v>
      </c>
      <c r="D94" s="1" t="s">
        <v>25</v>
      </c>
      <c r="E94" s="1" t="s">
        <v>26</v>
      </c>
      <c r="F94" s="1" t="s">
        <v>24</v>
      </c>
      <c r="G94" s="1">
        <v>-3</v>
      </c>
      <c r="H94" s="12">
        <v>45413.989583333336</v>
      </c>
      <c r="I94" s="15">
        <f t="shared" si="14"/>
        <v>36.133333333418705</v>
      </c>
      <c r="J94" s="22">
        <v>3.0794951725006849</v>
      </c>
      <c r="K94" s="22">
        <v>2.9877191108149783</v>
      </c>
      <c r="L94" s="22">
        <v>95.595252093055805</v>
      </c>
      <c r="N94" s="22">
        <v>4.4047780089407254E-2</v>
      </c>
      <c r="O94" s="22">
        <v>0.11600678037929618</v>
      </c>
      <c r="P94" s="2">
        <f t="shared" si="15"/>
        <v>3.0243752994594142E-2</v>
      </c>
      <c r="Q94" s="2">
        <f t="shared" si="16"/>
        <v>2.9342419371724653E-2</v>
      </c>
      <c r="R94" s="2">
        <f t="shared" si="17"/>
        <v>0.93884193018902851</v>
      </c>
      <c r="S94" s="2">
        <f t="shared" si="18"/>
        <v>4.3259369031660287E-4</v>
      </c>
      <c r="T94" s="3">
        <f t="shared" si="19"/>
        <v>8.2058167911536389E-2</v>
      </c>
      <c r="U94" s="4">
        <f t="shared" si="20"/>
        <v>7.9612645168940316E-2</v>
      </c>
      <c r="V94" s="14"/>
      <c r="W94" s="2">
        <f t="shared" si="12"/>
        <v>0.16167081308047671</v>
      </c>
      <c r="X94" s="2">
        <f t="shared" si="13"/>
        <v>3.0306644994867713E-2</v>
      </c>
      <c r="Y94">
        <f>+SUM(K94:L94)</f>
        <v>98.582971203870784</v>
      </c>
    </row>
    <row r="95" spans="1:25" ht="15.6" x14ac:dyDescent="0.35">
      <c r="A95" s="1" t="s">
        <v>23</v>
      </c>
      <c r="B95" s="1">
        <v>60</v>
      </c>
      <c r="C95" s="13">
        <f>+'Flow rate'!E94</f>
        <v>61.6</v>
      </c>
      <c r="D95" s="1" t="s">
        <v>25</v>
      </c>
      <c r="E95" s="1" t="s">
        <v>26</v>
      </c>
      <c r="F95" s="1" t="s">
        <v>24</v>
      </c>
      <c r="G95" s="1">
        <v>-3</v>
      </c>
      <c r="H95" s="12">
        <v>45414.001388888886</v>
      </c>
      <c r="I95" s="15">
        <f t="shared" si="14"/>
        <v>36.416666666627862</v>
      </c>
      <c r="J95" s="22">
        <v>3.0610823621936105</v>
      </c>
      <c r="K95" s="22">
        <v>3.020043345674245</v>
      </c>
      <c r="L95" s="22">
        <v>95.613853660139071</v>
      </c>
      <c r="N95" s="22">
        <v>4.4698564465552204E-2</v>
      </c>
      <c r="O95" s="22">
        <v>0.11829991451972605</v>
      </c>
      <c r="P95" s="2">
        <f t="shared" si="15"/>
        <v>3.0052455653418436E-2</v>
      </c>
      <c r="Q95" s="2">
        <f t="shared" si="16"/>
        <v>2.9649551360727559E-2</v>
      </c>
      <c r="R95" s="2">
        <f t="shared" si="17"/>
        <v>0.93869774053208821</v>
      </c>
      <c r="S95" s="2">
        <f t="shared" si="18"/>
        <v>4.3883223887182369E-4</v>
      </c>
      <c r="T95" s="3">
        <f t="shared" si="19"/>
        <v>8.1671718754987105E-2</v>
      </c>
      <c r="U95" s="4">
        <f t="shared" si="20"/>
        <v>8.057677042672684E-2</v>
      </c>
      <c r="V95" s="14"/>
      <c r="W95" s="2">
        <f t="shared" si="12"/>
        <v>0.16224848918171395</v>
      </c>
      <c r="X95" s="2">
        <f t="shared" si="13"/>
        <v>3.0618716661841405E-2</v>
      </c>
    </row>
    <row r="96" spans="1:25" ht="15.6" x14ac:dyDescent="0.35">
      <c r="A96" s="1" t="s">
        <v>23</v>
      </c>
      <c r="B96" s="1">
        <v>60</v>
      </c>
      <c r="C96" s="13">
        <f>+'Flow rate'!E95</f>
        <v>61.9</v>
      </c>
      <c r="D96" s="1" t="s">
        <v>25</v>
      </c>
      <c r="E96" s="1" t="s">
        <v>26</v>
      </c>
      <c r="F96" s="1" t="s">
        <v>24</v>
      </c>
      <c r="G96" s="1">
        <v>-3</v>
      </c>
      <c r="H96" s="12">
        <v>45414.013194444444</v>
      </c>
      <c r="I96" s="15">
        <f t="shared" si="14"/>
        <v>36.700000000011642</v>
      </c>
      <c r="J96" s="22">
        <v>3.0656570093715922</v>
      </c>
      <c r="K96" s="22">
        <v>3.0131921779433499</v>
      </c>
      <c r="L96" s="22">
        <v>95.600556526891609</v>
      </c>
      <c r="N96" s="22">
        <v>4.5120918211163014E-2</v>
      </c>
      <c r="O96" s="22">
        <v>1.3539987558330857E-3</v>
      </c>
      <c r="P96" s="2">
        <f t="shared" si="15"/>
        <v>3.0136450924290469E-2</v>
      </c>
      <c r="Q96" s="2">
        <f t="shared" si="16"/>
        <v>2.9620703789906219E-2</v>
      </c>
      <c r="R96" s="2">
        <f t="shared" si="17"/>
        <v>0.93978598104753241</v>
      </c>
      <c r="S96" s="2">
        <f t="shared" si="18"/>
        <v>4.4355397005367244E-4</v>
      </c>
      <c r="T96" s="3">
        <f t="shared" si="19"/>
        <v>8.2298851135769208E-2</v>
      </c>
      <c r="U96" s="4">
        <f t="shared" si="20"/>
        <v>8.089041068128365E-2</v>
      </c>
      <c r="V96" s="14"/>
      <c r="W96" s="2">
        <f t="shared" si="12"/>
        <v>0.16318926181705284</v>
      </c>
      <c r="X96" s="2">
        <f t="shared" si="13"/>
        <v>3.0555497762916047E-2</v>
      </c>
      <c r="Y96">
        <f>+SUM(K96:L96)</f>
        <v>98.613748704834961</v>
      </c>
    </row>
    <row r="97" spans="1:25" ht="15.6" x14ac:dyDescent="0.35">
      <c r="A97" s="1" t="s">
        <v>23</v>
      </c>
      <c r="B97" s="1">
        <v>60</v>
      </c>
      <c r="C97" s="13">
        <f>+'Flow rate'!E96</f>
        <v>61.6</v>
      </c>
      <c r="D97" s="1" t="s">
        <v>25</v>
      </c>
      <c r="E97" s="1" t="s">
        <v>26</v>
      </c>
      <c r="F97" s="1" t="s">
        <v>24</v>
      </c>
      <c r="G97" s="1">
        <v>-3</v>
      </c>
      <c r="H97" s="12">
        <v>45414.025000000001</v>
      </c>
      <c r="I97" s="15">
        <f t="shared" si="14"/>
        <v>36.983333333395422</v>
      </c>
      <c r="J97" s="22">
        <v>3.0868140296482629</v>
      </c>
      <c r="K97" s="22">
        <v>2.9669444393243798</v>
      </c>
      <c r="L97" s="22">
        <v>95.505672875412074</v>
      </c>
      <c r="N97" s="22">
        <v>4.4938663268041676E-2</v>
      </c>
      <c r="O97" s="22">
        <v>1.4941111824424147E-3</v>
      </c>
      <c r="P97" s="2">
        <f t="shared" si="15"/>
        <v>3.0380274371152604E-2</v>
      </c>
      <c r="Q97" s="2">
        <f t="shared" si="16"/>
        <v>2.9200523661255709E-2</v>
      </c>
      <c r="R97" s="2">
        <f t="shared" si="17"/>
        <v>0.93996221284739512</v>
      </c>
      <c r="S97" s="2">
        <f t="shared" si="18"/>
        <v>4.4228415020891658E-4</v>
      </c>
      <c r="T97" s="3">
        <f t="shared" si="19"/>
        <v>8.25626116133336E-2</v>
      </c>
      <c r="U97" s="4">
        <f t="shared" si="20"/>
        <v>7.9356475339783003E-2</v>
      </c>
      <c r="V97" s="14"/>
      <c r="W97" s="2">
        <f t="shared" si="12"/>
        <v>0.1619190869531166</v>
      </c>
      <c r="X97" s="2">
        <f t="shared" si="13"/>
        <v>3.0129639286843406E-2</v>
      </c>
    </row>
    <row r="98" spans="1:25" ht="15.6" x14ac:dyDescent="0.35">
      <c r="A98" s="1" t="s">
        <v>23</v>
      </c>
      <c r="B98" s="1">
        <v>60</v>
      </c>
      <c r="C98" s="13">
        <f>+'Flow rate'!E97</f>
        <v>61.6</v>
      </c>
      <c r="D98" s="1" t="s">
        <v>25</v>
      </c>
      <c r="E98" s="1" t="s">
        <v>26</v>
      </c>
      <c r="F98" s="1" t="s">
        <v>24</v>
      </c>
      <c r="G98" s="1">
        <v>-3</v>
      </c>
      <c r="H98" s="12">
        <v>45414.042361111111</v>
      </c>
      <c r="I98" s="15">
        <f t="shared" si="14"/>
        <v>37.400000000023283</v>
      </c>
      <c r="J98" s="22">
        <v>3.1039501606069964</v>
      </c>
      <c r="K98" s="22">
        <v>2.957627093586578</v>
      </c>
      <c r="L98" s="22">
        <v>95.557713821167624</v>
      </c>
      <c r="N98" s="22">
        <v>4.6185628323235292E-2</v>
      </c>
      <c r="O98" s="22">
        <v>1.2212889291802753E-3</v>
      </c>
      <c r="P98" s="2">
        <f t="shared" si="15"/>
        <v>3.0530647910218423E-2</v>
      </c>
      <c r="Q98" s="2">
        <f t="shared" si="16"/>
        <v>2.9091405071515732E-2</v>
      </c>
      <c r="R98" s="2">
        <f t="shared" si="17"/>
        <v>0.93991164961519813</v>
      </c>
      <c r="S98" s="2">
        <f t="shared" si="18"/>
        <v>4.542847287770752E-4</v>
      </c>
      <c r="T98" s="3">
        <f t="shared" si="19"/>
        <v>8.2971272573769253E-2</v>
      </c>
      <c r="U98" s="4">
        <f t="shared" si="20"/>
        <v>7.9059930429278474E-2</v>
      </c>
      <c r="V98" s="14"/>
      <c r="W98" s="2">
        <f t="shared" si="12"/>
        <v>0.16203120300304774</v>
      </c>
      <c r="X98" s="2">
        <f t="shared" si="13"/>
        <v>3.0021995215403323E-2</v>
      </c>
      <c r="Y98">
        <f>+SUM(K98:L98)</f>
        <v>98.515340914754205</v>
      </c>
    </row>
    <row r="99" spans="1:25" ht="15.6" x14ac:dyDescent="0.35">
      <c r="A99" s="1" t="s">
        <v>23</v>
      </c>
      <c r="B99" s="1">
        <v>60</v>
      </c>
      <c r="C99" s="13">
        <f>+'Flow rate'!E98</f>
        <v>61.9</v>
      </c>
      <c r="D99" s="1" t="s">
        <v>25</v>
      </c>
      <c r="E99" s="1" t="s">
        <v>26</v>
      </c>
      <c r="F99" s="1" t="s">
        <v>24</v>
      </c>
      <c r="G99" s="1">
        <v>-3</v>
      </c>
      <c r="H99" s="12">
        <v>45414.054166666669</v>
      </c>
      <c r="I99" s="15">
        <f t="shared" si="14"/>
        <v>37.683333333407063</v>
      </c>
      <c r="J99" s="22">
        <v>3.1053981723480648</v>
      </c>
      <c r="K99" s="22">
        <v>2.9610143012176962</v>
      </c>
      <c r="L99" s="22">
        <v>95.516470298233301</v>
      </c>
      <c r="N99" s="22">
        <v>4.5346576445092629E-2</v>
      </c>
      <c r="O99" s="22">
        <v>1.5181044782855979E-3</v>
      </c>
      <c r="P99" s="2">
        <f t="shared" si="15"/>
        <v>3.0555996154498739E-2</v>
      </c>
      <c r="Q99" s="2">
        <f t="shared" si="16"/>
        <v>2.9135311022937871E-2</v>
      </c>
      <c r="R99" s="2">
        <f t="shared" si="17"/>
        <v>0.93984756129269142</v>
      </c>
      <c r="S99" s="2">
        <f t="shared" si="18"/>
        <v>4.461939302386596E-4</v>
      </c>
      <c r="T99" s="3">
        <f t="shared" si="19"/>
        <v>8.344457630866281E-2</v>
      </c>
      <c r="U99" s="4">
        <f t="shared" si="20"/>
        <v>7.9564864180421177E-2</v>
      </c>
      <c r="V99" s="14"/>
      <c r="W99" s="2">
        <f t="shared" si="12"/>
        <v>0.163009440489084</v>
      </c>
      <c r="X99" s="2">
        <f t="shared" si="13"/>
        <v>3.0067931906073517E-2</v>
      </c>
    </row>
    <row r="100" spans="1:25" ht="15.6" x14ac:dyDescent="0.35">
      <c r="A100" s="1" t="s">
        <v>23</v>
      </c>
      <c r="B100" s="1">
        <v>60</v>
      </c>
      <c r="C100" s="13">
        <f>+'Flow rate'!E99</f>
        <v>61.6</v>
      </c>
      <c r="D100" s="1" t="s">
        <v>25</v>
      </c>
      <c r="E100" s="1" t="s">
        <v>26</v>
      </c>
      <c r="F100" s="1" t="s">
        <v>24</v>
      </c>
      <c r="G100" s="1">
        <v>-3</v>
      </c>
      <c r="H100" s="12">
        <v>45414.065972222219</v>
      </c>
      <c r="I100" s="15">
        <f t="shared" si="14"/>
        <v>37.96666666661622</v>
      </c>
      <c r="J100" s="22">
        <v>3.1119109720361875</v>
      </c>
      <c r="K100" s="22">
        <v>2.957302915396482</v>
      </c>
      <c r="L100" s="22">
        <v>95.539802459612432</v>
      </c>
      <c r="N100" s="22">
        <v>4.5582373063516202E-2</v>
      </c>
      <c r="O100" s="22">
        <v>0.11913384534836874</v>
      </c>
      <c r="P100" s="2">
        <f t="shared" si="15"/>
        <v>3.0576759774775138E-2</v>
      </c>
      <c r="Q100" s="2">
        <f t="shared" si="16"/>
        <v>2.9057624603622136E-2</v>
      </c>
      <c r="R100" s="2">
        <f t="shared" si="17"/>
        <v>0.93874716050298024</v>
      </c>
      <c r="S100" s="2">
        <f t="shared" si="18"/>
        <v>4.4787954528639653E-4</v>
      </c>
      <c r="T100" s="3">
        <f t="shared" si="19"/>
        <v>8.3096587964856625E-2</v>
      </c>
      <c r="U100" s="4">
        <f t="shared" si="20"/>
        <v>7.8968127319907488E-2</v>
      </c>
      <c r="V100" s="14"/>
      <c r="W100" s="2">
        <f t="shared" si="12"/>
        <v>0.16206471528476413</v>
      </c>
      <c r="X100" s="2">
        <f t="shared" si="13"/>
        <v>3.0024262176407277E-2</v>
      </c>
      <c r="Y100">
        <f>+SUM(K100:L100)</f>
        <v>98.497105375008914</v>
      </c>
    </row>
    <row r="101" spans="1:25" ht="15.6" x14ac:dyDescent="0.35">
      <c r="A101" s="1" t="s">
        <v>23</v>
      </c>
      <c r="B101" s="1">
        <v>60</v>
      </c>
      <c r="C101" s="13">
        <f>+'Flow rate'!E100</f>
        <v>61.5</v>
      </c>
      <c r="D101" s="1" t="s">
        <v>25</v>
      </c>
      <c r="E101" s="1" t="s">
        <v>26</v>
      </c>
      <c r="F101" s="1" t="s">
        <v>24</v>
      </c>
      <c r="G101" s="1">
        <v>-3</v>
      </c>
      <c r="H101" s="12">
        <v>45414.077777777777</v>
      </c>
      <c r="I101" s="15">
        <f t="shared" si="14"/>
        <v>38.25</v>
      </c>
      <c r="J101" s="22">
        <v>3.1034585739949496</v>
      </c>
      <c r="K101" s="22">
        <v>2.9605914893726557</v>
      </c>
      <c r="L101" s="22">
        <v>95.524232194386258</v>
      </c>
      <c r="N101" s="22">
        <v>4.5208692586131402E-2</v>
      </c>
      <c r="O101" s="22">
        <v>0.11918419500525113</v>
      </c>
      <c r="P101" s="2">
        <f t="shared" si="15"/>
        <v>3.0500019479211892E-2</v>
      </c>
      <c r="Q101" s="2">
        <f t="shared" si="16"/>
        <v>2.9095957282142183E-2</v>
      </c>
      <c r="R101" s="2">
        <f t="shared" si="17"/>
        <v>0.93878841080038278</v>
      </c>
      <c r="S101" s="2">
        <f t="shared" si="18"/>
        <v>4.442997938044827E-4</v>
      </c>
      <c r="T101" s="3">
        <f t="shared" si="19"/>
        <v>8.2753477062772376E-2</v>
      </c>
      <c r="U101" s="4">
        <f t="shared" si="20"/>
        <v>7.8943937567261327E-2</v>
      </c>
      <c r="V101" s="14"/>
      <c r="W101" s="2">
        <f t="shared" si="12"/>
        <v>0.1616974146300337</v>
      </c>
      <c r="X101" s="2">
        <f t="shared" si="13"/>
        <v>3.0061398077731293E-2</v>
      </c>
    </row>
    <row r="102" spans="1:25" ht="15.6" x14ac:dyDescent="0.35">
      <c r="A102" s="1" t="s">
        <v>23</v>
      </c>
      <c r="B102" s="1">
        <v>60</v>
      </c>
      <c r="C102" s="13">
        <f>+'Flow rate'!E101</f>
        <v>62</v>
      </c>
      <c r="D102" s="1" t="s">
        <v>25</v>
      </c>
      <c r="E102" s="1" t="s">
        <v>26</v>
      </c>
      <c r="F102" s="1" t="s">
        <v>24</v>
      </c>
      <c r="G102" s="1">
        <v>-3</v>
      </c>
      <c r="H102" s="12">
        <v>45414.089583333334</v>
      </c>
      <c r="I102" s="15">
        <f t="shared" si="14"/>
        <v>38.53333333338378</v>
      </c>
      <c r="J102" s="22">
        <v>3.0961700795498808</v>
      </c>
      <c r="K102" s="22">
        <v>2.9723975675708836</v>
      </c>
      <c r="L102" s="22">
        <v>95.524301077173547</v>
      </c>
      <c r="N102" s="22">
        <v>4.5253375979284305E-2</v>
      </c>
      <c r="O102" s="22">
        <v>1.2220387449969894E-3</v>
      </c>
      <c r="P102" s="2">
        <f t="shared" si="15"/>
        <v>3.0462318561550853E-2</v>
      </c>
      <c r="Q102" s="2">
        <f t="shared" si="16"/>
        <v>2.9244556748667588E-2</v>
      </c>
      <c r="R102" s="2">
        <f t="shared" si="17"/>
        <v>0.93983586657661711</v>
      </c>
      <c r="S102" s="2">
        <f t="shared" si="18"/>
        <v>4.4523482872329818E-4</v>
      </c>
      <c r="T102" s="3">
        <f t="shared" si="19"/>
        <v>8.3323146775261314E-2</v>
      </c>
      <c r="U102" s="4">
        <f t="shared" si="20"/>
        <v>7.9992220205533565E-2</v>
      </c>
      <c r="V102" s="14"/>
      <c r="W102" s="2">
        <f t="shared" si="12"/>
        <v>0.16331536698079488</v>
      </c>
      <c r="X102" s="2">
        <f t="shared" si="13"/>
        <v>3.0177636494108876E-2</v>
      </c>
      <c r="Y102">
        <f>+SUM(K102:L102)</f>
        <v>98.496698644744427</v>
      </c>
    </row>
    <row r="103" spans="1:25" ht="15.6" x14ac:dyDescent="0.35">
      <c r="A103" s="1" t="s">
        <v>23</v>
      </c>
      <c r="B103" s="1">
        <v>60</v>
      </c>
      <c r="C103" s="13">
        <f>+'Flow rate'!E102</f>
        <v>61.6</v>
      </c>
      <c r="D103" s="1" t="s">
        <v>25</v>
      </c>
      <c r="E103" s="1" t="s">
        <v>26</v>
      </c>
      <c r="F103" s="1" t="s">
        <v>24</v>
      </c>
      <c r="G103" s="1">
        <v>-3</v>
      </c>
      <c r="H103" s="12">
        <v>45414.101388888892</v>
      </c>
      <c r="I103" s="15">
        <f t="shared" si="14"/>
        <v>38.81666666676756</v>
      </c>
      <c r="J103" s="22">
        <v>3.093302250005781</v>
      </c>
      <c r="K103" s="22">
        <v>2.9725823794362642</v>
      </c>
      <c r="L103" s="22">
        <v>95.530604862486115</v>
      </c>
      <c r="N103" s="22">
        <v>4.3870575357985886E-2</v>
      </c>
      <c r="O103" s="22">
        <v>0.11703203990409206</v>
      </c>
      <c r="P103" s="2">
        <f t="shared" si="15"/>
        <v>3.0398796450554929E-2</v>
      </c>
      <c r="Q103" s="2">
        <f t="shared" si="16"/>
        <v>2.9212446564127498E-2</v>
      </c>
      <c r="R103" s="2">
        <f t="shared" si="17"/>
        <v>0.93880751937761053</v>
      </c>
      <c r="S103" s="2">
        <f t="shared" si="18"/>
        <v>4.3112912437627185E-4</v>
      </c>
      <c r="T103" s="3">
        <f t="shared" si="19"/>
        <v>8.2612947934503148E-2</v>
      </c>
      <c r="U103" s="4">
        <f t="shared" si="20"/>
        <v>7.9388877482932899E-2</v>
      </c>
      <c r="V103" s="14"/>
      <c r="W103" s="2">
        <f t="shared" si="12"/>
        <v>0.16200182541743605</v>
      </c>
      <c r="X103" s="2">
        <f t="shared" si="13"/>
        <v>3.0177524836182669E-2</v>
      </c>
    </row>
    <row r="104" spans="1:25" ht="15.6" x14ac:dyDescent="0.35">
      <c r="A104" s="1" t="s">
        <v>23</v>
      </c>
      <c r="B104" s="1">
        <v>60</v>
      </c>
      <c r="C104" s="13">
        <f>+'Flow rate'!E103</f>
        <v>61.8</v>
      </c>
      <c r="D104" s="1" t="s">
        <v>25</v>
      </c>
      <c r="E104" s="1" t="s">
        <v>26</v>
      </c>
      <c r="F104" s="1" t="s">
        <v>24</v>
      </c>
      <c r="G104" s="1">
        <v>-3</v>
      </c>
      <c r="H104" s="12">
        <v>45414.113194444442</v>
      </c>
      <c r="I104" s="15">
        <f t="shared" si="14"/>
        <v>39.099999999976717</v>
      </c>
      <c r="J104" s="22">
        <v>3.0986793400357779</v>
      </c>
      <c r="K104" s="22">
        <v>2.9729371912871079</v>
      </c>
      <c r="L104" s="22">
        <v>95.539245703003843</v>
      </c>
      <c r="N104" s="22">
        <v>4.4238939693428028E-2</v>
      </c>
      <c r="O104" s="22">
        <v>0.11602481258199338</v>
      </c>
      <c r="P104" s="2">
        <f t="shared" si="15"/>
        <v>3.0447529296705522E-2</v>
      </c>
      <c r="Q104" s="2">
        <f t="shared" si="16"/>
        <v>2.9211990753433205E-2</v>
      </c>
      <c r="R104" s="2">
        <f t="shared" si="17"/>
        <v>0.9387657331764343</v>
      </c>
      <c r="S104" s="2">
        <f t="shared" si="18"/>
        <v>4.3469048086637011E-4</v>
      </c>
      <c r="T104" s="3">
        <f t="shared" si="19"/>
        <v>8.3014040058118271E-2</v>
      </c>
      <c r="U104" s="4">
        <f t="shared" si="20"/>
        <v>7.9645390827993212E-2</v>
      </c>
      <c r="V104" s="14"/>
      <c r="W104" s="2">
        <f t="shared" si="12"/>
        <v>0.16265943088611148</v>
      </c>
      <c r="X104" s="2">
        <f t="shared" si="13"/>
        <v>3.0178370877003455E-2</v>
      </c>
      <c r="Y104">
        <f>+SUM(K104:L104)</f>
        <v>98.512182894290945</v>
      </c>
    </row>
    <row r="105" spans="1:25" ht="15.6" x14ac:dyDescent="0.35">
      <c r="A105" s="1" t="s">
        <v>23</v>
      </c>
      <c r="B105" s="1">
        <v>60</v>
      </c>
      <c r="C105" s="13">
        <f>+'Flow rate'!E104</f>
        <v>61.6</v>
      </c>
      <c r="D105" s="1" t="s">
        <v>25</v>
      </c>
      <c r="E105" s="1" t="s">
        <v>26</v>
      </c>
      <c r="F105" s="1" t="s">
        <v>24</v>
      </c>
      <c r="G105" s="1">
        <v>-3</v>
      </c>
      <c r="H105" s="12">
        <v>45414.125</v>
      </c>
      <c r="I105" s="15">
        <f t="shared" si="14"/>
        <v>39.383333333360497</v>
      </c>
      <c r="J105" s="22">
        <v>3.1008669004593821</v>
      </c>
      <c r="K105" s="22">
        <v>2.9604989151231504</v>
      </c>
      <c r="L105" s="22">
        <v>95.522940136984687</v>
      </c>
      <c r="N105" s="22">
        <v>4.6478409794793389E-2</v>
      </c>
      <c r="O105" s="22">
        <v>1.2673583453677306E-3</v>
      </c>
      <c r="P105" s="2">
        <f t="shared" si="15"/>
        <v>3.0510718301553139E-2</v>
      </c>
      <c r="Q105" s="2">
        <f t="shared" si="16"/>
        <v>2.9129579350211553E-2</v>
      </c>
      <c r="R105" s="2">
        <f t="shared" si="17"/>
        <v>0.93988991189008952</v>
      </c>
      <c r="S105" s="2">
        <f t="shared" si="18"/>
        <v>4.5732039261117745E-4</v>
      </c>
      <c r="T105" s="3">
        <f t="shared" si="19"/>
        <v>8.2917111096498339E-2</v>
      </c>
      <c r="U105" s="4">
        <f t="shared" si="20"/>
        <v>7.9163674329253739E-2</v>
      </c>
      <c r="V105" s="14"/>
      <c r="W105" s="2">
        <f t="shared" si="12"/>
        <v>0.16208078542575208</v>
      </c>
      <c r="X105" s="2">
        <f t="shared" si="13"/>
        <v>3.0060880728959342E-2</v>
      </c>
    </row>
    <row r="106" spans="1:25" ht="15.6" x14ac:dyDescent="0.35">
      <c r="A106" s="1" t="s">
        <v>23</v>
      </c>
      <c r="B106" s="1">
        <v>60</v>
      </c>
      <c r="C106" s="13">
        <f>+'Flow rate'!E105</f>
        <v>61.8</v>
      </c>
      <c r="D106" s="1" t="s">
        <v>25</v>
      </c>
      <c r="E106" s="1" t="s">
        <v>26</v>
      </c>
      <c r="F106" s="1" t="s">
        <v>24</v>
      </c>
      <c r="G106" s="1">
        <v>-3</v>
      </c>
      <c r="H106" s="12">
        <v>45414.136805555558</v>
      </c>
      <c r="I106" s="15">
        <f t="shared" si="14"/>
        <v>39.666666666744277</v>
      </c>
      <c r="J106" s="22">
        <v>3.1169106970492888</v>
      </c>
      <c r="K106" s="22">
        <v>2.9320555611200994</v>
      </c>
      <c r="L106" s="22">
        <v>95.546102571176817</v>
      </c>
      <c r="N106" s="22">
        <v>4.4967694151398355E-2</v>
      </c>
      <c r="O106" s="22">
        <v>0.11995185163436978</v>
      </c>
      <c r="P106" s="2">
        <f t="shared" si="15"/>
        <v>3.0630022141502102E-2</v>
      </c>
      <c r="Q106" s="2">
        <f t="shared" si="16"/>
        <v>2.8813442374926931E-2</v>
      </c>
      <c r="R106" s="2">
        <f t="shared" si="17"/>
        <v>0.93893586366138293</v>
      </c>
      <c r="S106" s="2">
        <f t="shared" si="18"/>
        <v>4.4189956061735879E-4</v>
      </c>
      <c r="T106" s="3">
        <f t="shared" si="19"/>
        <v>8.3511599915295331E-2</v>
      </c>
      <c r="U106" s="4">
        <f t="shared" si="20"/>
        <v>7.8558763708399718E-2</v>
      </c>
      <c r="V106" s="14"/>
      <c r="W106" s="2">
        <f t="shared" si="12"/>
        <v>0.16207036362369504</v>
      </c>
      <c r="X106" s="2">
        <f t="shared" si="13"/>
        <v>2.9773663690796648E-2</v>
      </c>
      <c r="Y106">
        <f>+SUM(K106:L106)</f>
        <v>98.478158132296912</v>
      </c>
    </row>
    <row r="107" spans="1:25" ht="15.6" x14ac:dyDescent="0.35">
      <c r="A107" s="1" t="s">
        <v>23</v>
      </c>
      <c r="B107" s="1">
        <v>60</v>
      </c>
      <c r="C107" s="13">
        <f>+'Flow rate'!E106</f>
        <v>61.7</v>
      </c>
      <c r="D107" s="1" t="s">
        <v>25</v>
      </c>
      <c r="E107" s="1" t="s">
        <v>26</v>
      </c>
      <c r="F107" s="1" t="s">
        <v>24</v>
      </c>
      <c r="G107" s="1">
        <v>-3</v>
      </c>
      <c r="H107" s="12">
        <v>45414.154861111114</v>
      </c>
      <c r="I107" s="15">
        <f t="shared" si="14"/>
        <v>40.100000000093132</v>
      </c>
      <c r="J107" s="22">
        <v>3.1195088768782497</v>
      </c>
      <c r="K107" s="22">
        <v>2.948108104301673</v>
      </c>
      <c r="L107" s="22">
        <v>95.532704409840989</v>
      </c>
      <c r="N107" s="22">
        <v>4.4508512391102768E-2</v>
      </c>
      <c r="O107" s="22">
        <v>0.11851173435530793</v>
      </c>
      <c r="P107" s="2">
        <f t="shared" si="15"/>
        <v>3.0654544423102056E-2</v>
      </c>
      <c r="Q107" s="2">
        <f t="shared" si="16"/>
        <v>2.8970236795049828E-2</v>
      </c>
      <c r="R107" s="2">
        <f t="shared" si="17"/>
        <v>0.93877326424573737</v>
      </c>
      <c r="S107" s="2">
        <f t="shared" si="18"/>
        <v>4.3737274813098679E-4</v>
      </c>
      <c r="T107" s="3">
        <f t="shared" si="19"/>
        <v>8.3443218766121263E-2</v>
      </c>
      <c r="U107" s="4">
        <f t="shared" si="20"/>
        <v>7.8858448301514686E-2</v>
      </c>
      <c r="V107" s="14"/>
      <c r="W107" s="2">
        <f t="shared" si="12"/>
        <v>0.16230166706763594</v>
      </c>
      <c r="X107" s="2">
        <f t="shared" si="13"/>
        <v>2.993586292637767E-2</v>
      </c>
    </row>
    <row r="108" spans="1:25" ht="15.6" x14ac:dyDescent="0.35">
      <c r="A108" s="1" t="s">
        <v>23</v>
      </c>
      <c r="B108" s="1">
        <v>60</v>
      </c>
      <c r="C108" s="13">
        <f>+'Flow rate'!E107</f>
        <v>62.1</v>
      </c>
      <c r="D108" s="1" t="s">
        <v>25</v>
      </c>
      <c r="E108" s="1" t="s">
        <v>26</v>
      </c>
      <c r="F108" s="1" t="s">
        <v>24</v>
      </c>
      <c r="G108" s="1">
        <v>-3</v>
      </c>
      <c r="H108" s="12">
        <v>45414.166666666664</v>
      </c>
      <c r="I108" s="15">
        <f t="shared" si="14"/>
        <v>40.383333333302289</v>
      </c>
      <c r="J108" s="22">
        <v>3.1310062202282181</v>
      </c>
      <c r="K108" s="22">
        <v>2.9213857897553903</v>
      </c>
      <c r="L108" s="22">
        <v>95.578855601757311</v>
      </c>
      <c r="N108" s="22">
        <v>4.583693674655144E-2</v>
      </c>
      <c r="O108" s="22">
        <v>1.2511910763179923E-3</v>
      </c>
      <c r="P108" s="2">
        <f t="shared" si="15"/>
        <v>3.0793248113815463E-2</v>
      </c>
      <c r="Q108" s="2">
        <f t="shared" si="16"/>
        <v>2.8731644440347162E-2</v>
      </c>
      <c r="R108" s="2">
        <f t="shared" si="17"/>
        <v>0.94001199868741436</v>
      </c>
      <c r="S108" s="2">
        <f t="shared" si="18"/>
        <v>4.5080337333566279E-4</v>
      </c>
      <c r="T108" s="3">
        <f t="shared" si="19"/>
        <v>8.4364185824708837E-2</v>
      </c>
      <c r="U108" s="4">
        <f t="shared" si="20"/>
        <v>7.8716015330887165E-2</v>
      </c>
      <c r="V108" s="14"/>
      <c r="W108" s="2">
        <f t="shared" si="12"/>
        <v>0.16308020115559602</v>
      </c>
      <c r="X108" s="2">
        <f t="shared" si="13"/>
        <v>2.9658666298528608E-2</v>
      </c>
      <c r="Y108">
        <f>+SUM(K108:L108)</f>
        <v>98.500241391512702</v>
      </c>
    </row>
    <row r="109" spans="1:25" ht="15.6" x14ac:dyDescent="0.35">
      <c r="A109" s="1" t="s">
        <v>23</v>
      </c>
      <c r="B109" s="1">
        <v>60</v>
      </c>
      <c r="C109" s="13">
        <f>+'Flow rate'!E108</f>
        <v>62</v>
      </c>
      <c r="D109" s="1" t="s">
        <v>25</v>
      </c>
      <c r="E109" s="1" t="s">
        <v>26</v>
      </c>
      <c r="F109" s="1" t="s">
        <v>24</v>
      </c>
      <c r="G109" s="1">
        <v>-3</v>
      </c>
      <c r="H109" s="12">
        <v>45414.178472222222</v>
      </c>
      <c r="I109" s="15">
        <f t="shared" si="14"/>
        <v>40.666666666686069</v>
      </c>
      <c r="J109" s="22">
        <v>3.1175251803143471</v>
      </c>
      <c r="K109" s="22">
        <v>2.9429778077107436</v>
      </c>
      <c r="L109" s="22">
        <v>95.620947485099904</v>
      </c>
      <c r="N109" s="22">
        <v>4.4375165830708177E-2</v>
      </c>
      <c r="O109" s="22">
        <v>0.11792076989417882</v>
      </c>
      <c r="P109" s="2">
        <f t="shared" si="15"/>
        <v>3.0610865077558107E-2</v>
      </c>
      <c r="Q109" s="2">
        <f t="shared" si="16"/>
        <v>2.889699084611648E-2</v>
      </c>
      <c r="R109" s="2">
        <f t="shared" si="17"/>
        <v>0.93889856625296686</v>
      </c>
      <c r="S109" s="2">
        <f t="shared" si="18"/>
        <v>4.3571812109665395E-4</v>
      </c>
      <c r="T109" s="3">
        <f t="shared" si="19"/>
        <v>8.3729463948106084E-2</v>
      </c>
      <c r="U109" s="4">
        <f t="shared" si="20"/>
        <v>7.9041528134809344E-2</v>
      </c>
      <c r="V109" s="14"/>
      <c r="W109" s="2">
        <f t="shared" si="12"/>
        <v>0.16277099208291543</v>
      </c>
      <c r="X109" s="2">
        <f t="shared" si="13"/>
        <v>2.9858569440774974E-2</v>
      </c>
    </row>
    <row r="110" spans="1:25" ht="15.6" x14ac:dyDescent="0.35">
      <c r="A110" s="1" t="s">
        <v>23</v>
      </c>
      <c r="B110" s="1">
        <v>60</v>
      </c>
      <c r="C110" s="13">
        <f>+'Flow rate'!E109</f>
        <v>61.8</v>
      </c>
      <c r="D110" s="1" t="s">
        <v>25</v>
      </c>
      <c r="E110" s="1" t="s">
        <v>26</v>
      </c>
      <c r="F110" s="1" t="s">
        <v>24</v>
      </c>
      <c r="G110" s="1">
        <v>-3</v>
      </c>
      <c r="H110" s="12">
        <v>45414.19027777778</v>
      </c>
      <c r="I110" s="15">
        <f t="shared" si="14"/>
        <v>40.950000000069849</v>
      </c>
      <c r="J110" s="22">
        <v>3.1453309095189397</v>
      </c>
      <c r="K110" s="22">
        <v>2.9213507798574021</v>
      </c>
      <c r="L110" s="22">
        <v>95.656235677781495</v>
      </c>
      <c r="N110" s="22">
        <v>4.5671408609724004E-2</v>
      </c>
      <c r="O110" s="22">
        <v>1.136390440669266E-3</v>
      </c>
      <c r="P110" s="2">
        <f t="shared" si="15"/>
        <v>3.0906351612741904E-2</v>
      </c>
      <c r="Q110" s="2">
        <f t="shared" si="16"/>
        <v>2.8705499352448011E-2</v>
      </c>
      <c r="R110" s="2">
        <f t="shared" si="17"/>
        <v>0.93992821068896182</v>
      </c>
      <c r="S110" s="2">
        <f t="shared" si="18"/>
        <v>4.487720541166285E-4</v>
      </c>
      <c r="T110" s="3">
        <f t="shared" si="19"/>
        <v>8.4265001794679426E-2</v>
      </c>
      <c r="U110" s="4">
        <f t="shared" si="20"/>
        <v>7.8264461129535653E-2</v>
      </c>
      <c r="V110" s="14"/>
      <c r="W110" s="2">
        <f t="shared" si="12"/>
        <v>0.16252946292421508</v>
      </c>
      <c r="X110" s="2">
        <f t="shared" si="13"/>
        <v>2.963504062977617E-2</v>
      </c>
      <c r="Y110">
        <f>+SUM(K110:L110)</f>
        <v>98.577586457638901</v>
      </c>
    </row>
    <row r="111" spans="1:25" ht="15.6" x14ac:dyDescent="0.35">
      <c r="A111" s="1" t="s">
        <v>23</v>
      </c>
      <c r="B111" s="1">
        <v>60</v>
      </c>
      <c r="C111" s="13">
        <f>+'Flow rate'!E110</f>
        <v>61.8</v>
      </c>
      <c r="D111" s="1" t="s">
        <v>25</v>
      </c>
      <c r="E111" s="1" t="s">
        <v>26</v>
      </c>
      <c r="F111" s="1" t="s">
        <v>24</v>
      </c>
      <c r="G111" s="1">
        <v>-3</v>
      </c>
      <c r="H111" s="12">
        <v>45414.20208333333</v>
      </c>
      <c r="I111" s="15">
        <f t="shared" si="14"/>
        <v>41.233333333279006</v>
      </c>
      <c r="J111" s="22">
        <v>3.1486447816213192</v>
      </c>
      <c r="K111" s="22">
        <v>2.9189775127336284</v>
      </c>
      <c r="L111" s="22">
        <v>95.658162558949627</v>
      </c>
      <c r="N111" s="22">
        <v>4.5342725080586427E-2</v>
      </c>
      <c r="O111" s="22">
        <v>1.1296831476275138E-3</v>
      </c>
      <c r="P111" s="2">
        <f t="shared" si="15"/>
        <v>3.0938144307146299E-2</v>
      </c>
      <c r="Q111" s="2">
        <f t="shared" si="16"/>
        <v>2.8681465767556719E-2</v>
      </c>
      <c r="R111" s="2">
        <f t="shared" si="17"/>
        <v>0.93992375852614474</v>
      </c>
      <c r="S111" s="2">
        <f t="shared" si="18"/>
        <v>4.4553129016354021E-4</v>
      </c>
      <c r="T111" s="3">
        <f t="shared" si="19"/>
        <v>8.4351683376660103E-2</v>
      </c>
      <c r="U111" s="4">
        <f t="shared" si="20"/>
        <v>7.8198934466946271E-2</v>
      </c>
      <c r="V111" s="14"/>
      <c r="W111" s="2">
        <f t="shared" si="12"/>
        <v>0.16255061784360636</v>
      </c>
      <c r="X111" s="2">
        <f t="shared" si="13"/>
        <v>2.9611099597848023E-2</v>
      </c>
    </row>
    <row r="112" spans="1:25" ht="15.6" x14ac:dyDescent="0.35">
      <c r="A112" s="1" t="s">
        <v>23</v>
      </c>
      <c r="B112" s="1">
        <v>60</v>
      </c>
      <c r="C112" s="13">
        <f>+'Flow rate'!E111</f>
        <v>61.4</v>
      </c>
      <c r="D112" s="1" t="s">
        <v>25</v>
      </c>
      <c r="E112" s="1" t="s">
        <v>26</v>
      </c>
      <c r="F112" s="1" t="s">
        <v>24</v>
      </c>
      <c r="G112" s="1">
        <v>-3</v>
      </c>
      <c r="H112" s="12">
        <v>45414.213888888888</v>
      </c>
      <c r="I112" s="15">
        <f t="shared" si="14"/>
        <v>41.516666666662786</v>
      </c>
      <c r="J112" s="22">
        <v>3.1489144313364545</v>
      </c>
      <c r="K112" s="22">
        <v>2.9104421669289571</v>
      </c>
      <c r="L112" s="22">
        <v>95.644445516231329</v>
      </c>
      <c r="N112" s="22">
        <v>4.6566080828818968E-2</v>
      </c>
      <c r="O112" s="22">
        <v>1.163662535109744E-3</v>
      </c>
      <c r="P112" s="2">
        <f t="shared" si="15"/>
        <v>3.0947096066674003E-2</v>
      </c>
      <c r="Q112" s="2">
        <f t="shared" si="16"/>
        <v>2.8603423592625892E-2</v>
      </c>
      <c r="R112" s="2">
        <f t="shared" si="17"/>
        <v>0.93998039901590391</v>
      </c>
      <c r="S112" s="2">
        <f t="shared" si="18"/>
        <v>4.5764501013968343E-4</v>
      </c>
      <c r="T112" s="3">
        <f t="shared" si="19"/>
        <v>8.3829966451382132E-2</v>
      </c>
      <c r="U112" s="4">
        <f t="shared" si="20"/>
        <v>7.7481390660968846E-2</v>
      </c>
      <c r="V112" s="14"/>
      <c r="W112" s="2">
        <f t="shared" si="12"/>
        <v>0.16131135711235098</v>
      </c>
      <c r="X112" s="2">
        <f t="shared" si="13"/>
        <v>2.9531180394478333E-2</v>
      </c>
      <c r="Y112">
        <f>+SUM(K112:L112)</f>
        <v>98.554887683160288</v>
      </c>
    </row>
    <row r="113" spans="1:25" ht="15.6" x14ac:dyDescent="0.35">
      <c r="A113" s="1" t="s">
        <v>23</v>
      </c>
      <c r="B113" s="1">
        <v>60</v>
      </c>
      <c r="C113" s="13">
        <f>+'Flow rate'!E112</f>
        <v>61.9</v>
      </c>
      <c r="D113" s="1" t="s">
        <v>25</v>
      </c>
      <c r="E113" s="1" t="s">
        <v>26</v>
      </c>
      <c r="F113" s="1" t="s">
        <v>24</v>
      </c>
      <c r="G113" s="1">
        <v>-3</v>
      </c>
      <c r="H113" s="12">
        <v>45414.225694444445</v>
      </c>
      <c r="I113" s="15">
        <f t="shared" si="14"/>
        <v>41.800000000046566</v>
      </c>
      <c r="J113" s="22">
        <v>3.1664105771963627</v>
      </c>
      <c r="K113" s="22">
        <v>2.9164069783000084</v>
      </c>
      <c r="L113" s="22">
        <v>95.651463845656963</v>
      </c>
      <c r="N113" s="22">
        <v>4.4484700505317942E-2</v>
      </c>
      <c r="O113" s="22">
        <v>0.11643170806493819</v>
      </c>
      <c r="P113" s="2">
        <f t="shared" si="15"/>
        <v>3.1075169833903599E-2</v>
      </c>
      <c r="Q113" s="2">
        <f t="shared" si="16"/>
        <v>2.8621633217161321E-2</v>
      </c>
      <c r="R113" s="2">
        <f t="shared" si="17"/>
        <v>0.93872396248029255</v>
      </c>
      <c r="S113" s="2">
        <f t="shared" si="18"/>
        <v>4.3657308157335831E-4</v>
      </c>
      <c r="T113" s="3">
        <f t="shared" si="19"/>
        <v>8.4862374225952109E-2</v>
      </c>
      <c r="U113" s="4">
        <f t="shared" si="20"/>
        <v>7.8162074801686535E-2</v>
      </c>
      <c r="V113" s="14"/>
      <c r="W113" s="2">
        <f t="shared" si="12"/>
        <v>0.16302444902763863</v>
      </c>
      <c r="X113" s="2">
        <f t="shared" si="13"/>
        <v>2.9587805376345557E-2</v>
      </c>
    </row>
    <row r="114" spans="1:25" ht="15.6" x14ac:dyDescent="0.35">
      <c r="A114" s="1" t="s">
        <v>23</v>
      </c>
      <c r="B114" s="1">
        <v>60</v>
      </c>
      <c r="C114" s="13">
        <f>+'Flow rate'!E113</f>
        <v>61.8</v>
      </c>
      <c r="D114" s="1" t="s">
        <v>25</v>
      </c>
      <c r="E114" s="1" t="s">
        <v>26</v>
      </c>
      <c r="F114" s="1" t="s">
        <v>24</v>
      </c>
      <c r="G114" s="1">
        <v>-3</v>
      </c>
      <c r="H114" s="12">
        <v>45414.237500000003</v>
      </c>
      <c r="I114" s="15">
        <f t="shared" si="14"/>
        <v>42.083333333430346</v>
      </c>
      <c r="J114" s="22">
        <v>3.1724035963343939</v>
      </c>
      <c r="K114" s="22">
        <v>2.8924134159955965</v>
      </c>
      <c r="L114" s="22">
        <v>95.648404164091488</v>
      </c>
      <c r="N114" s="22">
        <v>4.5384505868798344E-2</v>
      </c>
      <c r="O114" s="22">
        <v>1.3119672780234626E-3</v>
      </c>
      <c r="P114" s="2">
        <f t="shared" si="15"/>
        <v>3.1175375035770305E-2</v>
      </c>
      <c r="Q114" s="2">
        <f t="shared" si="16"/>
        <v>2.8423896980304474E-2</v>
      </c>
      <c r="R114" s="2">
        <f t="shared" si="17"/>
        <v>0.93994183931513087</v>
      </c>
      <c r="S114" s="2">
        <f t="shared" si="18"/>
        <v>4.4599589815991637E-4</v>
      </c>
      <c r="T114" s="3">
        <f t="shared" si="19"/>
        <v>8.4998484009220485E-2</v>
      </c>
      <c r="U114" s="4">
        <f t="shared" si="20"/>
        <v>7.749668288474669E-2</v>
      </c>
      <c r="V114" s="14"/>
      <c r="W114" s="2">
        <f t="shared" si="12"/>
        <v>0.16249516689396717</v>
      </c>
      <c r="X114" s="2">
        <f t="shared" si="13"/>
        <v>2.9352439801352829E-2</v>
      </c>
      <c r="Y114">
        <f>+SUM(K114:L114)</f>
        <v>98.540817580087079</v>
      </c>
    </row>
    <row r="115" spans="1:25" ht="15.6" x14ac:dyDescent="0.35">
      <c r="A115" s="1" t="s">
        <v>23</v>
      </c>
      <c r="B115" s="1">
        <v>60</v>
      </c>
      <c r="C115" s="13">
        <f>+'Flow rate'!E114</f>
        <v>61.6</v>
      </c>
      <c r="D115" s="1" t="s">
        <v>25</v>
      </c>
      <c r="E115" s="1" t="s">
        <v>26</v>
      </c>
      <c r="F115" s="1" t="s">
        <v>24</v>
      </c>
      <c r="G115" s="1">
        <v>-3</v>
      </c>
      <c r="H115" s="12">
        <v>45414.249305555553</v>
      </c>
      <c r="I115" s="15">
        <f t="shared" si="14"/>
        <v>42.366666666639503</v>
      </c>
      <c r="J115" s="22">
        <v>3.1667185417503809</v>
      </c>
      <c r="K115" s="22">
        <v>2.8985246629976871</v>
      </c>
      <c r="L115" s="22">
        <v>95.628215721277869</v>
      </c>
      <c r="N115" s="22">
        <v>4.4290993583282937E-2</v>
      </c>
      <c r="O115" s="22">
        <v>0.11574004429004431</v>
      </c>
      <c r="P115" s="2">
        <f t="shared" si="15"/>
        <v>3.1090918365907595E-2</v>
      </c>
      <c r="Q115" s="2">
        <f t="shared" si="16"/>
        <v>2.8457784451225321E-2</v>
      </c>
      <c r="R115" s="2">
        <f t="shared" si="17"/>
        <v>0.93888010862634275</v>
      </c>
      <c r="S115" s="2">
        <f t="shared" si="18"/>
        <v>4.3485003409290479E-4</v>
      </c>
      <c r="T115" s="3">
        <f t="shared" si="19"/>
        <v>8.4493885288400086E-2</v>
      </c>
      <c r="U115" s="4">
        <f t="shared" si="20"/>
        <v>7.7337978463205698E-2</v>
      </c>
      <c r="V115" s="14"/>
      <c r="W115" s="2">
        <f t="shared" si="12"/>
        <v>0.1618318637516058</v>
      </c>
      <c r="X115" s="2">
        <f t="shared" si="13"/>
        <v>2.9418659865259069E-2</v>
      </c>
    </row>
    <row r="116" spans="1:25" ht="15.6" x14ac:dyDescent="0.35">
      <c r="A116" s="1" t="s">
        <v>23</v>
      </c>
      <c r="B116" s="1">
        <v>60</v>
      </c>
      <c r="C116" s="13">
        <f>+'Flow rate'!E115</f>
        <v>61.9</v>
      </c>
      <c r="D116" s="1" t="s">
        <v>25</v>
      </c>
      <c r="E116" s="1" t="s">
        <v>26</v>
      </c>
      <c r="F116" s="1" t="s">
        <v>24</v>
      </c>
      <c r="G116" s="1">
        <v>-3</v>
      </c>
      <c r="H116" s="12">
        <v>45414.26666666667</v>
      </c>
      <c r="I116" s="15">
        <f t="shared" si="14"/>
        <v>42.783333333441988</v>
      </c>
      <c r="J116" s="22">
        <v>3.181022266317941</v>
      </c>
      <c r="K116" s="22">
        <v>2.9204159482541732</v>
      </c>
      <c r="L116" s="22">
        <v>96.068575022292123</v>
      </c>
      <c r="N116" s="22">
        <v>4.4819506694747213E-2</v>
      </c>
      <c r="O116" s="22">
        <v>0.11760789946815609</v>
      </c>
      <c r="P116" s="2">
        <f t="shared" si="15"/>
        <v>3.1085179307063598E-2</v>
      </c>
      <c r="Q116" s="2">
        <f t="shared" si="16"/>
        <v>2.8538515547006729E-2</v>
      </c>
      <c r="R116" s="2">
        <f t="shared" si="17"/>
        <v>0.93878905280305325</v>
      </c>
      <c r="S116" s="2">
        <f t="shared" si="18"/>
        <v>4.3797945610516602E-4</v>
      </c>
      <c r="T116" s="3">
        <f t="shared" si="19"/>
        <v>8.4889708836242236E-2</v>
      </c>
      <c r="U116" s="4">
        <f t="shared" si="20"/>
        <v>7.7935090914964436E-2</v>
      </c>
      <c r="V116" s="14"/>
      <c r="W116" s="2">
        <f t="shared" si="12"/>
        <v>0.16282479975120667</v>
      </c>
      <c r="X116" s="2">
        <f t="shared" si="13"/>
        <v>2.9502431731253116E-2</v>
      </c>
      <c r="Y116">
        <f>+SUM(K116:L116)</f>
        <v>98.988990970546297</v>
      </c>
    </row>
    <row r="117" spans="1:25" ht="15.6" x14ac:dyDescent="0.35">
      <c r="A117" s="1" t="s">
        <v>23</v>
      </c>
      <c r="B117" s="1">
        <v>60</v>
      </c>
      <c r="C117" s="13">
        <f>+'Flow rate'!E116</f>
        <v>61.8</v>
      </c>
      <c r="D117" s="1" t="s">
        <v>25</v>
      </c>
      <c r="E117" s="1" t="s">
        <v>26</v>
      </c>
      <c r="F117" s="1" t="s">
        <v>24</v>
      </c>
      <c r="G117" s="1">
        <v>-3</v>
      </c>
      <c r="H117" s="12">
        <v>45414.27847222222</v>
      </c>
      <c r="I117" s="15">
        <f t="shared" si="14"/>
        <v>43.066666666651145</v>
      </c>
      <c r="J117" s="22">
        <v>3.215092833140166</v>
      </c>
      <c r="K117" s="22">
        <v>2.8724177147354215</v>
      </c>
      <c r="L117" s="22">
        <v>96.126061933050423</v>
      </c>
      <c r="N117" s="22">
        <v>4.4388234679650501E-2</v>
      </c>
      <c r="O117" s="22">
        <v>0.11617914013494945</v>
      </c>
      <c r="P117" s="2">
        <f t="shared" si="15"/>
        <v>3.1405322063469146E-2</v>
      </c>
      <c r="Q117" s="2">
        <f t="shared" si="16"/>
        <v>2.8058040036117105E-2</v>
      </c>
      <c r="R117" s="2">
        <f t="shared" si="17"/>
        <v>0.93896820103695544</v>
      </c>
      <c r="S117" s="2">
        <f t="shared" si="18"/>
        <v>4.3358835290044633E-4</v>
      </c>
      <c r="T117" s="3">
        <f t="shared" si="19"/>
        <v>8.5625425905970762E-2</v>
      </c>
      <c r="U117" s="4">
        <f t="shared" si="20"/>
        <v>7.6499187727607734E-2</v>
      </c>
      <c r="V117" s="14"/>
      <c r="W117" s="2">
        <f t="shared" si="12"/>
        <v>0.1621246136335785</v>
      </c>
      <c r="X117" s="2">
        <f t="shared" si="13"/>
        <v>2.9014765933323753E-2</v>
      </c>
    </row>
    <row r="118" spans="1:25" ht="15.6" x14ac:dyDescent="0.35">
      <c r="A118" s="1" t="s">
        <v>23</v>
      </c>
      <c r="B118" s="1">
        <v>60</v>
      </c>
      <c r="C118" s="13">
        <f>+'Flow rate'!E117</f>
        <v>61.8</v>
      </c>
      <c r="D118" s="1" t="s">
        <v>25</v>
      </c>
      <c r="E118" s="1" t="s">
        <v>26</v>
      </c>
      <c r="F118" s="1" t="s">
        <v>24</v>
      </c>
      <c r="G118" s="1">
        <v>-3</v>
      </c>
      <c r="H118" s="12">
        <v>45414.290277777778</v>
      </c>
      <c r="I118" s="15">
        <f t="shared" si="14"/>
        <v>43.350000000034925</v>
      </c>
      <c r="J118" s="22">
        <v>3.2038709228772411</v>
      </c>
      <c r="K118" s="22">
        <v>2.9109250678777587</v>
      </c>
      <c r="L118" s="22">
        <v>96.232702774186293</v>
      </c>
      <c r="N118" s="22">
        <v>4.5206256021074337E-2</v>
      </c>
      <c r="O118" s="22">
        <v>0.11825132124622312</v>
      </c>
      <c r="P118" s="2">
        <f t="shared" si="15"/>
        <v>3.1253936527349091E-2</v>
      </c>
      <c r="Q118" s="2">
        <f t="shared" si="16"/>
        <v>2.8396233649019172E-2</v>
      </c>
      <c r="R118" s="2">
        <f t="shared" si="17"/>
        <v>0.93875529219468179</v>
      </c>
      <c r="S118" s="2">
        <f t="shared" si="18"/>
        <v>4.4098950623545002E-4</v>
      </c>
      <c r="T118" s="3">
        <f t="shared" si="19"/>
        <v>8.5212678952442111E-2</v>
      </c>
      <c r="U118" s="4">
        <f t="shared" si="20"/>
        <v>7.7421259855538618E-2</v>
      </c>
      <c r="V118" s="14"/>
      <c r="W118" s="2">
        <f t="shared" si="12"/>
        <v>0.16263393880798072</v>
      </c>
      <c r="X118" s="2">
        <f t="shared" si="13"/>
        <v>2.9360687431317995E-2</v>
      </c>
      <c r="Y118">
        <f>+SUM(K118:L118)</f>
        <v>99.143627842064049</v>
      </c>
    </row>
    <row r="119" spans="1:25" ht="15.6" x14ac:dyDescent="0.35">
      <c r="A119" s="1" t="s">
        <v>23</v>
      </c>
      <c r="B119" s="1">
        <v>60</v>
      </c>
      <c r="C119" s="13">
        <f>+'Flow rate'!E118</f>
        <v>61.8</v>
      </c>
      <c r="D119" s="1" t="s">
        <v>25</v>
      </c>
      <c r="E119" s="1" t="s">
        <v>26</v>
      </c>
      <c r="F119" s="1" t="s">
        <v>24</v>
      </c>
      <c r="G119" s="1">
        <v>-3</v>
      </c>
      <c r="H119" s="12">
        <v>45414.302083333336</v>
      </c>
      <c r="I119" s="15">
        <f t="shared" si="14"/>
        <v>43.633333333418705</v>
      </c>
      <c r="J119" s="22">
        <v>3.2124491092574434</v>
      </c>
      <c r="K119" s="22">
        <v>2.9022533854510764</v>
      </c>
      <c r="L119" s="22">
        <v>96.273473761200833</v>
      </c>
      <c r="N119" s="22">
        <v>4.5586625250821293E-2</v>
      </c>
      <c r="O119" s="22">
        <v>1.2638474109010756E-3</v>
      </c>
      <c r="P119" s="2">
        <f t="shared" si="15"/>
        <v>3.1360846107549564E-2</v>
      </c>
      <c r="Q119" s="2">
        <f t="shared" si="16"/>
        <v>2.8332626818572234E-2</v>
      </c>
      <c r="R119" s="2">
        <f t="shared" si="17"/>
        <v>0.9398491593730246</v>
      </c>
      <c r="S119" s="2">
        <f t="shared" si="18"/>
        <v>4.4502966130535813E-4</v>
      </c>
      <c r="T119" s="3">
        <f t="shared" si="19"/>
        <v>8.5504163889918439E-2</v>
      </c>
      <c r="U119" s="4">
        <f t="shared" si="20"/>
        <v>7.7247838231759666E-2</v>
      </c>
      <c r="V119" s="14"/>
      <c r="W119" s="2">
        <f t="shared" si="12"/>
        <v>0.16275200212167812</v>
      </c>
      <c r="X119" s="2">
        <f t="shared" si="13"/>
        <v>2.9263746976712277E-2</v>
      </c>
    </row>
    <row r="120" spans="1:25" ht="15.6" x14ac:dyDescent="0.35">
      <c r="A120" s="1" t="s">
        <v>23</v>
      </c>
      <c r="B120" s="1">
        <v>60</v>
      </c>
      <c r="C120" s="13">
        <f>+'Flow rate'!E119</f>
        <v>62.1</v>
      </c>
      <c r="D120" s="1" t="s">
        <v>25</v>
      </c>
      <c r="E120" s="1" t="s">
        <v>26</v>
      </c>
      <c r="F120" s="1" t="s">
        <v>24</v>
      </c>
      <c r="G120" s="1">
        <v>-3</v>
      </c>
      <c r="H120" s="12">
        <v>45414.313888888886</v>
      </c>
      <c r="I120" s="15">
        <f t="shared" si="14"/>
        <v>43.916666666627862</v>
      </c>
      <c r="J120" s="22">
        <v>3.2102348007387733</v>
      </c>
      <c r="K120" s="22">
        <v>2.8883822282215634</v>
      </c>
      <c r="L120" s="22">
        <v>96.194776829971744</v>
      </c>
      <c r="N120" s="22">
        <v>4.5396390711243073E-2</v>
      </c>
      <c r="O120" s="22">
        <v>1.3527962267365079E-3</v>
      </c>
      <c r="P120" s="2">
        <f t="shared" si="15"/>
        <v>3.1368285261238187E-2</v>
      </c>
      <c r="Q120" s="2">
        <f t="shared" si="16"/>
        <v>2.8223355393659711E-2</v>
      </c>
      <c r="R120" s="2">
        <f t="shared" si="17"/>
        <v>0.93995155729708235</v>
      </c>
      <c r="S120" s="2">
        <f t="shared" si="18"/>
        <v>4.4358342054393919E-4</v>
      </c>
      <c r="T120" s="3">
        <f t="shared" si="19"/>
        <v>8.5939613677658067E-2</v>
      </c>
      <c r="U120" s="4">
        <f t="shared" si="20"/>
        <v>7.7323457084712235E-2</v>
      </c>
      <c r="V120" s="14"/>
      <c r="W120" s="2">
        <f t="shared" si="12"/>
        <v>0.16326307076237029</v>
      </c>
      <c r="X120" s="2">
        <f t="shared" si="13"/>
        <v>2.9151091423368577E-2</v>
      </c>
      <c r="Y120">
        <f>+SUM(K120:L120)</f>
        <v>99.083159058193303</v>
      </c>
    </row>
    <row r="121" spans="1:25" ht="15.6" x14ac:dyDescent="0.35">
      <c r="A121" s="1" t="s">
        <v>23</v>
      </c>
      <c r="B121" s="1">
        <v>60</v>
      </c>
      <c r="C121" s="13">
        <f>+'Flow rate'!E120</f>
        <v>61.9</v>
      </c>
      <c r="D121" s="1" t="s">
        <v>25</v>
      </c>
      <c r="E121" s="1" t="s">
        <v>26</v>
      </c>
      <c r="F121" s="1" t="s">
        <v>24</v>
      </c>
      <c r="G121" s="1">
        <v>-3</v>
      </c>
      <c r="H121" s="12">
        <v>45414.325694444444</v>
      </c>
      <c r="I121" s="15">
        <f t="shared" si="14"/>
        <v>44.200000000011642</v>
      </c>
      <c r="J121" s="22">
        <v>3.2186922592304268</v>
      </c>
      <c r="K121" s="22">
        <v>2.8781509221658914</v>
      </c>
      <c r="L121" s="22">
        <v>96.098157148566784</v>
      </c>
      <c r="N121" s="22">
        <v>4.4190651404115641E-2</v>
      </c>
      <c r="O121" s="22">
        <v>0.1165932953358631</v>
      </c>
      <c r="P121" s="2">
        <f t="shared" si="15"/>
        <v>3.1446119845354205E-2</v>
      </c>
      <c r="Q121" s="2">
        <f t="shared" si="16"/>
        <v>2.81190842560031E-2</v>
      </c>
      <c r="R121" s="2">
        <f t="shared" si="17"/>
        <v>0.93886396189178933</v>
      </c>
      <c r="S121" s="2">
        <f t="shared" si="18"/>
        <v>4.317357510998404E-4</v>
      </c>
      <c r="T121" s="3">
        <f t="shared" si="19"/>
        <v>8.5875391978038465E-2</v>
      </c>
      <c r="U121" s="4">
        <f t="shared" si="20"/>
        <v>7.6789676895685596E-2</v>
      </c>
      <c r="V121" s="14"/>
      <c r="W121" s="2">
        <f t="shared" si="12"/>
        <v>0.16266506887372406</v>
      </c>
      <c r="X121" s="2">
        <f t="shared" si="13"/>
        <v>2.9079190548399143E-2</v>
      </c>
    </row>
    <row r="122" spans="1:25" ht="15.6" x14ac:dyDescent="0.35">
      <c r="A122" s="1" t="s">
        <v>23</v>
      </c>
      <c r="B122" s="1">
        <v>60</v>
      </c>
      <c r="C122" s="13">
        <f>+'Flow rate'!E121</f>
        <v>61.7</v>
      </c>
      <c r="D122" s="1" t="s">
        <v>25</v>
      </c>
      <c r="E122" s="1" t="s">
        <v>26</v>
      </c>
      <c r="F122" s="1" t="s">
        <v>24</v>
      </c>
      <c r="G122" s="1">
        <v>-3</v>
      </c>
      <c r="H122" s="12">
        <v>45414.337500000001</v>
      </c>
      <c r="I122" s="15">
        <f t="shared" si="14"/>
        <v>44.483333333395422</v>
      </c>
      <c r="J122" s="22">
        <v>3.2310614458952895</v>
      </c>
      <c r="K122" s="22">
        <v>2.8686773784216433</v>
      </c>
      <c r="L122" s="22">
        <v>96.033555656167735</v>
      </c>
      <c r="N122" s="22">
        <v>4.6949729072346229E-2</v>
      </c>
      <c r="O122" s="22">
        <v>0.12500180512744863</v>
      </c>
      <c r="P122" s="2">
        <f t="shared" si="15"/>
        <v>3.1582558781311339E-2</v>
      </c>
      <c r="Q122" s="2">
        <f t="shared" si="16"/>
        <v>2.8040374176021093E-2</v>
      </c>
      <c r="R122" s="2">
        <f t="shared" si="17"/>
        <v>0.9386962975719102</v>
      </c>
      <c r="S122" s="2">
        <f t="shared" si="18"/>
        <v>4.5891809952353037E-4</v>
      </c>
      <c r="T122" s="3">
        <f t="shared" si="19"/>
        <v>8.5969320737866797E-2</v>
      </c>
      <c r="U122" s="4">
        <f t="shared" si="20"/>
        <v>7.6327315270433696E-2</v>
      </c>
      <c r="V122" s="14"/>
      <c r="W122" s="2">
        <f t="shared" si="12"/>
        <v>0.16229663600830049</v>
      </c>
      <c r="X122" s="2">
        <f t="shared" si="13"/>
        <v>2.9005183102573349E-2</v>
      </c>
      <c r="Y122">
        <f>+SUM(K122:L122)</f>
        <v>98.902233034589372</v>
      </c>
    </row>
    <row r="123" spans="1:25" ht="15.6" x14ac:dyDescent="0.35">
      <c r="A123" s="1" t="s">
        <v>23</v>
      </c>
      <c r="B123" s="1">
        <v>60</v>
      </c>
      <c r="C123" s="13">
        <f>+'Flow rate'!E122</f>
        <v>61.9</v>
      </c>
      <c r="D123" s="1" t="s">
        <v>25</v>
      </c>
      <c r="E123" s="1" t="s">
        <v>26</v>
      </c>
      <c r="F123" s="1" t="s">
        <v>24</v>
      </c>
      <c r="G123" s="1">
        <v>-3</v>
      </c>
      <c r="H123" s="12">
        <v>45414.349305555559</v>
      </c>
      <c r="I123" s="15">
        <f t="shared" si="14"/>
        <v>44.766666666779201</v>
      </c>
      <c r="J123" s="22">
        <v>3.2371686866284706</v>
      </c>
      <c r="K123" s="22">
        <v>2.8560435181160115</v>
      </c>
      <c r="L123" s="22">
        <v>96.14027364602525</v>
      </c>
      <c r="N123" s="22">
        <v>4.5815335104563391E-2</v>
      </c>
      <c r="O123" s="22">
        <v>1.493928350347562E-3</v>
      </c>
      <c r="P123" s="2">
        <f t="shared" si="15"/>
        <v>3.1649819333270546E-2</v>
      </c>
      <c r="Q123" s="2">
        <f t="shared" si="16"/>
        <v>2.7923556078406051E-2</v>
      </c>
      <c r="R123" s="2">
        <f t="shared" si="17"/>
        <v>0.93996408161139333</v>
      </c>
      <c r="S123" s="2">
        <f t="shared" si="18"/>
        <v>4.4793682971859934E-4</v>
      </c>
      <c r="T123" s="3">
        <f t="shared" si="19"/>
        <v>8.6431669619177254E-2</v>
      </c>
      <c r="U123" s="4">
        <f t="shared" si="20"/>
        <v>7.625571407367536E-2</v>
      </c>
      <c r="V123" s="14"/>
      <c r="W123" s="2">
        <f t="shared" si="12"/>
        <v>0.16268738369285263</v>
      </c>
      <c r="X123" s="2">
        <f t="shared" si="13"/>
        <v>2.8849997655776796E-2</v>
      </c>
    </row>
    <row r="124" spans="1:25" ht="15.6" x14ac:dyDescent="0.35">
      <c r="A124" s="1" t="s">
        <v>23</v>
      </c>
      <c r="B124" s="1">
        <v>60</v>
      </c>
      <c r="C124" s="13">
        <f>+'Flow rate'!E123</f>
        <v>62.1</v>
      </c>
      <c r="D124" s="1" t="s">
        <v>25</v>
      </c>
      <c r="E124" s="1" t="s">
        <v>26</v>
      </c>
      <c r="F124" s="1" t="s">
        <v>24</v>
      </c>
      <c r="G124" s="1">
        <v>-3</v>
      </c>
      <c r="H124" s="12">
        <v>45414.361111111109</v>
      </c>
      <c r="I124" s="15">
        <f t="shared" si="14"/>
        <v>45.049999999988358</v>
      </c>
      <c r="J124" s="22">
        <v>3.2445294732223733</v>
      </c>
      <c r="K124" s="22">
        <v>2.8562091418642281</v>
      </c>
      <c r="L124" s="22">
        <v>96.195993851056741</v>
      </c>
      <c r="N124" s="22">
        <v>4.4742865648407459E-2</v>
      </c>
      <c r="O124" s="22">
        <v>0.11729526322658379</v>
      </c>
      <c r="P124" s="2">
        <f t="shared" si="15"/>
        <v>3.1666683626790725E-2</v>
      </c>
      <c r="Q124" s="2">
        <f t="shared" si="16"/>
        <v>2.7876668100515943E-2</v>
      </c>
      <c r="R124" s="2">
        <f t="shared" si="17"/>
        <v>0.93887515234087648</v>
      </c>
      <c r="S124" s="2">
        <f t="shared" si="18"/>
        <v>4.3669141634794235E-4</v>
      </c>
      <c r="T124" s="3">
        <f t="shared" si="19"/>
        <v>8.6757134942976266E-2</v>
      </c>
      <c r="U124" s="4">
        <f t="shared" si="20"/>
        <v>7.6373638763704274E-2</v>
      </c>
      <c r="V124" s="14"/>
      <c r="W124" s="2">
        <f t="shared" si="12"/>
        <v>0.16313077370668055</v>
      </c>
      <c r="X124" s="2">
        <f t="shared" si="13"/>
        <v>2.8835392404834799E-2</v>
      </c>
      <c r="Y124">
        <f>+SUM(K124:L124)</f>
        <v>99.052202992920968</v>
      </c>
    </row>
    <row r="125" spans="1:25" ht="15.6" x14ac:dyDescent="0.35">
      <c r="A125" s="1" t="s">
        <v>23</v>
      </c>
      <c r="B125" s="1">
        <v>60</v>
      </c>
      <c r="C125" s="13">
        <f>+'Flow rate'!E124</f>
        <v>62.4</v>
      </c>
      <c r="D125" s="1" t="s">
        <v>25</v>
      </c>
      <c r="E125" s="1" t="s">
        <v>26</v>
      </c>
      <c r="F125" s="1" t="s">
        <v>24</v>
      </c>
      <c r="G125" s="1">
        <v>-3</v>
      </c>
      <c r="H125" s="12">
        <v>45414.384722222225</v>
      </c>
      <c r="I125" s="15">
        <f t="shared" si="14"/>
        <v>45.616666666755918</v>
      </c>
      <c r="J125" s="23">
        <v>3.2671164322029074</v>
      </c>
      <c r="K125" s="23">
        <v>2.8270374809927601</v>
      </c>
      <c r="L125" s="23">
        <v>96.086860187772743</v>
      </c>
      <c r="N125" s="23">
        <v>4.6237587557946658E-2</v>
      </c>
      <c r="O125" s="23">
        <v>0.12425182942435165</v>
      </c>
      <c r="P125" s="2">
        <f t="shared" si="15"/>
        <v>3.1920551432152736E-2</v>
      </c>
      <c r="Q125" s="2">
        <f t="shared" si="16"/>
        <v>2.7620869101321468E-2</v>
      </c>
      <c r="R125" s="2">
        <f t="shared" si="17"/>
        <v>0.93879285486920816</v>
      </c>
      <c r="S125" s="2">
        <f t="shared" si="18"/>
        <v>4.5175289046767522E-4</v>
      </c>
      <c r="T125" s="3">
        <f t="shared" si="19"/>
        <v>8.7875132541248457E-2</v>
      </c>
      <c r="U125" s="4">
        <f t="shared" si="20"/>
        <v>7.6038396089180837E-2</v>
      </c>
      <c r="V125" s="14"/>
      <c r="W125" s="2">
        <f t="shared" si="12"/>
        <v>0.16391352863042929</v>
      </c>
      <c r="X125" s="2">
        <f t="shared" si="13"/>
        <v>2.8580791452174945E-2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9569-E460-4A29-ACC1-309083BC0CE7}">
  <dimension ref="A1:E2836"/>
  <sheetViews>
    <sheetView workbookViewId="0">
      <selection activeCell="E1" sqref="E1"/>
    </sheetView>
  </sheetViews>
  <sheetFormatPr defaultRowHeight="14.4" x14ac:dyDescent="0.3"/>
  <cols>
    <col min="1" max="1" width="13.44140625" bestFit="1" customWidth="1"/>
    <col min="3" max="4" width="13.44140625" bestFit="1" customWidth="1"/>
  </cols>
  <sheetData>
    <row r="1" spans="1:5" x14ac:dyDescent="0.3">
      <c r="A1" s="16"/>
      <c r="B1" s="17" t="s">
        <v>28</v>
      </c>
      <c r="C1" s="18">
        <f>+'Acidic Catholyte_Na2SO4'!H2</f>
        <v>45412.484027777777</v>
      </c>
      <c r="D1" s="19">
        <f t="shared" ref="D1:D2" si="0">+C1-2/24</f>
        <v>45412.400694444441</v>
      </c>
      <c r="E1" cm="1">
        <f t="array" ref="E1">INDEX(B$1:B$224233, MATCH(D1,A$1:A$224233,1) +0)</f>
        <v>51.4</v>
      </c>
    </row>
    <row r="2" spans="1:5" x14ac:dyDescent="0.3">
      <c r="A2" s="20">
        <v>45412.385416666664</v>
      </c>
      <c r="B2" s="17">
        <v>0</v>
      </c>
      <c r="C2" s="18">
        <f>+'Acidic Catholyte_Na2SO4'!H3</f>
        <v>45412.496527777781</v>
      </c>
      <c r="D2" s="19">
        <f t="shared" si="0"/>
        <v>45412.413194444445</v>
      </c>
      <c r="E2" cm="1">
        <f t="array" ref="E2">INDEX(B$1:B$224233, MATCH(D2,A$1:A$224233,1) +0)</f>
        <v>54.1</v>
      </c>
    </row>
    <row r="3" spans="1:5" x14ac:dyDescent="0.3">
      <c r="A3" s="21">
        <v>45412.386111111111</v>
      </c>
      <c r="B3">
        <v>12.3</v>
      </c>
      <c r="C3" s="18">
        <f>+'Acidic Catholyte_Na2SO4'!H4</f>
        <v>45412.520138888889</v>
      </c>
      <c r="D3" s="19">
        <f t="shared" ref="D3:D31" si="1">+C3-2/24</f>
        <v>45412.436805555553</v>
      </c>
      <c r="E3" cm="1">
        <f t="array" ref="E3">INDEX(B$1:B$224233, MATCH(D3,A$1:A$224233,1) +0)</f>
        <v>56.4</v>
      </c>
    </row>
    <row r="4" spans="1:5" x14ac:dyDescent="0.3">
      <c r="A4" s="21">
        <v>45412.386805555558</v>
      </c>
      <c r="B4">
        <v>50.2</v>
      </c>
      <c r="C4" s="18">
        <f>+'Acidic Catholyte_Na2SO4'!H5</f>
        <v>45412.556250000001</v>
      </c>
      <c r="D4" s="19">
        <f t="shared" si="1"/>
        <v>45412.472916666666</v>
      </c>
      <c r="E4" cm="1">
        <f t="array" ref="E4">INDEX(B$1:B$224233, MATCH(D4,A$1:A$224233,1) +0)</f>
        <v>58.2</v>
      </c>
    </row>
    <row r="5" spans="1:5" x14ac:dyDescent="0.3">
      <c r="A5" s="21">
        <v>45412.387499999997</v>
      </c>
      <c r="B5">
        <v>50.4</v>
      </c>
      <c r="C5" s="18">
        <f>+'Acidic Catholyte_Na2SO4'!H6</f>
        <v>45412.597916666666</v>
      </c>
      <c r="D5" s="19">
        <f t="shared" si="1"/>
        <v>45412.51458333333</v>
      </c>
      <c r="E5" cm="1">
        <f t="array" ref="E5">INDEX(B$1:B$224233, MATCH(D5,A$1:A$224233,1) +0)</f>
        <v>58.7</v>
      </c>
    </row>
    <row r="6" spans="1:5" x14ac:dyDescent="0.3">
      <c r="A6" s="21">
        <v>45412.388194444444</v>
      </c>
      <c r="B6">
        <v>50.1</v>
      </c>
      <c r="C6" s="18">
        <f>+'Acidic Catholyte_Na2SO4'!H7</f>
        <v>45412.640277777777</v>
      </c>
      <c r="D6" s="19">
        <f t="shared" si="1"/>
        <v>45412.556944444441</v>
      </c>
      <c r="E6" cm="1">
        <f t="array" ref="E6">INDEX(B$1:B$224233, MATCH(D6,A$1:A$224233,1) +0)</f>
        <v>59.5</v>
      </c>
    </row>
    <row r="7" spans="1:5" x14ac:dyDescent="0.3">
      <c r="A7" s="21">
        <v>45412.388888888891</v>
      </c>
      <c r="B7">
        <v>49.8</v>
      </c>
      <c r="C7" s="18">
        <f>+'Acidic Catholyte_Na2SO4'!H8</f>
        <v>45412.663888888892</v>
      </c>
      <c r="D7" s="19">
        <f t="shared" si="1"/>
        <v>45412.580555555556</v>
      </c>
      <c r="E7" cm="1">
        <f t="array" ref="E7">INDEX(B$1:B$224233, MATCH(D7,A$1:A$224233,1) +0)</f>
        <v>59.3</v>
      </c>
    </row>
    <row r="8" spans="1:5" x14ac:dyDescent="0.3">
      <c r="A8" s="21">
        <v>45412.38958333333</v>
      </c>
      <c r="B8">
        <v>49.7</v>
      </c>
      <c r="C8" s="18">
        <f>+'Acidic Catholyte_Na2SO4'!H9</f>
        <v>45412.6875</v>
      </c>
      <c r="D8" s="19">
        <f t="shared" si="1"/>
        <v>45412.604166666664</v>
      </c>
      <c r="E8" cm="1">
        <f t="array" ref="E8">INDEX(B$1:B$224233, MATCH(D8,A$1:A$224233,1) +0)</f>
        <v>59.1</v>
      </c>
    </row>
    <row r="9" spans="1:5" x14ac:dyDescent="0.3">
      <c r="A9" s="21">
        <v>45412.390277777777</v>
      </c>
      <c r="B9">
        <v>49.7</v>
      </c>
      <c r="C9" s="18">
        <f>+'Acidic Catholyte_Na2SO4'!H10</f>
        <v>45412.711805555555</v>
      </c>
      <c r="D9" s="19">
        <f t="shared" si="1"/>
        <v>45412.628472222219</v>
      </c>
      <c r="E9" cm="1">
        <f t="array" ref="E9">INDEX(B$1:B$224233, MATCH(D9,A$1:A$224233,1) +0)</f>
        <v>58.8</v>
      </c>
    </row>
    <row r="10" spans="1:5" x14ac:dyDescent="0.3">
      <c r="A10" s="21">
        <v>45412.390972222223</v>
      </c>
      <c r="B10">
        <v>49.5</v>
      </c>
      <c r="C10" s="18">
        <f>+'Acidic Catholyte_Na2SO4'!H11</f>
        <v>45412.747916666667</v>
      </c>
      <c r="D10" s="19">
        <f t="shared" si="1"/>
        <v>45412.664583333331</v>
      </c>
      <c r="E10" cm="1">
        <f t="array" ref="E10">INDEX(B$1:B$224233, MATCH(D10,A$1:A$224233,1) +0)</f>
        <v>59.3</v>
      </c>
    </row>
    <row r="11" spans="1:5" x14ac:dyDescent="0.3">
      <c r="A11" s="21">
        <v>45412.39166666667</v>
      </c>
      <c r="B11">
        <v>49.5</v>
      </c>
      <c r="C11" s="18">
        <f>+'Acidic Catholyte_Na2SO4'!H12</f>
        <v>45412.78402777778</v>
      </c>
      <c r="D11" s="19">
        <f t="shared" si="1"/>
        <v>45412.700694444444</v>
      </c>
      <c r="E11" cm="1">
        <f t="array" ref="E11">INDEX(B$1:B$224233, MATCH(D11,A$1:A$224233,1) +0)</f>
        <v>59.6</v>
      </c>
    </row>
    <row r="12" spans="1:5" x14ac:dyDescent="0.3">
      <c r="A12" s="21">
        <v>45412.392361111109</v>
      </c>
      <c r="B12">
        <v>49.7</v>
      </c>
      <c r="C12" s="18">
        <f>+'Acidic Catholyte_Na2SO4'!H13</f>
        <v>45412.820138888892</v>
      </c>
      <c r="D12" s="19">
        <f t="shared" si="1"/>
        <v>45412.736805555556</v>
      </c>
      <c r="E12" cm="1">
        <f t="array" ref="E12">INDEX(B$1:B$224233, MATCH(D12,A$1:A$224233,1) +0)</f>
        <v>60.1</v>
      </c>
    </row>
    <row r="13" spans="1:5" x14ac:dyDescent="0.3">
      <c r="A13" s="21">
        <v>45412.393055555556</v>
      </c>
      <c r="B13">
        <v>50</v>
      </c>
      <c r="C13" s="18">
        <f>+'Acidic Catholyte_Na2SO4'!H14</f>
        <v>45412.84375</v>
      </c>
      <c r="D13" s="19">
        <f t="shared" si="1"/>
        <v>45412.760416666664</v>
      </c>
      <c r="E13" cm="1">
        <f t="array" ref="E13">INDEX(B$1:B$224233, MATCH(D13,A$1:A$224233,1) +0)</f>
        <v>60.1</v>
      </c>
    </row>
    <row r="14" spans="1:5" x14ac:dyDescent="0.3">
      <c r="A14" s="21">
        <v>45412.393750000003</v>
      </c>
      <c r="B14">
        <v>50</v>
      </c>
      <c r="C14" s="18">
        <f>+'Acidic Catholyte_Na2SO4'!H15</f>
        <v>45412.861111111109</v>
      </c>
      <c r="D14" s="19">
        <f t="shared" si="1"/>
        <v>45412.777777777774</v>
      </c>
      <c r="E14" cm="1">
        <f t="array" ref="E14">INDEX(B$1:B$224233, MATCH(D14,A$1:A$224233,1) +0)</f>
        <v>60</v>
      </c>
    </row>
    <row r="15" spans="1:5" x14ac:dyDescent="0.3">
      <c r="A15" s="21">
        <v>45412.394444444442</v>
      </c>
      <c r="B15">
        <v>50.4</v>
      </c>
      <c r="C15" s="18">
        <f>+'Acidic Catholyte_Na2SO4'!H16</f>
        <v>45412.879166666666</v>
      </c>
      <c r="D15" s="19">
        <f t="shared" si="1"/>
        <v>45412.79583333333</v>
      </c>
      <c r="E15" cm="1">
        <f t="array" ref="E15">INDEX(B$1:B$224233, MATCH(D15,A$1:A$224233,1) +0)</f>
        <v>60.1</v>
      </c>
    </row>
    <row r="16" spans="1:5" x14ac:dyDescent="0.3">
      <c r="A16" s="21">
        <v>45412.395138888889</v>
      </c>
      <c r="B16">
        <v>49.9</v>
      </c>
      <c r="C16" s="18">
        <f>+'Acidic Catholyte_Na2SO4'!H17</f>
        <v>45412.896527777775</v>
      </c>
      <c r="D16" s="19">
        <f t="shared" si="1"/>
        <v>45412.813194444439</v>
      </c>
      <c r="E16" cm="1">
        <f t="array" ref="E16">INDEX(B$1:B$224233, MATCH(D16,A$1:A$224233,1) +0)</f>
        <v>59.8</v>
      </c>
    </row>
    <row r="17" spans="1:5" x14ac:dyDescent="0.3">
      <c r="A17" s="21">
        <v>45412.395833333336</v>
      </c>
      <c r="B17">
        <v>50.3</v>
      </c>
      <c r="C17" s="18">
        <f>+'Acidic Catholyte_Na2SO4'!H18</f>
        <v>45412.914583333331</v>
      </c>
      <c r="D17" s="19">
        <f t="shared" si="1"/>
        <v>45412.831249999996</v>
      </c>
      <c r="E17" cm="1">
        <f t="array" ref="E17">INDEX(B$1:B$224233, MATCH(D17,A$1:A$224233,1) +0)</f>
        <v>63.5</v>
      </c>
    </row>
    <row r="18" spans="1:5" x14ac:dyDescent="0.3">
      <c r="A18" s="21">
        <v>45412.396527777775</v>
      </c>
      <c r="B18">
        <v>50.8</v>
      </c>
      <c r="C18" s="18">
        <f>+'Acidic Catholyte_Na2SO4'!H19</f>
        <v>45412.931944444441</v>
      </c>
      <c r="D18" s="19">
        <f t="shared" si="1"/>
        <v>45412.848611111105</v>
      </c>
      <c r="E18" cm="1">
        <f t="array" ref="E18">INDEX(B$1:B$224233, MATCH(D18,A$1:A$224233,1) +0)</f>
        <v>63.3</v>
      </c>
    </row>
    <row r="19" spans="1:5" x14ac:dyDescent="0.3">
      <c r="A19" s="21">
        <v>45412.397222222222</v>
      </c>
      <c r="B19">
        <v>50.9</v>
      </c>
      <c r="C19" s="18">
        <f>+'Acidic Catholyte_Na2SO4'!H20</f>
        <v>45412.95</v>
      </c>
      <c r="D19" s="19">
        <f t="shared" si="1"/>
        <v>45412.866666666661</v>
      </c>
      <c r="E19" cm="1">
        <f t="array" ref="E19">INDEX(B$1:B$224233, MATCH(D19,A$1:A$224233,1) +0)</f>
        <v>63.4</v>
      </c>
    </row>
    <row r="20" spans="1:5" x14ac:dyDescent="0.3">
      <c r="A20" s="21">
        <v>45412.397916666669</v>
      </c>
      <c r="B20">
        <v>50.8</v>
      </c>
      <c r="C20" s="18">
        <f>+'Acidic Catholyte_Na2SO4'!H21</f>
        <v>45412.967361111114</v>
      </c>
      <c r="D20" s="19">
        <f t="shared" si="1"/>
        <v>45412.884027777778</v>
      </c>
      <c r="E20" cm="1">
        <f t="array" ref="E20">INDEX(B$1:B$224233, MATCH(D20,A$1:A$224233,1) +0)</f>
        <v>63</v>
      </c>
    </row>
    <row r="21" spans="1:5" x14ac:dyDescent="0.3">
      <c r="A21" s="21">
        <v>45412.398611111108</v>
      </c>
      <c r="B21">
        <v>50.8</v>
      </c>
      <c r="C21" s="18">
        <f>+'Acidic Catholyte_Na2SO4'!H22</f>
        <v>45412.98541666667</v>
      </c>
      <c r="D21" s="19">
        <f t="shared" si="1"/>
        <v>45412.902083333334</v>
      </c>
      <c r="E21" cm="1">
        <f t="array" ref="E21">INDEX(B$1:B$224233, MATCH(D21,A$1:A$224233,1) +0)</f>
        <v>66.900000000000006</v>
      </c>
    </row>
    <row r="22" spans="1:5" x14ac:dyDescent="0.3">
      <c r="A22" s="21">
        <v>45412.399305555555</v>
      </c>
      <c r="B22">
        <v>50.8</v>
      </c>
      <c r="C22" s="18">
        <f>+'Acidic Catholyte_Na2SO4'!H23</f>
        <v>45413.00277777778</v>
      </c>
      <c r="D22" s="19">
        <f t="shared" si="1"/>
        <v>45412.919444444444</v>
      </c>
      <c r="E22" cm="1">
        <f t="array" ref="E22">INDEX(B$1:B$224233, MATCH(D22,A$1:A$224233,1) +0)</f>
        <v>66.8</v>
      </c>
    </row>
    <row r="23" spans="1:5" x14ac:dyDescent="0.3">
      <c r="A23" s="21">
        <v>45412.4</v>
      </c>
      <c r="B23">
        <v>50.9</v>
      </c>
      <c r="C23" s="18">
        <f>+'Acidic Catholyte_Na2SO4'!H24</f>
        <v>45413.020833333336</v>
      </c>
      <c r="D23" s="19">
        <f t="shared" si="1"/>
        <v>45412.9375</v>
      </c>
      <c r="E23" cm="1">
        <f t="array" ref="E23">INDEX(B$1:B$224233, MATCH(D23,A$1:A$224233,1) +0)</f>
        <v>67.099999999999994</v>
      </c>
    </row>
    <row r="24" spans="1:5" x14ac:dyDescent="0.3">
      <c r="A24" s="21">
        <v>45412.400694444441</v>
      </c>
      <c r="B24">
        <v>51.4</v>
      </c>
      <c r="C24" s="18">
        <f>+'Acidic Catholyte_Na2SO4'!H25</f>
        <v>45413.044444444444</v>
      </c>
      <c r="D24" s="19">
        <f t="shared" si="1"/>
        <v>45412.961111111108</v>
      </c>
      <c r="E24" cm="1">
        <f t="array" ref="E24">INDEX(B$1:B$224233, MATCH(D24,A$1:A$224233,1) +0)</f>
        <v>66.7</v>
      </c>
    </row>
    <row r="25" spans="1:5" x14ac:dyDescent="0.3">
      <c r="A25" s="21">
        <v>45412.401388888888</v>
      </c>
      <c r="B25">
        <v>51.4</v>
      </c>
      <c r="C25" s="18">
        <f>+'Acidic Catholyte_Na2SO4'!H26</f>
        <v>45413.0625</v>
      </c>
      <c r="D25" s="19">
        <f t="shared" si="1"/>
        <v>45412.979166666664</v>
      </c>
      <c r="E25" cm="1">
        <f t="array" ref="E25">INDEX(B$1:B$224233, MATCH(D25,A$1:A$224233,1) +0)</f>
        <v>67.099999999999994</v>
      </c>
    </row>
    <row r="26" spans="1:5" x14ac:dyDescent="0.3">
      <c r="A26" s="21">
        <v>45412.402083333334</v>
      </c>
      <c r="B26">
        <v>52.4</v>
      </c>
      <c r="C26" s="18">
        <f>+'Acidic Catholyte_Na2SO4'!H27</f>
        <v>45413.079861111109</v>
      </c>
      <c r="D26" s="19">
        <f t="shared" si="1"/>
        <v>45412.996527777774</v>
      </c>
      <c r="E26" cm="1">
        <f t="array" ref="E26">INDEX(B$1:B$224233, MATCH(D26,A$1:A$224233,1) +0)</f>
        <v>75.2</v>
      </c>
    </row>
    <row r="27" spans="1:5" x14ac:dyDescent="0.3">
      <c r="A27" s="21">
        <v>45412.402777777781</v>
      </c>
      <c r="B27">
        <v>52.9</v>
      </c>
      <c r="C27" s="18">
        <f>+'Acidic Catholyte_Na2SO4'!H28</f>
        <v>45413.097916666666</v>
      </c>
      <c r="D27" s="19">
        <f t="shared" si="1"/>
        <v>45413.01458333333</v>
      </c>
      <c r="E27" cm="1">
        <f t="array" ref="E27">INDEX(B$1:B$224233, MATCH(D27,A$1:A$224233,1) +0)</f>
        <v>75.099999999999994</v>
      </c>
    </row>
    <row r="28" spans="1:5" x14ac:dyDescent="0.3">
      <c r="A28" s="21">
        <v>45412.40347222222</v>
      </c>
      <c r="B28">
        <v>52.9</v>
      </c>
      <c r="C28" s="18">
        <f>+'Acidic Catholyte_Na2SO4'!H29</f>
        <v>45413.115277777775</v>
      </c>
      <c r="D28" s="19">
        <f t="shared" si="1"/>
        <v>45413.031944444439</v>
      </c>
      <c r="E28" cm="1">
        <f t="array" ref="E28">INDEX(B$1:B$224233, MATCH(D28,A$1:A$224233,1) +0)</f>
        <v>74.900000000000006</v>
      </c>
    </row>
    <row r="29" spans="1:5" x14ac:dyDescent="0.3">
      <c r="A29" s="21">
        <v>45412.404166666667</v>
      </c>
      <c r="B29">
        <v>53.4</v>
      </c>
      <c r="C29" s="18">
        <f>+'Acidic Catholyte_Na2SO4'!H30</f>
        <v>45413.133333333331</v>
      </c>
      <c r="D29" s="19">
        <f t="shared" si="1"/>
        <v>45413.049999999996</v>
      </c>
      <c r="E29" cm="1">
        <f t="array" ref="E29">INDEX(B$1:B$224233, MATCH(D29,A$1:A$224233,1) +0)</f>
        <v>74.7</v>
      </c>
    </row>
    <row r="30" spans="1:5" x14ac:dyDescent="0.3">
      <c r="A30" s="21">
        <v>45412.404861111114</v>
      </c>
      <c r="B30">
        <v>53.3</v>
      </c>
      <c r="C30" s="18">
        <f>+'Acidic Catholyte_Na2SO4'!H31</f>
        <v>45413.150694444441</v>
      </c>
      <c r="D30" s="19">
        <f t="shared" si="1"/>
        <v>45413.067361111105</v>
      </c>
      <c r="E30" cm="1">
        <f t="array" ref="E30">INDEX(B$1:B$224233, MATCH(D30,A$1:A$224233,1) +0)</f>
        <v>75.099999999999994</v>
      </c>
    </row>
    <row r="31" spans="1:5" x14ac:dyDescent="0.3">
      <c r="A31" s="21">
        <v>45412.405555555553</v>
      </c>
      <c r="B31">
        <v>53.3</v>
      </c>
      <c r="C31" s="18">
        <f>+'Acidic Catholyte_Na2SO4'!H32</f>
        <v>45413.168749999997</v>
      </c>
      <c r="D31" s="19">
        <f t="shared" si="1"/>
        <v>45413.085416666661</v>
      </c>
      <c r="E31" cm="1">
        <f t="array" ref="E31">INDEX(B$1:B$224233, MATCH(D31,A$1:A$224233,1) +0)</f>
        <v>58</v>
      </c>
    </row>
    <row r="32" spans="1:5" x14ac:dyDescent="0.3">
      <c r="A32" s="21">
        <v>45412.40625</v>
      </c>
      <c r="B32">
        <v>53.1</v>
      </c>
      <c r="C32" s="18">
        <f>+'Acidic Catholyte_Na2SO4'!H33</f>
        <v>45413.186111111114</v>
      </c>
      <c r="D32" s="19">
        <f t="shared" ref="D32:D95" si="2">+C32-2/24</f>
        <v>45413.102777777778</v>
      </c>
      <c r="E32" cm="1">
        <f t="array" ref="E32">INDEX(B$1:B$224233, MATCH(D32,A$1:A$224233,1) +0)</f>
        <v>59</v>
      </c>
    </row>
    <row r="33" spans="1:5" x14ac:dyDescent="0.3">
      <c r="A33" s="21">
        <v>45412.406944444447</v>
      </c>
      <c r="B33">
        <v>53.6</v>
      </c>
      <c r="C33" s="18">
        <f>+'Acidic Catholyte_Na2SO4'!H34</f>
        <v>45413.209722222222</v>
      </c>
      <c r="D33" s="19">
        <f t="shared" si="2"/>
        <v>45413.126388888886</v>
      </c>
      <c r="E33" cm="1">
        <f t="array" ref="E33">INDEX(B$1:B$224233, MATCH(D33,A$1:A$224233,1) +0)</f>
        <v>59.4</v>
      </c>
    </row>
    <row r="34" spans="1:5" x14ac:dyDescent="0.3">
      <c r="A34" s="21">
        <v>45412.407638888886</v>
      </c>
      <c r="B34">
        <v>53.3</v>
      </c>
      <c r="C34" s="18">
        <f>+'Acidic Catholyte_Na2SO4'!H35</f>
        <v>45413.227777777778</v>
      </c>
      <c r="D34" s="19">
        <f t="shared" si="2"/>
        <v>45413.144444444442</v>
      </c>
      <c r="E34" cm="1">
        <f t="array" ref="E34">INDEX(B$1:B$224233, MATCH(D34,A$1:A$224233,1) +0)</f>
        <v>59.9</v>
      </c>
    </row>
    <row r="35" spans="1:5" x14ac:dyDescent="0.3">
      <c r="A35" s="21">
        <v>45412.408333333333</v>
      </c>
      <c r="B35">
        <v>53.4</v>
      </c>
      <c r="C35" s="18">
        <f>+'Acidic Catholyte_Na2SO4'!H36</f>
        <v>45413.245138888888</v>
      </c>
      <c r="D35" s="19">
        <f t="shared" si="2"/>
        <v>45413.161805555552</v>
      </c>
      <c r="E35" cm="1">
        <f t="array" ref="E35">INDEX(B$1:B$224233, MATCH(D35,A$1:A$224233,1) +0)</f>
        <v>59.8</v>
      </c>
    </row>
    <row r="36" spans="1:5" x14ac:dyDescent="0.3">
      <c r="A36" s="21">
        <v>45412.40902777778</v>
      </c>
      <c r="B36">
        <v>53.5</v>
      </c>
      <c r="C36" s="18">
        <f>+'Acidic Catholyte_Na2SO4'!H37</f>
        <v>45413.263194444444</v>
      </c>
      <c r="D36" s="19">
        <f t="shared" si="2"/>
        <v>45413.179861111108</v>
      </c>
      <c r="E36" cm="1">
        <f t="array" ref="E36">INDEX(B$1:B$224233, MATCH(D36,A$1:A$224233,1) +0)</f>
        <v>61</v>
      </c>
    </row>
    <row r="37" spans="1:5" x14ac:dyDescent="0.3">
      <c r="A37" s="21">
        <v>45412.409722222219</v>
      </c>
      <c r="B37">
        <v>53.7</v>
      </c>
      <c r="C37" s="18">
        <f>+'Acidic Catholyte_Na2SO4'!H38</f>
        <v>45413.280555555553</v>
      </c>
      <c r="D37" s="19">
        <f t="shared" si="2"/>
        <v>45413.197222222218</v>
      </c>
      <c r="E37" cm="1">
        <f t="array" ref="E37">INDEX(B$1:B$224233, MATCH(D37,A$1:A$224233,1) +0)</f>
        <v>60.5</v>
      </c>
    </row>
    <row r="38" spans="1:5" x14ac:dyDescent="0.3">
      <c r="A38" s="21">
        <v>45412.410416666666</v>
      </c>
      <c r="B38">
        <v>53.5</v>
      </c>
      <c r="C38" s="18">
        <f>+'Acidic Catholyte_Na2SO4'!H39</f>
        <v>45413.298611111109</v>
      </c>
      <c r="D38" s="19">
        <f t="shared" si="2"/>
        <v>45413.215277777774</v>
      </c>
      <c r="E38" cm="1">
        <f t="array" ref="E38">INDEX(B$1:B$224233, MATCH(D38,A$1:A$224233,1) +0)</f>
        <v>61</v>
      </c>
    </row>
    <row r="39" spans="1:5" x14ac:dyDescent="0.3">
      <c r="A39" s="21">
        <v>45412.411111111112</v>
      </c>
      <c r="B39">
        <v>53.6</v>
      </c>
      <c r="C39" s="18">
        <f>+'Acidic Catholyte_Na2SO4'!H40</f>
        <v>45413.315972222219</v>
      </c>
      <c r="D39" s="19">
        <f t="shared" si="2"/>
        <v>45413.232638888883</v>
      </c>
      <c r="E39" cm="1">
        <f t="array" ref="E39">INDEX(B$1:B$224233, MATCH(D39,A$1:A$224233,1) +0)</f>
        <v>60.5</v>
      </c>
    </row>
    <row r="40" spans="1:5" x14ac:dyDescent="0.3">
      <c r="A40" s="21">
        <v>45412.411805555559</v>
      </c>
      <c r="B40">
        <v>53.4</v>
      </c>
      <c r="C40" s="18">
        <f>+'Acidic Catholyte_Na2SO4'!H41</f>
        <v>45413.334027777775</v>
      </c>
      <c r="D40" s="19">
        <f t="shared" si="2"/>
        <v>45413.250694444439</v>
      </c>
      <c r="E40" cm="1">
        <f t="array" ref="E40">INDEX(B$1:B$224233, MATCH(D40,A$1:A$224233,1) +0)</f>
        <v>61.1</v>
      </c>
    </row>
    <row r="41" spans="1:5" x14ac:dyDescent="0.3">
      <c r="A41" s="21">
        <v>45412.412499999999</v>
      </c>
      <c r="B41">
        <v>54.2</v>
      </c>
      <c r="C41" s="18">
        <f>+'Acidic Catholyte_Na2SO4'!H42</f>
        <v>45413.345833333333</v>
      </c>
      <c r="D41" s="19">
        <f t="shared" si="2"/>
        <v>45413.262499999997</v>
      </c>
      <c r="E41" cm="1">
        <f t="array" ref="E41">INDEX(B$1:B$224233, MATCH(D41,A$1:A$224233,1) +0)</f>
        <v>61.3</v>
      </c>
    </row>
    <row r="42" spans="1:5" x14ac:dyDescent="0.3">
      <c r="A42" s="21">
        <v>45412.413194444445</v>
      </c>
      <c r="B42">
        <v>54.1</v>
      </c>
      <c r="C42" s="18">
        <f>+'Acidic Catholyte_Na2SO4'!H43</f>
        <v>45413.363194444442</v>
      </c>
      <c r="D42" s="19">
        <f t="shared" si="2"/>
        <v>45413.279861111107</v>
      </c>
      <c r="E42" cm="1">
        <f t="array" ref="E42">INDEX(B$1:B$224233, MATCH(D42,A$1:A$224233,1) +0)</f>
        <v>61.3</v>
      </c>
    </row>
    <row r="43" spans="1:5" x14ac:dyDescent="0.3">
      <c r="A43" s="21">
        <v>45412.413888888892</v>
      </c>
      <c r="B43">
        <v>53.8</v>
      </c>
      <c r="C43" s="18">
        <f>+'Acidic Catholyte_Na2SO4'!H44</f>
        <v>45413.375</v>
      </c>
      <c r="D43" s="19">
        <f t="shared" si="2"/>
        <v>45413.291666666664</v>
      </c>
      <c r="E43" cm="1">
        <f t="array" ref="E43">INDEX(B$1:B$224233, MATCH(D43,A$1:A$224233,1) +0)</f>
        <v>60.9</v>
      </c>
    </row>
    <row r="44" spans="1:5" x14ac:dyDescent="0.3">
      <c r="A44" s="21">
        <v>45412.414583333331</v>
      </c>
      <c r="B44">
        <v>53.9</v>
      </c>
      <c r="C44" s="18">
        <f>+'Acidic Catholyte_Na2SO4'!H45</f>
        <v>45413.386805555558</v>
      </c>
      <c r="D44" s="19">
        <f t="shared" si="2"/>
        <v>45413.303472222222</v>
      </c>
      <c r="E44" cm="1">
        <f t="array" ref="E44">INDEX(B$1:B$224233, MATCH(D44,A$1:A$224233,1) +0)</f>
        <v>61.2</v>
      </c>
    </row>
    <row r="45" spans="1:5" x14ac:dyDescent="0.3">
      <c r="A45" s="21">
        <v>45412.415277777778</v>
      </c>
      <c r="B45">
        <v>54.5</v>
      </c>
      <c r="C45" s="18">
        <f>+'Acidic Catholyte_Na2SO4'!H46</f>
        <v>45413.398611111108</v>
      </c>
      <c r="D45" s="19">
        <f t="shared" si="2"/>
        <v>45413.315277777772</v>
      </c>
      <c r="E45" cm="1">
        <f t="array" ref="E45">INDEX(B$1:B$224233, MATCH(D45,A$1:A$224233,1) +0)</f>
        <v>61.6</v>
      </c>
    </row>
    <row r="46" spans="1:5" x14ac:dyDescent="0.3">
      <c r="A46" s="21">
        <v>45412.415972222225</v>
      </c>
      <c r="B46">
        <v>54.2</v>
      </c>
      <c r="C46" s="18">
        <f>+'Acidic Catholyte_Na2SO4'!H47</f>
        <v>45413.410416666666</v>
      </c>
      <c r="D46" s="19">
        <f t="shared" si="2"/>
        <v>45413.32708333333</v>
      </c>
      <c r="E46" cm="1">
        <f t="array" ref="E46">INDEX(B$1:B$224233, MATCH(D46,A$1:A$224233,1) +0)</f>
        <v>61.2</v>
      </c>
    </row>
    <row r="47" spans="1:5" x14ac:dyDescent="0.3">
      <c r="A47" s="21">
        <v>45412.416666666664</v>
      </c>
      <c r="B47">
        <v>54.3</v>
      </c>
      <c r="C47" s="18">
        <f>+'Acidic Catholyte_Na2SO4'!H48</f>
        <v>45413.422222222223</v>
      </c>
      <c r="D47" s="19">
        <f t="shared" si="2"/>
        <v>45413.338888888888</v>
      </c>
      <c r="E47" cm="1">
        <f t="array" ref="E47">INDEX(B$1:B$224233, MATCH(D47,A$1:A$224233,1) +0)</f>
        <v>61.4</v>
      </c>
    </row>
    <row r="48" spans="1:5" x14ac:dyDescent="0.3">
      <c r="A48" s="21">
        <v>45412.417361111111</v>
      </c>
      <c r="B48">
        <v>54.3</v>
      </c>
      <c r="C48" s="18">
        <f>+'Acidic Catholyte_Na2SO4'!H49</f>
        <v>45413.434027777781</v>
      </c>
      <c r="D48" s="19">
        <f t="shared" si="2"/>
        <v>45413.350694444445</v>
      </c>
      <c r="E48" cm="1">
        <f t="array" ref="E48">INDEX(B$1:B$224233, MATCH(D48,A$1:A$224233,1) +0)</f>
        <v>61.6</v>
      </c>
    </row>
    <row r="49" spans="1:5" x14ac:dyDescent="0.3">
      <c r="A49" s="21">
        <v>45412.418055555558</v>
      </c>
      <c r="B49">
        <v>54.8</v>
      </c>
      <c r="C49" s="18">
        <f>+'Acidic Catholyte_Na2SO4'!H50</f>
        <v>45413.445833333331</v>
      </c>
      <c r="D49" s="19">
        <f t="shared" si="2"/>
        <v>45413.362499999996</v>
      </c>
      <c r="E49" cm="1">
        <f t="array" ref="E49">INDEX(B$1:B$224233, MATCH(D49,A$1:A$224233,1) +0)</f>
        <v>61.8</v>
      </c>
    </row>
    <row r="50" spans="1:5" x14ac:dyDescent="0.3">
      <c r="A50" s="21">
        <v>45412.418749999997</v>
      </c>
      <c r="B50">
        <v>54.9</v>
      </c>
      <c r="C50" s="18">
        <f>+'Acidic Catholyte_Na2SO4'!H51</f>
        <v>45413.457638888889</v>
      </c>
      <c r="D50" s="19">
        <f t="shared" si="2"/>
        <v>45413.374305555553</v>
      </c>
      <c r="E50" cm="1">
        <f t="array" ref="E50">INDEX(B$1:B$224233, MATCH(D50,A$1:A$224233,1) +0)</f>
        <v>62.1</v>
      </c>
    </row>
    <row r="51" spans="1:5" x14ac:dyDescent="0.3">
      <c r="A51" s="21">
        <v>45412.419444444444</v>
      </c>
      <c r="B51">
        <v>54.8</v>
      </c>
      <c r="C51" s="18">
        <f>+'Acidic Catholyte_Na2SO4'!H52</f>
        <v>45413.475694444445</v>
      </c>
      <c r="D51" s="19">
        <f t="shared" si="2"/>
        <v>45413.392361111109</v>
      </c>
      <c r="E51" cm="1">
        <f t="array" ref="E51">INDEX(B$1:B$224233, MATCH(D51,A$1:A$224233,1) +0)</f>
        <v>62.1</v>
      </c>
    </row>
    <row r="52" spans="1:5" x14ac:dyDescent="0.3">
      <c r="A52" s="21">
        <v>45412.420138888891</v>
      </c>
      <c r="B52">
        <v>54.5</v>
      </c>
      <c r="C52" s="18">
        <f>+'Acidic Catholyte_Na2SO4'!H53</f>
        <v>45413.487500000003</v>
      </c>
      <c r="D52" s="19">
        <f t="shared" si="2"/>
        <v>45413.404166666667</v>
      </c>
      <c r="E52" cm="1">
        <f t="array" ref="E52">INDEX(B$1:B$224233, MATCH(D52,A$1:A$224233,1) +0)</f>
        <v>61.6</v>
      </c>
    </row>
    <row r="53" spans="1:5" x14ac:dyDescent="0.3">
      <c r="A53" s="21">
        <v>45412.42083333333</v>
      </c>
      <c r="B53">
        <v>54.8</v>
      </c>
      <c r="C53" s="18">
        <f>+'Acidic Catholyte_Na2SO4'!H54</f>
        <v>45413.499305555553</v>
      </c>
      <c r="D53" s="19">
        <f t="shared" si="2"/>
        <v>45413.415972222218</v>
      </c>
      <c r="E53" cm="1">
        <f t="array" ref="E53">INDEX(B$1:B$224233, MATCH(D53,A$1:A$224233,1) +0)</f>
        <v>61.6</v>
      </c>
    </row>
    <row r="54" spans="1:5" x14ac:dyDescent="0.3">
      <c r="A54" s="21">
        <v>45412.421527777777</v>
      </c>
      <c r="B54">
        <v>55.3</v>
      </c>
      <c r="C54" s="18">
        <f>+'Acidic Catholyte_Na2SO4'!H55</f>
        <v>45413.511111111111</v>
      </c>
      <c r="D54" s="19">
        <f t="shared" si="2"/>
        <v>45413.427777777775</v>
      </c>
      <c r="E54" cm="1">
        <f t="array" ref="E54">INDEX(B$1:B$224233, MATCH(D54,A$1:A$224233,1) +0)</f>
        <v>61.1</v>
      </c>
    </row>
    <row r="55" spans="1:5" x14ac:dyDescent="0.3">
      <c r="A55" s="21">
        <v>45412.422222222223</v>
      </c>
      <c r="B55">
        <v>55</v>
      </c>
      <c r="C55" s="18">
        <f>+'Acidic Catholyte_Na2SO4'!H56</f>
        <v>45413.522916666669</v>
      </c>
      <c r="D55" s="19">
        <f t="shared" si="2"/>
        <v>45413.439583333333</v>
      </c>
      <c r="E55" cm="1">
        <f t="array" ref="E55">INDEX(B$1:B$224233, MATCH(D55,A$1:A$224233,1) +0)</f>
        <v>61.4</v>
      </c>
    </row>
    <row r="56" spans="1:5" x14ac:dyDescent="0.3">
      <c r="A56" s="21">
        <v>45412.42291666667</v>
      </c>
      <c r="B56">
        <v>55.4</v>
      </c>
      <c r="C56" s="18">
        <f>+'Acidic Catholyte_Na2SO4'!H57</f>
        <v>45413.534722222219</v>
      </c>
      <c r="D56" s="19">
        <f t="shared" si="2"/>
        <v>45413.451388888883</v>
      </c>
      <c r="E56" cm="1">
        <f t="array" ref="E56">INDEX(B$1:B$224233, MATCH(D56,A$1:A$224233,1) +0)</f>
        <v>61.3</v>
      </c>
    </row>
    <row r="57" spans="1:5" x14ac:dyDescent="0.3">
      <c r="A57" s="21">
        <v>45412.423611111109</v>
      </c>
      <c r="B57">
        <v>55.2</v>
      </c>
      <c r="C57" s="18">
        <f>+'Acidic Catholyte_Na2SO4'!H58</f>
        <v>45413.546527777777</v>
      </c>
      <c r="D57" s="19">
        <f t="shared" si="2"/>
        <v>45413.463194444441</v>
      </c>
      <c r="E57" cm="1">
        <f t="array" ref="E57">INDEX(B$1:B$224233, MATCH(D57,A$1:A$224233,1) +0)</f>
        <v>61.3</v>
      </c>
    </row>
    <row r="58" spans="1:5" x14ac:dyDescent="0.3">
      <c r="A58" s="21">
        <v>45412.424305555556</v>
      </c>
      <c r="B58">
        <v>55.3</v>
      </c>
      <c r="C58" s="18">
        <f>+'Acidic Catholyte_Na2SO4'!H59</f>
        <v>45413.558333333334</v>
      </c>
      <c r="D58" s="19">
        <f t="shared" si="2"/>
        <v>45413.474999999999</v>
      </c>
      <c r="E58" cm="1">
        <f t="array" ref="E58">INDEX(B$1:B$224233, MATCH(D58,A$1:A$224233,1) +0)</f>
        <v>61.2</v>
      </c>
    </row>
    <row r="59" spans="1:5" x14ac:dyDescent="0.3">
      <c r="A59" s="21">
        <v>45412.425000000003</v>
      </c>
      <c r="B59">
        <v>55</v>
      </c>
      <c r="C59" s="18">
        <f>+'Acidic Catholyte_Na2SO4'!H60</f>
        <v>45413.570138888892</v>
      </c>
      <c r="D59" s="19">
        <f t="shared" si="2"/>
        <v>45413.486805555556</v>
      </c>
      <c r="E59" cm="1">
        <f t="array" ref="E59">INDEX(B$1:B$224233, MATCH(D59,A$1:A$224233,1) +0)</f>
        <v>61.1</v>
      </c>
    </row>
    <row r="60" spans="1:5" x14ac:dyDescent="0.3">
      <c r="A60" s="21">
        <v>45412.425694444442</v>
      </c>
      <c r="B60">
        <v>55.2</v>
      </c>
      <c r="C60" s="18">
        <f>+'Acidic Catholyte_Na2SO4'!H61</f>
        <v>45413.587500000001</v>
      </c>
      <c r="D60" s="19">
        <f t="shared" si="2"/>
        <v>45413.504166666666</v>
      </c>
      <c r="E60" cm="1">
        <f t="array" ref="E60">INDEX(B$1:B$224233, MATCH(D60,A$1:A$224233,1) +0)</f>
        <v>61.2</v>
      </c>
    </row>
    <row r="61" spans="1:5" x14ac:dyDescent="0.3">
      <c r="A61" s="21">
        <v>45412.426388888889</v>
      </c>
      <c r="B61">
        <v>55.3</v>
      </c>
      <c r="C61" s="18">
        <f>+'Acidic Catholyte_Na2SO4'!H62</f>
        <v>45413.599305555559</v>
      </c>
      <c r="D61" s="19">
        <f t="shared" si="2"/>
        <v>45413.515972222223</v>
      </c>
      <c r="E61" cm="1">
        <f t="array" ref="E61">INDEX(B$1:B$224233, MATCH(D61,A$1:A$224233,1) +0)</f>
        <v>61.2</v>
      </c>
    </row>
    <row r="62" spans="1:5" x14ac:dyDescent="0.3">
      <c r="A62" s="21">
        <v>45412.427083333336</v>
      </c>
      <c r="B62">
        <v>55.8</v>
      </c>
      <c r="C62" s="18">
        <f>+'Acidic Catholyte_Na2SO4'!H63</f>
        <v>45413.611111111109</v>
      </c>
      <c r="D62" s="19">
        <f t="shared" si="2"/>
        <v>45413.527777777774</v>
      </c>
      <c r="E62" cm="1">
        <f t="array" ref="E62">INDEX(B$1:B$224233, MATCH(D62,A$1:A$224233,1) +0)</f>
        <v>61.3</v>
      </c>
    </row>
    <row r="63" spans="1:5" x14ac:dyDescent="0.3">
      <c r="A63" s="21">
        <v>45412.427777777775</v>
      </c>
      <c r="B63">
        <v>55.2</v>
      </c>
      <c r="C63" s="18">
        <f>+'Acidic Catholyte_Na2SO4'!H64</f>
        <v>45413.622916666667</v>
      </c>
      <c r="D63" s="19">
        <f t="shared" si="2"/>
        <v>45413.539583333331</v>
      </c>
      <c r="E63" cm="1">
        <f t="array" ref="E63">INDEX(B$1:B$224233, MATCH(D63,A$1:A$224233,1) +0)</f>
        <v>61.3</v>
      </c>
    </row>
    <row r="64" spans="1:5" x14ac:dyDescent="0.3">
      <c r="A64" s="21">
        <v>45412.428472222222</v>
      </c>
      <c r="B64">
        <v>55.5</v>
      </c>
      <c r="C64" s="18">
        <f>+'Acidic Catholyte_Na2SO4'!H65</f>
        <v>45413.634722222225</v>
      </c>
      <c r="D64" s="19">
        <f t="shared" si="2"/>
        <v>45413.551388888889</v>
      </c>
      <c r="E64" cm="1">
        <f t="array" ref="E64">INDEX(B$1:B$224233, MATCH(D64,A$1:A$224233,1) +0)</f>
        <v>61.4</v>
      </c>
    </row>
    <row r="65" spans="1:5" x14ac:dyDescent="0.3">
      <c r="A65" s="21">
        <v>45412.429166666669</v>
      </c>
      <c r="B65">
        <v>55.9</v>
      </c>
      <c r="C65" s="18">
        <f>+'Acidic Catholyte_Na2SO4'!H66</f>
        <v>45413.646527777775</v>
      </c>
      <c r="D65" s="19">
        <f t="shared" si="2"/>
        <v>45413.563194444439</v>
      </c>
      <c r="E65" cm="1">
        <f t="array" ref="E65">INDEX(B$1:B$224233, MATCH(D65,A$1:A$224233,1) +0)</f>
        <v>61.6</v>
      </c>
    </row>
    <row r="66" spans="1:5" x14ac:dyDescent="0.3">
      <c r="A66" s="21">
        <v>45412.429861111108</v>
      </c>
      <c r="B66">
        <v>55.5</v>
      </c>
      <c r="C66" s="18">
        <f>+'Acidic Catholyte_Na2SO4'!H67</f>
        <v>45413.658333333333</v>
      </c>
      <c r="D66" s="19">
        <f t="shared" si="2"/>
        <v>45413.574999999997</v>
      </c>
      <c r="E66" cm="1">
        <f t="array" ref="E66">INDEX(B$1:B$224233, MATCH(D66,A$1:A$224233,1) +0)</f>
        <v>61.3</v>
      </c>
    </row>
    <row r="67" spans="1:5" x14ac:dyDescent="0.3">
      <c r="A67" s="21">
        <v>45412.430555555555</v>
      </c>
      <c r="B67">
        <v>55.9</v>
      </c>
      <c r="C67" s="18">
        <f>+'Acidic Catholyte_Na2SO4'!H68</f>
        <v>45413.670138888891</v>
      </c>
      <c r="D67" s="19">
        <f t="shared" si="2"/>
        <v>45413.586805555555</v>
      </c>
      <c r="E67" cm="1">
        <f t="array" ref="E67">INDEX(B$1:B$224233, MATCH(D67,A$1:A$224233,1) +0)</f>
        <v>61.5</v>
      </c>
    </row>
    <row r="68" spans="1:5" x14ac:dyDescent="0.3">
      <c r="A68" s="21">
        <v>45412.431250000001</v>
      </c>
      <c r="B68">
        <v>55.7</v>
      </c>
      <c r="C68" s="18">
        <f>+'Acidic Catholyte_Na2SO4'!H69</f>
        <v>45413.681944444441</v>
      </c>
      <c r="D68" s="19">
        <f t="shared" si="2"/>
        <v>45413.598611111105</v>
      </c>
      <c r="E68" cm="1">
        <f t="array" ref="E68">INDEX(B$1:B$224233, MATCH(D68,A$1:A$224233,1) +0)</f>
        <v>61.3</v>
      </c>
    </row>
    <row r="69" spans="1:5" x14ac:dyDescent="0.3">
      <c r="A69" s="21">
        <v>45412.431944444441</v>
      </c>
      <c r="B69">
        <v>55.8</v>
      </c>
      <c r="C69" s="18">
        <f>+'Acidic Catholyte_Na2SO4'!H70</f>
        <v>45413.7</v>
      </c>
      <c r="D69" s="19">
        <f t="shared" si="2"/>
        <v>45413.616666666661</v>
      </c>
      <c r="E69" cm="1">
        <f t="array" ref="E69">INDEX(B$1:B$224233, MATCH(D69,A$1:A$224233,1) +0)</f>
        <v>61</v>
      </c>
    </row>
    <row r="70" spans="1:5" x14ac:dyDescent="0.3">
      <c r="A70" s="21">
        <v>45412.432638888888</v>
      </c>
      <c r="B70">
        <v>56</v>
      </c>
      <c r="C70" s="18">
        <f>+'Acidic Catholyte_Na2SO4'!H71</f>
        <v>45413.705555555556</v>
      </c>
      <c r="D70" s="19">
        <f t="shared" si="2"/>
        <v>45413.62222222222</v>
      </c>
      <c r="E70" cm="1">
        <f t="array" ref="E70">INDEX(B$1:B$224233, MATCH(D70,A$1:A$224233,1) +0)</f>
        <v>61.2</v>
      </c>
    </row>
    <row r="71" spans="1:5" x14ac:dyDescent="0.3">
      <c r="A71" s="21">
        <v>45412.433333333334</v>
      </c>
      <c r="B71">
        <v>55.8</v>
      </c>
      <c r="C71" s="18">
        <f>+'Acidic Catholyte_Na2SO4'!H72</f>
        <v>45413.717361111114</v>
      </c>
      <c r="D71" s="19">
        <f t="shared" si="2"/>
        <v>45413.634027777778</v>
      </c>
      <c r="E71" cm="1">
        <f t="array" ref="E71">INDEX(B$1:B$224233, MATCH(D71,A$1:A$224233,1) +0)</f>
        <v>61.5</v>
      </c>
    </row>
    <row r="72" spans="1:5" x14ac:dyDescent="0.3">
      <c r="A72" s="21">
        <v>45412.434027777781</v>
      </c>
      <c r="B72">
        <v>56.1</v>
      </c>
      <c r="C72" s="18">
        <f>+'Acidic Catholyte_Na2SO4'!H73</f>
        <v>45413.729166666664</v>
      </c>
      <c r="D72" s="19">
        <f t="shared" si="2"/>
        <v>45413.645833333328</v>
      </c>
      <c r="E72" cm="1">
        <f t="array" ref="E72">INDEX(B$1:B$224233, MATCH(D72,A$1:A$224233,1) +0)</f>
        <v>61.6</v>
      </c>
    </row>
    <row r="73" spans="1:5" x14ac:dyDescent="0.3">
      <c r="A73" s="21">
        <v>45412.43472222222</v>
      </c>
      <c r="B73">
        <v>55.9</v>
      </c>
      <c r="C73" s="18">
        <f>+'Acidic Catholyte_Na2SO4'!H74</f>
        <v>45413.740972222222</v>
      </c>
      <c r="D73" s="19">
        <f t="shared" si="2"/>
        <v>45413.657638888886</v>
      </c>
      <c r="E73" cm="1">
        <f t="array" ref="E73">INDEX(B$1:B$224233, MATCH(D73,A$1:A$224233,1) +0)</f>
        <v>61.7</v>
      </c>
    </row>
    <row r="74" spans="1:5" x14ac:dyDescent="0.3">
      <c r="A74" s="21">
        <v>45412.435416666667</v>
      </c>
      <c r="B74">
        <v>56</v>
      </c>
      <c r="C74" s="18">
        <f>+'Acidic Catholyte_Na2SO4'!H75</f>
        <v>45413.75277777778</v>
      </c>
      <c r="D74" s="19">
        <f t="shared" si="2"/>
        <v>45413.669444444444</v>
      </c>
      <c r="E74" cm="1">
        <f t="array" ref="E74">INDEX(B$1:B$224233, MATCH(D74,A$1:A$224233,1) +0)</f>
        <v>61.4</v>
      </c>
    </row>
    <row r="75" spans="1:5" x14ac:dyDescent="0.3">
      <c r="A75" s="21">
        <v>45412.436111111114</v>
      </c>
      <c r="B75">
        <v>56.5</v>
      </c>
      <c r="C75" s="18">
        <f>+'Acidic Catholyte_Na2SO4'!H76</f>
        <v>45413.76458333333</v>
      </c>
      <c r="D75" s="19">
        <f t="shared" si="2"/>
        <v>45413.681249999994</v>
      </c>
      <c r="E75" cm="1">
        <f t="array" ref="E75">INDEX(B$1:B$224233, MATCH(D75,A$1:A$224233,1) +0)</f>
        <v>61.6</v>
      </c>
    </row>
    <row r="76" spans="1:5" x14ac:dyDescent="0.3">
      <c r="A76" s="21">
        <v>45412.436805555553</v>
      </c>
      <c r="B76">
        <v>56.4</v>
      </c>
      <c r="C76" s="18">
        <f>+'Acidic Catholyte_Na2SO4'!H77</f>
        <v>45413.776388888888</v>
      </c>
      <c r="D76" s="19">
        <f t="shared" si="2"/>
        <v>45413.693055555552</v>
      </c>
      <c r="E76" cm="1">
        <f t="array" ref="E76">INDEX(B$1:B$224233, MATCH(D76,A$1:A$224233,1) +0)</f>
        <v>61.8</v>
      </c>
    </row>
    <row r="77" spans="1:5" x14ac:dyDescent="0.3">
      <c r="A77" s="21">
        <v>45412.4375</v>
      </c>
      <c r="B77">
        <v>56.4</v>
      </c>
      <c r="C77" s="18">
        <f>+'Acidic Catholyte_Na2SO4'!H78</f>
        <v>45413.788194444445</v>
      </c>
      <c r="D77" s="19">
        <f t="shared" si="2"/>
        <v>45413.704861111109</v>
      </c>
      <c r="E77" cm="1">
        <f t="array" ref="E77">INDEX(B$1:B$224233, MATCH(D77,A$1:A$224233,1) +0)</f>
        <v>61.7</v>
      </c>
    </row>
    <row r="78" spans="1:5" x14ac:dyDescent="0.3">
      <c r="A78" s="21">
        <v>45412.438194444447</v>
      </c>
      <c r="B78">
        <v>56.2</v>
      </c>
      <c r="C78" s="18">
        <f>+'Acidic Catholyte_Na2SO4'!H79</f>
        <v>45413.8</v>
      </c>
      <c r="D78" s="19">
        <f t="shared" si="2"/>
        <v>45413.716666666667</v>
      </c>
      <c r="E78" cm="1">
        <f t="array" ref="E78">INDEX(B$1:B$224233, MATCH(D78,A$1:A$224233,1) +0)</f>
        <v>61.6</v>
      </c>
    </row>
    <row r="79" spans="1:5" x14ac:dyDescent="0.3">
      <c r="A79" s="21">
        <v>45412.438888888886</v>
      </c>
      <c r="B79">
        <v>56.4</v>
      </c>
      <c r="C79" s="18">
        <f>+'Acidic Catholyte_Na2SO4'!H80</f>
        <v>45413.818055555559</v>
      </c>
      <c r="D79" s="19">
        <f t="shared" si="2"/>
        <v>45413.734722222223</v>
      </c>
      <c r="E79" cm="1">
        <f t="array" ref="E79">INDEX(B$1:B$224233, MATCH(D79,A$1:A$224233,1) +0)</f>
        <v>62</v>
      </c>
    </row>
    <row r="80" spans="1:5" x14ac:dyDescent="0.3">
      <c r="A80" s="21">
        <v>45412.439583333333</v>
      </c>
      <c r="B80">
        <v>56.4</v>
      </c>
      <c r="C80" s="18">
        <f>+'Acidic Catholyte_Na2SO4'!H81</f>
        <v>45413.829861111109</v>
      </c>
      <c r="D80" s="19">
        <f t="shared" si="2"/>
        <v>45413.746527777774</v>
      </c>
      <c r="E80" cm="1">
        <f t="array" ref="E80">INDEX(B$1:B$224233, MATCH(D80,A$1:A$224233,1) +0)</f>
        <v>61.7</v>
      </c>
    </row>
    <row r="81" spans="1:5" x14ac:dyDescent="0.3">
      <c r="A81" s="21">
        <v>45412.44027777778</v>
      </c>
      <c r="B81">
        <v>56.6</v>
      </c>
      <c r="C81" s="18">
        <f>+'Acidic Catholyte_Na2SO4'!H82</f>
        <v>45413.841666666667</v>
      </c>
      <c r="D81" s="19">
        <f t="shared" si="2"/>
        <v>45413.758333333331</v>
      </c>
      <c r="E81" cm="1">
        <f t="array" ref="E81">INDEX(B$1:B$224233, MATCH(D81,A$1:A$224233,1) +0)</f>
        <v>61.8</v>
      </c>
    </row>
    <row r="82" spans="1:5" x14ac:dyDescent="0.3">
      <c r="A82" s="21">
        <v>45412.440972222219</v>
      </c>
      <c r="B82">
        <v>56.3</v>
      </c>
      <c r="C82" s="18">
        <f>+'Acidic Catholyte_Na2SO4'!H83</f>
        <v>45413.853472222225</v>
      </c>
      <c r="D82" s="19">
        <f t="shared" si="2"/>
        <v>45413.770138888889</v>
      </c>
      <c r="E82" cm="1">
        <f t="array" ref="E82">INDEX(B$1:B$224233, MATCH(D82,A$1:A$224233,1) +0)</f>
        <v>61.9</v>
      </c>
    </row>
    <row r="83" spans="1:5" x14ac:dyDescent="0.3">
      <c r="A83" s="21">
        <v>45412.441666666666</v>
      </c>
      <c r="B83">
        <v>56.3</v>
      </c>
      <c r="C83" s="18">
        <f>+'Acidic Catholyte_Na2SO4'!H84</f>
        <v>45413.865277777775</v>
      </c>
      <c r="D83" s="19">
        <f t="shared" si="2"/>
        <v>45413.781944444439</v>
      </c>
      <c r="E83" cm="1">
        <f t="array" ref="E83">INDEX(B$1:B$224233, MATCH(D83,A$1:A$224233,1) +0)</f>
        <v>61.2</v>
      </c>
    </row>
    <row r="84" spans="1:5" x14ac:dyDescent="0.3">
      <c r="A84" s="21">
        <v>45412.442361111112</v>
      </c>
      <c r="B84">
        <v>56.5</v>
      </c>
      <c r="C84" s="18">
        <f>+'Acidic Catholyte_Na2SO4'!H85</f>
        <v>45413.877083333333</v>
      </c>
      <c r="D84" s="19">
        <f t="shared" si="2"/>
        <v>45413.793749999997</v>
      </c>
      <c r="E84" cm="1">
        <f t="array" ref="E84">INDEX(B$1:B$224233, MATCH(D84,A$1:A$224233,1) +0)</f>
        <v>61.6</v>
      </c>
    </row>
    <row r="85" spans="1:5" x14ac:dyDescent="0.3">
      <c r="A85" s="21">
        <v>45412.443055555559</v>
      </c>
      <c r="B85">
        <v>57</v>
      </c>
      <c r="C85" s="18">
        <f>+'Acidic Catholyte_Na2SO4'!H86</f>
        <v>45413.888888888891</v>
      </c>
      <c r="D85" s="19">
        <f t="shared" si="2"/>
        <v>45413.805555555555</v>
      </c>
      <c r="E85" cm="1">
        <f t="array" ref="E85">INDEX(B$1:B$224233, MATCH(D85,A$1:A$224233,1) +0)</f>
        <v>61.6</v>
      </c>
    </row>
    <row r="86" spans="1:5" x14ac:dyDescent="0.3">
      <c r="A86" s="21">
        <v>45412.443749999999</v>
      </c>
      <c r="B86">
        <v>56.9</v>
      </c>
      <c r="C86" s="18">
        <f>+'Acidic Catholyte_Na2SO4'!H87</f>
        <v>45413.900694444441</v>
      </c>
      <c r="D86" s="19">
        <f t="shared" si="2"/>
        <v>45413.817361111105</v>
      </c>
      <c r="E86" cm="1">
        <f t="array" ref="E86">INDEX(B$1:B$224233, MATCH(D86,A$1:A$224233,1) +0)</f>
        <v>61.3</v>
      </c>
    </row>
    <row r="87" spans="1:5" x14ac:dyDescent="0.3">
      <c r="A87" s="21">
        <v>45412.444444444445</v>
      </c>
      <c r="B87">
        <v>56.7</v>
      </c>
      <c r="C87" s="18">
        <f>+'Acidic Catholyte_Na2SO4'!H88</f>
        <v>45413.912499999999</v>
      </c>
      <c r="D87" s="19">
        <f t="shared" si="2"/>
        <v>45413.829166666663</v>
      </c>
      <c r="E87" cm="1">
        <f t="array" ref="E87">INDEX(B$1:B$224233, MATCH(D87,A$1:A$224233,1) +0)</f>
        <v>61.3</v>
      </c>
    </row>
    <row r="88" spans="1:5" x14ac:dyDescent="0.3">
      <c r="A88" s="21">
        <v>45412.445138888892</v>
      </c>
      <c r="B88">
        <v>56.4</v>
      </c>
      <c r="C88" s="18">
        <f>+'Acidic Catholyte_Na2SO4'!H89</f>
        <v>45413.930555555555</v>
      </c>
      <c r="D88" s="19">
        <f t="shared" si="2"/>
        <v>45413.847222222219</v>
      </c>
      <c r="E88" cm="1">
        <f t="array" ref="E88">INDEX(B$1:B$224233, MATCH(D88,A$1:A$224233,1) +0)</f>
        <v>61.7</v>
      </c>
    </row>
    <row r="89" spans="1:5" x14ac:dyDescent="0.3">
      <c r="A89" s="21">
        <v>45412.445833333331</v>
      </c>
      <c r="B89">
        <v>56.6</v>
      </c>
      <c r="C89" s="18">
        <f>+'Acidic Catholyte_Na2SO4'!H90</f>
        <v>45413.942361111112</v>
      </c>
      <c r="D89" s="19">
        <f t="shared" si="2"/>
        <v>45413.859027777777</v>
      </c>
      <c r="E89" cm="1">
        <f t="array" ref="E89">INDEX(B$1:B$224233, MATCH(D89,A$1:A$224233,1) +0)</f>
        <v>61.6</v>
      </c>
    </row>
    <row r="90" spans="1:5" x14ac:dyDescent="0.3">
      <c r="A90" s="21">
        <v>45412.446527777778</v>
      </c>
      <c r="B90">
        <v>56.4</v>
      </c>
      <c r="C90" s="18">
        <f>+'Acidic Catholyte_Na2SO4'!H91</f>
        <v>45413.95416666667</v>
      </c>
      <c r="D90" s="19">
        <f t="shared" si="2"/>
        <v>45413.870833333334</v>
      </c>
      <c r="E90" cm="1">
        <f t="array" ref="E90">INDEX(B$1:B$224233, MATCH(D90,A$1:A$224233,1) +0)</f>
        <v>61.7</v>
      </c>
    </row>
    <row r="91" spans="1:5" x14ac:dyDescent="0.3">
      <c r="A91" s="21">
        <v>45412.447222222225</v>
      </c>
      <c r="B91">
        <v>56.6</v>
      </c>
      <c r="C91" s="18">
        <f>+'Acidic Catholyte_Na2SO4'!H92</f>
        <v>45413.96597222222</v>
      </c>
      <c r="D91" s="19">
        <f t="shared" si="2"/>
        <v>45413.882638888885</v>
      </c>
      <c r="E91" cm="1">
        <f t="array" ref="E91">INDEX(B$1:B$224233, MATCH(D91,A$1:A$224233,1) +0)</f>
        <v>61.7</v>
      </c>
    </row>
    <row r="92" spans="1:5" x14ac:dyDescent="0.3">
      <c r="A92" s="21">
        <v>45412.447916666664</v>
      </c>
      <c r="B92">
        <v>56.6</v>
      </c>
      <c r="C92" s="18">
        <f>+'Acidic Catholyte_Na2SO4'!H93</f>
        <v>45413.977777777778</v>
      </c>
      <c r="D92" s="19">
        <f t="shared" si="2"/>
        <v>45413.894444444442</v>
      </c>
      <c r="E92" cm="1">
        <f t="array" ref="E92">INDEX(B$1:B$224233, MATCH(D92,A$1:A$224233,1) +0)</f>
        <v>61.6</v>
      </c>
    </row>
    <row r="93" spans="1:5" x14ac:dyDescent="0.3">
      <c r="A93" s="21">
        <v>45412.448611111111</v>
      </c>
      <c r="B93">
        <v>56.6</v>
      </c>
      <c r="C93" s="18">
        <f>+'Acidic Catholyte_Na2SO4'!H94</f>
        <v>45413.989583333336</v>
      </c>
      <c r="D93" s="19">
        <f t="shared" si="2"/>
        <v>45413.90625</v>
      </c>
      <c r="E93" cm="1">
        <f t="array" ref="E93">INDEX(B$1:B$224233, MATCH(D93,A$1:A$224233,1) +0)</f>
        <v>61.5</v>
      </c>
    </row>
    <row r="94" spans="1:5" x14ac:dyDescent="0.3">
      <c r="A94" s="21">
        <v>45412.449305555558</v>
      </c>
      <c r="B94">
        <v>56.8</v>
      </c>
      <c r="C94" s="18">
        <f>+'Acidic Catholyte_Na2SO4'!H95</f>
        <v>45414.001388888886</v>
      </c>
      <c r="D94" s="19">
        <f t="shared" si="2"/>
        <v>45413.91805555555</v>
      </c>
      <c r="E94" cm="1">
        <f t="array" ref="E94">INDEX(B$1:B$224233, MATCH(D94,A$1:A$224233,1) +0)</f>
        <v>61.6</v>
      </c>
    </row>
    <row r="95" spans="1:5" x14ac:dyDescent="0.3">
      <c r="A95" s="21">
        <v>45412.45</v>
      </c>
      <c r="B95">
        <v>57.1</v>
      </c>
      <c r="C95" s="18">
        <f>+'Acidic Catholyte_Na2SO4'!H96</f>
        <v>45414.013194444444</v>
      </c>
      <c r="D95" s="19">
        <f t="shared" si="2"/>
        <v>45413.929861111108</v>
      </c>
      <c r="E95" cm="1">
        <f t="array" ref="E95">INDEX(B$1:B$224233, MATCH(D95,A$1:A$224233,1) +0)</f>
        <v>61.9</v>
      </c>
    </row>
    <row r="96" spans="1:5" x14ac:dyDescent="0.3">
      <c r="A96" s="21">
        <v>45412.450694444444</v>
      </c>
      <c r="B96">
        <v>56.9</v>
      </c>
      <c r="C96" s="18">
        <f>+'Acidic Catholyte_Na2SO4'!H97</f>
        <v>45414.025000000001</v>
      </c>
      <c r="D96" s="19">
        <f t="shared" ref="D96:D124" si="3">+C96-2/24</f>
        <v>45413.941666666666</v>
      </c>
      <c r="E96" cm="1">
        <f t="array" ref="E96">INDEX(B$1:B$224233, MATCH(D96,A$1:A$224233,1) +0)</f>
        <v>61.6</v>
      </c>
    </row>
    <row r="97" spans="1:5" x14ac:dyDescent="0.3">
      <c r="A97" s="21">
        <v>45412.451388888891</v>
      </c>
      <c r="B97">
        <v>57</v>
      </c>
      <c r="C97" s="18">
        <f>+'Acidic Catholyte_Na2SO4'!H98</f>
        <v>45414.042361111111</v>
      </c>
      <c r="D97" s="19">
        <f t="shared" si="3"/>
        <v>45413.959027777775</v>
      </c>
      <c r="E97" cm="1">
        <f t="array" ref="E97">INDEX(B$1:B$224233, MATCH(D97,A$1:A$224233,1) +0)</f>
        <v>61.6</v>
      </c>
    </row>
    <row r="98" spans="1:5" x14ac:dyDescent="0.3">
      <c r="A98" s="21">
        <v>45412.45208333333</v>
      </c>
      <c r="B98">
        <v>57.2</v>
      </c>
      <c r="C98" s="18">
        <f>+'Acidic Catholyte_Na2SO4'!H99</f>
        <v>45414.054166666669</v>
      </c>
      <c r="D98" s="19">
        <f t="shared" si="3"/>
        <v>45413.970833333333</v>
      </c>
      <c r="E98" cm="1">
        <f t="array" ref="E98">INDEX(B$1:B$224233, MATCH(D98,A$1:A$224233,1) +0)</f>
        <v>61.9</v>
      </c>
    </row>
    <row r="99" spans="1:5" x14ac:dyDescent="0.3">
      <c r="A99" s="21">
        <v>45412.452777777777</v>
      </c>
      <c r="B99">
        <v>57.3</v>
      </c>
      <c r="C99" s="18">
        <f>+'Acidic Catholyte_Na2SO4'!H100</f>
        <v>45414.065972222219</v>
      </c>
      <c r="D99" s="19">
        <f t="shared" si="3"/>
        <v>45413.982638888883</v>
      </c>
      <c r="E99" cm="1">
        <f t="array" ref="E99">INDEX(B$1:B$224233, MATCH(D99,A$1:A$224233,1) +0)</f>
        <v>61.6</v>
      </c>
    </row>
    <row r="100" spans="1:5" x14ac:dyDescent="0.3">
      <c r="A100" s="21">
        <v>45412.453472222223</v>
      </c>
      <c r="B100">
        <v>57.2</v>
      </c>
      <c r="C100" s="18">
        <f>+'Acidic Catholyte_Na2SO4'!H101</f>
        <v>45414.077777777777</v>
      </c>
      <c r="D100" s="19">
        <f t="shared" si="3"/>
        <v>45413.994444444441</v>
      </c>
      <c r="E100" cm="1">
        <f t="array" ref="E100">INDEX(B$1:B$224233, MATCH(D100,A$1:A$224233,1) +0)</f>
        <v>61.5</v>
      </c>
    </row>
    <row r="101" spans="1:5" x14ac:dyDescent="0.3">
      <c r="A101" s="21">
        <v>45412.45416666667</v>
      </c>
      <c r="B101">
        <v>57.5</v>
      </c>
      <c r="C101" s="18">
        <f>+'Acidic Catholyte_Na2SO4'!H102</f>
        <v>45414.089583333334</v>
      </c>
      <c r="D101" s="19">
        <f t="shared" si="3"/>
        <v>45414.006249999999</v>
      </c>
      <c r="E101" cm="1">
        <f t="array" ref="E101">INDEX(B$1:B$224233, MATCH(D101,A$1:A$224233,1) +0)</f>
        <v>62</v>
      </c>
    </row>
    <row r="102" spans="1:5" x14ac:dyDescent="0.3">
      <c r="A102" s="21">
        <v>45412.454861111109</v>
      </c>
      <c r="B102">
        <v>57.2</v>
      </c>
      <c r="C102" s="18">
        <f>+'Acidic Catholyte_Na2SO4'!H103</f>
        <v>45414.101388888892</v>
      </c>
      <c r="D102" s="19">
        <f t="shared" si="3"/>
        <v>45414.018055555556</v>
      </c>
      <c r="E102" cm="1">
        <f t="array" ref="E102">INDEX(B$1:B$224233, MATCH(D102,A$1:A$224233,1) +0)</f>
        <v>61.6</v>
      </c>
    </row>
    <row r="103" spans="1:5" x14ac:dyDescent="0.3">
      <c r="A103" s="21">
        <v>45412.455555555556</v>
      </c>
      <c r="B103">
        <v>57.5</v>
      </c>
      <c r="C103" s="18">
        <f>+'Acidic Catholyte_Na2SO4'!H104</f>
        <v>45414.113194444442</v>
      </c>
      <c r="D103" s="19">
        <f t="shared" si="3"/>
        <v>45414.029861111107</v>
      </c>
      <c r="E103" cm="1">
        <f t="array" ref="E103">INDEX(B$1:B$224233, MATCH(D103,A$1:A$224233,1) +0)</f>
        <v>61.8</v>
      </c>
    </row>
    <row r="104" spans="1:5" x14ac:dyDescent="0.3">
      <c r="A104" s="21">
        <v>45412.456250000003</v>
      </c>
      <c r="B104">
        <v>57.2</v>
      </c>
      <c r="C104" s="18">
        <f>+'Acidic Catholyte_Na2SO4'!H105</f>
        <v>45414.125</v>
      </c>
      <c r="D104" s="19">
        <f t="shared" si="3"/>
        <v>45414.041666666664</v>
      </c>
      <c r="E104" cm="1">
        <f t="array" ref="E104">INDEX(B$1:B$224233, MATCH(D104,A$1:A$224233,1) +0)</f>
        <v>61.6</v>
      </c>
    </row>
    <row r="105" spans="1:5" x14ac:dyDescent="0.3">
      <c r="A105" s="21">
        <v>45412.456944444442</v>
      </c>
      <c r="B105">
        <v>57.4</v>
      </c>
      <c r="C105" s="18">
        <f>+'Acidic Catholyte_Na2SO4'!H106</f>
        <v>45414.136805555558</v>
      </c>
      <c r="D105" s="19">
        <f t="shared" si="3"/>
        <v>45414.053472222222</v>
      </c>
      <c r="E105" cm="1">
        <f t="array" ref="E105">INDEX(B$1:B$224233, MATCH(D105,A$1:A$224233,1) +0)</f>
        <v>61.8</v>
      </c>
    </row>
    <row r="106" spans="1:5" x14ac:dyDescent="0.3">
      <c r="A106" s="21">
        <v>45412.457638888889</v>
      </c>
      <c r="B106">
        <v>57.6</v>
      </c>
      <c r="C106" s="18">
        <f>+'Acidic Catholyte_Na2SO4'!H107</f>
        <v>45414.154861111114</v>
      </c>
      <c r="D106" s="19">
        <f t="shared" si="3"/>
        <v>45414.071527777778</v>
      </c>
      <c r="E106" cm="1">
        <f t="array" ref="E106">INDEX(B$1:B$224233, MATCH(D106,A$1:A$224233,1) +0)</f>
        <v>61.7</v>
      </c>
    </row>
    <row r="107" spans="1:5" x14ac:dyDescent="0.3">
      <c r="A107" s="21">
        <v>45412.458333333336</v>
      </c>
      <c r="B107">
        <v>57.7</v>
      </c>
      <c r="C107" s="18">
        <f>+'Acidic Catholyte_Na2SO4'!H108</f>
        <v>45414.166666666664</v>
      </c>
      <c r="D107" s="19">
        <f t="shared" si="3"/>
        <v>45414.083333333328</v>
      </c>
      <c r="E107" cm="1">
        <f t="array" ref="E107">INDEX(B$1:B$224233, MATCH(D107,A$1:A$224233,1) +0)</f>
        <v>62.1</v>
      </c>
    </row>
    <row r="108" spans="1:5" x14ac:dyDescent="0.3">
      <c r="A108" s="21">
        <v>45412.459027777775</v>
      </c>
      <c r="B108">
        <v>57.7</v>
      </c>
      <c r="C108" s="18">
        <f>+'Acidic Catholyte_Na2SO4'!H109</f>
        <v>45414.178472222222</v>
      </c>
      <c r="D108" s="19">
        <f t="shared" si="3"/>
        <v>45414.095138888886</v>
      </c>
      <c r="E108" cm="1">
        <f t="array" ref="E108">INDEX(B$1:B$224233, MATCH(D108,A$1:A$224233,1) +0)</f>
        <v>62</v>
      </c>
    </row>
    <row r="109" spans="1:5" x14ac:dyDescent="0.3">
      <c r="A109" s="21">
        <v>45412.459722222222</v>
      </c>
      <c r="B109">
        <v>57.7</v>
      </c>
      <c r="C109" s="18">
        <f>+'Acidic Catholyte_Na2SO4'!H110</f>
        <v>45414.19027777778</v>
      </c>
      <c r="D109" s="19">
        <f t="shared" si="3"/>
        <v>45414.106944444444</v>
      </c>
      <c r="E109" cm="1">
        <f t="array" ref="E109">INDEX(B$1:B$224233, MATCH(D109,A$1:A$224233,1) +0)</f>
        <v>61.8</v>
      </c>
    </row>
    <row r="110" spans="1:5" x14ac:dyDescent="0.3">
      <c r="A110" s="21">
        <v>45412.460416666669</v>
      </c>
      <c r="B110">
        <v>57.9</v>
      </c>
      <c r="C110" s="18">
        <f>+'Acidic Catholyte_Na2SO4'!H111</f>
        <v>45414.20208333333</v>
      </c>
      <c r="D110" s="19">
        <f t="shared" si="3"/>
        <v>45414.118749999994</v>
      </c>
      <c r="E110" cm="1">
        <f t="array" ref="E110">INDEX(B$1:B$224233, MATCH(D110,A$1:A$224233,1) +0)</f>
        <v>61.8</v>
      </c>
    </row>
    <row r="111" spans="1:5" x14ac:dyDescent="0.3">
      <c r="A111" s="21">
        <v>45412.461111111108</v>
      </c>
      <c r="B111">
        <v>57.7</v>
      </c>
      <c r="C111" s="18">
        <f>+'Acidic Catholyte_Na2SO4'!H112</f>
        <v>45414.213888888888</v>
      </c>
      <c r="D111" s="19">
        <f t="shared" si="3"/>
        <v>45414.130555555552</v>
      </c>
      <c r="E111" cm="1">
        <f t="array" ref="E111">INDEX(B$1:B$224233, MATCH(D111,A$1:A$224233,1) +0)</f>
        <v>61.4</v>
      </c>
    </row>
    <row r="112" spans="1:5" x14ac:dyDescent="0.3">
      <c r="A112" s="21">
        <v>45412.461805555555</v>
      </c>
      <c r="B112">
        <v>57.6</v>
      </c>
      <c r="C112" s="18">
        <f>+'Acidic Catholyte_Na2SO4'!H113</f>
        <v>45414.225694444445</v>
      </c>
      <c r="D112" s="19">
        <f t="shared" si="3"/>
        <v>45414.142361111109</v>
      </c>
      <c r="E112" cm="1">
        <f t="array" ref="E112">INDEX(B$1:B$224233, MATCH(D112,A$1:A$224233,1) +0)</f>
        <v>61.9</v>
      </c>
    </row>
    <row r="113" spans="1:5" x14ac:dyDescent="0.3">
      <c r="A113" s="21">
        <v>45412.462500000001</v>
      </c>
      <c r="B113">
        <v>57.5</v>
      </c>
      <c r="C113" s="18">
        <f>+'Acidic Catholyte_Na2SO4'!H114</f>
        <v>45414.237500000003</v>
      </c>
      <c r="D113" s="19">
        <f t="shared" si="3"/>
        <v>45414.154166666667</v>
      </c>
      <c r="E113" cm="1">
        <f t="array" ref="E113">INDEX(B$1:B$224233, MATCH(D113,A$1:A$224233,1) +0)</f>
        <v>61.8</v>
      </c>
    </row>
    <row r="114" spans="1:5" x14ac:dyDescent="0.3">
      <c r="A114" s="21">
        <v>45412.463194444441</v>
      </c>
      <c r="B114">
        <v>57.7</v>
      </c>
      <c r="C114" s="18">
        <f>+'Acidic Catholyte_Na2SO4'!H115</f>
        <v>45414.249305555553</v>
      </c>
      <c r="D114" s="19">
        <f t="shared" si="3"/>
        <v>45414.165972222218</v>
      </c>
      <c r="E114" cm="1">
        <f t="array" ref="E114">INDEX(B$1:B$224233, MATCH(D114,A$1:A$224233,1) +0)</f>
        <v>61.6</v>
      </c>
    </row>
    <row r="115" spans="1:5" x14ac:dyDescent="0.3">
      <c r="A115" s="21">
        <v>45412.463888888888</v>
      </c>
      <c r="B115">
        <v>57.8</v>
      </c>
      <c r="C115" s="18">
        <f>+'Acidic Catholyte_Na2SO4'!H116</f>
        <v>45414.26666666667</v>
      </c>
      <c r="D115" s="19">
        <f t="shared" si="3"/>
        <v>45414.183333333334</v>
      </c>
      <c r="E115" cm="1">
        <f t="array" ref="E115">INDEX(B$1:B$224233, MATCH(D115,A$1:A$224233,1) +0)</f>
        <v>61.9</v>
      </c>
    </row>
    <row r="116" spans="1:5" x14ac:dyDescent="0.3">
      <c r="A116" s="21">
        <v>45412.464583333334</v>
      </c>
      <c r="B116">
        <v>58.1</v>
      </c>
      <c r="C116" s="18">
        <f>+'Acidic Catholyte_Na2SO4'!H117</f>
        <v>45414.27847222222</v>
      </c>
      <c r="D116" s="19">
        <f t="shared" si="3"/>
        <v>45414.195138888885</v>
      </c>
      <c r="E116" cm="1">
        <f t="array" ref="E116">INDEX(B$1:B$224233, MATCH(D116,A$1:A$224233,1) +0)</f>
        <v>61.8</v>
      </c>
    </row>
    <row r="117" spans="1:5" x14ac:dyDescent="0.3">
      <c r="A117" s="21">
        <v>45412.465277777781</v>
      </c>
      <c r="B117">
        <v>58.1</v>
      </c>
      <c r="C117" s="18">
        <f>+'Acidic Catholyte_Na2SO4'!H118</f>
        <v>45414.290277777778</v>
      </c>
      <c r="D117" s="19">
        <f t="shared" si="3"/>
        <v>45414.206944444442</v>
      </c>
      <c r="E117" cm="1">
        <f t="array" ref="E117">INDEX(B$1:B$224233, MATCH(D117,A$1:A$224233,1) +0)</f>
        <v>61.8</v>
      </c>
    </row>
    <row r="118" spans="1:5" x14ac:dyDescent="0.3">
      <c r="A118" s="21">
        <v>45412.46597222222</v>
      </c>
      <c r="B118">
        <v>58.2</v>
      </c>
      <c r="C118" s="18">
        <f>+'Acidic Catholyte_Na2SO4'!H119</f>
        <v>45414.302083333336</v>
      </c>
      <c r="D118" s="19">
        <f t="shared" si="3"/>
        <v>45414.21875</v>
      </c>
      <c r="E118" cm="1">
        <f t="array" ref="E118">INDEX(B$1:B$224233, MATCH(D118,A$1:A$224233,1) +0)</f>
        <v>61.8</v>
      </c>
    </row>
    <row r="119" spans="1:5" x14ac:dyDescent="0.3">
      <c r="A119" s="21">
        <v>45412.466666666667</v>
      </c>
      <c r="B119">
        <v>58.1</v>
      </c>
      <c r="C119" s="18">
        <f>+'Acidic Catholyte_Na2SO4'!H120</f>
        <v>45414.313888888886</v>
      </c>
      <c r="D119" s="19">
        <f t="shared" si="3"/>
        <v>45414.23055555555</v>
      </c>
      <c r="E119" cm="1">
        <f t="array" ref="E119">INDEX(B$1:B$224233, MATCH(D119,A$1:A$224233,1) +0)</f>
        <v>62.1</v>
      </c>
    </row>
    <row r="120" spans="1:5" x14ac:dyDescent="0.3">
      <c r="A120" s="21">
        <v>45412.467361111114</v>
      </c>
      <c r="B120">
        <v>58</v>
      </c>
      <c r="C120" s="18">
        <f>+'Acidic Catholyte_Na2SO4'!H121</f>
        <v>45414.325694444444</v>
      </c>
      <c r="D120" s="19">
        <f t="shared" si="3"/>
        <v>45414.242361111108</v>
      </c>
      <c r="E120" cm="1">
        <f t="array" ref="E120">INDEX(B$1:B$224233, MATCH(D120,A$1:A$224233,1) +0)</f>
        <v>61.9</v>
      </c>
    </row>
    <row r="121" spans="1:5" x14ac:dyDescent="0.3">
      <c r="A121" s="21">
        <v>45412.468055555553</v>
      </c>
      <c r="B121">
        <v>57.9</v>
      </c>
      <c r="C121" s="18">
        <f>+'Acidic Catholyte_Na2SO4'!H122</f>
        <v>45414.337500000001</v>
      </c>
      <c r="D121" s="19">
        <f t="shared" si="3"/>
        <v>45414.254166666666</v>
      </c>
      <c r="E121" cm="1">
        <f t="array" ref="E121">INDEX(B$1:B$224233, MATCH(D121,A$1:A$224233,1) +0)</f>
        <v>61.7</v>
      </c>
    </row>
    <row r="122" spans="1:5" x14ac:dyDescent="0.3">
      <c r="A122" s="21">
        <v>45412.46875</v>
      </c>
      <c r="B122">
        <v>57.8</v>
      </c>
      <c r="C122" s="18">
        <f>+'Acidic Catholyte_Na2SO4'!H123</f>
        <v>45414.349305555559</v>
      </c>
      <c r="D122" s="19">
        <f t="shared" si="3"/>
        <v>45414.265972222223</v>
      </c>
      <c r="E122" cm="1">
        <f t="array" ref="E122">INDEX(B$1:B$224233, MATCH(D122,A$1:A$224233,1) +0)</f>
        <v>61.9</v>
      </c>
    </row>
    <row r="123" spans="1:5" x14ac:dyDescent="0.3">
      <c r="A123" s="21">
        <v>45412.469444444447</v>
      </c>
      <c r="B123">
        <v>58</v>
      </c>
      <c r="C123" s="18">
        <f>+'Acidic Catholyte_Na2SO4'!H124</f>
        <v>45414.361111111109</v>
      </c>
      <c r="D123" s="19">
        <f t="shared" si="3"/>
        <v>45414.277777777774</v>
      </c>
      <c r="E123" cm="1">
        <f t="array" ref="E123">INDEX(B$1:B$224233, MATCH(D123,A$1:A$224233,1) +0)</f>
        <v>62.1</v>
      </c>
    </row>
    <row r="124" spans="1:5" x14ac:dyDescent="0.3">
      <c r="A124" s="21">
        <v>45412.470138888886</v>
      </c>
      <c r="B124">
        <v>58.2</v>
      </c>
      <c r="C124" s="18">
        <f>+'Acidic Catholyte_Na2SO4'!H125</f>
        <v>45414.384722222225</v>
      </c>
      <c r="D124" s="19">
        <f t="shared" si="3"/>
        <v>45414.301388888889</v>
      </c>
      <c r="E124" cm="1">
        <f t="array" ref="E124">INDEX(B$1:B$224233, MATCH(D124,A$1:A$224233,1) +0)</f>
        <v>62.4</v>
      </c>
    </row>
    <row r="125" spans="1:5" x14ac:dyDescent="0.3">
      <c r="A125" s="21">
        <v>45412.470833333333</v>
      </c>
      <c r="B125">
        <v>58.1</v>
      </c>
      <c r="C125" s="18"/>
      <c r="D125" s="19"/>
    </row>
    <row r="126" spans="1:5" x14ac:dyDescent="0.3">
      <c r="A126" s="21">
        <v>45412.47152777778</v>
      </c>
      <c r="B126">
        <v>58</v>
      </c>
      <c r="C126" s="18"/>
      <c r="D126" s="19"/>
    </row>
    <row r="127" spans="1:5" x14ac:dyDescent="0.3">
      <c r="A127" s="21">
        <v>45412.472222222219</v>
      </c>
      <c r="B127">
        <v>58.1</v>
      </c>
      <c r="C127" s="18"/>
      <c r="D127" s="19"/>
    </row>
    <row r="128" spans="1:5" x14ac:dyDescent="0.3">
      <c r="A128" s="21">
        <v>45412.472916666666</v>
      </c>
      <c r="B128">
        <v>58.2</v>
      </c>
      <c r="C128" s="18"/>
      <c r="D128" s="19"/>
    </row>
    <row r="129" spans="1:4" x14ac:dyDescent="0.3">
      <c r="A129" s="21">
        <v>45412.473611111112</v>
      </c>
      <c r="B129">
        <v>57.9</v>
      </c>
      <c r="C129" s="18"/>
      <c r="D129" s="19"/>
    </row>
    <row r="130" spans="1:4" x14ac:dyDescent="0.3">
      <c r="A130" s="21">
        <v>45412.474305555559</v>
      </c>
      <c r="B130">
        <v>58.3</v>
      </c>
      <c r="C130" s="18"/>
      <c r="D130" s="19"/>
    </row>
    <row r="131" spans="1:4" x14ac:dyDescent="0.3">
      <c r="A131" s="21">
        <v>45412.474999999999</v>
      </c>
      <c r="B131">
        <v>58.1</v>
      </c>
      <c r="C131" s="18"/>
      <c r="D131" s="19"/>
    </row>
    <row r="132" spans="1:4" x14ac:dyDescent="0.3">
      <c r="A132" s="21">
        <v>45412.475694444445</v>
      </c>
      <c r="B132">
        <v>58.4</v>
      </c>
      <c r="C132" s="18"/>
      <c r="D132" s="19"/>
    </row>
    <row r="133" spans="1:4" x14ac:dyDescent="0.3">
      <c r="A133" s="21">
        <v>45412.476388888892</v>
      </c>
      <c r="B133">
        <v>58.3</v>
      </c>
      <c r="C133" s="18"/>
      <c r="D133" s="19"/>
    </row>
    <row r="134" spans="1:4" x14ac:dyDescent="0.3">
      <c r="A134" s="21">
        <v>45412.477083333331</v>
      </c>
      <c r="B134">
        <v>58.5</v>
      </c>
      <c r="C134" s="18"/>
      <c r="D134" s="19"/>
    </row>
    <row r="135" spans="1:4" x14ac:dyDescent="0.3">
      <c r="A135" s="21">
        <v>45412.477777777778</v>
      </c>
      <c r="B135">
        <v>58.4</v>
      </c>
      <c r="C135" s="18"/>
      <c r="D135" s="19"/>
    </row>
    <row r="136" spans="1:4" x14ac:dyDescent="0.3">
      <c r="A136" s="21">
        <v>45412.478472222225</v>
      </c>
      <c r="B136">
        <v>58.3</v>
      </c>
      <c r="C136" s="18"/>
      <c r="D136" s="19"/>
    </row>
    <row r="137" spans="1:4" x14ac:dyDescent="0.3">
      <c r="A137" s="21">
        <v>45412.479166666664</v>
      </c>
      <c r="B137">
        <v>57.8</v>
      </c>
    </row>
    <row r="138" spans="1:4" x14ac:dyDescent="0.3">
      <c r="A138" s="21">
        <v>45412.479861111111</v>
      </c>
      <c r="B138">
        <v>58.7</v>
      </c>
    </row>
    <row r="139" spans="1:4" x14ac:dyDescent="0.3">
      <c r="A139" s="21">
        <v>45412.480555555558</v>
      </c>
      <c r="B139">
        <v>58.6</v>
      </c>
    </row>
    <row r="140" spans="1:4" x14ac:dyDescent="0.3">
      <c r="A140" s="21">
        <v>45412.481249999997</v>
      </c>
      <c r="B140">
        <v>58.4</v>
      </c>
    </row>
    <row r="141" spans="1:4" x14ac:dyDescent="0.3">
      <c r="A141" s="21">
        <v>45412.481944444444</v>
      </c>
      <c r="B141">
        <v>58.5</v>
      </c>
    </row>
    <row r="142" spans="1:4" x14ac:dyDescent="0.3">
      <c r="A142" s="21">
        <v>45412.482638888891</v>
      </c>
      <c r="B142">
        <v>58.8</v>
      </c>
    </row>
    <row r="143" spans="1:4" x14ac:dyDescent="0.3">
      <c r="A143" s="21">
        <v>45412.48333333333</v>
      </c>
      <c r="B143">
        <v>58</v>
      </c>
    </row>
    <row r="144" spans="1:4" x14ac:dyDescent="0.3">
      <c r="A144" s="21">
        <v>45412.484027777777</v>
      </c>
      <c r="B144">
        <v>58.3</v>
      </c>
    </row>
    <row r="145" spans="1:2" x14ac:dyDescent="0.3">
      <c r="A145" s="21">
        <v>45412.484722222223</v>
      </c>
      <c r="B145">
        <v>58.4</v>
      </c>
    </row>
    <row r="146" spans="1:2" x14ac:dyDescent="0.3">
      <c r="A146" s="21">
        <v>45412.48541666667</v>
      </c>
      <c r="B146">
        <v>58.2</v>
      </c>
    </row>
    <row r="147" spans="1:2" x14ac:dyDescent="0.3">
      <c r="A147" s="21">
        <v>45412.486111111109</v>
      </c>
      <c r="B147">
        <v>58.2</v>
      </c>
    </row>
    <row r="148" spans="1:2" x14ac:dyDescent="0.3">
      <c r="A148" s="21">
        <v>45412.486805555556</v>
      </c>
      <c r="B148">
        <v>58.2</v>
      </c>
    </row>
    <row r="149" spans="1:2" x14ac:dyDescent="0.3">
      <c r="A149" s="21">
        <v>45412.487500000003</v>
      </c>
      <c r="B149">
        <v>58.4</v>
      </c>
    </row>
    <row r="150" spans="1:2" x14ac:dyDescent="0.3">
      <c r="A150" s="21">
        <v>45412.488194444442</v>
      </c>
      <c r="B150">
        <v>58.4</v>
      </c>
    </row>
    <row r="151" spans="1:2" x14ac:dyDescent="0.3">
      <c r="A151" s="21">
        <v>45412.488888888889</v>
      </c>
      <c r="B151">
        <v>58.1</v>
      </c>
    </row>
    <row r="152" spans="1:2" x14ac:dyDescent="0.3">
      <c r="A152" s="21">
        <v>45412.489583333336</v>
      </c>
      <c r="B152">
        <v>57.9</v>
      </c>
    </row>
    <row r="153" spans="1:2" x14ac:dyDescent="0.3">
      <c r="A153" s="21">
        <v>45412.490277777775</v>
      </c>
      <c r="B153">
        <v>58.2</v>
      </c>
    </row>
    <row r="154" spans="1:2" x14ac:dyDescent="0.3">
      <c r="A154" s="21">
        <v>45412.490972222222</v>
      </c>
      <c r="B154">
        <v>58.4</v>
      </c>
    </row>
    <row r="155" spans="1:2" x14ac:dyDescent="0.3">
      <c r="A155" s="21">
        <v>45412.491666666669</v>
      </c>
      <c r="B155">
        <v>58.6</v>
      </c>
    </row>
    <row r="156" spans="1:2" x14ac:dyDescent="0.3">
      <c r="A156" s="21">
        <v>45412.492361111108</v>
      </c>
      <c r="B156">
        <v>58</v>
      </c>
    </row>
    <row r="157" spans="1:2" x14ac:dyDescent="0.3">
      <c r="A157" s="21">
        <v>45412.493055555555</v>
      </c>
      <c r="B157">
        <v>58.3</v>
      </c>
    </row>
    <row r="158" spans="1:2" x14ac:dyDescent="0.3">
      <c r="A158" s="21">
        <v>45412.493750000001</v>
      </c>
      <c r="B158">
        <v>58.2</v>
      </c>
    </row>
    <row r="159" spans="1:2" x14ac:dyDescent="0.3">
      <c r="A159" s="21">
        <v>45412.494444444441</v>
      </c>
      <c r="B159">
        <v>58</v>
      </c>
    </row>
    <row r="160" spans="1:2" x14ac:dyDescent="0.3">
      <c r="A160" s="21">
        <v>45412.495138888888</v>
      </c>
      <c r="B160">
        <v>58.4</v>
      </c>
    </row>
    <row r="161" spans="1:2" x14ac:dyDescent="0.3">
      <c r="A161" s="21">
        <v>45412.495833333334</v>
      </c>
      <c r="B161">
        <v>58.2</v>
      </c>
    </row>
    <row r="162" spans="1:2" x14ac:dyDescent="0.3">
      <c r="A162" s="21">
        <v>45412.496527777781</v>
      </c>
      <c r="B162">
        <v>58.4</v>
      </c>
    </row>
    <row r="163" spans="1:2" x14ac:dyDescent="0.3">
      <c r="A163" s="21">
        <v>45412.49722222222</v>
      </c>
      <c r="B163">
        <v>58.2</v>
      </c>
    </row>
    <row r="164" spans="1:2" x14ac:dyDescent="0.3">
      <c r="A164" s="21">
        <v>45412.497916666667</v>
      </c>
      <c r="B164">
        <v>58.5</v>
      </c>
    </row>
    <row r="165" spans="1:2" x14ac:dyDescent="0.3">
      <c r="A165" s="21">
        <v>45412.498611111114</v>
      </c>
      <c r="B165">
        <v>58.7</v>
      </c>
    </row>
    <row r="166" spans="1:2" x14ac:dyDescent="0.3">
      <c r="A166" s="21">
        <v>45412.499305555553</v>
      </c>
      <c r="B166">
        <v>58.4</v>
      </c>
    </row>
    <row r="167" spans="1:2" x14ac:dyDescent="0.3">
      <c r="A167" s="21">
        <v>45412.5</v>
      </c>
      <c r="B167">
        <v>58.7</v>
      </c>
    </row>
    <row r="168" spans="1:2" x14ac:dyDescent="0.3">
      <c r="A168" s="21">
        <v>45412.500694444447</v>
      </c>
      <c r="B168">
        <v>58.5</v>
      </c>
    </row>
    <row r="169" spans="1:2" x14ac:dyDescent="0.3">
      <c r="A169" s="21">
        <v>45412.501388888886</v>
      </c>
      <c r="B169">
        <v>58.7</v>
      </c>
    </row>
    <row r="170" spans="1:2" x14ac:dyDescent="0.3">
      <c r="A170" s="21">
        <v>45412.502083333333</v>
      </c>
      <c r="B170">
        <v>58.9</v>
      </c>
    </row>
    <row r="171" spans="1:2" x14ac:dyDescent="0.3">
      <c r="A171" s="21">
        <v>45412.50277777778</v>
      </c>
      <c r="B171">
        <v>58.4</v>
      </c>
    </row>
    <row r="172" spans="1:2" x14ac:dyDescent="0.3">
      <c r="A172" s="21">
        <v>45412.503472222219</v>
      </c>
      <c r="B172">
        <v>59</v>
      </c>
    </row>
    <row r="173" spans="1:2" x14ac:dyDescent="0.3">
      <c r="A173" s="21">
        <v>45412.504166666666</v>
      </c>
      <c r="B173">
        <v>58.7</v>
      </c>
    </row>
    <row r="174" spans="1:2" x14ac:dyDescent="0.3">
      <c r="A174" s="21">
        <v>45412.504861111112</v>
      </c>
      <c r="B174">
        <v>58.7</v>
      </c>
    </row>
    <row r="175" spans="1:2" x14ac:dyDescent="0.3">
      <c r="A175" s="21">
        <v>45412.505555555559</v>
      </c>
      <c r="B175">
        <v>58</v>
      </c>
    </row>
    <row r="176" spans="1:2" x14ac:dyDescent="0.3">
      <c r="A176" s="21">
        <v>45412.506249999999</v>
      </c>
      <c r="B176">
        <v>58.8</v>
      </c>
    </row>
    <row r="177" spans="1:2" x14ac:dyDescent="0.3">
      <c r="A177" s="21">
        <v>45412.506944444445</v>
      </c>
      <c r="B177">
        <v>59</v>
      </c>
    </row>
    <row r="178" spans="1:2" x14ac:dyDescent="0.3">
      <c r="A178" s="21">
        <v>45412.507638888892</v>
      </c>
      <c r="B178">
        <v>58.3</v>
      </c>
    </row>
    <row r="179" spans="1:2" x14ac:dyDescent="0.3">
      <c r="A179" s="21">
        <v>45412.508333333331</v>
      </c>
      <c r="B179">
        <v>58.9</v>
      </c>
    </row>
    <row r="180" spans="1:2" x14ac:dyDescent="0.3">
      <c r="A180" s="21">
        <v>45412.509027777778</v>
      </c>
      <c r="B180">
        <v>58.9</v>
      </c>
    </row>
    <row r="181" spans="1:2" x14ac:dyDescent="0.3">
      <c r="A181" s="21">
        <v>45412.509722222225</v>
      </c>
      <c r="B181">
        <v>58.4</v>
      </c>
    </row>
    <row r="182" spans="1:2" x14ac:dyDescent="0.3">
      <c r="A182" s="21">
        <v>45412.510416666664</v>
      </c>
      <c r="B182">
        <v>58.7</v>
      </c>
    </row>
    <row r="183" spans="1:2" x14ac:dyDescent="0.3">
      <c r="A183" s="21">
        <v>45412.511111111111</v>
      </c>
      <c r="B183">
        <v>58.6</v>
      </c>
    </row>
    <row r="184" spans="1:2" x14ac:dyDescent="0.3">
      <c r="A184" s="21">
        <v>45412.511805555558</v>
      </c>
      <c r="B184">
        <v>59</v>
      </c>
    </row>
    <row r="185" spans="1:2" x14ac:dyDescent="0.3">
      <c r="A185" s="21">
        <v>45412.512499999997</v>
      </c>
      <c r="B185">
        <v>58.9</v>
      </c>
    </row>
    <row r="186" spans="1:2" x14ac:dyDescent="0.3">
      <c r="A186" s="21">
        <v>45412.513194444444</v>
      </c>
      <c r="B186">
        <v>58.3</v>
      </c>
    </row>
    <row r="187" spans="1:2" x14ac:dyDescent="0.3">
      <c r="A187" s="21">
        <v>45412.513888888891</v>
      </c>
      <c r="B187">
        <v>58.9</v>
      </c>
    </row>
    <row r="188" spans="1:2" x14ac:dyDescent="0.3">
      <c r="A188" s="21">
        <v>45412.51458333333</v>
      </c>
      <c r="B188">
        <v>58.7</v>
      </c>
    </row>
    <row r="189" spans="1:2" x14ac:dyDescent="0.3">
      <c r="A189" s="21">
        <v>45412.515277777777</v>
      </c>
      <c r="B189">
        <v>58.4</v>
      </c>
    </row>
    <row r="190" spans="1:2" x14ac:dyDescent="0.3">
      <c r="A190" s="21">
        <v>45412.515972222223</v>
      </c>
      <c r="B190">
        <v>58.4</v>
      </c>
    </row>
    <row r="191" spans="1:2" x14ac:dyDescent="0.3">
      <c r="A191" s="21">
        <v>45412.51666666667</v>
      </c>
      <c r="B191">
        <v>58.9</v>
      </c>
    </row>
    <row r="192" spans="1:2" x14ac:dyDescent="0.3">
      <c r="A192" s="21">
        <v>45412.517361111109</v>
      </c>
      <c r="B192">
        <v>58.5</v>
      </c>
    </row>
    <row r="193" spans="1:2" x14ac:dyDescent="0.3">
      <c r="A193" s="21">
        <v>45412.518055555556</v>
      </c>
      <c r="B193">
        <v>58.6</v>
      </c>
    </row>
    <row r="194" spans="1:2" x14ac:dyDescent="0.3">
      <c r="A194" s="21">
        <v>45412.518750000003</v>
      </c>
      <c r="B194">
        <v>59.2</v>
      </c>
    </row>
    <row r="195" spans="1:2" x14ac:dyDescent="0.3">
      <c r="A195" s="21">
        <v>45412.519444444442</v>
      </c>
      <c r="B195">
        <v>58.7</v>
      </c>
    </row>
    <row r="196" spans="1:2" x14ac:dyDescent="0.3">
      <c r="A196" s="21">
        <v>45412.520138888889</v>
      </c>
      <c r="B196">
        <v>58.7</v>
      </c>
    </row>
    <row r="197" spans="1:2" x14ac:dyDescent="0.3">
      <c r="A197" s="21">
        <v>45412.520833333336</v>
      </c>
      <c r="B197">
        <v>58.7</v>
      </c>
    </row>
    <row r="198" spans="1:2" x14ac:dyDescent="0.3">
      <c r="A198" s="21">
        <v>45412.521527777775</v>
      </c>
      <c r="B198">
        <v>58.6</v>
      </c>
    </row>
    <row r="199" spans="1:2" x14ac:dyDescent="0.3">
      <c r="A199" s="21">
        <v>45412.522222222222</v>
      </c>
      <c r="B199">
        <v>58.8</v>
      </c>
    </row>
    <row r="200" spans="1:2" x14ac:dyDescent="0.3">
      <c r="A200" s="21">
        <v>45412.522916666669</v>
      </c>
      <c r="B200">
        <v>58.6</v>
      </c>
    </row>
    <row r="201" spans="1:2" x14ac:dyDescent="0.3">
      <c r="A201" s="21">
        <v>45412.523611111108</v>
      </c>
      <c r="B201">
        <v>58.4</v>
      </c>
    </row>
    <row r="202" spans="1:2" x14ac:dyDescent="0.3">
      <c r="A202" s="21">
        <v>45412.524305555555</v>
      </c>
      <c r="B202">
        <v>58.7</v>
      </c>
    </row>
    <row r="203" spans="1:2" x14ac:dyDescent="0.3">
      <c r="A203" s="21">
        <v>45412.525000000001</v>
      </c>
      <c r="B203">
        <v>58.8</v>
      </c>
    </row>
    <row r="204" spans="1:2" x14ac:dyDescent="0.3">
      <c r="A204" s="21">
        <v>45412.525694444441</v>
      </c>
      <c r="B204">
        <v>58.4</v>
      </c>
    </row>
    <row r="205" spans="1:2" x14ac:dyDescent="0.3">
      <c r="A205" s="21">
        <v>45412.526388888888</v>
      </c>
      <c r="B205">
        <v>58.7</v>
      </c>
    </row>
    <row r="206" spans="1:2" x14ac:dyDescent="0.3">
      <c r="A206" s="21">
        <v>45412.527083333334</v>
      </c>
      <c r="B206">
        <v>58.6</v>
      </c>
    </row>
    <row r="207" spans="1:2" x14ac:dyDescent="0.3">
      <c r="A207" s="21">
        <v>45412.527777777781</v>
      </c>
      <c r="B207">
        <v>58.5</v>
      </c>
    </row>
    <row r="208" spans="1:2" x14ac:dyDescent="0.3">
      <c r="A208" s="21">
        <v>45412.52847222222</v>
      </c>
      <c r="B208">
        <v>58.8</v>
      </c>
    </row>
    <row r="209" spans="1:2" x14ac:dyDescent="0.3">
      <c r="A209" s="21">
        <v>45412.529166666667</v>
      </c>
      <c r="B209">
        <v>58.5</v>
      </c>
    </row>
    <row r="210" spans="1:2" x14ac:dyDescent="0.3">
      <c r="A210" s="21">
        <v>45412.529861111114</v>
      </c>
      <c r="B210">
        <v>58.7</v>
      </c>
    </row>
    <row r="211" spans="1:2" x14ac:dyDescent="0.3">
      <c r="A211" s="21">
        <v>45412.530555555553</v>
      </c>
      <c r="B211">
        <v>58.8</v>
      </c>
    </row>
    <row r="212" spans="1:2" x14ac:dyDescent="0.3">
      <c r="A212" s="21">
        <v>45412.53125</v>
      </c>
      <c r="B212">
        <v>58.6</v>
      </c>
    </row>
    <row r="213" spans="1:2" x14ac:dyDescent="0.3">
      <c r="A213" s="21">
        <v>45412.531944444447</v>
      </c>
      <c r="B213">
        <v>58.8</v>
      </c>
    </row>
    <row r="214" spans="1:2" x14ac:dyDescent="0.3">
      <c r="A214" s="21">
        <v>45412.532638888886</v>
      </c>
      <c r="B214">
        <v>58.9</v>
      </c>
    </row>
    <row r="215" spans="1:2" x14ac:dyDescent="0.3">
      <c r="A215" s="21">
        <v>45412.533333333333</v>
      </c>
      <c r="B215">
        <v>59.4</v>
      </c>
    </row>
    <row r="216" spans="1:2" x14ac:dyDescent="0.3">
      <c r="A216" s="21">
        <v>45412.53402777778</v>
      </c>
      <c r="B216">
        <v>58.7</v>
      </c>
    </row>
    <row r="217" spans="1:2" x14ac:dyDescent="0.3">
      <c r="A217" s="21">
        <v>45412.534722222219</v>
      </c>
      <c r="B217">
        <v>59.1</v>
      </c>
    </row>
    <row r="218" spans="1:2" x14ac:dyDescent="0.3">
      <c r="A218" s="21">
        <v>45412.535416666666</v>
      </c>
      <c r="B218">
        <v>58.8</v>
      </c>
    </row>
    <row r="219" spans="1:2" x14ac:dyDescent="0.3">
      <c r="A219" s="21">
        <v>45412.536111111112</v>
      </c>
      <c r="B219">
        <v>58.7</v>
      </c>
    </row>
    <row r="220" spans="1:2" x14ac:dyDescent="0.3">
      <c r="A220" s="21">
        <v>45412.536805555559</v>
      </c>
      <c r="B220">
        <v>58.8</v>
      </c>
    </row>
    <row r="221" spans="1:2" x14ac:dyDescent="0.3">
      <c r="A221" s="21">
        <v>45412.537499999999</v>
      </c>
      <c r="B221">
        <v>59</v>
      </c>
    </row>
    <row r="222" spans="1:2" x14ac:dyDescent="0.3">
      <c r="A222" s="21">
        <v>45412.538194444445</v>
      </c>
      <c r="B222">
        <v>58.6</v>
      </c>
    </row>
    <row r="223" spans="1:2" x14ac:dyDescent="0.3">
      <c r="A223" s="21">
        <v>45412.538888888892</v>
      </c>
      <c r="B223">
        <v>58.9</v>
      </c>
    </row>
    <row r="224" spans="1:2" x14ac:dyDescent="0.3">
      <c r="A224" s="21">
        <v>45412.539583333331</v>
      </c>
      <c r="B224">
        <v>58.7</v>
      </c>
    </row>
    <row r="225" spans="1:2" x14ac:dyDescent="0.3">
      <c r="A225" s="21">
        <v>45412.540277777778</v>
      </c>
      <c r="B225">
        <v>59.1</v>
      </c>
    </row>
    <row r="226" spans="1:2" x14ac:dyDescent="0.3">
      <c r="A226" s="21">
        <v>45412.540972222225</v>
      </c>
      <c r="B226">
        <v>58.9</v>
      </c>
    </row>
    <row r="227" spans="1:2" x14ac:dyDescent="0.3">
      <c r="A227" s="21">
        <v>45412.541666666664</v>
      </c>
      <c r="B227">
        <v>58.9</v>
      </c>
    </row>
    <row r="228" spans="1:2" x14ac:dyDescent="0.3">
      <c r="A228" s="21">
        <v>45412.542361111111</v>
      </c>
      <c r="B228">
        <v>58.7</v>
      </c>
    </row>
    <row r="229" spans="1:2" x14ac:dyDescent="0.3">
      <c r="A229" s="21">
        <v>45412.543055555558</v>
      </c>
      <c r="B229">
        <v>59.1</v>
      </c>
    </row>
    <row r="230" spans="1:2" x14ac:dyDescent="0.3">
      <c r="A230" s="21">
        <v>45412.543749999997</v>
      </c>
      <c r="B230">
        <v>58.8</v>
      </c>
    </row>
    <row r="231" spans="1:2" x14ac:dyDescent="0.3">
      <c r="A231" s="21">
        <v>45412.544444444444</v>
      </c>
      <c r="B231">
        <v>59.2</v>
      </c>
    </row>
    <row r="232" spans="1:2" x14ac:dyDescent="0.3">
      <c r="A232" s="21">
        <v>45412.545138888891</v>
      </c>
      <c r="B232">
        <v>58.9</v>
      </c>
    </row>
    <row r="233" spans="1:2" x14ac:dyDescent="0.3">
      <c r="A233" s="21">
        <v>45412.54583333333</v>
      </c>
      <c r="B233">
        <v>59</v>
      </c>
    </row>
    <row r="234" spans="1:2" x14ac:dyDescent="0.3">
      <c r="A234" s="21">
        <v>45412.546527777777</v>
      </c>
      <c r="B234">
        <v>58.8</v>
      </c>
    </row>
    <row r="235" spans="1:2" x14ac:dyDescent="0.3">
      <c r="A235" s="21">
        <v>45412.547222222223</v>
      </c>
      <c r="B235">
        <v>59.1</v>
      </c>
    </row>
    <row r="236" spans="1:2" x14ac:dyDescent="0.3">
      <c r="A236" s="21">
        <v>45412.54791666667</v>
      </c>
      <c r="B236">
        <v>59.5</v>
      </c>
    </row>
    <row r="237" spans="1:2" x14ac:dyDescent="0.3">
      <c r="A237" s="21">
        <v>45412.548611111109</v>
      </c>
      <c r="B237">
        <v>59.4</v>
      </c>
    </row>
    <row r="238" spans="1:2" x14ac:dyDescent="0.3">
      <c r="A238" s="21">
        <v>45412.549305555556</v>
      </c>
      <c r="B238">
        <v>58.8</v>
      </c>
    </row>
    <row r="239" spans="1:2" x14ac:dyDescent="0.3">
      <c r="A239" s="21">
        <v>45412.55</v>
      </c>
      <c r="B239">
        <v>59.1</v>
      </c>
    </row>
    <row r="240" spans="1:2" x14ac:dyDescent="0.3">
      <c r="A240" s="21">
        <v>45412.550694444442</v>
      </c>
      <c r="B240">
        <v>59.2</v>
      </c>
    </row>
    <row r="241" spans="1:2" x14ac:dyDescent="0.3">
      <c r="A241" s="21">
        <v>45412.551388888889</v>
      </c>
      <c r="B241">
        <v>59.3</v>
      </c>
    </row>
    <row r="242" spans="1:2" x14ac:dyDescent="0.3">
      <c r="A242" s="21">
        <v>45412.552083333336</v>
      </c>
      <c r="B242">
        <v>59</v>
      </c>
    </row>
    <row r="243" spans="1:2" x14ac:dyDescent="0.3">
      <c r="A243" s="21">
        <v>45412.552777777775</v>
      </c>
      <c r="B243">
        <v>58.7</v>
      </c>
    </row>
    <row r="244" spans="1:2" x14ac:dyDescent="0.3">
      <c r="A244" s="21">
        <v>45412.553472222222</v>
      </c>
      <c r="B244">
        <v>59.2</v>
      </c>
    </row>
    <row r="245" spans="1:2" x14ac:dyDescent="0.3">
      <c r="A245" s="21">
        <v>45412.554166666669</v>
      </c>
      <c r="B245">
        <v>58.7</v>
      </c>
    </row>
    <row r="246" spans="1:2" x14ac:dyDescent="0.3">
      <c r="A246" s="21">
        <v>45412.554861111108</v>
      </c>
      <c r="B246">
        <v>59.3</v>
      </c>
    </row>
    <row r="247" spans="1:2" x14ac:dyDescent="0.3">
      <c r="A247" s="21">
        <v>45412.555555555555</v>
      </c>
      <c r="B247">
        <v>58.7</v>
      </c>
    </row>
    <row r="248" spans="1:2" x14ac:dyDescent="0.3">
      <c r="A248" s="21">
        <v>45412.556250000001</v>
      </c>
      <c r="B248">
        <v>58.8</v>
      </c>
    </row>
    <row r="249" spans="1:2" x14ac:dyDescent="0.3">
      <c r="A249" s="21">
        <v>45412.556944444441</v>
      </c>
      <c r="B249">
        <v>59.5</v>
      </c>
    </row>
    <row r="250" spans="1:2" x14ac:dyDescent="0.3">
      <c r="A250" s="21">
        <v>45412.557638888888</v>
      </c>
      <c r="B250">
        <v>59.2</v>
      </c>
    </row>
    <row r="251" spans="1:2" x14ac:dyDescent="0.3">
      <c r="A251" s="21">
        <v>45412.558333333334</v>
      </c>
      <c r="B251">
        <v>59.1</v>
      </c>
    </row>
    <row r="252" spans="1:2" x14ac:dyDescent="0.3">
      <c r="A252" s="21">
        <v>45412.559027777781</v>
      </c>
      <c r="B252">
        <v>59.3</v>
      </c>
    </row>
    <row r="253" spans="1:2" x14ac:dyDescent="0.3">
      <c r="A253" s="21">
        <v>45412.55972222222</v>
      </c>
      <c r="B253">
        <v>59.1</v>
      </c>
    </row>
    <row r="254" spans="1:2" x14ac:dyDescent="0.3">
      <c r="A254" s="21">
        <v>45412.560416666667</v>
      </c>
      <c r="B254">
        <v>59.1</v>
      </c>
    </row>
    <row r="255" spans="1:2" x14ac:dyDescent="0.3">
      <c r="A255" s="21">
        <v>45412.561111111114</v>
      </c>
      <c r="B255">
        <v>59</v>
      </c>
    </row>
    <row r="256" spans="1:2" x14ac:dyDescent="0.3">
      <c r="A256" s="21">
        <v>45412.561805555553</v>
      </c>
      <c r="B256">
        <v>59.2</v>
      </c>
    </row>
    <row r="257" spans="1:2" x14ac:dyDescent="0.3">
      <c r="A257" s="21">
        <v>45412.5625</v>
      </c>
      <c r="B257">
        <v>59.1</v>
      </c>
    </row>
    <row r="258" spans="1:2" x14ac:dyDescent="0.3">
      <c r="A258" s="21">
        <v>45412.563194444447</v>
      </c>
      <c r="B258">
        <v>59.1</v>
      </c>
    </row>
    <row r="259" spans="1:2" x14ac:dyDescent="0.3">
      <c r="A259" s="21">
        <v>45412.563888888886</v>
      </c>
      <c r="B259">
        <v>59.2</v>
      </c>
    </row>
    <row r="260" spans="1:2" x14ac:dyDescent="0.3">
      <c r="A260" s="21">
        <v>45412.564583333333</v>
      </c>
      <c r="B260">
        <v>59.1</v>
      </c>
    </row>
    <row r="261" spans="1:2" x14ac:dyDescent="0.3">
      <c r="A261" s="21">
        <v>45412.56527777778</v>
      </c>
      <c r="B261">
        <v>59</v>
      </c>
    </row>
    <row r="262" spans="1:2" x14ac:dyDescent="0.3">
      <c r="A262" s="21">
        <v>45412.565972222219</v>
      </c>
      <c r="B262">
        <v>59</v>
      </c>
    </row>
    <row r="263" spans="1:2" x14ac:dyDescent="0.3">
      <c r="A263" s="21">
        <v>45412.566666666666</v>
      </c>
      <c r="B263">
        <v>59.1</v>
      </c>
    </row>
    <row r="264" spans="1:2" x14ac:dyDescent="0.3">
      <c r="A264" s="21">
        <v>45412.567361111112</v>
      </c>
      <c r="B264">
        <v>59</v>
      </c>
    </row>
    <row r="265" spans="1:2" x14ac:dyDescent="0.3">
      <c r="A265" s="21">
        <v>45412.568055555559</v>
      </c>
      <c r="B265">
        <v>58.8</v>
      </c>
    </row>
    <row r="266" spans="1:2" x14ac:dyDescent="0.3">
      <c r="A266" s="21">
        <v>45412.568749999999</v>
      </c>
      <c r="B266">
        <v>58.8</v>
      </c>
    </row>
    <row r="267" spans="1:2" x14ac:dyDescent="0.3">
      <c r="A267" s="21">
        <v>45412.569444444445</v>
      </c>
      <c r="B267">
        <v>58.8</v>
      </c>
    </row>
    <row r="268" spans="1:2" x14ac:dyDescent="0.3">
      <c r="A268" s="21">
        <v>45412.570138888892</v>
      </c>
      <c r="B268">
        <v>58.8</v>
      </c>
    </row>
    <row r="269" spans="1:2" x14ac:dyDescent="0.3">
      <c r="A269" s="21">
        <v>45412.570833333331</v>
      </c>
      <c r="B269">
        <v>59.4</v>
      </c>
    </row>
    <row r="270" spans="1:2" x14ac:dyDescent="0.3">
      <c r="A270" s="21">
        <v>45412.571527777778</v>
      </c>
      <c r="B270">
        <v>59.3</v>
      </c>
    </row>
    <row r="271" spans="1:2" x14ac:dyDescent="0.3">
      <c r="A271" s="21">
        <v>45412.572222222225</v>
      </c>
      <c r="B271">
        <v>59.2</v>
      </c>
    </row>
    <row r="272" spans="1:2" x14ac:dyDescent="0.3">
      <c r="A272" s="21">
        <v>45412.572916666664</v>
      </c>
      <c r="B272">
        <v>58.8</v>
      </c>
    </row>
    <row r="273" spans="1:2" x14ac:dyDescent="0.3">
      <c r="A273" s="21">
        <v>45412.573611111111</v>
      </c>
      <c r="B273">
        <v>59</v>
      </c>
    </row>
    <row r="274" spans="1:2" x14ac:dyDescent="0.3">
      <c r="A274" s="21">
        <v>45412.574305555558</v>
      </c>
      <c r="B274">
        <v>58.7</v>
      </c>
    </row>
    <row r="275" spans="1:2" x14ac:dyDescent="0.3">
      <c r="A275" s="21">
        <v>45412.574999999997</v>
      </c>
      <c r="B275">
        <v>59.2</v>
      </c>
    </row>
    <row r="276" spans="1:2" x14ac:dyDescent="0.3">
      <c r="A276" s="21">
        <v>45412.575694444444</v>
      </c>
      <c r="B276">
        <v>58.6</v>
      </c>
    </row>
    <row r="277" spans="1:2" x14ac:dyDescent="0.3">
      <c r="A277" s="21">
        <v>45412.576388888891</v>
      </c>
      <c r="B277">
        <v>58.8</v>
      </c>
    </row>
    <row r="278" spans="1:2" x14ac:dyDescent="0.3">
      <c r="A278" s="21">
        <v>45412.57708333333</v>
      </c>
      <c r="B278">
        <v>59.3</v>
      </c>
    </row>
    <row r="279" spans="1:2" x14ac:dyDescent="0.3">
      <c r="A279" s="21">
        <v>45412.577777777777</v>
      </c>
      <c r="B279">
        <v>58.7</v>
      </c>
    </row>
    <row r="280" spans="1:2" x14ac:dyDescent="0.3">
      <c r="A280" s="21">
        <v>45412.578472222223</v>
      </c>
      <c r="B280">
        <v>59.3</v>
      </c>
    </row>
    <row r="281" spans="1:2" x14ac:dyDescent="0.3">
      <c r="A281" s="21">
        <v>45412.57916666667</v>
      </c>
      <c r="B281">
        <v>59.4</v>
      </c>
    </row>
    <row r="282" spans="1:2" x14ac:dyDescent="0.3">
      <c r="A282" s="21">
        <v>45412.579861111109</v>
      </c>
      <c r="B282">
        <v>59.4</v>
      </c>
    </row>
    <row r="283" spans="1:2" x14ac:dyDescent="0.3">
      <c r="A283" s="21">
        <v>45412.580555555556</v>
      </c>
      <c r="B283">
        <v>59.3</v>
      </c>
    </row>
    <row r="284" spans="1:2" x14ac:dyDescent="0.3">
      <c r="A284" s="21">
        <v>45412.581250000003</v>
      </c>
      <c r="B284">
        <v>59.1</v>
      </c>
    </row>
    <row r="285" spans="1:2" x14ac:dyDescent="0.3">
      <c r="A285" s="21">
        <v>45412.581944444442</v>
      </c>
      <c r="B285">
        <v>58.8</v>
      </c>
    </row>
    <row r="286" spans="1:2" x14ac:dyDescent="0.3">
      <c r="A286" s="21">
        <v>45412.582638888889</v>
      </c>
      <c r="B286">
        <v>58.8</v>
      </c>
    </row>
    <row r="287" spans="1:2" x14ac:dyDescent="0.3">
      <c r="A287" s="21">
        <v>45412.583333333336</v>
      </c>
      <c r="B287">
        <v>59.2</v>
      </c>
    </row>
    <row r="288" spans="1:2" x14ac:dyDescent="0.3">
      <c r="A288" s="21">
        <v>45412.584027777775</v>
      </c>
      <c r="B288">
        <v>59.1</v>
      </c>
    </row>
    <row r="289" spans="1:2" x14ac:dyDescent="0.3">
      <c r="A289" s="21">
        <v>45412.584722222222</v>
      </c>
      <c r="B289">
        <v>59.2</v>
      </c>
    </row>
    <row r="290" spans="1:2" x14ac:dyDescent="0.3">
      <c r="A290" s="21">
        <v>45412.585416666669</v>
      </c>
      <c r="B290">
        <v>59</v>
      </c>
    </row>
    <row r="291" spans="1:2" x14ac:dyDescent="0.3">
      <c r="A291" s="21">
        <v>45412.586111111108</v>
      </c>
      <c r="B291">
        <v>59</v>
      </c>
    </row>
    <row r="292" spans="1:2" x14ac:dyDescent="0.3">
      <c r="A292" s="21">
        <v>45412.586805555555</v>
      </c>
      <c r="B292">
        <v>59</v>
      </c>
    </row>
    <row r="293" spans="1:2" x14ac:dyDescent="0.3">
      <c r="A293" s="21">
        <v>45412.587500000001</v>
      </c>
      <c r="B293">
        <v>58.9</v>
      </c>
    </row>
    <row r="294" spans="1:2" x14ac:dyDescent="0.3">
      <c r="A294" s="21">
        <v>45412.588194444441</v>
      </c>
      <c r="B294">
        <v>59</v>
      </c>
    </row>
    <row r="295" spans="1:2" x14ac:dyDescent="0.3">
      <c r="A295" s="21">
        <v>45412.588888888888</v>
      </c>
      <c r="B295">
        <v>59.1</v>
      </c>
    </row>
    <row r="296" spans="1:2" x14ac:dyDescent="0.3">
      <c r="A296" s="21">
        <v>45412.589583333334</v>
      </c>
      <c r="B296">
        <v>58.8</v>
      </c>
    </row>
    <row r="297" spans="1:2" x14ac:dyDescent="0.3">
      <c r="A297" s="21">
        <v>45412.590277777781</v>
      </c>
      <c r="B297">
        <v>59.1</v>
      </c>
    </row>
    <row r="298" spans="1:2" x14ac:dyDescent="0.3">
      <c r="A298" s="21">
        <v>45412.59097222222</v>
      </c>
      <c r="B298">
        <v>59</v>
      </c>
    </row>
    <row r="299" spans="1:2" x14ac:dyDescent="0.3">
      <c r="A299" s="21">
        <v>45412.591666666667</v>
      </c>
      <c r="B299">
        <v>59.2</v>
      </c>
    </row>
    <row r="300" spans="1:2" x14ac:dyDescent="0.3">
      <c r="A300" s="21">
        <v>45412.592361111114</v>
      </c>
      <c r="B300">
        <v>59</v>
      </c>
    </row>
    <row r="301" spans="1:2" x14ac:dyDescent="0.3">
      <c r="A301" s="21">
        <v>45412.593055555553</v>
      </c>
      <c r="B301">
        <v>59.3</v>
      </c>
    </row>
    <row r="302" spans="1:2" x14ac:dyDescent="0.3">
      <c r="A302" s="21">
        <v>45412.59375</v>
      </c>
      <c r="B302">
        <v>59</v>
      </c>
    </row>
    <row r="303" spans="1:2" x14ac:dyDescent="0.3">
      <c r="A303" s="21">
        <v>45412.594444444447</v>
      </c>
      <c r="B303">
        <v>59.1</v>
      </c>
    </row>
    <row r="304" spans="1:2" x14ac:dyDescent="0.3">
      <c r="A304" s="21">
        <v>45412.595138888886</v>
      </c>
      <c r="B304">
        <v>58.8</v>
      </c>
    </row>
    <row r="305" spans="1:2" x14ac:dyDescent="0.3">
      <c r="A305" s="21">
        <v>45412.595833333333</v>
      </c>
      <c r="B305">
        <v>59.6</v>
      </c>
    </row>
    <row r="306" spans="1:2" x14ac:dyDescent="0.3">
      <c r="A306" s="21">
        <v>45412.59652777778</v>
      </c>
      <c r="B306">
        <v>59</v>
      </c>
    </row>
    <row r="307" spans="1:2" x14ac:dyDescent="0.3">
      <c r="A307" s="21">
        <v>45412.597222222219</v>
      </c>
      <c r="B307">
        <v>58.9</v>
      </c>
    </row>
    <row r="308" spans="1:2" x14ac:dyDescent="0.3">
      <c r="A308" s="21">
        <v>45412.597916666666</v>
      </c>
      <c r="B308">
        <v>59.1</v>
      </c>
    </row>
    <row r="309" spans="1:2" x14ac:dyDescent="0.3">
      <c r="A309" s="21">
        <v>45412.598611111112</v>
      </c>
      <c r="B309">
        <v>59.2</v>
      </c>
    </row>
    <row r="310" spans="1:2" x14ac:dyDescent="0.3">
      <c r="A310" s="21">
        <v>45412.599305555559</v>
      </c>
      <c r="B310">
        <v>59.1</v>
      </c>
    </row>
    <row r="311" spans="1:2" x14ac:dyDescent="0.3">
      <c r="A311" s="21">
        <v>45412.6</v>
      </c>
      <c r="B311">
        <v>58.8</v>
      </c>
    </row>
    <row r="312" spans="1:2" x14ac:dyDescent="0.3">
      <c r="A312" s="21">
        <v>45412.600694444445</v>
      </c>
      <c r="B312">
        <v>58.8</v>
      </c>
    </row>
    <row r="313" spans="1:2" x14ac:dyDescent="0.3">
      <c r="A313" s="21">
        <v>45412.601388888892</v>
      </c>
      <c r="B313">
        <v>59.4</v>
      </c>
    </row>
    <row r="314" spans="1:2" x14ac:dyDescent="0.3">
      <c r="A314" s="21">
        <v>45412.602083333331</v>
      </c>
      <c r="B314">
        <v>59.3</v>
      </c>
    </row>
    <row r="315" spans="1:2" x14ac:dyDescent="0.3">
      <c r="A315" s="21">
        <v>45412.602777777778</v>
      </c>
      <c r="B315">
        <v>59.2</v>
      </c>
    </row>
    <row r="316" spans="1:2" x14ac:dyDescent="0.3">
      <c r="A316" s="21">
        <v>45412.603472222225</v>
      </c>
      <c r="B316">
        <v>58.9</v>
      </c>
    </row>
    <row r="317" spans="1:2" x14ac:dyDescent="0.3">
      <c r="A317" s="21">
        <v>45412.604166666664</v>
      </c>
      <c r="B317">
        <v>59.1</v>
      </c>
    </row>
    <row r="318" spans="1:2" x14ac:dyDescent="0.3">
      <c r="A318" s="21">
        <v>45412.604861111111</v>
      </c>
      <c r="B318">
        <v>59.2</v>
      </c>
    </row>
    <row r="319" spans="1:2" x14ac:dyDescent="0.3">
      <c r="A319" s="21">
        <v>45412.605555555558</v>
      </c>
      <c r="B319">
        <v>58.9</v>
      </c>
    </row>
    <row r="320" spans="1:2" x14ac:dyDescent="0.3">
      <c r="A320" s="21">
        <v>45412.606249999997</v>
      </c>
      <c r="B320">
        <v>58.8</v>
      </c>
    </row>
    <row r="321" spans="1:2" x14ac:dyDescent="0.3">
      <c r="A321" s="21">
        <v>45412.606944444444</v>
      </c>
      <c r="B321">
        <v>59</v>
      </c>
    </row>
    <row r="322" spans="1:2" x14ac:dyDescent="0.3">
      <c r="A322" s="21">
        <v>45412.607638888891</v>
      </c>
      <c r="B322">
        <v>58.9</v>
      </c>
    </row>
    <row r="323" spans="1:2" x14ac:dyDescent="0.3">
      <c r="A323" s="21">
        <v>45412.60833333333</v>
      </c>
      <c r="B323">
        <v>58.9</v>
      </c>
    </row>
    <row r="324" spans="1:2" x14ac:dyDescent="0.3">
      <c r="A324" s="21">
        <v>45412.609027777777</v>
      </c>
      <c r="B324">
        <v>59.2</v>
      </c>
    </row>
    <row r="325" spans="1:2" x14ac:dyDescent="0.3">
      <c r="A325" s="21">
        <v>45412.609722222223</v>
      </c>
      <c r="B325">
        <v>59.1</v>
      </c>
    </row>
    <row r="326" spans="1:2" x14ac:dyDescent="0.3">
      <c r="A326" s="21">
        <v>45412.61041666667</v>
      </c>
      <c r="B326">
        <v>58.7</v>
      </c>
    </row>
    <row r="327" spans="1:2" x14ac:dyDescent="0.3">
      <c r="A327" s="21">
        <v>45412.611111111109</v>
      </c>
      <c r="B327">
        <v>59</v>
      </c>
    </row>
    <row r="328" spans="1:2" x14ac:dyDescent="0.3">
      <c r="A328" s="21">
        <v>45412.611805555556</v>
      </c>
      <c r="B328">
        <v>59.1</v>
      </c>
    </row>
    <row r="329" spans="1:2" x14ac:dyDescent="0.3">
      <c r="A329" s="21">
        <v>45412.612500000003</v>
      </c>
      <c r="B329">
        <v>59.6</v>
      </c>
    </row>
    <row r="330" spans="1:2" x14ac:dyDescent="0.3">
      <c r="A330" s="21">
        <v>45412.613194444442</v>
      </c>
      <c r="B330">
        <v>59.1</v>
      </c>
    </row>
    <row r="331" spans="1:2" x14ac:dyDescent="0.3">
      <c r="A331" s="21">
        <v>45412.613888888889</v>
      </c>
      <c r="B331">
        <v>58.9</v>
      </c>
    </row>
    <row r="332" spans="1:2" x14ac:dyDescent="0.3">
      <c r="A332" s="21">
        <v>45412.614583333336</v>
      </c>
      <c r="B332">
        <v>59.2</v>
      </c>
    </row>
    <row r="333" spans="1:2" x14ac:dyDescent="0.3">
      <c r="A333" s="21">
        <v>45412.615277777775</v>
      </c>
      <c r="B333">
        <v>59.2</v>
      </c>
    </row>
    <row r="334" spans="1:2" x14ac:dyDescent="0.3">
      <c r="A334" s="21">
        <v>45412.615972222222</v>
      </c>
      <c r="B334">
        <v>58.9</v>
      </c>
    </row>
    <row r="335" spans="1:2" x14ac:dyDescent="0.3">
      <c r="A335" s="21">
        <v>45412.616666666669</v>
      </c>
      <c r="B335">
        <v>59.2</v>
      </c>
    </row>
    <row r="336" spans="1:2" x14ac:dyDescent="0.3">
      <c r="A336" s="21">
        <v>45412.617361111108</v>
      </c>
      <c r="B336">
        <v>59</v>
      </c>
    </row>
    <row r="337" spans="1:2" x14ac:dyDescent="0.3">
      <c r="A337" s="21">
        <v>45412.618055555555</v>
      </c>
      <c r="B337">
        <v>59</v>
      </c>
    </row>
    <row r="338" spans="1:2" x14ac:dyDescent="0.3">
      <c r="A338" s="21">
        <v>45412.618750000001</v>
      </c>
      <c r="B338">
        <v>59.1</v>
      </c>
    </row>
    <row r="339" spans="1:2" x14ac:dyDescent="0.3">
      <c r="A339" s="21">
        <v>45412.619444444441</v>
      </c>
      <c r="B339">
        <v>58.7</v>
      </c>
    </row>
    <row r="340" spans="1:2" x14ac:dyDescent="0.3">
      <c r="A340" s="21">
        <v>45412.620138888888</v>
      </c>
      <c r="B340">
        <v>59.1</v>
      </c>
    </row>
    <row r="341" spans="1:2" x14ac:dyDescent="0.3">
      <c r="A341" s="21">
        <v>45412.620833333334</v>
      </c>
      <c r="B341">
        <v>58.9</v>
      </c>
    </row>
    <row r="342" spans="1:2" x14ac:dyDescent="0.3">
      <c r="A342" s="21">
        <v>45412.621527777781</v>
      </c>
      <c r="B342">
        <v>58.9</v>
      </c>
    </row>
    <row r="343" spans="1:2" x14ac:dyDescent="0.3">
      <c r="A343" s="21">
        <v>45412.62222222222</v>
      </c>
      <c r="B343">
        <v>58.8</v>
      </c>
    </row>
    <row r="344" spans="1:2" x14ac:dyDescent="0.3">
      <c r="A344" s="21">
        <v>45412.622916666667</v>
      </c>
      <c r="B344">
        <v>59.3</v>
      </c>
    </row>
    <row r="345" spans="1:2" x14ac:dyDescent="0.3">
      <c r="A345" s="21">
        <v>45412.623611111114</v>
      </c>
      <c r="B345">
        <v>59.1</v>
      </c>
    </row>
    <row r="346" spans="1:2" x14ac:dyDescent="0.3">
      <c r="A346" s="21">
        <v>45412.624305555553</v>
      </c>
      <c r="B346">
        <v>59</v>
      </c>
    </row>
    <row r="347" spans="1:2" x14ac:dyDescent="0.3">
      <c r="A347" s="21">
        <v>45412.625</v>
      </c>
      <c r="B347">
        <v>58.8</v>
      </c>
    </row>
    <row r="348" spans="1:2" x14ac:dyDescent="0.3">
      <c r="A348" s="21">
        <v>45412.625694444447</v>
      </c>
      <c r="B348">
        <v>59.2</v>
      </c>
    </row>
    <row r="349" spans="1:2" x14ac:dyDescent="0.3">
      <c r="A349" s="21">
        <v>45412.626388888886</v>
      </c>
      <c r="B349">
        <v>59.4</v>
      </c>
    </row>
    <row r="350" spans="1:2" x14ac:dyDescent="0.3">
      <c r="A350" s="21">
        <v>45412.627083333333</v>
      </c>
      <c r="B350">
        <v>59</v>
      </c>
    </row>
    <row r="351" spans="1:2" x14ac:dyDescent="0.3">
      <c r="A351" s="21">
        <v>45412.62777777778</v>
      </c>
      <c r="B351">
        <v>58.9</v>
      </c>
    </row>
    <row r="352" spans="1:2" x14ac:dyDescent="0.3">
      <c r="A352" s="21">
        <v>45412.628472222219</v>
      </c>
      <c r="B352">
        <v>58.8</v>
      </c>
    </row>
    <row r="353" spans="1:2" x14ac:dyDescent="0.3">
      <c r="A353" s="21">
        <v>45412.629166666666</v>
      </c>
      <c r="B353">
        <v>59.2</v>
      </c>
    </row>
    <row r="354" spans="1:2" x14ac:dyDescent="0.3">
      <c r="A354" s="21">
        <v>45412.629861111112</v>
      </c>
      <c r="B354">
        <v>59.3</v>
      </c>
    </row>
    <row r="355" spans="1:2" x14ac:dyDescent="0.3">
      <c r="A355" s="21">
        <v>45412.630555555559</v>
      </c>
      <c r="B355">
        <v>59.2</v>
      </c>
    </row>
    <row r="356" spans="1:2" x14ac:dyDescent="0.3">
      <c r="A356" s="21">
        <v>45412.631249999999</v>
      </c>
      <c r="B356">
        <v>59.1</v>
      </c>
    </row>
    <row r="357" spans="1:2" x14ac:dyDescent="0.3">
      <c r="A357" s="21">
        <v>45412.631944444445</v>
      </c>
      <c r="B357">
        <v>59</v>
      </c>
    </row>
    <row r="358" spans="1:2" x14ac:dyDescent="0.3">
      <c r="A358" s="21">
        <v>45412.632638888892</v>
      </c>
      <c r="B358">
        <v>59.1</v>
      </c>
    </row>
    <row r="359" spans="1:2" x14ac:dyDescent="0.3">
      <c r="A359" s="21">
        <v>45412.633333333331</v>
      </c>
      <c r="B359">
        <v>59.1</v>
      </c>
    </row>
    <row r="360" spans="1:2" x14ac:dyDescent="0.3">
      <c r="A360" s="21">
        <v>45412.634027777778</v>
      </c>
      <c r="B360">
        <v>59.5</v>
      </c>
    </row>
    <row r="361" spans="1:2" x14ac:dyDescent="0.3">
      <c r="A361" s="21">
        <v>45412.634722222225</v>
      </c>
      <c r="B361">
        <v>59.2</v>
      </c>
    </row>
    <row r="362" spans="1:2" x14ac:dyDescent="0.3">
      <c r="A362" s="21">
        <v>45412.635416666664</v>
      </c>
      <c r="B362">
        <v>59.1</v>
      </c>
    </row>
    <row r="363" spans="1:2" x14ac:dyDescent="0.3">
      <c r="A363" s="21">
        <v>45412.636111111111</v>
      </c>
      <c r="B363">
        <v>58.9</v>
      </c>
    </row>
    <row r="364" spans="1:2" x14ac:dyDescent="0.3">
      <c r="A364" s="21">
        <v>45412.636805555558</v>
      </c>
      <c r="B364">
        <v>59</v>
      </c>
    </row>
    <row r="365" spans="1:2" x14ac:dyDescent="0.3">
      <c r="A365" s="21">
        <v>45412.637499999997</v>
      </c>
      <c r="B365">
        <v>58.9</v>
      </c>
    </row>
    <row r="366" spans="1:2" x14ac:dyDescent="0.3">
      <c r="A366" s="21">
        <v>45412.638194444444</v>
      </c>
      <c r="B366">
        <v>59</v>
      </c>
    </row>
    <row r="367" spans="1:2" x14ac:dyDescent="0.3">
      <c r="A367" s="21">
        <v>45412.638888888891</v>
      </c>
      <c r="B367">
        <v>59</v>
      </c>
    </row>
    <row r="368" spans="1:2" x14ac:dyDescent="0.3">
      <c r="A368" s="21">
        <v>45412.63958333333</v>
      </c>
      <c r="B368">
        <v>59.3</v>
      </c>
    </row>
    <row r="369" spans="1:2" x14ac:dyDescent="0.3">
      <c r="A369" s="21">
        <v>45412.640277777777</v>
      </c>
      <c r="B369">
        <v>59</v>
      </c>
    </row>
    <row r="370" spans="1:2" x14ac:dyDescent="0.3">
      <c r="A370" s="21">
        <v>45412.640972222223</v>
      </c>
      <c r="B370">
        <v>59</v>
      </c>
    </row>
    <row r="371" spans="1:2" x14ac:dyDescent="0.3">
      <c r="A371" s="21">
        <v>45412.64166666667</v>
      </c>
      <c r="B371">
        <v>59.3</v>
      </c>
    </row>
    <row r="372" spans="1:2" x14ac:dyDescent="0.3">
      <c r="A372" s="21">
        <v>45412.642361111109</v>
      </c>
      <c r="B372">
        <v>58.9</v>
      </c>
    </row>
    <row r="373" spans="1:2" x14ac:dyDescent="0.3">
      <c r="A373" s="21">
        <v>45412.643055555556</v>
      </c>
      <c r="B373">
        <v>59.2</v>
      </c>
    </row>
    <row r="374" spans="1:2" x14ac:dyDescent="0.3">
      <c r="A374" s="21">
        <v>45412.643750000003</v>
      </c>
      <c r="B374">
        <v>59.3</v>
      </c>
    </row>
    <row r="375" spans="1:2" x14ac:dyDescent="0.3">
      <c r="A375" s="21">
        <v>45412.644444444442</v>
      </c>
      <c r="B375">
        <v>58.9</v>
      </c>
    </row>
    <row r="376" spans="1:2" x14ac:dyDescent="0.3">
      <c r="A376" s="21">
        <v>45412.645138888889</v>
      </c>
      <c r="B376">
        <v>59.1</v>
      </c>
    </row>
    <row r="377" spans="1:2" x14ac:dyDescent="0.3">
      <c r="A377" s="21">
        <v>45412.645833333336</v>
      </c>
      <c r="B377">
        <v>58.8</v>
      </c>
    </row>
    <row r="378" spans="1:2" x14ac:dyDescent="0.3">
      <c r="A378" s="21">
        <v>45412.646527777775</v>
      </c>
      <c r="B378">
        <v>59</v>
      </c>
    </row>
    <row r="379" spans="1:2" x14ac:dyDescent="0.3">
      <c r="A379" s="21">
        <v>45412.647222222222</v>
      </c>
      <c r="B379">
        <v>59.4</v>
      </c>
    </row>
    <row r="380" spans="1:2" x14ac:dyDescent="0.3">
      <c r="A380" s="21">
        <v>45412.647916666669</v>
      </c>
      <c r="B380">
        <v>59.1</v>
      </c>
    </row>
    <row r="381" spans="1:2" x14ac:dyDescent="0.3">
      <c r="A381" s="21">
        <v>45412.648611111108</v>
      </c>
      <c r="B381">
        <v>58.9</v>
      </c>
    </row>
    <row r="382" spans="1:2" x14ac:dyDescent="0.3">
      <c r="A382" s="21">
        <v>45412.649305555555</v>
      </c>
      <c r="B382">
        <v>59.4</v>
      </c>
    </row>
    <row r="383" spans="1:2" x14ac:dyDescent="0.3">
      <c r="A383" s="21">
        <v>45412.65</v>
      </c>
      <c r="B383">
        <v>58.9</v>
      </c>
    </row>
    <row r="384" spans="1:2" x14ac:dyDescent="0.3">
      <c r="A384" s="21">
        <v>45412.650694444441</v>
      </c>
      <c r="B384">
        <v>59.4</v>
      </c>
    </row>
    <row r="385" spans="1:2" x14ac:dyDescent="0.3">
      <c r="A385" s="21">
        <v>45412.651388888888</v>
      </c>
      <c r="B385">
        <v>59.3</v>
      </c>
    </row>
    <row r="386" spans="1:2" x14ac:dyDescent="0.3">
      <c r="A386" s="21">
        <v>45412.652083333334</v>
      </c>
      <c r="B386">
        <v>59.4</v>
      </c>
    </row>
    <row r="387" spans="1:2" x14ac:dyDescent="0.3">
      <c r="A387" s="21">
        <v>45412.652777777781</v>
      </c>
      <c r="B387">
        <v>59</v>
      </c>
    </row>
    <row r="388" spans="1:2" x14ac:dyDescent="0.3">
      <c r="A388" s="21">
        <v>45412.65347222222</v>
      </c>
      <c r="B388">
        <v>59.4</v>
      </c>
    </row>
    <row r="389" spans="1:2" x14ac:dyDescent="0.3">
      <c r="A389" s="21">
        <v>45412.654166666667</v>
      </c>
      <c r="B389">
        <v>59.4</v>
      </c>
    </row>
    <row r="390" spans="1:2" x14ac:dyDescent="0.3">
      <c r="A390" s="21">
        <v>45412.654861111114</v>
      </c>
      <c r="B390">
        <v>59.3</v>
      </c>
    </row>
    <row r="391" spans="1:2" x14ac:dyDescent="0.3">
      <c r="A391" s="21">
        <v>45412.655555555553</v>
      </c>
      <c r="B391">
        <v>59.3</v>
      </c>
    </row>
    <row r="392" spans="1:2" x14ac:dyDescent="0.3">
      <c r="A392" s="21">
        <v>45412.65625</v>
      </c>
      <c r="B392">
        <v>59.5</v>
      </c>
    </row>
    <row r="393" spans="1:2" x14ac:dyDescent="0.3">
      <c r="A393" s="21">
        <v>45412.656944444447</v>
      </c>
      <c r="B393">
        <v>59.5</v>
      </c>
    </row>
    <row r="394" spans="1:2" x14ac:dyDescent="0.3">
      <c r="A394" s="21">
        <v>45412.657638888886</v>
      </c>
      <c r="B394">
        <v>59.2</v>
      </c>
    </row>
    <row r="395" spans="1:2" x14ac:dyDescent="0.3">
      <c r="A395" s="21">
        <v>45412.658333333333</v>
      </c>
      <c r="B395">
        <v>59</v>
      </c>
    </row>
    <row r="396" spans="1:2" x14ac:dyDescent="0.3">
      <c r="A396" s="21">
        <v>45412.65902777778</v>
      </c>
      <c r="B396">
        <v>59.6</v>
      </c>
    </row>
    <row r="397" spans="1:2" x14ac:dyDescent="0.3">
      <c r="A397" s="21">
        <v>45412.659722222219</v>
      </c>
      <c r="B397">
        <v>59.5</v>
      </c>
    </row>
    <row r="398" spans="1:2" x14ac:dyDescent="0.3">
      <c r="A398" s="21">
        <v>45412.660416666666</v>
      </c>
      <c r="B398">
        <v>59.4</v>
      </c>
    </row>
    <row r="399" spans="1:2" x14ac:dyDescent="0.3">
      <c r="A399" s="21">
        <v>45412.661111111112</v>
      </c>
      <c r="B399">
        <v>59.1</v>
      </c>
    </row>
    <row r="400" spans="1:2" x14ac:dyDescent="0.3">
      <c r="A400" s="21">
        <v>45412.661805555559</v>
      </c>
      <c r="B400">
        <v>59.4</v>
      </c>
    </row>
    <row r="401" spans="1:2" x14ac:dyDescent="0.3">
      <c r="A401" s="21">
        <v>45412.662499999999</v>
      </c>
      <c r="B401">
        <v>59.6</v>
      </c>
    </row>
    <row r="402" spans="1:2" x14ac:dyDescent="0.3">
      <c r="A402" s="21">
        <v>45412.663194444445</v>
      </c>
      <c r="B402">
        <v>59.7</v>
      </c>
    </row>
    <row r="403" spans="1:2" x14ac:dyDescent="0.3">
      <c r="A403" s="21">
        <v>45412.663888888892</v>
      </c>
      <c r="B403">
        <v>59.7</v>
      </c>
    </row>
    <row r="404" spans="1:2" x14ac:dyDescent="0.3">
      <c r="A404" s="21">
        <v>45412.664583333331</v>
      </c>
      <c r="B404">
        <v>59.3</v>
      </c>
    </row>
    <row r="405" spans="1:2" x14ac:dyDescent="0.3">
      <c r="A405" s="21">
        <v>45412.665277777778</v>
      </c>
      <c r="B405">
        <v>59.5</v>
      </c>
    </row>
    <row r="406" spans="1:2" x14ac:dyDescent="0.3">
      <c r="A406" s="21">
        <v>45412.665972222225</v>
      </c>
      <c r="B406">
        <v>59.5</v>
      </c>
    </row>
    <row r="407" spans="1:2" x14ac:dyDescent="0.3">
      <c r="A407" s="21">
        <v>45412.666666666664</v>
      </c>
      <c r="B407">
        <v>58.9</v>
      </c>
    </row>
    <row r="408" spans="1:2" x14ac:dyDescent="0.3">
      <c r="A408" s="21">
        <v>45412.667361111111</v>
      </c>
      <c r="B408">
        <v>58.9</v>
      </c>
    </row>
    <row r="409" spans="1:2" x14ac:dyDescent="0.3">
      <c r="A409" s="21">
        <v>45412.668055555558</v>
      </c>
      <c r="B409">
        <v>59.4</v>
      </c>
    </row>
    <row r="410" spans="1:2" x14ac:dyDescent="0.3">
      <c r="A410" s="21">
        <v>45412.668749999997</v>
      </c>
      <c r="B410">
        <v>59</v>
      </c>
    </row>
    <row r="411" spans="1:2" x14ac:dyDescent="0.3">
      <c r="A411" s="21">
        <v>45412.669444444444</v>
      </c>
      <c r="B411">
        <v>59.4</v>
      </c>
    </row>
    <row r="412" spans="1:2" x14ac:dyDescent="0.3">
      <c r="A412" s="21">
        <v>45412.670138888891</v>
      </c>
      <c r="B412">
        <v>59.2</v>
      </c>
    </row>
    <row r="413" spans="1:2" x14ac:dyDescent="0.3">
      <c r="A413" s="21">
        <v>45412.67083333333</v>
      </c>
      <c r="B413">
        <v>60</v>
      </c>
    </row>
    <row r="414" spans="1:2" x14ac:dyDescent="0.3">
      <c r="A414" s="21">
        <v>45412.671527777777</v>
      </c>
      <c r="B414">
        <v>58.9</v>
      </c>
    </row>
    <row r="415" spans="1:2" x14ac:dyDescent="0.3">
      <c r="A415" s="21">
        <v>45412.672222222223</v>
      </c>
      <c r="B415">
        <v>59.4</v>
      </c>
    </row>
    <row r="416" spans="1:2" x14ac:dyDescent="0.3">
      <c r="A416" s="21">
        <v>45412.67291666667</v>
      </c>
      <c r="B416">
        <v>59.4</v>
      </c>
    </row>
    <row r="417" spans="1:2" x14ac:dyDescent="0.3">
      <c r="A417" s="21">
        <v>45412.673611111109</v>
      </c>
      <c r="B417">
        <v>59.1</v>
      </c>
    </row>
    <row r="418" spans="1:2" x14ac:dyDescent="0.3">
      <c r="A418" s="21">
        <v>45412.674305555556</v>
      </c>
      <c r="B418">
        <v>59.4</v>
      </c>
    </row>
    <row r="419" spans="1:2" x14ac:dyDescent="0.3">
      <c r="A419" s="21">
        <v>45412.675000000003</v>
      </c>
      <c r="B419">
        <v>59.4</v>
      </c>
    </row>
    <row r="420" spans="1:2" x14ac:dyDescent="0.3">
      <c r="A420" s="21">
        <v>45412.675694444442</v>
      </c>
      <c r="B420">
        <v>59.6</v>
      </c>
    </row>
    <row r="421" spans="1:2" x14ac:dyDescent="0.3">
      <c r="A421" s="21">
        <v>45412.676388888889</v>
      </c>
      <c r="B421">
        <v>59.9</v>
      </c>
    </row>
    <row r="422" spans="1:2" x14ac:dyDescent="0.3">
      <c r="A422" s="21">
        <v>45412.677083333336</v>
      </c>
      <c r="B422">
        <v>59.5</v>
      </c>
    </row>
    <row r="423" spans="1:2" x14ac:dyDescent="0.3">
      <c r="A423" s="21">
        <v>45412.677777777775</v>
      </c>
      <c r="B423">
        <v>59.4</v>
      </c>
    </row>
    <row r="424" spans="1:2" x14ac:dyDescent="0.3">
      <c r="A424" s="21">
        <v>45412.678472222222</v>
      </c>
      <c r="B424">
        <v>59.2</v>
      </c>
    </row>
    <row r="425" spans="1:2" x14ac:dyDescent="0.3">
      <c r="A425" s="21">
        <v>45412.679166666669</v>
      </c>
      <c r="B425">
        <v>59.8</v>
      </c>
    </row>
    <row r="426" spans="1:2" x14ac:dyDescent="0.3">
      <c r="A426" s="21">
        <v>45412.679861111108</v>
      </c>
      <c r="B426">
        <v>59.5</v>
      </c>
    </row>
    <row r="427" spans="1:2" x14ac:dyDescent="0.3">
      <c r="A427" s="21">
        <v>45412.680555555555</v>
      </c>
      <c r="B427">
        <v>59</v>
      </c>
    </row>
    <row r="428" spans="1:2" x14ac:dyDescent="0.3">
      <c r="A428" s="21">
        <v>45412.681250000001</v>
      </c>
      <c r="B428">
        <v>59.6</v>
      </c>
    </row>
    <row r="429" spans="1:2" x14ac:dyDescent="0.3">
      <c r="A429" s="21">
        <v>45412.681944444441</v>
      </c>
      <c r="B429">
        <v>59.6</v>
      </c>
    </row>
    <row r="430" spans="1:2" x14ac:dyDescent="0.3">
      <c r="A430" s="21">
        <v>45412.682638888888</v>
      </c>
      <c r="B430">
        <v>59</v>
      </c>
    </row>
    <row r="431" spans="1:2" x14ac:dyDescent="0.3">
      <c r="A431" s="21">
        <v>45412.683333333334</v>
      </c>
      <c r="B431">
        <v>59.1</v>
      </c>
    </row>
    <row r="432" spans="1:2" x14ac:dyDescent="0.3">
      <c r="A432" s="21">
        <v>45412.684027777781</v>
      </c>
      <c r="B432">
        <v>59.5</v>
      </c>
    </row>
    <row r="433" spans="1:2" x14ac:dyDescent="0.3">
      <c r="A433" s="21">
        <v>45412.68472222222</v>
      </c>
      <c r="B433">
        <v>59.4</v>
      </c>
    </row>
    <row r="434" spans="1:2" x14ac:dyDescent="0.3">
      <c r="A434" s="21">
        <v>45412.685416666667</v>
      </c>
      <c r="B434">
        <v>59.5</v>
      </c>
    </row>
    <row r="435" spans="1:2" x14ac:dyDescent="0.3">
      <c r="A435" s="21">
        <v>45412.686111111114</v>
      </c>
      <c r="B435">
        <v>59.8</v>
      </c>
    </row>
    <row r="436" spans="1:2" x14ac:dyDescent="0.3">
      <c r="A436" s="21">
        <v>45412.686805555553</v>
      </c>
      <c r="B436">
        <v>59.6</v>
      </c>
    </row>
    <row r="437" spans="1:2" x14ac:dyDescent="0.3">
      <c r="A437" s="21">
        <v>45412.6875</v>
      </c>
      <c r="B437">
        <v>59.5</v>
      </c>
    </row>
    <row r="438" spans="1:2" x14ac:dyDescent="0.3">
      <c r="A438" s="21">
        <v>45412.688194444447</v>
      </c>
      <c r="B438">
        <v>59.5</v>
      </c>
    </row>
    <row r="439" spans="1:2" x14ac:dyDescent="0.3">
      <c r="A439" s="21">
        <v>45412.688888888886</v>
      </c>
      <c r="B439">
        <v>58.9</v>
      </c>
    </row>
    <row r="440" spans="1:2" x14ac:dyDescent="0.3">
      <c r="A440" s="21">
        <v>45412.689583333333</v>
      </c>
      <c r="B440">
        <v>59.4</v>
      </c>
    </row>
    <row r="441" spans="1:2" x14ac:dyDescent="0.3">
      <c r="A441" s="21">
        <v>45412.69027777778</v>
      </c>
      <c r="B441">
        <v>59.7</v>
      </c>
    </row>
    <row r="442" spans="1:2" x14ac:dyDescent="0.3">
      <c r="A442" s="21">
        <v>45412.690972222219</v>
      </c>
      <c r="B442">
        <v>59.3</v>
      </c>
    </row>
    <row r="443" spans="1:2" x14ac:dyDescent="0.3">
      <c r="A443" s="21">
        <v>45412.691666666666</v>
      </c>
      <c r="B443">
        <v>59.4</v>
      </c>
    </row>
    <row r="444" spans="1:2" x14ac:dyDescent="0.3">
      <c r="A444" s="21">
        <v>45412.692361111112</v>
      </c>
      <c r="B444">
        <v>59.1</v>
      </c>
    </row>
    <row r="445" spans="1:2" x14ac:dyDescent="0.3">
      <c r="A445" s="21">
        <v>45412.693055555559</v>
      </c>
      <c r="B445">
        <v>59.5</v>
      </c>
    </row>
    <row r="446" spans="1:2" x14ac:dyDescent="0.3">
      <c r="A446" s="21">
        <v>45412.693749999999</v>
      </c>
      <c r="B446">
        <v>59.6</v>
      </c>
    </row>
    <row r="447" spans="1:2" x14ac:dyDescent="0.3">
      <c r="A447" s="21">
        <v>45412.694444444445</v>
      </c>
      <c r="B447">
        <v>59.7</v>
      </c>
    </row>
    <row r="448" spans="1:2" x14ac:dyDescent="0.3">
      <c r="A448" s="21">
        <v>45412.695138888892</v>
      </c>
      <c r="B448">
        <v>59.6</v>
      </c>
    </row>
    <row r="449" spans="1:2" x14ac:dyDescent="0.3">
      <c r="A449" s="21">
        <v>45412.695833333331</v>
      </c>
      <c r="B449">
        <v>59.9</v>
      </c>
    </row>
    <row r="450" spans="1:2" x14ac:dyDescent="0.3">
      <c r="A450" s="21">
        <v>45412.696527777778</v>
      </c>
      <c r="B450">
        <v>59.9</v>
      </c>
    </row>
    <row r="451" spans="1:2" x14ac:dyDescent="0.3">
      <c r="A451" s="21">
        <v>45412.697222222225</v>
      </c>
      <c r="B451">
        <v>59.6</v>
      </c>
    </row>
    <row r="452" spans="1:2" x14ac:dyDescent="0.3">
      <c r="A452" s="21">
        <v>45412.697916666664</v>
      </c>
      <c r="B452">
        <v>59.3</v>
      </c>
    </row>
    <row r="453" spans="1:2" x14ac:dyDescent="0.3">
      <c r="A453" s="21">
        <v>45412.698611111111</v>
      </c>
      <c r="B453">
        <v>59.6</v>
      </c>
    </row>
    <row r="454" spans="1:2" x14ac:dyDescent="0.3">
      <c r="A454" s="21">
        <v>45412.699305555558</v>
      </c>
      <c r="B454">
        <v>59.6</v>
      </c>
    </row>
    <row r="455" spans="1:2" x14ac:dyDescent="0.3">
      <c r="A455" s="21">
        <v>45412.7</v>
      </c>
      <c r="B455">
        <v>59.2</v>
      </c>
    </row>
    <row r="456" spans="1:2" x14ac:dyDescent="0.3">
      <c r="A456" s="21">
        <v>45412.700694444444</v>
      </c>
      <c r="B456">
        <v>59.6</v>
      </c>
    </row>
    <row r="457" spans="1:2" x14ac:dyDescent="0.3">
      <c r="A457" s="21">
        <v>45412.701388888891</v>
      </c>
      <c r="B457">
        <v>59.5</v>
      </c>
    </row>
    <row r="458" spans="1:2" x14ac:dyDescent="0.3">
      <c r="A458" s="21">
        <v>45412.70208333333</v>
      </c>
      <c r="B458">
        <v>59.6</v>
      </c>
    </row>
    <row r="459" spans="1:2" x14ac:dyDescent="0.3">
      <c r="A459" s="21">
        <v>45412.702777777777</v>
      </c>
      <c r="B459">
        <v>59.6</v>
      </c>
    </row>
    <row r="460" spans="1:2" x14ac:dyDescent="0.3">
      <c r="A460" s="21">
        <v>45412.703472222223</v>
      </c>
      <c r="B460">
        <v>59.6</v>
      </c>
    </row>
    <row r="461" spans="1:2" x14ac:dyDescent="0.3">
      <c r="A461" s="21">
        <v>45412.70416666667</v>
      </c>
      <c r="B461">
        <v>59.4</v>
      </c>
    </row>
    <row r="462" spans="1:2" x14ac:dyDescent="0.3">
      <c r="A462" s="21">
        <v>45412.704861111109</v>
      </c>
      <c r="B462">
        <v>59.8</v>
      </c>
    </row>
    <row r="463" spans="1:2" x14ac:dyDescent="0.3">
      <c r="A463" s="21">
        <v>45412.705555555556</v>
      </c>
      <c r="B463">
        <v>59.8</v>
      </c>
    </row>
    <row r="464" spans="1:2" x14ac:dyDescent="0.3">
      <c r="A464" s="21">
        <v>45412.706250000003</v>
      </c>
      <c r="B464">
        <v>59.6</v>
      </c>
    </row>
    <row r="465" spans="1:2" x14ac:dyDescent="0.3">
      <c r="A465" s="21">
        <v>45412.706944444442</v>
      </c>
      <c r="B465">
        <v>59.7</v>
      </c>
    </row>
    <row r="466" spans="1:2" x14ac:dyDescent="0.3">
      <c r="A466" s="21">
        <v>45412.707638888889</v>
      </c>
      <c r="B466">
        <v>59.4</v>
      </c>
    </row>
    <row r="467" spans="1:2" x14ac:dyDescent="0.3">
      <c r="A467" s="21">
        <v>45412.708333333336</v>
      </c>
      <c r="B467">
        <v>59.3</v>
      </c>
    </row>
    <row r="468" spans="1:2" x14ac:dyDescent="0.3">
      <c r="A468" s="21">
        <v>45412.709027777775</v>
      </c>
      <c r="B468">
        <v>59.3</v>
      </c>
    </row>
    <row r="469" spans="1:2" x14ac:dyDescent="0.3">
      <c r="A469" s="21">
        <v>45412.709722222222</v>
      </c>
      <c r="B469">
        <v>59.8</v>
      </c>
    </row>
    <row r="470" spans="1:2" x14ac:dyDescent="0.3">
      <c r="A470" s="21">
        <v>45412.710416666669</v>
      </c>
      <c r="B470">
        <v>59.6</v>
      </c>
    </row>
    <row r="471" spans="1:2" x14ac:dyDescent="0.3">
      <c r="A471" s="21">
        <v>45412.711111111108</v>
      </c>
      <c r="B471">
        <v>59.5</v>
      </c>
    </row>
    <row r="472" spans="1:2" x14ac:dyDescent="0.3">
      <c r="A472" s="21">
        <v>45412.711805555555</v>
      </c>
      <c r="B472">
        <v>59.3</v>
      </c>
    </row>
    <row r="473" spans="1:2" x14ac:dyDescent="0.3">
      <c r="A473" s="21">
        <v>45412.712500000001</v>
      </c>
      <c r="B473">
        <v>59.2</v>
      </c>
    </row>
    <row r="474" spans="1:2" x14ac:dyDescent="0.3">
      <c r="A474" s="21">
        <v>45412.713194444441</v>
      </c>
      <c r="B474">
        <v>59.6</v>
      </c>
    </row>
    <row r="475" spans="1:2" x14ac:dyDescent="0.3">
      <c r="A475" s="21">
        <v>45412.713888888888</v>
      </c>
      <c r="B475">
        <v>59.2</v>
      </c>
    </row>
    <row r="476" spans="1:2" x14ac:dyDescent="0.3">
      <c r="A476" s="21">
        <v>45412.714583333334</v>
      </c>
      <c r="B476">
        <v>59.6</v>
      </c>
    </row>
    <row r="477" spans="1:2" x14ac:dyDescent="0.3">
      <c r="A477" s="21">
        <v>45412.715277777781</v>
      </c>
      <c r="B477">
        <v>59.5</v>
      </c>
    </row>
    <row r="478" spans="1:2" x14ac:dyDescent="0.3">
      <c r="A478" s="21">
        <v>45412.71597222222</v>
      </c>
      <c r="B478">
        <v>59.7</v>
      </c>
    </row>
    <row r="479" spans="1:2" x14ac:dyDescent="0.3">
      <c r="A479" s="21">
        <v>45412.716666666667</v>
      </c>
      <c r="B479">
        <v>59.3</v>
      </c>
    </row>
    <row r="480" spans="1:2" x14ac:dyDescent="0.3">
      <c r="A480" s="21">
        <v>45412.717361111114</v>
      </c>
      <c r="B480">
        <v>59.6</v>
      </c>
    </row>
    <row r="481" spans="1:2" x14ac:dyDescent="0.3">
      <c r="A481" s="21">
        <v>45412.718055555553</v>
      </c>
      <c r="B481">
        <v>59.5</v>
      </c>
    </row>
    <row r="482" spans="1:2" x14ac:dyDescent="0.3">
      <c r="A482" s="21">
        <v>45412.71875</v>
      </c>
      <c r="B482">
        <v>59.5</v>
      </c>
    </row>
    <row r="483" spans="1:2" x14ac:dyDescent="0.3">
      <c r="A483" s="21">
        <v>45412.719444444447</v>
      </c>
      <c r="B483">
        <v>59.7</v>
      </c>
    </row>
    <row r="484" spans="1:2" x14ac:dyDescent="0.3">
      <c r="A484" s="21">
        <v>45412.720138888886</v>
      </c>
      <c r="B484">
        <v>59.4</v>
      </c>
    </row>
    <row r="485" spans="1:2" x14ac:dyDescent="0.3">
      <c r="A485" s="21">
        <v>45412.720833333333</v>
      </c>
      <c r="B485">
        <v>59.9</v>
      </c>
    </row>
    <row r="486" spans="1:2" x14ac:dyDescent="0.3">
      <c r="A486" s="21">
        <v>45412.72152777778</v>
      </c>
      <c r="B486">
        <v>59.5</v>
      </c>
    </row>
    <row r="487" spans="1:2" x14ac:dyDescent="0.3">
      <c r="A487" s="21">
        <v>45412.722222222219</v>
      </c>
      <c r="B487">
        <v>59.2</v>
      </c>
    </row>
    <row r="488" spans="1:2" x14ac:dyDescent="0.3">
      <c r="A488" s="21">
        <v>45412.722916666666</v>
      </c>
      <c r="B488">
        <v>59.4</v>
      </c>
    </row>
    <row r="489" spans="1:2" x14ac:dyDescent="0.3">
      <c r="A489" s="21">
        <v>45412.723611111112</v>
      </c>
      <c r="B489">
        <v>59.5</v>
      </c>
    </row>
    <row r="490" spans="1:2" x14ac:dyDescent="0.3">
      <c r="A490" s="21">
        <v>45412.724305555559</v>
      </c>
      <c r="B490">
        <v>59.4</v>
      </c>
    </row>
    <row r="491" spans="1:2" x14ac:dyDescent="0.3">
      <c r="A491" s="21">
        <v>45412.724999999999</v>
      </c>
      <c r="B491">
        <v>59.6</v>
      </c>
    </row>
    <row r="492" spans="1:2" x14ac:dyDescent="0.3">
      <c r="A492" s="21">
        <v>45412.725694444445</v>
      </c>
      <c r="B492">
        <v>59.6</v>
      </c>
    </row>
    <row r="493" spans="1:2" x14ac:dyDescent="0.3">
      <c r="A493" s="21">
        <v>45412.726388888892</v>
      </c>
      <c r="B493">
        <v>59.5</v>
      </c>
    </row>
    <row r="494" spans="1:2" x14ac:dyDescent="0.3">
      <c r="A494" s="21">
        <v>45412.727083333331</v>
      </c>
      <c r="B494">
        <v>59.7</v>
      </c>
    </row>
    <row r="495" spans="1:2" x14ac:dyDescent="0.3">
      <c r="A495" s="21">
        <v>45412.727777777778</v>
      </c>
      <c r="B495">
        <v>59.7</v>
      </c>
    </row>
    <row r="496" spans="1:2" x14ac:dyDescent="0.3">
      <c r="A496" s="21">
        <v>45412.728472222225</v>
      </c>
      <c r="B496">
        <v>59.6</v>
      </c>
    </row>
    <row r="497" spans="1:2" x14ac:dyDescent="0.3">
      <c r="A497" s="21">
        <v>45412.729166666664</v>
      </c>
      <c r="B497">
        <v>59.7</v>
      </c>
    </row>
    <row r="498" spans="1:2" x14ac:dyDescent="0.3">
      <c r="A498" s="21">
        <v>45412.729861111111</v>
      </c>
      <c r="B498">
        <v>59.6</v>
      </c>
    </row>
    <row r="499" spans="1:2" x14ac:dyDescent="0.3">
      <c r="A499" s="21">
        <v>45412.730555555558</v>
      </c>
      <c r="B499">
        <v>59.4</v>
      </c>
    </row>
    <row r="500" spans="1:2" x14ac:dyDescent="0.3">
      <c r="A500" s="21">
        <v>45412.731249999997</v>
      </c>
      <c r="B500">
        <v>59.5</v>
      </c>
    </row>
    <row r="501" spans="1:2" x14ac:dyDescent="0.3">
      <c r="A501" s="21">
        <v>45412.731944444444</v>
      </c>
      <c r="B501">
        <v>59.7</v>
      </c>
    </row>
    <row r="502" spans="1:2" x14ac:dyDescent="0.3">
      <c r="A502" s="21">
        <v>45412.732638888891</v>
      </c>
      <c r="B502">
        <v>59.4</v>
      </c>
    </row>
    <row r="503" spans="1:2" x14ac:dyDescent="0.3">
      <c r="A503" s="21">
        <v>45412.73333333333</v>
      </c>
      <c r="B503">
        <v>59.7</v>
      </c>
    </row>
    <row r="504" spans="1:2" x14ac:dyDescent="0.3">
      <c r="A504" s="21">
        <v>45412.734027777777</v>
      </c>
      <c r="B504">
        <v>59.4</v>
      </c>
    </row>
    <row r="505" spans="1:2" x14ac:dyDescent="0.3">
      <c r="A505" s="21">
        <v>45412.734722222223</v>
      </c>
      <c r="B505">
        <v>59.9</v>
      </c>
    </row>
    <row r="506" spans="1:2" x14ac:dyDescent="0.3">
      <c r="A506" s="21">
        <v>45412.73541666667</v>
      </c>
      <c r="B506">
        <v>60.3</v>
      </c>
    </row>
    <row r="507" spans="1:2" x14ac:dyDescent="0.3">
      <c r="A507" s="21">
        <v>45412.736111111109</v>
      </c>
      <c r="B507">
        <v>60.6</v>
      </c>
    </row>
    <row r="508" spans="1:2" x14ac:dyDescent="0.3">
      <c r="A508" s="21">
        <v>45412.736805555556</v>
      </c>
      <c r="B508">
        <v>60.1</v>
      </c>
    </row>
    <row r="509" spans="1:2" x14ac:dyDescent="0.3">
      <c r="A509" s="21">
        <v>45412.737500000003</v>
      </c>
      <c r="B509">
        <v>60.5</v>
      </c>
    </row>
    <row r="510" spans="1:2" x14ac:dyDescent="0.3">
      <c r="A510" s="21">
        <v>45412.738194444442</v>
      </c>
      <c r="B510">
        <v>60.2</v>
      </c>
    </row>
    <row r="511" spans="1:2" x14ac:dyDescent="0.3">
      <c r="A511" s="21">
        <v>45412.738888888889</v>
      </c>
      <c r="B511">
        <v>60.3</v>
      </c>
    </row>
    <row r="512" spans="1:2" x14ac:dyDescent="0.3">
      <c r="A512" s="21">
        <v>45412.739583333336</v>
      </c>
      <c r="B512">
        <v>60.5</v>
      </c>
    </row>
    <row r="513" spans="1:2" x14ac:dyDescent="0.3">
      <c r="A513" s="21">
        <v>45412.740277777775</v>
      </c>
      <c r="B513">
        <v>60.4</v>
      </c>
    </row>
    <row r="514" spans="1:2" x14ac:dyDescent="0.3">
      <c r="A514" s="21">
        <v>45412.740972222222</v>
      </c>
      <c r="B514">
        <v>60.2</v>
      </c>
    </row>
    <row r="515" spans="1:2" x14ac:dyDescent="0.3">
      <c r="A515" s="21">
        <v>45412.741666666669</v>
      </c>
      <c r="B515">
        <v>60.2</v>
      </c>
    </row>
    <row r="516" spans="1:2" x14ac:dyDescent="0.3">
      <c r="A516" s="21">
        <v>45412.742361111108</v>
      </c>
      <c r="B516">
        <v>60.1</v>
      </c>
    </row>
    <row r="517" spans="1:2" x14ac:dyDescent="0.3">
      <c r="A517" s="21">
        <v>45412.743055555555</v>
      </c>
      <c r="B517">
        <v>60</v>
      </c>
    </row>
    <row r="518" spans="1:2" x14ac:dyDescent="0.3">
      <c r="A518" s="21">
        <v>45412.743750000001</v>
      </c>
      <c r="B518">
        <v>60.1</v>
      </c>
    </row>
    <row r="519" spans="1:2" x14ac:dyDescent="0.3">
      <c r="A519" s="21">
        <v>45412.744444444441</v>
      </c>
      <c r="B519">
        <v>60.4</v>
      </c>
    </row>
    <row r="520" spans="1:2" x14ac:dyDescent="0.3">
      <c r="A520" s="21">
        <v>45412.745138888888</v>
      </c>
      <c r="B520">
        <v>60.5</v>
      </c>
    </row>
    <row r="521" spans="1:2" x14ac:dyDescent="0.3">
      <c r="A521" s="21">
        <v>45412.745833333334</v>
      </c>
      <c r="B521">
        <v>60.5</v>
      </c>
    </row>
    <row r="522" spans="1:2" x14ac:dyDescent="0.3">
      <c r="A522" s="21">
        <v>45412.746527777781</v>
      </c>
      <c r="B522">
        <v>60.2</v>
      </c>
    </row>
    <row r="523" spans="1:2" x14ac:dyDescent="0.3">
      <c r="A523" s="21">
        <v>45412.74722222222</v>
      </c>
      <c r="B523">
        <v>60</v>
      </c>
    </row>
    <row r="524" spans="1:2" x14ac:dyDescent="0.3">
      <c r="A524" s="21">
        <v>45412.747916666667</v>
      </c>
      <c r="B524">
        <v>60.4</v>
      </c>
    </row>
    <row r="525" spans="1:2" x14ac:dyDescent="0.3">
      <c r="A525" s="21">
        <v>45412.748611111114</v>
      </c>
      <c r="B525">
        <v>60.1</v>
      </c>
    </row>
    <row r="526" spans="1:2" x14ac:dyDescent="0.3">
      <c r="A526" s="21">
        <v>45412.749305555553</v>
      </c>
      <c r="B526">
        <v>60</v>
      </c>
    </row>
    <row r="527" spans="1:2" x14ac:dyDescent="0.3">
      <c r="A527" s="21">
        <v>45412.75</v>
      </c>
      <c r="B527">
        <v>59.9</v>
      </c>
    </row>
    <row r="528" spans="1:2" x14ac:dyDescent="0.3">
      <c r="A528" s="21">
        <v>45412.750694444447</v>
      </c>
      <c r="B528">
        <v>59.9</v>
      </c>
    </row>
    <row r="529" spans="1:2" x14ac:dyDescent="0.3">
      <c r="A529" s="21">
        <v>45412.751388888886</v>
      </c>
      <c r="B529">
        <v>60.1</v>
      </c>
    </row>
    <row r="530" spans="1:2" x14ac:dyDescent="0.3">
      <c r="A530" s="21">
        <v>45412.752083333333</v>
      </c>
      <c r="B530">
        <v>60.5</v>
      </c>
    </row>
    <row r="531" spans="1:2" x14ac:dyDescent="0.3">
      <c r="A531" s="21">
        <v>45412.75277777778</v>
      </c>
      <c r="B531">
        <v>59.7</v>
      </c>
    </row>
    <row r="532" spans="1:2" x14ac:dyDescent="0.3">
      <c r="A532" s="21">
        <v>45412.753472222219</v>
      </c>
      <c r="B532">
        <v>60.2</v>
      </c>
    </row>
    <row r="533" spans="1:2" x14ac:dyDescent="0.3">
      <c r="A533" s="21">
        <v>45412.754166666666</v>
      </c>
      <c r="B533">
        <v>60.1</v>
      </c>
    </row>
    <row r="534" spans="1:2" x14ac:dyDescent="0.3">
      <c r="A534" s="21">
        <v>45412.754861111112</v>
      </c>
      <c r="B534">
        <v>60.3</v>
      </c>
    </row>
    <row r="535" spans="1:2" x14ac:dyDescent="0.3">
      <c r="A535" s="21">
        <v>45412.755555555559</v>
      </c>
      <c r="B535">
        <v>60.2</v>
      </c>
    </row>
    <row r="536" spans="1:2" x14ac:dyDescent="0.3">
      <c r="A536" s="21">
        <v>45412.756249999999</v>
      </c>
      <c r="B536">
        <v>60.6</v>
      </c>
    </row>
    <row r="537" spans="1:2" x14ac:dyDescent="0.3">
      <c r="A537" s="21">
        <v>45412.756944444445</v>
      </c>
      <c r="B537">
        <v>60.2</v>
      </c>
    </row>
    <row r="538" spans="1:2" x14ac:dyDescent="0.3">
      <c r="A538" s="21">
        <v>45412.757638888892</v>
      </c>
      <c r="B538">
        <v>60.1</v>
      </c>
    </row>
    <row r="539" spans="1:2" x14ac:dyDescent="0.3">
      <c r="A539" s="21">
        <v>45412.758333333331</v>
      </c>
      <c r="B539">
        <v>60.4</v>
      </c>
    </row>
    <row r="540" spans="1:2" x14ac:dyDescent="0.3">
      <c r="A540" s="21">
        <v>45412.759027777778</v>
      </c>
      <c r="B540">
        <v>60.2</v>
      </c>
    </row>
    <row r="541" spans="1:2" x14ac:dyDescent="0.3">
      <c r="A541" s="21">
        <v>45412.759722222225</v>
      </c>
      <c r="B541">
        <v>60.1</v>
      </c>
    </row>
    <row r="542" spans="1:2" x14ac:dyDescent="0.3">
      <c r="A542" s="21">
        <v>45412.760416666664</v>
      </c>
      <c r="B542">
        <v>60.1</v>
      </c>
    </row>
    <row r="543" spans="1:2" x14ac:dyDescent="0.3">
      <c r="A543" s="21">
        <v>45412.761111111111</v>
      </c>
      <c r="B543">
        <v>60</v>
      </c>
    </row>
    <row r="544" spans="1:2" x14ac:dyDescent="0.3">
      <c r="A544" s="21">
        <v>45412.761805555558</v>
      </c>
      <c r="B544">
        <v>60.5</v>
      </c>
    </row>
    <row r="545" spans="1:2" x14ac:dyDescent="0.3">
      <c r="A545" s="21">
        <v>45412.762499999997</v>
      </c>
      <c r="B545">
        <v>60.1</v>
      </c>
    </row>
    <row r="546" spans="1:2" x14ac:dyDescent="0.3">
      <c r="A546" s="21">
        <v>45412.763194444444</v>
      </c>
      <c r="B546">
        <v>60.2</v>
      </c>
    </row>
    <row r="547" spans="1:2" x14ac:dyDescent="0.3">
      <c r="A547" s="21">
        <v>45412.763888888891</v>
      </c>
      <c r="B547">
        <v>60</v>
      </c>
    </row>
    <row r="548" spans="1:2" x14ac:dyDescent="0.3">
      <c r="A548" s="21">
        <v>45412.76458333333</v>
      </c>
      <c r="B548">
        <v>60.3</v>
      </c>
    </row>
    <row r="549" spans="1:2" x14ac:dyDescent="0.3">
      <c r="A549" s="21">
        <v>45412.765277777777</v>
      </c>
      <c r="B549">
        <v>59.9</v>
      </c>
    </row>
    <row r="550" spans="1:2" x14ac:dyDescent="0.3">
      <c r="A550" s="21">
        <v>45412.765972222223</v>
      </c>
      <c r="B550">
        <v>60.4</v>
      </c>
    </row>
    <row r="551" spans="1:2" x14ac:dyDescent="0.3">
      <c r="A551" s="21">
        <v>45412.76666666667</v>
      </c>
      <c r="B551">
        <v>60.1</v>
      </c>
    </row>
    <row r="552" spans="1:2" x14ac:dyDescent="0.3">
      <c r="A552" s="21">
        <v>45412.767361111109</v>
      </c>
      <c r="B552">
        <v>60</v>
      </c>
    </row>
    <row r="553" spans="1:2" x14ac:dyDescent="0.3">
      <c r="A553" s="21">
        <v>45412.768055555556</v>
      </c>
      <c r="B553">
        <v>60.1</v>
      </c>
    </row>
    <row r="554" spans="1:2" x14ac:dyDescent="0.3">
      <c r="A554" s="21">
        <v>45412.768750000003</v>
      </c>
      <c r="B554">
        <v>60.2</v>
      </c>
    </row>
    <row r="555" spans="1:2" x14ac:dyDescent="0.3">
      <c r="A555" s="21">
        <v>45412.769444444442</v>
      </c>
      <c r="B555">
        <v>60.1</v>
      </c>
    </row>
    <row r="556" spans="1:2" x14ac:dyDescent="0.3">
      <c r="A556" s="21">
        <v>45412.770138888889</v>
      </c>
      <c r="B556">
        <v>60.2</v>
      </c>
    </row>
    <row r="557" spans="1:2" x14ac:dyDescent="0.3">
      <c r="A557" s="21">
        <v>45412.770833333336</v>
      </c>
      <c r="B557">
        <v>60</v>
      </c>
    </row>
    <row r="558" spans="1:2" x14ac:dyDescent="0.3">
      <c r="A558" s="21">
        <v>45412.771527777775</v>
      </c>
      <c r="B558">
        <v>59.9</v>
      </c>
    </row>
    <row r="559" spans="1:2" x14ac:dyDescent="0.3">
      <c r="A559" s="21">
        <v>45412.772222222222</v>
      </c>
      <c r="B559">
        <v>60.1</v>
      </c>
    </row>
    <row r="560" spans="1:2" x14ac:dyDescent="0.3">
      <c r="A560" s="21">
        <v>45412.772916666669</v>
      </c>
      <c r="B560">
        <v>60.3</v>
      </c>
    </row>
    <row r="561" spans="1:2" x14ac:dyDescent="0.3">
      <c r="A561" s="21">
        <v>45412.773611111108</v>
      </c>
      <c r="B561">
        <v>59.8</v>
      </c>
    </row>
    <row r="562" spans="1:2" x14ac:dyDescent="0.3">
      <c r="A562" s="21">
        <v>45412.774305555555</v>
      </c>
      <c r="B562">
        <v>60.3</v>
      </c>
    </row>
    <row r="563" spans="1:2" x14ac:dyDescent="0.3">
      <c r="A563" s="21">
        <v>45412.775000000001</v>
      </c>
      <c r="B563">
        <v>60.1</v>
      </c>
    </row>
    <row r="564" spans="1:2" x14ac:dyDescent="0.3">
      <c r="A564" s="21">
        <v>45412.775694444441</v>
      </c>
      <c r="B564">
        <v>60.2</v>
      </c>
    </row>
    <row r="565" spans="1:2" x14ac:dyDescent="0.3">
      <c r="A565" s="21">
        <v>45412.776388888888</v>
      </c>
      <c r="B565">
        <v>59.9</v>
      </c>
    </row>
    <row r="566" spans="1:2" x14ac:dyDescent="0.3">
      <c r="A566" s="21">
        <v>45412.777083333334</v>
      </c>
      <c r="B566">
        <v>60</v>
      </c>
    </row>
    <row r="567" spans="1:2" x14ac:dyDescent="0.3">
      <c r="A567" s="21">
        <v>45412.777777777781</v>
      </c>
      <c r="B567">
        <v>60.2</v>
      </c>
    </row>
    <row r="568" spans="1:2" x14ac:dyDescent="0.3">
      <c r="A568" s="21">
        <v>45412.77847222222</v>
      </c>
      <c r="B568">
        <v>60.2</v>
      </c>
    </row>
    <row r="569" spans="1:2" x14ac:dyDescent="0.3">
      <c r="A569" s="21">
        <v>45412.779166666667</v>
      </c>
      <c r="B569">
        <v>60.2</v>
      </c>
    </row>
    <row r="570" spans="1:2" x14ac:dyDescent="0.3">
      <c r="A570" s="21">
        <v>45412.779861111114</v>
      </c>
      <c r="B570">
        <v>60.5</v>
      </c>
    </row>
    <row r="571" spans="1:2" x14ac:dyDescent="0.3">
      <c r="A571" s="21">
        <v>45412.780555555553</v>
      </c>
      <c r="B571">
        <v>60.1</v>
      </c>
    </row>
    <row r="572" spans="1:2" x14ac:dyDescent="0.3">
      <c r="A572" s="21">
        <v>45412.78125</v>
      </c>
      <c r="B572">
        <v>60.1</v>
      </c>
    </row>
    <row r="573" spans="1:2" x14ac:dyDescent="0.3">
      <c r="A573" s="21">
        <v>45412.781944444447</v>
      </c>
      <c r="B573">
        <v>60.1</v>
      </c>
    </row>
    <row r="574" spans="1:2" x14ac:dyDescent="0.3">
      <c r="A574" s="21">
        <v>45412.782638888886</v>
      </c>
      <c r="B574">
        <v>60</v>
      </c>
    </row>
    <row r="575" spans="1:2" x14ac:dyDescent="0.3">
      <c r="A575" s="21">
        <v>45412.783333333333</v>
      </c>
      <c r="B575">
        <v>59.9</v>
      </c>
    </row>
    <row r="576" spans="1:2" x14ac:dyDescent="0.3">
      <c r="A576" s="21">
        <v>45412.78402777778</v>
      </c>
      <c r="B576">
        <v>60.2</v>
      </c>
    </row>
    <row r="577" spans="1:2" x14ac:dyDescent="0.3">
      <c r="A577" s="21">
        <v>45412.784722222219</v>
      </c>
      <c r="B577">
        <v>60.3</v>
      </c>
    </row>
    <row r="578" spans="1:2" x14ac:dyDescent="0.3">
      <c r="A578" s="21">
        <v>45412.785416666666</v>
      </c>
      <c r="B578">
        <v>60</v>
      </c>
    </row>
    <row r="579" spans="1:2" x14ac:dyDescent="0.3">
      <c r="A579" s="21">
        <v>45412.786111111112</v>
      </c>
      <c r="B579">
        <v>60.3</v>
      </c>
    </row>
    <row r="580" spans="1:2" x14ac:dyDescent="0.3">
      <c r="A580" s="21">
        <v>45412.786805555559</v>
      </c>
      <c r="B580">
        <v>59.8</v>
      </c>
    </row>
    <row r="581" spans="1:2" x14ac:dyDescent="0.3">
      <c r="A581" s="21">
        <v>45412.787499999999</v>
      </c>
      <c r="B581">
        <v>60.1</v>
      </c>
    </row>
    <row r="582" spans="1:2" x14ac:dyDescent="0.3">
      <c r="A582" s="21">
        <v>45412.788194444445</v>
      </c>
      <c r="B582">
        <v>60.1</v>
      </c>
    </row>
    <row r="583" spans="1:2" x14ac:dyDescent="0.3">
      <c r="A583" s="21">
        <v>45412.788888888892</v>
      </c>
      <c r="B583">
        <v>59.9</v>
      </c>
    </row>
    <row r="584" spans="1:2" x14ac:dyDescent="0.3">
      <c r="A584" s="21">
        <v>45412.789583333331</v>
      </c>
      <c r="B584">
        <v>60.3</v>
      </c>
    </row>
    <row r="585" spans="1:2" x14ac:dyDescent="0.3">
      <c r="A585" s="21">
        <v>45412.790277777778</v>
      </c>
      <c r="B585">
        <v>60.3</v>
      </c>
    </row>
    <row r="586" spans="1:2" x14ac:dyDescent="0.3">
      <c r="A586" s="21">
        <v>45412.790972222225</v>
      </c>
      <c r="B586">
        <v>60.2</v>
      </c>
    </row>
    <row r="587" spans="1:2" x14ac:dyDescent="0.3">
      <c r="A587" s="21">
        <v>45412.791666666664</v>
      </c>
      <c r="B587">
        <v>60.2</v>
      </c>
    </row>
    <row r="588" spans="1:2" x14ac:dyDescent="0.3">
      <c r="A588" s="21">
        <v>45412.792361111111</v>
      </c>
      <c r="B588">
        <v>60</v>
      </c>
    </row>
    <row r="589" spans="1:2" x14ac:dyDescent="0.3">
      <c r="A589" s="21">
        <v>45412.793055555558</v>
      </c>
      <c r="B589">
        <v>60.2</v>
      </c>
    </row>
    <row r="590" spans="1:2" x14ac:dyDescent="0.3">
      <c r="A590" s="21">
        <v>45412.793749999997</v>
      </c>
      <c r="B590">
        <v>60.1</v>
      </c>
    </row>
    <row r="591" spans="1:2" x14ac:dyDescent="0.3">
      <c r="A591" s="21">
        <v>45412.794444444444</v>
      </c>
      <c r="B591">
        <v>60.1</v>
      </c>
    </row>
    <row r="592" spans="1:2" x14ac:dyDescent="0.3">
      <c r="A592" s="21">
        <v>45412.795138888891</v>
      </c>
      <c r="B592">
        <v>60.4</v>
      </c>
    </row>
    <row r="593" spans="1:2" x14ac:dyDescent="0.3">
      <c r="A593" s="21">
        <v>45412.79583333333</v>
      </c>
      <c r="B593">
        <v>60.1</v>
      </c>
    </row>
    <row r="594" spans="1:2" x14ac:dyDescent="0.3">
      <c r="A594" s="21">
        <v>45412.796527777777</v>
      </c>
      <c r="B594">
        <v>60.3</v>
      </c>
    </row>
    <row r="595" spans="1:2" x14ac:dyDescent="0.3">
      <c r="A595" s="21">
        <v>45412.797222222223</v>
      </c>
      <c r="B595">
        <v>60.5</v>
      </c>
    </row>
    <row r="596" spans="1:2" x14ac:dyDescent="0.3">
      <c r="A596" s="21">
        <v>45412.79791666667</v>
      </c>
      <c r="B596">
        <v>60.1</v>
      </c>
    </row>
    <row r="597" spans="1:2" x14ac:dyDescent="0.3">
      <c r="A597" s="21">
        <v>45412.798611111109</v>
      </c>
      <c r="B597">
        <v>60.1</v>
      </c>
    </row>
    <row r="598" spans="1:2" x14ac:dyDescent="0.3">
      <c r="A598" s="21">
        <v>45412.799305555556</v>
      </c>
      <c r="B598">
        <v>60.1</v>
      </c>
    </row>
    <row r="599" spans="1:2" x14ac:dyDescent="0.3">
      <c r="A599" s="21">
        <v>45412.800000000003</v>
      </c>
      <c r="B599">
        <v>60.7</v>
      </c>
    </row>
    <row r="600" spans="1:2" x14ac:dyDescent="0.3">
      <c r="A600" s="21">
        <v>45412.800694444442</v>
      </c>
      <c r="B600">
        <v>60.1</v>
      </c>
    </row>
    <row r="601" spans="1:2" x14ac:dyDescent="0.3">
      <c r="A601" s="21">
        <v>45412.801388888889</v>
      </c>
      <c r="B601">
        <v>60.4</v>
      </c>
    </row>
    <row r="602" spans="1:2" x14ac:dyDescent="0.3">
      <c r="A602" s="21">
        <v>45412.802083333336</v>
      </c>
      <c r="B602">
        <v>60.5</v>
      </c>
    </row>
    <row r="603" spans="1:2" x14ac:dyDescent="0.3">
      <c r="A603" s="21">
        <v>45412.802777777775</v>
      </c>
      <c r="B603">
        <v>59.9</v>
      </c>
    </row>
    <row r="604" spans="1:2" x14ac:dyDescent="0.3">
      <c r="A604" s="21">
        <v>45412.803472222222</v>
      </c>
      <c r="B604">
        <v>60</v>
      </c>
    </row>
    <row r="605" spans="1:2" x14ac:dyDescent="0.3">
      <c r="A605" s="21">
        <v>45412.804166666669</v>
      </c>
      <c r="B605">
        <v>60.6</v>
      </c>
    </row>
    <row r="606" spans="1:2" x14ac:dyDescent="0.3">
      <c r="A606" s="21">
        <v>45412.804861111108</v>
      </c>
      <c r="B606">
        <v>60</v>
      </c>
    </row>
    <row r="607" spans="1:2" x14ac:dyDescent="0.3">
      <c r="A607" s="21">
        <v>45412.805555555555</v>
      </c>
      <c r="B607">
        <v>60</v>
      </c>
    </row>
    <row r="608" spans="1:2" x14ac:dyDescent="0.3">
      <c r="A608" s="21">
        <v>45412.806250000001</v>
      </c>
      <c r="B608">
        <v>60.4</v>
      </c>
    </row>
    <row r="609" spans="1:2" x14ac:dyDescent="0.3">
      <c r="A609" s="21">
        <v>45412.806944444441</v>
      </c>
      <c r="B609">
        <v>60.3</v>
      </c>
    </row>
    <row r="610" spans="1:2" x14ac:dyDescent="0.3">
      <c r="A610" s="21">
        <v>45412.807638888888</v>
      </c>
      <c r="B610">
        <v>60.3</v>
      </c>
    </row>
    <row r="611" spans="1:2" x14ac:dyDescent="0.3">
      <c r="A611" s="21">
        <v>45412.808333333334</v>
      </c>
      <c r="B611">
        <v>60.1</v>
      </c>
    </row>
    <row r="612" spans="1:2" x14ac:dyDescent="0.3">
      <c r="A612" s="21">
        <v>45412.809027777781</v>
      </c>
      <c r="B612">
        <v>59.9</v>
      </c>
    </row>
    <row r="613" spans="1:2" x14ac:dyDescent="0.3">
      <c r="A613" s="21">
        <v>45412.80972222222</v>
      </c>
      <c r="B613">
        <v>60.2</v>
      </c>
    </row>
    <row r="614" spans="1:2" x14ac:dyDescent="0.3">
      <c r="A614" s="21">
        <v>45412.810416666667</v>
      </c>
      <c r="B614">
        <v>60.4</v>
      </c>
    </row>
    <row r="615" spans="1:2" x14ac:dyDescent="0.3">
      <c r="A615" s="21">
        <v>45412.811111111114</v>
      </c>
      <c r="B615">
        <v>60.6</v>
      </c>
    </row>
    <row r="616" spans="1:2" x14ac:dyDescent="0.3">
      <c r="A616" s="21">
        <v>45412.811805555553</v>
      </c>
      <c r="B616">
        <v>60.2</v>
      </c>
    </row>
    <row r="617" spans="1:2" x14ac:dyDescent="0.3">
      <c r="A617" s="21">
        <v>45412.8125</v>
      </c>
      <c r="B617">
        <v>59.8</v>
      </c>
    </row>
    <row r="618" spans="1:2" x14ac:dyDescent="0.3">
      <c r="A618" s="21">
        <v>45412.813194444447</v>
      </c>
      <c r="B618">
        <v>60.2</v>
      </c>
    </row>
    <row r="619" spans="1:2" x14ac:dyDescent="0.3">
      <c r="A619" s="21">
        <v>45412.813888888886</v>
      </c>
      <c r="B619">
        <v>60</v>
      </c>
    </row>
    <row r="620" spans="1:2" x14ac:dyDescent="0.3">
      <c r="A620" s="21">
        <v>45412.814583333333</v>
      </c>
      <c r="B620">
        <v>60.2</v>
      </c>
    </row>
    <row r="621" spans="1:2" x14ac:dyDescent="0.3">
      <c r="A621" s="21">
        <v>45412.81527777778</v>
      </c>
      <c r="B621">
        <v>60.5</v>
      </c>
    </row>
    <row r="622" spans="1:2" x14ac:dyDescent="0.3">
      <c r="A622" s="21">
        <v>45412.815972222219</v>
      </c>
      <c r="B622">
        <v>60.3</v>
      </c>
    </row>
    <row r="623" spans="1:2" x14ac:dyDescent="0.3">
      <c r="A623" s="21">
        <v>45412.816666666666</v>
      </c>
      <c r="B623">
        <v>60</v>
      </c>
    </row>
    <row r="624" spans="1:2" x14ac:dyDescent="0.3">
      <c r="A624" s="21">
        <v>45412.817361111112</v>
      </c>
      <c r="B624">
        <v>60.1</v>
      </c>
    </row>
    <row r="625" spans="1:2" x14ac:dyDescent="0.3">
      <c r="A625" s="21">
        <v>45412.818055555559</v>
      </c>
      <c r="B625">
        <v>60.8</v>
      </c>
    </row>
    <row r="626" spans="1:2" x14ac:dyDescent="0.3">
      <c r="A626" s="21">
        <v>45412.818749999999</v>
      </c>
      <c r="B626">
        <v>62.9</v>
      </c>
    </row>
    <row r="627" spans="1:2" x14ac:dyDescent="0.3">
      <c r="A627" s="21">
        <v>45412.819444444445</v>
      </c>
      <c r="B627">
        <v>63.1</v>
      </c>
    </row>
    <row r="628" spans="1:2" x14ac:dyDescent="0.3">
      <c r="A628" s="21">
        <v>45412.820138888892</v>
      </c>
      <c r="B628">
        <v>63.1</v>
      </c>
    </row>
    <row r="629" spans="1:2" x14ac:dyDescent="0.3">
      <c r="A629" s="21">
        <v>45412.820833333331</v>
      </c>
      <c r="B629">
        <v>63</v>
      </c>
    </row>
    <row r="630" spans="1:2" x14ac:dyDescent="0.3">
      <c r="A630" s="21">
        <v>45412.821527777778</v>
      </c>
      <c r="B630">
        <v>62.7</v>
      </c>
    </row>
    <row r="631" spans="1:2" x14ac:dyDescent="0.3">
      <c r="A631" s="21">
        <v>45412.822222222225</v>
      </c>
      <c r="B631">
        <v>63.3</v>
      </c>
    </row>
    <row r="632" spans="1:2" x14ac:dyDescent="0.3">
      <c r="A632" s="21">
        <v>45412.822916666664</v>
      </c>
      <c r="B632">
        <v>63</v>
      </c>
    </row>
    <row r="633" spans="1:2" x14ac:dyDescent="0.3">
      <c r="A633" s="21">
        <v>45412.823611111111</v>
      </c>
      <c r="B633">
        <v>63</v>
      </c>
    </row>
    <row r="634" spans="1:2" x14ac:dyDescent="0.3">
      <c r="A634" s="21">
        <v>45412.824305555558</v>
      </c>
      <c r="B634">
        <v>63</v>
      </c>
    </row>
    <row r="635" spans="1:2" x14ac:dyDescent="0.3">
      <c r="A635" s="21">
        <v>45412.824999999997</v>
      </c>
      <c r="B635">
        <v>63.1</v>
      </c>
    </row>
    <row r="636" spans="1:2" x14ac:dyDescent="0.3">
      <c r="A636" s="21">
        <v>45412.825694444444</v>
      </c>
      <c r="B636">
        <v>63.3</v>
      </c>
    </row>
    <row r="637" spans="1:2" x14ac:dyDescent="0.3">
      <c r="A637" s="21">
        <v>45412.826388888891</v>
      </c>
      <c r="B637">
        <v>63.5</v>
      </c>
    </row>
    <row r="638" spans="1:2" x14ac:dyDescent="0.3">
      <c r="A638" s="21">
        <v>45412.82708333333</v>
      </c>
      <c r="B638">
        <v>62.9</v>
      </c>
    </row>
    <row r="639" spans="1:2" x14ac:dyDescent="0.3">
      <c r="A639" s="21">
        <v>45412.827777777777</v>
      </c>
      <c r="B639">
        <v>63.1</v>
      </c>
    </row>
    <row r="640" spans="1:2" x14ac:dyDescent="0.3">
      <c r="A640" s="21">
        <v>45412.828472222223</v>
      </c>
      <c r="B640">
        <v>62.8</v>
      </c>
    </row>
    <row r="641" spans="1:2" x14ac:dyDescent="0.3">
      <c r="A641" s="21">
        <v>45412.82916666667</v>
      </c>
      <c r="B641">
        <v>63.1</v>
      </c>
    </row>
    <row r="642" spans="1:2" x14ac:dyDescent="0.3">
      <c r="A642" s="21">
        <v>45412.829861111109</v>
      </c>
      <c r="B642">
        <v>63.3</v>
      </c>
    </row>
    <row r="643" spans="1:2" x14ac:dyDescent="0.3">
      <c r="A643" s="21">
        <v>45412.830555555556</v>
      </c>
      <c r="B643">
        <v>63.5</v>
      </c>
    </row>
    <row r="644" spans="1:2" x14ac:dyDescent="0.3">
      <c r="A644" s="21">
        <v>45412.831250000003</v>
      </c>
      <c r="B644">
        <v>63.1</v>
      </c>
    </row>
    <row r="645" spans="1:2" x14ac:dyDescent="0.3">
      <c r="A645" s="21">
        <v>45412.831944444442</v>
      </c>
      <c r="B645">
        <v>62.9</v>
      </c>
    </row>
    <row r="646" spans="1:2" x14ac:dyDescent="0.3">
      <c r="A646" s="21">
        <v>45412.832638888889</v>
      </c>
      <c r="B646">
        <v>62.9</v>
      </c>
    </row>
    <row r="647" spans="1:2" x14ac:dyDescent="0.3">
      <c r="A647" s="21">
        <v>45412.833333333336</v>
      </c>
      <c r="B647">
        <v>63.4</v>
      </c>
    </row>
    <row r="648" spans="1:2" x14ac:dyDescent="0.3">
      <c r="A648" s="21">
        <v>45412.834027777775</v>
      </c>
      <c r="B648">
        <v>63.4</v>
      </c>
    </row>
    <row r="649" spans="1:2" x14ac:dyDescent="0.3">
      <c r="A649" s="21">
        <v>45412.834722222222</v>
      </c>
      <c r="B649">
        <v>63.1</v>
      </c>
    </row>
    <row r="650" spans="1:2" x14ac:dyDescent="0.3">
      <c r="A650" s="21">
        <v>45412.835416666669</v>
      </c>
      <c r="B650">
        <v>63.2</v>
      </c>
    </row>
    <row r="651" spans="1:2" x14ac:dyDescent="0.3">
      <c r="A651" s="21">
        <v>45412.836111111108</v>
      </c>
      <c r="B651">
        <v>63.4</v>
      </c>
    </row>
    <row r="652" spans="1:2" x14ac:dyDescent="0.3">
      <c r="A652" s="21">
        <v>45412.836805555555</v>
      </c>
      <c r="B652">
        <v>63.1</v>
      </c>
    </row>
    <row r="653" spans="1:2" x14ac:dyDescent="0.3">
      <c r="A653" s="21">
        <v>45412.837500000001</v>
      </c>
      <c r="B653">
        <v>63.3</v>
      </c>
    </row>
    <row r="654" spans="1:2" x14ac:dyDescent="0.3">
      <c r="A654" s="21">
        <v>45412.838194444441</v>
      </c>
      <c r="B654">
        <v>63.1</v>
      </c>
    </row>
    <row r="655" spans="1:2" x14ac:dyDescent="0.3">
      <c r="A655" s="21">
        <v>45412.838888888888</v>
      </c>
      <c r="B655">
        <v>63.3</v>
      </c>
    </row>
    <row r="656" spans="1:2" x14ac:dyDescent="0.3">
      <c r="A656" s="21">
        <v>45412.839583333334</v>
      </c>
      <c r="B656">
        <v>63.7</v>
      </c>
    </row>
    <row r="657" spans="1:2" x14ac:dyDescent="0.3">
      <c r="A657" s="21">
        <v>45412.840277777781</v>
      </c>
      <c r="B657">
        <v>63.1</v>
      </c>
    </row>
    <row r="658" spans="1:2" x14ac:dyDescent="0.3">
      <c r="A658" s="21">
        <v>45412.84097222222</v>
      </c>
      <c r="B658">
        <v>63.2</v>
      </c>
    </row>
    <row r="659" spans="1:2" x14ac:dyDescent="0.3">
      <c r="A659" s="21">
        <v>45412.841666666667</v>
      </c>
      <c r="B659">
        <v>63</v>
      </c>
    </row>
    <row r="660" spans="1:2" x14ac:dyDescent="0.3">
      <c r="A660" s="21">
        <v>45412.842361111114</v>
      </c>
      <c r="B660">
        <v>63.4</v>
      </c>
    </row>
    <row r="661" spans="1:2" x14ac:dyDescent="0.3">
      <c r="A661" s="21">
        <v>45412.843055555553</v>
      </c>
      <c r="B661">
        <v>63.4</v>
      </c>
    </row>
    <row r="662" spans="1:2" x14ac:dyDescent="0.3">
      <c r="A662" s="21">
        <v>45412.84375</v>
      </c>
      <c r="B662">
        <v>63.5</v>
      </c>
    </row>
    <row r="663" spans="1:2" x14ac:dyDescent="0.3">
      <c r="A663" s="21">
        <v>45412.844444444447</v>
      </c>
      <c r="B663">
        <v>63.7</v>
      </c>
    </row>
    <row r="664" spans="1:2" x14ac:dyDescent="0.3">
      <c r="A664" s="21">
        <v>45412.845138888886</v>
      </c>
      <c r="B664">
        <v>63.1</v>
      </c>
    </row>
    <row r="665" spans="1:2" x14ac:dyDescent="0.3">
      <c r="A665" s="21">
        <v>45412.845833333333</v>
      </c>
      <c r="B665">
        <v>63.2</v>
      </c>
    </row>
    <row r="666" spans="1:2" x14ac:dyDescent="0.3">
      <c r="A666" s="21">
        <v>45412.84652777778</v>
      </c>
      <c r="B666">
        <v>63.4</v>
      </c>
    </row>
    <row r="667" spans="1:2" x14ac:dyDescent="0.3">
      <c r="A667" s="21">
        <v>45412.847222222219</v>
      </c>
      <c r="B667">
        <v>63.1</v>
      </c>
    </row>
    <row r="668" spans="1:2" x14ac:dyDescent="0.3">
      <c r="A668" s="21">
        <v>45412.847916666666</v>
      </c>
      <c r="B668">
        <v>63.3</v>
      </c>
    </row>
    <row r="669" spans="1:2" x14ac:dyDescent="0.3">
      <c r="A669" s="21">
        <v>45412.848611111112</v>
      </c>
      <c r="B669">
        <v>63.4</v>
      </c>
    </row>
    <row r="670" spans="1:2" x14ac:dyDescent="0.3">
      <c r="A670" s="21">
        <v>45412.849305555559</v>
      </c>
      <c r="B670">
        <v>63.2</v>
      </c>
    </row>
    <row r="671" spans="1:2" x14ac:dyDescent="0.3">
      <c r="A671" s="21">
        <v>45412.85</v>
      </c>
      <c r="B671">
        <v>63.2</v>
      </c>
    </row>
    <row r="672" spans="1:2" x14ac:dyDescent="0.3">
      <c r="A672" s="21">
        <v>45412.850694444445</v>
      </c>
      <c r="B672">
        <v>63.2</v>
      </c>
    </row>
    <row r="673" spans="1:2" x14ac:dyDescent="0.3">
      <c r="A673" s="21">
        <v>45412.851388888892</v>
      </c>
      <c r="B673">
        <v>63.1</v>
      </c>
    </row>
    <row r="674" spans="1:2" x14ac:dyDescent="0.3">
      <c r="A674" s="21">
        <v>45412.852083333331</v>
      </c>
      <c r="B674">
        <v>63.5</v>
      </c>
    </row>
    <row r="675" spans="1:2" x14ac:dyDescent="0.3">
      <c r="A675" s="21">
        <v>45412.852777777778</v>
      </c>
      <c r="B675">
        <v>63.2</v>
      </c>
    </row>
    <row r="676" spans="1:2" x14ac:dyDescent="0.3">
      <c r="A676" s="21">
        <v>45412.853472222225</v>
      </c>
      <c r="B676">
        <v>63.4</v>
      </c>
    </row>
    <row r="677" spans="1:2" x14ac:dyDescent="0.3">
      <c r="A677" s="21">
        <v>45412.854166666664</v>
      </c>
      <c r="B677">
        <v>63</v>
      </c>
    </row>
    <row r="678" spans="1:2" x14ac:dyDescent="0.3">
      <c r="A678" s="21">
        <v>45412.854861111111</v>
      </c>
      <c r="B678">
        <v>63.6</v>
      </c>
    </row>
    <row r="679" spans="1:2" x14ac:dyDescent="0.3">
      <c r="A679" s="21">
        <v>45412.855555555558</v>
      </c>
      <c r="B679">
        <v>62.9</v>
      </c>
    </row>
    <row r="680" spans="1:2" x14ac:dyDescent="0.3">
      <c r="A680" s="21">
        <v>45412.856249999997</v>
      </c>
      <c r="B680">
        <v>63</v>
      </c>
    </row>
    <row r="681" spans="1:2" x14ac:dyDescent="0.3">
      <c r="A681" s="21">
        <v>45412.856944444444</v>
      </c>
      <c r="B681">
        <v>63.4</v>
      </c>
    </row>
    <row r="682" spans="1:2" x14ac:dyDescent="0.3">
      <c r="A682" s="21">
        <v>45412.857638888891</v>
      </c>
      <c r="B682">
        <v>63.2</v>
      </c>
    </row>
    <row r="683" spans="1:2" x14ac:dyDescent="0.3">
      <c r="A683" s="21">
        <v>45412.85833333333</v>
      </c>
      <c r="B683">
        <v>62.9</v>
      </c>
    </row>
    <row r="684" spans="1:2" x14ac:dyDescent="0.3">
      <c r="A684" s="21">
        <v>45412.859027777777</v>
      </c>
      <c r="B684">
        <v>63.1</v>
      </c>
    </row>
    <row r="685" spans="1:2" x14ac:dyDescent="0.3">
      <c r="A685" s="21">
        <v>45412.859722222223</v>
      </c>
      <c r="B685">
        <v>63.3</v>
      </c>
    </row>
    <row r="686" spans="1:2" x14ac:dyDescent="0.3">
      <c r="A686" s="21">
        <v>45412.86041666667</v>
      </c>
      <c r="B686">
        <v>63.4</v>
      </c>
    </row>
    <row r="687" spans="1:2" x14ac:dyDescent="0.3">
      <c r="A687" s="21">
        <v>45412.861111111109</v>
      </c>
      <c r="B687">
        <v>63.4</v>
      </c>
    </row>
    <row r="688" spans="1:2" x14ac:dyDescent="0.3">
      <c r="A688" s="21">
        <v>45412.861805555556</v>
      </c>
      <c r="B688">
        <v>63.6</v>
      </c>
    </row>
    <row r="689" spans="1:2" x14ac:dyDescent="0.3">
      <c r="A689" s="21">
        <v>45412.862500000003</v>
      </c>
      <c r="B689">
        <v>63.3</v>
      </c>
    </row>
    <row r="690" spans="1:2" x14ac:dyDescent="0.3">
      <c r="A690" s="21">
        <v>45412.863194444442</v>
      </c>
      <c r="B690">
        <v>63.7</v>
      </c>
    </row>
    <row r="691" spans="1:2" x14ac:dyDescent="0.3">
      <c r="A691" s="21">
        <v>45412.863888888889</v>
      </c>
      <c r="B691">
        <v>63.1</v>
      </c>
    </row>
    <row r="692" spans="1:2" x14ac:dyDescent="0.3">
      <c r="A692" s="21">
        <v>45412.864583333336</v>
      </c>
      <c r="B692">
        <v>63.7</v>
      </c>
    </row>
    <row r="693" spans="1:2" x14ac:dyDescent="0.3">
      <c r="A693" s="21">
        <v>45412.865277777775</v>
      </c>
      <c r="B693">
        <v>63.4</v>
      </c>
    </row>
    <row r="694" spans="1:2" x14ac:dyDescent="0.3">
      <c r="A694" s="21">
        <v>45412.865972222222</v>
      </c>
      <c r="B694">
        <v>63.4</v>
      </c>
    </row>
    <row r="695" spans="1:2" x14ac:dyDescent="0.3">
      <c r="A695" s="21">
        <v>45412.866666666669</v>
      </c>
      <c r="B695">
        <v>63.4</v>
      </c>
    </row>
    <row r="696" spans="1:2" x14ac:dyDescent="0.3">
      <c r="A696" s="21">
        <v>45412.867361111108</v>
      </c>
      <c r="B696">
        <v>63.4</v>
      </c>
    </row>
    <row r="697" spans="1:2" x14ac:dyDescent="0.3">
      <c r="A697" s="21">
        <v>45412.868055555555</v>
      </c>
      <c r="B697">
        <v>63.9</v>
      </c>
    </row>
    <row r="698" spans="1:2" x14ac:dyDescent="0.3">
      <c r="A698" s="21">
        <v>45412.868750000001</v>
      </c>
      <c r="B698">
        <v>63.5</v>
      </c>
    </row>
    <row r="699" spans="1:2" x14ac:dyDescent="0.3">
      <c r="A699" s="21">
        <v>45412.869444444441</v>
      </c>
      <c r="B699">
        <v>63.4</v>
      </c>
    </row>
    <row r="700" spans="1:2" x14ac:dyDescent="0.3">
      <c r="A700" s="21">
        <v>45412.870138888888</v>
      </c>
      <c r="B700">
        <v>63.6</v>
      </c>
    </row>
    <row r="701" spans="1:2" x14ac:dyDescent="0.3">
      <c r="A701" s="21">
        <v>45412.870833333334</v>
      </c>
      <c r="B701">
        <v>63.5</v>
      </c>
    </row>
    <row r="702" spans="1:2" x14ac:dyDescent="0.3">
      <c r="A702" s="21">
        <v>45412.871527777781</v>
      </c>
      <c r="B702">
        <v>63.7</v>
      </c>
    </row>
    <row r="703" spans="1:2" x14ac:dyDescent="0.3">
      <c r="A703" s="21">
        <v>45412.87222222222</v>
      </c>
      <c r="B703">
        <v>63.5</v>
      </c>
    </row>
    <row r="704" spans="1:2" x14ac:dyDescent="0.3">
      <c r="A704" s="21">
        <v>45412.872916666667</v>
      </c>
      <c r="B704">
        <v>63.9</v>
      </c>
    </row>
    <row r="705" spans="1:2" x14ac:dyDescent="0.3">
      <c r="A705" s="21">
        <v>45412.873611111114</v>
      </c>
      <c r="B705">
        <v>63.3</v>
      </c>
    </row>
    <row r="706" spans="1:2" x14ac:dyDescent="0.3">
      <c r="A706" s="21">
        <v>45412.874305555553</v>
      </c>
      <c r="B706">
        <v>63.4</v>
      </c>
    </row>
    <row r="707" spans="1:2" x14ac:dyDescent="0.3">
      <c r="A707" s="21">
        <v>45412.875</v>
      </c>
      <c r="B707">
        <v>63.3</v>
      </c>
    </row>
    <row r="708" spans="1:2" x14ac:dyDescent="0.3">
      <c r="A708" s="21">
        <v>45412.875694444447</v>
      </c>
      <c r="B708">
        <v>63.1</v>
      </c>
    </row>
    <row r="709" spans="1:2" x14ac:dyDescent="0.3">
      <c r="A709" s="21">
        <v>45412.876388888886</v>
      </c>
      <c r="B709">
        <v>63.4</v>
      </c>
    </row>
    <row r="710" spans="1:2" x14ac:dyDescent="0.3">
      <c r="A710" s="21">
        <v>45412.877083333333</v>
      </c>
      <c r="B710">
        <v>63.1</v>
      </c>
    </row>
    <row r="711" spans="1:2" x14ac:dyDescent="0.3">
      <c r="A711" s="21">
        <v>45412.87777777778</v>
      </c>
      <c r="B711">
        <v>63.2</v>
      </c>
    </row>
    <row r="712" spans="1:2" x14ac:dyDescent="0.3">
      <c r="A712" s="21">
        <v>45412.878472222219</v>
      </c>
      <c r="B712">
        <v>63.5</v>
      </c>
    </row>
    <row r="713" spans="1:2" x14ac:dyDescent="0.3">
      <c r="A713" s="21">
        <v>45412.879166666666</v>
      </c>
      <c r="B713">
        <v>63.2</v>
      </c>
    </row>
    <row r="714" spans="1:2" x14ac:dyDescent="0.3">
      <c r="A714" s="21">
        <v>45412.879861111112</v>
      </c>
      <c r="B714">
        <v>63.1</v>
      </c>
    </row>
    <row r="715" spans="1:2" x14ac:dyDescent="0.3">
      <c r="A715" s="21">
        <v>45412.880555555559</v>
      </c>
      <c r="B715">
        <v>63.3</v>
      </c>
    </row>
    <row r="716" spans="1:2" x14ac:dyDescent="0.3">
      <c r="A716" s="21">
        <v>45412.881249999999</v>
      </c>
      <c r="B716">
        <v>63.5</v>
      </c>
    </row>
    <row r="717" spans="1:2" x14ac:dyDescent="0.3">
      <c r="A717" s="21">
        <v>45412.881944444445</v>
      </c>
      <c r="B717">
        <v>63.6</v>
      </c>
    </row>
    <row r="718" spans="1:2" x14ac:dyDescent="0.3">
      <c r="A718" s="21">
        <v>45412.882638888892</v>
      </c>
      <c r="B718">
        <v>63.1</v>
      </c>
    </row>
    <row r="719" spans="1:2" x14ac:dyDescent="0.3">
      <c r="A719" s="21">
        <v>45412.883333333331</v>
      </c>
      <c r="B719">
        <v>63.3</v>
      </c>
    </row>
    <row r="720" spans="1:2" x14ac:dyDescent="0.3">
      <c r="A720" s="21">
        <v>45412.884027777778</v>
      </c>
      <c r="B720">
        <v>63</v>
      </c>
    </row>
    <row r="721" spans="1:2" x14ac:dyDescent="0.3">
      <c r="A721" s="21">
        <v>45412.884722222225</v>
      </c>
      <c r="B721">
        <v>63.4</v>
      </c>
    </row>
    <row r="722" spans="1:2" x14ac:dyDescent="0.3">
      <c r="A722" s="21">
        <v>45412.885416666664</v>
      </c>
      <c r="B722">
        <v>63.4</v>
      </c>
    </row>
    <row r="723" spans="1:2" x14ac:dyDescent="0.3">
      <c r="A723" s="21">
        <v>45412.886111111111</v>
      </c>
      <c r="B723">
        <v>63</v>
      </c>
    </row>
    <row r="724" spans="1:2" x14ac:dyDescent="0.3">
      <c r="A724" s="21">
        <v>45412.886805555558</v>
      </c>
      <c r="B724">
        <v>63.2</v>
      </c>
    </row>
    <row r="725" spans="1:2" x14ac:dyDescent="0.3">
      <c r="A725" s="21">
        <v>45412.887499999997</v>
      </c>
      <c r="B725">
        <v>63.1</v>
      </c>
    </row>
    <row r="726" spans="1:2" x14ac:dyDescent="0.3">
      <c r="A726" s="21">
        <v>45412.888194444444</v>
      </c>
      <c r="B726">
        <v>63.6</v>
      </c>
    </row>
    <row r="727" spans="1:2" x14ac:dyDescent="0.3">
      <c r="A727" s="21">
        <v>45412.888888888891</v>
      </c>
      <c r="B727">
        <v>63.3</v>
      </c>
    </row>
    <row r="728" spans="1:2" x14ac:dyDescent="0.3">
      <c r="A728" s="21">
        <v>45412.88958333333</v>
      </c>
      <c r="B728">
        <v>62.9</v>
      </c>
    </row>
    <row r="729" spans="1:2" x14ac:dyDescent="0.3">
      <c r="A729" s="21">
        <v>45412.890277777777</v>
      </c>
      <c r="B729">
        <v>62.8</v>
      </c>
    </row>
    <row r="730" spans="1:2" x14ac:dyDescent="0.3">
      <c r="A730" s="21">
        <v>45412.890972222223</v>
      </c>
      <c r="B730">
        <v>63</v>
      </c>
    </row>
    <row r="731" spans="1:2" x14ac:dyDescent="0.3">
      <c r="A731" s="21">
        <v>45412.89166666667</v>
      </c>
      <c r="B731">
        <v>63.3</v>
      </c>
    </row>
    <row r="732" spans="1:2" x14ac:dyDescent="0.3">
      <c r="A732" s="21">
        <v>45412.892361111109</v>
      </c>
      <c r="B732">
        <v>63.2</v>
      </c>
    </row>
    <row r="733" spans="1:2" x14ac:dyDescent="0.3">
      <c r="A733" s="21">
        <v>45412.893055555556</v>
      </c>
      <c r="B733">
        <v>63</v>
      </c>
    </row>
    <row r="734" spans="1:2" x14ac:dyDescent="0.3">
      <c r="A734" s="21">
        <v>45412.893750000003</v>
      </c>
      <c r="B734">
        <v>63.2</v>
      </c>
    </row>
    <row r="735" spans="1:2" x14ac:dyDescent="0.3">
      <c r="A735" s="21">
        <v>45412.894444444442</v>
      </c>
      <c r="B735">
        <v>63.1</v>
      </c>
    </row>
    <row r="736" spans="1:2" x14ac:dyDescent="0.3">
      <c r="A736" s="21">
        <v>45412.895138888889</v>
      </c>
      <c r="B736">
        <v>63.3</v>
      </c>
    </row>
    <row r="737" spans="1:2" x14ac:dyDescent="0.3">
      <c r="A737" s="21">
        <v>45412.895833333336</v>
      </c>
      <c r="B737">
        <v>63.1</v>
      </c>
    </row>
    <row r="738" spans="1:2" x14ac:dyDescent="0.3">
      <c r="A738" s="21">
        <v>45412.896527777775</v>
      </c>
      <c r="B738">
        <v>63.2</v>
      </c>
    </row>
    <row r="739" spans="1:2" x14ac:dyDescent="0.3">
      <c r="A739" s="21">
        <v>45412.897222222222</v>
      </c>
      <c r="B739">
        <v>63.2</v>
      </c>
    </row>
    <row r="740" spans="1:2" x14ac:dyDescent="0.3">
      <c r="A740" s="21">
        <v>45412.897916666669</v>
      </c>
      <c r="B740">
        <v>62.9</v>
      </c>
    </row>
    <row r="741" spans="1:2" x14ac:dyDescent="0.3">
      <c r="A741" s="21">
        <v>45412.898611111108</v>
      </c>
      <c r="B741">
        <v>63.4</v>
      </c>
    </row>
    <row r="742" spans="1:2" x14ac:dyDescent="0.3">
      <c r="A742" s="21">
        <v>45412.899305555555</v>
      </c>
      <c r="B742">
        <v>63</v>
      </c>
    </row>
    <row r="743" spans="1:2" x14ac:dyDescent="0.3">
      <c r="A743" s="21">
        <v>45412.9</v>
      </c>
      <c r="B743">
        <v>63.1</v>
      </c>
    </row>
    <row r="744" spans="1:2" x14ac:dyDescent="0.3">
      <c r="A744" s="21">
        <v>45412.900694444441</v>
      </c>
      <c r="B744">
        <v>63</v>
      </c>
    </row>
    <row r="745" spans="1:2" x14ac:dyDescent="0.3">
      <c r="A745" s="21">
        <v>45412.901388888888</v>
      </c>
      <c r="B745">
        <v>64.2</v>
      </c>
    </row>
    <row r="746" spans="1:2" x14ac:dyDescent="0.3">
      <c r="A746" s="21">
        <v>45412.902083333334</v>
      </c>
      <c r="B746">
        <v>66.900000000000006</v>
      </c>
    </row>
    <row r="747" spans="1:2" x14ac:dyDescent="0.3">
      <c r="A747" s="21">
        <v>45412.902777777781</v>
      </c>
      <c r="B747">
        <v>66.5</v>
      </c>
    </row>
    <row r="748" spans="1:2" x14ac:dyDescent="0.3">
      <c r="A748" s="21">
        <v>45412.90347222222</v>
      </c>
      <c r="B748">
        <v>67</v>
      </c>
    </row>
    <row r="749" spans="1:2" x14ac:dyDescent="0.3">
      <c r="A749" s="21">
        <v>45412.904166666667</v>
      </c>
      <c r="B749">
        <v>67.2</v>
      </c>
    </row>
    <row r="750" spans="1:2" x14ac:dyDescent="0.3">
      <c r="A750" s="21">
        <v>45412.904861111114</v>
      </c>
      <c r="B750">
        <v>67</v>
      </c>
    </row>
    <row r="751" spans="1:2" x14ac:dyDescent="0.3">
      <c r="A751" s="21">
        <v>45412.905555555553</v>
      </c>
      <c r="B751">
        <v>66.599999999999994</v>
      </c>
    </row>
    <row r="752" spans="1:2" x14ac:dyDescent="0.3">
      <c r="A752" s="21">
        <v>45412.90625</v>
      </c>
      <c r="B752">
        <v>67.099999999999994</v>
      </c>
    </row>
    <row r="753" spans="1:2" x14ac:dyDescent="0.3">
      <c r="A753" s="21">
        <v>45412.906944444447</v>
      </c>
      <c r="B753">
        <v>66.7</v>
      </c>
    </row>
    <row r="754" spans="1:2" x14ac:dyDescent="0.3">
      <c r="A754" s="21">
        <v>45412.907638888886</v>
      </c>
      <c r="B754">
        <v>67.3</v>
      </c>
    </row>
    <row r="755" spans="1:2" x14ac:dyDescent="0.3">
      <c r="A755" s="21">
        <v>45412.908333333333</v>
      </c>
      <c r="B755">
        <v>67.2</v>
      </c>
    </row>
    <row r="756" spans="1:2" x14ac:dyDescent="0.3">
      <c r="A756" s="21">
        <v>45412.90902777778</v>
      </c>
      <c r="B756">
        <v>66.900000000000006</v>
      </c>
    </row>
    <row r="757" spans="1:2" x14ac:dyDescent="0.3">
      <c r="A757" s="21">
        <v>45412.909722222219</v>
      </c>
      <c r="B757">
        <v>67</v>
      </c>
    </row>
    <row r="758" spans="1:2" x14ac:dyDescent="0.3">
      <c r="A758" s="21">
        <v>45412.910416666666</v>
      </c>
      <c r="B758">
        <v>67</v>
      </c>
    </row>
    <row r="759" spans="1:2" x14ac:dyDescent="0.3">
      <c r="A759" s="21">
        <v>45412.911111111112</v>
      </c>
      <c r="B759">
        <v>67</v>
      </c>
    </row>
    <row r="760" spans="1:2" x14ac:dyDescent="0.3">
      <c r="A760" s="21">
        <v>45412.911805555559</v>
      </c>
      <c r="B760">
        <v>66.7</v>
      </c>
    </row>
    <row r="761" spans="1:2" x14ac:dyDescent="0.3">
      <c r="A761" s="21">
        <v>45412.912499999999</v>
      </c>
      <c r="B761">
        <v>66.8</v>
      </c>
    </row>
    <row r="762" spans="1:2" x14ac:dyDescent="0.3">
      <c r="A762" s="21">
        <v>45412.913194444445</v>
      </c>
      <c r="B762">
        <v>67</v>
      </c>
    </row>
    <row r="763" spans="1:2" x14ac:dyDescent="0.3">
      <c r="A763" s="21">
        <v>45412.913888888892</v>
      </c>
      <c r="B763">
        <v>67.099999999999994</v>
      </c>
    </row>
    <row r="764" spans="1:2" x14ac:dyDescent="0.3">
      <c r="A764" s="21">
        <v>45412.914583333331</v>
      </c>
      <c r="B764">
        <v>67.2</v>
      </c>
    </row>
    <row r="765" spans="1:2" x14ac:dyDescent="0.3">
      <c r="A765" s="21">
        <v>45412.915277777778</v>
      </c>
      <c r="B765">
        <v>66.599999999999994</v>
      </c>
    </row>
    <row r="766" spans="1:2" x14ac:dyDescent="0.3">
      <c r="A766" s="21">
        <v>45412.915972222225</v>
      </c>
      <c r="B766">
        <v>66.5</v>
      </c>
    </row>
    <row r="767" spans="1:2" x14ac:dyDescent="0.3">
      <c r="A767" s="21">
        <v>45412.916666666664</v>
      </c>
      <c r="B767">
        <v>66.8</v>
      </c>
    </row>
    <row r="768" spans="1:2" x14ac:dyDescent="0.3">
      <c r="A768" s="21">
        <v>45412.917361111111</v>
      </c>
      <c r="B768">
        <v>66.7</v>
      </c>
    </row>
    <row r="769" spans="1:2" x14ac:dyDescent="0.3">
      <c r="A769" s="21">
        <v>45412.918055555558</v>
      </c>
      <c r="B769">
        <v>66.599999999999994</v>
      </c>
    </row>
    <row r="770" spans="1:2" x14ac:dyDescent="0.3">
      <c r="A770" s="21">
        <v>45412.918749999997</v>
      </c>
      <c r="B770">
        <v>66.599999999999994</v>
      </c>
    </row>
    <row r="771" spans="1:2" x14ac:dyDescent="0.3">
      <c r="A771" s="21">
        <v>45412.919444444444</v>
      </c>
      <c r="B771">
        <v>66.8</v>
      </c>
    </row>
    <row r="772" spans="1:2" x14ac:dyDescent="0.3">
      <c r="A772" s="21">
        <v>45412.920138888891</v>
      </c>
      <c r="B772">
        <v>66.900000000000006</v>
      </c>
    </row>
    <row r="773" spans="1:2" x14ac:dyDescent="0.3">
      <c r="A773" s="21">
        <v>45412.92083333333</v>
      </c>
      <c r="B773">
        <v>66.900000000000006</v>
      </c>
    </row>
    <row r="774" spans="1:2" x14ac:dyDescent="0.3">
      <c r="A774" s="21">
        <v>45412.921527777777</v>
      </c>
      <c r="B774">
        <v>66.7</v>
      </c>
    </row>
    <row r="775" spans="1:2" x14ac:dyDescent="0.3">
      <c r="A775" s="21">
        <v>45412.922222222223</v>
      </c>
      <c r="B775">
        <v>66.8</v>
      </c>
    </row>
    <row r="776" spans="1:2" x14ac:dyDescent="0.3">
      <c r="A776" s="21">
        <v>45412.92291666667</v>
      </c>
      <c r="B776">
        <v>67</v>
      </c>
    </row>
    <row r="777" spans="1:2" x14ac:dyDescent="0.3">
      <c r="A777" s="21">
        <v>45412.923611111109</v>
      </c>
      <c r="B777">
        <v>66.8</v>
      </c>
    </row>
    <row r="778" spans="1:2" x14ac:dyDescent="0.3">
      <c r="A778" s="21">
        <v>45412.924305555556</v>
      </c>
      <c r="B778">
        <v>66.5</v>
      </c>
    </row>
    <row r="779" spans="1:2" x14ac:dyDescent="0.3">
      <c r="A779" s="21">
        <v>45412.925000000003</v>
      </c>
      <c r="B779">
        <v>67.2</v>
      </c>
    </row>
    <row r="780" spans="1:2" x14ac:dyDescent="0.3">
      <c r="A780" s="21">
        <v>45412.925694444442</v>
      </c>
      <c r="B780">
        <v>67.099999999999994</v>
      </c>
    </row>
    <row r="781" spans="1:2" x14ac:dyDescent="0.3">
      <c r="A781" s="21">
        <v>45412.926388888889</v>
      </c>
      <c r="B781">
        <v>66.8</v>
      </c>
    </row>
    <row r="782" spans="1:2" x14ac:dyDescent="0.3">
      <c r="A782" s="21">
        <v>45412.927083333336</v>
      </c>
      <c r="B782">
        <v>66.900000000000006</v>
      </c>
    </row>
    <row r="783" spans="1:2" x14ac:dyDescent="0.3">
      <c r="A783" s="21">
        <v>45412.927777777775</v>
      </c>
      <c r="B783">
        <v>67</v>
      </c>
    </row>
    <row r="784" spans="1:2" x14ac:dyDescent="0.3">
      <c r="A784" s="21">
        <v>45412.928472222222</v>
      </c>
      <c r="B784">
        <v>66.7</v>
      </c>
    </row>
    <row r="785" spans="1:2" x14ac:dyDescent="0.3">
      <c r="A785" s="21">
        <v>45412.929166666669</v>
      </c>
      <c r="B785">
        <v>66.7</v>
      </c>
    </row>
    <row r="786" spans="1:2" x14ac:dyDescent="0.3">
      <c r="A786" s="21">
        <v>45412.929861111108</v>
      </c>
      <c r="B786">
        <v>66.900000000000006</v>
      </c>
    </row>
    <row r="787" spans="1:2" x14ac:dyDescent="0.3">
      <c r="A787" s="21">
        <v>45412.930555555555</v>
      </c>
      <c r="B787">
        <v>66.900000000000006</v>
      </c>
    </row>
    <row r="788" spans="1:2" x14ac:dyDescent="0.3">
      <c r="A788" s="21">
        <v>45412.931250000001</v>
      </c>
      <c r="B788">
        <v>66.8</v>
      </c>
    </row>
    <row r="789" spans="1:2" x14ac:dyDescent="0.3">
      <c r="A789" s="21">
        <v>45412.931944444441</v>
      </c>
      <c r="B789">
        <v>66.7</v>
      </c>
    </row>
    <row r="790" spans="1:2" x14ac:dyDescent="0.3">
      <c r="A790" s="21">
        <v>45412.932638888888</v>
      </c>
      <c r="B790">
        <v>67.099999999999994</v>
      </c>
    </row>
    <row r="791" spans="1:2" x14ac:dyDescent="0.3">
      <c r="A791" s="21">
        <v>45412.933333333334</v>
      </c>
      <c r="B791">
        <v>67.099999999999994</v>
      </c>
    </row>
    <row r="792" spans="1:2" x14ac:dyDescent="0.3">
      <c r="A792" s="21">
        <v>45412.934027777781</v>
      </c>
      <c r="B792">
        <v>66.599999999999994</v>
      </c>
    </row>
    <row r="793" spans="1:2" x14ac:dyDescent="0.3">
      <c r="A793" s="21">
        <v>45412.93472222222</v>
      </c>
      <c r="B793">
        <v>66.7</v>
      </c>
    </row>
    <row r="794" spans="1:2" x14ac:dyDescent="0.3">
      <c r="A794" s="21">
        <v>45412.935416666667</v>
      </c>
      <c r="B794">
        <v>66.599999999999994</v>
      </c>
    </row>
    <row r="795" spans="1:2" x14ac:dyDescent="0.3">
      <c r="A795" s="21">
        <v>45412.936111111114</v>
      </c>
      <c r="B795">
        <v>66.599999999999994</v>
      </c>
    </row>
    <row r="796" spans="1:2" x14ac:dyDescent="0.3">
      <c r="A796" s="21">
        <v>45412.936805555553</v>
      </c>
      <c r="B796">
        <v>66.900000000000006</v>
      </c>
    </row>
    <row r="797" spans="1:2" x14ac:dyDescent="0.3">
      <c r="A797" s="21">
        <v>45412.9375</v>
      </c>
      <c r="B797">
        <v>67.099999999999994</v>
      </c>
    </row>
    <row r="798" spans="1:2" x14ac:dyDescent="0.3">
      <c r="A798" s="21">
        <v>45412.938194444447</v>
      </c>
      <c r="B798">
        <v>66.7</v>
      </c>
    </row>
    <row r="799" spans="1:2" x14ac:dyDescent="0.3">
      <c r="A799" s="21">
        <v>45412.938888888886</v>
      </c>
      <c r="B799">
        <v>66.8</v>
      </c>
    </row>
    <row r="800" spans="1:2" x14ac:dyDescent="0.3">
      <c r="A800" s="21">
        <v>45412.939583333333</v>
      </c>
      <c r="B800">
        <v>66.7</v>
      </c>
    </row>
    <row r="801" spans="1:2" x14ac:dyDescent="0.3">
      <c r="A801" s="21">
        <v>45412.94027777778</v>
      </c>
      <c r="B801">
        <v>66.8</v>
      </c>
    </row>
    <row r="802" spans="1:2" x14ac:dyDescent="0.3">
      <c r="A802" s="21">
        <v>45412.940972222219</v>
      </c>
      <c r="B802">
        <v>66.599999999999994</v>
      </c>
    </row>
    <row r="803" spans="1:2" x14ac:dyDescent="0.3">
      <c r="A803" s="21">
        <v>45412.941666666666</v>
      </c>
      <c r="B803">
        <v>66.7</v>
      </c>
    </row>
    <row r="804" spans="1:2" x14ac:dyDescent="0.3">
      <c r="A804" s="21">
        <v>45412.942361111112</v>
      </c>
      <c r="B804">
        <v>66.8</v>
      </c>
    </row>
    <row r="805" spans="1:2" x14ac:dyDescent="0.3">
      <c r="A805" s="21">
        <v>45412.943055555559</v>
      </c>
      <c r="B805">
        <v>66.599999999999994</v>
      </c>
    </row>
    <row r="806" spans="1:2" x14ac:dyDescent="0.3">
      <c r="A806" s="21">
        <v>45412.943749999999</v>
      </c>
      <c r="B806">
        <v>67</v>
      </c>
    </row>
    <row r="807" spans="1:2" x14ac:dyDescent="0.3">
      <c r="A807" s="21">
        <v>45412.944444444445</v>
      </c>
      <c r="B807">
        <v>66.7</v>
      </c>
    </row>
    <row r="808" spans="1:2" x14ac:dyDescent="0.3">
      <c r="A808" s="21">
        <v>45412.945138888892</v>
      </c>
      <c r="B808">
        <v>66.900000000000006</v>
      </c>
    </row>
    <row r="809" spans="1:2" x14ac:dyDescent="0.3">
      <c r="A809" s="21">
        <v>45412.945833333331</v>
      </c>
      <c r="B809">
        <v>66.7</v>
      </c>
    </row>
    <row r="810" spans="1:2" x14ac:dyDescent="0.3">
      <c r="A810" s="21">
        <v>45412.946527777778</v>
      </c>
      <c r="B810">
        <v>66.7</v>
      </c>
    </row>
    <row r="811" spans="1:2" x14ac:dyDescent="0.3">
      <c r="A811" s="21">
        <v>45412.947222222225</v>
      </c>
      <c r="B811">
        <v>66.5</v>
      </c>
    </row>
    <row r="812" spans="1:2" x14ac:dyDescent="0.3">
      <c r="A812" s="21">
        <v>45412.947916666664</v>
      </c>
      <c r="B812">
        <v>66.599999999999994</v>
      </c>
    </row>
    <row r="813" spans="1:2" x14ac:dyDescent="0.3">
      <c r="A813" s="21">
        <v>45412.948611111111</v>
      </c>
      <c r="B813">
        <v>66.7</v>
      </c>
    </row>
    <row r="814" spans="1:2" x14ac:dyDescent="0.3">
      <c r="A814" s="21">
        <v>45412.949305555558</v>
      </c>
      <c r="B814">
        <v>66.599999999999994</v>
      </c>
    </row>
    <row r="815" spans="1:2" x14ac:dyDescent="0.3">
      <c r="A815" s="21">
        <v>45412.95</v>
      </c>
      <c r="B815">
        <v>66.599999999999994</v>
      </c>
    </row>
    <row r="816" spans="1:2" x14ac:dyDescent="0.3">
      <c r="A816" s="21">
        <v>45412.950694444444</v>
      </c>
      <c r="B816">
        <v>66.7</v>
      </c>
    </row>
    <row r="817" spans="1:2" x14ac:dyDescent="0.3">
      <c r="A817" s="21">
        <v>45412.951388888891</v>
      </c>
      <c r="B817">
        <v>66.8</v>
      </c>
    </row>
    <row r="818" spans="1:2" x14ac:dyDescent="0.3">
      <c r="A818" s="21">
        <v>45412.95208333333</v>
      </c>
      <c r="B818">
        <v>66.8</v>
      </c>
    </row>
    <row r="819" spans="1:2" x14ac:dyDescent="0.3">
      <c r="A819" s="21">
        <v>45412.952777777777</v>
      </c>
      <c r="B819">
        <v>66.900000000000006</v>
      </c>
    </row>
    <row r="820" spans="1:2" x14ac:dyDescent="0.3">
      <c r="A820" s="21">
        <v>45412.953472222223</v>
      </c>
      <c r="B820">
        <v>66.900000000000006</v>
      </c>
    </row>
    <row r="821" spans="1:2" x14ac:dyDescent="0.3">
      <c r="A821" s="21">
        <v>45412.95416666667</v>
      </c>
      <c r="B821">
        <v>66.5</v>
      </c>
    </row>
    <row r="822" spans="1:2" x14ac:dyDescent="0.3">
      <c r="A822" s="21">
        <v>45412.954861111109</v>
      </c>
      <c r="B822">
        <v>66.8</v>
      </c>
    </row>
    <row r="823" spans="1:2" x14ac:dyDescent="0.3">
      <c r="A823" s="21">
        <v>45412.955555555556</v>
      </c>
      <c r="B823">
        <v>66.599999999999994</v>
      </c>
    </row>
    <row r="824" spans="1:2" x14ac:dyDescent="0.3">
      <c r="A824" s="21">
        <v>45412.956250000003</v>
      </c>
      <c r="B824">
        <v>66.599999999999994</v>
      </c>
    </row>
    <row r="825" spans="1:2" x14ac:dyDescent="0.3">
      <c r="A825" s="21">
        <v>45412.956944444442</v>
      </c>
      <c r="B825">
        <v>66.599999999999994</v>
      </c>
    </row>
    <row r="826" spans="1:2" x14ac:dyDescent="0.3">
      <c r="A826" s="21">
        <v>45412.957638888889</v>
      </c>
      <c r="B826">
        <v>66.5</v>
      </c>
    </row>
    <row r="827" spans="1:2" x14ac:dyDescent="0.3">
      <c r="A827" s="21">
        <v>45412.958333333336</v>
      </c>
      <c r="B827">
        <v>66.7</v>
      </c>
    </row>
    <row r="828" spans="1:2" x14ac:dyDescent="0.3">
      <c r="A828" s="21">
        <v>45412.959027777775</v>
      </c>
      <c r="B828">
        <v>66.5</v>
      </c>
    </row>
    <row r="829" spans="1:2" x14ac:dyDescent="0.3">
      <c r="A829" s="21">
        <v>45412.959722222222</v>
      </c>
      <c r="B829">
        <v>66.900000000000006</v>
      </c>
    </row>
    <row r="830" spans="1:2" x14ac:dyDescent="0.3">
      <c r="A830" s="21">
        <v>45412.960416666669</v>
      </c>
      <c r="B830">
        <v>66.8</v>
      </c>
    </row>
    <row r="831" spans="1:2" x14ac:dyDescent="0.3">
      <c r="A831" s="21">
        <v>45412.961111111108</v>
      </c>
      <c r="B831">
        <v>66.7</v>
      </c>
    </row>
    <row r="832" spans="1:2" x14ac:dyDescent="0.3">
      <c r="A832" s="21">
        <v>45412.961805555555</v>
      </c>
      <c r="B832">
        <v>66.900000000000006</v>
      </c>
    </row>
    <row r="833" spans="1:2" x14ac:dyDescent="0.3">
      <c r="A833" s="21">
        <v>45412.962500000001</v>
      </c>
      <c r="B833">
        <v>67.099999999999994</v>
      </c>
    </row>
    <row r="834" spans="1:2" x14ac:dyDescent="0.3">
      <c r="A834" s="21">
        <v>45412.963194444441</v>
      </c>
      <c r="B834">
        <v>66.8</v>
      </c>
    </row>
    <row r="835" spans="1:2" x14ac:dyDescent="0.3">
      <c r="A835" s="21">
        <v>45412.963888888888</v>
      </c>
      <c r="B835">
        <v>66.5</v>
      </c>
    </row>
    <row r="836" spans="1:2" x14ac:dyDescent="0.3">
      <c r="A836" s="21">
        <v>45412.964583333334</v>
      </c>
      <c r="B836">
        <v>66.7</v>
      </c>
    </row>
    <row r="837" spans="1:2" x14ac:dyDescent="0.3">
      <c r="A837" s="21">
        <v>45412.965277777781</v>
      </c>
      <c r="B837">
        <v>66.599999999999994</v>
      </c>
    </row>
    <row r="838" spans="1:2" x14ac:dyDescent="0.3">
      <c r="A838" s="21">
        <v>45412.96597222222</v>
      </c>
      <c r="B838">
        <v>66.400000000000006</v>
      </c>
    </row>
    <row r="839" spans="1:2" x14ac:dyDescent="0.3">
      <c r="A839" s="21">
        <v>45412.966666666667</v>
      </c>
      <c r="B839">
        <v>66.900000000000006</v>
      </c>
    </row>
    <row r="840" spans="1:2" x14ac:dyDescent="0.3">
      <c r="A840" s="21">
        <v>45412.967361111114</v>
      </c>
      <c r="B840">
        <v>66.5</v>
      </c>
    </row>
    <row r="841" spans="1:2" x14ac:dyDescent="0.3">
      <c r="A841" s="21">
        <v>45412.968055555553</v>
      </c>
      <c r="B841">
        <v>67.099999999999994</v>
      </c>
    </row>
    <row r="842" spans="1:2" x14ac:dyDescent="0.3">
      <c r="A842" s="21">
        <v>45412.96875</v>
      </c>
      <c r="B842">
        <v>66.8</v>
      </c>
    </row>
    <row r="843" spans="1:2" x14ac:dyDescent="0.3">
      <c r="A843" s="21">
        <v>45412.969444444447</v>
      </c>
      <c r="B843">
        <v>66.900000000000006</v>
      </c>
    </row>
    <row r="844" spans="1:2" x14ac:dyDescent="0.3">
      <c r="A844" s="21">
        <v>45412.970138888886</v>
      </c>
      <c r="B844">
        <v>67.2</v>
      </c>
    </row>
    <row r="845" spans="1:2" x14ac:dyDescent="0.3">
      <c r="A845" s="21">
        <v>45412.970833333333</v>
      </c>
      <c r="B845">
        <v>66.5</v>
      </c>
    </row>
    <row r="846" spans="1:2" x14ac:dyDescent="0.3">
      <c r="A846" s="21">
        <v>45412.97152777778</v>
      </c>
      <c r="B846">
        <v>66.7</v>
      </c>
    </row>
    <row r="847" spans="1:2" x14ac:dyDescent="0.3">
      <c r="A847" s="21">
        <v>45412.972222222219</v>
      </c>
      <c r="B847">
        <v>66.8</v>
      </c>
    </row>
    <row r="848" spans="1:2" x14ac:dyDescent="0.3">
      <c r="A848" s="21">
        <v>45412.972916666666</v>
      </c>
      <c r="B848">
        <v>66.8</v>
      </c>
    </row>
    <row r="849" spans="1:2" x14ac:dyDescent="0.3">
      <c r="A849" s="21">
        <v>45412.973611111112</v>
      </c>
      <c r="B849">
        <v>67.099999999999994</v>
      </c>
    </row>
    <row r="850" spans="1:2" x14ac:dyDescent="0.3">
      <c r="A850" s="21">
        <v>45412.974305555559</v>
      </c>
      <c r="B850">
        <v>67</v>
      </c>
    </row>
    <row r="851" spans="1:2" x14ac:dyDescent="0.3">
      <c r="A851" s="21">
        <v>45412.974999999999</v>
      </c>
      <c r="B851">
        <v>67.099999999999994</v>
      </c>
    </row>
    <row r="852" spans="1:2" x14ac:dyDescent="0.3">
      <c r="A852" s="21">
        <v>45412.975694444445</v>
      </c>
      <c r="B852">
        <v>67.099999999999994</v>
      </c>
    </row>
    <row r="853" spans="1:2" x14ac:dyDescent="0.3">
      <c r="A853" s="21">
        <v>45412.976388888892</v>
      </c>
      <c r="B853">
        <v>67.099999999999994</v>
      </c>
    </row>
    <row r="854" spans="1:2" x14ac:dyDescent="0.3">
      <c r="A854" s="21">
        <v>45412.977083333331</v>
      </c>
      <c r="B854">
        <v>67.5</v>
      </c>
    </row>
    <row r="855" spans="1:2" x14ac:dyDescent="0.3">
      <c r="A855" s="21">
        <v>45412.977777777778</v>
      </c>
      <c r="B855">
        <v>66.900000000000006</v>
      </c>
    </row>
    <row r="856" spans="1:2" x14ac:dyDescent="0.3">
      <c r="A856" s="21">
        <v>45412.978472222225</v>
      </c>
      <c r="B856">
        <v>66.8</v>
      </c>
    </row>
    <row r="857" spans="1:2" x14ac:dyDescent="0.3">
      <c r="A857" s="21">
        <v>45412.979166666664</v>
      </c>
      <c r="B857">
        <v>67.099999999999994</v>
      </c>
    </row>
    <row r="858" spans="1:2" x14ac:dyDescent="0.3">
      <c r="A858" s="21">
        <v>45412.979861111111</v>
      </c>
      <c r="B858">
        <v>67.2</v>
      </c>
    </row>
    <row r="859" spans="1:2" x14ac:dyDescent="0.3">
      <c r="A859" s="21">
        <v>45412.980555555558</v>
      </c>
      <c r="B859">
        <v>67.099999999999994</v>
      </c>
    </row>
    <row r="860" spans="1:2" x14ac:dyDescent="0.3">
      <c r="A860" s="21">
        <v>45412.981249999997</v>
      </c>
      <c r="B860">
        <v>67.099999999999994</v>
      </c>
    </row>
    <row r="861" spans="1:2" x14ac:dyDescent="0.3">
      <c r="A861" s="21">
        <v>45412.981944444444</v>
      </c>
      <c r="B861">
        <v>67.599999999999994</v>
      </c>
    </row>
    <row r="862" spans="1:2" x14ac:dyDescent="0.3">
      <c r="A862" s="21">
        <v>45412.982638888891</v>
      </c>
      <c r="B862">
        <v>67.3</v>
      </c>
    </row>
    <row r="863" spans="1:2" x14ac:dyDescent="0.3">
      <c r="A863" s="21">
        <v>45412.98333333333</v>
      </c>
      <c r="B863">
        <v>67.099999999999994</v>
      </c>
    </row>
    <row r="864" spans="1:2" x14ac:dyDescent="0.3">
      <c r="A864" s="21">
        <v>45412.984027777777</v>
      </c>
      <c r="B864">
        <v>66.900000000000006</v>
      </c>
    </row>
    <row r="865" spans="1:2" x14ac:dyDescent="0.3">
      <c r="A865" s="21">
        <v>45412.984722222223</v>
      </c>
      <c r="B865">
        <v>69.8</v>
      </c>
    </row>
    <row r="866" spans="1:2" x14ac:dyDescent="0.3">
      <c r="A866" s="21">
        <v>45412.98541666667</v>
      </c>
      <c r="B866">
        <v>75.7</v>
      </c>
    </row>
    <row r="867" spans="1:2" x14ac:dyDescent="0.3">
      <c r="A867" s="21">
        <v>45412.986111111109</v>
      </c>
      <c r="B867">
        <v>75.400000000000006</v>
      </c>
    </row>
    <row r="868" spans="1:2" x14ac:dyDescent="0.3">
      <c r="A868" s="21">
        <v>45412.986805555556</v>
      </c>
      <c r="B868">
        <v>76</v>
      </c>
    </row>
    <row r="869" spans="1:2" x14ac:dyDescent="0.3">
      <c r="A869" s="21">
        <v>45412.987500000003</v>
      </c>
      <c r="B869">
        <v>75.900000000000006</v>
      </c>
    </row>
    <row r="870" spans="1:2" x14ac:dyDescent="0.3">
      <c r="A870" s="21">
        <v>45412.988194444442</v>
      </c>
      <c r="B870">
        <v>75.8</v>
      </c>
    </row>
    <row r="871" spans="1:2" x14ac:dyDescent="0.3">
      <c r="A871" s="21">
        <v>45412.988888888889</v>
      </c>
      <c r="B871">
        <v>75.900000000000006</v>
      </c>
    </row>
    <row r="872" spans="1:2" x14ac:dyDescent="0.3">
      <c r="A872" s="21">
        <v>45412.989583333336</v>
      </c>
      <c r="B872">
        <v>76.3</v>
      </c>
    </row>
    <row r="873" spans="1:2" x14ac:dyDescent="0.3">
      <c r="A873" s="21">
        <v>45412.990277777775</v>
      </c>
      <c r="B873">
        <v>76</v>
      </c>
    </row>
    <row r="874" spans="1:2" x14ac:dyDescent="0.3">
      <c r="A874" s="21">
        <v>45412.990972222222</v>
      </c>
      <c r="B874">
        <v>75.900000000000006</v>
      </c>
    </row>
    <row r="875" spans="1:2" x14ac:dyDescent="0.3">
      <c r="A875" s="21">
        <v>45412.991666666669</v>
      </c>
      <c r="B875">
        <v>75.599999999999994</v>
      </c>
    </row>
    <row r="876" spans="1:2" x14ac:dyDescent="0.3">
      <c r="A876" s="21">
        <v>45412.992361111108</v>
      </c>
      <c r="B876">
        <v>75.599999999999994</v>
      </c>
    </row>
    <row r="877" spans="1:2" x14ac:dyDescent="0.3">
      <c r="A877" s="21">
        <v>45412.993055555555</v>
      </c>
      <c r="B877">
        <v>75.5</v>
      </c>
    </row>
    <row r="878" spans="1:2" x14ac:dyDescent="0.3">
      <c r="A878" s="21">
        <v>45412.993750000001</v>
      </c>
      <c r="B878">
        <v>75.599999999999994</v>
      </c>
    </row>
    <row r="879" spans="1:2" x14ac:dyDescent="0.3">
      <c r="A879" s="21">
        <v>45412.994444444441</v>
      </c>
      <c r="B879">
        <v>75.599999999999994</v>
      </c>
    </row>
    <row r="880" spans="1:2" x14ac:dyDescent="0.3">
      <c r="A880" s="21">
        <v>45412.995138888888</v>
      </c>
      <c r="B880">
        <v>75.7</v>
      </c>
    </row>
    <row r="881" spans="1:2" x14ac:dyDescent="0.3">
      <c r="A881" s="21">
        <v>45412.995833333334</v>
      </c>
      <c r="B881">
        <v>75.2</v>
      </c>
    </row>
    <row r="882" spans="1:2" x14ac:dyDescent="0.3">
      <c r="A882" s="21">
        <v>45412.996527777781</v>
      </c>
      <c r="B882">
        <v>75.400000000000006</v>
      </c>
    </row>
    <row r="883" spans="1:2" x14ac:dyDescent="0.3">
      <c r="A883" s="21">
        <v>45412.99722222222</v>
      </c>
      <c r="B883">
        <v>75.2</v>
      </c>
    </row>
    <row r="884" spans="1:2" x14ac:dyDescent="0.3">
      <c r="A884" s="21">
        <v>45412.997916666667</v>
      </c>
      <c r="B884">
        <v>75.7</v>
      </c>
    </row>
    <row r="885" spans="1:2" x14ac:dyDescent="0.3">
      <c r="A885" s="21">
        <v>45412.998611111114</v>
      </c>
      <c r="B885">
        <v>75.2</v>
      </c>
    </row>
    <row r="886" spans="1:2" x14ac:dyDescent="0.3">
      <c r="A886" s="21">
        <v>45412.999305555553</v>
      </c>
      <c r="B886">
        <v>75.400000000000006</v>
      </c>
    </row>
    <row r="887" spans="1:2" x14ac:dyDescent="0.3">
      <c r="A887" s="21">
        <v>45413</v>
      </c>
      <c r="B887">
        <v>75.400000000000006</v>
      </c>
    </row>
    <row r="888" spans="1:2" x14ac:dyDescent="0.3">
      <c r="A888" s="21">
        <v>45413.000694444447</v>
      </c>
      <c r="B888">
        <v>75</v>
      </c>
    </row>
    <row r="889" spans="1:2" x14ac:dyDescent="0.3">
      <c r="A889" s="21">
        <v>45413.001388888886</v>
      </c>
      <c r="B889">
        <v>75.5</v>
      </c>
    </row>
    <row r="890" spans="1:2" x14ac:dyDescent="0.3">
      <c r="A890" s="21">
        <v>45413.002083333333</v>
      </c>
      <c r="B890">
        <v>74.900000000000006</v>
      </c>
    </row>
    <row r="891" spans="1:2" x14ac:dyDescent="0.3">
      <c r="A891" s="21">
        <v>45413.00277777778</v>
      </c>
      <c r="B891">
        <v>75</v>
      </c>
    </row>
    <row r="892" spans="1:2" x14ac:dyDescent="0.3">
      <c r="A892" s="21">
        <v>45413.003472222219</v>
      </c>
      <c r="B892">
        <v>74.900000000000006</v>
      </c>
    </row>
    <row r="893" spans="1:2" x14ac:dyDescent="0.3">
      <c r="A893" s="21">
        <v>45413.004166666666</v>
      </c>
      <c r="B893">
        <v>75.3</v>
      </c>
    </row>
    <row r="894" spans="1:2" x14ac:dyDescent="0.3">
      <c r="A894" s="21">
        <v>45413.004861111112</v>
      </c>
      <c r="B894">
        <v>74.900000000000006</v>
      </c>
    </row>
    <row r="895" spans="1:2" x14ac:dyDescent="0.3">
      <c r="A895" s="21">
        <v>45413.005555555559</v>
      </c>
      <c r="B895">
        <v>75</v>
      </c>
    </row>
    <row r="896" spans="1:2" x14ac:dyDescent="0.3">
      <c r="A896" s="21">
        <v>45413.006249999999</v>
      </c>
      <c r="B896">
        <v>74.7</v>
      </c>
    </row>
    <row r="897" spans="1:2" x14ac:dyDescent="0.3">
      <c r="A897" s="21">
        <v>45413.006944444445</v>
      </c>
      <c r="B897">
        <v>75</v>
      </c>
    </row>
    <row r="898" spans="1:2" x14ac:dyDescent="0.3">
      <c r="A898" s="21">
        <v>45413.007638888892</v>
      </c>
      <c r="B898">
        <v>75</v>
      </c>
    </row>
    <row r="899" spans="1:2" x14ac:dyDescent="0.3">
      <c r="A899" s="21">
        <v>45413.008333333331</v>
      </c>
      <c r="B899">
        <v>75</v>
      </c>
    </row>
    <row r="900" spans="1:2" x14ac:dyDescent="0.3">
      <c r="A900" s="21">
        <v>45413.009027777778</v>
      </c>
      <c r="B900">
        <v>74.7</v>
      </c>
    </row>
    <row r="901" spans="1:2" x14ac:dyDescent="0.3">
      <c r="A901" s="21">
        <v>45413.009722222225</v>
      </c>
      <c r="B901">
        <v>74.900000000000006</v>
      </c>
    </row>
    <row r="902" spans="1:2" x14ac:dyDescent="0.3">
      <c r="A902" s="21">
        <v>45413.010416666664</v>
      </c>
      <c r="B902">
        <v>75.099999999999994</v>
      </c>
    </row>
    <row r="903" spans="1:2" x14ac:dyDescent="0.3">
      <c r="A903" s="21">
        <v>45413.011111111111</v>
      </c>
      <c r="B903">
        <v>74.900000000000006</v>
      </c>
    </row>
    <row r="904" spans="1:2" x14ac:dyDescent="0.3">
      <c r="A904" s="21">
        <v>45413.011805555558</v>
      </c>
      <c r="B904">
        <v>75.099999999999994</v>
      </c>
    </row>
    <row r="905" spans="1:2" x14ac:dyDescent="0.3">
      <c r="A905" s="21">
        <v>45413.012499999997</v>
      </c>
      <c r="B905">
        <v>74.900000000000006</v>
      </c>
    </row>
    <row r="906" spans="1:2" x14ac:dyDescent="0.3">
      <c r="A906" s="21">
        <v>45413.013194444444</v>
      </c>
      <c r="B906">
        <v>74.900000000000006</v>
      </c>
    </row>
    <row r="907" spans="1:2" x14ac:dyDescent="0.3">
      <c r="A907" s="21">
        <v>45413.013888888891</v>
      </c>
      <c r="B907">
        <v>74.900000000000006</v>
      </c>
    </row>
    <row r="908" spans="1:2" x14ac:dyDescent="0.3">
      <c r="A908" s="21">
        <v>45413.01458333333</v>
      </c>
      <c r="B908">
        <v>75.099999999999994</v>
      </c>
    </row>
    <row r="909" spans="1:2" x14ac:dyDescent="0.3">
      <c r="A909" s="21">
        <v>45413.015277777777</v>
      </c>
      <c r="B909">
        <v>74.8</v>
      </c>
    </row>
    <row r="910" spans="1:2" x14ac:dyDescent="0.3">
      <c r="A910" s="21">
        <v>45413.015972222223</v>
      </c>
      <c r="B910">
        <v>75.2</v>
      </c>
    </row>
    <row r="911" spans="1:2" x14ac:dyDescent="0.3">
      <c r="A911" s="21">
        <v>45413.01666666667</v>
      </c>
      <c r="B911">
        <v>74.8</v>
      </c>
    </row>
    <row r="912" spans="1:2" x14ac:dyDescent="0.3">
      <c r="A912" s="21">
        <v>45413.017361111109</v>
      </c>
      <c r="B912">
        <v>75.2</v>
      </c>
    </row>
    <row r="913" spans="1:2" x14ac:dyDescent="0.3">
      <c r="A913" s="21">
        <v>45413.018055555556</v>
      </c>
      <c r="B913">
        <v>74.8</v>
      </c>
    </row>
    <row r="914" spans="1:2" x14ac:dyDescent="0.3">
      <c r="A914" s="21">
        <v>45413.018750000003</v>
      </c>
      <c r="B914">
        <v>75.2</v>
      </c>
    </row>
    <row r="915" spans="1:2" x14ac:dyDescent="0.3">
      <c r="A915" s="21">
        <v>45413.019444444442</v>
      </c>
      <c r="B915">
        <v>74.8</v>
      </c>
    </row>
    <row r="916" spans="1:2" x14ac:dyDescent="0.3">
      <c r="A916" s="21">
        <v>45413.020138888889</v>
      </c>
      <c r="B916">
        <v>74.900000000000006</v>
      </c>
    </row>
    <row r="917" spans="1:2" x14ac:dyDescent="0.3">
      <c r="A917" s="21">
        <v>45413.020833333336</v>
      </c>
      <c r="B917">
        <v>74.7</v>
      </c>
    </row>
    <row r="918" spans="1:2" x14ac:dyDescent="0.3">
      <c r="A918" s="21">
        <v>45413.021527777775</v>
      </c>
      <c r="B918">
        <v>75.400000000000006</v>
      </c>
    </row>
    <row r="919" spans="1:2" x14ac:dyDescent="0.3">
      <c r="A919" s="21">
        <v>45413.022222222222</v>
      </c>
      <c r="B919">
        <v>74.900000000000006</v>
      </c>
    </row>
    <row r="920" spans="1:2" x14ac:dyDescent="0.3">
      <c r="A920" s="21">
        <v>45413.022916666669</v>
      </c>
      <c r="B920">
        <v>74.599999999999994</v>
      </c>
    </row>
    <row r="921" spans="1:2" x14ac:dyDescent="0.3">
      <c r="A921" s="21">
        <v>45413.023611111108</v>
      </c>
      <c r="B921">
        <v>75</v>
      </c>
    </row>
    <row r="922" spans="1:2" x14ac:dyDescent="0.3">
      <c r="A922" s="21">
        <v>45413.024305555555</v>
      </c>
      <c r="B922">
        <v>75.3</v>
      </c>
    </row>
    <row r="923" spans="1:2" x14ac:dyDescent="0.3">
      <c r="A923" s="21">
        <v>45413.025000000001</v>
      </c>
      <c r="B923">
        <v>74.7</v>
      </c>
    </row>
    <row r="924" spans="1:2" x14ac:dyDescent="0.3">
      <c r="A924" s="21">
        <v>45413.025694444441</v>
      </c>
      <c r="B924">
        <v>75.099999999999994</v>
      </c>
    </row>
    <row r="925" spans="1:2" x14ac:dyDescent="0.3">
      <c r="A925" s="21">
        <v>45413.026388888888</v>
      </c>
      <c r="B925">
        <v>74.8</v>
      </c>
    </row>
    <row r="926" spans="1:2" x14ac:dyDescent="0.3">
      <c r="A926" s="21">
        <v>45413.027083333334</v>
      </c>
      <c r="B926">
        <v>75</v>
      </c>
    </row>
    <row r="927" spans="1:2" x14ac:dyDescent="0.3">
      <c r="A927" s="21">
        <v>45413.027777777781</v>
      </c>
      <c r="B927">
        <v>75.099999999999994</v>
      </c>
    </row>
    <row r="928" spans="1:2" x14ac:dyDescent="0.3">
      <c r="A928" s="21">
        <v>45413.02847222222</v>
      </c>
      <c r="B928">
        <v>75.099999999999994</v>
      </c>
    </row>
    <row r="929" spans="1:2" x14ac:dyDescent="0.3">
      <c r="A929" s="21">
        <v>45413.029166666667</v>
      </c>
      <c r="B929">
        <v>75.099999999999994</v>
      </c>
    </row>
    <row r="930" spans="1:2" x14ac:dyDescent="0.3">
      <c r="A930" s="21">
        <v>45413.029861111114</v>
      </c>
      <c r="B930">
        <v>75.400000000000006</v>
      </c>
    </row>
    <row r="931" spans="1:2" x14ac:dyDescent="0.3">
      <c r="A931" s="21">
        <v>45413.030555555553</v>
      </c>
      <c r="B931">
        <v>75.2</v>
      </c>
    </row>
    <row r="932" spans="1:2" x14ac:dyDescent="0.3">
      <c r="A932" s="21">
        <v>45413.03125</v>
      </c>
      <c r="B932">
        <v>74.900000000000006</v>
      </c>
    </row>
    <row r="933" spans="1:2" x14ac:dyDescent="0.3">
      <c r="A933" s="21">
        <v>45413.031944444447</v>
      </c>
      <c r="B933">
        <v>74.8</v>
      </c>
    </row>
    <row r="934" spans="1:2" x14ac:dyDescent="0.3">
      <c r="A934" s="21">
        <v>45413.032638888886</v>
      </c>
      <c r="B934">
        <v>75.2</v>
      </c>
    </row>
    <row r="935" spans="1:2" x14ac:dyDescent="0.3">
      <c r="A935" s="21">
        <v>45413.033333333333</v>
      </c>
      <c r="B935">
        <v>74.900000000000006</v>
      </c>
    </row>
    <row r="936" spans="1:2" x14ac:dyDescent="0.3">
      <c r="A936" s="21">
        <v>45413.03402777778</v>
      </c>
      <c r="B936">
        <v>74.8</v>
      </c>
    </row>
    <row r="937" spans="1:2" x14ac:dyDescent="0.3">
      <c r="A937" s="21">
        <v>45413.034722222219</v>
      </c>
      <c r="B937">
        <v>74.900000000000006</v>
      </c>
    </row>
    <row r="938" spans="1:2" x14ac:dyDescent="0.3">
      <c r="A938" s="21">
        <v>45413.035416666666</v>
      </c>
      <c r="B938">
        <v>74.599999999999994</v>
      </c>
    </row>
    <row r="939" spans="1:2" x14ac:dyDescent="0.3">
      <c r="A939" s="21">
        <v>45413.036111111112</v>
      </c>
      <c r="B939">
        <v>74.900000000000006</v>
      </c>
    </row>
    <row r="940" spans="1:2" x14ac:dyDescent="0.3">
      <c r="A940" s="21">
        <v>45413.036805555559</v>
      </c>
      <c r="B940">
        <v>74.8</v>
      </c>
    </row>
    <row r="941" spans="1:2" x14ac:dyDescent="0.3">
      <c r="A941" s="21">
        <v>45413.037499999999</v>
      </c>
      <c r="B941">
        <v>75.099999999999994</v>
      </c>
    </row>
    <row r="942" spans="1:2" x14ac:dyDescent="0.3">
      <c r="A942" s="21">
        <v>45413.038194444445</v>
      </c>
      <c r="B942">
        <v>75</v>
      </c>
    </row>
    <row r="943" spans="1:2" x14ac:dyDescent="0.3">
      <c r="A943" s="21">
        <v>45413.038888888892</v>
      </c>
      <c r="B943">
        <v>74.7</v>
      </c>
    </row>
    <row r="944" spans="1:2" x14ac:dyDescent="0.3">
      <c r="A944" s="21">
        <v>45413.039583333331</v>
      </c>
      <c r="B944">
        <v>75.099999999999994</v>
      </c>
    </row>
    <row r="945" spans="1:2" x14ac:dyDescent="0.3">
      <c r="A945" s="21">
        <v>45413.040277777778</v>
      </c>
      <c r="B945">
        <v>74.900000000000006</v>
      </c>
    </row>
    <row r="946" spans="1:2" x14ac:dyDescent="0.3">
      <c r="A946" s="21">
        <v>45413.040972222225</v>
      </c>
      <c r="B946">
        <v>74.5</v>
      </c>
    </row>
    <row r="947" spans="1:2" x14ac:dyDescent="0.3">
      <c r="A947" s="21">
        <v>45413.041666666664</v>
      </c>
      <c r="B947">
        <v>75</v>
      </c>
    </row>
    <row r="948" spans="1:2" x14ac:dyDescent="0.3">
      <c r="A948" s="21">
        <v>45413.042361111111</v>
      </c>
      <c r="B948">
        <v>74.8</v>
      </c>
    </row>
    <row r="949" spans="1:2" x14ac:dyDescent="0.3">
      <c r="A949" s="21">
        <v>45413.043055555558</v>
      </c>
      <c r="B949">
        <v>74.7</v>
      </c>
    </row>
    <row r="950" spans="1:2" x14ac:dyDescent="0.3">
      <c r="A950" s="21">
        <v>45413.043749999997</v>
      </c>
      <c r="B950">
        <v>74.5</v>
      </c>
    </row>
    <row r="951" spans="1:2" x14ac:dyDescent="0.3">
      <c r="A951" s="21">
        <v>45413.044444444444</v>
      </c>
      <c r="B951">
        <v>74.8</v>
      </c>
    </row>
    <row r="952" spans="1:2" x14ac:dyDescent="0.3">
      <c r="A952" s="21">
        <v>45413.045138888891</v>
      </c>
      <c r="B952">
        <v>74.8</v>
      </c>
    </row>
    <row r="953" spans="1:2" x14ac:dyDescent="0.3">
      <c r="A953" s="21">
        <v>45413.04583333333</v>
      </c>
      <c r="B953">
        <v>74.599999999999994</v>
      </c>
    </row>
    <row r="954" spans="1:2" x14ac:dyDescent="0.3">
      <c r="A954" s="21">
        <v>45413.046527777777</v>
      </c>
      <c r="B954">
        <v>74.900000000000006</v>
      </c>
    </row>
    <row r="955" spans="1:2" x14ac:dyDescent="0.3">
      <c r="A955" s="21">
        <v>45413.047222222223</v>
      </c>
      <c r="B955">
        <v>74.7</v>
      </c>
    </row>
    <row r="956" spans="1:2" x14ac:dyDescent="0.3">
      <c r="A956" s="21">
        <v>45413.04791666667</v>
      </c>
      <c r="B956">
        <v>74.599999999999994</v>
      </c>
    </row>
    <row r="957" spans="1:2" x14ac:dyDescent="0.3">
      <c r="A957" s="21">
        <v>45413.048611111109</v>
      </c>
      <c r="B957">
        <v>74.599999999999994</v>
      </c>
    </row>
    <row r="958" spans="1:2" x14ac:dyDescent="0.3">
      <c r="A958" s="21">
        <v>45413.049305555556</v>
      </c>
      <c r="B958">
        <v>74.7</v>
      </c>
    </row>
    <row r="959" spans="1:2" x14ac:dyDescent="0.3">
      <c r="A959" s="21">
        <v>45413.05</v>
      </c>
      <c r="B959">
        <v>75</v>
      </c>
    </row>
    <row r="960" spans="1:2" x14ac:dyDescent="0.3">
      <c r="A960" s="21">
        <v>45413.050694444442</v>
      </c>
      <c r="B960">
        <v>75.099999999999994</v>
      </c>
    </row>
    <row r="961" spans="1:2" x14ac:dyDescent="0.3">
      <c r="A961" s="21">
        <v>45413.051388888889</v>
      </c>
      <c r="B961">
        <v>74.599999999999994</v>
      </c>
    </row>
    <row r="962" spans="1:2" x14ac:dyDescent="0.3">
      <c r="A962" s="21">
        <v>45413.052083333336</v>
      </c>
      <c r="B962">
        <v>74.7</v>
      </c>
    </row>
    <row r="963" spans="1:2" x14ac:dyDescent="0.3">
      <c r="A963" s="21">
        <v>45413.052777777775</v>
      </c>
      <c r="B963">
        <v>74.900000000000006</v>
      </c>
    </row>
    <row r="964" spans="1:2" x14ac:dyDescent="0.3">
      <c r="A964" s="21">
        <v>45413.053472222222</v>
      </c>
      <c r="B964">
        <v>74.5</v>
      </c>
    </row>
    <row r="965" spans="1:2" x14ac:dyDescent="0.3">
      <c r="A965" s="21">
        <v>45413.054166666669</v>
      </c>
      <c r="B965">
        <v>74.7</v>
      </c>
    </row>
    <row r="966" spans="1:2" x14ac:dyDescent="0.3">
      <c r="A966" s="21">
        <v>45413.054861111108</v>
      </c>
      <c r="B966">
        <v>74.900000000000006</v>
      </c>
    </row>
    <row r="967" spans="1:2" x14ac:dyDescent="0.3">
      <c r="A967" s="21">
        <v>45413.055555555555</v>
      </c>
      <c r="B967">
        <v>74.3</v>
      </c>
    </row>
    <row r="968" spans="1:2" x14ac:dyDescent="0.3">
      <c r="A968" s="21">
        <v>45413.056250000001</v>
      </c>
      <c r="B968">
        <v>74.2</v>
      </c>
    </row>
    <row r="969" spans="1:2" x14ac:dyDescent="0.3">
      <c r="A969" s="21">
        <v>45413.056944444441</v>
      </c>
      <c r="B969">
        <v>74.8</v>
      </c>
    </row>
    <row r="970" spans="1:2" x14ac:dyDescent="0.3">
      <c r="A970" s="21">
        <v>45413.057638888888</v>
      </c>
      <c r="B970">
        <v>74.599999999999994</v>
      </c>
    </row>
    <row r="971" spans="1:2" x14ac:dyDescent="0.3">
      <c r="A971" s="21">
        <v>45413.058333333334</v>
      </c>
      <c r="B971">
        <v>74.599999999999994</v>
      </c>
    </row>
    <row r="972" spans="1:2" x14ac:dyDescent="0.3">
      <c r="A972" s="21">
        <v>45413.059027777781</v>
      </c>
      <c r="B972">
        <v>74.7</v>
      </c>
    </row>
    <row r="973" spans="1:2" x14ac:dyDescent="0.3">
      <c r="A973" s="21">
        <v>45413.05972222222</v>
      </c>
      <c r="B973">
        <v>74.5</v>
      </c>
    </row>
    <row r="974" spans="1:2" x14ac:dyDescent="0.3">
      <c r="A974" s="21">
        <v>45413.060416666667</v>
      </c>
      <c r="B974">
        <v>74.7</v>
      </c>
    </row>
    <row r="975" spans="1:2" x14ac:dyDescent="0.3">
      <c r="A975" s="21">
        <v>45413.061111111114</v>
      </c>
      <c r="B975">
        <v>74.3</v>
      </c>
    </row>
    <row r="976" spans="1:2" x14ac:dyDescent="0.3">
      <c r="A976" s="21">
        <v>45413.061805555553</v>
      </c>
      <c r="B976">
        <v>74.5</v>
      </c>
    </row>
    <row r="977" spans="1:2" x14ac:dyDescent="0.3">
      <c r="A977" s="21">
        <v>45413.0625</v>
      </c>
      <c r="B977">
        <v>74.7</v>
      </c>
    </row>
    <row r="978" spans="1:2" x14ac:dyDescent="0.3">
      <c r="A978" s="21">
        <v>45413.063194444447</v>
      </c>
      <c r="B978">
        <v>74.900000000000006</v>
      </c>
    </row>
    <row r="979" spans="1:2" x14ac:dyDescent="0.3">
      <c r="A979" s="21">
        <v>45413.063888888886</v>
      </c>
      <c r="B979">
        <v>74.8</v>
      </c>
    </row>
    <row r="980" spans="1:2" x14ac:dyDescent="0.3">
      <c r="A980" s="21">
        <v>45413.064583333333</v>
      </c>
      <c r="B980">
        <v>74.599999999999994</v>
      </c>
    </row>
    <row r="981" spans="1:2" x14ac:dyDescent="0.3">
      <c r="A981" s="21">
        <v>45413.06527777778</v>
      </c>
      <c r="B981">
        <v>75.099999999999994</v>
      </c>
    </row>
    <row r="982" spans="1:2" x14ac:dyDescent="0.3">
      <c r="A982" s="21">
        <v>45413.065972222219</v>
      </c>
      <c r="B982">
        <v>74.7</v>
      </c>
    </row>
    <row r="983" spans="1:2" x14ac:dyDescent="0.3">
      <c r="A983" s="21">
        <v>45413.066666666666</v>
      </c>
      <c r="B983">
        <v>75.099999999999994</v>
      </c>
    </row>
    <row r="984" spans="1:2" x14ac:dyDescent="0.3">
      <c r="A984" s="21">
        <v>45413.067361111112</v>
      </c>
      <c r="B984">
        <v>75.400000000000006</v>
      </c>
    </row>
    <row r="985" spans="1:2" x14ac:dyDescent="0.3">
      <c r="A985" s="21">
        <v>45413.068055555559</v>
      </c>
      <c r="B985">
        <v>68.599999999999994</v>
      </c>
    </row>
    <row r="986" spans="1:2" x14ac:dyDescent="0.3">
      <c r="A986" s="21">
        <v>45413.068749999999</v>
      </c>
      <c r="B986">
        <v>56</v>
      </c>
    </row>
    <row r="987" spans="1:2" x14ac:dyDescent="0.3">
      <c r="A987" s="21">
        <v>45413.069444444445</v>
      </c>
      <c r="B987">
        <v>57</v>
      </c>
    </row>
    <row r="988" spans="1:2" x14ac:dyDescent="0.3">
      <c r="A988" s="21">
        <v>45413.070138888892</v>
      </c>
      <c r="B988">
        <v>56.7</v>
      </c>
    </row>
    <row r="989" spans="1:2" x14ac:dyDescent="0.3">
      <c r="A989" s="21">
        <v>45413.070833333331</v>
      </c>
      <c r="B989">
        <v>57.3</v>
      </c>
    </row>
    <row r="990" spans="1:2" x14ac:dyDescent="0.3">
      <c r="A990" s="21">
        <v>45413.071527777778</v>
      </c>
      <c r="B990">
        <v>57</v>
      </c>
    </row>
    <row r="991" spans="1:2" x14ac:dyDescent="0.3">
      <c r="A991" s="21">
        <v>45413.072222222225</v>
      </c>
      <c r="B991">
        <v>56.9</v>
      </c>
    </row>
    <row r="992" spans="1:2" x14ac:dyDescent="0.3">
      <c r="A992" s="21">
        <v>45413.072916666664</v>
      </c>
      <c r="B992">
        <v>56.9</v>
      </c>
    </row>
    <row r="993" spans="1:2" x14ac:dyDescent="0.3">
      <c r="A993" s="21">
        <v>45413.073611111111</v>
      </c>
      <c r="B993">
        <v>56.6</v>
      </c>
    </row>
    <row r="994" spans="1:2" x14ac:dyDescent="0.3">
      <c r="A994" s="21">
        <v>45413.074305555558</v>
      </c>
      <c r="B994">
        <v>57</v>
      </c>
    </row>
    <row r="995" spans="1:2" x14ac:dyDescent="0.3">
      <c r="A995" s="21">
        <v>45413.074999999997</v>
      </c>
      <c r="B995">
        <v>56.8</v>
      </c>
    </row>
    <row r="996" spans="1:2" x14ac:dyDescent="0.3">
      <c r="A996" s="21">
        <v>45413.075694444444</v>
      </c>
      <c r="B996">
        <v>56.8</v>
      </c>
    </row>
    <row r="997" spans="1:2" x14ac:dyDescent="0.3">
      <c r="A997" s="21">
        <v>45413.076388888891</v>
      </c>
      <c r="B997">
        <v>56.9</v>
      </c>
    </row>
    <row r="998" spans="1:2" x14ac:dyDescent="0.3">
      <c r="A998" s="21">
        <v>45413.07708333333</v>
      </c>
      <c r="B998">
        <v>57.1</v>
      </c>
    </row>
    <row r="999" spans="1:2" x14ac:dyDescent="0.3">
      <c r="A999" s="21">
        <v>45413.077777777777</v>
      </c>
      <c r="B999">
        <v>57.4</v>
      </c>
    </row>
    <row r="1000" spans="1:2" x14ac:dyDescent="0.3">
      <c r="A1000" s="21">
        <v>45413.078472222223</v>
      </c>
      <c r="B1000">
        <v>57.7</v>
      </c>
    </row>
    <row r="1001" spans="1:2" x14ac:dyDescent="0.3">
      <c r="A1001" s="21">
        <v>45413.07916666667</v>
      </c>
      <c r="B1001">
        <v>57.4</v>
      </c>
    </row>
    <row r="1002" spans="1:2" x14ac:dyDescent="0.3">
      <c r="A1002" s="21">
        <v>45413.079861111109</v>
      </c>
      <c r="B1002">
        <v>57.6</v>
      </c>
    </row>
    <row r="1003" spans="1:2" x14ac:dyDescent="0.3">
      <c r="A1003" s="21">
        <v>45413.080555555556</v>
      </c>
      <c r="B1003">
        <v>57.3</v>
      </c>
    </row>
    <row r="1004" spans="1:2" x14ac:dyDescent="0.3">
      <c r="A1004" s="21">
        <v>45413.081250000003</v>
      </c>
      <c r="B1004">
        <v>57.3</v>
      </c>
    </row>
    <row r="1005" spans="1:2" x14ac:dyDescent="0.3">
      <c r="A1005" s="21">
        <v>45413.081944444442</v>
      </c>
      <c r="B1005">
        <v>57.1</v>
      </c>
    </row>
    <row r="1006" spans="1:2" x14ac:dyDescent="0.3">
      <c r="A1006" s="21">
        <v>45413.082638888889</v>
      </c>
      <c r="B1006">
        <v>57.9</v>
      </c>
    </row>
    <row r="1007" spans="1:2" x14ac:dyDescent="0.3">
      <c r="A1007" s="21">
        <v>45413.083333333336</v>
      </c>
      <c r="B1007">
        <v>57.4</v>
      </c>
    </row>
    <row r="1008" spans="1:2" x14ac:dyDescent="0.3">
      <c r="A1008" s="21">
        <v>45413.084027777775</v>
      </c>
      <c r="B1008">
        <v>57.7</v>
      </c>
    </row>
    <row r="1009" spans="1:2" x14ac:dyDescent="0.3">
      <c r="A1009" s="21">
        <v>45413.084722222222</v>
      </c>
      <c r="B1009">
        <v>58</v>
      </c>
    </row>
    <row r="1010" spans="1:2" x14ac:dyDescent="0.3">
      <c r="A1010" s="21">
        <v>45413.085416666669</v>
      </c>
      <c r="B1010">
        <v>57.8</v>
      </c>
    </row>
    <row r="1011" spans="1:2" x14ac:dyDescent="0.3">
      <c r="A1011" s="21">
        <v>45413.086111111108</v>
      </c>
      <c r="B1011">
        <v>57.4</v>
      </c>
    </row>
    <row r="1012" spans="1:2" x14ac:dyDescent="0.3">
      <c r="A1012" s="21">
        <v>45413.086805555555</v>
      </c>
      <c r="B1012">
        <v>58.5</v>
      </c>
    </row>
    <row r="1013" spans="1:2" x14ac:dyDescent="0.3">
      <c r="A1013" s="21">
        <v>45413.087500000001</v>
      </c>
      <c r="B1013">
        <v>57.2</v>
      </c>
    </row>
    <row r="1014" spans="1:2" x14ac:dyDescent="0.3">
      <c r="A1014" s="21">
        <v>45413.088194444441</v>
      </c>
      <c r="B1014">
        <v>58</v>
      </c>
    </row>
    <row r="1015" spans="1:2" x14ac:dyDescent="0.3">
      <c r="A1015" s="21">
        <v>45413.088888888888</v>
      </c>
      <c r="B1015">
        <v>57.9</v>
      </c>
    </row>
    <row r="1016" spans="1:2" x14ac:dyDescent="0.3">
      <c r="A1016" s="21">
        <v>45413.089583333334</v>
      </c>
      <c r="B1016">
        <v>57.9</v>
      </c>
    </row>
    <row r="1017" spans="1:2" x14ac:dyDescent="0.3">
      <c r="A1017" s="21">
        <v>45413.090277777781</v>
      </c>
      <c r="B1017">
        <v>57.8</v>
      </c>
    </row>
    <row r="1018" spans="1:2" x14ac:dyDescent="0.3">
      <c r="A1018" s="21">
        <v>45413.09097222222</v>
      </c>
      <c r="B1018">
        <v>58.3</v>
      </c>
    </row>
    <row r="1019" spans="1:2" x14ac:dyDescent="0.3">
      <c r="A1019" s="21">
        <v>45413.091666666667</v>
      </c>
      <c r="B1019">
        <v>57.9</v>
      </c>
    </row>
    <row r="1020" spans="1:2" x14ac:dyDescent="0.3">
      <c r="A1020" s="21">
        <v>45413.092361111114</v>
      </c>
      <c r="B1020">
        <v>58.3</v>
      </c>
    </row>
    <row r="1021" spans="1:2" x14ac:dyDescent="0.3">
      <c r="A1021" s="21">
        <v>45413.093055555553</v>
      </c>
      <c r="B1021">
        <v>58.3</v>
      </c>
    </row>
    <row r="1022" spans="1:2" x14ac:dyDescent="0.3">
      <c r="A1022" s="21">
        <v>45413.09375</v>
      </c>
      <c r="B1022">
        <v>58</v>
      </c>
    </row>
    <row r="1023" spans="1:2" x14ac:dyDescent="0.3">
      <c r="A1023" s="21">
        <v>45413.094444444447</v>
      </c>
      <c r="B1023">
        <v>58.2</v>
      </c>
    </row>
    <row r="1024" spans="1:2" x14ac:dyDescent="0.3">
      <c r="A1024" s="21">
        <v>45413.095138888886</v>
      </c>
      <c r="B1024">
        <v>58.2</v>
      </c>
    </row>
    <row r="1025" spans="1:2" x14ac:dyDescent="0.3">
      <c r="A1025" s="21">
        <v>45413.095833333333</v>
      </c>
      <c r="B1025">
        <v>58.5</v>
      </c>
    </row>
    <row r="1026" spans="1:2" x14ac:dyDescent="0.3">
      <c r="A1026" s="21">
        <v>45413.09652777778</v>
      </c>
      <c r="B1026">
        <v>58.2</v>
      </c>
    </row>
    <row r="1027" spans="1:2" x14ac:dyDescent="0.3">
      <c r="A1027" s="21">
        <v>45413.097222222219</v>
      </c>
      <c r="B1027">
        <v>58.4</v>
      </c>
    </row>
    <row r="1028" spans="1:2" x14ac:dyDescent="0.3">
      <c r="A1028" s="21">
        <v>45413.097916666666</v>
      </c>
      <c r="B1028">
        <v>58.6</v>
      </c>
    </row>
    <row r="1029" spans="1:2" x14ac:dyDescent="0.3">
      <c r="A1029" s="21">
        <v>45413.098611111112</v>
      </c>
      <c r="B1029">
        <v>58.3</v>
      </c>
    </row>
    <row r="1030" spans="1:2" x14ac:dyDescent="0.3">
      <c r="A1030" s="21">
        <v>45413.099305555559</v>
      </c>
      <c r="B1030">
        <v>58.6</v>
      </c>
    </row>
    <row r="1031" spans="1:2" x14ac:dyDescent="0.3">
      <c r="A1031" s="21">
        <v>45413.1</v>
      </c>
      <c r="B1031">
        <v>58.7</v>
      </c>
    </row>
    <row r="1032" spans="1:2" x14ac:dyDescent="0.3">
      <c r="A1032" s="21">
        <v>45413.100694444445</v>
      </c>
      <c r="B1032">
        <v>58.2</v>
      </c>
    </row>
    <row r="1033" spans="1:2" x14ac:dyDescent="0.3">
      <c r="A1033" s="21">
        <v>45413.101388888892</v>
      </c>
      <c r="B1033">
        <v>58.9</v>
      </c>
    </row>
    <row r="1034" spans="1:2" x14ac:dyDescent="0.3">
      <c r="A1034" s="21">
        <v>45413.102083333331</v>
      </c>
      <c r="B1034">
        <v>58.6</v>
      </c>
    </row>
    <row r="1035" spans="1:2" x14ac:dyDescent="0.3">
      <c r="A1035" s="21">
        <v>45413.102777777778</v>
      </c>
      <c r="B1035">
        <v>59</v>
      </c>
    </row>
    <row r="1036" spans="1:2" x14ac:dyDescent="0.3">
      <c r="A1036" s="21">
        <v>45413.103472222225</v>
      </c>
      <c r="B1036">
        <v>59.1</v>
      </c>
    </row>
    <row r="1037" spans="1:2" x14ac:dyDescent="0.3">
      <c r="A1037" s="21">
        <v>45413.104166666664</v>
      </c>
      <c r="B1037">
        <v>58.7</v>
      </c>
    </row>
    <row r="1038" spans="1:2" x14ac:dyDescent="0.3">
      <c r="A1038" s="21">
        <v>45413.104861111111</v>
      </c>
      <c r="B1038">
        <v>58.7</v>
      </c>
    </row>
    <row r="1039" spans="1:2" x14ac:dyDescent="0.3">
      <c r="A1039" s="21">
        <v>45413.105555555558</v>
      </c>
      <c r="B1039">
        <v>58.8</v>
      </c>
    </row>
    <row r="1040" spans="1:2" x14ac:dyDescent="0.3">
      <c r="A1040" s="21">
        <v>45413.106249999997</v>
      </c>
      <c r="B1040">
        <v>58.9</v>
      </c>
    </row>
    <row r="1041" spans="1:2" x14ac:dyDescent="0.3">
      <c r="A1041" s="21">
        <v>45413.106944444444</v>
      </c>
      <c r="B1041">
        <v>59</v>
      </c>
    </row>
    <row r="1042" spans="1:2" x14ac:dyDescent="0.3">
      <c r="A1042" s="21">
        <v>45413.107638888891</v>
      </c>
      <c r="B1042">
        <v>58.8</v>
      </c>
    </row>
    <row r="1043" spans="1:2" x14ac:dyDescent="0.3">
      <c r="A1043" s="21">
        <v>45413.10833333333</v>
      </c>
      <c r="B1043">
        <v>59.2</v>
      </c>
    </row>
    <row r="1044" spans="1:2" x14ac:dyDescent="0.3">
      <c r="A1044" s="21">
        <v>45413.109027777777</v>
      </c>
      <c r="B1044">
        <v>58.8</v>
      </c>
    </row>
    <row r="1045" spans="1:2" x14ac:dyDescent="0.3">
      <c r="A1045" s="21">
        <v>45413.109722222223</v>
      </c>
      <c r="B1045">
        <v>58.9</v>
      </c>
    </row>
    <row r="1046" spans="1:2" x14ac:dyDescent="0.3">
      <c r="A1046" s="21">
        <v>45413.11041666667</v>
      </c>
      <c r="B1046">
        <v>59.2</v>
      </c>
    </row>
    <row r="1047" spans="1:2" x14ac:dyDescent="0.3">
      <c r="A1047" s="21">
        <v>45413.111111111109</v>
      </c>
      <c r="B1047">
        <v>58.9</v>
      </c>
    </row>
    <row r="1048" spans="1:2" x14ac:dyDescent="0.3">
      <c r="A1048" s="21">
        <v>45413.111805555556</v>
      </c>
      <c r="B1048">
        <v>58.7</v>
      </c>
    </row>
    <row r="1049" spans="1:2" x14ac:dyDescent="0.3">
      <c r="A1049" s="21">
        <v>45413.112500000003</v>
      </c>
      <c r="B1049">
        <v>59.5</v>
      </c>
    </row>
    <row r="1050" spans="1:2" x14ac:dyDescent="0.3">
      <c r="A1050" s="21">
        <v>45413.113194444442</v>
      </c>
      <c r="B1050">
        <v>59</v>
      </c>
    </row>
    <row r="1051" spans="1:2" x14ac:dyDescent="0.3">
      <c r="A1051" s="21">
        <v>45413.113888888889</v>
      </c>
      <c r="B1051">
        <v>58.8</v>
      </c>
    </row>
    <row r="1052" spans="1:2" x14ac:dyDescent="0.3">
      <c r="A1052" s="21">
        <v>45413.114583333336</v>
      </c>
      <c r="B1052">
        <v>59.3</v>
      </c>
    </row>
    <row r="1053" spans="1:2" x14ac:dyDescent="0.3">
      <c r="A1053" s="21">
        <v>45413.115277777775</v>
      </c>
      <c r="B1053">
        <v>59</v>
      </c>
    </row>
    <row r="1054" spans="1:2" x14ac:dyDescent="0.3">
      <c r="A1054" s="21">
        <v>45413.115972222222</v>
      </c>
      <c r="B1054">
        <v>58.7</v>
      </c>
    </row>
    <row r="1055" spans="1:2" x14ac:dyDescent="0.3">
      <c r="A1055" s="21">
        <v>45413.116666666669</v>
      </c>
      <c r="B1055">
        <v>59.8</v>
      </c>
    </row>
    <row r="1056" spans="1:2" x14ac:dyDescent="0.3">
      <c r="A1056" s="21">
        <v>45413.117361111108</v>
      </c>
      <c r="B1056">
        <v>59.2</v>
      </c>
    </row>
    <row r="1057" spans="1:2" x14ac:dyDescent="0.3">
      <c r="A1057" s="21">
        <v>45413.118055555555</v>
      </c>
      <c r="B1057">
        <v>59</v>
      </c>
    </row>
    <row r="1058" spans="1:2" x14ac:dyDescent="0.3">
      <c r="A1058" s="21">
        <v>45413.118750000001</v>
      </c>
      <c r="B1058">
        <v>59.1</v>
      </c>
    </row>
    <row r="1059" spans="1:2" x14ac:dyDescent="0.3">
      <c r="A1059" s="21">
        <v>45413.119444444441</v>
      </c>
      <c r="B1059">
        <v>59.5</v>
      </c>
    </row>
    <row r="1060" spans="1:2" x14ac:dyDescent="0.3">
      <c r="A1060" s="21">
        <v>45413.120138888888</v>
      </c>
      <c r="B1060">
        <v>59.2</v>
      </c>
    </row>
    <row r="1061" spans="1:2" x14ac:dyDescent="0.3">
      <c r="A1061" s="21">
        <v>45413.120833333334</v>
      </c>
      <c r="B1061">
        <v>59.3</v>
      </c>
    </row>
    <row r="1062" spans="1:2" x14ac:dyDescent="0.3">
      <c r="A1062" s="21">
        <v>45413.121527777781</v>
      </c>
      <c r="B1062">
        <v>59.4</v>
      </c>
    </row>
    <row r="1063" spans="1:2" x14ac:dyDescent="0.3">
      <c r="A1063" s="21">
        <v>45413.12222222222</v>
      </c>
      <c r="B1063">
        <v>59.7</v>
      </c>
    </row>
    <row r="1064" spans="1:2" x14ac:dyDescent="0.3">
      <c r="A1064" s="21">
        <v>45413.122916666667</v>
      </c>
      <c r="B1064">
        <v>59.4</v>
      </c>
    </row>
    <row r="1065" spans="1:2" x14ac:dyDescent="0.3">
      <c r="A1065" s="21">
        <v>45413.123611111114</v>
      </c>
      <c r="B1065">
        <v>59.4</v>
      </c>
    </row>
    <row r="1066" spans="1:2" x14ac:dyDescent="0.3">
      <c r="A1066" s="21">
        <v>45413.124305555553</v>
      </c>
      <c r="B1066">
        <v>59.2</v>
      </c>
    </row>
    <row r="1067" spans="1:2" x14ac:dyDescent="0.3">
      <c r="A1067" s="21">
        <v>45413.125</v>
      </c>
      <c r="B1067">
        <v>59.4</v>
      </c>
    </row>
    <row r="1068" spans="1:2" x14ac:dyDescent="0.3">
      <c r="A1068" s="21">
        <v>45413.125694444447</v>
      </c>
      <c r="B1068">
        <v>59.3</v>
      </c>
    </row>
    <row r="1069" spans="1:2" x14ac:dyDescent="0.3">
      <c r="A1069" s="21">
        <v>45413.126388888886</v>
      </c>
      <c r="B1069">
        <v>59.4</v>
      </c>
    </row>
    <row r="1070" spans="1:2" x14ac:dyDescent="0.3">
      <c r="A1070" s="21">
        <v>45413.127083333333</v>
      </c>
      <c r="B1070">
        <v>59.8</v>
      </c>
    </row>
    <row r="1071" spans="1:2" x14ac:dyDescent="0.3">
      <c r="A1071" s="21">
        <v>45413.12777777778</v>
      </c>
      <c r="B1071">
        <v>59.3</v>
      </c>
    </row>
    <row r="1072" spans="1:2" x14ac:dyDescent="0.3">
      <c r="A1072" s="21">
        <v>45413.128472222219</v>
      </c>
      <c r="B1072">
        <v>59.4</v>
      </c>
    </row>
    <row r="1073" spans="1:2" x14ac:dyDescent="0.3">
      <c r="A1073" s="21">
        <v>45413.129166666666</v>
      </c>
      <c r="B1073">
        <v>59.5</v>
      </c>
    </row>
    <row r="1074" spans="1:2" x14ac:dyDescent="0.3">
      <c r="A1074" s="21">
        <v>45413.129861111112</v>
      </c>
      <c r="B1074">
        <v>59.7</v>
      </c>
    </row>
    <row r="1075" spans="1:2" x14ac:dyDescent="0.3">
      <c r="A1075" s="21">
        <v>45413.130555555559</v>
      </c>
      <c r="B1075">
        <v>59.1</v>
      </c>
    </row>
    <row r="1076" spans="1:2" x14ac:dyDescent="0.3">
      <c r="A1076" s="21">
        <v>45413.131249999999</v>
      </c>
      <c r="B1076">
        <v>59.4</v>
      </c>
    </row>
    <row r="1077" spans="1:2" x14ac:dyDescent="0.3">
      <c r="A1077" s="21">
        <v>45413.131944444445</v>
      </c>
      <c r="B1077">
        <v>59.8</v>
      </c>
    </row>
    <row r="1078" spans="1:2" x14ac:dyDescent="0.3">
      <c r="A1078" s="21">
        <v>45413.132638888892</v>
      </c>
      <c r="B1078">
        <v>59.8</v>
      </c>
    </row>
    <row r="1079" spans="1:2" x14ac:dyDescent="0.3">
      <c r="A1079" s="21">
        <v>45413.133333333331</v>
      </c>
      <c r="B1079">
        <v>60</v>
      </c>
    </row>
    <row r="1080" spans="1:2" x14ac:dyDescent="0.3">
      <c r="A1080" s="21">
        <v>45413.134027777778</v>
      </c>
      <c r="B1080">
        <v>60</v>
      </c>
    </row>
    <row r="1081" spans="1:2" x14ac:dyDescent="0.3">
      <c r="A1081" s="21">
        <v>45413.134722222225</v>
      </c>
      <c r="B1081">
        <v>59.8</v>
      </c>
    </row>
    <row r="1082" spans="1:2" x14ac:dyDescent="0.3">
      <c r="A1082" s="21">
        <v>45413.135416666664</v>
      </c>
      <c r="B1082">
        <v>59.8</v>
      </c>
    </row>
    <row r="1083" spans="1:2" x14ac:dyDescent="0.3">
      <c r="A1083" s="21">
        <v>45413.136111111111</v>
      </c>
      <c r="B1083">
        <v>59.8</v>
      </c>
    </row>
    <row r="1084" spans="1:2" x14ac:dyDescent="0.3">
      <c r="A1084" s="21">
        <v>45413.136805555558</v>
      </c>
      <c r="B1084">
        <v>59.5</v>
      </c>
    </row>
    <row r="1085" spans="1:2" x14ac:dyDescent="0.3">
      <c r="A1085" s="21">
        <v>45413.137499999997</v>
      </c>
      <c r="B1085">
        <v>59.7</v>
      </c>
    </row>
    <row r="1086" spans="1:2" x14ac:dyDescent="0.3">
      <c r="A1086" s="21">
        <v>45413.138194444444</v>
      </c>
      <c r="B1086">
        <v>60.1</v>
      </c>
    </row>
    <row r="1087" spans="1:2" x14ac:dyDescent="0.3">
      <c r="A1087" s="21">
        <v>45413.138888888891</v>
      </c>
      <c r="B1087">
        <v>60</v>
      </c>
    </row>
    <row r="1088" spans="1:2" x14ac:dyDescent="0.3">
      <c r="A1088" s="21">
        <v>45413.13958333333</v>
      </c>
      <c r="B1088">
        <v>59.8</v>
      </c>
    </row>
    <row r="1089" spans="1:2" x14ac:dyDescent="0.3">
      <c r="A1089" s="21">
        <v>45413.140277777777</v>
      </c>
      <c r="B1089">
        <v>59.7</v>
      </c>
    </row>
    <row r="1090" spans="1:2" x14ac:dyDescent="0.3">
      <c r="A1090" s="21">
        <v>45413.140972222223</v>
      </c>
      <c r="B1090">
        <v>60</v>
      </c>
    </row>
    <row r="1091" spans="1:2" x14ac:dyDescent="0.3">
      <c r="A1091" s="21">
        <v>45413.14166666667</v>
      </c>
      <c r="B1091">
        <v>60</v>
      </c>
    </row>
    <row r="1092" spans="1:2" x14ac:dyDescent="0.3">
      <c r="A1092" s="21">
        <v>45413.142361111109</v>
      </c>
      <c r="B1092">
        <v>60.1</v>
      </c>
    </row>
    <row r="1093" spans="1:2" x14ac:dyDescent="0.3">
      <c r="A1093" s="21">
        <v>45413.143055555556</v>
      </c>
      <c r="B1093">
        <v>59.6</v>
      </c>
    </row>
    <row r="1094" spans="1:2" x14ac:dyDescent="0.3">
      <c r="A1094" s="21">
        <v>45413.143750000003</v>
      </c>
      <c r="B1094">
        <v>60</v>
      </c>
    </row>
    <row r="1095" spans="1:2" x14ac:dyDescent="0.3">
      <c r="A1095" s="21">
        <v>45413.144444444442</v>
      </c>
      <c r="B1095">
        <v>59.9</v>
      </c>
    </row>
    <row r="1096" spans="1:2" x14ac:dyDescent="0.3">
      <c r="A1096" s="21">
        <v>45413.145138888889</v>
      </c>
      <c r="B1096">
        <v>59.8</v>
      </c>
    </row>
    <row r="1097" spans="1:2" x14ac:dyDescent="0.3">
      <c r="A1097" s="21">
        <v>45413.145833333336</v>
      </c>
      <c r="B1097">
        <v>60.1</v>
      </c>
    </row>
    <row r="1098" spans="1:2" x14ac:dyDescent="0.3">
      <c r="A1098" s="21">
        <v>45413.146527777775</v>
      </c>
      <c r="B1098">
        <v>59.9</v>
      </c>
    </row>
    <row r="1099" spans="1:2" x14ac:dyDescent="0.3">
      <c r="A1099" s="21">
        <v>45413.147222222222</v>
      </c>
      <c r="B1099">
        <v>60.1</v>
      </c>
    </row>
    <row r="1100" spans="1:2" x14ac:dyDescent="0.3">
      <c r="A1100" s="21">
        <v>45413.147916666669</v>
      </c>
      <c r="B1100">
        <v>60.5</v>
      </c>
    </row>
    <row r="1101" spans="1:2" x14ac:dyDescent="0.3">
      <c r="A1101" s="21">
        <v>45413.148611111108</v>
      </c>
      <c r="B1101">
        <v>59.9</v>
      </c>
    </row>
    <row r="1102" spans="1:2" x14ac:dyDescent="0.3">
      <c r="A1102" s="21">
        <v>45413.149305555555</v>
      </c>
      <c r="B1102">
        <v>60.1</v>
      </c>
    </row>
    <row r="1103" spans="1:2" x14ac:dyDescent="0.3">
      <c r="A1103" s="21">
        <v>45413.15</v>
      </c>
      <c r="B1103">
        <v>60.3</v>
      </c>
    </row>
    <row r="1104" spans="1:2" x14ac:dyDescent="0.3">
      <c r="A1104" s="21">
        <v>45413.150694444441</v>
      </c>
      <c r="B1104">
        <v>60.1</v>
      </c>
    </row>
    <row r="1105" spans="1:2" x14ac:dyDescent="0.3">
      <c r="A1105" s="21">
        <v>45413.151388888888</v>
      </c>
      <c r="B1105">
        <v>60.1</v>
      </c>
    </row>
    <row r="1106" spans="1:2" x14ac:dyDescent="0.3">
      <c r="A1106" s="21">
        <v>45413.152083333334</v>
      </c>
      <c r="B1106">
        <v>59.7</v>
      </c>
    </row>
    <row r="1107" spans="1:2" x14ac:dyDescent="0.3">
      <c r="A1107" s="21">
        <v>45413.152777777781</v>
      </c>
      <c r="B1107">
        <v>59.9</v>
      </c>
    </row>
    <row r="1108" spans="1:2" x14ac:dyDescent="0.3">
      <c r="A1108" s="21">
        <v>45413.15347222222</v>
      </c>
      <c r="B1108">
        <v>59.6</v>
      </c>
    </row>
    <row r="1109" spans="1:2" x14ac:dyDescent="0.3">
      <c r="A1109" s="21">
        <v>45413.154166666667</v>
      </c>
      <c r="B1109">
        <v>59.8</v>
      </c>
    </row>
    <row r="1110" spans="1:2" x14ac:dyDescent="0.3">
      <c r="A1110" s="21">
        <v>45413.154861111114</v>
      </c>
      <c r="B1110">
        <v>60.2</v>
      </c>
    </row>
    <row r="1111" spans="1:2" x14ac:dyDescent="0.3">
      <c r="A1111" s="21">
        <v>45413.155555555553</v>
      </c>
      <c r="B1111">
        <v>59.4</v>
      </c>
    </row>
    <row r="1112" spans="1:2" x14ac:dyDescent="0.3">
      <c r="A1112" s="21">
        <v>45413.15625</v>
      </c>
      <c r="B1112">
        <v>60.1</v>
      </c>
    </row>
    <row r="1113" spans="1:2" x14ac:dyDescent="0.3">
      <c r="A1113" s="21">
        <v>45413.156944444447</v>
      </c>
      <c r="B1113">
        <v>60.4</v>
      </c>
    </row>
    <row r="1114" spans="1:2" x14ac:dyDescent="0.3">
      <c r="A1114" s="21">
        <v>45413.157638888886</v>
      </c>
      <c r="B1114">
        <v>60.1</v>
      </c>
    </row>
    <row r="1115" spans="1:2" x14ac:dyDescent="0.3">
      <c r="A1115" s="21">
        <v>45413.158333333333</v>
      </c>
      <c r="B1115">
        <v>60.5</v>
      </c>
    </row>
    <row r="1116" spans="1:2" x14ac:dyDescent="0.3">
      <c r="A1116" s="21">
        <v>45413.15902777778</v>
      </c>
      <c r="B1116">
        <v>60.3</v>
      </c>
    </row>
    <row r="1117" spans="1:2" x14ac:dyDescent="0.3">
      <c r="A1117" s="21">
        <v>45413.159722222219</v>
      </c>
      <c r="B1117">
        <v>60.2</v>
      </c>
    </row>
    <row r="1118" spans="1:2" x14ac:dyDescent="0.3">
      <c r="A1118" s="21">
        <v>45413.160416666666</v>
      </c>
      <c r="B1118">
        <v>59.9</v>
      </c>
    </row>
    <row r="1119" spans="1:2" x14ac:dyDescent="0.3">
      <c r="A1119" s="21">
        <v>45413.161111111112</v>
      </c>
      <c r="B1119">
        <v>59.8</v>
      </c>
    </row>
    <row r="1120" spans="1:2" x14ac:dyDescent="0.3">
      <c r="A1120" s="21">
        <v>45413.161805555559</v>
      </c>
      <c r="B1120">
        <v>60.7</v>
      </c>
    </row>
    <row r="1121" spans="1:2" x14ac:dyDescent="0.3">
      <c r="A1121" s="21">
        <v>45413.162499999999</v>
      </c>
      <c r="B1121">
        <v>60.3</v>
      </c>
    </row>
    <row r="1122" spans="1:2" x14ac:dyDescent="0.3">
      <c r="A1122" s="21">
        <v>45413.163194444445</v>
      </c>
      <c r="B1122">
        <v>60.1</v>
      </c>
    </row>
    <row r="1123" spans="1:2" x14ac:dyDescent="0.3">
      <c r="A1123" s="21">
        <v>45413.163888888892</v>
      </c>
      <c r="B1123">
        <v>59.9</v>
      </c>
    </row>
    <row r="1124" spans="1:2" x14ac:dyDescent="0.3">
      <c r="A1124" s="21">
        <v>45413.164583333331</v>
      </c>
      <c r="B1124">
        <v>60</v>
      </c>
    </row>
    <row r="1125" spans="1:2" x14ac:dyDescent="0.3">
      <c r="A1125" s="21">
        <v>45413.165277777778</v>
      </c>
      <c r="B1125">
        <v>60.4</v>
      </c>
    </row>
    <row r="1126" spans="1:2" x14ac:dyDescent="0.3">
      <c r="A1126" s="21">
        <v>45413.165972222225</v>
      </c>
      <c r="B1126">
        <v>60.2</v>
      </c>
    </row>
    <row r="1127" spans="1:2" x14ac:dyDescent="0.3">
      <c r="A1127" s="21">
        <v>45413.166666666664</v>
      </c>
      <c r="B1127">
        <v>60.4</v>
      </c>
    </row>
    <row r="1128" spans="1:2" x14ac:dyDescent="0.3">
      <c r="A1128" s="21">
        <v>45413.167361111111</v>
      </c>
      <c r="B1128">
        <v>60.6</v>
      </c>
    </row>
    <row r="1129" spans="1:2" x14ac:dyDescent="0.3">
      <c r="A1129" s="21">
        <v>45413.168055555558</v>
      </c>
      <c r="B1129">
        <v>60.3</v>
      </c>
    </row>
    <row r="1130" spans="1:2" x14ac:dyDescent="0.3">
      <c r="A1130" s="21">
        <v>45413.168749999997</v>
      </c>
      <c r="B1130">
        <v>60.2</v>
      </c>
    </row>
    <row r="1131" spans="1:2" x14ac:dyDescent="0.3">
      <c r="A1131" s="21">
        <v>45413.169444444444</v>
      </c>
      <c r="B1131">
        <v>60.2</v>
      </c>
    </row>
    <row r="1132" spans="1:2" x14ac:dyDescent="0.3">
      <c r="A1132" s="21">
        <v>45413.170138888891</v>
      </c>
      <c r="B1132">
        <v>60.2</v>
      </c>
    </row>
    <row r="1133" spans="1:2" x14ac:dyDescent="0.3">
      <c r="A1133" s="21">
        <v>45413.17083333333</v>
      </c>
      <c r="B1133">
        <v>60</v>
      </c>
    </row>
    <row r="1134" spans="1:2" x14ac:dyDescent="0.3">
      <c r="A1134" s="21">
        <v>45413.171527777777</v>
      </c>
      <c r="B1134">
        <v>60.5</v>
      </c>
    </row>
    <row r="1135" spans="1:2" x14ac:dyDescent="0.3">
      <c r="A1135" s="21">
        <v>45413.172222222223</v>
      </c>
      <c r="B1135">
        <v>60.2</v>
      </c>
    </row>
    <row r="1136" spans="1:2" x14ac:dyDescent="0.3">
      <c r="A1136" s="21">
        <v>45413.17291666667</v>
      </c>
      <c r="B1136">
        <v>60.4</v>
      </c>
    </row>
    <row r="1137" spans="1:2" x14ac:dyDescent="0.3">
      <c r="A1137" s="21">
        <v>45413.173611111109</v>
      </c>
      <c r="B1137">
        <v>60.4</v>
      </c>
    </row>
    <row r="1138" spans="1:2" x14ac:dyDescent="0.3">
      <c r="A1138" s="21">
        <v>45413.174305555556</v>
      </c>
      <c r="B1138">
        <v>60.1</v>
      </c>
    </row>
    <row r="1139" spans="1:2" x14ac:dyDescent="0.3">
      <c r="A1139" s="21">
        <v>45413.175000000003</v>
      </c>
      <c r="B1139">
        <v>60.3</v>
      </c>
    </row>
    <row r="1140" spans="1:2" x14ac:dyDescent="0.3">
      <c r="A1140" s="21">
        <v>45413.175694444442</v>
      </c>
      <c r="B1140">
        <v>60</v>
      </c>
    </row>
    <row r="1141" spans="1:2" x14ac:dyDescent="0.3">
      <c r="A1141" s="21">
        <v>45413.176388888889</v>
      </c>
      <c r="B1141">
        <v>60.6</v>
      </c>
    </row>
    <row r="1142" spans="1:2" x14ac:dyDescent="0.3">
      <c r="A1142" s="21">
        <v>45413.177083333336</v>
      </c>
      <c r="B1142">
        <v>60.4</v>
      </c>
    </row>
    <row r="1143" spans="1:2" x14ac:dyDescent="0.3">
      <c r="A1143" s="21">
        <v>45413.177777777775</v>
      </c>
      <c r="B1143">
        <v>60.3</v>
      </c>
    </row>
    <row r="1144" spans="1:2" x14ac:dyDescent="0.3">
      <c r="A1144" s="21">
        <v>45413.178472222222</v>
      </c>
      <c r="B1144">
        <v>60.4</v>
      </c>
    </row>
    <row r="1145" spans="1:2" x14ac:dyDescent="0.3">
      <c r="A1145" s="21">
        <v>45413.179166666669</v>
      </c>
      <c r="B1145">
        <v>60.2</v>
      </c>
    </row>
    <row r="1146" spans="1:2" x14ac:dyDescent="0.3">
      <c r="A1146" s="21">
        <v>45413.179861111108</v>
      </c>
      <c r="B1146">
        <v>61</v>
      </c>
    </row>
    <row r="1147" spans="1:2" x14ac:dyDescent="0.3">
      <c r="A1147" s="21">
        <v>45413.180555555555</v>
      </c>
      <c r="B1147">
        <v>60.5</v>
      </c>
    </row>
    <row r="1148" spans="1:2" x14ac:dyDescent="0.3">
      <c r="A1148" s="21">
        <v>45413.181250000001</v>
      </c>
      <c r="B1148">
        <v>60.3</v>
      </c>
    </row>
    <row r="1149" spans="1:2" x14ac:dyDescent="0.3">
      <c r="A1149" s="21">
        <v>45413.181944444441</v>
      </c>
      <c r="B1149">
        <v>60.4</v>
      </c>
    </row>
    <row r="1150" spans="1:2" x14ac:dyDescent="0.3">
      <c r="A1150" s="21">
        <v>45413.182638888888</v>
      </c>
      <c r="B1150">
        <v>61.1</v>
      </c>
    </row>
    <row r="1151" spans="1:2" x14ac:dyDescent="0.3">
      <c r="A1151" s="21">
        <v>45413.183333333334</v>
      </c>
      <c r="B1151">
        <v>60.7</v>
      </c>
    </row>
    <row r="1152" spans="1:2" x14ac:dyDescent="0.3">
      <c r="A1152" s="21">
        <v>45413.184027777781</v>
      </c>
      <c r="B1152">
        <v>60.5</v>
      </c>
    </row>
    <row r="1153" spans="1:2" x14ac:dyDescent="0.3">
      <c r="A1153" s="21">
        <v>45413.18472222222</v>
      </c>
      <c r="B1153">
        <v>60.4</v>
      </c>
    </row>
    <row r="1154" spans="1:2" x14ac:dyDescent="0.3">
      <c r="A1154" s="21">
        <v>45413.185416666667</v>
      </c>
      <c r="B1154">
        <v>60.1</v>
      </c>
    </row>
    <row r="1155" spans="1:2" x14ac:dyDescent="0.3">
      <c r="A1155" s="21">
        <v>45413.186111111114</v>
      </c>
      <c r="B1155">
        <v>60.5</v>
      </c>
    </row>
    <row r="1156" spans="1:2" x14ac:dyDescent="0.3">
      <c r="A1156" s="21">
        <v>45413.186805555553</v>
      </c>
      <c r="B1156">
        <v>60.4</v>
      </c>
    </row>
    <row r="1157" spans="1:2" x14ac:dyDescent="0.3">
      <c r="A1157" s="21">
        <v>45413.1875</v>
      </c>
      <c r="B1157">
        <v>60.4</v>
      </c>
    </row>
    <row r="1158" spans="1:2" x14ac:dyDescent="0.3">
      <c r="A1158" s="21">
        <v>45413.188194444447</v>
      </c>
      <c r="B1158">
        <v>60.6</v>
      </c>
    </row>
    <row r="1159" spans="1:2" x14ac:dyDescent="0.3">
      <c r="A1159" s="21">
        <v>45413.188888888886</v>
      </c>
      <c r="B1159">
        <v>60.3</v>
      </c>
    </row>
    <row r="1160" spans="1:2" x14ac:dyDescent="0.3">
      <c r="A1160" s="21">
        <v>45413.189583333333</v>
      </c>
      <c r="B1160">
        <v>60.6</v>
      </c>
    </row>
    <row r="1161" spans="1:2" x14ac:dyDescent="0.3">
      <c r="A1161" s="21">
        <v>45413.19027777778</v>
      </c>
      <c r="B1161">
        <v>61</v>
      </c>
    </row>
    <row r="1162" spans="1:2" x14ac:dyDescent="0.3">
      <c r="A1162" s="21">
        <v>45413.190972222219</v>
      </c>
      <c r="B1162">
        <v>60.4</v>
      </c>
    </row>
    <row r="1163" spans="1:2" x14ac:dyDescent="0.3">
      <c r="A1163" s="21">
        <v>45413.191666666666</v>
      </c>
      <c r="B1163">
        <v>60.3</v>
      </c>
    </row>
    <row r="1164" spans="1:2" x14ac:dyDescent="0.3">
      <c r="A1164" s="21">
        <v>45413.192361111112</v>
      </c>
      <c r="B1164">
        <v>60.7</v>
      </c>
    </row>
    <row r="1165" spans="1:2" x14ac:dyDescent="0.3">
      <c r="A1165" s="21">
        <v>45413.193055555559</v>
      </c>
      <c r="B1165">
        <v>60.3</v>
      </c>
    </row>
    <row r="1166" spans="1:2" x14ac:dyDescent="0.3">
      <c r="A1166" s="21">
        <v>45413.193749999999</v>
      </c>
      <c r="B1166">
        <v>60.8</v>
      </c>
    </row>
    <row r="1167" spans="1:2" x14ac:dyDescent="0.3">
      <c r="A1167" s="21">
        <v>45413.194444444445</v>
      </c>
      <c r="B1167">
        <v>60.4</v>
      </c>
    </row>
    <row r="1168" spans="1:2" x14ac:dyDescent="0.3">
      <c r="A1168" s="21">
        <v>45413.195138888892</v>
      </c>
      <c r="B1168">
        <v>60.3</v>
      </c>
    </row>
    <row r="1169" spans="1:2" x14ac:dyDescent="0.3">
      <c r="A1169" s="21">
        <v>45413.195833333331</v>
      </c>
      <c r="B1169">
        <v>60.9</v>
      </c>
    </row>
    <row r="1170" spans="1:2" x14ac:dyDescent="0.3">
      <c r="A1170" s="21">
        <v>45413.196527777778</v>
      </c>
      <c r="B1170">
        <v>60.5</v>
      </c>
    </row>
    <row r="1171" spans="1:2" x14ac:dyDescent="0.3">
      <c r="A1171" s="21">
        <v>45413.197222222225</v>
      </c>
      <c r="B1171">
        <v>60.6</v>
      </c>
    </row>
    <row r="1172" spans="1:2" x14ac:dyDescent="0.3">
      <c r="A1172" s="21">
        <v>45413.197916666664</v>
      </c>
      <c r="B1172">
        <v>60.5</v>
      </c>
    </row>
    <row r="1173" spans="1:2" x14ac:dyDescent="0.3">
      <c r="A1173" s="21">
        <v>45413.198611111111</v>
      </c>
      <c r="B1173">
        <v>60.2</v>
      </c>
    </row>
    <row r="1174" spans="1:2" x14ac:dyDescent="0.3">
      <c r="A1174" s="21">
        <v>45413.199305555558</v>
      </c>
      <c r="B1174">
        <v>60.7</v>
      </c>
    </row>
    <row r="1175" spans="1:2" x14ac:dyDescent="0.3">
      <c r="A1175" s="21">
        <v>45413.2</v>
      </c>
      <c r="B1175">
        <v>60.6</v>
      </c>
    </row>
    <row r="1176" spans="1:2" x14ac:dyDescent="0.3">
      <c r="A1176" s="21">
        <v>45413.200694444444</v>
      </c>
      <c r="B1176">
        <v>60.2</v>
      </c>
    </row>
    <row r="1177" spans="1:2" x14ac:dyDescent="0.3">
      <c r="A1177" s="21">
        <v>45413.201388888891</v>
      </c>
      <c r="B1177">
        <v>60.3</v>
      </c>
    </row>
    <row r="1178" spans="1:2" x14ac:dyDescent="0.3">
      <c r="A1178" s="21">
        <v>45413.20208333333</v>
      </c>
      <c r="B1178">
        <v>60.2</v>
      </c>
    </row>
    <row r="1179" spans="1:2" x14ac:dyDescent="0.3">
      <c r="A1179" s="21">
        <v>45413.202777777777</v>
      </c>
      <c r="B1179">
        <v>60.7</v>
      </c>
    </row>
    <row r="1180" spans="1:2" x14ac:dyDescent="0.3">
      <c r="A1180" s="21">
        <v>45413.203472222223</v>
      </c>
      <c r="B1180">
        <v>60.3</v>
      </c>
    </row>
    <row r="1181" spans="1:2" x14ac:dyDescent="0.3">
      <c r="A1181" s="21">
        <v>45413.20416666667</v>
      </c>
      <c r="B1181">
        <v>60.8</v>
      </c>
    </row>
    <row r="1182" spans="1:2" x14ac:dyDescent="0.3">
      <c r="A1182" s="21">
        <v>45413.204861111109</v>
      </c>
      <c r="B1182">
        <v>60.4</v>
      </c>
    </row>
    <row r="1183" spans="1:2" x14ac:dyDescent="0.3">
      <c r="A1183" s="21">
        <v>45413.205555555556</v>
      </c>
      <c r="B1183">
        <v>60.4</v>
      </c>
    </row>
    <row r="1184" spans="1:2" x14ac:dyDescent="0.3">
      <c r="A1184" s="21">
        <v>45413.206250000003</v>
      </c>
      <c r="B1184">
        <v>60.2</v>
      </c>
    </row>
    <row r="1185" spans="1:2" x14ac:dyDescent="0.3">
      <c r="A1185" s="21">
        <v>45413.206944444442</v>
      </c>
      <c r="B1185">
        <v>60.8</v>
      </c>
    </row>
    <row r="1186" spans="1:2" x14ac:dyDescent="0.3">
      <c r="A1186" s="21">
        <v>45413.207638888889</v>
      </c>
      <c r="B1186">
        <v>60.4</v>
      </c>
    </row>
    <row r="1187" spans="1:2" x14ac:dyDescent="0.3">
      <c r="A1187" s="21">
        <v>45413.208333333336</v>
      </c>
      <c r="B1187">
        <v>60.4</v>
      </c>
    </row>
    <row r="1188" spans="1:2" x14ac:dyDescent="0.3">
      <c r="A1188" s="21">
        <v>45413.209027777775</v>
      </c>
      <c r="B1188">
        <v>60.9</v>
      </c>
    </row>
    <row r="1189" spans="1:2" x14ac:dyDescent="0.3">
      <c r="A1189" s="21">
        <v>45413.209722222222</v>
      </c>
      <c r="B1189">
        <v>60.9</v>
      </c>
    </row>
    <row r="1190" spans="1:2" x14ac:dyDescent="0.3">
      <c r="A1190" s="21">
        <v>45413.210416666669</v>
      </c>
      <c r="B1190">
        <v>60.8</v>
      </c>
    </row>
    <row r="1191" spans="1:2" x14ac:dyDescent="0.3">
      <c r="A1191" s="21">
        <v>45413.211111111108</v>
      </c>
      <c r="B1191">
        <v>61.1</v>
      </c>
    </row>
    <row r="1192" spans="1:2" x14ac:dyDescent="0.3">
      <c r="A1192" s="21">
        <v>45413.211805555555</v>
      </c>
      <c r="B1192">
        <v>60.5</v>
      </c>
    </row>
    <row r="1193" spans="1:2" x14ac:dyDescent="0.3">
      <c r="A1193" s="21">
        <v>45413.212500000001</v>
      </c>
      <c r="B1193">
        <v>60.5</v>
      </c>
    </row>
    <row r="1194" spans="1:2" x14ac:dyDescent="0.3">
      <c r="A1194" s="21">
        <v>45413.213194444441</v>
      </c>
      <c r="B1194">
        <v>60.8</v>
      </c>
    </row>
    <row r="1195" spans="1:2" x14ac:dyDescent="0.3">
      <c r="A1195" s="21">
        <v>45413.213888888888</v>
      </c>
      <c r="B1195">
        <v>60.8</v>
      </c>
    </row>
    <row r="1196" spans="1:2" x14ac:dyDescent="0.3">
      <c r="A1196" s="21">
        <v>45413.214583333334</v>
      </c>
      <c r="B1196">
        <v>61</v>
      </c>
    </row>
    <row r="1197" spans="1:2" x14ac:dyDescent="0.3">
      <c r="A1197" s="21">
        <v>45413.215277777781</v>
      </c>
      <c r="B1197">
        <v>60.6</v>
      </c>
    </row>
    <row r="1198" spans="1:2" x14ac:dyDescent="0.3">
      <c r="A1198" s="21">
        <v>45413.21597222222</v>
      </c>
      <c r="B1198">
        <v>60.5</v>
      </c>
    </row>
    <row r="1199" spans="1:2" x14ac:dyDescent="0.3">
      <c r="A1199" s="21">
        <v>45413.216666666667</v>
      </c>
      <c r="B1199">
        <v>60.6</v>
      </c>
    </row>
    <row r="1200" spans="1:2" x14ac:dyDescent="0.3">
      <c r="A1200" s="21">
        <v>45413.217361111114</v>
      </c>
      <c r="B1200">
        <v>61</v>
      </c>
    </row>
    <row r="1201" spans="1:2" x14ac:dyDescent="0.3">
      <c r="A1201" s="21">
        <v>45413.218055555553</v>
      </c>
      <c r="B1201">
        <v>60.9</v>
      </c>
    </row>
    <row r="1202" spans="1:2" x14ac:dyDescent="0.3">
      <c r="A1202" s="21">
        <v>45413.21875</v>
      </c>
      <c r="B1202">
        <v>60.3</v>
      </c>
    </row>
    <row r="1203" spans="1:2" x14ac:dyDescent="0.3">
      <c r="A1203" s="21">
        <v>45413.219444444447</v>
      </c>
      <c r="B1203">
        <v>61.2</v>
      </c>
    </row>
    <row r="1204" spans="1:2" x14ac:dyDescent="0.3">
      <c r="A1204" s="21">
        <v>45413.220138888886</v>
      </c>
      <c r="B1204">
        <v>61.5</v>
      </c>
    </row>
    <row r="1205" spans="1:2" x14ac:dyDescent="0.3">
      <c r="A1205" s="21">
        <v>45413.220833333333</v>
      </c>
      <c r="B1205">
        <v>60.3</v>
      </c>
    </row>
    <row r="1206" spans="1:2" x14ac:dyDescent="0.3">
      <c r="A1206" s="21">
        <v>45413.22152777778</v>
      </c>
      <c r="B1206">
        <v>60.5</v>
      </c>
    </row>
    <row r="1207" spans="1:2" x14ac:dyDescent="0.3">
      <c r="A1207" s="21">
        <v>45413.222222222219</v>
      </c>
      <c r="B1207">
        <v>60.5</v>
      </c>
    </row>
    <row r="1208" spans="1:2" x14ac:dyDescent="0.3">
      <c r="A1208" s="21">
        <v>45413.222916666666</v>
      </c>
      <c r="B1208">
        <v>60.3</v>
      </c>
    </row>
    <row r="1209" spans="1:2" x14ac:dyDescent="0.3">
      <c r="A1209" s="21">
        <v>45413.223611111112</v>
      </c>
      <c r="B1209">
        <v>61.1</v>
      </c>
    </row>
    <row r="1210" spans="1:2" x14ac:dyDescent="0.3">
      <c r="A1210" s="21">
        <v>45413.224305555559</v>
      </c>
      <c r="B1210">
        <v>60.8</v>
      </c>
    </row>
    <row r="1211" spans="1:2" x14ac:dyDescent="0.3">
      <c r="A1211" s="21">
        <v>45413.224999999999</v>
      </c>
      <c r="B1211">
        <v>60.8</v>
      </c>
    </row>
    <row r="1212" spans="1:2" x14ac:dyDescent="0.3">
      <c r="A1212" s="21">
        <v>45413.225694444445</v>
      </c>
      <c r="B1212">
        <v>60.8</v>
      </c>
    </row>
    <row r="1213" spans="1:2" x14ac:dyDescent="0.3">
      <c r="A1213" s="21">
        <v>45413.226388888892</v>
      </c>
      <c r="B1213">
        <v>60.9</v>
      </c>
    </row>
    <row r="1214" spans="1:2" x14ac:dyDescent="0.3">
      <c r="A1214" s="21">
        <v>45413.227083333331</v>
      </c>
      <c r="B1214">
        <v>60.8</v>
      </c>
    </row>
    <row r="1215" spans="1:2" x14ac:dyDescent="0.3">
      <c r="A1215" s="21">
        <v>45413.227777777778</v>
      </c>
      <c r="B1215">
        <v>60.8</v>
      </c>
    </row>
    <row r="1216" spans="1:2" x14ac:dyDescent="0.3">
      <c r="A1216" s="21">
        <v>45413.228472222225</v>
      </c>
      <c r="B1216">
        <v>60.3</v>
      </c>
    </row>
    <row r="1217" spans="1:2" x14ac:dyDescent="0.3">
      <c r="A1217" s="21">
        <v>45413.229166666664</v>
      </c>
      <c r="B1217">
        <v>60.8</v>
      </c>
    </row>
    <row r="1218" spans="1:2" x14ac:dyDescent="0.3">
      <c r="A1218" s="21">
        <v>45413.229861111111</v>
      </c>
      <c r="B1218">
        <v>61</v>
      </c>
    </row>
    <row r="1219" spans="1:2" x14ac:dyDescent="0.3">
      <c r="A1219" s="21">
        <v>45413.230555555558</v>
      </c>
      <c r="B1219">
        <v>61.3</v>
      </c>
    </row>
    <row r="1220" spans="1:2" x14ac:dyDescent="0.3">
      <c r="A1220" s="21">
        <v>45413.231249999997</v>
      </c>
      <c r="B1220">
        <v>60.6</v>
      </c>
    </row>
    <row r="1221" spans="1:2" x14ac:dyDescent="0.3">
      <c r="A1221" s="21">
        <v>45413.231944444444</v>
      </c>
      <c r="B1221">
        <v>60.5</v>
      </c>
    </row>
    <row r="1222" spans="1:2" x14ac:dyDescent="0.3">
      <c r="A1222" s="21">
        <v>45413.232638888891</v>
      </c>
      <c r="B1222">
        <v>60.9</v>
      </c>
    </row>
    <row r="1223" spans="1:2" x14ac:dyDescent="0.3">
      <c r="A1223" s="21">
        <v>45413.23333333333</v>
      </c>
      <c r="B1223">
        <v>60.8</v>
      </c>
    </row>
    <row r="1224" spans="1:2" x14ac:dyDescent="0.3">
      <c r="A1224" s="21">
        <v>45413.234027777777</v>
      </c>
      <c r="B1224">
        <v>60.7</v>
      </c>
    </row>
    <row r="1225" spans="1:2" x14ac:dyDescent="0.3">
      <c r="A1225" s="21">
        <v>45413.234722222223</v>
      </c>
      <c r="B1225">
        <v>60.7</v>
      </c>
    </row>
    <row r="1226" spans="1:2" x14ac:dyDescent="0.3">
      <c r="A1226" s="21">
        <v>45413.23541666667</v>
      </c>
      <c r="B1226">
        <v>60.4</v>
      </c>
    </row>
    <row r="1227" spans="1:2" x14ac:dyDescent="0.3">
      <c r="A1227" s="21">
        <v>45413.236111111109</v>
      </c>
      <c r="B1227">
        <v>61.3</v>
      </c>
    </row>
    <row r="1228" spans="1:2" x14ac:dyDescent="0.3">
      <c r="A1228" s="21">
        <v>45413.236805555556</v>
      </c>
      <c r="B1228">
        <v>61</v>
      </c>
    </row>
    <row r="1229" spans="1:2" x14ac:dyDescent="0.3">
      <c r="A1229" s="21">
        <v>45413.237500000003</v>
      </c>
      <c r="B1229">
        <v>60.6</v>
      </c>
    </row>
    <row r="1230" spans="1:2" x14ac:dyDescent="0.3">
      <c r="A1230" s="21">
        <v>45413.238194444442</v>
      </c>
      <c r="B1230">
        <v>60.3</v>
      </c>
    </row>
    <row r="1231" spans="1:2" x14ac:dyDescent="0.3">
      <c r="A1231" s="21">
        <v>45413.238888888889</v>
      </c>
      <c r="B1231">
        <v>60.7</v>
      </c>
    </row>
    <row r="1232" spans="1:2" x14ac:dyDescent="0.3">
      <c r="A1232" s="21">
        <v>45413.239583333336</v>
      </c>
      <c r="B1232">
        <v>60.9</v>
      </c>
    </row>
    <row r="1233" spans="1:2" x14ac:dyDescent="0.3">
      <c r="A1233" s="21">
        <v>45413.240277777775</v>
      </c>
      <c r="B1233">
        <v>61</v>
      </c>
    </row>
    <row r="1234" spans="1:2" x14ac:dyDescent="0.3">
      <c r="A1234" s="21">
        <v>45413.240972222222</v>
      </c>
      <c r="B1234">
        <v>60.4</v>
      </c>
    </row>
    <row r="1235" spans="1:2" x14ac:dyDescent="0.3">
      <c r="A1235" s="21">
        <v>45413.241666666669</v>
      </c>
      <c r="B1235">
        <v>61.1</v>
      </c>
    </row>
    <row r="1236" spans="1:2" x14ac:dyDescent="0.3">
      <c r="A1236" s="21">
        <v>45413.242361111108</v>
      </c>
      <c r="B1236">
        <v>60.7</v>
      </c>
    </row>
    <row r="1237" spans="1:2" x14ac:dyDescent="0.3">
      <c r="A1237" s="21">
        <v>45413.243055555555</v>
      </c>
      <c r="B1237">
        <v>61.6</v>
      </c>
    </row>
    <row r="1238" spans="1:2" x14ac:dyDescent="0.3">
      <c r="A1238" s="21">
        <v>45413.243750000001</v>
      </c>
      <c r="B1238">
        <v>60.6</v>
      </c>
    </row>
    <row r="1239" spans="1:2" x14ac:dyDescent="0.3">
      <c r="A1239" s="21">
        <v>45413.244444444441</v>
      </c>
      <c r="B1239">
        <v>60.8</v>
      </c>
    </row>
    <row r="1240" spans="1:2" x14ac:dyDescent="0.3">
      <c r="A1240" s="21">
        <v>45413.245138888888</v>
      </c>
      <c r="B1240">
        <v>60.9</v>
      </c>
    </row>
    <row r="1241" spans="1:2" x14ac:dyDescent="0.3">
      <c r="A1241" s="21">
        <v>45413.245833333334</v>
      </c>
      <c r="B1241">
        <v>61.4</v>
      </c>
    </row>
    <row r="1242" spans="1:2" x14ac:dyDescent="0.3">
      <c r="A1242" s="21">
        <v>45413.246527777781</v>
      </c>
      <c r="B1242">
        <v>60.8</v>
      </c>
    </row>
    <row r="1243" spans="1:2" x14ac:dyDescent="0.3">
      <c r="A1243" s="21">
        <v>45413.24722222222</v>
      </c>
      <c r="B1243">
        <v>60.8</v>
      </c>
    </row>
    <row r="1244" spans="1:2" x14ac:dyDescent="0.3">
      <c r="A1244" s="21">
        <v>45413.247916666667</v>
      </c>
      <c r="B1244">
        <v>61.1</v>
      </c>
    </row>
    <row r="1245" spans="1:2" x14ac:dyDescent="0.3">
      <c r="A1245" s="21">
        <v>45413.248611111114</v>
      </c>
      <c r="B1245">
        <v>60.8</v>
      </c>
    </row>
    <row r="1246" spans="1:2" x14ac:dyDescent="0.3">
      <c r="A1246" s="21">
        <v>45413.249305555553</v>
      </c>
      <c r="B1246">
        <v>60.8</v>
      </c>
    </row>
    <row r="1247" spans="1:2" x14ac:dyDescent="0.3">
      <c r="A1247" s="21">
        <v>45413.25</v>
      </c>
      <c r="B1247">
        <v>61.1</v>
      </c>
    </row>
    <row r="1248" spans="1:2" x14ac:dyDescent="0.3">
      <c r="A1248" s="21">
        <v>45413.250694444447</v>
      </c>
      <c r="B1248">
        <v>60.7</v>
      </c>
    </row>
    <row r="1249" spans="1:2" x14ac:dyDescent="0.3">
      <c r="A1249" s="21">
        <v>45413.251388888886</v>
      </c>
      <c r="B1249">
        <v>61.2</v>
      </c>
    </row>
    <row r="1250" spans="1:2" x14ac:dyDescent="0.3">
      <c r="A1250" s="21">
        <v>45413.252083333333</v>
      </c>
      <c r="B1250">
        <v>60.9</v>
      </c>
    </row>
    <row r="1251" spans="1:2" x14ac:dyDescent="0.3">
      <c r="A1251" s="21">
        <v>45413.25277777778</v>
      </c>
      <c r="B1251">
        <v>61.2</v>
      </c>
    </row>
    <row r="1252" spans="1:2" x14ac:dyDescent="0.3">
      <c r="A1252" s="21">
        <v>45413.253472222219</v>
      </c>
      <c r="B1252">
        <v>60.8</v>
      </c>
    </row>
    <row r="1253" spans="1:2" x14ac:dyDescent="0.3">
      <c r="A1253" s="21">
        <v>45413.254166666666</v>
      </c>
      <c r="B1253">
        <v>60.9</v>
      </c>
    </row>
    <row r="1254" spans="1:2" x14ac:dyDescent="0.3">
      <c r="A1254" s="21">
        <v>45413.254861111112</v>
      </c>
      <c r="B1254">
        <v>60.8</v>
      </c>
    </row>
    <row r="1255" spans="1:2" x14ac:dyDescent="0.3">
      <c r="A1255" s="21">
        <v>45413.255555555559</v>
      </c>
      <c r="B1255">
        <v>60.8</v>
      </c>
    </row>
    <row r="1256" spans="1:2" x14ac:dyDescent="0.3">
      <c r="A1256" s="21">
        <v>45413.256249999999</v>
      </c>
      <c r="B1256">
        <v>61.1</v>
      </c>
    </row>
    <row r="1257" spans="1:2" x14ac:dyDescent="0.3">
      <c r="A1257" s="21">
        <v>45413.256944444445</v>
      </c>
      <c r="B1257">
        <v>61.1</v>
      </c>
    </row>
    <row r="1258" spans="1:2" x14ac:dyDescent="0.3">
      <c r="A1258" s="21">
        <v>45413.257638888892</v>
      </c>
      <c r="B1258">
        <v>60.6</v>
      </c>
    </row>
    <row r="1259" spans="1:2" x14ac:dyDescent="0.3">
      <c r="A1259" s="21">
        <v>45413.258333333331</v>
      </c>
      <c r="B1259">
        <v>61.1</v>
      </c>
    </row>
    <row r="1260" spans="1:2" x14ac:dyDescent="0.3">
      <c r="A1260" s="21">
        <v>45413.259027777778</v>
      </c>
      <c r="B1260">
        <v>60.9</v>
      </c>
    </row>
    <row r="1261" spans="1:2" x14ac:dyDescent="0.3">
      <c r="A1261" s="21">
        <v>45413.259722222225</v>
      </c>
      <c r="B1261">
        <v>61.1</v>
      </c>
    </row>
    <row r="1262" spans="1:2" x14ac:dyDescent="0.3">
      <c r="A1262" s="21">
        <v>45413.260416666664</v>
      </c>
      <c r="B1262">
        <v>61.4</v>
      </c>
    </row>
    <row r="1263" spans="1:2" x14ac:dyDescent="0.3">
      <c r="A1263" s="21">
        <v>45413.261111111111</v>
      </c>
      <c r="B1263">
        <v>60.9</v>
      </c>
    </row>
    <row r="1264" spans="1:2" x14ac:dyDescent="0.3">
      <c r="A1264" s="21">
        <v>45413.261805555558</v>
      </c>
      <c r="B1264">
        <v>61.4</v>
      </c>
    </row>
    <row r="1265" spans="1:2" x14ac:dyDescent="0.3">
      <c r="A1265" s="21">
        <v>45413.262499999997</v>
      </c>
      <c r="B1265">
        <v>61.3</v>
      </c>
    </row>
    <row r="1266" spans="1:2" x14ac:dyDescent="0.3">
      <c r="A1266" s="21">
        <v>45413.263194444444</v>
      </c>
      <c r="B1266">
        <v>60.9</v>
      </c>
    </row>
    <row r="1267" spans="1:2" x14ac:dyDescent="0.3">
      <c r="A1267" s="21">
        <v>45413.263888888891</v>
      </c>
      <c r="B1267">
        <v>60.8</v>
      </c>
    </row>
    <row r="1268" spans="1:2" x14ac:dyDescent="0.3">
      <c r="A1268" s="21">
        <v>45413.26458333333</v>
      </c>
      <c r="B1268">
        <v>60.9</v>
      </c>
    </row>
    <row r="1269" spans="1:2" x14ac:dyDescent="0.3">
      <c r="A1269" s="21">
        <v>45413.265277777777</v>
      </c>
      <c r="B1269">
        <v>60.8</v>
      </c>
    </row>
    <row r="1270" spans="1:2" x14ac:dyDescent="0.3">
      <c r="A1270" s="21">
        <v>45413.265972222223</v>
      </c>
      <c r="B1270">
        <v>60.9</v>
      </c>
    </row>
    <row r="1271" spans="1:2" x14ac:dyDescent="0.3">
      <c r="A1271" s="21">
        <v>45413.26666666667</v>
      </c>
      <c r="B1271">
        <v>61.3</v>
      </c>
    </row>
    <row r="1272" spans="1:2" x14ac:dyDescent="0.3">
      <c r="A1272" s="21">
        <v>45413.267361111109</v>
      </c>
      <c r="B1272">
        <v>61.2</v>
      </c>
    </row>
    <row r="1273" spans="1:2" x14ac:dyDescent="0.3">
      <c r="A1273" s="21">
        <v>45413.268055555556</v>
      </c>
      <c r="B1273">
        <v>61.3</v>
      </c>
    </row>
    <row r="1274" spans="1:2" x14ac:dyDescent="0.3">
      <c r="A1274" s="21">
        <v>45413.268750000003</v>
      </c>
      <c r="B1274">
        <v>60.7</v>
      </c>
    </row>
    <row r="1275" spans="1:2" x14ac:dyDescent="0.3">
      <c r="A1275" s="21">
        <v>45413.269444444442</v>
      </c>
      <c r="B1275">
        <v>60.9</v>
      </c>
    </row>
    <row r="1276" spans="1:2" x14ac:dyDescent="0.3">
      <c r="A1276" s="21">
        <v>45413.270138888889</v>
      </c>
      <c r="B1276">
        <v>61.5</v>
      </c>
    </row>
    <row r="1277" spans="1:2" x14ac:dyDescent="0.3">
      <c r="A1277" s="21">
        <v>45413.270833333336</v>
      </c>
      <c r="B1277">
        <v>61</v>
      </c>
    </row>
    <row r="1278" spans="1:2" x14ac:dyDescent="0.3">
      <c r="A1278" s="21">
        <v>45413.271527777775</v>
      </c>
      <c r="B1278">
        <v>61.1</v>
      </c>
    </row>
    <row r="1279" spans="1:2" x14ac:dyDescent="0.3">
      <c r="A1279" s="21">
        <v>45413.272222222222</v>
      </c>
      <c r="B1279">
        <v>60.7</v>
      </c>
    </row>
    <row r="1280" spans="1:2" x14ac:dyDescent="0.3">
      <c r="A1280" s="21">
        <v>45413.272916666669</v>
      </c>
      <c r="B1280">
        <v>60.7</v>
      </c>
    </row>
    <row r="1281" spans="1:2" x14ac:dyDescent="0.3">
      <c r="A1281" s="21">
        <v>45413.273611111108</v>
      </c>
      <c r="B1281">
        <v>60.7</v>
      </c>
    </row>
    <row r="1282" spans="1:2" x14ac:dyDescent="0.3">
      <c r="A1282" s="21">
        <v>45413.274305555555</v>
      </c>
      <c r="B1282">
        <v>60.8</v>
      </c>
    </row>
    <row r="1283" spans="1:2" x14ac:dyDescent="0.3">
      <c r="A1283" s="21">
        <v>45413.275000000001</v>
      </c>
      <c r="B1283">
        <v>61.2</v>
      </c>
    </row>
    <row r="1284" spans="1:2" x14ac:dyDescent="0.3">
      <c r="A1284" s="21">
        <v>45413.275694444441</v>
      </c>
      <c r="B1284">
        <v>61</v>
      </c>
    </row>
    <row r="1285" spans="1:2" x14ac:dyDescent="0.3">
      <c r="A1285" s="21">
        <v>45413.276388888888</v>
      </c>
      <c r="B1285">
        <v>61</v>
      </c>
    </row>
    <row r="1286" spans="1:2" x14ac:dyDescent="0.3">
      <c r="A1286" s="21">
        <v>45413.277083333334</v>
      </c>
      <c r="B1286">
        <v>61.2</v>
      </c>
    </row>
    <row r="1287" spans="1:2" x14ac:dyDescent="0.3">
      <c r="A1287" s="21">
        <v>45413.277777777781</v>
      </c>
      <c r="B1287">
        <v>61.3</v>
      </c>
    </row>
    <row r="1288" spans="1:2" x14ac:dyDescent="0.3">
      <c r="A1288" s="21">
        <v>45413.27847222222</v>
      </c>
      <c r="B1288">
        <v>61.3</v>
      </c>
    </row>
    <row r="1289" spans="1:2" x14ac:dyDescent="0.3">
      <c r="A1289" s="21">
        <v>45413.279166666667</v>
      </c>
      <c r="B1289">
        <v>61.3</v>
      </c>
    </row>
    <row r="1290" spans="1:2" x14ac:dyDescent="0.3">
      <c r="A1290" s="21">
        <v>45413.279861111114</v>
      </c>
      <c r="B1290">
        <v>61.1</v>
      </c>
    </row>
    <row r="1291" spans="1:2" x14ac:dyDescent="0.3">
      <c r="A1291" s="21">
        <v>45413.280555555553</v>
      </c>
      <c r="B1291">
        <v>61.4</v>
      </c>
    </row>
    <row r="1292" spans="1:2" x14ac:dyDescent="0.3">
      <c r="A1292" s="21">
        <v>45413.28125</v>
      </c>
      <c r="B1292">
        <v>61.3</v>
      </c>
    </row>
    <row r="1293" spans="1:2" x14ac:dyDescent="0.3">
      <c r="A1293" s="21">
        <v>45413.281944444447</v>
      </c>
      <c r="B1293">
        <v>61.4</v>
      </c>
    </row>
    <row r="1294" spans="1:2" x14ac:dyDescent="0.3">
      <c r="A1294" s="21">
        <v>45413.282638888886</v>
      </c>
      <c r="B1294">
        <v>61.3</v>
      </c>
    </row>
    <row r="1295" spans="1:2" x14ac:dyDescent="0.3">
      <c r="A1295" s="21">
        <v>45413.283333333333</v>
      </c>
      <c r="B1295">
        <v>60.4</v>
      </c>
    </row>
    <row r="1296" spans="1:2" x14ac:dyDescent="0.3">
      <c r="A1296" s="21">
        <v>45413.28402777778</v>
      </c>
      <c r="B1296">
        <v>61.4</v>
      </c>
    </row>
    <row r="1297" spans="1:2" x14ac:dyDescent="0.3">
      <c r="A1297" s="21">
        <v>45413.284722222219</v>
      </c>
      <c r="B1297">
        <v>61.1</v>
      </c>
    </row>
    <row r="1298" spans="1:2" x14ac:dyDescent="0.3">
      <c r="A1298" s="21">
        <v>45413.285416666666</v>
      </c>
      <c r="B1298">
        <v>60.8</v>
      </c>
    </row>
    <row r="1299" spans="1:2" x14ac:dyDescent="0.3">
      <c r="A1299" s="21">
        <v>45413.286111111112</v>
      </c>
      <c r="B1299">
        <v>61.2</v>
      </c>
    </row>
    <row r="1300" spans="1:2" x14ac:dyDescent="0.3">
      <c r="A1300" s="21">
        <v>45413.286805555559</v>
      </c>
      <c r="B1300">
        <v>60.6</v>
      </c>
    </row>
    <row r="1301" spans="1:2" x14ac:dyDescent="0.3">
      <c r="A1301" s="21">
        <v>45413.287499999999</v>
      </c>
      <c r="B1301">
        <v>61.4</v>
      </c>
    </row>
    <row r="1302" spans="1:2" x14ac:dyDescent="0.3">
      <c r="A1302" s="21">
        <v>45413.288194444445</v>
      </c>
      <c r="B1302">
        <v>61.4</v>
      </c>
    </row>
    <row r="1303" spans="1:2" x14ac:dyDescent="0.3">
      <c r="A1303" s="21">
        <v>45413.288888888892</v>
      </c>
      <c r="B1303">
        <v>61.3</v>
      </c>
    </row>
    <row r="1304" spans="1:2" x14ac:dyDescent="0.3">
      <c r="A1304" s="21">
        <v>45413.289583333331</v>
      </c>
      <c r="B1304">
        <v>61.3</v>
      </c>
    </row>
    <row r="1305" spans="1:2" x14ac:dyDescent="0.3">
      <c r="A1305" s="21">
        <v>45413.290277777778</v>
      </c>
      <c r="B1305">
        <v>60.9</v>
      </c>
    </row>
    <row r="1306" spans="1:2" x14ac:dyDescent="0.3">
      <c r="A1306" s="21">
        <v>45413.290972222225</v>
      </c>
      <c r="B1306">
        <v>60.6</v>
      </c>
    </row>
    <row r="1307" spans="1:2" x14ac:dyDescent="0.3">
      <c r="A1307" s="21">
        <v>45413.291666666664</v>
      </c>
      <c r="B1307">
        <v>60.9</v>
      </c>
    </row>
    <row r="1308" spans="1:2" x14ac:dyDescent="0.3">
      <c r="A1308" s="21">
        <v>45413.292361111111</v>
      </c>
      <c r="B1308">
        <v>61.3</v>
      </c>
    </row>
    <row r="1309" spans="1:2" x14ac:dyDescent="0.3">
      <c r="A1309" s="21">
        <v>45413.293055555558</v>
      </c>
      <c r="B1309">
        <v>61.3</v>
      </c>
    </row>
    <row r="1310" spans="1:2" x14ac:dyDescent="0.3">
      <c r="A1310" s="21">
        <v>45413.293749999997</v>
      </c>
      <c r="B1310">
        <v>61.5</v>
      </c>
    </row>
    <row r="1311" spans="1:2" x14ac:dyDescent="0.3">
      <c r="A1311" s="21">
        <v>45413.294444444444</v>
      </c>
      <c r="B1311">
        <v>60.7</v>
      </c>
    </row>
    <row r="1312" spans="1:2" x14ac:dyDescent="0.3">
      <c r="A1312" s="21">
        <v>45413.295138888891</v>
      </c>
      <c r="B1312">
        <v>61.3</v>
      </c>
    </row>
    <row r="1313" spans="1:2" x14ac:dyDescent="0.3">
      <c r="A1313" s="21">
        <v>45413.29583333333</v>
      </c>
      <c r="B1313">
        <v>60.9</v>
      </c>
    </row>
    <row r="1314" spans="1:2" x14ac:dyDescent="0.3">
      <c r="A1314" s="21">
        <v>45413.296527777777</v>
      </c>
      <c r="B1314">
        <v>61</v>
      </c>
    </row>
    <row r="1315" spans="1:2" x14ac:dyDescent="0.3">
      <c r="A1315" s="21">
        <v>45413.297222222223</v>
      </c>
      <c r="B1315">
        <v>61.3</v>
      </c>
    </row>
    <row r="1316" spans="1:2" x14ac:dyDescent="0.3">
      <c r="A1316" s="21">
        <v>45413.29791666667</v>
      </c>
      <c r="B1316">
        <v>61.4</v>
      </c>
    </row>
    <row r="1317" spans="1:2" x14ac:dyDescent="0.3">
      <c r="A1317" s="21">
        <v>45413.298611111109</v>
      </c>
      <c r="B1317">
        <v>61.2</v>
      </c>
    </row>
    <row r="1318" spans="1:2" x14ac:dyDescent="0.3">
      <c r="A1318" s="21">
        <v>45413.299305555556</v>
      </c>
      <c r="B1318">
        <v>61.2</v>
      </c>
    </row>
    <row r="1319" spans="1:2" x14ac:dyDescent="0.3">
      <c r="A1319" s="21">
        <v>45413.3</v>
      </c>
      <c r="B1319">
        <v>61</v>
      </c>
    </row>
    <row r="1320" spans="1:2" x14ac:dyDescent="0.3">
      <c r="A1320" s="21">
        <v>45413.300694444442</v>
      </c>
      <c r="B1320">
        <v>60.9</v>
      </c>
    </row>
    <row r="1321" spans="1:2" x14ac:dyDescent="0.3">
      <c r="A1321" s="21">
        <v>45413.301388888889</v>
      </c>
      <c r="B1321">
        <v>61.2</v>
      </c>
    </row>
    <row r="1322" spans="1:2" x14ac:dyDescent="0.3">
      <c r="A1322" s="21">
        <v>45413.302083333336</v>
      </c>
      <c r="B1322">
        <v>61.1</v>
      </c>
    </row>
    <row r="1323" spans="1:2" x14ac:dyDescent="0.3">
      <c r="A1323" s="21">
        <v>45413.302777777775</v>
      </c>
      <c r="B1323">
        <v>61.3</v>
      </c>
    </row>
    <row r="1324" spans="1:2" x14ac:dyDescent="0.3">
      <c r="A1324" s="21">
        <v>45413.303472222222</v>
      </c>
      <c r="B1324">
        <v>61.2</v>
      </c>
    </row>
    <row r="1325" spans="1:2" x14ac:dyDescent="0.3">
      <c r="A1325" s="21">
        <v>45413.304166666669</v>
      </c>
      <c r="B1325">
        <v>60.5</v>
      </c>
    </row>
    <row r="1326" spans="1:2" x14ac:dyDescent="0.3">
      <c r="A1326" s="21">
        <v>45413.304861111108</v>
      </c>
      <c r="B1326">
        <v>61.8</v>
      </c>
    </row>
    <row r="1327" spans="1:2" x14ac:dyDescent="0.3">
      <c r="A1327" s="21">
        <v>45413.305555555555</v>
      </c>
      <c r="B1327">
        <v>61.7</v>
      </c>
    </row>
    <row r="1328" spans="1:2" x14ac:dyDescent="0.3">
      <c r="A1328" s="21">
        <v>45413.306250000001</v>
      </c>
      <c r="B1328">
        <v>61.2</v>
      </c>
    </row>
    <row r="1329" spans="1:2" x14ac:dyDescent="0.3">
      <c r="A1329" s="21">
        <v>45413.306944444441</v>
      </c>
      <c r="B1329">
        <v>61.3</v>
      </c>
    </row>
    <row r="1330" spans="1:2" x14ac:dyDescent="0.3">
      <c r="A1330" s="21">
        <v>45413.307638888888</v>
      </c>
      <c r="B1330">
        <v>60.8</v>
      </c>
    </row>
    <row r="1331" spans="1:2" x14ac:dyDescent="0.3">
      <c r="A1331" s="21">
        <v>45413.308333333334</v>
      </c>
      <c r="B1331">
        <v>61</v>
      </c>
    </row>
    <row r="1332" spans="1:2" x14ac:dyDescent="0.3">
      <c r="A1332" s="21">
        <v>45413.309027777781</v>
      </c>
      <c r="B1332">
        <v>61.2</v>
      </c>
    </row>
    <row r="1333" spans="1:2" x14ac:dyDescent="0.3">
      <c r="A1333" s="21">
        <v>45413.30972222222</v>
      </c>
      <c r="B1333">
        <v>61.1</v>
      </c>
    </row>
    <row r="1334" spans="1:2" x14ac:dyDescent="0.3">
      <c r="A1334" s="21">
        <v>45413.310416666667</v>
      </c>
      <c r="B1334">
        <v>61.3</v>
      </c>
    </row>
    <row r="1335" spans="1:2" x14ac:dyDescent="0.3">
      <c r="A1335" s="21">
        <v>45413.311111111114</v>
      </c>
      <c r="B1335">
        <v>61.1</v>
      </c>
    </row>
    <row r="1336" spans="1:2" x14ac:dyDescent="0.3">
      <c r="A1336" s="21">
        <v>45413.311805555553</v>
      </c>
      <c r="B1336">
        <v>61.5</v>
      </c>
    </row>
    <row r="1337" spans="1:2" x14ac:dyDescent="0.3">
      <c r="A1337" s="21">
        <v>45413.3125</v>
      </c>
      <c r="B1337">
        <v>61.5</v>
      </c>
    </row>
    <row r="1338" spans="1:2" x14ac:dyDescent="0.3">
      <c r="A1338" s="21">
        <v>45413.313194444447</v>
      </c>
      <c r="B1338">
        <v>61.3</v>
      </c>
    </row>
    <row r="1339" spans="1:2" x14ac:dyDescent="0.3">
      <c r="A1339" s="21">
        <v>45413.313888888886</v>
      </c>
      <c r="B1339">
        <v>61.5</v>
      </c>
    </row>
    <row r="1340" spans="1:2" x14ac:dyDescent="0.3">
      <c r="A1340" s="21">
        <v>45413.314583333333</v>
      </c>
      <c r="B1340">
        <v>61.6</v>
      </c>
    </row>
    <row r="1341" spans="1:2" x14ac:dyDescent="0.3">
      <c r="A1341" s="21">
        <v>45413.31527777778</v>
      </c>
      <c r="B1341">
        <v>61.5</v>
      </c>
    </row>
    <row r="1342" spans="1:2" x14ac:dyDescent="0.3">
      <c r="A1342" s="21">
        <v>45413.315972222219</v>
      </c>
      <c r="B1342">
        <v>61.2</v>
      </c>
    </row>
    <row r="1343" spans="1:2" x14ac:dyDescent="0.3">
      <c r="A1343" s="21">
        <v>45413.316666666666</v>
      </c>
      <c r="B1343">
        <v>61</v>
      </c>
    </row>
    <row r="1344" spans="1:2" x14ac:dyDescent="0.3">
      <c r="A1344" s="21">
        <v>45413.317361111112</v>
      </c>
      <c r="B1344">
        <v>61.3</v>
      </c>
    </row>
    <row r="1345" spans="1:2" x14ac:dyDescent="0.3">
      <c r="A1345" s="21">
        <v>45413.318055555559</v>
      </c>
      <c r="B1345">
        <v>61.4</v>
      </c>
    </row>
    <row r="1346" spans="1:2" x14ac:dyDescent="0.3">
      <c r="A1346" s="21">
        <v>45413.318749999999</v>
      </c>
      <c r="B1346">
        <v>61</v>
      </c>
    </row>
    <row r="1347" spans="1:2" x14ac:dyDescent="0.3">
      <c r="A1347" s="21">
        <v>45413.319444444445</v>
      </c>
      <c r="B1347">
        <v>61.3</v>
      </c>
    </row>
    <row r="1348" spans="1:2" x14ac:dyDescent="0.3">
      <c r="A1348" s="21">
        <v>45413.320138888892</v>
      </c>
      <c r="B1348">
        <v>61.4</v>
      </c>
    </row>
    <row r="1349" spans="1:2" x14ac:dyDescent="0.3">
      <c r="A1349" s="21">
        <v>45413.320833333331</v>
      </c>
      <c r="B1349">
        <v>61.7</v>
      </c>
    </row>
    <row r="1350" spans="1:2" x14ac:dyDescent="0.3">
      <c r="A1350" s="21">
        <v>45413.321527777778</v>
      </c>
      <c r="B1350">
        <v>61.7</v>
      </c>
    </row>
    <row r="1351" spans="1:2" x14ac:dyDescent="0.3">
      <c r="A1351" s="21">
        <v>45413.322222222225</v>
      </c>
      <c r="B1351">
        <v>61.6</v>
      </c>
    </row>
    <row r="1352" spans="1:2" x14ac:dyDescent="0.3">
      <c r="A1352" s="21">
        <v>45413.322916666664</v>
      </c>
      <c r="B1352">
        <v>61</v>
      </c>
    </row>
    <row r="1353" spans="1:2" x14ac:dyDescent="0.3">
      <c r="A1353" s="21">
        <v>45413.323611111111</v>
      </c>
      <c r="B1353">
        <v>61.8</v>
      </c>
    </row>
    <row r="1354" spans="1:2" x14ac:dyDescent="0.3">
      <c r="A1354" s="21">
        <v>45413.324305555558</v>
      </c>
      <c r="B1354">
        <v>61.2</v>
      </c>
    </row>
    <row r="1355" spans="1:2" x14ac:dyDescent="0.3">
      <c r="A1355" s="21">
        <v>45413.324999999997</v>
      </c>
      <c r="B1355">
        <v>61.7</v>
      </c>
    </row>
    <row r="1356" spans="1:2" x14ac:dyDescent="0.3">
      <c r="A1356" s="21">
        <v>45413.325694444444</v>
      </c>
      <c r="B1356">
        <v>61.1</v>
      </c>
    </row>
    <row r="1357" spans="1:2" x14ac:dyDescent="0.3">
      <c r="A1357" s="21">
        <v>45413.326388888891</v>
      </c>
      <c r="B1357">
        <v>61.4</v>
      </c>
    </row>
    <row r="1358" spans="1:2" x14ac:dyDescent="0.3">
      <c r="A1358" s="21">
        <v>45413.32708333333</v>
      </c>
      <c r="B1358">
        <v>61.2</v>
      </c>
    </row>
    <row r="1359" spans="1:2" x14ac:dyDescent="0.3">
      <c r="A1359" s="21">
        <v>45413.327777777777</v>
      </c>
      <c r="B1359">
        <v>60.8</v>
      </c>
    </row>
    <row r="1360" spans="1:2" x14ac:dyDescent="0.3">
      <c r="A1360" s="21">
        <v>45413.328472222223</v>
      </c>
      <c r="B1360">
        <v>61.5</v>
      </c>
    </row>
    <row r="1361" spans="1:2" x14ac:dyDescent="0.3">
      <c r="A1361" s="21">
        <v>45413.32916666667</v>
      </c>
      <c r="B1361">
        <v>62</v>
      </c>
    </row>
    <row r="1362" spans="1:2" x14ac:dyDescent="0.3">
      <c r="A1362" s="21">
        <v>45413.329861111109</v>
      </c>
      <c r="B1362">
        <v>61.9</v>
      </c>
    </row>
    <row r="1363" spans="1:2" x14ac:dyDescent="0.3">
      <c r="A1363" s="21">
        <v>45413.330555555556</v>
      </c>
      <c r="B1363">
        <v>61.2</v>
      </c>
    </row>
    <row r="1364" spans="1:2" x14ac:dyDescent="0.3">
      <c r="A1364" s="21">
        <v>45413.331250000003</v>
      </c>
      <c r="B1364">
        <v>61.6</v>
      </c>
    </row>
    <row r="1365" spans="1:2" x14ac:dyDescent="0.3">
      <c r="A1365" s="21">
        <v>45413.331944444442</v>
      </c>
      <c r="B1365">
        <v>61.6</v>
      </c>
    </row>
    <row r="1366" spans="1:2" x14ac:dyDescent="0.3">
      <c r="A1366" s="21">
        <v>45413.332638888889</v>
      </c>
      <c r="B1366">
        <v>61.4</v>
      </c>
    </row>
    <row r="1367" spans="1:2" x14ac:dyDescent="0.3">
      <c r="A1367" s="21">
        <v>45413.333333333336</v>
      </c>
      <c r="B1367">
        <v>61</v>
      </c>
    </row>
    <row r="1368" spans="1:2" x14ac:dyDescent="0.3">
      <c r="A1368" s="21">
        <v>45413.334027777775</v>
      </c>
      <c r="B1368">
        <v>62.4</v>
      </c>
    </row>
    <row r="1369" spans="1:2" x14ac:dyDescent="0.3">
      <c r="A1369" s="21">
        <v>45413.334722222222</v>
      </c>
      <c r="B1369">
        <v>61.6</v>
      </c>
    </row>
    <row r="1370" spans="1:2" x14ac:dyDescent="0.3">
      <c r="A1370" s="21">
        <v>45413.335416666669</v>
      </c>
      <c r="B1370">
        <v>61.5</v>
      </c>
    </row>
    <row r="1371" spans="1:2" x14ac:dyDescent="0.3">
      <c r="A1371" s="21">
        <v>45413.336111111108</v>
      </c>
      <c r="B1371">
        <v>62.1</v>
      </c>
    </row>
    <row r="1372" spans="1:2" x14ac:dyDescent="0.3">
      <c r="A1372" s="21">
        <v>45413.336805555555</v>
      </c>
      <c r="B1372">
        <v>60.8</v>
      </c>
    </row>
    <row r="1373" spans="1:2" x14ac:dyDescent="0.3">
      <c r="A1373" s="21">
        <v>45413.337500000001</v>
      </c>
      <c r="B1373">
        <v>61.4</v>
      </c>
    </row>
    <row r="1374" spans="1:2" x14ac:dyDescent="0.3">
      <c r="A1374" s="21">
        <v>45413.338194444441</v>
      </c>
      <c r="B1374">
        <v>62.1</v>
      </c>
    </row>
    <row r="1375" spans="1:2" x14ac:dyDescent="0.3">
      <c r="A1375" s="21">
        <v>45413.338888888888</v>
      </c>
      <c r="B1375">
        <v>61.4</v>
      </c>
    </row>
    <row r="1376" spans="1:2" x14ac:dyDescent="0.3">
      <c r="A1376" s="21">
        <v>45413.339583333334</v>
      </c>
      <c r="B1376">
        <v>61.4</v>
      </c>
    </row>
    <row r="1377" spans="1:2" x14ac:dyDescent="0.3">
      <c r="A1377" s="21">
        <v>45413.340277777781</v>
      </c>
      <c r="B1377">
        <v>61.4</v>
      </c>
    </row>
    <row r="1378" spans="1:2" x14ac:dyDescent="0.3">
      <c r="A1378" s="21">
        <v>45413.34097222222</v>
      </c>
      <c r="B1378">
        <v>61</v>
      </c>
    </row>
    <row r="1379" spans="1:2" x14ac:dyDescent="0.3">
      <c r="A1379" s="21">
        <v>45413.341666666667</v>
      </c>
      <c r="B1379">
        <v>61.5</v>
      </c>
    </row>
    <row r="1380" spans="1:2" x14ac:dyDescent="0.3">
      <c r="A1380" s="21">
        <v>45413.342361111114</v>
      </c>
      <c r="B1380">
        <v>61.4</v>
      </c>
    </row>
    <row r="1381" spans="1:2" x14ac:dyDescent="0.3">
      <c r="A1381" s="21">
        <v>45413.343055555553</v>
      </c>
      <c r="B1381">
        <v>61.4</v>
      </c>
    </row>
    <row r="1382" spans="1:2" x14ac:dyDescent="0.3">
      <c r="A1382" s="21">
        <v>45413.34375</v>
      </c>
      <c r="B1382">
        <v>61.6</v>
      </c>
    </row>
    <row r="1383" spans="1:2" x14ac:dyDescent="0.3">
      <c r="A1383" s="21">
        <v>45413.344444444447</v>
      </c>
      <c r="B1383">
        <v>61.5</v>
      </c>
    </row>
    <row r="1384" spans="1:2" x14ac:dyDescent="0.3">
      <c r="A1384" s="21">
        <v>45413.345138888886</v>
      </c>
      <c r="B1384">
        <v>61.7</v>
      </c>
    </row>
    <row r="1385" spans="1:2" x14ac:dyDescent="0.3">
      <c r="A1385" s="21">
        <v>45413.345833333333</v>
      </c>
      <c r="B1385">
        <v>62.1</v>
      </c>
    </row>
    <row r="1386" spans="1:2" x14ac:dyDescent="0.3">
      <c r="A1386" s="21">
        <v>45413.34652777778</v>
      </c>
      <c r="B1386">
        <v>61.8</v>
      </c>
    </row>
    <row r="1387" spans="1:2" x14ac:dyDescent="0.3">
      <c r="A1387" s="21">
        <v>45413.347222222219</v>
      </c>
      <c r="B1387">
        <v>61.8</v>
      </c>
    </row>
    <row r="1388" spans="1:2" x14ac:dyDescent="0.3">
      <c r="A1388" s="21">
        <v>45413.347916666666</v>
      </c>
      <c r="B1388">
        <v>61.4</v>
      </c>
    </row>
    <row r="1389" spans="1:2" x14ac:dyDescent="0.3">
      <c r="A1389" s="21">
        <v>45413.348611111112</v>
      </c>
      <c r="B1389">
        <v>61.7</v>
      </c>
    </row>
    <row r="1390" spans="1:2" x14ac:dyDescent="0.3">
      <c r="A1390" s="21">
        <v>45413.349305555559</v>
      </c>
      <c r="B1390">
        <v>61.9</v>
      </c>
    </row>
    <row r="1391" spans="1:2" x14ac:dyDescent="0.3">
      <c r="A1391" s="21">
        <v>45413.35</v>
      </c>
      <c r="B1391">
        <v>62.2</v>
      </c>
    </row>
    <row r="1392" spans="1:2" x14ac:dyDescent="0.3">
      <c r="A1392" s="21">
        <v>45413.350694444445</v>
      </c>
      <c r="B1392">
        <v>61.6</v>
      </c>
    </row>
    <row r="1393" spans="1:2" x14ac:dyDescent="0.3">
      <c r="A1393" s="21">
        <v>45413.351388888892</v>
      </c>
      <c r="B1393">
        <v>62.1</v>
      </c>
    </row>
    <row r="1394" spans="1:2" x14ac:dyDescent="0.3">
      <c r="A1394" s="21">
        <v>45413.352083333331</v>
      </c>
      <c r="B1394">
        <v>61.6</v>
      </c>
    </row>
    <row r="1395" spans="1:2" x14ac:dyDescent="0.3">
      <c r="A1395" s="21">
        <v>45413.352777777778</v>
      </c>
      <c r="B1395">
        <v>61.7</v>
      </c>
    </row>
    <row r="1396" spans="1:2" x14ac:dyDescent="0.3">
      <c r="A1396" s="21">
        <v>45413.353472222225</v>
      </c>
      <c r="B1396">
        <v>61.6</v>
      </c>
    </row>
    <row r="1397" spans="1:2" x14ac:dyDescent="0.3">
      <c r="A1397" s="21">
        <v>45413.354166666664</v>
      </c>
      <c r="B1397">
        <v>61.8</v>
      </c>
    </row>
    <row r="1398" spans="1:2" x14ac:dyDescent="0.3">
      <c r="A1398" s="21">
        <v>45413.354861111111</v>
      </c>
      <c r="B1398">
        <v>62</v>
      </c>
    </row>
    <row r="1399" spans="1:2" x14ac:dyDescent="0.3">
      <c r="A1399" s="21">
        <v>45413.355555555558</v>
      </c>
      <c r="B1399">
        <v>61.6</v>
      </c>
    </row>
    <row r="1400" spans="1:2" x14ac:dyDescent="0.3">
      <c r="A1400" s="21">
        <v>45413.356249999997</v>
      </c>
      <c r="B1400">
        <v>61.8</v>
      </c>
    </row>
    <row r="1401" spans="1:2" x14ac:dyDescent="0.3">
      <c r="A1401" s="21">
        <v>45413.356944444444</v>
      </c>
      <c r="B1401">
        <v>61.9</v>
      </c>
    </row>
    <row r="1402" spans="1:2" x14ac:dyDescent="0.3">
      <c r="A1402" s="21">
        <v>45413.357638888891</v>
      </c>
      <c r="B1402">
        <v>61.7</v>
      </c>
    </row>
    <row r="1403" spans="1:2" x14ac:dyDescent="0.3">
      <c r="A1403" s="21">
        <v>45413.35833333333</v>
      </c>
      <c r="B1403">
        <v>61.6</v>
      </c>
    </row>
    <row r="1404" spans="1:2" x14ac:dyDescent="0.3">
      <c r="A1404" s="21">
        <v>45413.359027777777</v>
      </c>
      <c r="B1404">
        <v>61.8</v>
      </c>
    </row>
    <row r="1405" spans="1:2" x14ac:dyDescent="0.3">
      <c r="A1405" s="21">
        <v>45413.359722222223</v>
      </c>
      <c r="B1405">
        <v>62.1</v>
      </c>
    </row>
    <row r="1406" spans="1:2" x14ac:dyDescent="0.3">
      <c r="A1406" s="21">
        <v>45413.36041666667</v>
      </c>
      <c r="B1406">
        <v>62</v>
      </c>
    </row>
    <row r="1407" spans="1:2" x14ac:dyDescent="0.3">
      <c r="A1407" s="21">
        <v>45413.361111111109</v>
      </c>
      <c r="B1407">
        <v>61.8</v>
      </c>
    </row>
    <row r="1408" spans="1:2" x14ac:dyDescent="0.3">
      <c r="A1408" s="21">
        <v>45413.361805555556</v>
      </c>
      <c r="B1408">
        <v>61.8</v>
      </c>
    </row>
    <row r="1409" spans="1:2" x14ac:dyDescent="0.3">
      <c r="A1409" s="21">
        <v>45413.362500000003</v>
      </c>
      <c r="B1409">
        <v>61.7</v>
      </c>
    </row>
    <row r="1410" spans="1:2" x14ac:dyDescent="0.3">
      <c r="A1410" s="21">
        <v>45413.363194444442</v>
      </c>
      <c r="B1410">
        <v>61.6</v>
      </c>
    </row>
    <row r="1411" spans="1:2" x14ac:dyDescent="0.3">
      <c r="A1411" s="21">
        <v>45413.363888888889</v>
      </c>
      <c r="B1411">
        <v>62.2</v>
      </c>
    </row>
    <row r="1412" spans="1:2" x14ac:dyDescent="0.3">
      <c r="A1412" s="21">
        <v>45413.364583333336</v>
      </c>
      <c r="B1412">
        <v>61.9</v>
      </c>
    </row>
    <row r="1413" spans="1:2" x14ac:dyDescent="0.3">
      <c r="A1413" s="21">
        <v>45413.365277777775</v>
      </c>
      <c r="B1413">
        <v>61.6</v>
      </c>
    </row>
    <row r="1414" spans="1:2" x14ac:dyDescent="0.3">
      <c r="A1414" s="21">
        <v>45413.365972222222</v>
      </c>
      <c r="B1414">
        <v>62.6</v>
      </c>
    </row>
    <row r="1415" spans="1:2" x14ac:dyDescent="0.3">
      <c r="A1415" s="21">
        <v>45413.366666666669</v>
      </c>
      <c r="B1415">
        <v>62.1</v>
      </c>
    </row>
    <row r="1416" spans="1:2" x14ac:dyDescent="0.3">
      <c r="A1416" s="21">
        <v>45413.367361111108</v>
      </c>
      <c r="B1416">
        <v>61.9</v>
      </c>
    </row>
    <row r="1417" spans="1:2" x14ac:dyDescent="0.3">
      <c r="A1417" s="21">
        <v>45413.368055555555</v>
      </c>
      <c r="B1417">
        <v>62.1</v>
      </c>
    </row>
    <row r="1418" spans="1:2" x14ac:dyDescent="0.3">
      <c r="A1418" s="21">
        <v>45413.368750000001</v>
      </c>
      <c r="B1418">
        <v>62.2</v>
      </c>
    </row>
    <row r="1419" spans="1:2" x14ac:dyDescent="0.3">
      <c r="A1419" s="21">
        <v>45413.369444444441</v>
      </c>
      <c r="B1419">
        <v>62.4</v>
      </c>
    </row>
    <row r="1420" spans="1:2" x14ac:dyDescent="0.3">
      <c r="A1420" s="21">
        <v>45413.370138888888</v>
      </c>
      <c r="B1420">
        <v>61.9</v>
      </c>
    </row>
    <row r="1421" spans="1:2" x14ac:dyDescent="0.3">
      <c r="A1421" s="21">
        <v>45413.370833333334</v>
      </c>
      <c r="B1421">
        <v>62.2</v>
      </c>
    </row>
    <row r="1422" spans="1:2" x14ac:dyDescent="0.3">
      <c r="A1422" s="21">
        <v>45413.371527777781</v>
      </c>
      <c r="B1422">
        <v>61.8</v>
      </c>
    </row>
    <row r="1423" spans="1:2" x14ac:dyDescent="0.3">
      <c r="A1423" s="21">
        <v>45413.37222222222</v>
      </c>
      <c r="B1423">
        <v>61.8</v>
      </c>
    </row>
    <row r="1424" spans="1:2" x14ac:dyDescent="0.3">
      <c r="A1424" s="21">
        <v>45413.372916666667</v>
      </c>
      <c r="B1424">
        <v>62</v>
      </c>
    </row>
    <row r="1425" spans="1:2" x14ac:dyDescent="0.3">
      <c r="A1425" s="21">
        <v>45413.373611111114</v>
      </c>
      <c r="B1425">
        <v>61.9</v>
      </c>
    </row>
    <row r="1426" spans="1:2" x14ac:dyDescent="0.3">
      <c r="A1426" s="21">
        <v>45413.374305555553</v>
      </c>
      <c r="B1426">
        <v>62.1</v>
      </c>
    </row>
    <row r="1427" spans="1:2" x14ac:dyDescent="0.3">
      <c r="A1427" s="21">
        <v>45413.375</v>
      </c>
      <c r="B1427">
        <v>62.1</v>
      </c>
    </row>
    <row r="1428" spans="1:2" x14ac:dyDescent="0.3">
      <c r="A1428" s="21">
        <v>45413.375694444447</v>
      </c>
      <c r="B1428">
        <v>62.4</v>
      </c>
    </row>
    <row r="1429" spans="1:2" x14ac:dyDescent="0.3">
      <c r="A1429" s="21">
        <v>45413.376388888886</v>
      </c>
      <c r="B1429">
        <v>62</v>
      </c>
    </row>
    <row r="1430" spans="1:2" x14ac:dyDescent="0.3">
      <c r="A1430" s="21">
        <v>45413.377083333333</v>
      </c>
      <c r="B1430">
        <v>61.7</v>
      </c>
    </row>
    <row r="1431" spans="1:2" x14ac:dyDescent="0.3">
      <c r="A1431" s="21">
        <v>45413.37777777778</v>
      </c>
      <c r="B1431">
        <v>61.9</v>
      </c>
    </row>
    <row r="1432" spans="1:2" x14ac:dyDescent="0.3">
      <c r="A1432" s="21">
        <v>45413.378472222219</v>
      </c>
      <c r="B1432">
        <v>62.1</v>
      </c>
    </row>
    <row r="1433" spans="1:2" x14ac:dyDescent="0.3">
      <c r="A1433" s="21">
        <v>45413.379166666666</v>
      </c>
      <c r="B1433">
        <v>62.1</v>
      </c>
    </row>
    <row r="1434" spans="1:2" x14ac:dyDescent="0.3">
      <c r="A1434" s="21">
        <v>45413.379861111112</v>
      </c>
      <c r="B1434">
        <v>61.7</v>
      </c>
    </row>
    <row r="1435" spans="1:2" x14ac:dyDescent="0.3">
      <c r="A1435" s="21">
        <v>45413.380555555559</v>
      </c>
      <c r="B1435">
        <v>62.1</v>
      </c>
    </row>
    <row r="1436" spans="1:2" x14ac:dyDescent="0.3">
      <c r="A1436" s="21">
        <v>45413.381249999999</v>
      </c>
      <c r="B1436">
        <v>61.6</v>
      </c>
    </row>
    <row r="1437" spans="1:2" x14ac:dyDescent="0.3">
      <c r="A1437" s="21">
        <v>45413.381944444445</v>
      </c>
      <c r="B1437">
        <v>61.8</v>
      </c>
    </row>
    <row r="1438" spans="1:2" x14ac:dyDescent="0.3">
      <c r="A1438" s="21">
        <v>45413.382638888892</v>
      </c>
      <c r="B1438">
        <v>61.9</v>
      </c>
    </row>
    <row r="1439" spans="1:2" x14ac:dyDescent="0.3">
      <c r="A1439" s="21">
        <v>45413.383333333331</v>
      </c>
      <c r="B1439">
        <v>62.1</v>
      </c>
    </row>
    <row r="1440" spans="1:2" x14ac:dyDescent="0.3">
      <c r="A1440" s="21">
        <v>45413.384027777778</v>
      </c>
      <c r="B1440">
        <v>61.9</v>
      </c>
    </row>
    <row r="1441" spans="1:2" x14ac:dyDescent="0.3">
      <c r="A1441" s="21">
        <v>45413.384722222225</v>
      </c>
      <c r="B1441">
        <v>61.8</v>
      </c>
    </row>
    <row r="1442" spans="1:2" x14ac:dyDescent="0.3">
      <c r="A1442" s="21">
        <v>45413.385416666664</v>
      </c>
      <c r="B1442">
        <v>62.3</v>
      </c>
    </row>
    <row r="1443" spans="1:2" x14ac:dyDescent="0.3">
      <c r="A1443" s="21">
        <v>45413.386111111111</v>
      </c>
      <c r="B1443">
        <v>61.9</v>
      </c>
    </row>
    <row r="1444" spans="1:2" x14ac:dyDescent="0.3">
      <c r="A1444" s="21">
        <v>45413.386805555558</v>
      </c>
      <c r="B1444">
        <v>61.9</v>
      </c>
    </row>
    <row r="1445" spans="1:2" x14ac:dyDescent="0.3">
      <c r="A1445" s="21">
        <v>45413.387499999997</v>
      </c>
      <c r="B1445">
        <v>62.3</v>
      </c>
    </row>
    <row r="1446" spans="1:2" x14ac:dyDescent="0.3">
      <c r="A1446" s="21">
        <v>45413.388194444444</v>
      </c>
      <c r="B1446">
        <v>61.8</v>
      </c>
    </row>
    <row r="1447" spans="1:2" x14ac:dyDescent="0.3">
      <c r="A1447" s="21">
        <v>45413.388888888891</v>
      </c>
      <c r="B1447">
        <v>62.3</v>
      </c>
    </row>
    <row r="1448" spans="1:2" x14ac:dyDescent="0.3">
      <c r="A1448" s="21">
        <v>45413.38958333333</v>
      </c>
      <c r="B1448">
        <v>62.2</v>
      </c>
    </row>
    <row r="1449" spans="1:2" x14ac:dyDescent="0.3">
      <c r="A1449" s="21">
        <v>45413.390277777777</v>
      </c>
      <c r="B1449">
        <v>61.8</v>
      </c>
    </row>
    <row r="1450" spans="1:2" x14ac:dyDescent="0.3">
      <c r="A1450" s="21">
        <v>45413.390972222223</v>
      </c>
      <c r="B1450">
        <v>62.2</v>
      </c>
    </row>
    <row r="1451" spans="1:2" x14ac:dyDescent="0.3">
      <c r="A1451" s="21">
        <v>45413.39166666667</v>
      </c>
      <c r="B1451">
        <v>61.7</v>
      </c>
    </row>
    <row r="1452" spans="1:2" x14ac:dyDescent="0.3">
      <c r="A1452" s="21">
        <v>45413.392361111109</v>
      </c>
      <c r="B1452">
        <v>62.1</v>
      </c>
    </row>
    <row r="1453" spans="1:2" x14ac:dyDescent="0.3">
      <c r="A1453" s="21">
        <v>45413.393055555556</v>
      </c>
      <c r="B1453">
        <v>61.9</v>
      </c>
    </row>
    <row r="1454" spans="1:2" x14ac:dyDescent="0.3">
      <c r="A1454" s="21">
        <v>45413.393750000003</v>
      </c>
      <c r="B1454">
        <v>61.6</v>
      </c>
    </row>
    <row r="1455" spans="1:2" x14ac:dyDescent="0.3">
      <c r="A1455" s="21">
        <v>45413.394444444442</v>
      </c>
      <c r="B1455">
        <v>61.6</v>
      </c>
    </row>
    <row r="1456" spans="1:2" x14ac:dyDescent="0.3">
      <c r="A1456" s="21">
        <v>45413.395138888889</v>
      </c>
      <c r="B1456">
        <v>62</v>
      </c>
    </row>
    <row r="1457" spans="1:2" x14ac:dyDescent="0.3">
      <c r="A1457" s="21">
        <v>45413.395833333336</v>
      </c>
      <c r="B1457">
        <v>61.8</v>
      </c>
    </row>
    <row r="1458" spans="1:2" x14ac:dyDescent="0.3">
      <c r="A1458" s="21">
        <v>45413.396527777775</v>
      </c>
      <c r="B1458">
        <v>62.1</v>
      </c>
    </row>
    <row r="1459" spans="1:2" x14ac:dyDescent="0.3">
      <c r="A1459" s="21">
        <v>45413.397222222222</v>
      </c>
      <c r="B1459">
        <v>61.6</v>
      </c>
    </row>
    <row r="1460" spans="1:2" x14ac:dyDescent="0.3">
      <c r="A1460" s="21">
        <v>45413.397916666669</v>
      </c>
      <c r="B1460">
        <v>61.6</v>
      </c>
    </row>
    <row r="1461" spans="1:2" x14ac:dyDescent="0.3">
      <c r="A1461" s="21">
        <v>45413.398611111108</v>
      </c>
      <c r="B1461">
        <v>61.9</v>
      </c>
    </row>
    <row r="1462" spans="1:2" x14ac:dyDescent="0.3">
      <c r="A1462" s="21">
        <v>45413.399305555555</v>
      </c>
      <c r="B1462">
        <v>61.9</v>
      </c>
    </row>
    <row r="1463" spans="1:2" x14ac:dyDescent="0.3">
      <c r="A1463" s="21">
        <v>45413.4</v>
      </c>
      <c r="B1463">
        <v>62.1</v>
      </c>
    </row>
    <row r="1464" spans="1:2" x14ac:dyDescent="0.3">
      <c r="A1464" s="21">
        <v>45413.400694444441</v>
      </c>
      <c r="B1464">
        <v>62.1</v>
      </c>
    </row>
    <row r="1465" spans="1:2" x14ac:dyDescent="0.3">
      <c r="A1465" s="21">
        <v>45413.401388888888</v>
      </c>
      <c r="B1465">
        <v>61.4</v>
      </c>
    </row>
    <row r="1466" spans="1:2" x14ac:dyDescent="0.3">
      <c r="A1466" s="21">
        <v>45413.402083333334</v>
      </c>
      <c r="B1466">
        <v>61.8</v>
      </c>
    </row>
    <row r="1467" spans="1:2" x14ac:dyDescent="0.3">
      <c r="A1467" s="21">
        <v>45413.402777777781</v>
      </c>
      <c r="B1467">
        <v>61.7</v>
      </c>
    </row>
    <row r="1468" spans="1:2" x14ac:dyDescent="0.3">
      <c r="A1468" s="21">
        <v>45413.40347222222</v>
      </c>
      <c r="B1468">
        <v>62</v>
      </c>
    </row>
    <row r="1469" spans="1:2" x14ac:dyDescent="0.3">
      <c r="A1469" s="21">
        <v>45413.404166666667</v>
      </c>
      <c r="B1469">
        <v>61.6</v>
      </c>
    </row>
    <row r="1470" spans="1:2" x14ac:dyDescent="0.3">
      <c r="A1470" s="21">
        <v>45413.404861111114</v>
      </c>
      <c r="B1470">
        <v>62</v>
      </c>
    </row>
    <row r="1471" spans="1:2" x14ac:dyDescent="0.3">
      <c r="A1471" s="21">
        <v>45413.405555555553</v>
      </c>
      <c r="B1471">
        <v>61.6</v>
      </c>
    </row>
    <row r="1472" spans="1:2" x14ac:dyDescent="0.3">
      <c r="A1472" s="21">
        <v>45413.40625</v>
      </c>
      <c r="B1472">
        <v>61.6</v>
      </c>
    </row>
    <row r="1473" spans="1:2" x14ac:dyDescent="0.3">
      <c r="A1473" s="21">
        <v>45413.406944444447</v>
      </c>
      <c r="B1473">
        <v>61.5</v>
      </c>
    </row>
    <row r="1474" spans="1:2" x14ac:dyDescent="0.3">
      <c r="A1474" s="21">
        <v>45413.407638888886</v>
      </c>
      <c r="B1474">
        <v>61.7</v>
      </c>
    </row>
    <row r="1475" spans="1:2" x14ac:dyDescent="0.3">
      <c r="A1475" s="21">
        <v>45413.408333333333</v>
      </c>
      <c r="B1475">
        <v>61.7</v>
      </c>
    </row>
    <row r="1476" spans="1:2" x14ac:dyDescent="0.3">
      <c r="A1476" s="21">
        <v>45413.40902777778</v>
      </c>
      <c r="B1476">
        <v>61.7</v>
      </c>
    </row>
    <row r="1477" spans="1:2" x14ac:dyDescent="0.3">
      <c r="A1477" s="21">
        <v>45413.409722222219</v>
      </c>
      <c r="B1477">
        <v>61.7</v>
      </c>
    </row>
    <row r="1478" spans="1:2" x14ac:dyDescent="0.3">
      <c r="A1478" s="21">
        <v>45413.410416666666</v>
      </c>
      <c r="B1478">
        <v>61.7</v>
      </c>
    </row>
    <row r="1479" spans="1:2" x14ac:dyDescent="0.3">
      <c r="A1479" s="21">
        <v>45413.411111111112</v>
      </c>
      <c r="B1479">
        <v>61.9</v>
      </c>
    </row>
    <row r="1480" spans="1:2" x14ac:dyDescent="0.3">
      <c r="A1480" s="21">
        <v>45413.411805555559</v>
      </c>
      <c r="B1480">
        <v>61.6</v>
      </c>
    </row>
    <row r="1481" spans="1:2" x14ac:dyDescent="0.3">
      <c r="A1481" s="21">
        <v>45413.412499999999</v>
      </c>
      <c r="B1481">
        <v>61.6</v>
      </c>
    </row>
    <row r="1482" spans="1:2" x14ac:dyDescent="0.3">
      <c r="A1482" s="21">
        <v>45413.413194444445</v>
      </c>
      <c r="B1482">
        <v>61.4</v>
      </c>
    </row>
    <row r="1483" spans="1:2" x14ac:dyDescent="0.3">
      <c r="A1483" s="21">
        <v>45413.413888888892</v>
      </c>
      <c r="B1483">
        <v>61.6</v>
      </c>
    </row>
    <row r="1484" spans="1:2" x14ac:dyDescent="0.3">
      <c r="A1484" s="21">
        <v>45413.414583333331</v>
      </c>
      <c r="B1484">
        <v>61.4</v>
      </c>
    </row>
    <row r="1485" spans="1:2" x14ac:dyDescent="0.3">
      <c r="A1485" s="21">
        <v>45413.415277777778</v>
      </c>
      <c r="B1485">
        <v>61.6</v>
      </c>
    </row>
    <row r="1486" spans="1:2" x14ac:dyDescent="0.3">
      <c r="A1486" s="21">
        <v>45413.415972222225</v>
      </c>
      <c r="B1486">
        <v>61.4</v>
      </c>
    </row>
    <row r="1487" spans="1:2" x14ac:dyDescent="0.3">
      <c r="A1487" s="21">
        <v>45413.416666666664</v>
      </c>
      <c r="B1487">
        <v>61.6</v>
      </c>
    </row>
    <row r="1488" spans="1:2" x14ac:dyDescent="0.3">
      <c r="A1488" s="21">
        <v>45413.417361111111</v>
      </c>
      <c r="B1488">
        <v>61.4</v>
      </c>
    </row>
    <row r="1489" spans="1:2" x14ac:dyDescent="0.3">
      <c r="A1489" s="21">
        <v>45413.418055555558</v>
      </c>
      <c r="B1489">
        <v>61.3</v>
      </c>
    </row>
    <row r="1490" spans="1:2" x14ac:dyDescent="0.3">
      <c r="A1490" s="21">
        <v>45413.418749999997</v>
      </c>
      <c r="B1490">
        <v>61.4</v>
      </c>
    </row>
    <row r="1491" spans="1:2" x14ac:dyDescent="0.3">
      <c r="A1491" s="21">
        <v>45413.419444444444</v>
      </c>
      <c r="B1491">
        <v>61.4</v>
      </c>
    </row>
    <row r="1492" spans="1:2" x14ac:dyDescent="0.3">
      <c r="A1492" s="21">
        <v>45413.420138888891</v>
      </c>
      <c r="B1492">
        <v>61.5</v>
      </c>
    </row>
    <row r="1493" spans="1:2" x14ac:dyDescent="0.3">
      <c r="A1493" s="21">
        <v>45413.42083333333</v>
      </c>
      <c r="B1493">
        <v>61.6</v>
      </c>
    </row>
    <row r="1494" spans="1:2" x14ac:dyDescent="0.3">
      <c r="A1494" s="21">
        <v>45413.421527777777</v>
      </c>
      <c r="B1494">
        <v>61.4</v>
      </c>
    </row>
    <row r="1495" spans="1:2" x14ac:dyDescent="0.3">
      <c r="A1495" s="21">
        <v>45413.422222222223</v>
      </c>
      <c r="B1495">
        <v>61.7</v>
      </c>
    </row>
    <row r="1496" spans="1:2" x14ac:dyDescent="0.3">
      <c r="A1496" s="21">
        <v>45413.42291666667</v>
      </c>
      <c r="B1496">
        <v>61.5</v>
      </c>
    </row>
    <row r="1497" spans="1:2" x14ac:dyDescent="0.3">
      <c r="A1497" s="21">
        <v>45413.423611111109</v>
      </c>
      <c r="B1497">
        <v>61.4</v>
      </c>
    </row>
    <row r="1498" spans="1:2" x14ac:dyDescent="0.3">
      <c r="A1498" s="21">
        <v>45413.424305555556</v>
      </c>
      <c r="B1498">
        <v>61.2</v>
      </c>
    </row>
    <row r="1499" spans="1:2" x14ac:dyDescent="0.3">
      <c r="A1499" s="21">
        <v>45413.425000000003</v>
      </c>
      <c r="B1499">
        <v>61.3</v>
      </c>
    </row>
    <row r="1500" spans="1:2" x14ac:dyDescent="0.3">
      <c r="A1500" s="21">
        <v>45413.425694444442</v>
      </c>
      <c r="B1500">
        <v>61.3</v>
      </c>
    </row>
    <row r="1501" spans="1:2" x14ac:dyDescent="0.3">
      <c r="A1501" s="21">
        <v>45413.426388888889</v>
      </c>
      <c r="B1501">
        <v>61.4</v>
      </c>
    </row>
    <row r="1502" spans="1:2" x14ac:dyDescent="0.3">
      <c r="A1502" s="21">
        <v>45413.427083333336</v>
      </c>
      <c r="B1502">
        <v>61.2</v>
      </c>
    </row>
    <row r="1503" spans="1:2" x14ac:dyDescent="0.3">
      <c r="A1503" s="21">
        <v>45413.427777777775</v>
      </c>
      <c r="B1503">
        <v>61.1</v>
      </c>
    </row>
    <row r="1504" spans="1:2" x14ac:dyDescent="0.3">
      <c r="A1504" s="21">
        <v>45413.428472222222</v>
      </c>
      <c r="B1504">
        <v>61.4</v>
      </c>
    </row>
    <row r="1505" spans="1:2" x14ac:dyDescent="0.3">
      <c r="A1505" s="21">
        <v>45413.429166666669</v>
      </c>
      <c r="B1505">
        <v>61.4</v>
      </c>
    </row>
    <row r="1506" spans="1:2" x14ac:dyDescent="0.3">
      <c r="A1506" s="21">
        <v>45413.429861111108</v>
      </c>
      <c r="B1506">
        <v>61</v>
      </c>
    </row>
    <row r="1507" spans="1:2" x14ac:dyDescent="0.3">
      <c r="A1507" s="21">
        <v>45413.430555555555</v>
      </c>
      <c r="B1507">
        <v>61.2</v>
      </c>
    </row>
    <row r="1508" spans="1:2" x14ac:dyDescent="0.3">
      <c r="A1508" s="21">
        <v>45413.431250000001</v>
      </c>
      <c r="B1508">
        <v>61.1</v>
      </c>
    </row>
    <row r="1509" spans="1:2" x14ac:dyDescent="0.3">
      <c r="A1509" s="21">
        <v>45413.431944444441</v>
      </c>
      <c r="B1509">
        <v>61.4</v>
      </c>
    </row>
    <row r="1510" spans="1:2" x14ac:dyDescent="0.3">
      <c r="A1510" s="21">
        <v>45413.432638888888</v>
      </c>
      <c r="B1510">
        <v>61.5</v>
      </c>
    </row>
    <row r="1511" spans="1:2" x14ac:dyDescent="0.3">
      <c r="A1511" s="21">
        <v>45413.433333333334</v>
      </c>
      <c r="B1511">
        <v>61.2</v>
      </c>
    </row>
    <row r="1512" spans="1:2" x14ac:dyDescent="0.3">
      <c r="A1512" s="21">
        <v>45413.434027777781</v>
      </c>
      <c r="B1512">
        <v>61.4</v>
      </c>
    </row>
    <row r="1513" spans="1:2" x14ac:dyDescent="0.3">
      <c r="A1513" s="21">
        <v>45413.43472222222</v>
      </c>
      <c r="B1513">
        <v>61.5</v>
      </c>
    </row>
    <row r="1514" spans="1:2" x14ac:dyDescent="0.3">
      <c r="A1514" s="21">
        <v>45413.435416666667</v>
      </c>
      <c r="B1514">
        <v>61.2</v>
      </c>
    </row>
    <row r="1515" spans="1:2" x14ac:dyDescent="0.3">
      <c r="A1515" s="21">
        <v>45413.436111111114</v>
      </c>
      <c r="B1515">
        <v>61.2</v>
      </c>
    </row>
    <row r="1516" spans="1:2" x14ac:dyDescent="0.3">
      <c r="A1516" s="21">
        <v>45413.436805555553</v>
      </c>
      <c r="B1516">
        <v>61.3</v>
      </c>
    </row>
    <row r="1517" spans="1:2" x14ac:dyDescent="0.3">
      <c r="A1517" s="21">
        <v>45413.4375</v>
      </c>
      <c r="B1517">
        <v>61.4</v>
      </c>
    </row>
    <row r="1518" spans="1:2" x14ac:dyDescent="0.3">
      <c r="A1518" s="21">
        <v>45413.438194444447</v>
      </c>
      <c r="B1518">
        <v>61.4</v>
      </c>
    </row>
    <row r="1519" spans="1:2" x14ac:dyDescent="0.3">
      <c r="A1519" s="21">
        <v>45413.438888888886</v>
      </c>
      <c r="B1519">
        <v>61.2</v>
      </c>
    </row>
    <row r="1520" spans="1:2" x14ac:dyDescent="0.3">
      <c r="A1520" s="21">
        <v>45413.439583333333</v>
      </c>
      <c r="B1520">
        <v>61.4</v>
      </c>
    </row>
    <row r="1521" spans="1:2" x14ac:dyDescent="0.3">
      <c r="A1521" s="21">
        <v>45413.44027777778</v>
      </c>
      <c r="B1521">
        <v>61.3</v>
      </c>
    </row>
    <row r="1522" spans="1:2" x14ac:dyDescent="0.3">
      <c r="A1522" s="21">
        <v>45413.440972222219</v>
      </c>
      <c r="B1522">
        <v>61.4</v>
      </c>
    </row>
    <row r="1523" spans="1:2" x14ac:dyDescent="0.3">
      <c r="A1523" s="21">
        <v>45413.441666666666</v>
      </c>
      <c r="B1523">
        <v>61.1</v>
      </c>
    </row>
    <row r="1524" spans="1:2" x14ac:dyDescent="0.3">
      <c r="A1524" s="21">
        <v>45413.442361111112</v>
      </c>
      <c r="B1524">
        <v>61.2</v>
      </c>
    </row>
    <row r="1525" spans="1:2" x14ac:dyDescent="0.3">
      <c r="A1525" s="21">
        <v>45413.443055555559</v>
      </c>
      <c r="B1525">
        <v>61.8</v>
      </c>
    </row>
    <row r="1526" spans="1:2" x14ac:dyDescent="0.3">
      <c r="A1526" s="21">
        <v>45413.443749999999</v>
      </c>
      <c r="B1526">
        <v>61.3</v>
      </c>
    </row>
    <row r="1527" spans="1:2" x14ac:dyDescent="0.3">
      <c r="A1527" s="21">
        <v>45413.444444444445</v>
      </c>
      <c r="B1527">
        <v>61.3</v>
      </c>
    </row>
    <row r="1528" spans="1:2" x14ac:dyDescent="0.3">
      <c r="A1528" s="21">
        <v>45413.445138888892</v>
      </c>
      <c r="B1528">
        <v>61.9</v>
      </c>
    </row>
    <row r="1529" spans="1:2" x14ac:dyDescent="0.3">
      <c r="A1529" s="21">
        <v>45413.445833333331</v>
      </c>
      <c r="B1529">
        <v>61</v>
      </c>
    </row>
    <row r="1530" spans="1:2" x14ac:dyDescent="0.3">
      <c r="A1530" s="21">
        <v>45413.446527777778</v>
      </c>
      <c r="B1530">
        <v>61.3</v>
      </c>
    </row>
    <row r="1531" spans="1:2" x14ac:dyDescent="0.3">
      <c r="A1531" s="21">
        <v>45413.447222222225</v>
      </c>
      <c r="B1531">
        <v>61.3</v>
      </c>
    </row>
    <row r="1532" spans="1:2" x14ac:dyDescent="0.3">
      <c r="A1532" s="21">
        <v>45413.447916666664</v>
      </c>
      <c r="B1532">
        <v>61</v>
      </c>
    </row>
    <row r="1533" spans="1:2" x14ac:dyDescent="0.3">
      <c r="A1533" s="21">
        <v>45413.448611111111</v>
      </c>
      <c r="B1533">
        <v>61.4</v>
      </c>
    </row>
    <row r="1534" spans="1:2" x14ac:dyDescent="0.3">
      <c r="A1534" s="21">
        <v>45413.449305555558</v>
      </c>
      <c r="B1534">
        <v>61.1</v>
      </c>
    </row>
    <row r="1535" spans="1:2" x14ac:dyDescent="0.3">
      <c r="A1535" s="21">
        <v>45413.45</v>
      </c>
      <c r="B1535">
        <v>61.4</v>
      </c>
    </row>
    <row r="1536" spans="1:2" x14ac:dyDescent="0.3">
      <c r="A1536" s="21">
        <v>45413.450694444444</v>
      </c>
      <c r="B1536">
        <v>61.3</v>
      </c>
    </row>
    <row r="1537" spans="1:2" x14ac:dyDescent="0.3">
      <c r="A1537" s="21">
        <v>45413.451388888891</v>
      </c>
      <c r="B1537">
        <v>61.5</v>
      </c>
    </row>
    <row r="1538" spans="1:2" x14ac:dyDescent="0.3">
      <c r="A1538" s="21">
        <v>45413.45208333333</v>
      </c>
      <c r="B1538">
        <v>61.1</v>
      </c>
    </row>
    <row r="1539" spans="1:2" x14ac:dyDescent="0.3">
      <c r="A1539" s="21">
        <v>45413.452777777777</v>
      </c>
      <c r="B1539">
        <v>61.1</v>
      </c>
    </row>
    <row r="1540" spans="1:2" x14ac:dyDescent="0.3">
      <c r="A1540" s="21">
        <v>45413.453472222223</v>
      </c>
      <c r="B1540">
        <v>61.4</v>
      </c>
    </row>
    <row r="1541" spans="1:2" x14ac:dyDescent="0.3">
      <c r="A1541" s="21">
        <v>45413.45416666667</v>
      </c>
      <c r="B1541">
        <v>61.4</v>
      </c>
    </row>
    <row r="1542" spans="1:2" x14ac:dyDescent="0.3">
      <c r="A1542" s="21">
        <v>45413.454861111109</v>
      </c>
      <c r="B1542">
        <v>60.9</v>
      </c>
    </row>
    <row r="1543" spans="1:2" x14ac:dyDescent="0.3">
      <c r="A1543" s="21">
        <v>45413.455555555556</v>
      </c>
      <c r="B1543">
        <v>61.7</v>
      </c>
    </row>
    <row r="1544" spans="1:2" x14ac:dyDescent="0.3">
      <c r="A1544" s="21">
        <v>45413.456250000003</v>
      </c>
      <c r="B1544">
        <v>60.9</v>
      </c>
    </row>
    <row r="1545" spans="1:2" x14ac:dyDescent="0.3">
      <c r="A1545" s="21">
        <v>45413.456944444442</v>
      </c>
      <c r="B1545">
        <v>61.6</v>
      </c>
    </row>
    <row r="1546" spans="1:2" x14ac:dyDescent="0.3">
      <c r="A1546" s="21">
        <v>45413.457638888889</v>
      </c>
      <c r="B1546">
        <v>61</v>
      </c>
    </row>
    <row r="1547" spans="1:2" x14ac:dyDescent="0.3">
      <c r="A1547" s="21">
        <v>45413.458333333336</v>
      </c>
      <c r="B1547">
        <v>61.5</v>
      </c>
    </row>
    <row r="1548" spans="1:2" x14ac:dyDescent="0.3">
      <c r="A1548" s="21">
        <v>45413.459027777775</v>
      </c>
      <c r="B1548">
        <v>61.2</v>
      </c>
    </row>
    <row r="1549" spans="1:2" x14ac:dyDescent="0.3">
      <c r="A1549" s="21">
        <v>45413.459722222222</v>
      </c>
      <c r="B1549">
        <v>61.3</v>
      </c>
    </row>
    <row r="1550" spans="1:2" x14ac:dyDescent="0.3">
      <c r="A1550" s="21">
        <v>45413.460416666669</v>
      </c>
      <c r="B1550">
        <v>61.3</v>
      </c>
    </row>
    <row r="1551" spans="1:2" x14ac:dyDescent="0.3">
      <c r="A1551" s="21">
        <v>45413.461111111108</v>
      </c>
      <c r="B1551">
        <v>61.1</v>
      </c>
    </row>
    <row r="1552" spans="1:2" x14ac:dyDescent="0.3">
      <c r="A1552" s="21">
        <v>45413.461805555555</v>
      </c>
      <c r="B1552">
        <v>61.1</v>
      </c>
    </row>
    <row r="1553" spans="1:2" x14ac:dyDescent="0.3">
      <c r="A1553" s="21">
        <v>45413.462500000001</v>
      </c>
      <c r="B1553">
        <v>61.1</v>
      </c>
    </row>
    <row r="1554" spans="1:2" x14ac:dyDescent="0.3">
      <c r="A1554" s="21">
        <v>45413.463194444441</v>
      </c>
      <c r="B1554">
        <v>61.3</v>
      </c>
    </row>
    <row r="1555" spans="1:2" x14ac:dyDescent="0.3">
      <c r="A1555" s="21">
        <v>45413.463888888888</v>
      </c>
      <c r="B1555">
        <v>61.2</v>
      </c>
    </row>
    <row r="1556" spans="1:2" x14ac:dyDescent="0.3">
      <c r="A1556" s="21">
        <v>45413.464583333334</v>
      </c>
      <c r="B1556">
        <v>61.6</v>
      </c>
    </row>
    <row r="1557" spans="1:2" x14ac:dyDescent="0.3">
      <c r="A1557" s="21">
        <v>45413.465277777781</v>
      </c>
      <c r="B1557">
        <v>61.1</v>
      </c>
    </row>
    <row r="1558" spans="1:2" x14ac:dyDescent="0.3">
      <c r="A1558" s="21">
        <v>45413.46597222222</v>
      </c>
      <c r="B1558">
        <v>61.2</v>
      </c>
    </row>
    <row r="1559" spans="1:2" x14ac:dyDescent="0.3">
      <c r="A1559" s="21">
        <v>45413.466666666667</v>
      </c>
      <c r="B1559">
        <v>61.1</v>
      </c>
    </row>
    <row r="1560" spans="1:2" x14ac:dyDescent="0.3">
      <c r="A1560" s="21">
        <v>45413.467361111114</v>
      </c>
      <c r="B1560">
        <v>61.1</v>
      </c>
    </row>
    <row r="1561" spans="1:2" x14ac:dyDescent="0.3">
      <c r="A1561" s="21">
        <v>45413.468055555553</v>
      </c>
      <c r="B1561">
        <v>61.2</v>
      </c>
    </row>
    <row r="1562" spans="1:2" x14ac:dyDescent="0.3">
      <c r="A1562" s="21">
        <v>45413.46875</v>
      </c>
      <c r="B1562">
        <v>61</v>
      </c>
    </row>
    <row r="1563" spans="1:2" x14ac:dyDescent="0.3">
      <c r="A1563" s="21">
        <v>45413.469444444447</v>
      </c>
      <c r="B1563">
        <v>61.3</v>
      </c>
    </row>
    <row r="1564" spans="1:2" x14ac:dyDescent="0.3">
      <c r="A1564" s="21">
        <v>45413.470138888886</v>
      </c>
      <c r="B1564">
        <v>61.2</v>
      </c>
    </row>
    <row r="1565" spans="1:2" x14ac:dyDescent="0.3">
      <c r="A1565" s="21">
        <v>45413.470833333333</v>
      </c>
      <c r="B1565">
        <v>61.3</v>
      </c>
    </row>
    <row r="1566" spans="1:2" x14ac:dyDescent="0.3">
      <c r="A1566" s="21">
        <v>45413.47152777778</v>
      </c>
      <c r="B1566">
        <v>60.9</v>
      </c>
    </row>
    <row r="1567" spans="1:2" x14ac:dyDescent="0.3">
      <c r="A1567" s="21">
        <v>45413.472222222219</v>
      </c>
      <c r="B1567">
        <v>61.1</v>
      </c>
    </row>
    <row r="1568" spans="1:2" x14ac:dyDescent="0.3">
      <c r="A1568" s="21">
        <v>45413.472916666666</v>
      </c>
      <c r="B1568">
        <v>61.1</v>
      </c>
    </row>
    <row r="1569" spans="1:2" x14ac:dyDescent="0.3">
      <c r="A1569" s="21">
        <v>45413.473611111112</v>
      </c>
      <c r="B1569">
        <v>61.1</v>
      </c>
    </row>
    <row r="1570" spans="1:2" x14ac:dyDescent="0.3">
      <c r="A1570" s="21">
        <v>45413.474305555559</v>
      </c>
      <c r="B1570">
        <v>61.1</v>
      </c>
    </row>
    <row r="1571" spans="1:2" x14ac:dyDescent="0.3">
      <c r="A1571" s="21">
        <v>45413.474999999999</v>
      </c>
      <c r="B1571">
        <v>61.2</v>
      </c>
    </row>
    <row r="1572" spans="1:2" x14ac:dyDescent="0.3">
      <c r="A1572" s="21">
        <v>45413.475694444445</v>
      </c>
      <c r="B1572">
        <v>61.3</v>
      </c>
    </row>
    <row r="1573" spans="1:2" x14ac:dyDescent="0.3">
      <c r="A1573" s="21">
        <v>45413.476388888892</v>
      </c>
      <c r="B1573">
        <v>61.2</v>
      </c>
    </row>
    <row r="1574" spans="1:2" x14ac:dyDescent="0.3">
      <c r="A1574" s="21">
        <v>45413.477083333331</v>
      </c>
      <c r="B1574">
        <v>61.4</v>
      </c>
    </row>
    <row r="1575" spans="1:2" x14ac:dyDescent="0.3">
      <c r="A1575" s="21">
        <v>45413.477777777778</v>
      </c>
      <c r="B1575">
        <v>61</v>
      </c>
    </row>
    <row r="1576" spans="1:2" x14ac:dyDescent="0.3">
      <c r="A1576" s="21">
        <v>45413.478472222225</v>
      </c>
      <c r="B1576">
        <v>61.2</v>
      </c>
    </row>
    <row r="1577" spans="1:2" x14ac:dyDescent="0.3">
      <c r="A1577" s="21">
        <v>45413.479166666664</v>
      </c>
      <c r="B1577">
        <v>61</v>
      </c>
    </row>
    <row r="1578" spans="1:2" x14ac:dyDescent="0.3">
      <c r="A1578" s="21">
        <v>45413.479861111111</v>
      </c>
      <c r="B1578">
        <v>61.1</v>
      </c>
    </row>
    <row r="1579" spans="1:2" x14ac:dyDescent="0.3">
      <c r="A1579" s="21">
        <v>45413.480555555558</v>
      </c>
      <c r="B1579">
        <v>61.1</v>
      </c>
    </row>
    <row r="1580" spans="1:2" x14ac:dyDescent="0.3">
      <c r="A1580" s="21">
        <v>45413.481249999997</v>
      </c>
      <c r="B1580">
        <v>61.2</v>
      </c>
    </row>
    <row r="1581" spans="1:2" x14ac:dyDescent="0.3">
      <c r="A1581" s="21">
        <v>45413.481944444444</v>
      </c>
      <c r="B1581">
        <v>61.1</v>
      </c>
    </row>
    <row r="1582" spans="1:2" x14ac:dyDescent="0.3">
      <c r="A1582" s="21">
        <v>45413.482638888891</v>
      </c>
      <c r="B1582">
        <v>61.4</v>
      </c>
    </row>
    <row r="1583" spans="1:2" x14ac:dyDescent="0.3">
      <c r="A1583" s="21">
        <v>45413.48333333333</v>
      </c>
      <c r="B1583">
        <v>61</v>
      </c>
    </row>
    <row r="1584" spans="1:2" x14ac:dyDescent="0.3">
      <c r="A1584" s="21">
        <v>45413.484027777777</v>
      </c>
      <c r="B1584">
        <v>61.3</v>
      </c>
    </row>
    <row r="1585" spans="1:2" x14ac:dyDescent="0.3">
      <c r="A1585" s="21">
        <v>45413.484722222223</v>
      </c>
      <c r="B1585">
        <v>61.3</v>
      </c>
    </row>
    <row r="1586" spans="1:2" x14ac:dyDescent="0.3">
      <c r="A1586" s="21">
        <v>45413.48541666667</v>
      </c>
      <c r="B1586">
        <v>60.7</v>
      </c>
    </row>
    <row r="1587" spans="1:2" x14ac:dyDescent="0.3">
      <c r="A1587" s="21">
        <v>45413.486111111109</v>
      </c>
      <c r="B1587">
        <v>61.3</v>
      </c>
    </row>
    <row r="1588" spans="1:2" x14ac:dyDescent="0.3">
      <c r="A1588" s="21">
        <v>45413.486805555556</v>
      </c>
      <c r="B1588">
        <v>61.1</v>
      </c>
    </row>
    <row r="1589" spans="1:2" x14ac:dyDescent="0.3">
      <c r="A1589" s="21">
        <v>45413.487500000003</v>
      </c>
      <c r="B1589">
        <v>61.3</v>
      </c>
    </row>
    <row r="1590" spans="1:2" x14ac:dyDescent="0.3">
      <c r="A1590" s="21">
        <v>45413.488194444442</v>
      </c>
      <c r="B1590">
        <v>61.5</v>
      </c>
    </row>
    <row r="1591" spans="1:2" x14ac:dyDescent="0.3">
      <c r="A1591" s="21">
        <v>45413.488888888889</v>
      </c>
      <c r="B1591">
        <v>61</v>
      </c>
    </row>
    <row r="1592" spans="1:2" x14ac:dyDescent="0.3">
      <c r="A1592" s="21">
        <v>45413.489583333336</v>
      </c>
      <c r="B1592">
        <v>61</v>
      </c>
    </row>
    <row r="1593" spans="1:2" x14ac:dyDescent="0.3">
      <c r="A1593" s="21">
        <v>45413.490277777775</v>
      </c>
      <c r="B1593">
        <v>61.1</v>
      </c>
    </row>
    <row r="1594" spans="1:2" x14ac:dyDescent="0.3">
      <c r="A1594" s="21">
        <v>45413.490972222222</v>
      </c>
      <c r="B1594">
        <v>61.6</v>
      </c>
    </row>
    <row r="1595" spans="1:2" x14ac:dyDescent="0.3">
      <c r="A1595" s="21">
        <v>45413.491666666669</v>
      </c>
      <c r="B1595">
        <v>60.9</v>
      </c>
    </row>
    <row r="1596" spans="1:2" x14ac:dyDescent="0.3">
      <c r="A1596" s="21">
        <v>45413.492361111108</v>
      </c>
      <c r="B1596">
        <v>61.3</v>
      </c>
    </row>
    <row r="1597" spans="1:2" x14ac:dyDescent="0.3">
      <c r="A1597" s="21">
        <v>45413.493055555555</v>
      </c>
      <c r="B1597">
        <v>61.2</v>
      </c>
    </row>
    <row r="1598" spans="1:2" x14ac:dyDescent="0.3">
      <c r="A1598" s="21">
        <v>45413.493750000001</v>
      </c>
      <c r="B1598">
        <v>61.1</v>
      </c>
    </row>
    <row r="1599" spans="1:2" x14ac:dyDescent="0.3">
      <c r="A1599" s="21">
        <v>45413.494444444441</v>
      </c>
      <c r="B1599">
        <v>61.4</v>
      </c>
    </row>
    <row r="1600" spans="1:2" x14ac:dyDescent="0.3">
      <c r="A1600" s="21">
        <v>45413.495138888888</v>
      </c>
      <c r="B1600">
        <v>61.5</v>
      </c>
    </row>
    <row r="1601" spans="1:2" x14ac:dyDescent="0.3">
      <c r="A1601" s="21">
        <v>45413.495833333334</v>
      </c>
      <c r="B1601">
        <v>61.2</v>
      </c>
    </row>
    <row r="1602" spans="1:2" x14ac:dyDescent="0.3">
      <c r="A1602" s="21">
        <v>45413.496527777781</v>
      </c>
      <c r="B1602">
        <v>61.2</v>
      </c>
    </row>
    <row r="1603" spans="1:2" x14ac:dyDescent="0.3">
      <c r="A1603" s="21">
        <v>45413.49722222222</v>
      </c>
      <c r="B1603">
        <v>60.9</v>
      </c>
    </row>
    <row r="1604" spans="1:2" x14ac:dyDescent="0.3">
      <c r="A1604" s="21">
        <v>45413.497916666667</v>
      </c>
      <c r="B1604">
        <v>61.4</v>
      </c>
    </row>
    <row r="1605" spans="1:2" x14ac:dyDescent="0.3">
      <c r="A1605" s="21">
        <v>45413.498611111114</v>
      </c>
      <c r="B1605">
        <v>61</v>
      </c>
    </row>
    <row r="1606" spans="1:2" x14ac:dyDescent="0.3">
      <c r="A1606" s="21">
        <v>45413.499305555553</v>
      </c>
      <c r="B1606">
        <v>60.9</v>
      </c>
    </row>
    <row r="1607" spans="1:2" x14ac:dyDescent="0.3">
      <c r="A1607" s="21">
        <v>45413.5</v>
      </c>
      <c r="B1607">
        <v>61.2</v>
      </c>
    </row>
    <row r="1608" spans="1:2" x14ac:dyDescent="0.3">
      <c r="A1608" s="21">
        <v>45413.500694444447</v>
      </c>
      <c r="B1608">
        <v>61.2</v>
      </c>
    </row>
    <row r="1609" spans="1:2" x14ac:dyDescent="0.3">
      <c r="A1609" s="21">
        <v>45413.501388888886</v>
      </c>
      <c r="B1609">
        <v>61.1</v>
      </c>
    </row>
    <row r="1610" spans="1:2" x14ac:dyDescent="0.3">
      <c r="A1610" s="21">
        <v>45413.502083333333</v>
      </c>
      <c r="B1610">
        <v>60.9</v>
      </c>
    </row>
    <row r="1611" spans="1:2" x14ac:dyDescent="0.3">
      <c r="A1611" s="21">
        <v>45413.50277777778</v>
      </c>
      <c r="B1611">
        <v>61.2</v>
      </c>
    </row>
    <row r="1612" spans="1:2" x14ac:dyDescent="0.3">
      <c r="A1612" s="21">
        <v>45413.503472222219</v>
      </c>
      <c r="B1612">
        <v>61.2</v>
      </c>
    </row>
    <row r="1613" spans="1:2" x14ac:dyDescent="0.3">
      <c r="A1613" s="21">
        <v>45413.504166666666</v>
      </c>
      <c r="B1613">
        <v>61.2</v>
      </c>
    </row>
    <row r="1614" spans="1:2" x14ac:dyDescent="0.3">
      <c r="A1614" s="21">
        <v>45413.504861111112</v>
      </c>
      <c r="B1614">
        <v>61</v>
      </c>
    </row>
    <row r="1615" spans="1:2" x14ac:dyDescent="0.3">
      <c r="A1615" s="21">
        <v>45413.505555555559</v>
      </c>
      <c r="B1615">
        <v>61.2</v>
      </c>
    </row>
    <row r="1616" spans="1:2" x14ac:dyDescent="0.3">
      <c r="A1616" s="21">
        <v>45413.506249999999</v>
      </c>
      <c r="B1616">
        <v>61.2</v>
      </c>
    </row>
    <row r="1617" spans="1:2" x14ac:dyDescent="0.3">
      <c r="A1617" s="21">
        <v>45413.506944444445</v>
      </c>
      <c r="B1617">
        <v>61.6</v>
      </c>
    </row>
    <row r="1618" spans="1:2" x14ac:dyDescent="0.3">
      <c r="A1618" s="21">
        <v>45413.507638888892</v>
      </c>
      <c r="B1618">
        <v>61.2</v>
      </c>
    </row>
    <row r="1619" spans="1:2" x14ac:dyDescent="0.3">
      <c r="A1619" s="21">
        <v>45413.508333333331</v>
      </c>
      <c r="B1619">
        <v>61.4</v>
      </c>
    </row>
    <row r="1620" spans="1:2" x14ac:dyDescent="0.3">
      <c r="A1620" s="21">
        <v>45413.509027777778</v>
      </c>
      <c r="B1620">
        <v>61.1</v>
      </c>
    </row>
    <row r="1621" spans="1:2" x14ac:dyDescent="0.3">
      <c r="A1621" s="21">
        <v>45413.509722222225</v>
      </c>
      <c r="B1621">
        <v>61.2</v>
      </c>
    </row>
    <row r="1622" spans="1:2" x14ac:dyDescent="0.3">
      <c r="A1622" s="21">
        <v>45413.510416666664</v>
      </c>
      <c r="B1622">
        <v>61.3</v>
      </c>
    </row>
    <row r="1623" spans="1:2" x14ac:dyDescent="0.3">
      <c r="A1623" s="21">
        <v>45413.511111111111</v>
      </c>
      <c r="B1623">
        <v>61.2</v>
      </c>
    </row>
    <row r="1624" spans="1:2" x14ac:dyDescent="0.3">
      <c r="A1624" s="21">
        <v>45413.511805555558</v>
      </c>
      <c r="B1624">
        <v>61.3</v>
      </c>
    </row>
    <row r="1625" spans="1:2" x14ac:dyDescent="0.3">
      <c r="A1625" s="21">
        <v>45413.512499999997</v>
      </c>
      <c r="B1625">
        <v>61.1</v>
      </c>
    </row>
    <row r="1626" spans="1:2" x14ac:dyDescent="0.3">
      <c r="A1626" s="21">
        <v>45413.513194444444</v>
      </c>
      <c r="B1626">
        <v>61.1</v>
      </c>
    </row>
    <row r="1627" spans="1:2" x14ac:dyDescent="0.3">
      <c r="A1627" s="21">
        <v>45413.513888888891</v>
      </c>
      <c r="B1627">
        <v>61.2</v>
      </c>
    </row>
    <row r="1628" spans="1:2" x14ac:dyDescent="0.3">
      <c r="A1628" s="21">
        <v>45413.51458333333</v>
      </c>
      <c r="B1628">
        <v>61.3</v>
      </c>
    </row>
    <row r="1629" spans="1:2" x14ac:dyDescent="0.3">
      <c r="A1629" s="21">
        <v>45413.515277777777</v>
      </c>
      <c r="B1629">
        <v>61.2</v>
      </c>
    </row>
    <row r="1630" spans="1:2" x14ac:dyDescent="0.3">
      <c r="A1630" s="21">
        <v>45413.515972222223</v>
      </c>
      <c r="B1630">
        <v>61.2</v>
      </c>
    </row>
    <row r="1631" spans="1:2" x14ac:dyDescent="0.3">
      <c r="A1631" s="21">
        <v>45413.51666666667</v>
      </c>
      <c r="B1631">
        <v>61.4</v>
      </c>
    </row>
    <row r="1632" spans="1:2" x14ac:dyDescent="0.3">
      <c r="A1632" s="21">
        <v>45413.517361111109</v>
      </c>
      <c r="B1632">
        <v>60.9</v>
      </c>
    </row>
    <row r="1633" spans="1:2" x14ac:dyDescent="0.3">
      <c r="A1633" s="21">
        <v>45413.518055555556</v>
      </c>
      <c r="B1633">
        <v>61.4</v>
      </c>
    </row>
    <row r="1634" spans="1:2" x14ac:dyDescent="0.3">
      <c r="A1634" s="21">
        <v>45413.518750000003</v>
      </c>
      <c r="B1634">
        <v>61.2</v>
      </c>
    </row>
    <row r="1635" spans="1:2" x14ac:dyDescent="0.3">
      <c r="A1635" s="21">
        <v>45413.519444444442</v>
      </c>
      <c r="B1635">
        <v>61.2</v>
      </c>
    </row>
    <row r="1636" spans="1:2" x14ac:dyDescent="0.3">
      <c r="A1636" s="21">
        <v>45413.520138888889</v>
      </c>
      <c r="B1636">
        <v>61.4</v>
      </c>
    </row>
    <row r="1637" spans="1:2" x14ac:dyDescent="0.3">
      <c r="A1637" s="21">
        <v>45413.520833333336</v>
      </c>
      <c r="B1637">
        <v>61.1</v>
      </c>
    </row>
    <row r="1638" spans="1:2" x14ac:dyDescent="0.3">
      <c r="A1638" s="21">
        <v>45413.521527777775</v>
      </c>
      <c r="B1638">
        <v>61.4</v>
      </c>
    </row>
    <row r="1639" spans="1:2" x14ac:dyDescent="0.3">
      <c r="A1639" s="21">
        <v>45413.522222222222</v>
      </c>
      <c r="B1639">
        <v>61.3</v>
      </c>
    </row>
    <row r="1640" spans="1:2" x14ac:dyDescent="0.3">
      <c r="A1640" s="21">
        <v>45413.522916666669</v>
      </c>
      <c r="B1640">
        <v>61</v>
      </c>
    </row>
    <row r="1641" spans="1:2" x14ac:dyDescent="0.3">
      <c r="A1641" s="21">
        <v>45413.523611111108</v>
      </c>
      <c r="B1641">
        <v>61.2</v>
      </c>
    </row>
    <row r="1642" spans="1:2" x14ac:dyDescent="0.3">
      <c r="A1642" s="21">
        <v>45413.524305555555</v>
      </c>
      <c r="B1642">
        <v>61.4</v>
      </c>
    </row>
    <row r="1643" spans="1:2" x14ac:dyDescent="0.3">
      <c r="A1643" s="21">
        <v>45413.525000000001</v>
      </c>
      <c r="B1643">
        <v>61.2</v>
      </c>
    </row>
    <row r="1644" spans="1:2" x14ac:dyDescent="0.3">
      <c r="A1644" s="21">
        <v>45413.525694444441</v>
      </c>
      <c r="B1644">
        <v>61.1</v>
      </c>
    </row>
    <row r="1645" spans="1:2" x14ac:dyDescent="0.3">
      <c r="A1645" s="21">
        <v>45413.526388888888</v>
      </c>
      <c r="B1645">
        <v>61.3</v>
      </c>
    </row>
    <row r="1646" spans="1:2" x14ac:dyDescent="0.3">
      <c r="A1646" s="21">
        <v>45413.527083333334</v>
      </c>
      <c r="B1646">
        <v>61.3</v>
      </c>
    </row>
    <row r="1647" spans="1:2" x14ac:dyDescent="0.3">
      <c r="A1647" s="21">
        <v>45413.527777777781</v>
      </c>
      <c r="B1647">
        <v>61</v>
      </c>
    </row>
    <row r="1648" spans="1:2" x14ac:dyDescent="0.3">
      <c r="A1648" s="21">
        <v>45413.52847222222</v>
      </c>
      <c r="B1648">
        <v>61.3</v>
      </c>
    </row>
    <row r="1649" spans="1:2" x14ac:dyDescent="0.3">
      <c r="A1649" s="21">
        <v>45413.529166666667</v>
      </c>
      <c r="B1649">
        <v>61.1</v>
      </c>
    </row>
    <row r="1650" spans="1:2" x14ac:dyDescent="0.3">
      <c r="A1650" s="21">
        <v>45413.529861111114</v>
      </c>
      <c r="B1650">
        <v>61.2</v>
      </c>
    </row>
    <row r="1651" spans="1:2" x14ac:dyDescent="0.3">
      <c r="A1651" s="21">
        <v>45413.530555555553</v>
      </c>
      <c r="B1651">
        <v>61.2</v>
      </c>
    </row>
    <row r="1652" spans="1:2" x14ac:dyDescent="0.3">
      <c r="A1652" s="21">
        <v>45413.53125</v>
      </c>
      <c r="B1652">
        <v>61.1</v>
      </c>
    </row>
    <row r="1653" spans="1:2" x14ac:dyDescent="0.3">
      <c r="A1653" s="21">
        <v>45413.531944444447</v>
      </c>
      <c r="B1653">
        <v>61.5</v>
      </c>
    </row>
    <row r="1654" spans="1:2" x14ac:dyDescent="0.3">
      <c r="A1654" s="21">
        <v>45413.532638888886</v>
      </c>
      <c r="B1654">
        <v>61.4</v>
      </c>
    </row>
    <row r="1655" spans="1:2" x14ac:dyDescent="0.3">
      <c r="A1655" s="21">
        <v>45413.533333333333</v>
      </c>
      <c r="B1655">
        <v>61.2</v>
      </c>
    </row>
    <row r="1656" spans="1:2" x14ac:dyDescent="0.3">
      <c r="A1656" s="21">
        <v>45413.53402777778</v>
      </c>
      <c r="B1656">
        <v>61.1</v>
      </c>
    </row>
    <row r="1657" spans="1:2" x14ac:dyDescent="0.3">
      <c r="A1657" s="21">
        <v>45413.534722222219</v>
      </c>
      <c r="B1657">
        <v>61.5</v>
      </c>
    </row>
    <row r="1658" spans="1:2" x14ac:dyDescent="0.3">
      <c r="A1658" s="21">
        <v>45413.535416666666</v>
      </c>
      <c r="B1658">
        <v>61</v>
      </c>
    </row>
    <row r="1659" spans="1:2" x14ac:dyDescent="0.3">
      <c r="A1659" s="21">
        <v>45413.536111111112</v>
      </c>
      <c r="B1659">
        <v>61.2</v>
      </c>
    </row>
    <row r="1660" spans="1:2" x14ac:dyDescent="0.3">
      <c r="A1660" s="21">
        <v>45413.536805555559</v>
      </c>
      <c r="B1660">
        <v>61.1</v>
      </c>
    </row>
    <row r="1661" spans="1:2" x14ac:dyDescent="0.3">
      <c r="A1661" s="21">
        <v>45413.537499999999</v>
      </c>
      <c r="B1661">
        <v>60.9</v>
      </c>
    </row>
    <row r="1662" spans="1:2" x14ac:dyDescent="0.3">
      <c r="A1662" s="21">
        <v>45413.538194444445</v>
      </c>
      <c r="B1662">
        <v>61.2</v>
      </c>
    </row>
    <row r="1663" spans="1:2" x14ac:dyDescent="0.3">
      <c r="A1663" s="21">
        <v>45413.538888888892</v>
      </c>
      <c r="B1663">
        <v>61.3</v>
      </c>
    </row>
    <row r="1664" spans="1:2" x14ac:dyDescent="0.3">
      <c r="A1664" s="21">
        <v>45413.539583333331</v>
      </c>
      <c r="B1664">
        <v>61.3</v>
      </c>
    </row>
    <row r="1665" spans="1:2" x14ac:dyDescent="0.3">
      <c r="A1665" s="21">
        <v>45413.540277777778</v>
      </c>
      <c r="B1665">
        <v>61.2</v>
      </c>
    </row>
    <row r="1666" spans="1:2" x14ac:dyDescent="0.3">
      <c r="A1666" s="21">
        <v>45413.540972222225</v>
      </c>
      <c r="B1666">
        <v>61.4</v>
      </c>
    </row>
    <row r="1667" spans="1:2" x14ac:dyDescent="0.3">
      <c r="A1667" s="21">
        <v>45413.541666666664</v>
      </c>
      <c r="B1667">
        <v>61.1</v>
      </c>
    </row>
    <row r="1668" spans="1:2" x14ac:dyDescent="0.3">
      <c r="A1668" s="21">
        <v>45413.542361111111</v>
      </c>
      <c r="B1668">
        <v>61.2</v>
      </c>
    </row>
    <row r="1669" spans="1:2" x14ac:dyDescent="0.3">
      <c r="A1669" s="21">
        <v>45413.543055555558</v>
      </c>
      <c r="B1669">
        <v>61</v>
      </c>
    </row>
    <row r="1670" spans="1:2" x14ac:dyDescent="0.3">
      <c r="A1670" s="21">
        <v>45413.543749999997</v>
      </c>
      <c r="B1670">
        <v>61.1</v>
      </c>
    </row>
    <row r="1671" spans="1:2" x14ac:dyDescent="0.3">
      <c r="A1671" s="21">
        <v>45413.544444444444</v>
      </c>
      <c r="B1671">
        <v>61</v>
      </c>
    </row>
    <row r="1672" spans="1:2" x14ac:dyDescent="0.3">
      <c r="A1672" s="21">
        <v>45413.545138888891</v>
      </c>
      <c r="B1672">
        <v>61.4</v>
      </c>
    </row>
    <row r="1673" spans="1:2" x14ac:dyDescent="0.3">
      <c r="A1673" s="21">
        <v>45413.54583333333</v>
      </c>
      <c r="B1673">
        <v>61.5</v>
      </c>
    </row>
    <row r="1674" spans="1:2" x14ac:dyDescent="0.3">
      <c r="A1674" s="21">
        <v>45413.546527777777</v>
      </c>
      <c r="B1674">
        <v>61.3</v>
      </c>
    </row>
    <row r="1675" spans="1:2" x14ac:dyDescent="0.3">
      <c r="A1675" s="21">
        <v>45413.547222222223</v>
      </c>
      <c r="B1675">
        <v>61.3</v>
      </c>
    </row>
    <row r="1676" spans="1:2" x14ac:dyDescent="0.3">
      <c r="A1676" s="21">
        <v>45413.54791666667</v>
      </c>
      <c r="B1676">
        <v>61.4</v>
      </c>
    </row>
    <row r="1677" spans="1:2" x14ac:dyDescent="0.3">
      <c r="A1677" s="21">
        <v>45413.548611111109</v>
      </c>
      <c r="B1677">
        <v>61.4</v>
      </c>
    </row>
    <row r="1678" spans="1:2" x14ac:dyDescent="0.3">
      <c r="A1678" s="21">
        <v>45413.549305555556</v>
      </c>
      <c r="B1678">
        <v>61.3</v>
      </c>
    </row>
    <row r="1679" spans="1:2" x14ac:dyDescent="0.3">
      <c r="A1679" s="21">
        <v>45413.55</v>
      </c>
      <c r="B1679">
        <v>61.3</v>
      </c>
    </row>
    <row r="1680" spans="1:2" x14ac:dyDescent="0.3">
      <c r="A1680" s="21">
        <v>45413.550694444442</v>
      </c>
      <c r="B1680">
        <v>61</v>
      </c>
    </row>
    <row r="1681" spans="1:2" x14ac:dyDescent="0.3">
      <c r="A1681" s="21">
        <v>45413.551388888889</v>
      </c>
      <c r="B1681">
        <v>61.4</v>
      </c>
    </row>
    <row r="1682" spans="1:2" x14ac:dyDescent="0.3">
      <c r="A1682" s="21">
        <v>45413.552083333336</v>
      </c>
      <c r="B1682">
        <v>61.2</v>
      </c>
    </row>
    <row r="1683" spans="1:2" x14ac:dyDescent="0.3">
      <c r="A1683" s="21">
        <v>45413.552777777775</v>
      </c>
      <c r="B1683">
        <v>61.1</v>
      </c>
    </row>
    <row r="1684" spans="1:2" x14ac:dyDescent="0.3">
      <c r="A1684" s="21">
        <v>45413.553472222222</v>
      </c>
      <c r="B1684">
        <v>61.5</v>
      </c>
    </row>
    <row r="1685" spans="1:2" x14ac:dyDescent="0.3">
      <c r="A1685" s="21">
        <v>45413.554166666669</v>
      </c>
      <c r="B1685">
        <v>61.2</v>
      </c>
    </row>
    <row r="1686" spans="1:2" x14ac:dyDescent="0.3">
      <c r="A1686" s="21">
        <v>45413.554861111108</v>
      </c>
      <c r="B1686">
        <v>61.2</v>
      </c>
    </row>
    <row r="1687" spans="1:2" x14ac:dyDescent="0.3">
      <c r="A1687" s="21">
        <v>45413.555555555555</v>
      </c>
      <c r="B1687">
        <v>61.3</v>
      </c>
    </row>
    <row r="1688" spans="1:2" x14ac:dyDescent="0.3">
      <c r="A1688" s="21">
        <v>45413.556250000001</v>
      </c>
      <c r="B1688">
        <v>61.1</v>
      </c>
    </row>
    <row r="1689" spans="1:2" x14ac:dyDescent="0.3">
      <c r="A1689" s="21">
        <v>45413.556944444441</v>
      </c>
      <c r="B1689">
        <v>61.2</v>
      </c>
    </row>
    <row r="1690" spans="1:2" x14ac:dyDescent="0.3">
      <c r="A1690" s="21">
        <v>45413.557638888888</v>
      </c>
      <c r="B1690">
        <v>61.1</v>
      </c>
    </row>
    <row r="1691" spans="1:2" x14ac:dyDescent="0.3">
      <c r="A1691" s="21">
        <v>45413.558333333334</v>
      </c>
      <c r="B1691">
        <v>61.3</v>
      </c>
    </row>
    <row r="1692" spans="1:2" x14ac:dyDescent="0.3">
      <c r="A1692" s="21">
        <v>45413.559027777781</v>
      </c>
      <c r="B1692">
        <v>61.1</v>
      </c>
    </row>
    <row r="1693" spans="1:2" x14ac:dyDescent="0.3">
      <c r="A1693" s="21">
        <v>45413.55972222222</v>
      </c>
      <c r="B1693">
        <v>61.5</v>
      </c>
    </row>
    <row r="1694" spans="1:2" x14ac:dyDescent="0.3">
      <c r="A1694" s="21">
        <v>45413.560416666667</v>
      </c>
      <c r="B1694">
        <v>61.2</v>
      </c>
    </row>
    <row r="1695" spans="1:2" x14ac:dyDescent="0.3">
      <c r="A1695" s="21">
        <v>45413.561111111114</v>
      </c>
      <c r="B1695">
        <v>61.3</v>
      </c>
    </row>
    <row r="1696" spans="1:2" x14ac:dyDescent="0.3">
      <c r="A1696" s="21">
        <v>45413.561805555553</v>
      </c>
      <c r="B1696">
        <v>61.2</v>
      </c>
    </row>
    <row r="1697" spans="1:2" x14ac:dyDescent="0.3">
      <c r="A1697" s="21">
        <v>45413.5625</v>
      </c>
      <c r="B1697">
        <v>61.6</v>
      </c>
    </row>
    <row r="1698" spans="1:2" x14ac:dyDescent="0.3">
      <c r="A1698" s="21">
        <v>45413.563194444447</v>
      </c>
      <c r="B1698">
        <v>61.3</v>
      </c>
    </row>
    <row r="1699" spans="1:2" x14ac:dyDescent="0.3">
      <c r="A1699" s="21">
        <v>45413.563888888886</v>
      </c>
      <c r="B1699">
        <v>61.4</v>
      </c>
    </row>
    <row r="1700" spans="1:2" x14ac:dyDescent="0.3">
      <c r="A1700" s="21">
        <v>45413.564583333333</v>
      </c>
      <c r="B1700">
        <v>61.5</v>
      </c>
    </row>
    <row r="1701" spans="1:2" x14ac:dyDescent="0.3">
      <c r="A1701" s="21">
        <v>45413.56527777778</v>
      </c>
      <c r="B1701">
        <v>61.1</v>
      </c>
    </row>
    <row r="1702" spans="1:2" x14ac:dyDescent="0.3">
      <c r="A1702" s="21">
        <v>45413.565972222219</v>
      </c>
      <c r="B1702">
        <v>61.2</v>
      </c>
    </row>
    <row r="1703" spans="1:2" x14ac:dyDescent="0.3">
      <c r="A1703" s="21">
        <v>45413.566666666666</v>
      </c>
      <c r="B1703">
        <v>61</v>
      </c>
    </row>
    <row r="1704" spans="1:2" x14ac:dyDescent="0.3">
      <c r="A1704" s="21">
        <v>45413.567361111112</v>
      </c>
      <c r="B1704">
        <v>61.4</v>
      </c>
    </row>
    <row r="1705" spans="1:2" x14ac:dyDescent="0.3">
      <c r="A1705" s="21">
        <v>45413.568055555559</v>
      </c>
      <c r="B1705">
        <v>61.6</v>
      </c>
    </row>
    <row r="1706" spans="1:2" x14ac:dyDescent="0.3">
      <c r="A1706" s="21">
        <v>45413.568749999999</v>
      </c>
      <c r="B1706">
        <v>61.3</v>
      </c>
    </row>
    <row r="1707" spans="1:2" x14ac:dyDescent="0.3">
      <c r="A1707" s="21">
        <v>45413.569444444445</v>
      </c>
      <c r="B1707">
        <v>61.6</v>
      </c>
    </row>
    <row r="1708" spans="1:2" x14ac:dyDescent="0.3">
      <c r="A1708" s="21">
        <v>45413.570138888892</v>
      </c>
      <c r="B1708">
        <v>61.3</v>
      </c>
    </row>
    <row r="1709" spans="1:2" x14ac:dyDescent="0.3">
      <c r="A1709" s="21">
        <v>45413.570833333331</v>
      </c>
      <c r="B1709">
        <v>61.1</v>
      </c>
    </row>
    <row r="1710" spans="1:2" x14ac:dyDescent="0.3">
      <c r="A1710" s="21">
        <v>45413.571527777778</v>
      </c>
      <c r="B1710">
        <v>61.2</v>
      </c>
    </row>
    <row r="1711" spans="1:2" x14ac:dyDescent="0.3">
      <c r="A1711" s="21">
        <v>45413.572222222225</v>
      </c>
      <c r="B1711">
        <v>61.3</v>
      </c>
    </row>
    <row r="1712" spans="1:2" x14ac:dyDescent="0.3">
      <c r="A1712" s="21">
        <v>45413.572916666664</v>
      </c>
      <c r="B1712">
        <v>61.4</v>
      </c>
    </row>
    <row r="1713" spans="1:2" x14ac:dyDescent="0.3">
      <c r="A1713" s="21">
        <v>45413.573611111111</v>
      </c>
      <c r="B1713">
        <v>61.3</v>
      </c>
    </row>
    <row r="1714" spans="1:2" x14ac:dyDescent="0.3">
      <c r="A1714" s="21">
        <v>45413.574305555558</v>
      </c>
      <c r="B1714">
        <v>61.3</v>
      </c>
    </row>
    <row r="1715" spans="1:2" x14ac:dyDescent="0.3">
      <c r="A1715" s="21">
        <v>45413.574999999997</v>
      </c>
      <c r="B1715">
        <v>61.3</v>
      </c>
    </row>
    <row r="1716" spans="1:2" x14ac:dyDescent="0.3">
      <c r="A1716" s="21">
        <v>45413.575694444444</v>
      </c>
      <c r="B1716">
        <v>61.7</v>
      </c>
    </row>
    <row r="1717" spans="1:2" x14ac:dyDescent="0.3">
      <c r="A1717" s="21">
        <v>45413.576388888891</v>
      </c>
      <c r="B1717">
        <v>61.1</v>
      </c>
    </row>
    <row r="1718" spans="1:2" x14ac:dyDescent="0.3">
      <c r="A1718" s="21">
        <v>45413.57708333333</v>
      </c>
      <c r="B1718">
        <v>61.3</v>
      </c>
    </row>
    <row r="1719" spans="1:2" x14ac:dyDescent="0.3">
      <c r="A1719" s="21">
        <v>45413.577777777777</v>
      </c>
      <c r="B1719">
        <v>61.4</v>
      </c>
    </row>
    <row r="1720" spans="1:2" x14ac:dyDescent="0.3">
      <c r="A1720" s="21">
        <v>45413.578472222223</v>
      </c>
      <c r="B1720">
        <v>61.1</v>
      </c>
    </row>
    <row r="1721" spans="1:2" x14ac:dyDescent="0.3">
      <c r="A1721" s="21">
        <v>45413.57916666667</v>
      </c>
      <c r="B1721">
        <v>61.2</v>
      </c>
    </row>
    <row r="1722" spans="1:2" x14ac:dyDescent="0.3">
      <c r="A1722" s="21">
        <v>45413.579861111109</v>
      </c>
      <c r="B1722">
        <v>61.2</v>
      </c>
    </row>
    <row r="1723" spans="1:2" x14ac:dyDescent="0.3">
      <c r="A1723" s="21">
        <v>45413.580555555556</v>
      </c>
      <c r="B1723">
        <v>61.7</v>
      </c>
    </row>
    <row r="1724" spans="1:2" x14ac:dyDescent="0.3">
      <c r="A1724" s="21">
        <v>45413.581250000003</v>
      </c>
      <c r="B1724">
        <v>61.5</v>
      </c>
    </row>
    <row r="1725" spans="1:2" x14ac:dyDescent="0.3">
      <c r="A1725" s="21">
        <v>45413.581944444442</v>
      </c>
      <c r="B1725">
        <v>61.5</v>
      </c>
    </row>
    <row r="1726" spans="1:2" x14ac:dyDescent="0.3">
      <c r="A1726" s="21">
        <v>45413.582638888889</v>
      </c>
      <c r="B1726">
        <v>61.6</v>
      </c>
    </row>
    <row r="1727" spans="1:2" x14ac:dyDescent="0.3">
      <c r="A1727" s="21">
        <v>45413.583333333336</v>
      </c>
      <c r="B1727">
        <v>61.5</v>
      </c>
    </row>
    <row r="1728" spans="1:2" x14ac:dyDescent="0.3">
      <c r="A1728" s="21">
        <v>45413.584027777775</v>
      </c>
      <c r="B1728">
        <v>61.4</v>
      </c>
    </row>
    <row r="1729" spans="1:2" x14ac:dyDescent="0.3">
      <c r="A1729" s="21">
        <v>45413.584722222222</v>
      </c>
      <c r="B1729">
        <v>61.5</v>
      </c>
    </row>
    <row r="1730" spans="1:2" x14ac:dyDescent="0.3">
      <c r="A1730" s="21">
        <v>45413.585416666669</v>
      </c>
      <c r="B1730">
        <v>61</v>
      </c>
    </row>
    <row r="1731" spans="1:2" x14ac:dyDescent="0.3">
      <c r="A1731" s="21">
        <v>45413.586111111108</v>
      </c>
      <c r="B1731">
        <v>61.4</v>
      </c>
    </row>
    <row r="1732" spans="1:2" x14ac:dyDescent="0.3">
      <c r="A1732" s="21">
        <v>45413.586805555555</v>
      </c>
      <c r="B1732">
        <v>61.5</v>
      </c>
    </row>
    <row r="1733" spans="1:2" x14ac:dyDescent="0.3">
      <c r="A1733" s="21">
        <v>45413.587500000001</v>
      </c>
      <c r="B1733">
        <v>61.3</v>
      </c>
    </row>
    <row r="1734" spans="1:2" x14ac:dyDescent="0.3">
      <c r="A1734" s="21">
        <v>45413.588194444441</v>
      </c>
      <c r="B1734">
        <v>61.4</v>
      </c>
    </row>
    <row r="1735" spans="1:2" x14ac:dyDescent="0.3">
      <c r="A1735" s="21">
        <v>45413.588888888888</v>
      </c>
      <c r="B1735">
        <v>61.5</v>
      </c>
    </row>
    <row r="1736" spans="1:2" x14ac:dyDescent="0.3">
      <c r="A1736" s="21">
        <v>45413.589583333334</v>
      </c>
      <c r="B1736">
        <v>61.7</v>
      </c>
    </row>
    <row r="1737" spans="1:2" x14ac:dyDescent="0.3">
      <c r="A1737" s="21">
        <v>45413.590277777781</v>
      </c>
      <c r="B1737">
        <v>61.7</v>
      </c>
    </row>
    <row r="1738" spans="1:2" x14ac:dyDescent="0.3">
      <c r="A1738" s="21">
        <v>45413.59097222222</v>
      </c>
      <c r="B1738">
        <v>61.4</v>
      </c>
    </row>
    <row r="1739" spans="1:2" x14ac:dyDescent="0.3">
      <c r="A1739" s="21">
        <v>45413.591666666667</v>
      </c>
      <c r="B1739">
        <v>61.3</v>
      </c>
    </row>
    <row r="1740" spans="1:2" x14ac:dyDescent="0.3">
      <c r="A1740" s="21">
        <v>45413.592361111114</v>
      </c>
      <c r="B1740">
        <v>61.3</v>
      </c>
    </row>
    <row r="1741" spans="1:2" x14ac:dyDescent="0.3">
      <c r="A1741" s="21">
        <v>45413.593055555553</v>
      </c>
      <c r="B1741">
        <v>61.2</v>
      </c>
    </row>
    <row r="1742" spans="1:2" x14ac:dyDescent="0.3">
      <c r="A1742" s="21">
        <v>45413.59375</v>
      </c>
      <c r="B1742">
        <v>61.3</v>
      </c>
    </row>
    <row r="1743" spans="1:2" x14ac:dyDescent="0.3">
      <c r="A1743" s="21">
        <v>45413.594444444447</v>
      </c>
      <c r="B1743">
        <v>61.3</v>
      </c>
    </row>
    <row r="1744" spans="1:2" x14ac:dyDescent="0.3">
      <c r="A1744" s="21">
        <v>45413.595138888886</v>
      </c>
      <c r="B1744">
        <v>61.5</v>
      </c>
    </row>
    <row r="1745" spans="1:2" x14ac:dyDescent="0.3">
      <c r="A1745" s="21">
        <v>45413.595833333333</v>
      </c>
      <c r="B1745">
        <v>61.4</v>
      </c>
    </row>
    <row r="1746" spans="1:2" x14ac:dyDescent="0.3">
      <c r="A1746" s="21">
        <v>45413.59652777778</v>
      </c>
      <c r="B1746">
        <v>61.5</v>
      </c>
    </row>
    <row r="1747" spans="1:2" x14ac:dyDescent="0.3">
      <c r="A1747" s="21">
        <v>45413.597222222219</v>
      </c>
      <c r="B1747">
        <v>61.6</v>
      </c>
    </row>
    <row r="1748" spans="1:2" x14ac:dyDescent="0.3">
      <c r="A1748" s="21">
        <v>45413.597916666666</v>
      </c>
      <c r="B1748">
        <v>61.3</v>
      </c>
    </row>
    <row r="1749" spans="1:2" x14ac:dyDescent="0.3">
      <c r="A1749" s="21">
        <v>45413.598611111112</v>
      </c>
      <c r="B1749">
        <v>61.5</v>
      </c>
    </row>
    <row r="1750" spans="1:2" x14ac:dyDescent="0.3">
      <c r="A1750" s="21">
        <v>45413.599305555559</v>
      </c>
      <c r="B1750">
        <v>61.6</v>
      </c>
    </row>
    <row r="1751" spans="1:2" x14ac:dyDescent="0.3">
      <c r="A1751" s="21">
        <v>45413.599999999999</v>
      </c>
      <c r="B1751">
        <v>61</v>
      </c>
    </row>
    <row r="1752" spans="1:2" x14ac:dyDescent="0.3">
      <c r="A1752" s="21">
        <v>45413.600694444445</v>
      </c>
      <c r="B1752">
        <v>61.3</v>
      </c>
    </row>
    <row r="1753" spans="1:2" x14ac:dyDescent="0.3">
      <c r="A1753" s="21">
        <v>45413.601388888892</v>
      </c>
      <c r="B1753">
        <v>61.6</v>
      </c>
    </row>
    <row r="1754" spans="1:2" x14ac:dyDescent="0.3">
      <c r="A1754" s="21">
        <v>45413.602083333331</v>
      </c>
      <c r="B1754">
        <v>61.5</v>
      </c>
    </row>
    <row r="1755" spans="1:2" x14ac:dyDescent="0.3">
      <c r="A1755" s="21">
        <v>45413.602777777778</v>
      </c>
      <c r="B1755">
        <v>61.4</v>
      </c>
    </row>
    <row r="1756" spans="1:2" x14ac:dyDescent="0.3">
      <c r="A1756" s="21">
        <v>45413.603472222225</v>
      </c>
      <c r="B1756">
        <v>61.2</v>
      </c>
    </row>
    <row r="1757" spans="1:2" x14ac:dyDescent="0.3">
      <c r="A1757" s="21">
        <v>45413.604166666664</v>
      </c>
      <c r="B1757">
        <v>61.2</v>
      </c>
    </row>
    <row r="1758" spans="1:2" x14ac:dyDescent="0.3">
      <c r="A1758" s="21">
        <v>45413.604861111111</v>
      </c>
      <c r="B1758">
        <v>61.5</v>
      </c>
    </row>
    <row r="1759" spans="1:2" x14ac:dyDescent="0.3">
      <c r="A1759" s="21">
        <v>45413.605555555558</v>
      </c>
      <c r="B1759">
        <v>61.3</v>
      </c>
    </row>
    <row r="1760" spans="1:2" x14ac:dyDescent="0.3">
      <c r="A1760" s="21">
        <v>45413.606249999997</v>
      </c>
      <c r="B1760">
        <v>61.5</v>
      </c>
    </row>
    <row r="1761" spans="1:2" x14ac:dyDescent="0.3">
      <c r="A1761" s="21">
        <v>45413.606944444444</v>
      </c>
      <c r="B1761">
        <v>61.3</v>
      </c>
    </row>
    <row r="1762" spans="1:2" x14ac:dyDescent="0.3">
      <c r="A1762" s="21">
        <v>45413.607638888891</v>
      </c>
      <c r="B1762">
        <v>61.3</v>
      </c>
    </row>
    <row r="1763" spans="1:2" x14ac:dyDescent="0.3">
      <c r="A1763" s="21">
        <v>45413.60833333333</v>
      </c>
      <c r="B1763">
        <v>61.3</v>
      </c>
    </row>
    <row r="1764" spans="1:2" x14ac:dyDescent="0.3">
      <c r="A1764" s="21">
        <v>45413.609027777777</v>
      </c>
      <c r="B1764">
        <v>61.5</v>
      </c>
    </row>
    <row r="1765" spans="1:2" x14ac:dyDescent="0.3">
      <c r="A1765" s="21">
        <v>45413.609722222223</v>
      </c>
      <c r="B1765">
        <v>61.7</v>
      </c>
    </row>
    <row r="1766" spans="1:2" x14ac:dyDescent="0.3">
      <c r="A1766" s="21">
        <v>45413.61041666667</v>
      </c>
      <c r="B1766">
        <v>61.2</v>
      </c>
    </row>
    <row r="1767" spans="1:2" x14ac:dyDescent="0.3">
      <c r="A1767" s="21">
        <v>45413.611111111109</v>
      </c>
      <c r="B1767">
        <v>61.5</v>
      </c>
    </row>
    <row r="1768" spans="1:2" x14ac:dyDescent="0.3">
      <c r="A1768" s="21">
        <v>45413.611805555556</v>
      </c>
      <c r="B1768">
        <v>61.1</v>
      </c>
    </row>
    <row r="1769" spans="1:2" x14ac:dyDescent="0.3">
      <c r="A1769" s="21">
        <v>45413.612500000003</v>
      </c>
      <c r="B1769">
        <v>61.3</v>
      </c>
    </row>
    <row r="1770" spans="1:2" x14ac:dyDescent="0.3">
      <c r="A1770" s="21">
        <v>45413.613194444442</v>
      </c>
      <c r="B1770">
        <v>61.4</v>
      </c>
    </row>
    <row r="1771" spans="1:2" x14ac:dyDescent="0.3">
      <c r="A1771" s="21">
        <v>45413.613888888889</v>
      </c>
      <c r="B1771">
        <v>61.6</v>
      </c>
    </row>
    <row r="1772" spans="1:2" x14ac:dyDescent="0.3">
      <c r="A1772" s="21">
        <v>45413.614583333336</v>
      </c>
      <c r="B1772">
        <v>61.5</v>
      </c>
    </row>
    <row r="1773" spans="1:2" x14ac:dyDescent="0.3">
      <c r="A1773" s="21">
        <v>45413.615277777775</v>
      </c>
      <c r="B1773">
        <v>61.1</v>
      </c>
    </row>
    <row r="1774" spans="1:2" x14ac:dyDescent="0.3">
      <c r="A1774" s="21">
        <v>45413.615972222222</v>
      </c>
      <c r="B1774">
        <v>61</v>
      </c>
    </row>
    <row r="1775" spans="1:2" x14ac:dyDescent="0.3">
      <c r="A1775" s="21">
        <v>45413.616666666669</v>
      </c>
      <c r="B1775">
        <v>61.1</v>
      </c>
    </row>
    <row r="1776" spans="1:2" x14ac:dyDescent="0.3">
      <c r="A1776" s="21">
        <v>45413.617361111108</v>
      </c>
      <c r="B1776">
        <v>61.1</v>
      </c>
    </row>
    <row r="1777" spans="1:2" x14ac:dyDescent="0.3">
      <c r="A1777" s="21">
        <v>45413.618055555555</v>
      </c>
      <c r="B1777">
        <v>61.4</v>
      </c>
    </row>
    <row r="1778" spans="1:2" x14ac:dyDescent="0.3">
      <c r="A1778" s="21">
        <v>45413.618750000001</v>
      </c>
      <c r="B1778">
        <v>61.5</v>
      </c>
    </row>
    <row r="1779" spans="1:2" x14ac:dyDescent="0.3">
      <c r="A1779" s="21">
        <v>45413.619444444441</v>
      </c>
      <c r="B1779">
        <v>61.6</v>
      </c>
    </row>
    <row r="1780" spans="1:2" x14ac:dyDescent="0.3">
      <c r="A1780" s="21">
        <v>45413.620138888888</v>
      </c>
      <c r="B1780">
        <v>61.7</v>
      </c>
    </row>
    <row r="1781" spans="1:2" x14ac:dyDescent="0.3">
      <c r="A1781" s="21">
        <v>45413.620833333334</v>
      </c>
      <c r="B1781">
        <v>61.6</v>
      </c>
    </row>
    <row r="1782" spans="1:2" x14ac:dyDescent="0.3">
      <c r="A1782" s="21">
        <v>45413.621527777781</v>
      </c>
      <c r="B1782">
        <v>61.2</v>
      </c>
    </row>
    <row r="1783" spans="1:2" x14ac:dyDescent="0.3">
      <c r="A1783" s="21">
        <v>45413.62222222222</v>
      </c>
      <c r="B1783">
        <v>61.2</v>
      </c>
    </row>
    <row r="1784" spans="1:2" x14ac:dyDescent="0.3">
      <c r="A1784" s="21">
        <v>45413.622916666667</v>
      </c>
      <c r="B1784">
        <v>61.4</v>
      </c>
    </row>
    <row r="1785" spans="1:2" x14ac:dyDescent="0.3">
      <c r="A1785" s="21">
        <v>45413.623611111114</v>
      </c>
      <c r="B1785">
        <v>61.4</v>
      </c>
    </row>
    <row r="1786" spans="1:2" x14ac:dyDescent="0.3">
      <c r="A1786" s="21">
        <v>45413.624305555553</v>
      </c>
      <c r="B1786">
        <v>61.5</v>
      </c>
    </row>
    <row r="1787" spans="1:2" x14ac:dyDescent="0.3">
      <c r="A1787" s="21">
        <v>45413.625</v>
      </c>
      <c r="B1787">
        <v>61.2</v>
      </c>
    </row>
    <row r="1788" spans="1:2" x14ac:dyDescent="0.3">
      <c r="A1788" s="21">
        <v>45413.625694444447</v>
      </c>
      <c r="B1788">
        <v>61.5</v>
      </c>
    </row>
    <row r="1789" spans="1:2" x14ac:dyDescent="0.3">
      <c r="A1789" s="21">
        <v>45413.626388888886</v>
      </c>
      <c r="B1789">
        <v>61.2</v>
      </c>
    </row>
    <row r="1790" spans="1:2" x14ac:dyDescent="0.3">
      <c r="A1790" s="21">
        <v>45413.627083333333</v>
      </c>
      <c r="B1790">
        <v>61.3</v>
      </c>
    </row>
    <row r="1791" spans="1:2" x14ac:dyDescent="0.3">
      <c r="A1791" s="21">
        <v>45413.62777777778</v>
      </c>
      <c r="B1791">
        <v>61.2</v>
      </c>
    </row>
    <row r="1792" spans="1:2" x14ac:dyDescent="0.3">
      <c r="A1792" s="21">
        <v>45413.628472222219</v>
      </c>
      <c r="B1792">
        <v>61.4</v>
      </c>
    </row>
    <row r="1793" spans="1:2" x14ac:dyDescent="0.3">
      <c r="A1793" s="21">
        <v>45413.629166666666</v>
      </c>
      <c r="B1793">
        <v>61.8</v>
      </c>
    </row>
    <row r="1794" spans="1:2" x14ac:dyDescent="0.3">
      <c r="A1794" s="21">
        <v>45413.629861111112</v>
      </c>
      <c r="B1794">
        <v>61.3</v>
      </c>
    </row>
    <row r="1795" spans="1:2" x14ac:dyDescent="0.3">
      <c r="A1795" s="21">
        <v>45413.630555555559</v>
      </c>
      <c r="B1795">
        <v>61.3</v>
      </c>
    </row>
    <row r="1796" spans="1:2" x14ac:dyDescent="0.3">
      <c r="A1796" s="21">
        <v>45413.631249999999</v>
      </c>
      <c r="B1796">
        <v>61.6</v>
      </c>
    </row>
    <row r="1797" spans="1:2" x14ac:dyDescent="0.3">
      <c r="A1797" s="21">
        <v>45413.631944444445</v>
      </c>
      <c r="B1797">
        <v>61.5</v>
      </c>
    </row>
    <row r="1798" spans="1:2" x14ac:dyDescent="0.3">
      <c r="A1798" s="21">
        <v>45413.632638888892</v>
      </c>
      <c r="B1798">
        <v>61.1</v>
      </c>
    </row>
    <row r="1799" spans="1:2" x14ac:dyDescent="0.3">
      <c r="A1799" s="21">
        <v>45413.633333333331</v>
      </c>
      <c r="B1799">
        <v>61.5</v>
      </c>
    </row>
    <row r="1800" spans="1:2" x14ac:dyDescent="0.3">
      <c r="A1800" s="21">
        <v>45413.634027777778</v>
      </c>
      <c r="B1800">
        <v>61.5</v>
      </c>
    </row>
    <row r="1801" spans="1:2" x14ac:dyDescent="0.3">
      <c r="A1801" s="21">
        <v>45413.634722222225</v>
      </c>
      <c r="B1801">
        <v>61.2</v>
      </c>
    </row>
    <row r="1802" spans="1:2" x14ac:dyDescent="0.3">
      <c r="A1802" s="21">
        <v>45413.635416666664</v>
      </c>
      <c r="B1802">
        <v>61.6</v>
      </c>
    </row>
    <row r="1803" spans="1:2" x14ac:dyDescent="0.3">
      <c r="A1803" s="21">
        <v>45413.636111111111</v>
      </c>
      <c r="B1803">
        <v>61.4</v>
      </c>
    </row>
    <row r="1804" spans="1:2" x14ac:dyDescent="0.3">
      <c r="A1804" s="21">
        <v>45413.636805555558</v>
      </c>
      <c r="B1804">
        <v>61</v>
      </c>
    </row>
    <row r="1805" spans="1:2" x14ac:dyDescent="0.3">
      <c r="A1805" s="21">
        <v>45413.637499999997</v>
      </c>
      <c r="B1805">
        <v>61.8</v>
      </c>
    </row>
    <row r="1806" spans="1:2" x14ac:dyDescent="0.3">
      <c r="A1806" s="21">
        <v>45413.638194444444</v>
      </c>
      <c r="B1806">
        <v>61.6</v>
      </c>
    </row>
    <row r="1807" spans="1:2" x14ac:dyDescent="0.3">
      <c r="A1807" s="21">
        <v>45413.638888888891</v>
      </c>
      <c r="B1807">
        <v>61.5</v>
      </c>
    </row>
    <row r="1808" spans="1:2" x14ac:dyDescent="0.3">
      <c r="A1808" s="21">
        <v>45413.63958333333</v>
      </c>
      <c r="B1808">
        <v>61.4</v>
      </c>
    </row>
    <row r="1809" spans="1:2" x14ac:dyDescent="0.3">
      <c r="A1809" s="21">
        <v>45413.640277777777</v>
      </c>
      <c r="B1809">
        <v>61.4</v>
      </c>
    </row>
    <row r="1810" spans="1:2" x14ac:dyDescent="0.3">
      <c r="A1810" s="21">
        <v>45413.640972222223</v>
      </c>
      <c r="B1810">
        <v>61.4</v>
      </c>
    </row>
    <row r="1811" spans="1:2" x14ac:dyDescent="0.3">
      <c r="A1811" s="21">
        <v>45413.64166666667</v>
      </c>
      <c r="B1811">
        <v>61.4</v>
      </c>
    </row>
    <row r="1812" spans="1:2" x14ac:dyDescent="0.3">
      <c r="A1812" s="21">
        <v>45413.642361111109</v>
      </c>
      <c r="B1812">
        <v>61.3</v>
      </c>
    </row>
    <row r="1813" spans="1:2" x14ac:dyDescent="0.3">
      <c r="A1813" s="21">
        <v>45413.643055555556</v>
      </c>
      <c r="B1813">
        <v>61.6</v>
      </c>
    </row>
    <row r="1814" spans="1:2" x14ac:dyDescent="0.3">
      <c r="A1814" s="21">
        <v>45413.643750000003</v>
      </c>
      <c r="B1814">
        <v>61.3</v>
      </c>
    </row>
    <row r="1815" spans="1:2" x14ac:dyDescent="0.3">
      <c r="A1815" s="21">
        <v>45413.644444444442</v>
      </c>
      <c r="B1815">
        <v>61.4</v>
      </c>
    </row>
    <row r="1816" spans="1:2" x14ac:dyDescent="0.3">
      <c r="A1816" s="21">
        <v>45413.645138888889</v>
      </c>
      <c r="B1816">
        <v>61.6</v>
      </c>
    </row>
    <row r="1817" spans="1:2" x14ac:dyDescent="0.3">
      <c r="A1817" s="21">
        <v>45413.645833333336</v>
      </c>
      <c r="B1817">
        <v>61.4</v>
      </c>
    </row>
    <row r="1818" spans="1:2" x14ac:dyDescent="0.3">
      <c r="A1818" s="21">
        <v>45413.646527777775</v>
      </c>
      <c r="B1818">
        <v>61.8</v>
      </c>
    </row>
    <row r="1819" spans="1:2" x14ac:dyDescent="0.3">
      <c r="A1819" s="21">
        <v>45413.647222222222</v>
      </c>
      <c r="B1819">
        <v>61.5</v>
      </c>
    </row>
    <row r="1820" spans="1:2" x14ac:dyDescent="0.3">
      <c r="A1820" s="21">
        <v>45413.647916666669</v>
      </c>
      <c r="B1820">
        <v>61.8</v>
      </c>
    </row>
    <row r="1821" spans="1:2" x14ac:dyDescent="0.3">
      <c r="A1821" s="21">
        <v>45413.648611111108</v>
      </c>
      <c r="B1821">
        <v>61.7</v>
      </c>
    </row>
    <row r="1822" spans="1:2" x14ac:dyDescent="0.3">
      <c r="A1822" s="21">
        <v>45413.649305555555</v>
      </c>
      <c r="B1822">
        <v>61.3</v>
      </c>
    </row>
    <row r="1823" spans="1:2" x14ac:dyDescent="0.3">
      <c r="A1823" s="21">
        <v>45413.65</v>
      </c>
      <c r="B1823">
        <v>61.6</v>
      </c>
    </row>
    <row r="1824" spans="1:2" x14ac:dyDescent="0.3">
      <c r="A1824" s="21">
        <v>45413.650694444441</v>
      </c>
      <c r="B1824">
        <v>61.4</v>
      </c>
    </row>
    <row r="1825" spans="1:2" x14ac:dyDescent="0.3">
      <c r="A1825" s="21">
        <v>45413.651388888888</v>
      </c>
      <c r="B1825">
        <v>61.6</v>
      </c>
    </row>
    <row r="1826" spans="1:2" x14ac:dyDescent="0.3">
      <c r="A1826" s="21">
        <v>45413.652083333334</v>
      </c>
      <c r="B1826">
        <v>61.4</v>
      </c>
    </row>
    <row r="1827" spans="1:2" x14ac:dyDescent="0.3">
      <c r="A1827" s="21">
        <v>45413.652777777781</v>
      </c>
      <c r="B1827">
        <v>61.4</v>
      </c>
    </row>
    <row r="1828" spans="1:2" x14ac:dyDescent="0.3">
      <c r="A1828" s="21">
        <v>45413.65347222222</v>
      </c>
      <c r="B1828">
        <v>61.6</v>
      </c>
    </row>
    <row r="1829" spans="1:2" x14ac:dyDescent="0.3">
      <c r="A1829" s="21">
        <v>45413.654166666667</v>
      </c>
      <c r="B1829">
        <v>61.6</v>
      </c>
    </row>
    <row r="1830" spans="1:2" x14ac:dyDescent="0.3">
      <c r="A1830" s="21">
        <v>45413.654861111114</v>
      </c>
      <c r="B1830">
        <v>61.2</v>
      </c>
    </row>
    <row r="1831" spans="1:2" x14ac:dyDescent="0.3">
      <c r="A1831" s="21">
        <v>45413.655555555553</v>
      </c>
      <c r="B1831">
        <v>61.4</v>
      </c>
    </row>
    <row r="1832" spans="1:2" x14ac:dyDescent="0.3">
      <c r="A1832" s="21">
        <v>45413.65625</v>
      </c>
      <c r="B1832">
        <v>61.4</v>
      </c>
    </row>
    <row r="1833" spans="1:2" x14ac:dyDescent="0.3">
      <c r="A1833" s="21">
        <v>45413.656944444447</v>
      </c>
      <c r="B1833">
        <v>61.4</v>
      </c>
    </row>
    <row r="1834" spans="1:2" x14ac:dyDescent="0.3">
      <c r="A1834" s="21">
        <v>45413.657638888886</v>
      </c>
      <c r="B1834">
        <v>61.7</v>
      </c>
    </row>
    <row r="1835" spans="1:2" x14ac:dyDescent="0.3">
      <c r="A1835" s="21">
        <v>45413.658333333333</v>
      </c>
      <c r="B1835">
        <v>61.8</v>
      </c>
    </row>
    <row r="1836" spans="1:2" x14ac:dyDescent="0.3">
      <c r="A1836" s="21">
        <v>45413.65902777778</v>
      </c>
      <c r="B1836">
        <v>61.4</v>
      </c>
    </row>
    <row r="1837" spans="1:2" x14ac:dyDescent="0.3">
      <c r="A1837" s="21">
        <v>45413.659722222219</v>
      </c>
      <c r="B1837">
        <v>61.7</v>
      </c>
    </row>
    <row r="1838" spans="1:2" x14ac:dyDescent="0.3">
      <c r="A1838" s="21">
        <v>45413.660416666666</v>
      </c>
      <c r="B1838">
        <v>61.7</v>
      </c>
    </row>
    <row r="1839" spans="1:2" x14ac:dyDescent="0.3">
      <c r="A1839" s="21">
        <v>45413.661111111112</v>
      </c>
      <c r="B1839">
        <v>61.7</v>
      </c>
    </row>
    <row r="1840" spans="1:2" x14ac:dyDescent="0.3">
      <c r="A1840" s="21">
        <v>45413.661805555559</v>
      </c>
      <c r="B1840">
        <v>61.7</v>
      </c>
    </row>
    <row r="1841" spans="1:2" x14ac:dyDescent="0.3">
      <c r="A1841" s="21">
        <v>45413.662499999999</v>
      </c>
      <c r="B1841">
        <v>61.7</v>
      </c>
    </row>
    <row r="1842" spans="1:2" x14ac:dyDescent="0.3">
      <c r="A1842" s="21">
        <v>45413.663194444445</v>
      </c>
      <c r="B1842">
        <v>61.5</v>
      </c>
    </row>
    <row r="1843" spans="1:2" x14ac:dyDescent="0.3">
      <c r="A1843" s="21">
        <v>45413.663888888892</v>
      </c>
      <c r="B1843">
        <v>61.6</v>
      </c>
    </row>
    <row r="1844" spans="1:2" x14ac:dyDescent="0.3">
      <c r="A1844" s="21">
        <v>45413.664583333331</v>
      </c>
      <c r="B1844">
        <v>61.6</v>
      </c>
    </row>
    <row r="1845" spans="1:2" x14ac:dyDescent="0.3">
      <c r="A1845" s="21">
        <v>45413.665277777778</v>
      </c>
      <c r="B1845">
        <v>61.7</v>
      </c>
    </row>
    <row r="1846" spans="1:2" x14ac:dyDescent="0.3">
      <c r="A1846" s="21">
        <v>45413.665972222225</v>
      </c>
      <c r="B1846">
        <v>61.6</v>
      </c>
    </row>
    <row r="1847" spans="1:2" x14ac:dyDescent="0.3">
      <c r="A1847" s="21">
        <v>45413.666666666664</v>
      </c>
      <c r="B1847">
        <v>61.7</v>
      </c>
    </row>
    <row r="1848" spans="1:2" x14ac:dyDescent="0.3">
      <c r="A1848" s="21">
        <v>45413.667361111111</v>
      </c>
      <c r="B1848">
        <v>61.5</v>
      </c>
    </row>
    <row r="1849" spans="1:2" x14ac:dyDescent="0.3">
      <c r="A1849" s="21">
        <v>45413.668055555558</v>
      </c>
      <c r="B1849">
        <v>61.4</v>
      </c>
    </row>
    <row r="1850" spans="1:2" x14ac:dyDescent="0.3">
      <c r="A1850" s="21">
        <v>45413.668749999997</v>
      </c>
      <c r="B1850">
        <v>61.3</v>
      </c>
    </row>
    <row r="1851" spans="1:2" x14ac:dyDescent="0.3">
      <c r="A1851" s="21">
        <v>45413.669444444444</v>
      </c>
      <c r="B1851">
        <v>61.4</v>
      </c>
    </row>
    <row r="1852" spans="1:2" x14ac:dyDescent="0.3">
      <c r="A1852" s="21">
        <v>45413.670138888891</v>
      </c>
      <c r="B1852">
        <v>61.4</v>
      </c>
    </row>
    <row r="1853" spans="1:2" x14ac:dyDescent="0.3">
      <c r="A1853" s="21">
        <v>45413.67083333333</v>
      </c>
      <c r="B1853">
        <v>61.7</v>
      </c>
    </row>
    <row r="1854" spans="1:2" x14ac:dyDescent="0.3">
      <c r="A1854" s="21">
        <v>45413.671527777777</v>
      </c>
      <c r="B1854">
        <v>61.6</v>
      </c>
    </row>
    <row r="1855" spans="1:2" x14ac:dyDescent="0.3">
      <c r="A1855" s="21">
        <v>45413.672222222223</v>
      </c>
      <c r="B1855">
        <v>61.6</v>
      </c>
    </row>
    <row r="1856" spans="1:2" x14ac:dyDescent="0.3">
      <c r="A1856" s="21">
        <v>45413.67291666667</v>
      </c>
      <c r="B1856">
        <v>61.4</v>
      </c>
    </row>
    <row r="1857" spans="1:2" x14ac:dyDescent="0.3">
      <c r="A1857" s="21">
        <v>45413.673611111109</v>
      </c>
      <c r="B1857">
        <v>61.5</v>
      </c>
    </row>
    <row r="1858" spans="1:2" x14ac:dyDescent="0.3">
      <c r="A1858" s="21">
        <v>45413.674305555556</v>
      </c>
      <c r="B1858">
        <v>61.5</v>
      </c>
    </row>
    <row r="1859" spans="1:2" x14ac:dyDescent="0.3">
      <c r="A1859" s="21">
        <v>45413.675000000003</v>
      </c>
      <c r="B1859">
        <v>61.3</v>
      </c>
    </row>
    <row r="1860" spans="1:2" x14ac:dyDescent="0.3">
      <c r="A1860" s="21">
        <v>45413.675694444442</v>
      </c>
      <c r="B1860">
        <v>61.7</v>
      </c>
    </row>
    <row r="1861" spans="1:2" x14ac:dyDescent="0.3">
      <c r="A1861" s="21">
        <v>45413.676388888889</v>
      </c>
      <c r="B1861">
        <v>61.7</v>
      </c>
    </row>
    <row r="1862" spans="1:2" x14ac:dyDescent="0.3">
      <c r="A1862" s="21">
        <v>45413.677083333336</v>
      </c>
      <c r="B1862">
        <v>61.5</v>
      </c>
    </row>
    <row r="1863" spans="1:2" x14ac:dyDescent="0.3">
      <c r="A1863" s="21">
        <v>45413.677777777775</v>
      </c>
      <c r="B1863">
        <v>62.1</v>
      </c>
    </row>
    <row r="1864" spans="1:2" x14ac:dyDescent="0.3">
      <c r="A1864" s="21">
        <v>45413.678472222222</v>
      </c>
      <c r="B1864">
        <v>61.5</v>
      </c>
    </row>
    <row r="1865" spans="1:2" x14ac:dyDescent="0.3">
      <c r="A1865" s="21">
        <v>45413.679166666669</v>
      </c>
      <c r="B1865">
        <v>61.5</v>
      </c>
    </row>
    <row r="1866" spans="1:2" x14ac:dyDescent="0.3">
      <c r="A1866" s="21">
        <v>45413.679861111108</v>
      </c>
      <c r="B1866">
        <v>61.4</v>
      </c>
    </row>
    <row r="1867" spans="1:2" x14ac:dyDescent="0.3">
      <c r="A1867" s="21">
        <v>45413.680555555555</v>
      </c>
      <c r="B1867">
        <v>61.6</v>
      </c>
    </row>
    <row r="1868" spans="1:2" x14ac:dyDescent="0.3">
      <c r="A1868" s="21">
        <v>45413.681250000001</v>
      </c>
      <c r="B1868">
        <v>62</v>
      </c>
    </row>
    <row r="1869" spans="1:2" x14ac:dyDescent="0.3">
      <c r="A1869" s="21">
        <v>45413.681944444441</v>
      </c>
      <c r="B1869">
        <v>61.7</v>
      </c>
    </row>
    <row r="1870" spans="1:2" x14ac:dyDescent="0.3">
      <c r="A1870" s="21">
        <v>45413.682638888888</v>
      </c>
      <c r="B1870">
        <v>61.7</v>
      </c>
    </row>
    <row r="1871" spans="1:2" x14ac:dyDescent="0.3">
      <c r="A1871" s="21">
        <v>45413.683333333334</v>
      </c>
      <c r="B1871">
        <v>61.7</v>
      </c>
    </row>
    <row r="1872" spans="1:2" x14ac:dyDescent="0.3">
      <c r="A1872" s="21">
        <v>45413.684027777781</v>
      </c>
      <c r="B1872">
        <v>61.7</v>
      </c>
    </row>
    <row r="1873" spans="1:2" x14ac:dyDescent="0.3">
      <c r="A1873" s="21">
        <v>45413.68472222222</v>
      </c>
      <c r="B1873">
        <v>61.4</v>
      </c>
    </row>
    <row r="1874" spans="1:2" x14ac:dyDescent="0.3">
      <c r="A1874" s="21">
        <v>45413.685416666667</v>
      </c>
      <c r="B1874">
        <v>61.7</v>
      </c>
    </row>
    <row r="1875" spans="1:2" x14ac:dyDescent="0.3">
      <c r="A1875" s="21">
        <v>45413.686111111114</v>
      </c>
      <c r="B1875">
        <v>61.3</v>
      </c>
    </row>
    <row r="1876" spans="1:2" x14ac:dyDescent="0.3">
      <c r="A1876" s="21">
        <v>45413.686805555553</v>
      </c>
      <c r="B1876">
        <v>61.9</v>
      </c>
    </row>
    <row r="1877" spans="1:2" x14ac:dyDescent="0.3">
      <c r="A1877" s="21">
        <v>45413.6875</v>
      </c>
      <c r="B1877">
        <v>61.5</v>
      </c>
    </row>
    <row r="1878" spans="1:2" x14ac:dyDescent="0.3">
      <c r="A1878" s="21">
        <v>45413.688194444447</v>
      </c>
      <c r="B1878">
        <v>61.7</v>
      </c>
    </row>
    <row r="1879" spans="1:2" x14ac:dyDescent="0.3">
      <c r="A1879" s="21">
        <v>45413.688888888886</v>
      </c>
      <c r="B1879">
        <v>61.5</v>
      </c>
    </row>
    <row r="1880" spans="1:2" x14ac:dyDescent="0.3">
      <c r="A1880" s="21">
        <v>45413.689583333333</v>
      </c>
      <c r="B1880">
        <v>61.5</v>
      </c>
    </row>
    <row r="1881" spans="1:2" x14ac:dyDescent="0.3">
      <c r="A1881" s="21">
        <v>45413.69027777778</v>
      </c>
      <c r="B1881">
        <v>61.6</v>
      </c>
    </row>
    <row r="1882" spans="1:2" x14ac:dyDescent="0.3">
      <c r="A1882" s="21">
        <v>45413.690972222219</v>
      </c>
      <c r="B1882">
        <v>61.4</v>
      </c>
    </row>
    <row r="1883" spans="1:2" x14ac:dyDescent="0.3">
      <c r="A1883" s="21">
        <v>45413.691666666666</v>
      </c>
      <c r="B1883">
        <v>62</v>
      </c>
    </row>
    <row r="1884" spans="1:2" x14ac:dyDescent="0.3">
      <c r="A1884" s="21">
        <v>45413.692361111112</v>
      </c>
      <c r="B1884">
        <v>61.8</v>
      </c>
    </row>
    <row r="1885" spans="1:2" x14ac:dyDescent="0.3">
      <c r="A1885" s="21">
        <v>45413.693055555559</v>
      </c>
      <c r="B1885">
        <v>61.8</v>
      </c>
    </row>
    <row r="1886" spans="1:2" x14ac:dyDescent="0.3">
      <c r="A1886" s="21">
        <v>45413.693749999999</v>
      </c>
      <c r="B1886">
        <v>61.7</v>
      </c>
    </row>
    <row r="1887" spans="1:2" x14ac:dyDescent="0.3">
      <c r="A1887" s="21">
        <v>45413.694444444445</v>
      </c>
      <c r="B1887">
        <v>61.7</v>
      </c>
    </row>
    <row r="1888" spans="1:2" x14ac:dyDescent="0.3">
      <c r="A1888" s="21">
        <v>45413.695138888892</v>
      </c>
      <c r="B1888">
        <v>61.8</v>
      </c>
    </row>
    <row r="1889" spans="1:2" x14ac:dyDescent="0.3">
      <c r="A1889" s="21">
        <v>45413.695833333331</v>
      </c>
      <c r="B1889">
        <v>61.7</v>
      </c>
    </row>
    <row r="1890" spans="1:2" x14ac:dyDescent="0.3">
      <c r="A1890" s="21">
        <v>45413.696527777778</v>
      </c>
      <c r="B1890">
        <v>61.9</v>
      </c>
    </row>
    <row r="1891" spans="1:2" x14ac:dyDescent="0.3">
      <c r="A1891" s="21">
        <v>45413.697222222225</v>
      </c>
      <c r="B1891">
        <v>61.4</v>
      </c>
    </row>
    <row r="1892" spans="1:2" x14ac:dyDescent="0.3">
      <c r="A1892" s="21">
        <v>45413.697916666664</v>
      </c>
      <c r="B1892">
        <v>61.5</v>
      </c>
    </row>
    <row r="1893" spans="1:2" x14ac:dyDescent="0.3">
      <c r="A1893" s="21">
        <v>45413.698611111111</v>
      </c>
      <c r="B1893">
        <v>61.9</v>
      </c>
    </row>
    <row r="1894" spans="1:2" x14ac:dyDescent="0.3">
      <c r="A1894" s="21">
        <v>45413.699305555558</v>
      </c>
      <c r="B1894">
        <v>61.5</v>
      </c>
    </row>
    <row r="1895" spans="1:2" x14ac:dyDescent="0.3">
      <c r="A1895" s="21">
        <v>45413.7</v>
      </c>
      <c r="B1895">
        <v>61.9</v>
      </c>
    </row>
    <row r="1896" spans="1:2" x14ac:dyDescent="0.3">
      <c r="A1896" s="21">
        <v>45413.700694444444</v>
      </c>
      <c r="B1896">
        <v>61.7</v>
      </c>
    </row>
    <row r="1897" spans="1:2" x14ac:dyDescent="0.3">
      <c r="A1897" s="21">
        <v>45413.701388888891</v>
      </c>
      <c r="B1897">
        <v>61.7</v>
      </c>
    </row>
    <row r="1898" spans="1:2" x14ac:dyDescent="0.3">
      <c r="A1898" s="21">
        <v>45413.70208333333</v>
      </c>
      <c r="B1898">
        <v>61.7</v>
      </c>
    </row>
    <row r="1899" spans="1:2" x14ac:dyDescent="0.3">
      <c r="A1899" s="21">
        <v>45413.702777777777</v>
      </c>
      <c r="B1899">
        <v>61.4</v>
      </c>
    </row>
    <row r="1900" spans="1:2" x14ac:dyDescent="0.3">
      <c r="A1900" s="21">
        <v>45413.703472222223</v>
      </c>
      <c r="B1900">
        <v>61.7</v>
      </c>
    </row>
    <row r="1901" spans="1:2" x14ac:dyDescent="0.3">
      <c r="A1901" s="21">
        <v>45413.70416666667</v>
      </c>
      <c r="B1901">
        <v>61.4</v>
      </c>
    </row>
    <row r="1902" spans="1:2" x14ac:dyDescent="0.3">
      <c r="A1902" s="21">
        <v>45413.704861111109</v>
      </c>
      <c r="B1902">
        <v>61.7</v>
      </c>
    </row>
    <row r="1903" spans="1:2" x14ac:dyDescent="0.3">
      <c r="A1903" s="21">
        <v>45413.705555555556</v>
      </c>
      <c r="B1903">
        <v>61.8</v>
      </c>
    </row>
    <row r="1904" spans="1:2" x14ac:dyDescent="0.3">
      <c r="A1904" s="21">
        <v>45413.706250000003</v>
      </c>
      <c r="B1904">
        <v>61.4</v>
      </c>
    </row>
    <row r="1905" spans="1:2" x14ac:dyDescent="0.3">
      <c r="A1905" s="21">
        <v>45413.706944444442</v>
      </c>
      <c r="B1905">
        <v>61.7</v>
      </c>
    </row>
    <row r="1906" spans="1:2" x14ac:dyDescent="0.3">
      <c r="A1906" s="21">
        <v>45413.707638888889</v>
      </c>
      <c r="B1906">
        <v>61.5</v>
      </c>
    </row>
    <row r="1907" spans="1:2" x14ac:dyDescent="0.3">
      <c r="A1907" s="21">
        <v>45413.708333333336</v>
      </c>
      <c r="B1907">
        <v>61.6</v>
      </c>
    </row>
    <row r="1908" spans="1:2" x14ac:dyDescent="0.3">
      <c r="A1908" s="21">
        <v>45413.709027777775</v>
      </c>
      <c r="B1908">
        <v>61.8</v>
      </c>
    </row>
    <row r="1909" spans="1:2" x14ac:dyDescent="0.3">
      <c r="A1909" s="21">
        <v>45413.709722222222</v>
      </c>
      <c r="B1909">
        <v>61.7</v>
      </c>
    </row>
    <row r="1910" spans="1:2" x14ac:dyDescent="0.3">
      <c r="A1910" s="21">
        <v>45413.710416666669</v>
      </c>
      <c r="B1910">
        <v>61.7</v>
      </c>
    </row>
    <row r="1911" spans="1:2" x14ac:dyDescent="0.3">
      <c r="A1911" s="21">
        <v>45413.711111111108</v>
      </c>
      <c r="B1911">
        <v>61.4</v>
      </c>
    </row>
    <row r="1912" spans="1:2" x14ac:dyDescent="0.3">
      <c r="A1912" s="21">
        <v>45413.711805555555</v>
      </c>
      <c r="B1912">
        <v>61.6</v>
      </c>
    </row>
    <row r="1913" spans="1:2" x14ac:dyDescent="0.3">
      <c r="A1913" s="21">
        <v>45413.712500000001</v>
      </c>
      <c r="B1913">
        <v>61.7</v>
      </c>
    </row>
    <row r="1914" spans="1:2" x14ac:dyDescent="0.3">
      <c r="A1914" s="21">
        <v>45413.713194444441</v>
      </c>
      <c r="B1914">
        <v>61.6</v>
      </c>
    </row>
    <row r="1915" spans="1:2" x14ac:dyDescent="0.3">
      <c r="A1915" s="21">
        <v>45413.713888888888</v>
      </c>
      <c r="B1915">
        <v>61.7</v>
      </c>
    </row>
    <row r="1916" spans="1:2" x14ac:dyDescent="0.3">
      <c r="A1916" s="21">
        <v>45413.714583333334</v>
      </c>
      <c r="B1916">
        <v>62</v>
      </c>
    </row>
    <row r="1917" spans="1:2" x14ac:dyDescent="0.3">
      <c r="A1917" s="21">
        <v>45413.715277777781</v>
      </c>
      <c r="B1917">
        <v>61.7</v>
      </c>
    </row>
    <row r="1918" spans="1:2" x14ac:dyDescent="0.3">
      <c r="A1918" s="21">
        <v>45413.71597222222</v>
      </c>
      <c r="B1918">
        <v>61.8</v>
      </c>
    </row>
    <row r="1919" spans="1:2" x14ac:dyDescent="0.3">
      <c r="A1919" s="21">
        <v>45413.716666666667</v>
      </c>
      <c r="B1919">
        <v>61.6</v>
      </c>
    </row>
    <row r="1920" spans="1:2" x14ac:dyDescent="0.3">
      <c r="A1920" s="21">
        <v>45413.717361111114</v>
      </c>
      <c r="B1920">
        <v>61.9</v>
      </c>
    </row>
    <row r="1921" spans="1:2" x14ac:dyDescent="0.3">
      <c r="A1921" s="21">
        <v>45413.718055555553</v>
      </c>
      <c r="B1921">
        <v>61.5</v>
      </c>
    </row>
    <row r="1922" spans="1:2" x14ac:dyDescent="0.3">
      <c r="A1922" s="21">
        <v>45413.71875</v>
      </c>
      <c r="B1922">
        <v>61.5</v>
      </c>
    </row>
    <row r="1923" spans="1:2" x14ac:dyDescent="0.3">
      <c r="A1923" s="21">
        <v>45413.719444444447</v>
      </c>
      <c r="B1923">
        <v>61.6</v>
      </c>
    </row>
    <row r="1924" spans="1:2" x14ac:dyDescent="0.3">
      <c r="A1924" s="21">
        <v>45413.720138888886</v>
      </c>
      <c r="B1924">
        <v>61.6</v>
      </c>
    </row>
    <row r="1925" spans="1:2" x14ac:dyDescent="0.3">
      <c r="A1925" s="21">
        <v>45413.720833333333</v>
      </c>
      <c r="B1925">
        <v>61.8</v>
      </c>
    </row>
    <row r="1926" spans="1:2" x14ac:dyDescent="0.3">
      <c r="A1926" s="21">
        <v>45413.72152777778</v>
      </c>
      <c r="B1926">
        <v>61.7</v>
      </c>
    </row>
    <row r="1927" spans="1:2" x14ac:dyDescent="0.3">
      <c r="A1927" s="21">
        <v>45413.722222222219</v>
      </c>
      <c r="B1927">
        <v>61.5</v>
      </c>
    </row>
    <row r="1928" spans="1:2" x14ac:dyDescent="0.3">
      <c r="A1928" s="21">
        <v>45413.722916666666</v>
      </c>
      <c r="B1928">
        <v>61.6</v>
      </c>
    </row>
    <row r="1929" spans="1:2" x14ac:dyDescent="0.3">
      <c r="A1929" s="21">
        <v>45413.723611111112</v>
      </c>
      <c r="B1929">
        <v>61.7</v>
      </c>
    </row>
    <row r="1930" spans="1:2" x14ac:dyDescent="0.3">
      <c r="A1930" s="21">
        <v>45413.724305555559</v>
      </c>
      <c r="B1930">
        <v>61.6</v>
      </c>
    </row>
    <row r="1931" spans="1:2" x14ac:dyDescent="0.3">
      <c r="A1931" s="21">
        <v>45413.724999999999</v>
      </c>
      <c r="B1931">
        <v>61.6</v>
      </c>
    </row>
    <row r="1932" spans="1:2" x14ac:dyDescent="0.3">
      <c r="A1932" s="21">
        <v>45413.725694444445</v>
      </c>
      <c r="B1932">
        <v>61.4</v>
      </c>
    </row>
    <row r="1933" spans="1:2" x14ac:dyDescent="0.3">
      <c r="A1933" s="21">
        <v>45413.726388888892</v>
      </c>
      <c r="B1933">
        <v>61.9</v>
      </c>
    </row>
    <row r="1934" spans="1:2" x14ac:dyDescent="0.3">
      <c r="A1934" s="21">
        <v>45413.727083333331</v>
      </c>
      <c r="B1934">
        <v>61.9</v>
      </c>
    </row>
    <row r="1935" spans="1:2" x14ac:dyDescent="0.3">
      <c r="A1935" s="21">
        <v>45413.727777777778</v>
      </c>
      <c r="B1935">
        <v>61.6</v>
      </c>
    </row>
    <row r="1936" spans="1:2" x14ac:dyDescent="0.3">
      <c r="A1936" s="21">
        <v>45413.728472222225</v>
      </c>
      <c r="B1936">
        <v>61.7</v>
      </c>
    </row>
    <row r="1937" spans="1:2" x14ac:dyDescent="0.3">
      <c r="A1937" s="21">
        <v>45413.729166666664</v>
      </c>
      <c r="B1937">
        <v>61.8</v>
      </c>
    </row>
    <row r="1938" spans="1:2" x14ac:dyDescent="0.3">
      <c r="A1938" s="21">
        <v>45413.729861111111</v>
      </c>
      <c r="B1938">
        <v>61.9</v>
      </c>
    </row>
    <row r="1939" spans="1:2" x14ac:dyDescent="0.3">
      <c r="A1939" s="21">
        <v>45413.730555555558</v>
      </c>
      <c r="B1939">
        <v>61.6</v>
      </c>
    </row>
    <row r="1940" spans="1:2" x14ac:dyDescent="0.3">
      <c r="A1940" s="21">
        <v>45413.731249999997</v>
      </c>
      <c r="B1940">
        <v>61.8</v>
      </c>
    </row>
    <row r="1941" spans="1:2" x14ac:dyDescent="0.3">
      <c r="A1941" s="21">
        <v>45413.731944444444</v>
      </c>
      <c r="B1941">
        <v>61.6</v>
      </c>
    </row>
    <row r="1942" spans="1:2" x14ac:dyDescent="0.3">
      <c r="A1942" s="21">
        <v>45413.732638888891</v>
      </c>
      <c r="B1942">
        <v>61.9</v>
      </c>
    </row>
    <row r="1943" spans="1:2" x14ac:dyDescent="0.3">
      <c r="A1943" s="21">
        <v>45413.73333333333</v>
      </c>
      <c r="B1943">
        <v>61.9</v>
      </c>
    </row>
    <row r="1944" spans="1:2" x14ac:dyDescent="0.3">
      <c r="A1944" s="21">
        <v>45413.734027777777</v>
      </c>
      <c r="B1944">
        <v>61.6</v>
      </c>
    </row>
    <row r="1945" spans="1:2" x14ac:dyDescent="0.3">
      <c r="A1945" s="21">
        <v>45413.734722222223</v>
      </c>
      <c r="B1945">
        <v>62</v>
      </c>
    </row>
    <row r="1946" spans="1:2" x14ac:dyDescent="0.3">
      <c r="A1946" s="21">
        <v>45413.73541666667</v>
      </c>
      <c r="B1946">
        <v>61.7</v>
      </c>
    </row>
    <row r="1947" spans="1:2" x14ac:dyDescent="0.3">
      <c r="A1947" s="21">
        <v>45413.736111111109</v>
      </c>
      <c r="B1947">
        <v>61.8</v>
      </c>
    </row>
    <row r="1948" spans="1:2" x14ac:dyDescent="0.3">
      <c r="A1948" s="21">
        <v>45413.736805555556</v>
      </c>
      <c r="B1948">
        <v>61.4</v>
      </c>
    </row>
    <row r="1949" spans="1:2" x14ac:dyDescent="0.3">
      <c r="A1949" s="21">
        <v>45413.737500000003</v>
      </c>
      <c r="B1949">
        <v>61.5</v>
      </c>
    </row>
    <row r="1950" spans="1:2" x14ac:dyDescent="0.3">
      <c r="A1950" s="21">
        <v>45413.738194444442</v>
      </c>
      <c r="B1950">
        <v>62</v>
      </c>
    </row>
    <row r="1951" spans="1:2" x14ac:dyDescent="0.3">
      <c r="A1951" s="21">
        <v>45413.738888888889</v>
      </c>
      <c r="B1951">
        <v>61.7</v>
      </c>
    </row>
    <row r="1952" spans="1:2" x14ac:dyDescent="0.3">
      <c r="A1952" s="21">
        <v>45413.739583333336</v>
      </c>
      <c r="B1952">
        <v>61.8</v>
      </c>
    </row>
    <row r="1953" spans="1:2" x14ac:dyDescent="0.3">
      <c r="A1953" s="21">
        <v>45413.740277777775</v>
      </c>
      <c r="B1953">
        <v>61.8</v>
      </c>
    </row>
    <row r="1954" spans="1:2" x14ac:dyDescent="0.3">
      <c r="A1954" s="21">
        <v>45413.740972222222</v>
      </c>
      <c r="B1954">
        <v>61.9</v>
      </c>
    </row>
    <row r="1955" spans="1:2" x14ac:dyDescent="0.3">
      <c r="A1955" s="21">
        <v>45413.741666666669</v>
      </c>
      <c r="B1955">
        <v>61.5</v>
      </c>
    </row>
    <row r="1956" spans="1:2" x14ac:dyDescent="0.3">
      <c r="A1956" s="21">
        <v>45413.742361111108</v>
      </c>
      <c r="B1956">
        <v>61.7</v>
      </c>
    </row>
    <row r="1957" spans="1:2" x14ac:dyDescent="0.3">
      <c r="A1957" s="21">
        <v>45413.743055555555</v>
      </c>
      <c r="B1957">
        <v>61.8</v>
      </c>
    </row>
    <row r="1958" spans="1:2" x14ac:dyDescent="0.3">
      <c r="A1958" s="21">
        <v>45413.743750000001</v>
      </c>
      <c r="B1958">
        <v>62.2</v>
      </c>
    </row>
    <row r="1959" spans="1:2" x14ac:dyDescent="0.3">
      <c r="A1959" s="21">
        <v>45413.744444444441</v>
      </c>
      <c r="B1959">
        <v>61.5</v>
      </c>
    </row>
    <row r="1960" spans="1:2" x14ac:dyDescent="0.3">
      <c r="A1960" s="21">
        <v>45413.745138888888</v>
      </c>
      <c r="B1960">
        <v>61.5</v>
      </c>
    </row>
    <row r="1961" spans="1:2" x14ac:dyDescent="0.3">
      <c r="A1961" s="21">
        <v>45413.745833333334</v>
      </c>
      <c r="B1961">
        <v>61.7</v>
      </c>
    </row>
    <row r="1962" spans="1:2" x14ac:dyDescent="0.3">
      <c r="A1962" s="21">
        <v>45413.746527777781</v>
      </c>
      <c r="B1962">
        <v>61.7</v>
      </c>
    </row>
    <row r="1963" spans="1:2" x14ac:dyDescent="0.3">
      <c r="A1963" s="21">
        <v>45413.74722222222</v>
      </c>
      <c r="B1963">
        <v>61.6</v>
      </c>
    </row>
    <row r="1964" spans="1:2" x14ac:dyDescent="0.3">
      <c r="A1964" s="21">
        <v>45413.747916666667</v>
      </c>
      <c r="B1964">
        <v>61.6</v>
      </c>
    </row>
    <row r="1965" spans="1:2" x14ac:dyDescent="0.3">
      <c r="A1965" s="21">
        <v>45413.748611111114</v>
      </c>
      <c r="B1965">
        <v>61.6</v>
      </c>
    </row>
    <row r="1966" spans="1:2" x14ac:dyDescent="0.3">
      <c r="A1966" s="21">
        <v>45413.749305555553</v>
      </c>
      <c r="B1966">
        <v>61.4</v>
      </c>
    </row>
    <row r="1967" spans="1:2" x14ac:dyDescent="0.3">
      <c r="A1967" s="21">
        <v>45413.75</v>
      </c>
      <c r="B1967">
        <v>61.8</v>
      </c>
    </row>
    <row r="1968" spans="1:2" x14ac:dyDescent="0.3">
      <c r="A1968" s="21">
        <v>45413.750694444447</v>
      </c>
      <c r="B1968">
        <v>61.6</v>
      </c>
    </row>
    <row r="1969" spans="1:2" x14ac:dyDescent="0.3">
      <c r="A1969" s="21">
        <v>45413.751388888886</v>
      </c>
      <c r="B1969">
        <v>61.6</v>
      </c>
    </row>
    <row r="1970" spans="1:2" x14ac:dyDescent="0.3">
      <c r="A1970" s="21">
        <v>45413.752083333333</v>
      </c>
      <c r="B1970">
        <v>61.7</v>
      </c>
    </row>
    <row r="1971" spans="1:2" x14ac:dyDescent="0.3">
      <c r="A1971" s="21">
        <v>45413.75277777778</v>
      </c>
      <c r="B1971">
        <v>61.6</v>
      </c>
    </row>
    <row r="1972" spans="1:2" x14ac:dyDescent="0.3">
      <c r="A1972" s="21">
        <v>45413.753472222219</v>
      </c>
      <c r="B1972">
        <v>61.9</v>
      </c>
    </row>
    <row r="1973" spans="1:2" x14ac:dyDescent="0.3">
      <c r="A1973" s="21">
        <v>45413.754166666666</v>
      </c>
      <c r="B1973">
        <v>61.8</v>
      </c>
    </row>
    <row r="1974" spans="1:2" x14ac:dyDescent="0.3">
      <c r="A1974" s="21">
        <v>45413.754861111112</v>
      </c>
      <c r="B1974">
        <v>61.6</v>
      </c>
    </row>
    <row r="1975" spans="1:2" x14ac:dyDescent="0.3">
      <c r="A1975" s="21">
        <v>45413.755555555559</v>
      </c>
      <c r="B1975">
        <v>61.7</v>
      </c>
    </row>
    <row r="1976" spans="1:2" x14ac:dyDescent="0.3">
      <c r="A1976" s="21">
        <v>45413.756249999999</v>
      </c>
      <c r="B1976">
        <v>61.5</v>
      </c>
    </row>
    <row r="1977" spans="1:2" x14ac:dyDescent="0.3">
      <c r="A1977" s="21">
        <v>45413.756944444445</v>
      </c>
      <c r="B1977">
        <v>61.6</v>
      </c>
    </row>
    <row r="1978" spans="1:2" x14ac:dyDescent="0.3">
      <c r="A1978" s="21">
        <v>45413.757638888892</v>
      </c>
      <c r="B1978">
        <v>61.4</v>
      </c>
    </row>
    <row r="1979" spans="1:2" x14ac:dyDescent="0.3">
      <c r="A1979" s="21">
        <v>45413.758333333331</v>
      </c>
      <c r="B1979">
        <v>61.8</v>
      </c>
    </row>
    <row r="1980" spans="1:2" x14ac:dyDescent="0.3">
      <c r="A1980" s="21">
        <v>45413.759027777778</v>
      </c>
      <c r="B1980">
        <v>61.4</v>
      </c>
    </row>
    <row r="1981" spans="1:2" x14ac:dyDescent="0.3">
      <c r="A1981" s="21">
        <v>45413.759722222225</v>
      </c>
      <c r="B1981">
        <v>62</v>
      </c>
    </row>
    <row r="1982" spans="1:2" x14ac:dyDescent="0.3">
      <c r="A1982" s="21">
        <v>45413.760416666664</v>
      </c>
      <c r="B1982">
        <v>61.7</v>
      </c>
    </row>
    <row r="1983" spans="1:2" x14ac:dyDescent="0.3">
      <c r="A1983" s="21">
        <v>45413.761111111111</v>
      </c>
      <c r="B1983">
        <v>61.8</v>
      </c>
    </row>
    <row r="1984" spans="1:2" x14ac:dyDescent="0.3">
      <c r="A1984" s="21">
        <v>45413.761805555558</v>
      </c>
      <c r="B1984">
        <v>61.4</v>
      </c>
    </row>
    <row r="1985" spans="1:2" x14ac:dyDescent="0.3">
      <c r="A1985" s="21">
        <v>45413.762499999997</v>
      </c>
      <c r="B1985">
        <v>61.7</v>
      </c>
    </row>
    <row r="1986" spans="1:2" x14ac:dyDescent="0.3">
      <c r="A1986" s="21">
        <v>45413.763194444444</v>
      </c>
      <c r="B1986">
        <v>61.4</v>
      </c>
    </row>
    <row r="1987" spans="1:2" x14ac:dyDescent="0.3">
      <c r="A1987" s="21">
        <v>45413.763888888891</v>
      </c>
      <c r="B1987">
        <v>61.3</v>
      </c>
    </row>
    <row r="1988" spans="1:2" x14ac:dyDescent="0.3">
      <c r="A1988" s="21">
        <v>45413.76458333333</v>
      </c>
      <c r="B1988">
        <v>61.7</v>
      </c>
    </row>
    <row r="1989" spans="1:2" x14ac:dyDescent="0.3">
      <c r="A1989" s="21">
        <v>45413.765277777777</v>
      </c>
      <c r="B1989">
        <v>61.6</v>
      </c>
    </row>
    <row r="1990" spans="1:2" x14ac:dyDescent="0.3">
      <c r="A1990" s="21">
        <v>45413.765972222223</v>
      </c>
      <c r="B1990">
        <v>61.7</v>
      </c>
    </row>
    <row r="1991" spans="1:2" x14ac:dyDescent="0.3">
      <c r="A1991" s="21">
        <v>45413.76666666667</v>
      </c>
      <c r="B1991">
        <v>61.4</v>
      </c>
    </row>
    <row r="1992" spans="1:2" x14ac:dyDescent="0.3">
      <c r="A1992" s="21">
        <v>45413.767361111109</v>
      </c>
      <c r="B1992">
        <v>61.8</v>
      </c>
    </row>
    <row r="1993" spans="1:2" x14ac:dyDescent="0.3">
      <c r="A1993" s="21">
        <v>45413.768055555556</v>
      </c>
      <c r="B1993">
        <v>61.7</v>
      </c>
    </row>
    <row r="1994" spans="1:2" x14ac:dyDescent="0.3">
      <c r="A1994" s="21">
        <v>45413.768750000003</v>
      </c>
      <c r="B1994">
        <v>61.5</v>
      </c>
    </row>
    <row r="1995" spans="1:2" x14ac:dyDescent="0.3">
      <c r="A1995" s="21">
        <v>45413.769444444442</v>
      </c>
      <c r="B1995">
        <v>61.5</v>
      </c>
    </row>
    <row r="1996" spans="1:2" x14ac:dyDescent="0.3">
      <c r="A1996" s="21">
        <v>45413.770138888889</v>
      </c>
      <c r="B1996">
        <v>61.9</v>
      </c>
    </row>
    <row r="1997" spans="1:2" x14ac:dyDescent="0.3">
      <c r="A1997" s="21">
        <v>45413.770833333336</v>
      </c>
      <c r="B1997">
        <v>61.6</v>
      </c>
    </row>
    <row r="1998" spans="1:2" x14ac:dyDescent="0.3">
      <c r="A1998" s="21">
        <v>45413.771527777775</v>
      </c>
      <c r="B1998">
        <v>61.4</v>
      </c>
    </row>
    <row r="1999" spans="1:2" x14ac:dyDescent="0.3">
      <c r="A1999" s="21">
        <v>45413.772222222222</v>
      </c>
      <c r="B1999">
        <v>61.7</v>
      </c>
    </row>
    <row r="2000" spans="1:2" x14ac:dyDescent="0.3">
      <c r="A2000" s="21">
        <v>45413.772916666669</v>
      </c>
      <c r="B2000">
        <v>61.6</v>
      </c>
    </row>
    <row r="2001" spans="1:2" x14ac:dyDescent="0.3">
      <c r="A2001" s="21">
        <v>45413.773611111108</v>
      </c>
      <c r="B2001">
        <v>61.4</v>
      </c>
    </row>
    <row r="2002" spans="1:2" x14ac:dyDescent="0.3">
      <c r="A2002" s="21">
        <v>45413.774305555555</v>
      </c>
      <c r="B2002">
        <v>61.2</v>
      </c>
    </row>
    <row r="2003" spans="1:2" x14ac:dyDescent="0.3">
      <c r="A2003" s="21">
        <v>45413.775000000001</v>
      </c>
      <c r="B2003">
        <v>61.4</v>
      </c>
    </row>
    <row r="2004" spans="1:2" x14ac:dyDescent="0.3">
      <c r="A2004" s="21">
        <v>45413.775694444441</v>
      </c>
      <c r="B2004">
        <v>61.6</v>
      </c>
    </row>
    <row r="2005" spans="1:2" x14ac:dyDescent="0.3">
      <c r="A2005" s="21">
        <v>45413.776388888888</v>
      </c>
      <c r="B2005">
        <v>61.2</v>
      </c>
    </row>
    <row r="2006" spans="1:2" x14ac:dyDescent="0.3">
      <c r="A2006" s="21">
        <v>45413.777083333334</v>
      </c>
      <c r="B2006">
        <v>61.6</v>
      </c>
    </row>
    <row r="2007" spans="1:2" x14ac:dyDescent="0.3">
      <c r="A2007" s="21">
        <v>45413.777777777781</v>
      </c>
      <c r="B2007">
        <v>61.8</v>
      </c>
    </row>
    <row r="2008" spans="1:2" x14ac:dyDescent="0.3">
      <c r="A2008" s="21">
        <v>45413.77847222222</v>
      </c>
      <c r="B2008">
        <v>61.5</v>
      </c>
    </row>
    <row r="2009" spans="1:2" x14ac:dyDescent="0.3">
      <c r="A2009" s="21">
        <v>45413.779166666667</v>
      </c>
      <c r="B2009">
        <v>61.8</v>
      </c>
    </row>
    <row r="2010" spans="1:2" x14ac:dyDescent="0.3">
      <c r="A2010" s="21">
        <v>45413.779861111114</v>
      </c>
      <c r="B2010">
        <v>61.6</v>
      </c>
    </row>
    <row r="2011" spans="1:2" x14ac:dyDescent="0.3">
      <c r="A2011" s="21">
        <v>45413.780555555553</v>
      </c>
      <c r="B2011">
        <v>61.5</v>
      </c>
    </row>
    <row r="2012" spans="1:2" x14ac:dyDescent="0.3">
      <c r="A2012" s="21">
        <v>45413.78125</v>
      </c>
      <c r="B2012">
        <v>61.2</v>
      </c>
    </row>
    <row r="2013" spans="1:2" x14ac:dyDescent="0.3">
      <c r="A2013" s="21">
        <v>45413.781944444447</v>
      </c>
      <c r="B2013">
        <v>61.3</v>
      </c>
    </row>
    <row r="2014" spans="1:2" x14ac:dyDescent="0.3">
      <c r="A2014" s="21">
        <v>45413.782638888886</v>
      </c>
      <c r="B2014">
        <v>61.8</v>
      </c>
    </row>
    <row r="2015" spans="1:2" x14ac:dyDescent="0.3">
      <c r="A2015" s="21">
        <v>45413.783333333333</v>
      </c>
      <c r="B2015">
        <v>61.6</v>
      </c>
    </row>
    <row r="2016" spans="1:2" x14ac:dyDescent="0.3">
      <c r="A2016" s="21">
        <v>45413.78402777778</v>
      </c>
      <c r="B2016">
        <v>61.4</v>
      </c>
    </row>
    <row r="2017" spans="1:2" x14ac:dyDescent="0.3">
      <c r="A2017" s="21">
        <v>45413.784722222219</v>
      </c>
      <c r="B2017">
        <v>61.4</v>
      </c>
    </row>
    <row r="2018" spans="1:2" x14ac:dyDescent="0.3">
      <c r="A2018" s="21">
        <v>45413.785416666666</v>
      </c>
      <c r="B2018">
        <v>61.3</v>
      </c>
    </row>
    <row r="2019" spans="1:2" x14ac:dyDescent="0.3">
      <c r="A2019" s="21">
        <v>45413.786111111112</v>
      </c>
      <c r="B2019">
        <v>61.5</v>
      </c>
    </row>
    <row r="2020" spans="1:2" x14ac:dyDescent="0.3">
      <c r="A2020" s="21">
        <v>45413.786805555559</v>
      </c>
      <c r="B2020">
        <v>61.4</v>
      </c>
    </row>
    <row r="2021" spans="1:2" x14ac:dyDescent="0.3">
      <c r="A2021" s="21">
        <v>45413.787499999999</v>
      </c>
      <c r="B2021">
        <v>61.3</v>
      </c>
    </row>
    <row r="2022" spans="1:2" x14ac:dyDescent="0.3">
      <c r="A2022" s="21">
        <v>45413.788194444445</v>
      </c>
      <c r="B2022">
        <v>61.5</v>
      </c>
    </row>
    <row r="2023" spans="1:2" x14ac:dyDescent="0.3">
      <c r="A2023" s="21">
        <v>45413.788888888892</v>
      </c>
      <c r="B2023">
        <v>61.3</v>
      </c>
    </row>
    <row r="2024" spans="1:2" x14ac:dyDescent="0.3">
      <c r="A2024" s="21">
        <v>45413.789583333331</v>
      </c>
      <c r="B2024">
        <v>61.5</v>
      </c>
    </row>
    <row r="2025" spans="1:2" x14ac:dyDescent="0.3">
      <c r="A2025" s="21">
        <v>45413.790277777778</v>
      </c>
      <c r="B2025">
        <v>61.3</v>
      </c>
    </row>
    <row r="2026" spans="1:2" x14ac:dyDescent="0.3">
      <c r="A2026" s="21">
        <v>45413.790972222225</v>
      </c>
      <c r="B2026">
        <v>61.7</v>
      </c>
    </row>
    <row r="2027" spans="1:2" x14ac:dyDescent="0.3">
      <c r="A2027" s="21">
        <v>45413.791666666664</v>
      </c>
      <c r="B2027">
        <v>61.3</v>
      </c>
    </row>
    <row r="2028" spans="1:2" x14ac:dyDescent="0.3">
      <c r="A2028" s="21">
        <v>45413.792361111111</v>
      </c>
      <c r="B2028">
        <v>61.6</v>
      </c>
    </row>
    <row r="2029" spans="1:2" x14ac:dyDescent="0.3">
      <c r="A2029" s="21">
        <v>45413.793055555558</v>
      </c>
      <c r="B2029">
        <v>61.6</v>
      </c>
    </row>
    <row r="2030" spans="1:2" x14ac:dyDescent="0.3">
      <c r="A2030" s="21">
        <v>45413.793749999997</v>
      </c>
      <c r="B2030">
        <v>61.6</v>
      </c>
    </row>
    <row r="2031" spans="1:2" x14ac:dyDescent="0.3">
      <c r="A2031" s="21">
        <v>45413.794444444444</v>
      </c>
      <c r="B2031">
        <v>61.5</v>
      </c>
    </row>
    <row r="2032" spans="1:2" x14ac:dyDescent="0.3">
      <c r="A2032" s="21">
        <v>45413.795138888891</v>
      </c>
      <c r="B2032">
        <v>61.8</v>
      </c>
    </row>
    <row r="2033" spans="1:2" x14ac:dyDescent="0.3">
      <c r="A2033" s="21">
        <v>45413.79583333333</v>
      </c>
      <c r="B2033">
        <v>61.6</v>
      </c>
    </row>
    <row r="2034" spans="1:2" x14ac:dyDescent="0.3">
      <c r="A2034" s="21">
        <v>45413.796527777777</v>
      </c>
      <c r="B2034">
        <v>61.5</v>
      </c>
    </row>
    <row r="2035" spans="1:2" x14ac:dyDescent="0.3">
      <c r="A2035" s="21">
        <v>45413.797222222223</v>
      </c>
      <c r="B2035">
        <v>61.3</v>
      </c>
    </row>
    <row r="2036" spans="1:2" x14ac:dyDescent="0.3">
      <c r="A2036" s="21">
        <v>45413.79791666667</v>
      </c>
      <c r="B2036">
        <v>61.1</v>
      </c>
    </row>
    <row r="2037" spans="1:2" x14ac:dyDescent="0.3">
      <c r="A2037" s="21">
        <v>45413.798611111109</v>
      </c>
      <c r="B2037">
        <v>61.5</v>
      </c>
    </row>
    <row r="2038" spans="1:2" x14ac:dyDescent="0.3">
      <c r="A2038" s="21">
        <v>45413.799305555556</v>
      </c>
      <c r="B2038">
        <v>61.5</v>
      </c>
    </row>
    <row r="2039" spans="1:2" x14ac:dyDescent="0.3">
      <c r="A2039" s="21">
        <v>45413.8</v>
      </c>
      <c r="B2039">
        <v>61.5</v>
      </c>
    </row>
    <row r="2040" spans="1:2" x14ac:dyDescent="0.3">
      <c r="A2040" s="21">
        <v>45413.800694444442</v>
      </c>
      <c r="B2040">
        <v>61.7</v>
      </c>
    </row>
    <row r="2041" spans="1:2" x14ac:dyDescent="0.3">
      <c r="A2041" s="21">
        <v>45413.801388888889</v>
      </c>
      <c r="B2041">
        <v>61.3</v>
      </c>
    </row>
    <row r="2042" spans="1:2" x14ac:dyDescent="0.3">
      <c r="A2042" s="21">
        <v>45413.802083333336</v>
      </c>
      <c r="B2042">
        <v>61.6</v>
      </c>
    </row>
    <row r="2043" spans="1:2" x14ac:dyDescent="0.3">
      <c r="A2043" s="21">
        <v>45413.802777777775</v>
      </c>
      <c r="B2043">
        <v>61.5</v>
      </c>
    </row>
    <row r="2044" spans="1:2" x14ac:dyDescent="0.3">
      <c r="A2044" s="21">
        <v>45413.803472222222</v>
      </c>
      <c r="B2044">
        <v>61.6</v>
      </c>
    </row>
    <row r="2045" spans="1:2" x14ac:dyDescent="0.3">
      <c r="A2045" s="21">
        <v>45413.804166666669</v>
      </c>
      <c r="B2045">
        <v>61.5</v>
      </c>
    </row>
    <row r="2046" spans="1:2" x14ac:dyDescent="0.3">
      <c r="A2046" s="21">
        <v>45413.804861111108</v>
      </c>
      <c r="B2046">
        <v>61.3</v>
      </c>
    </row>
    <row r="2047" spans="1:2" x14ac:dyDescent="0.3">
      <c r="A2047" s="21">
        <v>45413.805555555555</v>
      </c>
      <c r="B2047">
        <v>61.6</v>
      </c>
    </row>
    <row r="2048" spans="1:2" x14ac:dyDescent="0.3">
      <c r="A2048" s="21">
        <v>45413.806250000001</v>
      </c>
      <c r="B2048">
        <v>61.4</v>
      </c>
    </row>
    <row r="2049" spans="1:2" x14ac:dyDescent="0.3">
      <c r="A2049" s="21">
        <v>45413.806944444441</v>
      </c>
      <c r="B2049">
        <v>61.6</v>
      </c>
    </row>
    <row r="2050" spans="1:2" x14ac:dyDescent="0.3">
      <c r="A2050" s="21">
        <v>45413.807638888888</v>
      </c>
      <c r="B2050">
        <v>61.3</v>
      </c>
    </row>
    <row r="2051" spans="1:2" x14ac:dyDescent="0.3">
      <c r="A2051" s="21">
        <v>45413.808333333334</v>
      </c>
      <c r="B2051">
        <v>61.5</v>
      </c>
    </row>
    <row r="2052" spans="1:2" x14ac:dyDescent="0.3">
      <c r="A2052" s="21">
        <v>45413.809027777781</v>
      </c>
      <c r="B2052">
        <v>61.2</v>
      </c>
    </row>
    <row r="2053" spans="1:2" x14ac:dyDescent="0.3">
      <c r="A2053" s="21">
        <v>45413.80972222222</v>
      </c>
      <c r="B2053">
        <v>61.6</v>
      </c>
    </row>
    <row r="2054" spans="1:2" x14ac:dyDescent="0.3">
      <c r="A2054" s="21">
        <v>45413.810416666667</v>
      </c>
      <c r="B2054">
        <v>61.4</v>
      </c>
    </row>
    <row r="2055" spans="1:2" x14ac:dyDescent="0.3">
      <c r="A2055" s="21">
        <v>45413.811111111114</v>
      </c>
      <c r="B2055">
        <v>61.6</v>
      </c>
    </row>
    <row r="2056" spans="1:2" x14ac:dyDescent="0.3">
      <c r="A2056" s="21">
        <v>45413.811805555553</v>
      </c>
      <c r="B2056">
        <v>61.4</v>
      </c>
    </row>
    <row r="2057" spans="1:2" x14ac:dyDescent="0.3">
      <c r="A2057" s="21">
        <v>45413.8125</v>
      </c>
      <c r="B2057">
        <v>61.4</v>
      </c>
    </row>
    <row r="2058" spans="1:2" x14ac:dyDescent="0.3">
      <c r="A2058" s="21">
        <v>45413.813194444447</v>
      </c>
      <c r="B2058">
        <v>61.2</v>
      </c>
    </row>
    <row r="2059" spans="1:2" x14ac:dyDescent="0.3">
      <c r="A2059" s="21">
        <v>45413.813888888886</v>
      </c>
      <c r="B2059">
        <v>61.5</v>
      </c>
    </row>
    <row r="2060" spans="1:2" x14ac:dyDescent="0.3">
      <c r="A2060" s="21">
        <v>45413.814583333333</v>
      </c>
      <c r="B2060">
        <v>61.4</v>
      </c>
    </row>
    <row r="2061" spans="1:2" x14ac:dyDescent="0.3">
      <c r="A2061" s="21">
        <v>45413.81527777778</v>
      </c>
      <c r="B2061">
        <v>61.4</v>
      </c>
    </row>
    <row r="2062" spans="1:2" x14ac:dyDescent="0.3">
      <c r="A2062" s="21">
        <v>45413.815972222219</v>
      </c>
      <c r="B2062">
        <v>61.3</v>
      </c>
    </row>
    <row r="2063" spans="1:2" x14ac:dyDescent="0.3">
      <c r="A2063" s="21">
        <v>45413.816666666666</v>
      </c>
      <c r="B2063">
        <v>61.3</v>
      </c>
    </row>
    <row r="2064" spans="1:2" x14ac:dyDescent="0.3">
      <c r="A2064" s="21">
        <v>45413.817361111112</v>
      </c>
      <c r="B2064">
        <v>61.5</v>
      </c>
    </row>
    <row r="2065" spans="1:2" x14ac:dyDescent="0.3">
      <c r="A2065" s="21">
        <v>45413.818055555559</v>
      </c>
      <c r="B2065">
        <v>61.2</v>
      </c>
    </row>
    <row r="2066" spans="1:2" x14ac:dyDescent="0.3">
      <c r="A2066" s="21">
        <v>45413.818749999999</v>
      </c>
      <c r="B2066">
        <v>61.6</v>
      </c>
    </row>
    <row r="2067" spans="1:2" x14ac:dyDescent="0.3">
      <c r="A2067" s="21">
        <v>45413.819444444445</v>
      </c>
      <c r="B2067">
        <v>61.5</v>
      </c>
    </row>
    <row r="2068" spans="1:2" x14ac:dyDescent="0.3">
      <c r="A2068" s="21">
        <v>45413.820138888892</v>
      </c>
      <c r="B2068">
        <v>61.4</v>
      </c>
    </row>
    <row r="2069" spans="1:2" x14ac:dyDescent="0.3">
      <c r="A2069" s="21">
        <v>45413.820833333331</v>
      </c>
      <c r="B2069">
        <v>61.4</v>
      </c>
    </row>
    <row r="2070" spans="1:2" x14ac:dyDescent="0.3">
      <c r="A2070" s="21">
        <v>45413.821527777778</v>
      </c>
      <c r="B2070">
        <v>61.5</v>
      </c>
    </row>
    <row r="2071" spans="1:2" x14ac:dyDescent="0.3">
      <c r="A2071" s="21">
        <v>45413.822222222225</v>
      </c>
      <c r="B2071">
        <v>61.9</v>
      </c>
    </row>
    <row r="2072" spans="1:2" x14ac:dyDescent="0.3">
      <c r="A2072" s="21">
        <v>45413.822916666664</v>
      </c>
      <c r="B2072">
        <v>61.9</v>
      </c>
    </row>
    <row r="2073" spans="1:2" x14ac:dyDescent="0.3">
      <c r="A2073" s="21">
        <v>45413.823611111111</v>
      </c>
      <c r="B2073">
        <v>61.8</v>
      </c>
    </row>
    <row r="2074" spans="1:2" x14ac:dyDescent="0.3">
      <c r="A2074" s="21">
        <v>45413.824305555558</v>
      </c>
      <c r="B2074">
        <v>61.6</v>
      </c>
    </row>
    <row r="2075" spans="1:2" x14ac:dyDescent="0.3">
      <c r="A2075" s="21">
        <v>45413.824999999997</v>
      </c>
      <c r="B2075">
        <v>61.8</v>
      </c>
    </row>
    <row r="2076" spans="1:2" x14ac:dyDescent="0.3">
      <c r="A2076" s="21">
        <v>45413.825694444444</v>
      </c>
      <c r="B2076">
        <v>61.7</v>
      </c>
    </row>
    <row r="2077" spans="1:2" x14ac:dyDescent="0.3">
      <c r="A2077" s="21">
        <v>45413.826388888891</v>
      </c>
      <c r="B2077">
        <v>61.7</v>
      </c>
    </row>
    <row r="2078" spans="1:2" x14ac:dyDescent="0.3">
      <c r="A2078" s="21">
        <v>45413.82708333333</v>
      </c>
      <c r="B2078">
        <v>61.3</v>
      </c>
    </row>
    <row r="2079" spans="1:2" x14ac:dyDescent="0.3">
      <c r="A2079" s="21">
        <v>45413.827777777777</v>
      </c>
      <c r="B2079">
        <v>61.6</v>
      </c>
    </row>
    <row r="2080" spans="1:2" x14ac:dyDescent="0.3">
      <c r="A2080" s="21">
        <v>45413.828472222223</v>
      </c>
      <c r="B2080">
        <v>61.3</v>
      </c>
    </row>
    <row r="2081" spans="1:2" x14ac:dyDescent="0.3">
      <c r="A2081" s="21">
        <v>45413.82916666667</v>
      </c>
      <c r="B2081">
        <v>61.6</v>
      </c>
    </row>
    <row r="2082" spans="1:2" x14ac:dyDescent="0.3">
      <c r="A2082" s="21">
        <v>45413.829861111109</v>
      </c>
      <c r="B2082">
        <v>61.3</v>
      </c>
    </row>
    <row r="2083" spans="1:2" x14ac:dyDescent="0.3">
      <c r="A2083" s="21">
        <v>45413.830555555556</v>
      </c>
      <c r="B2083">
        <v>61.3</v>
      </c>
    </row>
    <row r="2084" spans="1:2" x14ac:dyDescent="0.3">
      <c r="A2084" s="21">
        <v>45413.831250000003</v>
      </c>
      <c r="B2084">
        <v>61.7</v>
      </c>
    </row>
    <row r="2085" spans="1:2" x14ac:dyDescent="0.3">
      <c r="A2085" s="21">
        <v>45413.831944444442</v>
      </c>
      <c r="B2085">
        <v>61.5</v>
      </c>
    </row>
    <row r="2086" spans="1:2" x14ac:dyDescent="0.3">
      <c r="A2086" s="21">
        <v>45413.832638888889</v>
      </c>
      <c r="B2086">
        <v>61.8</v>
      </c>
    </row>
    <row r="2087" spans="1:2" x14ac:dyDescent="0.3">
      <c r="A2087" s="21">
        <v>45413.833333333336</v>
      </c>
      <c r="B2087">
        <v>61.6</v>
      </c>
    </row>
    <row r="2088" spans="1:2" x14ac:dyDescent="0.3">
      <c r="A2088" s="21">
        <v>45413.834027777775</v>
      </c>
      <c r="B2088">
        <v>61.3</v>
      </c>
    </row>
    <row r="2089" spans="1:2" x14ac:dyDescent="0.3">
      <c r="A2089" s="21">
        <v>45413.834722222222</v>
      </c>
      <c r="B2089">
        <v>61.8</v>
      </c>
    </row>
    <row r="2090" spans="1:2" x14ac:dyDescent="0.3">
      <c r="A2090" s="21">
        <v>45413.835416666669</v>
      </c>
      <c r="B2090">
        <v>61.5</v>
      </c>
    </row>
    <row r="2091" spans="1:2" x14ac:dyDescent="0.3">
      <c r="A2091" s="21">
        <v>45413.836111111108</v>
      </c>
      <c r="B2091">
        <v>61.4</v>
      </c>
    </row>
    <row r="2092" spans="1:2" x14ac:dyDescent="0.3">
      <c r="A2092" s="21">
        <v>45413.836805555555</v>
      </c>
      <c r="B2092">
        <v>61.5</v>
      </c>
    </row>
    <row r="2093" spans="1:2" x14ac:dyDescent="0.3">
      <c r="A2093" s="21">
        <v>45413.837500000001</v>
      </c>
      <c r="B2093">
        <v>61.4</v>
      </c>
    </row>
    <row r="2094" spans="1:2" x14ac:dyDescent="0.3">
      <c r="A2094" s="21">
        <v>45413.838194444441</v>
      </c>
      <c r="B2094">
        <v>61.9</v>
      </c>
    </row>
    <row r="2095" spans="1:2" x14ac:dyDescent="0.3">
      <c r="A2095" s="21">
        <v>45413.838888888888</v>
      </c>
      <c r="B2095">
        <v>61.6</v>
      </c>
    </row>
    <row r="2096" spans="1:2" x14ac:dyDescent="0.3">
      <c r="A2096" s="21">
        <v>45413.839583333334</v>
      </c>
      <c r="B2096">
        <v>61.4</v>
      </c>
    </row>
    <row r="2097" spans="1:2" x14ac:dyDescent="0.3">
      <c r="A2097" s="21">
        <v>45413.840277777781</v>
      </c>
      <c r="B2097">
        <v>61.4</v>
      </c>
    </row>
    <row r="2098" spans="1:2" x14ac:dyDescent="0.3">
      <c r="A2098" s="21">
        <v>45413.84097222222</v>
      </c>
      <c r="B2098">
        <v>61.6</v>
      </c>
    </row>
    <row r="2099" spans="1:2" x14ac:dyDescent="0.3">
      <c r="A2099" s="21">
        <v>45413.841666666667</v>
      </c>
      <c r="B2099">
        <v>61.8</v>
      </c>
    </row>
    <row r="2100" spans="1:2" x14ac:dyDescent="0.3">
      <c r="A2100" s="21">
        <v>45413.842361111114</v>
      </c>
      <c r="B2100">
        <v>61.6</v>
      </c>
    </row>
    <row r="2101" spans="1:2" x14ac:dyDescent="0.3">
      <c r="A2101" s="21">
        <v>45413.843055555553</v>
      </c>
      <c r="B2101">
        <v>61.9</v>
      </c>
    </row>
    <row r="2102" spans="1:2" x14ac:dyDescent="0.3">
      <c r="A2102" s="21">
        <v>45413.84375</v>
      </c>
      <c r="B2102">
        <v>61.6</v>
      </c>
    </row>
    <row r="2103" spans="1:2" x14ac:dyDescent="0.3">
      <c r="A2103" s="21">
        <v>45413.844444444447</v>
      </c>
      <c r="B2103">
        <v>61.3</v>
      </c>
    </row>
    <row r="2104" spans="1:2" x14ac:dyDescent="0.3">
      <c r="A2104" s="21">
        <v>45413.845138888886</v>
      </c>
      <c r="B2104">
        <v>61.7</v>
      </c>
    </row>
    <row r="2105" spans="1:2" x14ac:dyDescent="0.3">
      <c r="A2105" s="21">
        <v>45413.845833333333</v>
      </c>
      <c r="B2105">
        <v>61.6</v>
      </c>
    </row>
    <row r="2106" spans="1:2" x14ac:dyDescent="0.3">
      <c r="A2106" s="21">
        <v>45413.84652777778</v>
      </c>
      <c r="B2106">
        <v>61.8</v>
      </c>
    </row>
    <row r="2107" spans="1:2" x14ac:dyDescent="0.3">
      <c r="A2107" s="21">
        <v>45413.847222222219</v>
      </c>
      <c r="B2107">
        <v>61.7</v>
      </c>
    </row>
    <row r="2108" spans="1:2" x14ac:dyDescent="0.3">
      <c r="A2108" s="21">
        <v>45413.847916666666</v>
      </c>
      <c r="B2108">
        <v>61.5</v>
      </c>
    </row>
    <row r="2109" spans="1:2" x14ac:dyDescent="0.3">
      <c r="A2109" s="21">
        <v>45413.848611111112</v>
      </c>
      <c r="B2109">
        <v>61.7</v>
      </c>
    </row>
    <row r="2110" spans="1:2" x14ac:dyDescent="0.3">
      <c r="A2110" s="21">
        <v>45413.849305555559</v>
      </c>
      <c r="B2110">
        <v>61.4</v>
      </c>
    </row>
    <row r="2111" spans="1:2" x14ac:dyDescent="0.3">
      <c r="A2111" s="21">
        <v>45413.85</v>
      </c>
      <c r="B2111">
        <v>61.8</v>
      </c>
    </row>
    <row r="2112" spans="1:2" x14ac:dyDescent="0.3">
      <c r="A2112" s="21">
        <v>45413.850694444445</v>
      </c>
      <c r="B2112">
        <v>61.6</v>
      </c>
    </row>
    <row r="2113" spans="1:2" x14ac:dyDescent="0.3">
      <c r="A2113" s="21">
        <v>45413.851388888892</v>
      </c>
      <c r="B2113">
        <v>61.7</v>
      </c>
    </row>
    <row r="2114" spans="1:2" x14ac:dyDescent="0.3">
      <c r="A2114" s="21">
        <v>45413.852083333331</v>
      </c>
      <c r="B2114">
        <v>61.9</v>
      </c>
    </row>
    <row r="2115" spans="1:2" x14ac:dyDescent="0.3">
      <c r="A2115" s="21">
        <v>45413.852777777778</v>
      </c>
      <c r="B2115">
        <v>61.7</v>
      </c>
    </row>
    <row r="2116" spans="1:2" x14ac:dyDescent="0.3">
      <c r="A2116" s="21">
        <v>45413.853472222225</v>
      </c>
      <c r="B2116">
        <v>61.9</v>
      </c>
    </row>
    <row r="2117" spans="1:2" x14ac:dyDescent="0.3">
      <c r="A2117" s="21">
        <v>45413.854166666664</v>
      </c>
      <c r="B2117">
        <v>61.3</v>
      </c>
    </row>
    <row r="2118" spans="1:2" x14ac:dyDescent="0.3">
      <c r="A2118" s="21">
        <v>45413.854861111111</v>
      </c>
      <c r="B2118">
        <v>61.8</v>
      </c>
    </row>
    <row r="2119" spans="1:2" x14ac:dyDescent="0.3">
      <c r="A2119" s="21">
        <v>45413.855555555558</v>
      </c>
      <c r="B2119">
        <v>61.7</v>
      </c>
    </row>
    <row r="2120" spans="1:2" x14ac:dyDescent="0.3">
      <c r="A2120" s="21">
        <v>45413.856249999997</v>
      </c>
      <c r="B2120">
        <v>61.6</v>
      </c>
    </row>
    <row r="2121" spans="1:2" x14ac:dyDescent="0.3">
      <c r="A2121" s="21">
        <v>45413.856944444444</v>
      </c>
      <c r="B2121">
        <v>61.9</v>
      </c>
    </row>
    <row r="2122" spans="1:2" x14ac:dyDescent="0.3">
      <c r="A2122" s="21">
        <v>45413.857638888891</v>
      </c>
      <c r="B2122">
        <v>61.5</v>
      </c>
    </row>
    <row r="2123" spans="1:2" x14ac:dyDescent="0.3">
      <c r="A2123" s="21">
        <v>45413.85833333333</v>
      </c>
      <c r="B2123">
        <v>61.7</v>
      </c>
    </row>
    <row r="2124" spans="1:2" x14ac:dyDescent="0.3">
      <c r="A2124" s="21">
        <v>45413.859027777777</v>
      </c>
      <c r="B2124">
        <v>61.6</v>
      </c>
    </row>
    <row r="2125" spans="1:2" x14ac:dyDescent="0.3">
      <c r="A2125" s="21">
        <v>45413.859722222223</v>
      </c>
      <c r="B2125">
        <v>61.6</v>
      </c>
    </row>
    <row r="2126" spans="1:2" x14ac:dyDescent="0.3">
      <c r="A2126" s="21">
        <v>45413.86041666667</v>
      </c>
      <c r="B2126">
        <v>61.6</v>
      </c>
    </row>
    <row r="2127" spans="1:2" x14ac:dyDescent="0.3">
      <c r="A2127" s="21">
        <v>45413.861111111109</v>
      </c>
      <c r="B2127">
        <v>61.4</v>
      </c>
    </row>
    <row r="2128" spans="1:2" x14ac:dyDescent="0.3">
      <c r="A2128" s="21">
        <v>45413.861805555556</v>
      </c>
      <c r="B2128">
        <v>61.8</v>
      </c>
    </row>
    <row r="2129" spans="1:2" x14ac:dyDescent="0.3">
      <c r="A2129" s="21">
        <v>45413.862500000003</v>
      </c>
      <c r="B2129">
        <v>61.4</v>
      </c>
    </row>
    <row r="2130" spans="1:2" x14ac:dyDescent="0.3">
      <c r="A2130" s="21">
        <v>45413.863194444442</v>
      </c>
      <c r="B2130">
        <v>61.5</v>
      </c>
    </row>
    <row r="2131" spans="1:2" x14ac:dyDescent="0.3">
      <c r="A2131" s="21">
        <v>45413.863888888889</v>
      </c>
      <c r="B2131">
        <v>61.8</v>
      </c>
    </row>
    <row r="2132" spans="1:2" x14ac:dyDescent="0.3">
      <c r="A2132" s="21">
        <v>45413.864583333336</v>
      </c>
      <c r="B2132">
        <v>61.6</v>
      </c>
    </row>
    <row r="2133" spans="1:2" x14ac:dyDescent="0.3">
      <c r="A2133" s="21">
        <v>45413.865277777775</v>
      </c>
      <c r="B2133">
        <v>61.5</v>
      </c>
    </row>
    <row r="2134" spans="1:2" x14ac:dyDescent="0.3">
      <c r="A2134" s="21">
        <v>45413.865972222222</v>
      </c>
      <c r="B2134">
        <v>62</v>
      </c>
    </row>
    <row r="2135" spans="1:2" x14ac:dyDescent="0.3">
      <c r="A2135" s="21">
        <v>45413.866666666669</v>
      </c>
      <c r="B2135">
        <v>61.6</v>
      </c>
    </row>
    <row r="2136" spans="1:2" x14ac:dyDescent="0.3">
      <c r="A2136" s="21">
        <v>45413.867361111108</v>
      </c>
      <c r="B2136">
        <v>62</v>
      </c>
    </row>
    <row r="2137" spans="1:2" x14ac:dyDescent="0.3">
      <c r="A2137" s="21">
        <v>45413.868055555555</v>
      </c>
      <c r="B2137">
        <v>61.6</v>
      </c>
    </row>
    <row r="2138" spans="1:2" x14ac:dyDescent="0.3">
      <c r="A2138" s="21">
        <v>45413.868750000001</v>
      </c>
      <c r="B2138">
        <v>61.2</v>
      </c>
    </row>
    <row r="2139" spans="1:2" x14ac:dyDescent="0.3">
      <c r="A2139" s="21">
        <v>45413.869444444441</v>
      </c>
      <c r="B2139">
        <v>61.5</v>
      </c>
    </row>
    <row r="2140" spans="1:2" x14ac:dyDescent="0.3">
      <c r="A2140" s="21">
        <v>45413.870138888888</v>
      </c>
      <c r="B2140">
        <v>61.6</v>
      </c>
    </row>
    <row r="2141" spans="1:2" x14ac:dyDescent="0.3">
      <c r="A2141" s="21">
        <v>45413.870833333334</v>
      </c>
      <c r="B2141">
        <v>61.7</v>
      </c>
    </row>
    <row r="2142" spans="1:2" x14ac:dyDescent="0.3">
      <c r="A2142" s="21">
        <v>45413.871527777781</v>
      </c>
      <c r="B2142">
        <v>61.6</v>
      </c>
    </row>
    <row r="2143" spans="1:2" x14ac:dyDescent="0.3">
      <c r="A2143" s="21">
        <v>45413.87222222222</v>
      </c>
      <c r="B2143">
        <v>61.6</v>
      </c>
    </row>
    <row r="2144" spans="1:2" x14ac:dyDescent="0.3">
      <c r="A2144" s="21">
        <v>45413.872916666667</v>
      </c>
      <c r="B2144">
        <v>61.5</v>
      </c>
    </row>
    <row r="2145" spans="1:2" x14ac:dyDescent="0.3">
      <c r="A2145" s="21">
        <v>45413.873611111114</v>
      </c>
      <c r="B2145">
        <v>61.6</v>
      </c>
    </row>
    <row r="2146" spans="1:2" x14ac:dyDescent="0.3">
      <c r="A2146" s="21">
        <v>45413.874305555553</v>
      </c>
      <c r="B2146">
        <v>61.8</v>
      </c>
    </row>
    <row r="2147" spans="1:2" x14ac:dyDescent="0.3">
      <c r="A2147" s="21">
        <v>45413.875</v>
      </c>
      <c r="B2147">
        <v>61.5</v>
      </c>
    </row>
    <row r="2148" spans="1:2" x14ac:dyDescent="0.3">
      <c r="A2148" s="21">
        <v>45413.875694444447</v>
      </c>
      <c r="B2148">
        <v>61.6</v>
      </c>
    </row>
    <row r="2149" spans="1:2" x14ac:dyDescent="0.3">
      <c r="A2149" s="21">
        <v>45413.876388888886</v>
      </c>
      <c r="B2149">
        <v>61.7</v>
      </c>
    </row>
    <row r="2150" spans="1:2" x14ac:dyDescent="0.3">
      <c r="A2150" s="21">
        <v>45413.877083333333</v>
      </c>
      <c r="B2150">
        <v>61.5</v>
      </c>
    </row>
    <row r="2151" spans="1:2" x14ac:dyDescent="0.3">
      <c r="A2151" s="21">
        <v>45413.87777777778</v>
      </c>
      <c r="B2151">
        <v>61.6</v>
      </c>
    </row>
    <row r="2152" spans="1:2" x14ac:dyDescent="0.3">
      <c r="A2152" s="21">
        <v>45413.878472222219</v>
      </c>
      <c r="B2152">
        <v>61.5</v>
      </c>
    </row>
    <row r="2153" spans="1:2" x14ac:dyDescent="0.3">
      <c r="A2153" s="21">
        <v>45413.879166666666</v>
      </c>
      <c r="B2153">
        <v>61.8</v>
      </c>
    </row>
    <row r="2154" spans="1:2" x14ac:dyDescent="0.3">
      <c r="A2154" s="21">
        <v>45413.879861111112</v>
      </c>
      <c r="B2154">
        <v>61.7</v>
      </c>
    </row>
    <row r="2155" spans="1:2" x14ac:dyDescent="0.3">
      <c r="A2155" s="21">
        <v>45413.880555555559</v>
      </c>
      <c r="B2155">
        <v>61.6</v>
      </c>
    </row>
    <row r="2156" spans="1:2" x14ac:dyDescent="0.3">
      <c r="A2156" s="21">
        <v>45413.881249999999</v>
      </c>
      <c r="B2156">
        <v>62.1</v>
      </c>
    </row>
    <row r="2157" spans="1:2" x14ac:dyDescent="0.3">
      <c r="A2157" s="21">
        <v>45413.881944444445</v>
      </c>
      <c r="B2157">
        <v>61.7</v>
      </c>
    </row>
    <row r="2158" spans="1:2" x14ac:dyDescent="0.3">
      <c r="A2158" s="21">
        <v>45413.882638888892</v>
      </c>
      <c r="B2158">
        <v>61.6</v>
      </c>
    </row>
    <row r="2159" spans="1:2" x14ac:dyDescent="0.3">
      <c r="A2159" s="21">
        <v>45413.883333333331</v>
      </c>
      <c r="B2159">
        <v>61.9</v>
      </c>
    </row>
    <row r="2160" spans="1:2" x14ac:dyDescent="0.3">
      <c r="A2160" s="21">
        <v>45413.884027777778</v>
      </c>
      <c r="B2160">
        <v>61.9</v>
      </c>
    </row>
    <row r="2161" spans="1:2" x14ac:dyDescent="0.3">
      <c r="A2161" s="21">
        <v>45413.884722222225</v>
      </c>
      <c r="B2161">
        <v>61.5</v>
      </c>
    </row>
    <row r="2162" spans="1:2" x14ac:dyDescent="0.3">
      <c r="A2162" s="21">
        <v>45413.885416666664</v>
      </c>
      <c r="B2162">
        <v>61.6</v>
      </c>
    </row>
    <row r="2163" spans="1:2" x14ac:dyDescent="0.3">
      <c r="A2163" s="21">
        <v>45413.886111111111</v>
      </c>
      <c r="B2163">
        <v>62</v>
      </c>
    </row>
    <row r="2164" spans="1:2" x14ac:dyDescent="0.3">
      <c r="A2164" s="21">
        <v>45413.886805555558</v>
      </c>
      <c r="B2164">
        <v>62</v>
      </c>
    </row>
    <row r="2165" spans="1:2" x14ac:dyDescent="0.3">
      <c r="A2165" s="21">
        <v>45413.887499999997</v>
      </c>
      <c r="B2165">
        <v>61.7</v>
      </c>
    </row>
    <row r="2166" spans="1:2" x14ac:dyDescent="0.3">
      <c r="A2166" s="21">
        <v>45413.888194444444</v>
      </c>
      <c r="B2166">
        <v>61.5</v>
      </c>
    </row>
    <row r="2167" spans="1:2" x14ac:dyDescent="0.3">
      <c r="A2167" s="21">
        <v>45413.888888888891</v>
      </c>
      <c r="B2167">
        <v>61.7</v>
      </c>
    </row>
    <row r="2168" spans="1:2" x14ac:dyDescent="0.3">
      <c r="A2168" s="21">
        <v>45413.88958333333</v>
      </c>
      <c r="B2168">
        <v>61.7</v>
      </c>
    </row>
    <row r="2169" spans="1:2" x14ac:dyDescent="0.3">
      <c r="A2169" s="21">
        <v>45413.890277777777</v>
      </c>
      <c r="B2169">
        <v>62</v>
      </c>
    </row>
    <row r="2170" spans="1:2" x14ac:dyDescent="0.3">
      <c r="A2170" s="21">
        <v>45413.890972222223</v>
      </c>
      <c r="B2170">
        <v>61.8</v>
      </c>
    </row>
    <row r="2171" spans="1:2" x14ac:dyDescent="0.3">
      <c r="A2171" s="21">
        <v>45413.89166666667</v>
      </c>
      <c r="B2171">
        <v>61.6</v>
      </c>
    </row>
    <row r="2172" spans="1:2" x14ac:dyDescent="0.3">
      <c r="A2172" s="21">
        <v>45413.892361111109</v>
      </c>
      <c r="B2172">
        <v>61.9</v>
      </c>
    </row>
    <row r="2173" spans="1:2" x14ac:dyDescent="0.3">
      <c r="A2173" s="21">
        <v>45413.893055555556</v>
      </c>
      <c r="B2173">
        <v>61.7</v>
      </c>
    </row>
    <row r="2174" spans="1:2" x14ac:dyDescent="0.3">
      <c r="A2174" s="21">
        <v>45413.893750000003</v>
      </c>
      <c r="B2174">
        <v>61.8</v>
      </c>
    </row>
    <row r="2175" spans="1:2" x14ac:dyDescent="0.3">
      <c r="A2175" s="21">
        <v>45413.894444444442</v>
      </c>
      <c r="B2175">
        <v>61.6</v>
      </c>
    </row>
    <row r="2176" spans="1:2" x14ac:dyDescent="0.3">
      <c r="A2176" s="21">
        <v>45413.895138888889</v>
      </c>
      <c r="B2176">
        <v>61.7</v>
      </c>
    </row>
    <row r="2177" spans="1:2" x14ac:dyDescent="0.3">
      <c r="A2177" s="21">
        <v>45413.895833333336</v>
      </c>
      <c r="B2177">
        <v>61.6</v>
      </c>
    </row>
    <row r="2178" spans="1:2" x14ac:dyDescent="0.3">
      <c r="A2178" s="21">
        <v>45413.896527777775</v>
      </c>
      <c r="B2178">
        <v>61.5</v>
      </c>
    </row>
    <row r="2179" spans="1:2" x14ac:dyDescent="0.3">
      <c r="A2179" s="21">
        <v>45413.897222222222</v>
      </c>
      <c r="B2179">
        <v>61.8</v>
      </c>
    </row>
    <row r="2180" spans="1:2" x14ac:dyDescent="0.3">
      <c r="A2180" s="21">
        <v>45413.897916666669</v>
      </c>
      <c r="B2180">
        <v>61.6</v>
      </c>
    </row>
    <row r="2181" spans="1:2" x14ac:dyDescent="0.3">
      <c r="A2181" s="21">
        <v>45413.898611111108</v>
      </c>
      <c r="B2181">
        <v>61.7</v>
      </c>
    </row>
    <row r="2182" spans="1:2" x14ac:dyDescent="0.3">
      <c r="A2182" s="21">
        <v>45413.899305555555</v>
      </c>
      <c r="B2182">
        <v>61.7</v>
      </c>
    </row>
    <row r="2183" spans="1:2" x14ac:dyDescent="0.3">
      <c r="A2183" s="21">
        <v>45413.9</v>
      </c>
      <c r="B2183">
        <v>61.6</v>
      </c>
    </row>
    <row r="2184" spans="1:2" x14ac:dyDescent="0.3">
      <c r="A2184" s="21">
        <v>45413.900694444441</v>
      </c>
      <c r="B2184">
        <v>61.7</v>
      </c>
    </row>
    <row r="2185" spans="1:2" x14ac:dyDescent="0.3">
      <c r="A2185" s="21">
        <v>45413.901388888888</v>
      </c>
      <c r="B2185">
        <v>61.7</v>
      </c>
    </row>
    <row r="2186" spans="1:2" x14ac:dyDescent="0.3">
      <c r="A2186" s="21">
        <v>45413.902083333334</v>
      </c>
      <c r="B2186">
        <v>61.5</v>
      </c>
    </row>
    <row r="2187" spans="1:2" x14ac:dyDescent="0.3">
      <c r="A2187" s="21">
        <v>45413.902777777781</v>
      </c>
      <c r="B2187">
        <v>61.8</v>
      </c>
    </row>
    <row r="2188" spans="1:2" x14ac:dyDescent="0.3">
      <c r="A2188" s="21">
        <v>45413.90347222222</v>
      </c>
      <c r="B2188">
        <v>62</v>
      </c>
    </row>
    <row r="2189" spans="1:2" x14ac:dyDescent="0.3">
      <c r="A2189" s="21">
        <v>45413.904166666667</v>
      </c>
      <c r="B2189">
        <v>61.8</v>
      </c>
    </row>
    <row r="2190" spans="1:2" x14ac:dyDescent="0.3">
      <c r="A2190" s="21">
        <v>45413.904861111114</v>
      </c>
      <c r="B2190">
        <v>61.4</v>
      </c>
    </row>
    <row r="2191" spans="1:2" x14ac:dyDescent="0.3">
      <c r="A2191" s="21">
        <v>45413.905555555553</v>
      </c>
      <c r="B2191">
        <v>61.5</v>
      </c>
    </row>
    <row r="2192" spans="1:2" x14ac:dyDescent="0.3">
      <c r="A2192" s="21">
        <v>45413.90625</v>
      </c>
      <c r="B2192">
        <v>61.5</v>
      </c>
    </row>
    <row r="2193" spans="1:2" x14ac:dyDescent="0.3">
      <c r="A2193" s="21">
        <v>45413.906944444447</v>
      </c>
      <c r="B2193">
        <v>61.7</v>
      </c>
    </row>
    <row r="2194" spans="1:2" x14ac:dyDescent="0.3">
      <c r="A2194" s="21">
        <v>45413.907638888886</v>
      </c>
      <c r="B2194">
        <v>61.9</v>
      </c>
    </row>
    <row r="2195" spans="1:2" x14ac:dyDescent="0.3">
      <c r="A2195" s="21">
        <v>45413.908333333333</v>
      </c>
      <c r="B2195">
        <v>61.9</v>
      </c>
    </row>
    <row r="2196" spans="1:2" x14ac:dyDescent="0.3">
      <c r="A2196" s="21">
        <v>45413.90902777778</v>
      </c>
      <c r="B2196">
        <v>61.6</v>
      </c>
    </row>
    <row r="2197" spans="1:2" x14ac:dyDescent="0.3">
      <c r="A2197" s="21">
        <v>45413.909722222219</v>
      </c>
      <c r="B2197">
        <v>61.5</v>
      </c>
    </row>
    <row r="2198" spans="1:2" x14ac:dyDescent="0.3">
      <c r="A2198" s="21">
        <v>45413.910416666666</v>
      </c>
      <c r="B2198">
        <v>61.7</v>
      </c>
    </row>
    <row r="2199" spans="1:2" x14ac:dyDescent="0.3">
      <c r="A2199" s="21">
        <v>45413.911111111112</v>
      </c>
      <c r="B2199">
        <v>61.6</v>
      </c>
    </row>
    <row r="2200" spans="1:2" x14ac:dyDescent="0.3">
      <c r="A2200" s="21">
        <v>45413.911805555559</v>
      </c>
      <c r="B2200">
        <v>61.7</v>
      </c>
    </row>
    <row r="2201" spans="1:2" x14ac:dyDescent="0.3">
      <c r="A2201" s="21">
        <v>45413.912499999999</v>
      </c>
      <c r="B2201">
        <v>61.8</v>
      </c>
    </row>
    <row r="2202" spans="1:2" x14ac:dyDescent="0.3">
      <c r="A2202" s="21">
        <v>45413.913194444445</v>
      </c>
      <c r="B2202">
        <v>61.7</v>
      </c>
    </row>
    <row r="2203" spans="1:2" x14ac:dyDescent="0.3">
      <c r="A2203" s="21">
        <v>45413.913888888892</v>
      </c>
      <c r="B2203">
        <v>61.6</v>
      </c>
    </row>
    <row r="2204" spans="1:2" x14ac:dyDescent="0.3">
      <c r="A2204" s="21">
        <v>45413.914583333331</v>
      </c>
      <c r="B2204">
        <v>61.5</v>
      </c>
    </row>
    <row r="2205" spans="1:2" x14ac:dyDescent="0.3">
      <c r="A2205" s="21">
        <v>45413.915277777778</v>
      </c>
      <c r="B2205">
        <v>61.8</v>
      </c>
    </row>
    <row r="2206" spans="1:2" x14ac:dyDescent="0.3">
      <c r="A2206" s="21">
        <v>45413.915972222225</v>
      </c>
      <c r="B2206">
        <v>61.8</v>
      </c>
    </row>
    <row r="2207" spans="1:2" x14ac:dyDescent="0.3">
      <c r="A2207" s="21">
        <v>45413.916666666664</v>
      </c>
      <c r="B2207">
        <v>61.5</v>
      </c>
    </row>
    <row r="2208" spans="1:2" x14ac:dyDescent="0.3">
      <c r="A2208" s="21">
        <v>45413.917361111111</v>
      </c>
      <c r="B2208">
        <v>61.6</v>
      </c>
    </row>
    <row r="2209" spans="1:2" x14ac:dyDescent="0.3">
      <c r="A2209" s="21">
        <v>45413.918055555558</v>
      </c>
      <c r="B2209">
        <v>61.8</v>
      </c>
    </row>
    <row r="2210" spans="1:2" x14ac:dyDescent="0.3">
      <c r="A2210" s="21">
        <v>45413.918749999997</v>
      </c>
      <c r="B2210">
        <v>61.6</v>
      </c>
    </row>
    <row r="2211" spans="1:2" x14ac:dyDescent="0.3">
      <c r="A2211" s="21">
        <v>45413.919444444444</v>
      </c>
      <c r="B2211">
        <v>61.6</v>
      </c>
    </row>
    <row r="2212" spans="1:2" x14ac:dyDescent="0.3">
      <c r="A2212" s="21">
        <v>45413.920138888891</v>
      </c>
      <c r="B2212">
        <v>61.4</v>
      </c>
    </row>
    <row r="2213" spans="1:2" x14ac:dyDescent="0.3">
      <c r="A2213" s="21">
        <v>45413.92083333333</v>
      </c>
      <c r="B2213">
        <v>61.8</v>
      </c>
    </row>
    <row r="2214" spans="1:2" x14ac:dyDescent="0.3">
      <c r="A2214" s="21">
        <v>45413.921527777777</v>
      </c>
      <c r="B2214">
        <v>62</v>
      </c>
    </row>
    <row r="2215" spans="1:2" x14ac:dyDescent="0.3">
      <c r="A2215" s="21">
        <v>45413.922222222223</v>
      </c>
      <c r="B2215">
        <v>61.5</v>
      </c>
    </row>
    <row r="2216" spans="1:2" x14ac:dyDescent="0.3">
      <c r="A2216" s="21">
        <v>45413.92291666667</v>
      </c>
      <c r="B2216">
        <v>61.7</v>
      </c>
    </row>
    <row r="2217" spans="1:2" x14ac:dyDescent="0.3">
      <c r="A2217" s="21">
        <v>45413.923611111109</v>
      </c>
      <c r="B2217">
        <v>61.7</v>
      </c>
    </row>
    <row r="2218" spans="1:2" x14ac:dyDescent="0.3">
      <c r="A2218" s="21">
        <v>45413.924305555556</v>
      </c>
      <c r="B2218">
        <v>61.8</v>
      </c>
    </row>
    <row r="2219" spans="1:2" x14ac:dyDescent="0.3">
      <c r="A2219" s="21">
        <v>45413.925000000003</v>
      </c>
      <c r="B2219">
        <v>61.8</v>
      </c>
    </row>
    <row r="2220" spans="1:2" x14ac:dyDescent="0.3">
      <c r="A2220" s="21">
        <v>45413.925694444442</v>
      </c>
      <c r="B2220">
        <v>61.9</v>
      </c>
    </row>
    <row r="2221" spans="1:2" x14ac:dyDescent="0.3">
      <c r="A2221" s="21">
        <v>45413.926388888889</v>
      </c>
      <c r="B2221">
        <v>61.6</v>
      </c>
    </row>
    <row r="2222" spans="1:2" x14ac:dyDescent="0.3">
      <c r="A2222" s="21">
        <v>45413.927083333336</v>
      </c>
      <c r="B2222">
        <v>61.5</v>
      </c>
    </row>
    <row r="2223" spans="1:2" x14ac:dyDescent="0.3">
      <c r="A2223" s="21">
        <v>45413.927777777775</v>
      </c>
      <c r="B2223">
        <v>61.7</v>
      </c>
    </row>
    <row r="2224" spans="1:2" x14ac:dyDescent="0.3">
      <c r="A2224" s="21">
        <v>45413.928472222222</v>
      </c>
      <c r="B2224">
        <v>61.5</v>
      </c>
    </row>
    <row r="2225" spans="1:2" x14ac:dyDescent="0.3">
      <c r="A2225" s="21">
        <v>45413.929166666669</v>
      </c>
      <c r="B2225">
        <v>61.5</v>
      </c>
    </row>
    <row r="2226" spans="1:2" x14ac:dyDescent="0.3">
      <c r="A2226" s="21">
        <v>45413.929861111108</v>
      </c>
      <c r="B2226">
        <v>61.9</v>
      </c>
    </row>
    <row r="2227" spans="1:2" x14ac:dyDescent="0.3">
      <c r="A2227" s="21">
        <v>45413.930555555555</v>
      </c>
      <c r="B2227">
        <v>61.4</v>
      </c>
    </row>
    <row r="2228" spans="1:2" x14ac:dyDescent="0.3">
      <c r="A2228" s="21">
        <v>45413.931250000001</v>
      </c>
      <c r="B2228">
        <v>61.6</v>
      </c>
    </row>
    <row r="2229" spans="1:2" x14ac:dyDescent="0.3">
      <c r="A2229" s="21">
        <v>45413.931944444441</v>
      </c>
      <c r="B2229">
        <v>61.7</v>
      </c>
    </row>
    <row r="2230" spans="1:2" x14ac:dyDescent="0.3">
      <c r="A2230" s="21">
        <v>45413.932638888888</v>
      </c>
      <c r="B2230">
        <v>61.7</v>
      </c>
    </row>
    <row r="2231" spans="1:2" x14ac:dyDescent="0.3">
      <c r="A2231" s="21">
        <v>45413.933333333334</v>
      </c>
      <c r="B2231">
        <v>61.8</v>
      </c>
    </row>
    <row r="2232" spans="1:2" x14ac:dyDescent="0.3">
      <c r="A2232" s="21">
        <v>45413.934027777781</v>
      </c>
      <c r="B2232">
        <v>61.8</v>
      </c>
    </row>
    <row r="2233" spans="1:2" x14ac:dyDescent="0.3">
      <c r="A2233" s="21">
        <v>45413.93472222222</v>
      </c>
      <c r="B2233">
        <v>61.9</v>
      </c>
    </row>
    <row r="2234" spans="1:2" x14ac:dyDescent="0.3">
      <c r="A2234" s="21">
        <v>45413.935416666667</v>
      </c>
      <c r="B2234">
        <v>61.5</v>
      </c>
    </row>
    <row r="2235" spans="1:2" x14ac:dyDescent="0.3">
      <c r="A2235" s="21">
        <v>45413.936111111114</v>
      </c>
      <c r="B2235">
        <v>61.6</v>
      </c>
    </row>
    <row r="2236" spans="1:2" x14ac:dyDescent="0.3">
      <c r="A2236" s="21">
        <v>45413.936805555553</v>
      </c>
      <c r="B2236">
        <v>61.7</v>
      </c>
    </row>
    <row r="2237" spans="1:2" x14ac:dyDescent="0.3">
      <c r="A2237" s="21">
        <v>45413.9375</v>
      </c>
      <c r="B2237">
        <v>61.9</v>
      </c>
    </row>
    <row r="2238" spans="1:2" x14ac:dyDescent="0.3">
      <c r="A2238" s="21">
        <v>45413.938194444447</v>
      </c>
      <c r="B2238">
        <v>61.6</v>
      </c>
    </row>
    <row r="2239" spans="1:2" x14ac:dyDescent="0.3">
      <c r="A2239" s="21">
        <v>45413.938888888886</v>
      </c>
      <c r="B2239">
        <v>62</v>
      </c>
    </row>
    <row r="2240" spans="1:2" x14ac:dyDescent="0.3">
      <c r="A2240" s="21">
        <v>45413.939583333333</v>
      </c>
      <c r="B2240">
        <v>61.8</v>
      </c>
    </row>
    <row r="2241" spans="1:2" x14ac:dyDescent="0.3">
      <c r="A2241" s="21">
        <v>45413.94027777778</v>
      </c>
      <c r="B2241">
        <v>61.6</v>
      </c>
    </row>
    <row r="2242" spans="1:2" x14ac:dyDescent="0.3">
      <c r="A2242" s="21">
        <v>45413.940972222219</v>
      </c>
      <c r="B2242">
        <v>61.4</v>
      </c>
    </row>
    <row r="2243" spans="1:2" x14ac:dyDescent="0.3">
      <c r="A2243" s="21">
        <v>45413.941666666666</v>
      </c>
      <c r="B2243">
        <v>61.6</v>
      </c>
    </row>
    <row r="2244" spans="1:2" x14ac:dyDescent="0.3">
      <c r="A2244" s="21">
        <v>45413.942361111112</v>
      </c>
      <c r="B2244">
        <v>61.7</v>
      </c>
    </row>
    <row r="2245" spans="1:2" x14ac:dyDescent="0.3">
      <c r="A2245" s="21">
        <v>45413.943055555559</v>
      </c>
      <c r="B2245">
        <v>61.6</v>
      </c>
    </row>
    <row r="2246" spans="1:2" x14ac:dyDescent="0.3">
      <c r="A2246" s="21">
        <v>45413.943749999999</v>
      </c>
      <c r="B2246">
        <v>61.6</v>
      </c>
    </row>
    <row r="2247" spans="1:2" x14ac:dyDescent="0.3">
      <c r="A2247" s="21">
        <v>45413.944444444445</v>
      </c>
      <c r="B2247">
        <v>62</v>
      </c>
    </row>
    <row r="2248" spans="1:2" x14ac:dyDescent="0.3">
      <c r="A2248" s="21">
        <v>45413.945138888892</v>
      </c>
      <c r="B2248">
        <v>61.6</v>
      </c>
    </row>
    <row r="2249" spans="1:2" x14ac:dyDescent="0.3">
      <c r="A2249" s="21">
        <v>45413.945833333331</v>
      </c>
      <c r="B2249">
        <v>61.8</v>
      </c>
    </row>
    <row r="2250" spans="1:2" x14ac:dyDescent="0.3">
      <c r="A2250" s="21">
        <v>45413.946527777778</v>
      </c>
      <c r="B2250">
        <v>61.7</v>
      </c>
    </row>
    <row r="2251" spans="1:2" x14ac:dyDescent="0.3">
      <c r="A2251" s="21">
        <v>45413.947222222225</v>
      </c>
      <c r="B2251">
        <v>61.5</v>
      </c>
    </row>
    <row r="2252" spans="1:2" x14ac:dyDescent="0.3">
      <c r="A2252" s="21">
        <v>45413.947916666664</v>
      </c>
      <c r="B2252">
        <v>61.8</v>
      </c>
    </row>
    <row r="2253" spans="1:2" x14ac:dyDescent="0.3">
      <c r="A2253" s="21">
        <v>45413.948611111111</v>
      </c>
      <c r="B2253">
        <v>61.6</v>
      </c>
    </row>
    <row r="2254" spans="1:2" x14ac:dyDescent="0.3">
      <c r="A2254" s="21">
        <v>45413.949305555558</v>
      </c>
      <c r="B2254">
        <v>61.9</v>
      </c>
    </row>
    <row r="2255" spans="1:2" x14ac:dyDescent="0.3">
      <c r="A2255" s="21">
        <v>45413.95</v>
      </c>
      <c r="B2255">
        <v>62</v>
      </c>
    </row>
    <row r="2256" spans="1:2" x14ac:dyDescent="0.3">
      <c r="A2256" s="21">
        <v>45413.950694444444</v>
      </c>
      <c r="B2256">
        <v>61.6</v>
      </c>
    </row>
    <row r="2257" spans="1:2" x14ac:dyDescent="0.3">
      <c r="A2257" s="21">
        <v>45413.951388888891</v>
      </c>
      <c r="B2257">
        <v>61.7</v>
      </c>
    </row>
    <row r="2258" spans="1:2" x14ac:dyDescent="0.3">
      <c r="A2258" s="21">
        <v>45413.95208333333</v>
      </c>
      <c r="B2258">
        <v>61.8</v>
      </c>
    </row>
    <row r="2259" spans="1:2" x14ac:dyDescent="0.3">
      <c r="A2259" s="21">
        <v>45413.952777777777</v>
      </c>
      <c r="B2259">
        <v>61.6</v>
      </c>
    </row>
    <row r="2260" spans="1:2" x14ac:dyDescent="0.3">
      <c r="A2260" s="21">
        <v>45413.953472222223</v>
      </c>
      <c r="B2260">
        <v>61.7</v>
      </c>
    </row>
    <row r="2261" spans="1:2" x14ac:dyDescent="0.3">
      <c r="A2261" s="21">
        <v>45413.95416666667</v>
      </c>
      <c r="B2261">
        <v>61.8</v>
      </c>
    </row>
    <row r="2262" spans="1:2" x14ac:dyDescent="0.3">
      <c r="A2262" s="21">
        <v>45413.954861111109</v>
      </c>
      <c r="B2262">
        <v>61.5</v>
      </c>
    </row>
    <row r="2263" spans="1:2" x14ac:dyDescent="0.3">
      <c r="A2263" s="21">
        <v>45413.955555555556</v>
      </c>
      <c r="B2263">
        <v>61.7</v>
      </c>
    </row>
    <row r="2264" spans="1:2" x14ac:dyDescent="0.3">
      <c r="A2264" s="21">
        <v>45413.956250000003</v>
      </c>
      <c r="B2264">
        <v>61.7</v>
      </c>
    </row>
    <row r="2265" spans="1:2" x14ac:dyDescent="0.3">
      <c r="A2265" s="21">
        <v>45413.956944444442</v>
      </c>
      <c r="B2265">
        <v>61.8</v>
      </c>
    </row>
    <row r="2266" spans="1:2" x14ac:dyDescent="0.3">
      <c r="A2266" s="21">
        <v>45413.957638888889</v>
      </c>
      <c r="B2266">
        <v>61.8</v>
      </c>
    </row>
    <row r="2267" spans="1:2" x14ac:dyDescent="0.3">
      <c r="A2267" s="21">
        <v>45413.958333333336</v>
      </c>
      <c r="B2267">
        <v>61.9</v>
      </c>
    </row>
    <row r="2268" spans="1:2" x14ac:dyDescent="0.3">
      <c r="A2268" s="21">
        <v>45413.959027777775</v>
      </c>
      <c r="B2268">
        <v>61.6</v>
      </c>
    </row>
    <row r="2269" spans="1:2" x14ac:dyDescent="0.3">
      <c r="A2269" s="21">
        <v>45413.959722222222</v>
      </c>
      <c r="B2269">
        <v>61.9</v>
      </c>
    </row>
    <row r="2270" spans="1:2" x14ac:dyDescent="0.3">
      <c r="A2270" s="21">
        <v>45413.960416666669</v>
      </c>
      <c r="B2270">
        <v>61.6</v>
      </c>
    </row>
    <row r="2271" spans="1:2" x14ac:dyDescent="0.3">
      <c r="A2271" s="21">
        <v>45413.961111111108</v>
      </c>
      <c r="B2271">
        <v>62.2</v>
      </c>
    </row>
    <row r="2272" spans="1:2" x14ac:dyDescent="0.3">
      <c r="A2272" s="21">
        <v>45413.961805555555</v>
      </c>
      <c r="B2272">
        <v>61.8</v>
      </c>
    </row>
    <row r="2273" spans="1:2" x14ac:dyDescent="0.3">
      <c r="A2273" s="21">
        <v>45413.962500000001</v>
      </c>
      <c r="B2273">
        <v>61.7</v>
      </c>
    </row>
    <row r="2274" spans="1:2" x14ac:dyDescent="0.3">
      <c r="A2274" s="21">
        <v>45413.963194444441</v>
      </c>
      <c r="B2274">
        <v>61.8</v>
      </c>
    </row>
    <row r="2275" spans="1:2" x14ac:dyDescent="0.3">
      <c r="A2275" s="21">
        <v>45413.963888888888</v>
      </c>
      <c r="B2275">
        <v>61.7</v>
      </c>
    </row>
    <row r="2276" spans="1:2" x14ac:dyDescent="0.3">
      <c r="A2276" s="21">
        <v>45413.964583333334</v>
      </c>
      <c r="B2276">
        <v>61.6</v>
      </c>
    </row>
    <row r="2277" spans="1:2" x14ac:dyDescent="0.3">
      <c r="A2277" s="21">
        <v>45413.965277777781</v>
      </c>
      <c r="B2277">
        <v>61.7</v>
      </c>
    </row>
    <row r="2278" spans="1:2" x14ac:dyDescent="0.3">
      <c r="A2278" s="21">
        <v>45413.96597222222</v>
      </c>
      <c r="B2278">
        <v>61.6</v>
      </c>
    </row>
    <row r="2279" spans="1:2" x14ac:dyDescent="0.3">
      <c r="A2279" s="21">
        <v>45413.966666666667</v>
      </c>
      <c r="B2279">
        <v>61.8</v>
      </c>
    </row>
    <row r="2280" spans="1:2" x14ac:dyDescent="0.3">
      <c r="A2280" s="21">
        <v>45413.967361111114</v>
      </c>
      <c r="B2280">
        <v>62.1</v>
      </c>
    </row>
    <row r="2281" spans="1:2" x14ac:dyDescent="0.3">
      <c r="A2281" s="21">
        <v>45413.968055555553</v>
      </c>
      <c r="B2281">
        <v>61.6</v>
      </c>
    </row>
    <row r="2282" spans="1:2" x14ac:dyDescent="0.3">
      <c r="A2282" s="21">
        <v>45413.96875</v>
      </c>
      <c r="B2282">
        <v>61.8</v>
      </c>
    </row>
    <row r="2283" spans="1:2" x14ac:dyDescent="0.3">
      <c r="A2283" s="21">
        <v>45413.969444444447</v>
      </c>
      <c r="B2283">
        <v>61.7</v>
      </c>
    </row>
    <row r="2284" spans="1:2" x14ac:dyDescent="0.3">
      <c r="A2284" s="21">
        <v>45413.970138888886</v>
      </c>
      <c r="B2284">
        <v>61.7</v>
      </c>
    </row>
    <row r="2285" spans="1:2" x14ac:dyDescent="0.3">
      <c r="A2285" s="21">
        <v>45413.970833333333</v>
      </c>
      <c r="B2285">
        <v>61.9</v>
      </c>
    </row>
    <row r="2286" spans="1:2" x14ac:dyDescent="0.3">
      <c r="A2286" s="21">
        <v>45413.97152777778</v>
      </c>
      <c r="B2286">
        <v>62.1</v>
      </c>
    </row>
    <row r="2287" spans="1:2" x14ac:dyDescent="0.3">
      <c r="A2287" s="21">
        <v>45413.972222222219</v>
      </c>
      <c r="B2287">
        <v>61.8</v>
      </c>
    </row>
    <row r="2288" spans="1:2" x14ac:dyDescent="0.3">
      <c r="A2288" s="21">
        <v>45413.972916666666</v>
      </c>
      <c r="B2288">
        <v>61.8</v>
      </c>
    </row>
    <row r="2289" spans="1:2" x14ac:dyDescent="0.3">
      <c r="A2289" s="21">
        <v>45413.973611111112</v>
      </c>
      <c r="B2289">
        <v>62</v>
      </c>
    </row>
    <row r="2290" spans="1:2" x14ac:dyDescent="0.3">
      <c r="A2290" s="21">
        <v>45413.974305555559</v>
      </c>
      <c r="B2290">
        <v>61.7</v>
      </c>
    </row>
    <row r="2291" spans="1:2" x14ac:dyDescent="0.3">
      <c r="A2291" s="21">
        <v>45413.974999999999</v>
      </c>
      <c r="B2291">
        <v>61.8</v>
      </c>
    </row>
    <row r="2292" spans="1:2" x14ac:dyDescent="0.3">
      <c r="A2292" s="21">
        <v>45413.975694444445</v>
      </c>
      <c r="B2292">
        <v>61.8</v>
      </c>
    </row>
    <row r="2293" spans="1:2" x14ac:dyDescent="0.3">
      <c r="A2293" s="21">
        <v>45413.976388888892</v>
      </c>
      <c r="B2293">
        <v>61.8</v>
      </c>
    </row>
    <row r="2294" spans="1:2" x14ac:dyDescent="0.3">
      <c r="A2294" s="21">
        <v>45413.977083333331</v>
      </c>
      <c r="B2294">
        <v>61.5</v>
      </c>
    </row>
    <row r="2295" spans="1:2" x14ac:dyDescent="0.3">
      <c r="A2295" s="21">
        <v>45413.977777777778</v>
      </c>
      <c r="B2295">
        <v>61.7</v>
      </c>
    </row>
    <row r="2296" spans="1:2" x14ac:dyDescent="0.3">
      <c r="A2296" s="21">
        <v>45413.978472222225</v>
      </c>
      <c r="B2296">
        <v>61.9</v>
      </c>
    </row>
    <row r="2297" spans="1:2" x14ac:dyDescent="0.3">
      <c r="A2297" s="21">
        <v>45413.979166666664</v>
      </c>
      <c r="B2297">
        <v>62.1</v>
      </c>
    </row>
    <row r="2298" spans="1:2" x14ac:dyDescent="0.3">
      <c r="A2298" s="21">
        <v>45413.979861111111</v>
      </c>
      <c r="B2298">
        <v>61.9</v>
      </c>
    </row>
    <row r="2299" spans="1:2" x14ac:dyDescent="0.3">
      <c r="A2299" s="21">
        <v>45413.980555555558</v>
      </c>
      <c r="B2299">
        <v>61.6</v>
      </c>
    </row>
    <row r="2300" spans="1:2" x14ac:dyDescent="0.3">
      <c r="A2300" s="21">
        <v>45413.981249999997</v>
      </c>
      <c r="B2300">
        <v>61.6</v>
      </c>
    </row>
    <row r="2301" spans="1:2" x14ac:dyDescent="0.3">
      <c r="A2301" s="21">
        <v>45413.981944444444</v>
      </c>
      <c r="B2301">
        <v>61.6</v>
      </c>
    </row>
    <row r="2302" spans="1:2" x14ac:dyDescent="0.3">
      <c r="A2302" s="21">
        <v>45413.982638888891</v>
      </c>
      <c r="B2302">
        <v>62.1</v>
      </c>
    </row>
    <row r="2303" spans="1:2" x14ac:dyDescent="0.3">
      <c r="A2303" s="21">
        <v>45413.98333333333</v>
      </c>
      <c r="B2303">
        <v>61.8</v>
      </c>
    </row>
    <row r="2304" spans="1:2" x14ac:dyDescent="0.3">
      <c r="A2304" s="21">
        <v>45413.984027777777</v>
      </c>
      <c r="B2304">
        <v>61.7</v>
      </c>
    </row>
    <row r="2305" spans="1:2" x14ac:dyDescent="0.3">
      <c r="A2305" s="21">
        <v>45413.984722222223</v>
      </c>
      <c r="B2305">
        <v>62</v>
      </c>
    </row>
    <row r="2306" spans="1:2" x14ac:dyDescent="0.3">
      <c r="A2306" s="21">
        <v>45413.98541666667</v>
      </c>
      <c r="B2306">
        <v>61.8</v>
      </c>
    </row>
    <row r="2307" spans="1:2" x14ac:dyDescent="0.3">
      <c r="A2307" s="21">
        <v>45413.986111111109</v>
      </c>
      <c r="B2307">
        <v>61.6</v>
      </c>
    </row>
    <row r="2308" spans="1:2" x14ac:dyDescent="0.3">
      <c r="A2308" s="21">
        <v>45413.986805555556</v>
      </c>
      <c r="B2308">
        <v>62</v>
      </c>
    </row>
    <row r="2309" spans="1:2" x14ac:dyDescent="0.3">
      <c r="A2309" s="21">
        <v>45413.987500000003</v>
      </c>
      <c r="B2309">
        <v>61.5</v>
      </c>
    </row>
    <row r="2310" spans="1:2" x14ac:dyDescent="0.3">
      <c r="A2310" s="21">
        <v>45413.988194444442</v>
      </c>
      <c r="B2310">
        <v>61.7</v>
      </c>
    </row>
    <row r="2311" spans="1:2" x14ac:dyDescent="0.3">
      <c r="A2311" s="21">
        <v>45413.988888888889</v>
      </c>
      <c r="B2311">
        <v>61.8</v>
      </c>
    </row>
    <row r="2312" spans="1:2" x14ac:dyDescent="0.3">
      <c r="A2312" s="21">
        <v>45413.989583333336</v>
      </c>
      <c r="B2312">
        <v>61.7</v>
      </c>
    </row>
    <row r="2313" spans="1:2" x14ac:dyDescent="0.3">
      <c r="A2313" s="21">
        <v>45413.990277777775</v>
      </c>
      <c r="B2313">
        <v>61.9</v>
      </c>
    </row>
    <row r="2314" spans="1:2" x14ac:dyDescent="0.3">
      <c r="A2314" s="21">
        <v>45413.990972222222</v>
      </c>
      <c r="B2314">
        <v>61.6</v>
      </c>
    </row>
    <row r="2315" spans="1:2" x14ac:dyDescent="0.3">
      <c r="A2315" s="21">
        <v>45413.991666666669</v>
      </c>
      <c r="B2315">
        <v>61.7</v>
      </c>
    </row>
    <row r="2316" spans="1:2" x14ac:dyDescent="0.3">
      <c r="A2316" s="21">
        <v>45413.992361111108</v>
      </c>
      <c r="B2316">
        <v>61.7</v>
      </c>
    </row>
    <row r="2317" spans="1:2" x14ac:dyDescent="0.3">
      <c r="A2317" s="21">
        <v>45413.993055555555</v>
      </c>
      <c r="B2317">
        <v>61.5</v>
      </c>
    </row>
    <row r="2318" spans="1:2" x14ac:dyDescent="0.3">
      <c r="A2318" s="21">
        <v>45413.993750000001</v>
      </c>
      <c r="B2318">
        <v>61.7</v>
      </c>
    </row>
    <row r="2319" spans="1:2" x14ac:dyDescent="0.3">
      <c r="A2319" s="21">
        <v>45413.994444444441</v>
      </c>
      <c r="B2319">
        <v>61.5</v>
      </c>
    </row>
    <row r="2320" spans="1:2" x14ac:dyDescent="0.3">
      <c r="A2320" s="21">
        <v>45413.995138888888</v>
      </c>
      <c r="B2320">
        <v>62</v>
      </c>
    </row>
    <row r="2321" spans="1:2" x14ac:dyDescent="0.3">
      <c r="A2321" s="21">
        <v>45413.995833333334</v>
      </c>
      <c r="B2321">
        <v>61.7</v>
      </c>
    </row>
    <row r="2322" spans="1:2" x14ac:dyDescent="0.3">
      <c r="A2322" s="21">
        <v>45413.996527777781</v>
      </c>
      <c r="B2322">
        <v>61.6</v>
      </c>
    </row>
    <row r="2323" spans="1:2" x14ac:dyDescent="0.3">
      <c r="A2323" s="21">
        <v>45413.99722222222</v>
      </c>
      <c r="B2323">
        <v>61.9</v>
      </c>
    </row>
    <row r="2324" spans="1:2" x14ac:dyDescent="0.3">
      <c r="A2324" s="21">
        <v>45413.997916666667</v>
      </c>
      <c r="B2324">
        <v>61.8</v>
      </c>
    </row>
    <row r="2325" spans="1:2" x14ac:dyDescent="0.3">
      <c r="A2325" s="21">
        <v>45413.998611111114</v>
      </c>
      <c r="B2325">
        <v>62.1</v>
      </c>
    </row>
    <row r="2326" spans="1:2" x14ac:dyDescent="0.3">
      <c r="A2326" s="21">
        <v>45413.999305555553</v>
      </c>
      <c r="B2326">
        <v>61.6</v>
      </c>
    </row>
    <row r="2327" spans="1:2" x14ac:dyDescent="0.3">
      <c r="A2327" s="21">
        <v>45414</v>
      </c>
      <c r="B2327">
        <v>61.6</v>
      </c>
    </row>
    <row r="2328" spans="1:2" x14ac:dyDescent="0.3">
      <c r="A2328" s="21">
        <v>45414.000694444447</v>
      </c>
      <c r="B2328">
        <v>61.8</v>
      </c>
    </row>
    <row r="2329" spans="1:2" x14ac:dyDescent="0.3">
      <c r="A2329" s="21">
        <v>45414.001388888886</v>
      </c>
      <c r="B2329">
        <v>61.6</v>
      </c>
    </row>
    <row r="2330" spans="1:2" x14ac:dyDescent="0.3">
      <c r="A2330" s="21">
        <v>45414.002083333333</v>
      </c>
      <c r="B2330">
        <v>61.7</v>
      </c>
    </row>
    <row r="2331" spans="1:2" x14ac:dyDescent="0.3">
      <c r="A2331" s="21">
        <v>45414.00277777778</v>
      </c>
      <c r="B2331">
        <v>61.7</v>
      </c>
    </row>
    <row r="2332" spans="1:2" x14ac:dyDescent="0.3">
      <c r="A2332" s="21">
        <v>45414.003472222219</v>
      </c>
      <c r="B2332">
        <v>61.9</v>
      </c>
    </row>
    <row r="2333" spans="1:2" x14ac:dyDescent="0.3">
      <c r="A2333" s="21">
        <v>45414.004166666666</v>
      </c>
      <c r="B2333">
        <v>61.4</v>
      </c>
    </row>
    <row r="2334" spans="1:2" x14ac:dyDescent="0.3">
      <c r="A2334" s="21">
        <v>45414.004861111112</v>
      </c>
      <c r="B2334">
        <v>61.4</v>
      </c>
    </row>
    <row r="2335" spans="1:2" x14ac:dyDescent="0.3">
      <c r="A2335" s="21">
        <v>45414.005555555559</v>
      </c>
      <c r="B2335">
        <v>61.9</v>
      </c>
    </row>
    <row r="2336" spans="1:2" x14ac:dyDescent="0.3">
      <c r="A2336" s="21">
        <v>45414.006249999999</v>
      </c>
      <c r="B2336">
        <v>62</v>
      </c>
    </row>
    <row r="2337" spans="1:2" x14ac:dyDescent="0.3">
      <c r="A2337" s="21">
        <v>45414.006944444445</v>
      </c>
      <c r="B2337">
        <v>61.9</v>
      </c>
    </row>
    <row r="2338" spans="1:2" x14ac:dyDescent="0.3">
      <c r="A2338" s="21">
        <v>45414.007638888892</v>
      </c>
      <c r="B2338">
        <v>61.7</v>
      </c>
    </row>
    <row r="2339" spans="1:2" x14ac:dyDescent="0.3">
      <c r="A2339" s="21">
        <v>45414.008333333331</v>
      </c>
      <c r="B2339">
        <v>61.6</v>
      </c>
    </row>
    <row r="2340" spans="1:2" x14ac:dyDescent="0.3">
      <c r="A2340" s="21">
        <v>45414.009027777778</v>
      </c>
      <c r="B2340">
        <v>61.7</v>
      </c>
    </row>
    <row r="2341" spans="1:2" x14ac:dyDescent="0.3">
      <c r="A2341" s="21">
        <v>45414.009722222225</v>
      </c>
      <c r="B2341">
        <v>61.7</v>
      </c>
    </row>
    <row r="2342" spans="1:2" x14ac:dyDescent="0.3">
      <c r="A2342" s="21">
        <v>45414.010416666664</v>
      </c>
      <c r="B2342">
        <v>62.1</v>
      </c>
    </row>
    <row r="2343" spans="1:2" x14ac:dyDescent="0.3">
      <c r="A2343" s="21">
        <v>45414.011111111111</v>
      </c>
      <c r="B2343">
        <v>61.7</v>
      </c>
    </row>
    <row r="2344" spans="1:2" x14ac:dyDescent="0.3">
      <c r="A2344" s="21">
        <v>45414.011805555558</v>
      </c>
      <c r="B2344">
        <v>61.8</v>
      </c>
    </row>
    <row r="2345" spans="1:2" x14ac:dyDescent="0.3">
      <c r="A2345" s="21">
        <v>45414.012499999997</v>
      </c>
      <c r="B2345">
        <v>61.9</v>
      </c>
    </row>
    <row r="2346" spans="1:2" x14ac:dyDescent="0.3">
      <c r="A2346" s="21">
        <v>45414.013194444444</v>
      </c>
      <c r="B2346">
        <v>61.7</v>
      </c>
    </row>
    <row r="2347" spans="1:2" x14ac:dyDescent="0.3">
      <c r="A2347" s="21">
        <v>45414.013888888891</v>
      </c>
      <c r="B2347">
        <v>61.6</v>
      </c>
    </row>
    <row r="2348" spans="1:2" x14ac:dyDescent="0.3">
      <c r="A2348" s="21">
        <v>45414.01458333333</v>
      </c>
      <c r="B2348">
        <v>61.5</v>
      </c>
    </row>
    <row r="2349" spans="1:2" x14ac:dyDescent="0.3">
      <c r="A2349" s="21">
        <v>45414.015277777777</v>
      </c>
      <c r="B2349">
        <v>61.5</v>
      </c>
    </row>
    <row r="2350" spans="1:2" x14ac:dyDescent="0.3">
      <c r="A2350" s="21">
        <v>45414.015972222223</v>
      </c>
      <c r="B2350">
        <v>61.8</v>
      </c>
    </row>
    <row r="2351" spans="1:2" x14ac:dyDescent="0.3">
      <c r="A2351" s="21">
        <v>45414.01666666667</v>
      </c>
      <c r="B2351">
        <v>61.6</v>
      </c>
    </row>
    <row r="2352" spans="1:2" x14ac:dyDescent="0.3">
      <c r="A2352" s="21">
        <v>45414.017361111109</v>
      </c>
      <c r="B2352">
        <v>61.7</v>
      </c>
    </row>
    <row r="2353" spans="1:2" x14ac:dyDescent="0.3">
      <c r="A2353" s="21">
        <v>45414.018055555556</v>
      </c>
      <c r="B2353">
        <v>61.6</v>
      </c>
    </row>
    <row r="2354" spans="1:2" x14ac:dyDescent="0.3">
      <c r="A2354" s="21">
        <v>45414.018750000003</v>
      </c>
      <c r="B2354">
        <v>62.1</v>
      </c>
    </row>
    <row r="2355" spans="1:2" x14ac:dyDescent="0.3">
      <c r="A2355" s="21">
        <v>45414.019444444442</v>
      </c>
      <c r="B2355">
        <v>61.9</v>
      </c>
    </row>
    <row r="2356" spans="1:2" x14ac:dyDescent="0.3">
      <c r="A2356" s="21">
        <v>45414.020138888889</v>
      </c>
      <c r="B2356">
        <v>61.7</v>
      </c>
    </row>
    <row r="2357" spans="1:2" x14ac:dyDescent="0.3">
      <c r="A2357" s="21">
        <v>45414.020833333336</v>
      </c>
      <c r="B2357">
        <v>62</v>
      </c>
    </row>
    <row r="2358" spans="1:2" x14ac:dyDescent="0.3">
      <c r="A2358" s="21">
        <v>45414.021527777775</v>
      </c>
      <c r="B2358">
        <v>61.8</v>
      </c>
    </row>
    <row r="2359" spans="1:2" x14ac:dyDescent="0.3">
      <c r="A2359" s="21">
        <v>45414.022222222222</v>
      </c>
      <c r="B2359">
        <v>61.8</v>
      </c>
    </row>
    <row r="2360" spans="1:2" x14ac:dyDescent="0.3">
      <c r="A2360" s="21">
        <v>45414.022916666669</v>
      </c>
      <c r="B2360">
        <v>61.8</v>
      </c>
    </row>
    <row r="2361" spans="1:2" x14ac:dyDescent="0.3">
      <c r="A2361" s="21">
        <v>45414.023611111108</v>
      </c>
      <c r="B2361">
        <v>61.8</v>
      </c>
    </row>
    <row r="2362" spans="1:2" x14ac:dyDescent="0.3">
      <c r="A2362" s="21">
        <v>45414.024305555555</v>
      </c>
      <c r="B2362">
        <v>61.5</v>
      </c>
    </row>
    <row r="2363" spans="1:2" x14ac:dyDescent="0.3">
      <c r="A2363" s="21">
        <v>45414.025000000001</v>
      </c>
      <c r="B2363">
        <v>61.8</v>
      </c>
    </row>
    <row r="2364" spans="1:2" x14ac:dyDescent="0.3">
      <c r="A2364" s="21">
        <v>45414.025694444441</v>
      </c>
      <c r="B2364">
        <v>61.5</v>
      </c>
    </row>
    <row r="2365" spans="1:2" x14ac:dyDescent="0.3">
      <c r="A2365" s="21">
        <v>45414.026388888888</v>
      </c>
      <c r="B2365">
        <v>61.8</v>
      </c>
    </row>
    <row r="2366" spans="1:2" x14ac:dyDescent="0.3">
      <c r="A2366" s="21">
        <v>45414.027083333334</v>
      </c>
      <c r="B2366">
        <v>61.6</v>
      </c>
    </row>
    <row r="2367" spans="1:2" x14ac:dyDescent="0.3">
      <c r="A2367" s="21">
        <v>45414.027777777781</v>
      </c>
      <c r="B2367">
        <v>61.7</v>
      </c>
    </row>
    <row r="2368" spans="1:2" x14ac:dyDescent="0.3">
      <c r="A2368" s="21">
        <v>45414.02847222222</v>
      </c>
      <c r="B2368">
        <v>61.8</v>
      </c>
    </row>
    <row r="2369" spans="1:2" x14ac:dyDescent="0.3">
      <c r="A2369" s="21">
        <v>45414.029166666667</v>
      </c>
      <c r="B2369">
        <v>61.8</v>
      </c>
    </row>
    <row r="2370" spans="1:2" x14ac:dyDescent="0.3">
      <c r="A2370" s="21">
        <v>45414.029861111114</v>
      </c>
      <c r="B2370">
        <v>61.5</v>
      </c>
    </row>
    <row r="2371" spans="1:2" x14ac:dyDescent="0.3">
      <c r="A2371" s="21">
        <v>45414.030555555553</v>
      </c>
      <c r="B2371">
        <v>61.7</v>
      </c>
    </row>
    <row r="2372" spans="1:2" x14ac:dyDescent="0.3">
      <c r="A2372" s="21">
        <v>45414.03125</v>
      </c>
      <c r="B2372">
        <v>61.6</v>
      </c>
    </row>
    <row r="2373" spans="1:2" x14ac:dyDescent="0.3">
      <c r="A2373" s="21">
        <v>45414.031944444447</v>
      </c>
      <c r="B2373">
        <v>62</v>
      </c>
    </row>
    <row r="2374" spans="1:2" x14ac:dyDescent="0.3">
      <c r="A2374" s="21">
        <v>45414.032638888886</v>
      </c>
      <c r="B2374">
        <v>61.8</v>
      </c>
    </row>
    <row r="2375" spans="1:2" x14ac:dyDescent="0.3">
      <c r="A2375" s="21">
        <v>45414.033333333333</v>
      </c>
      <c r="B2375">
        <v>61.3</v>
      </c>
    </row>
    <row r="2376" spans="1:2" x14ac:dyDescent="0.3">
      <c r="A2376" s="21">
        <v>45414.03402777778</v>
      </c>
      <c r="B2376">
        <v>62</v>
      </c>
    </row>
    <row r="2377" spans="1:2" x14ac:dyDescent="0.3">
      <c r="A2377" s="21">
        <v>45414.034722222219</v>
      </c>
      <c r="B2377">
        <v>61.7</v>
      </c>
    </row>
    <row r="2378" spans="1:2" x14ac:dyDescent="0.3">
      <c r="A2378" s="21">
        <v>45414.035416666666</v>
      </c>
      <c r="B2378">
        <v>61.8</v>
      </c>
    </row>
    <row r="2379" spans="1:2" x14ac:dyDescent="0.3">
      <c r="A2379" s="21">
        <v>45414.036111111112</v>
      </c>
      <c r="B2379">
        <v>61.8</v>
      </c>
    </row>
    <row r="2380" spans="1:2" x14ac:dyDescent="0.3">
      <c r="A2380" s="21">
        <v>45414.036805555559</v>
      </c>
      <c r="B2380">
        <v>61.4</v>
      </c>
    </row>
    <row r="2381" spans="1:2" x14ac:dyDescent="0.3">
      <c r="A2381" s="21">
        <v>45414.037499999999</v>
      </c>
      <c r="B2381">
        <v>61.7</v>
      </c>
    </row>
    <row r="2382" spans="1:2" x14ac:dyDescent="0.3">
      <c r="A2382" s="21">
        <v>45414.038194444445</v>
      </c>
      <c r="B2382">
        <v>62</v>
      </c>
    </row>
    <row r="2383" spans="1:2" x14ac:dyDescent="0.3">
      <c r="A2383" s="21">
        <v>45414.038888888892</v>
      </c>
      <c r="B2383">
        <v>61.8</v>
      </c>
    </row>
    <row r="2384" spans="1:2" x14ac:dyDescent="0.3">
      <c r="A2384" s="21">
        <v>45414.039583333331</v>
      </c>
      <c r="B2384">
        <v>61.5</v>
      </c>
    </row>
    <row r="2385" spans="1:2" x14ac:dyDescent="0.3">
      <c r="A2385" s="21">
        <v>45414.040277777778</v>
      </c>
      <c r="B2385">
        <v>61.7</v>
      </c>
    </row>
    <row r="2386" spans="1:2" x14ac:dyDescent="0.3">
      <c r="A2386" s="21">
        <v>45414.040972222225</v>
      </c>
      <c r="B2386">
        <v>61.5</v>
      </c>
    </row>
    <row r="2387" spans="1:2" x14ac:dyDescent="0.3">
      <c r="A2387" s="21">
        <v>45414.041666666664</v>
      </c>
      <c r="B2387">
        <v>61.6</v>
      </c>
    </row>
    <row r="2388" spans="1:2" x14ac:dyDescent="0.3">
      <c r="A2388" s="21">
        <v>45414.042361111111</v>
      </c>
      <c r="B2388">
        <v>61.7</v>
      </c>
    </row>
    <row r="2389" spans="1:2" x14ac:dyDescent="0.3">
      <c r="A2389" s="21">
        <v>45414.043055555558</v>
      </c>
      <c r="B2389">
        <v>61.9</v>
      </c>
    </row>
    <row r="2390" spans="1:2" x14ac:dyDescent="0.3">
      <c r="A2390" s="21">
        <v>45414.043749999997</v>
      </c>
      <c r="B2390">
        <v>61.6</v>
      </c>
    </row>
    <row r="2391" spans="1:2" x14ac:dyDescent="0.3">
      <c r="A2391" s="21">
        <v>45414.044444444444</v>
      </c>
      <c r="B2391">
        <v>61.6</v>
      </c>
    </row>
    <row r="2392" spans="1:2" x14ac:dyDescent="0.3">
      <c r="A2392" s="21">
        <v>45414.045138888891</v>
      </c>
      <c r="B2392">
        <v>61.8</v>
      </c>
    </row>
    <row r="2393" spans="1:2" x14ac:dyDescent="0.3">
      <c r="A2393" s="21">
        <v>45414.04583333333</v>
      </c>
      <c r="B2393">
        <v>61.8</v>
      </c>
    </row>
    <row r="2394" spans="1:2" x14ac:dyDescent="0.3">
      <c r="A2394" s="21">
        <v>45414.046527777777</v>
      </c>
      <c r="B2394">
        <v>62.1</v>
      </c>
    </row>
    <row r="2395" spans="1:2" x14ac:dyDescent="0.3">
      <c r="A2395" s="21">
        <v>45414.047222222223</v>
      </c>
      <c r="B2395">
        <v>61.7</v>
      </c>
    </row>
    <row r="2396" spans="1:2" x14ac:dyDescent="0.3">
      <c r="A2396" s="21">
        <v>45414.04791666667</v>
      </c>
      <c r="B2396">
        <v>61.9</v>
      </c>
    </row>
    <row r="2397" spans="1:2" x14ac:dyDescent="0.3">
      <c r="A2397" s="21">
        <v>45414.048611111109</v>
      </c>
      <c r="B2397">
        <v>61.7</v>
      </c>
    </row>
    <row r="2398" spans="1:2" x14ac:dyDescent="0.3">
      <c r="A2398" s="21">
        <v>45414.049305555556</v>
      </c>
      <c r="B2398">
        <v>61.7</v>
      </c>
    </row>
    <row r="2399" spans="1:2" x14ac:dyDescent="0.3">
      <c r="A2399" s="21">
        <v>45414.05</v>
      </c>
      <c r="B2399">
        <v>61.4</v>
      </c>
    </row>
    <row r="2400" spans="1:2" x14ac:dyDescent="0.3">
      <c r="A2400" s="21">
        <v>45414.050694444442</v>
      </c>
      <c r="B2400">
        <v>61.5</v>
      </c>
    </row>
    <row r="2401" spans="1:2" x14ac:dyDescent="0.3">
      <c r="A2401" s="21">
        <v>45414.051388888889</v>
      </c>
      <c r="B2401">
        <v>62</v>
      </c>
    </row>
    <row r="2402" spans="1:2" x14ac:dyDescent="0.3">
      <c r="A2402" s="21">
        <v>45414.052083333336</v>
      </c>
      <c r="B2402">
        <v>61.7</v>
      </c>
    </row>
    <row r="2403" spans="1:2" x14ac:dyDescent="0.3">
      <c r="A2403" s="21">
        <v>45414.052777777775</v>
      </c>
      <c r="B2403">
        <v>61.9</v>
      </c>
    </row>
    <row r="2404" spans="1:2" x14ac:dyDescent="0.3">
      <c r="A2404" s="21">
        <v>45414.053472222222</v>
      </c>
      <c r="B2404">
        <v>61.8</v>
      </c>
    </row>
    <row r="2405" spans="1:2" x14ac:dyDescent="0.3">
      <c r="A2405" s="21">
        <v>45414.054166666669</v>
      </c>
      <c r="B2405">
        <v>61.6</v>
      </c>
    </row>
    <row r="2406" spans="1:2" x14ac:dyDescent="0.3">
      <c r="A2406" s="21">
        <v>45414.054861111108</v>
      </c>
      <c r="B2406">
        <v>61.8</v>
      </c>
    </row>
    <row r="2407" spans="1:2" x14ac:dyDescent="0.3">
      <c r="A2407" s="21">
        <v>45414.055555555555</v>
      </c>
      <c r="B2407">
        <v>61.8</v>
      </c>
    </row>
    <row r="2408" spans="1:2" x14ac:dyDescent="0.3">
      <c r="A2408" s="21">
        <v>45414.056250000001</v>
      </c>
      <c r="B2408">
        <v>61.7</v>
      </c>
    </row>
    <row r="2409" spans="1:2" x14ac:dyDescent="0.3">
      <c r="A2409" s="21">
        <v>45414.056944444441</v>
      </c>
      <c r="B2409">
        <v>61.8</v>
      </c>
    </row>
    <row r="2410" spans="1:2" x14ac:dyDescent="0.3">
      <c r="A2410" s="21">
        <v>45414.057638888888</v>
      </c>
      <c r="B2410">
        <v>61.6</v>
      </c>
    </row>
    <row r="2411" spans="1:2" x14ac:dyDescent="0.3">
      <c r="A2411" s="21">
        <v>45414.058333333334</v>
      </c>
      <c r="B2411">
        <v>61.8</v>
      </c>
    </row>
    <row r="2412" spans="1:2" x14ac:dyDescent="0.3">
      <c r="A2412" s="21">
        <v>45414.059027777781</v>
      </c>
      <c r="B2412">
        <v>61.6</v>
      </c>
    </row>
    <row r="2413" spans="1:2" x14ac:dyDescent="0.3">
      <c r="A2413" s="21">
        <v>45414.05972222222</v>
      </c>
      <c r="B2413">
        <v>61.9</v>
      </c>
    </row>
    <row r="2414" spans="1:2" x14ac:dyDescent="0.3">
      <c r="A2414" s="21">
        <v>45414.060416666667</v>
      </c>
      <c r="B2414">
        <v>62.1</v>
      </c>
    </row>
    <row r="2415" spans="1:2" x14ac:dyDescent="0.3">
      <c r="A2415" s="21">
        <v>45414.061111111114</v>
      </c>
      <c r="B2415">
        <v>61.5</v>
      </c>
    </row>
    <row r="2416" spans="1:2" x14ac:dyDescent="0.3">
      <c r="A2416" s="21">
        <v>45414.061805555553</v>
      </c>
      <c r="B2416">
        <v>61.9</v>
      </c>
    </row>
    <row r="2417" spans="1:2" x14ac:dyDescent="0.3">
      <c r="A2417" s="21">
        <v>45414.0625</v>
      </c>
      <c r="B2417">
        <v>61.5</v>
      </c>
    </row>
    <row r="2418" spans="1:2" x14ac:dyDescent="0.3">
      <c r="A2418" s="21">
        <v>45414.063194444447</v>
      </c>
      <c r="B2418">
        <v>61.5</v>
      </c>
    </row>
    <row r="2419" spans="1:2" x14ac:dyDescent="0.3">
      <c r="A2419" s="21">
        <v>45414.063888888886</v>
      </c>
      <c r="B2419">
        <v>61.8</v>
      </c>
    </row>
    <row r="2420" spans="1:2" x14ac:dyDescent="0.3">
      <c r="A2420" s="21">
        <v>45414.064583333333</v>
      </c>
      <c r="B2420">
        <v>61.6</v>
      </c>
    </row>
    <row r="2421" spans="1:2" x14ac:dyDescent="0.3">
      <c r="A2421" s="21">
        <v>45414.06527777778</v>
      </c>
      <c r="B2421">
        <v>61.6</v>
      </c>
    </row>
    <row r="2422" spans="1:2" x14ac:dyDescent="0.3">
      <c r="A2422" s="21">
        <v>45414.065972222219</v>
      </c>
      <c r="B2422">
        <v>61.8</v>
      </c>
    </row>
    <row r="2423" spans="1:2" x14ac:dyDescent="0.3">
      <c r="A2423" s="21">
        <v>45414.066666666666</v>
      </c>
      <c r="B2423">
        <v>61.4</v>
      </c>
    </row>
    <row r="2424" spans="1:2" x14ac:dyDescent="0.3">
      <c r="A2424" s="21">
        <v>45414.067361111112</v>
      </c>
      <c r="B2424">
        <v>61.6</v>
      </c>
    </row>
    <row r="2425" spans="1:2" x14ac:dyDescent="0.3">
      <c r="A2425" s="21">
        <v>45414.068055555559</v>
      </c>
      <c r="B2425">
        <v>61.9</v>
      </c>
    </row>
    <row r="2426" spans="1:2" x14ac:dyDescent="0.3">
      <c r="A2426" s="21">
        <v>45414.068749999999</v>
      </c>
      <c r="B2426">
        <v>61.5</v>
      </c>
    </row>
    <row r="2427" spans="1:2" x14ac:dyDescent="0.3">
      <c r="A2427" s="21">
        <v>45414.069444444445</v>
      </c>
      <c r="B2427">
        <v>61.9</v>
      </c>
    </row>
    <row r="2428" spans="1:2" x14ac:dyDescent="0.3">
      <c r="A2428" s="21">
        <v>45414.070138888892</v>
      </c>
      <c r="B2428">
        <v>61.6</v>
      </c>
    </row>
    <row r="2429" spans="1:2" x14ac:dyDescent="0.3">
      <c r="A2429" s="21">
        <v>45414.070833333331</v>
      </c>
      <c r="B2429">
        <v>61.9</v>
      </c>
    </row>
    <row r="2430" spans="1:2" x14ac:dyDescent="0.3">
      <c r="A2430" s="21">
        <v>45414.071527777778</v>
      </c>
      <c r="B2430">
        <v>61.7</v>
      </c>
    </row>
    <row r="2431" spans="1:2" x14ac:dyDescent="0.3">
      <c r="A2431" s="21">
        <v>45414.072222222225</v>
      </c>
      <c r="B2431">
        <v>61.8</v>
      </c>
    </row>
    <row r="2432" spans="1:2" x14ac:dyDescent="0.3">
      <c r="A2432" s="21">
        <v>45414.072916666664</v>
      </c>
      <c r="B2432">
        <v>61.8</v>
      </c>
    </row>
    <row r="2433" spans="1:2" x14ac:dyDescent="0.3">
      <c r="A2433" s="21">
        <v>45414.073611111111</v>
      </c>
      <c r="B2433">
        <v>62.4</v>
      </c>
    </row>
    <row r="2434" spans="1:2" x14ac:dyDescent="0.3">
      <c r="A2434" s="21">
        <v>45414.074305555558</v>
      </c>
      <c r="B2434">
        <v>61.6</v>
      </c>
    </row>
    <row r="2435" spans="1:2" x14ac:dyDescent="0.3">
      <c r="A2435" s="21">
        <v>45414.074999999997</v>
      </c>
      <c r="B2435">
        <v>61.6</v>
      </c>
    </row>
    <row r="2436" spans="1:2" x14ac:dyDescent="0.3">
      <c r="A2436" s="21">
        <v>45414.075694444444</v>
      </c>
      <c r="B2436">
        <v>61.6</v>
      </c>
    </row>
    <row r="2437" spans="1:2" x14ac:dyDescent="0.3">
      <c r="A2437" s="21">
        <v>45414.076388888891</v>
      </c>
      <c r="B2437">
        <v>61.5</v>
      </c>
    </row>
    <row r="2438" spans="1:2" x14ac:dyDescent="0.3">
      <c r="A2438" s="21">
        <v>45414.07708333333</v>
      </c>
      <c r="B2438">
        <v>61.6</v>
      </c>
    </row>
    <row r="2439" spans="1:2" x14ac:dyDescent="0.3">
      <c r="A2439" s="21">
        <v>45414.077777777777</v>
      </c>
      <c r="B2439">
        <v>61.8</v>
      </c>
    </row>
    <row r="2440" spans="1:2" x14ac:dyDescent="0.3">
      <c r="A2440" s="21">
        <v>45414.078472222223</v>
      </c>
      <c r="B2440">
        <v>62.1</v>
      </c>
    </row>
    <row r="2441" spans="1:2" x14ac:dyDescent="0.3">
      <c r="A2441" s="21">
        <v>45414.07916666667</v>
      </c>
      <c r="B2441">
        <v>61.8</v>
      </c>
    </row>
    <row r="2442" spans="1:2" x14ac:dyDescent="0.3">
      <c r="A2442" s="21">
        <v>45414.079861111109</v>
      </c>
      <c r="B2442">
        <v>61.6</v>
      </c>
    </row>
    <row r="2443" spans="1:2" x14ac:dyDescent="0.3">
      <c r="A2443" s="21">
        <v>45414.080555555556</v>
      </c>
      <c r="B2443">
        <v>61.6</v>
      </c>
    </row>
    <row r="2444" spans="1:2" x14ac:dyDescent="0.3">
      <c r="A2444" s="21">
        <v>45414.081250000003</v>
      </c>
      <c r="B2444">
        <v>61.7</v>
      </c>
    </row>
    <row r="2445" spans="1:2" x14ac:dyDescent="0.3">
      <c r="A2445" s="21">
        <v>45414.081944444442</v>
      </c>
      <c r="B2445">
        <v>61.9</v>
      </c>
    </row>
    <row r="2446" spans="1:2" x14ac:dyDescent="0.3">
      <c r="A2446" s="21">
        <v>45414.082638888889</v>
      </c>
      <c r="B2446">
        <v>62.1</v>
      </c>
    </row>
    <row r="2447" spans="1:2" x14ac:dyDescent="0.3">
      <c r="A2447" s="21">
        <v>45414.083333333336</v>
      </c>
      <c r="B2447">
        <v>62.1</v>
      </c>
    </row>
    <row r="2448" spans="1:2" x14ac:dyDescent="0.3">
      <c r="A2448" s="21">
        <v>45414.084027777775</v>
      </c>
      <c r="B2448">
        <v>61.5</v>
      </c>
    </row>
    <row r="2449" spans="1:2" x14ac:dyDescent="0.3">
      <c r="A2449" s="21">
        <v>45414.084722222222</v>
      </c>
      <c r="B2449">
        <v>61.5</v>
      </c>
    </row>
    <row r="2450" spans="1:2" x14ac:dyDescent="0.3">
      <c r="A2450" s="21">
        <v>45414.085416666669</v>
      </c>
      <c r="B2450">
        <v>61.4</v>
      </c>
    </row>
    <row r="2451" spans="1:2" x14ac:dyDescent="0.3">
      <c r="A2451" s="21">
        <v>45414.086111111108</v>
      </c>
      <c r="B2451">
        <v>61.8</v>
      </c>
    </row>
    <row r="2452" spans="1:2" x14ac:dyDescent="0.3">
      <c r="A2452" s="21">
        <v>45414.086805555555</v>
      </c>
      <c r="B2452">
        <v>62.2</v>
      </c>
    </row>
    <row r="2453" spans="1:2" x14ac:dyDescent="0.3">
      <c r="A2453" s="21">
        <v>45414.087500000001</v>
      </c>
      <c r="B2453">
        <v>61.5</v>
      </c>
    </row>
    <row r="2454" spans="1:2" x14ac:dyDescent="0.3">
      <c r="A2454" s="21">
        <v>45414.088194444441</v>
      </c>
      <c r="B2454">
        <v>61.8</v>
      </c>
    </row>
    <row r="2455" spans="1:2" x14ac:dyDescent="0.3">
      <c r="A2455" s="21">
        <v>45414.088888888888</v>
      </c>
      <c r="B2455">
        <v>61.5</v>
      </c>
    </row>
    <row r="2456" spans="1:2" x14ac:dyDescent="0.3">
      <c r="A2456" s="21">
        <v>45414.089583333334</v>
      </c>
      <c r="B2456">
        <v>61.8</v>
      </c>
    </row>
    <row r="2457" spans="1:2" x14ac:dyDescent="0.3">
      <c r="A2457" s="21">
        <v>45414.090277777781</v>
      </c>
      <c r="B2457">
        <v>61.5</v>
      </c>
    </row>
    <row r="2458" spans="1:2" x14ac:dyDescent="0.3">
      <c r="A2458" s="21">
        <v>45414.09097222222</v>
      </c>
      <c r="B2458">
        <v>61.7</v>
      </c>
    </row>
    <row r="2459" spans="1:2" x14ac:dyDescent="0.3">
      <c r="A2459" s="21">
        <v>45414.091666666667</v>
      </c>
      <c r="B2459">
        <v>62</v>
      </c>
    </row>
    <row r="2460" spans="1:2" x14ac:dyDescent="0.3">
      <c r="A2460" s="21">
        <v>45414.092361111114</v>
      </c>
      <c r="B2460">
        <v>61.6</v>
      </c>
    </row>
    <row r="2461" spans="1:2" x14ac:dyDescent="0.3">
      <c r="A2461" s="21">
        <v>45414.093055555553</v>
      </c>
      <c r="B2461">
        <v>61.4</v>
      </c>
    </row>
    <row r="2462" spans="1:2" x14ac:dyDescent="0.3">
      <c r="A2462" s="21">
        <v>45414.09375</v>
      </c>
      <c r="B2462">
        <v>61.4</v>
      </c>
    </row>
    <row r="2463" spans="1:2" x14ac:dyDescent="0.3">
      <c r="A2463" s="21">
        <v>45414.094444444447</v>
      </c>
      <c r="B2463">
        <v>62.2</v>
      </c>
    </row>
    <row r="2464" spans="1:2" x14ac:dyDescent="0.3">
      <c r="A2464" s="21">
        <v>45414.095138888886</v>
      </c>
      <c r="B2464">
        <v>62</v>
      </c>
    </row>
    <row r="2465" spans="1:2" x14ac:dyDescent="0.3">
      <c r="A2465" s="21">
        <v>45414.095833333333</v>
      </c>
      <c r="B2465">
        <v>61.7</v>
      </c>
    </row>
    <row r="2466" spans="1:2" x14ac:dyDescent="0.3">
      <c r="A2466" s="21">
        <v>45414.09652777778</v>
      </c>
      <c r="B2466">
        <v>61.9</v>
      </c>
    </row>
    <row r="2467" spans="1:2" x14ac:dyDescent="0.3">
      <c r="A2467" s="21">
        <v>45414.097222222219</v>
      </c>
      <c r="B2467">
        <v>62</v>
      </c>
    </row>
    <row r="2468" spans="1:2" x14ac:dyDescent="0.3">
      <c r="A2468" s="21">
        <v>45414.097916666666</v>
      </c>
      <c r="B2468">
        <v>61.3</v>
      </c>
    </row>
    <row r="2469" spans="1:2" x14ac:dyDescent="0.3">
      <c r="A2469" s="21">
        <v>45414.098611111112</v>
      </c>
      <c r="B2469">
        <v>62.1</v>
      </c>
    </row>
    <row r="2470" spans="1:2" x14ac:dyDescent="0.3">
      <c r="A2470" s="21">
        <v>45414.099305555559</v>
      </c>
      <c r="B2470">
        <v>61.6</v>
      </c>
    </row>
    <row r="2471" spans="1:2" x14ac:dyDescent="0.3">
      <c r="A2471" s="21">
        <v>45414.1</v>
      </c>
      <c r="B2471">
        <v>61.7</v>
      </c>
    </row>
    <row r="2472" spans="1:2" x14ac:dyDescent="0.3">
      <c r="A2472" s="21">
        <v>45414.100694444445</v>
      </c>
      <c r="B2472">
        <v>61.9</v>
      </c>
    </row>
    <row r="2473" spans="1:2" x14ac:dyDescent="0.3">
      <c r="A2473" s="21">
        <v>45414.101388888892</v>
      </c>
      <c r="B2473">
        <v>62</v>
      </c>
    </row>
    <row r="2474" spans="1:2" x14ac:dyDescent="0.3">
      <c r="A2474" s="21">
        <v>45414.102083333331</v>
      </c>
      <c r="B2474">
        <v>62.4</v>
      </c>
    </row>
    <row r="2475" spans="1:2" x14ac:dyDescent="0.3">
      <c r="A2475" s="21">
        <v>45414.102777777778</v>
      </c>
      <c r="B2475">
        <v>61.5</v>
      </c>
    </row>
    <row r="2476" spans="1:2" x14ac:dyDescent="0.3">
      <c r="A2476" s="21">
        <v>45414.103472222225</v>
      </c>
      <c r="B2476">
        <v>61.9</v>
      </c>
    </row>
    <row r="2477" spans="1:2" x14ac:dyDescent="0.3">
      <c r="A2477" s="21">
        <v>45414.104166666664</v>
      </c>
      <c r="B2477">
        <v>61.8</v>
      </c>
    </row>
    <row r="2478" spans="1:2" x14ac:dyDescent="0.3">
      <c r="A2478" s="21">
        <v>45414.104861111111</v>
      </c>
      <c r="B2478">
        <v>61.6</v>
      </c>
    </row>
    <row r="2479" spans="1:2" x14ac:dyDescent="0.3">
      <c r="A2479" s="21">
        <v>45414.105555555558</v>
      </c>
      <c r="B2479">
        <v>61.5</v>
      </c>
    </row>
    <row r="2480" spans="1:2" x14ac:dyDescent="0.3">
      <c r="A2480" s="21">
        <v>45414.106249999997</v>
      </c>
      <c r="B2480">
        <v>61.8</v>
      </c>
    </row>
    <row r="2481" spans="1:2" x14ac:dyDescent="0.3">
      <c r="A2481" s="21">
        <v>45414.106944444444</v>
      </c>
      <c r="B2481">
        <v>61.8</v>
      </c>
    </row>
    <row r="2482" spans="1:2" x14ac:dyDescent="0.3">
      <c r="A2482" s="21">
        <v>45414.107638888891</v>
      </c>
      <c r="B2482">
        <v>61.8</v>
      </c>
    </row>
    <row r="2483" spans="1:2" x14ac:dyDescent="0.3">
      <c r="A2483" s="21">
        <v>45414.10833333333</v>
      </c>
      <c r="B2483">
        <v>61.9</v>
      </c>
    </row>
    <row r="2484" spans="1:2" x14ac:dyDescent="0.3">
      <c r="A2484" s="21">
        <v>45414.109027777777</v>
      </c>
      <c r="B2484">
        <v>62.1</v>
      </c>
    </row>
    <row r="2485" spans="1:2" x14ac:dyDescent="0.3">
      <c r="A2485" s="21">
        <v>45414.109722222223</v>
      </c>
      <c r="B2485">
        <v>61.8</v>
      </c>
    </row>
    <row r="2486" spans="1:2" x14ac:dyDescent="0.3">
      <c r="A2486" s="21">
        <v>45414.11041666667</v>
      </c>
      <c r="B2486">
        <v>61.6</v>
      </c>
    </row>
    <row r="2487" spans="1:2" x14ac:dyDescent="0.3">
      <c r="A2487" s="21">
        <v>45414.111111111109</v>
      </c>
      <c r="B2487">
        <v>61.6</v>
      </c>
    </row>
    <row r="2488" spans="1:2" x14ac:dyDescent="0.3">
      <c r="A2488" s="21">
        <v>45414.111805555556</v>
      </c>
      <c r="B2488">
        <v>61.9</v>
      </c>
    </row>
    <row r="2489" spans="1:2" x14ac:dyDescent="0.3">
      <c r="A2489" s="21">
        <v>45414.112500000003</v>
      </c>
      <c r="B2489">
        <v>61.9</v>
      </c>
    </row>
    <row r="2490" spans="1:2" x14ac:dyDescent="0.3">
      <c r="A2490" s="21">
        <v>45414.113194444442</v>
      </c>
      <c r="B2490">
        <v>61.9</v>
      </c>
    </row>
    <row r="2491" spans="1:2" x14ac:dyDescent="0.3">
      <c r="A2491" s="21">
        <v>45414.113888888889</v>
      </c>
      <c r="B2491">
        <v>62</v>
      </c>
    </row>
    <row r="2492" spans="1:2" x14ac:dyDescent="0.3">
      <c r="A2492" s="21">
        <v>45414.114583333336</v>
      </c>
      <c r="B2492">
        <v>61.5</v>
      </c>
    </row>
    <row r="2493" spans="1:2" x14ac:dyDescent="0.3">
      <c r="A2493" s="21">
        <v>45414.115277777775</v>
      </c>
      <c r="B2493">
        <v>62.1</v>
      </c>
    </row>
    <row r="2494" spans="1:2" x14ac:dyDescent="0.3">
      <c r="A2494" s="21">
        <v>45414.115972222222</v>
      </c>
      <c r="B2494">
        <v>61.7</v>
      </c>
    </row>
    <row r="2495" spans="1:2" x14ac:dyDescent="0.3">
      <c r="A2495" s="21">
        <v>45414.116666666669</v>
      </c>
      <c r="B2495">
        <v>61.8</v>
      </c>
    </row>
    <row r="2496" spans="1:2" x14ac:dyDescent="0.3">
      <c r="A2496" s="21">
        <v>45414.117361111108</v>
      </c>
      <c r="B2496">
        <v>61.9</v>
      </c>
    </row>
    <row r="2497" spans="1:2" x14ac:dyDescent="0.3">
      <c r="A2497" s="21">
        <v>45414.118055555555</v>
      </c>
      <c r="B2497">
        <v>61.8</v>
      </c>
    </row>
    <row r="2498" spans="1:2" x14ac:dyDescent="0.3">
      <c r="A2498" s="21">
        <v>45414.118750000001</v>
      </c>
      <c r="B2498">
        <v>61.8</v>
      </c>
    </row>
    <row r="2499" spans="1:2" x14ac:dyDescent="0.3">
      <c r="A2499" s="21">
        <v>45414.119444444441</v>
      </c>
      <c r="B2499">
        <v>61.7</v>
      </c>
    </row>
    <row r="2500" spans="1:2" x14ac:dyDescent="0.3">
      <c r="A2500" s="21">
        <v>45414.120138888888</v>
      </c>
      <c r="B2500">
        <v>61.8</v>
      </c>
    </row>
    <row r="2501" spans="1:2" x14ac:dyDescent="0.3">
      <c r="A2501" s="21">
        <v>45414.120833333334</v>
      </c>
      <c r="B2501">
        <v>62.1</v>
      </c>
    </row>
    <row r="2502" spans="1:2" x14ac:dyDescent="0.3">
      <c r="A2502" s="21">
        <v>45414.121527777781</v>
      </c>
      <c r="B2502">
        <v>62.1</v>
      </c>
    </row>
    <row r="2503" spans="1:2" x14ac:dyDescent="0.3">
      <c r="A2503" s="21">
        <v>45414.12222222222</v>
      </c>
      <c r="B2503">
        <v>62</v>
      </c>
    </row>
    <row r="2504" spans="1:2" x14ac:dyDescent="0.3">
      <c r="A2504" s="21">
        <v>45414.122916666667</v>
      </c>
      <c r="B2504">
        <v>61.8</v>
      </c>
    </row>
    <row r="2505" spans="1:2" x14ac:dyDescent="0.3">
      <c r="A2505" s="21">
        <v>45414.123611111114</v>
      </c>
      <c r="B2505">
        <v>62</v>
      </c>
    </row>
    <row r="2506" spans="1:2" x14ac:dyDescent="0.3">
      <c r="A2506" s="21">
        <v>45414.124305555553</v>
      </c>
      <c r="B2506">
        <v>62.1</v>
      </c>
    </row>
    <row r="2507" spans="1:2" x14ac:dyDescent="0.3">
      <c r="A2507" s="21">
        <v>45414.125</v>
      </c>
      <c r="B2507">
        <v>61.8</v>
      </c>
    </row>
    <row r="2508" spans="1:2" x14ac:dyDescent="0.3">
      <c r="A2508" s="21">
        <v>45414.125694444447</v>
      </c>
      <c r="B2508">
        <v>61.7</v>
      </c>
    </row>
    <row r="2509" spans="1:2" x14ac:dyDescent="0.3">
      <c r="A2509" s="21">
        <v>45414.126388888886</v>
      </c>
      <c r="B2509">
        <v>62.1</v>
      </c>
    </row>
    <row r="2510" spans="1:2" x14ac:dyDescent="0.3">
      <c r="A2510" s="21">
        <v>45414.127083333333</v>
      </c>
      <c r="B2510">
        <v>61.5</v>
      </c>
    </row>
    <row r="2511" spans="1:2" x14ac:dyDescent="0.3">
      <c r="A2511" s="21">
        <v>45414.12777777778</v>
      </c>
      <c r="B2511">
        <v>62.2</v>
      </c>
    </row>
    <row r="2512" spans="1:2" x14ac:dyDescent="0.3">
      <c r="A2512" s="21">
        <v>45414.128472222219</v>
      </c>
      <c r="B2512">
        <v>61.9</v>
      </c>
    </row>
    <row r="2513" spans="1:2" x14ac:dyDescent="0.3">
      <c r="A2513" s="21">
        <v>45414.129166666666</v>
      </c>
      <c r="B2513">
        <v>62</v>
      </c>
    </row>
    <row r="2514" spans="1:2" x14ac:dyDescent="0.3">
      <c r="A2514" s="21">
        <v>45414.129861111112</v>
      </c>
      <c r="B2514">
        <v>61.4</v>
      </c>
    </row>
    <row r="2515" spans="1:2" x14ac:dyDescent="0.3">
      <c r="A2515" s="21">
        <v>45414.130555555559</v>
      </c>
      <c r="B2515">
        <v>62.1</v>
      </c>
    </row>
    <row r="2516" spans="1:2" x14ac:dyDescent="0.3">
      <c r="A2516" s="21">
        <v>45414.131249999999</v>
      </c>
      <c r="B2516">
        <v>61.8</v>
      </c>
    </row>
    <row r="2517" spans="1:2" x14ac:dyDescent="0.3">
      <c r="A2517" s="21">
        <v>45414.131944444445</v>
      </c>
      <c r="B2517">
        <v>61.5</v>
      </c>
    </row>
    <row r="2518" spans="1:2" x14ac:dyDescent="0.3">
      <c r="A2518" s="21">
        <v>45414.132638888892</v>
      </c>
      <c r="B2518">
        <v>61.9</v>
      </c>
    </row>
    <row r="2519" spans="1:2" x14ac:dyDescent="0.3">
      <c r="A2519" s="21">
        <v>45414.133333333331</v>
      </c>
      <c r="B2519">
        <v>61.9</v>
      </c>
    </row>
    <row r="2520" spans="1:2" x14ac:dyDescent="0.3">
      <c r="A2520" s="21">
        <v>45414.134027777778</v>
      </c>
      <c r="B2520">
        <v>62.6</v>
      </c>
    </row>
    <row r="2521" spans="1:2" x14ac:dyDescent="0.3">
      <c r="A2521" s="21">
        <v>45414.134722222225</v>
      </c>
      <c r="B2521">
        <v>62.1</v>
      </c>
    </row>
    <row r="2522" spans="1:2" x14ac:dyDescent="0.3">
      <c r="A2522" s="21">
        <v>45414.135416666664</v>
      </c>
      <c r="B2522">
        <v>62</v>
      </c>
    </row>
    <row r="2523" spans="1:2" x14ac:dyDescent="0.3">
      <c r="A2523" s="21">
        <v>45414.136111111111</v>
      </c>
      <c r="B2523">
        <v>62.1</v>
      </c>
    </row>
    <row r="2524" spans="1:2" x14ac:dyDescent="0.3">
      <c r="A2524" s="21">
        <v>45414.136805555558</v>
      </c>
      <c r="B2524">
        <v>61.7</v>
      </c>
    </row>
    <row r="2525" spans="1:2" x14ac:dyDescent="0.3">
      <c r="A2525" s="21">
        <v>45414.137499999997</v>
      </c>
      <c r="B2525">
        <v>61.8</v>
      </c>
    </row>
    <row r="2526" spans="1:2" x14ac:dyDescent="0.3">
      <c r="A2526" s="21">
        <v>45414.138194444444</v>
      </c>
      <c r="B2526">
        <v>61.6</v>
      </c>
    </row>
    <row r="2527" spans="1:2" x14ac:dyDescent="0.3">
      <c r="A2527" s="21">
        <v>45414.138888888891</v>
      </c>
      <c r="B2527">
        <v>61.4</v>
      </c>
    </row>
    <row r="2528" spans="1:2" x14ac:dyDescent="0.3">
      <c r="A2528" s="21">
        <v>45414.13958333333</v>
      </c>
      <c r="B2528">
        <v>61.7</v>
      </c>
    </row>
    <row r="2529" spans="1:2" x14ac:dyDescent="0.3">
      <c r="A2529" s="21">
        <v>45414.140277777777</v>
      </c>
      <c r="B2529">
        <v>61.8</v>
      </c>
    </row>
    <row r="2530" spans="1:2" x14ac:dyDescent="0.3">
      <c r="A2530" s="21">
        <v>45414.140972222223</v>
      </c>
      <c r="B2530">
        <v>61.9</v>
      </c>
    </row>
    <row r="2531" spans="1:2" x14ac:dyDescent="0.3">
      <c r="A2531" s="21">
        <v>45414.14166666667</v>
      </c>
      <c r="B2531">
        <v>61.9</v>
      </c>
    </row>
    <row r="2532" spans="1:2" x14ac:dyDescent="0.3">
      <c r="A2532" s="21">
        <v>45414.142361111109</v>
      </c>
      <c r="B2532">
        <v>61.9</v>
      </c>
    </row>
    <row r="2533" spans="1:2" x14ac:dyDescent="0.3">
      <c r="A2533" s="21">
        <v>45414.143055555556</v>
      </c>
      <c r="B2533">
        <v>61.9</v>
      </c>
    </row>
    <row r="2534" spans="1:2" x14ac:dyDescent="0.3">
      <c r="A2534" s="21">
        <v>45414.143750000003</v>
      </c>
      <c r="B2534">
        <v>62.3</v>
      </c>
    </row>
    <row r="2535" spans="1:2" x14ac:dyDescent="0.3">
      <c r="A2535" s="21">
        <v>45414.144444444442</v>
      </c>
      <c r="B2535">
        <v>61.7</v>
      </c>
    </row>
    <row r="2536" spans="1:2" x14ac:dyDescent="0.3">
      <c r="A2536" s="21">
        <v>45414.145138888889</v>
      </c>
      <c r="B2536">
        <v>61.5</v>
      </c>
    </row>
    <row r="2537" spans="1:2" x14ac:dyDescent="0.3">
      <c r="A2537" s="21">
        <v>45414.145833333336</v>
      </c>
      <c r="B2537">
        <v>61.6</v>
      </c>
    </row>
    <row r="2538" spans="1:2" x14ac:dyDescent="0.3">
      <c r="A2538" s="21">
        <v>45414.146527777775</v>
      </c>
      <c r="B2538">
        <v>62</v>
      </c>
    </row>
    <row r="2539" spans="1:2" x14ac:dyDescent="0.3">
      <c r="A2539" s="21">
        <v>45414.147222222222</v>
      </c>
      <c r="B2539">
        <v>62</v>
      </c>
    </row>
    <row r="2540" spans="1:2" x14ac:dyDescent="0.3">
      <c r="A2540" s="21">
        <v>45414.147916666669</v>
      </c>
      <c r="B2540">
        <v>62</v>
      </c>
    </row>
    <row r="2541" spans="1:2" x14ac:dyDescent="0.3">
      <c r="A2541" s="21">
        <v>45414.148611111108</v>
      </c>
      <c r="B2541">
        <v>62.1</v>
      </c>
    </row>
    <row r="2542" spans="1:2" x14ac:dyDescent="0.3">
      <c r="A2542" s="21">
        <v>45414.149305555555</v>
      </c>
      <c r="B2542">
        <v>62.1</v>
      </c>
    </row>
    <row r="2543" spans="1:2" x14ac:dyDescent="0.3">
      <c r="A2543" s="21">
        <v>45414.15</v>
      </c>
      <c r="B2543">
        <v>62.2</v>
      </c>
    </row>
    <row r="2544" spans="1:2" x14ac:dyDescent="0.3">
      <c r="A2544" s="21">
        <v>45414.150694444441</v>
      </c>
      <c r="B2544">
        <v>62</v>
      </c>
    </row>
    <row r="2545" spans="1:2" x14ac:dyDescent="0.3">
      <c r="A2545" s="21">
        <v>45414.151388888888</v>
      </c>
      <c r="B2545">
        <v>62.2</v>
      </c>
    </row>
    <row r="2546" spans="1:2" x14ac:dyDescent="0.3">
      <c r="A2546" s="21">
        <v>45414.152083333334</v>
      </c>
      <c r="B2546">
        <v>61.7</v>
      </c>
    </row>
    <row r="2547" spans="1:2" x14ac:dyDescent="0.3">
      <c r="A2547" s="21">
        <v>45414.152777777781</v>
      </c>
      <c r="B2547">
        <v>61.9</v>
      </c>
    </row>
    <row r="2548" spans="1:2" x14ac:dyDescent="0.3">
      <c r="A2548" s="21">
        <v>45414.15347222222</v>
      </c>
      <c r="B2548">
        <v>61.8</v>
      </c>
    </row>
    <row r="2549" spans="1:2" x14ac:dyDescent="0.3">
      <c r="A2549" s="21">
        <v>45414.154166666667</v>
      </c>
      <c r="B2549">
        <v>61.8</v>
      </c>
    </row>
    <row r="2550" spans="1:2" x14ac:dyDescent="0.3">
      <c r="A2550" s="21">
        <v>45414.154861111114</v>
      </c>
      <c r="B2550">
        <v>61.7</v>
      </c>
    </row>
    <row r="2551" spans="1:2" x14ac:dyDescent="0.3">
      <c r="A2551" s="21">
        <v>45414.155555555553</v>
      </c>
      <c r="B2551">
        <v>62.3</v>
      </c>
    </row>
    <row r="2552" spans="1:2" x14ac:dyDescent="0.3">
      <c r="A2552" s="21">
        <v>45414.15625</v>
      </c>
      <c r="B2552">
        <v>61.8</v>
      </c>
    </row>
    <row r="2553" spans="1:2" x14ac:dyDescent="0.3">
      <c r="A2553" s="21">
        <v>45414.156944444447</v>
      </c>
      <c r="B2553">
        <v>62.1</v>
      </c>
    </row>
    <row r="2554" spans="1:2" x14ac:dyDescent="0.3">
      <c r="A2554" s="21">
        <v>45414.157638888886</v>
      </c>
      <c r="B2554">
        <v>62.2</v>
      </c>
    </row>
    <row r="2555" spans="1:2" x14ac:dyDescent="0.3">
      <c r="A2555" s="21">
        <v>45414.158333333333</v>
      </c>
      <c r="B2555">
        <v>61.9</v>
      </c>
    </row>
    <row r="2556" spans="1:2" x14ac:dyDescent="0.3">
      <c r="A2556" s="21">
        <v>45414.15902777778</v>
      </c>
      <c r="B2556">
        <v>61.9</v>
      </c>
    </row>
    <row r="2557" spans="1:2" x14ac:dyDescent="0.3">
      <c r="A2557" s="21">
        <v>45414.159722222219</v>
      </c>
      <c r="B2557">
        <v>61.9</v>
      </c>
    </row>
    <row r="2558" spans="1:2" x14ac:dyDescent="0.3">
      <c r="A2558" s="21">
        <v>45414.160416666666</v>
      </c>
      <c r="B2558">
        <v>61.9</v>
      </c>
    </row>
    <row r="2559" spans="1:2" x14ac:dyDescent="0.3">
      <c r="A2559" s="21">
        <v>45414.161111111112</v>
      </c>
      <c r="B2559">
        <v>62.2</v>
      </c>
    </row>
    <row r="2560" spans="1:2" x14ac:dyDescent="0.3">
      <c r="A2560" s="21">
        <v>45414.161805555559</v>
      </c>
      <c r="B2560">
        <v>61.8</v>
      </c>
    </row>
    <row r="2561" spans="1:2" x14ac:dyDescent="0.3">
      <c r="A2561" s="21">
        <v>45414.162499999999</v>
      </c>
      <c r="B2561">
        <v>62.3</v>
      </c>
    </row>
    <row r="2562" spans="1:2" x14ac:dyDescent="0.3">
      <c r="A2562" s="21">
        <v>45414.163194444445</v>
      </c>
      <c r="B2562">
        <v>62.1</v>
      </c>
    </row>
    <row r="2563" spans="1:2" x14ac:dyDescent="0.3">
      <c r="A2563" s="21">
        <v>45414.163888888892</v>
      </c>
      <c r="B2563">
        <v>62</v>
      </c>
    </row>
    <row r="2564" spans="1:2" x14ac:dyDescent="0.3">
      <c r="A2564" s="21">
        <v>45414.164583333331</v>
      </c>
      <c r="B2564">
        <v>62</v>
      </c>
    </row>
    <row r="2565" spans="1:2" x14ac:dyDescent="0.3">
      <c r="A2565" s="21">
        <v>45414.165277777778</v>
      </c>
      <c r="B2565">
        <v>61.6</v>
      </c>
    </row>
    <row r="2566" spans="1:2" x14ac:dyDescent="0.3">
      <c r="A2566" s="21">
        <v>45414.165972222225</v>
      </c>
      <c r="B2566">
        <v>62</v>
      </c>
    </row>
    <row r="2567" spans="1:2" x14ac:dyDescent="0.3">
      <c r="A2567" s="21">
        <v>45414.166666666664</v>
      </c>
      <c r="B2567">
        <v>61.8</v>
      </c>
    </row>
    <row r="2568" spans="1:2" x14ac:dyDescent="0.3">
      <c r="A2568" s="21">
        <v>45414.167361111111</v>
      </c>
      <c r="B2568">
        <v>62.2</v>
      </c>
    </row>
    <row r="2569" spans="1:2" x14ac:dyDescent="0.3">
      <c r="A2569" s="21">
        <v>45414.168055555558</v>
      </c>
      <c r="B2569">
        <v>61.9</v>
      </c>
    </row>
    <row r="2570" spans="1:2" x14ac:dyDescent="0.3">
      <c r="A2570" s="21">
        <v>45414.168749999997</v>
      </c>
      <c r="B2570">
        <v>62.2</v>
      </c>
    </row>
    <row r="2571" spans="1:2" x14ac:dyDescent="0.3">
      <c r="A2571" s="21">
        <v>45414.169444444444</v>
      </c>
      <c r="B2571">
        <v>62.1</v>
      </c>
    </row>
    <row r="2572" spans="1:2" x14ac:dyDescent="0.3">
      <c r="A2572" s="21">
        <v>45414.170138888891</v>
      </c>
      <c r="B2572">
        <v>62</v>
      </c>
    </row>
    <row r="2573" spans="1:2" x14ac:dyDescent="0.3">
      <c r="A2573" s="21">
        <v>45414.17083333333</v>
      </c>
      <c r="B2573">
        <v>61.7</v>
      </c>
    </row>
    <row r="2574" spans="1:2" x14ac:dyDescent="0.3">
      <c r="A2574" s="21">
        <v>45414.171527777777</v>
      </c>
      <c r="B2574">
        <v>61.9</v>
      </c>
    </row>
    <row r="2575" spans="1:2" x14ac:dyDescent="0.3">
      <c r="A2575" s="21">
        <v>45414.172222222223</v>
      </c>
      <c r="B2575">
        <v>61.9</v>
      </c>
    </row>
    <row r="2576" spans="1:2" x14ac:dyDescent="0.3">
      <c r="A2576" s="21">
        <v>45414.17291666667</v>
      </c>
      <c r="B2576">
        <v>62</v>
      </c>
    </row>
    <row r="2577" spans="1:2" x14ac:dyDescent="0.3">
      <c r="A2577" s="21">
        <v>45414.173611111109</v>
      </c>
      <c r="B2577">
        <v>62</v>
      </c>
    </row>
    <row r="2578" spans="1:2" x14ac:dyDescent="0.3">
      <c r="A2578" s="21">
        <v>45414.174305555556</v>
      </c>
      <c r="B2578">
        <v>62.4</v>
      </c>
    </row>
    <row r="2579" spans="1:2" x14ac:dyDescent="0.3">
      <c r="A2579" s="21">
        <v>45414.175000000003</v>
      </c>
      <c r="B2579">
        <v>62</v>
      </c>
    </row>
    <row r="2580" spans="1:2" x14ac:dyDescent="0.3">
      <c r="A2580" s="21">
        <v>45414.175694444442</v>
      </c>
      <c r="B2580">
        <v>61.9</v>
      </c>
    </row>
    <row r="2581" spans="1:2" x14ac:dyDescent="0.3">
      <c r="A2581" s="21">
        <v>45414.176388888889</v>
      </c>
      <c r="B2581">
        <v>62.2</v>
      </c>
    </row>
    <row r="2582" spans="1:2" x14ac:dyDescent="0.3">
      <c r="A2582" s="21">
        <v>45414.177083333336</v>
      </c>
      <c r="B2582">
        <v>62.2</v>
      </c>
    </row>
    <row r="2583" spans="1:2" x14ac:dyDescent="0.3">
      <c r="A2583" s="21">
        <v>45414.177777777775</v>
      </c>
      <c r="B2583">
        <v>61.6</v>
      </c>
    </row>
    <row r="2584" spans="1:2" x14ac:dyDescent="0.3">
      <c r="A2584" s="21">
        <v>45414.178472222222</v>
      </c>
      <c r="B2584">
        <v>61.7</v>
      </c>
    </row>
    <row r="2585" spans="1:2" x14ac:dyDescent="0.3">
      <c r="A2585" s="21">
        <v>45414.179166666669</v>
      </c>
      <c r="B2585">
        <v>62</v>
      </c>
    </row>
    <row r="2586" spans="1:2" x14ac:dyDescent="0.3">
      <c r="A2586" s="21">
        <v>45414.179861111108</v>
      </c>
      <c r="B2586">
        <v>62</v>
      </c>
    </row>
    <row r="2587" spans="1:2" x14ac:dyDescent="0.3">
      <c r="A2587" s="21">
        <v>45414.180555555555</v>
      </c>
      <c r="B2587">
        <v>61.7</v>
      </c>
    </row>
    <row r="2588" spans="1:2" x14ac:dyDescent="0.3">
      <c r="A2588" s="21">
        <v>45414.181250000001</v>
      </c>
      <c r="B2588">
        <v>62</v>
      </c>
    </row>
    <row r="2589" spans="1:2" x14ac:dyDescent="0.3">
      <c r="A2589" s="21">
        <v>45414.181944444441</v>
      </c>
      <c r="B2589">
        <v>62</v>
      </c>
    </row>
    <row r="2590" spans="1:2" x14ac:dyDescent="0.3">
      <c r="A2590" s="21">
        <v>45414.182638888888</v>
      </c>
      <c r="B2590">
        <v>62</v>
      </c>
    </row>
    <row r="2591" spans="1:2" x14ac:dyDescent="0.3">
      <c r="A2591" s="21">
        <v>45414.183333333334</v>
      </c>
      <c r="B2591">
        <v>61.9</v>
      </c>
    </row>
    <row r="2592" spans="1:2" x14ac:dyDescent="0.3">
      <c r="A2592" s="21">
        <v>45414.184027777781</v>
      </c>
      <c r="B2592">
        <v>62</v>
      </c>
    </row>
    <row r="2593" spans="1:2" x14ac:dyDescent="0.3">
      <c r="A2593" s="21">
        <v>45414.18472222222</v>
      </c>
      <c r="B2593">
        <v>62.3</v>
      </c>
    </row>
    <row r="2594" spans="1:2" x14ac:dyDescent="0.3">
      <c r="A2594" s="21">
        <v>45414.185416666667</v>
      </c>
      <c r="B2594">
        <v>62.2</v>
      </c>
    </row>
    <row r="2595" spans="1:2" x14ac:dyDescent="0.3">
      <c r="A2595" s="21">
        <v>45414.186111111114</v>
      </c>
      <c r="B2595">
        <v>62</v>
      </c>
    </row>
    <row r="2596" spans="1:2" x14ac:dyDescent="0.3">
      <c r="A2596" s="21">
        <v>45414.186805555553</v>
      </c>
      <c r="B2596">
        <v>62.4</v>
      </c>
    </row>
    <row r="2597" spans="1:2" x14ac:dyDescent="0.3">
      <c r="A2597" s="21">
        <v>45414.1875</v>
      </c>
      <c r="B2597">
        <v>62.2</v>
      </c>
    </row>
    <row r="2598" spans="1:2" x14ac:dyDescent="0.3">
      <c r="A2598" s="21">
        <v>45414.188194444447</v>
      </c>
      <c r="B2598">
        <v>62.1</v>
      </c>
    </row>
    <row r="2599" spans="1:2" x14ac:dyDescent="0.3">
      <c r="A2599" s="21">
        <v>45414.188888888886</v>
      </c>
      <c r="B2599">
        <v>62.5</v>
      </c>
    </row>
    <row r="2600" spans="1:2" x14ac:dyDescent="0.3">
      <c r="A2600" s="21">
        <v>45414.189583333333</v>
      </c>
      <c r="B2600">
        <v>62.3</v>
      </c>
    </row>
    <row r="2601" spans="1:2" x14ac:dyDescent="0.3">
      <c r="A2601" s="21">
        <v>45414.19027777778</v>
      </c>
      <c r="B2601">
        <v>62.1</v>
      </c>
    </row>
    <row r="2602" spans="1:2" x14ac:dyDescent="0.3">
      <c r="A2602" s="21">
        <v>45414.190972222219</v>
      </c>
      <c r="B2602">
        <v>62.1</v>
      </c>
    </row>
    <row r="2603" spans="1:2" x14ac:dyDescent="0.3">
      <c r="A2603" s="21">
        <v>45414.191666666666</v>
      </c>
      <c r="B2603">
        <v>62.1</v>
      </c>
    </row>
    <row r="2604" spans="1:2" x14ac:dyDescent="0.3">
      <c r="A2604" s="21">
        <v>45414.192361111112</v>
      </c>
      <c r="B2604">
        <v>62.2</v>
      </c>
    </row>
    <row r="2605" spans="1:2" x14ac:dyDescent="0.3">
      <c r="A2605" s="21">
        <v>45414.193055555559</v>
      </c>
      <c r="B2605">
        <v>62</v>
      </c>
    </row>
    <row r="2606" spans="1:2" x14ac:dyDescent="0.3">
      <c r="A2606" s="21">
        <v>45414.193749999999</v>
      </c>
      <c r="B2606">
        <v>61.9</v>
      </c>
    </row>
    <row r="2607" spans="1:2" x14ac:dyDescent="0.3">
      <c r="A2607" s="21">
        <v>45414.194444444445</v>
      </c>
      <c r="B2607">
        <v>61.8</v>
      </c>
    </row>
    <row r="2608" spans="1:2" x14ac:dyDescent="0.3">
      <c r="A2608" s="21">
        <v>45414.195138888892</v>
      </c>
      <c r="B2608">
        <v>62.1</v>
      </c>
    </row>
    <row r="2609" spans="1:2" x14ac:dyDescent="0.3">
      <c r="A2609" s="21">
        <v>45414.195833333331</v>
      </c>
      <c r="B2609">
        <v>62.2</v>
      </c>
    </row>
    <row r="2610" spans="1:2" x14ac:dyDescent="0.3">
      <c r="A2610" s="21">
        <v>45414.196527777778</v>
      </c>
      <c r="B2610">
        <v>62.2</v>
      </c>
    </row>
    <row r="2611" spans="1:2" x14ac:dyDescent="0.3">
      <c r="A2611" s="21">
        <v>45414.197222222225</v>
      </c>
      <c r="B2611">
        <v>62</v>
      </c>
    </row>
    <row r="2612" spans="1:2" x14ac:dyDescent="0.3">
      <c r="A2612" s="21">
        <v>45414.197916666664</v>
      </c>
      <c r="B2612">
        <v>61.6</v>
      </c>
    </row>
    <row r="2613" spans="1:2" x14ac:dyDescent="0.3">
      <c r="A2613" s="21">
        <v>45414.198611111111</v>
      </c>
      <c r="B2613">
        <v>61.9</v>
      </c>
    </row>
    <row r="2614" spans="1:2" x14ac:dyDescent="0.3">
      <c r="A2614" s="21">
        <v>45414.199305555558</v>
      </c>
      <c r="B2614">
        <v>61.9</v>
      </c>
    </row>
    <row r="2615" spans="1:2" x14ac:dyDescent="0.3">
      <c r="A2615" s="21">
        <v>45414.2</v>
      </c>
      <c r="B2615">
        <v>61.9</v>
      </c>
    </row>
    <row r="2616" spans="1:2" x14ac:dyDescent="0.3">
      <c r="A2616" s="21">
        <v>45414.200694444444</v>
      </c>
      <c r="B2616">
        <v>62.2</v>
      </c>
    </row>
    <row r="2617" spans="1:2" x14ac:dyDescent="0.3">
      <c r="A2617" s="21">
        <v>45414.201388888891</v>
      </c>
      <c r="B2617">
        <v>61.9</v>
      </c>
    </row>
    <row r="2618" spans="1:2" x14ac:dyDescent="0.3">
      <c r="A2618" s="21">
        <v>45414.20208333333</v>
      </c>
      <c r="B2618">
        <v>62.3</v>
      </c>
    </row>
    <row r="2619" spans="1:2" x14ac:dyDescent="0.3">
      <c r="A2619" s="21">
        <v>45414.202777777777</v>
      </c>
      <c r="B2619">
        <v>62</v>
      </c>
    </row>
    <row r="2620" spans="1:2" x14ac:dyDescent="0.3">
      <c r="A2620" s="21">
        <v>45414.203472222223</v>
      </c>
      <c r="B2620">
        <v>61.9</v>
      </c>
    </row>
    <row r="2621" spans="1:2" x14ac:dyDescent="0.3">
      <c r="A2621" s="21">
        <v>45414.20416666667</v>
      </c>
      <c r="B2621">
        <v>62.4</v>
      </c>
    </row>
    <row r="2622" spans="1:2" x14ac:dyDescent="0.3">
      <c r="A2622" s="21">
        <v>45414.204861111109</v>
      </c>
      <c r="B2622">
        <v>62.2</v>
      </c>
    </row>
    <row r="2623" spans="1:2" x14ac:dyDescent="0.3">
      <c r="A2623" s="21">
        <v>45414.205555555556</v>
      </c>
      <c r="B2623">
        <v>62.3</v>
      </c>
    </row>
    <row r="2624" spans="1:2" x14ac:dyDescent="0.3">
      <c r="A2624" s="21">
        <v>45414.206250000003</v>
      </c>
      <c r="B2624">
        <v>62.2</v>
      </c>
    </row>
    <row r="2625" spans="1:2" x14ac:dyDescent="0.3">
      <c r="A2625" s="21">
        <v>45414.206944444442</v>
      </c>
      <c r="B2625">
        <v>61.8</v>
      </c>
    </row>
    <row r="2626" spans="1:2" x14ac:dyDescent="0.3">
      <c r="A2626" s="21">
        <v>45414.207638888889</v>
      </c>
      <c r="B2626">
        <v>62.1</v>
      </c>
    </row>
    <row r="2627" spans="1:2" x14ac:dyDescent="0.3">
      <c r="A2627" s="21">
        <v>45414.208333333336</v>
      </c>
      <c r="B2627">
        <v>62</v>
      </c>
    </row>
    <row r="2628" spans="1:2" x14ac:dyDescent="0.3">
      <c r="A2628" s="21">
        <v>45414.209027777775</v>
      </c>
      <c r="B2628">
        <v>61.7</v>
      </c>
    </row>
    <row r="2629" spans="1:2" x14ac:dyDescent="0.3">
      <c r="A2629" s="21">
        <v>45414.209722222222</v>
      </c>
      <c r="B2629">
        <v>61.9</v>
      </c>
    </row>
    <row r="2630" spans="1:2" x14ac:dyDescent="0.3">
      <c r="A2630" s="21">
        <v>45414.210416666669</v>
      </c>
      <c r="B2630">
        <v>61.7</v>
      </c>
    </row>
    <row r="2631" spans="1:2" x14ac:dyDescent="0.3">
      <c r="A2631" s="21">
        <v>45414.211111111108</v>
      </c>
      <c r="B2631">
        <v>62</v>
      </c>
    </row>
    <row r="2632" spans="1:2" x14ac:dyDescent="0.3">
      <c r="A2632" s="21">
        <v>45414.211805555555</v>
      </c>
      <c r="B2632">
        <v>61.9</v>
      </c>
    </row>
    <row r="2633" spans="1:2" x14ac:dyDescent="0.3">
      <c r="A2633" s="21">
        <v>45414.212500000001</v>
      </c>
      <c r="B2633">
        <v>62.1</v>
      </c>
    </row>
    <row r="2634" spans="1:2" x14ac:dyDescent="0.3">
      <c r="A2634" s="21">
        <v>45414.213194444441</v>
      </c>
      <c r="B2634">
        <v>62.3</v>
      </c>
    </row>
    <row r="2635" spans="1:2" x14ac:dyDescent="0.3">
      <c r="A2635" s="21">
        <v>45414.213888888888</v>
      </c>
      <c r="B2635">
        <v>62</v>
      </c>
    </row>
    <row r="2636" spans="1:2" x14ac:dyDescent="0.3">
      <c r="A2636" s="21">
        <v>45414.214583333334</v>
      </c>
      <c r="B2636">
        <v>61.9</v>
      </c>
    </row>
    <row r="2637" spans="1:2" x14ac:dyDescent="0.3">
      <c r="A2637" s="21">
        <v>45414.215277777781</v>
      </c>
      <c r="B2637">
        <v>62.1</v>
      </c>
    </row>
    <row r="2638" spans="1:2" x14ac:dyDescent="0.3">
      <c r="A2638" s="21">
        <v>45414.21597222222</v>
      </c>
      <c r="B2638">
        <v>62.4</v>
      </c>
    </row>
    <row r="2639" spans="1:2" x14ac:dyDescent="0.3">
      <c r="A2639" s="21">
        <v>45414.216666666667</v>
      </c>
      <c r="B2639">
        <v>62.3</v>
      </c>
    </row>
    <row r="2640" spans="1:2" x14ac:dyDescent="0.3">
      <c r="A2640" s="21">
        <v>45414.217361111114</v>
      </c>
      <c r="B2640">
        <v>62.5</v>
      </c>
    </row>
    <row r="2641" spans="1:2" x14ac:dyDescent="0.3">
      <c r="A2641" s="21">
        <v>45414.218055555553</v>
      </c>
      <c r="B2641">
        <v>61.9</v>
      </c>
    </row>
    <row r="2642" spans="1:2" x14ac:dyDescent="0.3">
      <c r="A2642" s="21">
        <v>45414.21875</v>
      </c>
      <c r="B2642">
        <v>61.8</v>
      </c>
    </row>
    <row r="2643" spans="1:2" x14ac:dyDescent="0.3">
      <c r="A2643" s="21">
        <v>45414.219444444447</v>
      </c>
      <c r="B2643">
        <v>62</v>
      </c>
    </row>
    <row r="2644" spans="1:2" x14ac:dyDescent="0.3">
      <c r="A2644" s="21">
        <v>45414.220138888886</v>
      </c>
      <c r="B2644">
        <v>61.9</v>
      </c>
    </row>
    <row r="2645" spans="1:2" x14ac:dyDescent="0.3">
      <c r="A2645" s="21">
        <v>45414.220833333333</v>
      </c>
      <c r="B2645">
        <v>61.9</v>
      </c>
    </row>
    <row r="2646" spans="1:2" x14ac:dyDescent="0.3">
      <c r="A2646" s="21">
        <v>45414.22152777778</v>
      </c>
      <c r="B2646">
        <v>61.8</v>
      </c>
    </row>
    <row r="2647" spans="1:2" x14ac:dyDescent="0.3">
      <c r="A2647" s="21">
        <v>45414.222222222219</v>
      </c>
      <c r="B2647">
        <v>62.2</v>
      </c>
    </row>
    <row r="2648" spans="1:2" x14ac:dyDescent="0.3">
      <c r="A2648" s="21">
        <v>45414.222916666666</v>
      </c>
      <c r="B2648">
        <v>62</v>
      </c>
    </row>
    <row r="2649" spans="1:2" x14ac:dyDescent="0.3">
      <c r="A2649" s="21">
        <v>45414.223611111112</v>
      </c>
      <c r="B2649">
        <v>62.1</v>
      </c>
    </row>
    <row r="2650" spans="1:2" x14ac:dyDescent="0.3">
      <c r="A2650" s="21">
        <v>45414.224305555559</v>
      </c>
      <c r="B2650">
        <v>61.9</v>
      </c>
    </row>
    <row r="2651" spans="1:2" x14ac:dyDescent="0.3">
      <c r="A2651" s="21">
        <v>45414.224999999999</v>
      </c>
      <c r="B2651">
        <v>62</v>
      </c>
    </row>
    <row r="2652" spans="1:2" x14ac:dyDescent="0.3">
      <c r="A2652" s="21">
        <v>45414.225694444445</v>
      </c>
      <c r="B2652">
        <v>61.7</v>
      </c>
    </row>
    <row r="2653" spans="1:2" x14ac:dyDescent="0.3">
      <c r="A2653" s="21">
        <v>45414.226388888892</v>
      </c>
      <c r="B2653">
        <v>62.5</v>
      </c>
    </row>
    <row r="2654" spans="1:2" x14ac:dyDescent="0.3">
      <c r="A2654" s="21">
        <v>45414.227083333331</v>
      </c>
      <c r="B2654">
        <v>62.4</v>
      </c>
    </row>
    <row r="2655" spans="1:2" x14ac:dyDescent="0.3">
      <c r="A2655" s="21">
        <v>45414.227777777778</v>
      </c>
      <c r="B2655">
        <v>62.2</v>
      </c>
    </row>
    <row r="2656" spans="1:2" x14ac:dyDescent="0.3">
      <c r="A2656" s="21">
        <v>45414.228472222225</v>
      </c>
      <c r="B2656">
        <v>61.8</v>
      </c>
    </row>
    <row r="2657" spans="1:2" x14ac:dyDescent="0.3">
      <c r="A2657" s="21">
        <v>45414.229166666664</v>
      </c>
      <c r="B2657">
        <v>62.6</v>
      </c>
    </row>
    <row r="2658" spans="1:2" x14ac:dyDescent="0.3">
      <c r="A2658" s="21">
        <v>45414.229861111111</v>
      </c>
      <c r="B2658">
        <v>62.1</v>
      </c>
    </row>
    <row r="2659" spans="1:2" x14ac:dyDescent="0.3">
      <c r="A2659" s="21">
        <v>45414.230555555558</v>
      </c>
      <c r="B2659">
        <v>62.1</v>
      </c>
    </row>
    <row r="2660" spans="1:2" x14ac:dyDescent="0.3">
      <c r="A2660" s="21">
        <v>45414.231249999997</v>
      </c>
      <c r="B2660">
        <v>61.8</v>
      </c>
    </row>
    <row r="2661" spans="1:2" x14ac:dyDescent="0.3">
      <c r="A2661" s="21">
        <v>45414.231944444444</v>
      </c>
      <c r="B2661">
        <v>62</v>
      </c>
    </row>
    <row r="2662" spans="1:2" x14ac:dyDescent="0.3">
      <c r="A2662" s="21">
        <v>45414.232638888891</v>
      </c>
      <c r="B2662">
        <v>62.1</v>
      </c>
    </row>
    <row r="2663" spans="1:2" x14ac:dyDescent="0.3">
      <c r="A2663" s="21">
        <v>45414.23333333333</v>
      </c>
      <c r="B2663">
        <v>62</v>
      </c>
    </row>
    <row r="2664" spans="1:2" x14ac:dyDescent="0.3">
      <c r="A2664" s="21">
        <v>45414.234027777777</v>
      </c>
      <c r="B2664">
        <v>62.1</v>
      </c>
    </row>
    <row r="2665" spans="1:2" x14ac:dyDescent="0.3">
      <c r="A2665" s="21">
        <v>45414.234722222223</v>
      </c>
      <c r="B2665">
        <v>62</v>
      </c>
    </row>
    <row r="2666" spans="1:2" x14ac:dyDescent="0.3">
      <c r="A2666" s="21">
        <v>45414.23541666667</v>
      </c>
      <c r="B2666">
        <v>62.1</v>
      </c>
    </row>
    <row r="2667" spans="1:2" x14ac:dyDescent="0.3">
      <c r="A2667" s="21">
        <v>45414.236111111109</v>
      </c>
      <c r="B2667">
        <v>61.9</v>
      </c>
    </row>
    <row r="2668" spans="1:2" x14ac:dyDescent="0.3">
      <c r="A2668" s="21">
        <v>45414.236805555556</v>
      </c>
      <c r="B2668">
        <v>62</v>
      </c>
    </row>
    <row r="2669" spans="1:2" x14ac:dyDescent="0.3">
      <c r="A2669" s="21">
        <v>45414.237500000003</v>
      </c>
      <c r="B2669">
        <v>62.1</v>
      </c>
    </row>
    <row r="2670" spans="1:2" x14ac:dyDescent="0.3">
      <c r="A2670" s="21">
        <v>45414.238194444442</v>
      </c>
      <c r="B2670">
        <v>62.2</v>
      </c>
    </row>
    <row r="2671" spans="1:2" x14ac:dyDescent="0.3">
      <c r="A2671" s="21">
        <v>45414.238888888889</v>
      </c>
      <c r="B2671">
        <v>62.1</v>
      </c>
    </row>
    <row r="2672" spans="1:2" x14ac:dyDescent="0.3">
      <c r="A2672" s="21">
        <v>45414.239583333336</v>
      </c>
      <c r="B2672">
        <v>62.3</v>
      </c>
    </row>
    <row r="2673" spans="1:2" x14ac:dyDescent="0.3">
      <c r="A2673" s="21">
        <v>45414.240277777775</v>
      </c>
      <c r="B2673">
        <v>62.2</v>
      </c>
    </row>
    <row r="2674" spans="1:2" x14ac:dyDescent="0.3">
      <c r="A2674" s="21">
        <v>45414.240972222222</v>
      </c>
      <c r="B2674">
        <v>62</v>
      </c>
    </row>
    <row r="2675" spans="1:2" x14ac:dyDescent="0.3">
      <c r="A2675" s="21">
        <v>45414.241666666669</v>
      </c>
      <c r="B2675">
        <v>62.1</v>
      </c>
    </row>
    <row r="2676" spans="1:2" x14ac:dyDescent="0.3">
      <c r="A2676" s="21">
        <v>45414.242361111108</v>
      </c>
      <c r="B2676">
        <v>61.9</v>
      </c>
    </row>
    <row r="2677" spans="1:2" x14ac:dyDescent="0.3">
      <c r="A2677" s="21">
        <v>45414.243055555555</v>
      </c>
      <c r="B2677">
        <v>61.9</v>
      </c>
    </row>
    <row r="2678" spans="1:2" x14ac:dyDescent="0.3">
      <c r="A2678" s="21">
        <v>45414.243750000001</v>
      </c>
      <c r="B2678">
        <v>61.9</v>
      </c>
    </row>
    <row r="2679" spans="1:2" x14ac:dyDescent="0.3">
      <c r="A2679" s="21">
        <v>45414.244444444441</v>
      </c>
      <c r="B2679">
        <v>62.3</v>
      </c>
    </row>
    <row r="2680" spans="1:2" x14ac:dyDescent="0.3">
      <c r="A2680" s="21">
        <v>45414.245138888888</v>
      </c>
      <c r="B2680">
        <v>61.6</v>
      </c>
    </row>
    <row r="2681" spans="1:2" x14ac:dyDescent="0.3">
      <c r="A2681" s="21">
        <v>45414.245833333334</v>
      </c>
      <c r="B2681">
        <v>62.1</v>
      </c>
    </row>
    <row r="2682" spans="1:2" x14ac:dyDescent="0.3">
      <c r="A2682" s="21">
        <v>45414.246527777781</v>
      </c>
      <c r="B2682">
        <v>62</v>
      </c>
    </row>
    <row r="2683" spans="1:2" x14ac:dyDescent="0.3">
      <c r="A2683" s="21">
        <v>45414.24722222222</v>
      </c>
      <c r="B2683">
        <v>62.3</v>
      </c>
    </row>
    <row r="2684" spans="1:2" x14ac:dyDescent="0.3">
      <c r="A2684" s="21">
        <v>45414.247916666667</v>
      </c>
      <c r="B2684">
        <v>62.3</v>
      </c>
    </row>
    <row r="2685" spans="1:2" x14ac:dyDescent="0.3">
      <c r="A2685" s="21">
        <v>45414.248611111114</v>
      </c>
      <c r="B2685">
        <v>62</v>
      </c>
    </row>
    <row r="2686" spans="1:2" x14ac:dyDescent="0.3">
      <c r="A2686" s="21">
        <v>45414.249305555553</v>
      </c>
      <c r="B2686">
        <v>61.9</v>
      </c>
    </row>
    <row r="2687" spans="1:2" x14ac:dyDescent="0.3">
      <c r="A2687" s="21">
        <v>45414.25</v>
      </c>
      <c r="B2687">
        <v>62.2</v>
      </c>
    </row>
    <row r="2688" spans="1:2" x14ac:dyDescent="0.3">
      <c r="A2688" s="21">
        <v>45414.250694444447</v>
      </c>
      <c r="B2688">
        <v>62.4</v>
      </c>
    </row>
    <row r="2689" spans="1:2" x14ac:dyDescent="0.3">
      <c r="A2689" s="21">
        <v>45414.251388888886</v>
      </c>
      <c r="B2689">
        <v>62.1</v>
      </c>
    </row>
    <row r="2690" spans="1:2" x14ac:dyDescent="0.3">
      <c r="A2690" s="21">
        <v>45414.252083333333</v>
      </c>
      <c r="B2690">
        <v>61.9</v>
      </c>
    </row>
    <row r="2691" spans="1:2" x14ac:dyDescent="0.3">
      <c r="A2691" s="21">
        <v>45414.25277777778</v>
      </c>
      <c r="B2691">
        <v>62.4</v>
      </c>
    </row>
    <row r="2692" spans="1:2" x14ac:dyDescent="0.3">
      <c r="A2692" s="21">
        <v>45414.253472222219</v>
      </c>
      <c r="B2692">
        <v>62.2</v>
      </c>
    </row>
    <row r="2693" spans="1:2" x14ac:dyDescent="0.3">
      <c r="A2693" s="21">
        <v>45414.254166666666</v>
      </c>
      <c r="B2693">
        <v>61.7</v>
      </c>
    </row>
    <row r="2694" spans="1:2" x14ac:dyDescent="0.3">
      <c r="A2694" s="21">
        <v>45414.254861111112</v>
      </c>
      <c r="B2694">
        <v>62.4</v>
      </c>
    </row>
    <row r="2695" spans="1:2" x14ac:dyDescent="0.3">
      <c r="A2695" s="21">
        <v>45414.255555555559</v>
      </c>
      <c r="B2695">
        <v>61.9</v>
      </c>
    </row>
    <row r="2696" spans="1:2" x14ac:dyDescent="0.3">
      <c r="A2696" s="21">
        <v>45414.256249999999</v>
      </c>
      <c r="B2696">
        <v>62</v>
      </c>
    </row>
    <row r="2697" spans="1:2" x14ac:dyDescent="0.3">
      <c r="A2697" s="21">
        <v>45414.256944444445</v>
      </c>
      <c r="B2697">
        <v>62.2</v>
      </c>
    </row>
    <row r="2698" spans="1:2" x14ac:dyDescent="0.3">
      <c r="A2698" s="21">
        <v>45414.257638888892</v>
      </c>
      <c r="B2698">
        <v>61.9</v>
      </c>
    </row>
    <row r="2699" spans="1:2" x14ac:dyDescent="0.3">
      <c r="A2699" s="21">
        <v>45414.258333333331</v>
      </c>
      <c r="B2699">
        <v>62.1</v>
      </c>
    </row>
    <row r="2700" spans="1:2" x14ac:dyDescent="0.3">
      <c r="A2700" s="21">
        <v>45414.259027777778</v>
      </c>
      <c r="B2700">
        <v>62</v>
      </c>
    </row>
    <row r="2701" spans="1:2" x14ac:dyDescent="0.3">
      <c r="A2701" s="21">
        <v>45414.259722222225</v>
      </c>
      <c r="B2701">
        <v>62.3</v>
      </c>
    </row>
    <row r="2702" spans="1:2" x14ac:dyDescent="0.3">
      <c r="A2702" s="21">
        <v>45414.260416666664</v>
      </c>
      <c r="B2702">
        <v>62.3</v>
      </c>
    </row>
    <row r="2703" spans="1:2" x14ac:dyDescent="0.3">
      <c r="A2703" s="21">
        <v>45414.261111111111</v>
      </c>
      <c r="B2703">
        <v>62.2</v>
      </c>
    </row>
    <row r="2704" spans="1:2" x14ac:dyDescent="0.3">
      <c r="A2704" s="21">
        <v>45414.261805555558</v>
      </c>
      <c r="B2704">
        <v>62.2</v>
      </c>
    </row>
    <row r="2705" spans="1:2" x14ac:dyDescent="0.3">
      <c r="A2705" s="21">
        <v>45414.262499999997</v>
      </c>
      <c r="B2705">
        <v>61.9</v>
      </c>
    </row>
    <row r="2706" spans="1:2" x14ac:dyDescent="0.3">
      <c r="A2706" s="21">
        <v>45414.263194444444</v>
      </c>
      <c r="B2706">
        <v>62.1</v>
      </c>
    </row>
    <row r="2707" spans="1:2" x14ac:dyDescent="0.3">
      <c r="A2707" s="21">
        <v>45414.263888888891</v>
      </c>
      <c r="B2707">
        <v>62.4</v>
      </c>
    </row>
    <row r="2708" spans="1:2" x14ac:dyDescent="0.3">
      <c r="A2708" s="21">
        <v>45414.26458333333</v>
      </c>
      <c r="B2708">
        <v>62.2</v>
      </c>
    </row>
    <row r="2709" spans="1:2" x14ac:dyDescent="0.3">
      <c r="A2709" s="21">
        <v>45414.265277777777</v>
      </c>
      <c r="B2709">
        <v>62.3</v>
      </c>
    </row>
    <row r="2710" spans="1:2" x14ac:dyDescent="0.3">
      <c r="A2710" s="21">
        <v>45414.265972222223</v>
      </c>
      <c r="B2710">
        <v>61.9</v>
      </c>
    </row>
    <row r="2711" spans="1:2" x14ac:dyDescent="0.3">
      <c r="A2711" s="21">
        <v>45414.26666666667</v>
      </c>
      <c r="B2711">
        <v>62.3</v>
      </c>
    </row>
    <row r="2712" spans="1:2" x14ac:dyDescent="0.3">
      <c r="A2712" s="21">
        <v>45414.267361111109</v>
      </c>
      <c r="B2712">
        <v>62.3</v>
      </c>
    </row>
    <row r="2713" spans="1:2" x14ac:dyDescent="0.3">
      <c r="A2713" s="21">
        <v>45414.268055555556</v>
      </c>
      <c r="B2713">
        <v>62.1</v>
      </c>
    </row>
    <row r="2714" spans="1:2" x14ac:dyDescent="0.3">
      <c r="A2714" s="21">
        <v>45414.268750000003</v>
      </c>
      <c r="B2714">
        <v>61.7</v>
      </c>
    </row>
    <row r="2715" spans="1:2" x14ac:dyDescent="0.3">
      <c r="A2715" s="21">
        <v>45414.269444444442</v>
      </c>
      <c r="B2715">
        <v>62.2</v>
      </c>
    </row>
    <row r="2716" spans="1:2" x14ac:dyDescent="0.3">
      <c r="A2716" s="21">
        <v>45414.270138888889</v>
      </c>
      <c r="B2716">
        <v>61.9</v>
      </c>
    </row>
    <row r="2717" spans="1:2" x14ac:dyDescent="0.3">
      <c r="A2717" s="21">
        <v>45414.270833333336</v>
      </c>
      <c r="B2717">
        <v>62</v>
      </c>
    </row>
    <row r="2718" spans="1:2" x14ac:dyDescent="0.3">
      <c r="A2718" s="21">
        <v>45414.271527777775</v>
      </c>
      <c r="B2718">
        <v>61.9</v>
      </c>
    </row>
    <row r="2719" spans="1:2" x14ac:dyDescent="0.3">
      <c r="A2719" s="21">
        <v>45414.272222222222</v>
      </c>
      <c r="B2719">
        <v>62.4</v>
      </c>
    </row>
    <row r="2720" spans="1:2" x14ac:dyDescent="0.3">
      <c r="A2720" s="21">
        <v>45414.272916666669</v>
      </c>
      <c r="B2720">
        <v>62.2</v>
      </c>
    </row>
    <row r="2721" spans="1:2" x14ac:dyDescent="0.3">
      <c r="A2721" s="21">
        <v>45414.273611111108</v>
      </c>
      <c r="B2721">
        <v>62.5</v>
      </c>
    </row>
    <row r="2722" spans="1:2" x14ac:dyDescent="0.3">
      <c r="A2722" s="21">
        <v>45414.274305555555</v>
      </c>
      <c r="B2722">
        <v>62.1</v>
      </c>
    </row>
    <row r="2723" spans="1:2" x14ac:dyDescent="0.3">
      <c r="A2723" s="21">
        <v>45414.275000000001</v>
      </c>
      <c r="B2723">
        <v>62.4</v>
      </c>
    </row>
    <row r="2724" spans="1:2" x14ac:dyDescent="0.3">
      <c r="A2724" s="21">
        <v>45414.275694444441</v>
      </c>
      <c r="B2724">
        <v>62.1</v>
      </c>
    </row>
    <row r="2725" spans="1:2" x14ac:dyDescent="0.3">
      <c r="A2725" s="21">
        <v>45414.276388888888</v>
      </c>
      <c r="B2725">
        <v>62.5</v>
      </c>
    </row>
    <row r="2726" spans="1:2" x14ac:dyDescent="0.3">
      <c r="A2726" s="21">
        <v>45414.277083333334</v>
      </c>
      <c r="B2726">
        <v>62.1</v>
      </c>
    </row>
    <row r="2727" spans="1:2" x14ac:dyDescent="0.3">
      <c r="A2727" s="21">
        <v>45414.277777777781</v>
      </c>
      <c r="B2727">
        <v>62.5</v>
      </c>
    </row>
    <row r="2728" spans="1:2" x14ac:dyDescent="0.3">
      <c r="A2728" s="21">
        <v>45414.27847222222</v>
      </c>
      <c r="B2728">
        <v>62</v>
      </c>
    </row>
    <row r="2729" spans="1:2" x14ac:dyDescent="0.3">
      <c r="A2729" s="21">
        <v>45414.279166666667</v>
      </c>
      <c r="B2729">
        <v>62.5</v>
      </c>
    </row>
    <row r="2730" spans="1:2" x14ac:dyDescent="0.3">
      <c r="A2730" s="21">
        <v>45414.279861111114</v>
      </c>
      <c r="B2730">
        <v>62.2</v>
      </c>
    </row>
    <row r="2731" spans="1:2" x14ac:dyDescent="0.3">
      <c r="A2731" s="21">
        <v>45414.280555555553</v>
      </c>
      <c r="B2731">
        <v>62.3</v>
      </c>
    </row>
    <row r="2732" spans="1:2" x14ac:dyDescent="0.3">
      <c r="A2732" s="21">
        <v>45414.28125</v>
      </c>
      <c r="B2732">
        <v>62.4</v>
      </c>
    </row>
    <row r="2733" spans="1:2" x14ac:dyDescent="0.3">
      <c r="A2733" s="21">
        <v>45414.281944444447</v>
      </c>
      <c r="B2733">
        <v>62.1</v>
      </c>
    </row>
    <row r="2734" spans="1:2" x14ac:dyDescent="0.3">
      <c r="A2734" s="21">
        <v>45414.282638888886</v>
      </c>
      <c r="B2734">
        <v>61.8</v>
      </c>
    </row>
    <row r="2735" spans="1:2" x14ac:dyDescent="0.3">
      <c r="A2735" s="21">
        <v>45414.283333333333</v>
      </c>
      <c r="B2735">
        <v>62</v>
      </c>
    </row>
    <row r="2736" spans="1:2" x14ac:dyDescent="0.3">
      <c r="A2736" s="21">
        <v>45414.28402777778</v>
      </c>
      <c r="B2736">
        <v>62.3</v>
      </c>
    </row>
    <row r="2737" spans="1:2" x14ac:dyDescent="0.3">
      <c r="A2737" s="21">
        <v>45414.284722222219</v>
      </c>
      <c r="B2737">
        <v>62.3</v>
      </c>
    </row>
    <row r="2738" spans="1:2" x14ac:dyDescent="0.3">
      <c r="A2738" s="21">
        <v>45414.285416666666</v>
      </c>
      <c r="B2738">
        <v>62.3</v>
      </c>
    </row>
    <row r="2739" spans="1:2" x14ac:dyDescent="0.3">
      <c r="A2739" s="21">
        <v>45414.286111111112</v>
      </c>
      <c r="B2739">
        <v>62.3</v>
      </c>
    </row>
    <row r="2740" spans="1:2" x14ac:dyDescent="0.3">
      <c r="A2740" s="21">
        <v>45414.286805555559</v>
      </c>
      <c r="B2740">
        <v>62.1</v>
      </c>
    </row>
    <row r="2741" spans="1:2" x14ac:dyDescent="0.3">
      <c r="A2741" s="21">
        <v>45414.287499999999</v>
      </c>
      <c r="B2741">
        <v>62</v>
      </c>
    </row>
    <row r="2742" spans="1:2" x14ac:dyDescent="0.3">
      <c r="A2742" s="21">
        <v>45414.288194444445</v>
      </c>
      <c r="B2742">
        <v>62.1</v>
      </c>
    </row>
    <row r="2743" spans="1:2" x14ac:dyDescent="0.3">
      <c r="A2743" s="21">
        <v>45414.288888888892</v>
      </c>
      <c r="B2743">
        <v>62.4</v>
      </c>
    </row>
    <row r="2744" spans="1:2" x14ac:dyDescent="0.3">
      <c r="A2744" s="21">
        <v>45414.289583333331</v>
      </c>
      <c r="B2744">
        <v>62</v>
      </c>
    </row>
    <row r="2745" spans="1:2" x14ac:dyDescent="0.3">
      <c r="A2745" s="21">
        <v>45414.290277777778</v>
      </c>
      <c r="B2745">
        <v>62.5</v>
      </c>
    </row>
    <row r="2746" spans="1:2" x14ac:dyDescent="0.3">
      <c r="A2746" s="21">
        <v>45414.290972222225</v>
      </c>
      <c r="B2746">
        <v>62.3</v>
      </c>
    </row>
    <row r="2747" spans="1:2" x14ac:dyDescent="0.3">
      <c r="A2747" s="21">
        <v>45414.291666666664</v>
      </c>
      <c r="B2747">
        <v>62.3</v>
      </c>
    </row>
    <row r="2748" spans="1:2" x14ac:dyDescent="0.3">
      <c r="A2748" s="21">
        <v>45414.292361111111</v>
      </c>
      <c r="B2748">
        <v>62.2</v>
      </c>
    </row>
    <row r="2749" spans="1:2" x14ac:dyDescent="0.3">
      <c r="A2749" s="21">
        <v>45414.293055555558</v>
      </c>
      <c r="B2749">
        <v>62.2</v>
      </c>
    </row>
    <row r="2750" spans="1:2" x14ac:dyDescent="0.3">
      <c r="A2750" s="21">
        <v>45414.293749999997</v>
      </c>
      <c r="B2750">
        <v>62.7</v>
      </c>
    </row>
    <row r="2751" spans="1:2" x14ac:dyDescent="0.3">
      <c r="A2751" s="21">
        <v>45414.294444444444</v>
      </c>
      <c r="B2751">
        <v>62.4</v>
      </c>
    </row>
    <row r="2752" spans="1:2" x14ac:dyDescent="0.3">
      <c r="A2752" s="21">
        <v>45414.295138888891</v>
      </c>
      <c r="B2752">
        <v>62.6</v>
      </c>
    </row>
    <row r="2753" spans="1:2" x14ac:dyDescent="0.3">
      <c r="A2753" s="21">
        <v>45414.29583333333</v>
      </c>
      <c r="B2753">
        <v>62.1</v>
      </c>
    </row>
    <row r="2754" spans="1:2" x14ac:dyDescent="0.3">
      <c r="A2754" s="21">
        <v>45414.296527777777</v>
      </c>
      <c r="B2754">
        <v>62.8</v>
      </c>
    </row>
    <row r="2755" spans="1:2" x14ac:dyDescent="0.3">
      <c r="A2755" s="21">
        <v>45414.297222222223</v>
      </c>
      <c r="B2755">
        <v>62.3</v>
      </c>
    </row>
    <row r="2756" spans="1:2" x14ac:dyDescent="0.3">
      <c r="A2756" s="21">
        <v>45414.29791666667</v>
      </c>
      <c r="B2756">
        <v>62.3</v>
      </c>
    </row>
    <row r="2757" spans="1:2" x14ac:dyDescent="0.3">
      <c r="A2757" s="21">
        <v>45414.298611111109</v>
      </c>
      <c r="B2757">
        <v>62.3</v>
      </c>
    </row>
    <row r="2758" spans="1:2" x14ac:dyDescent="0.3">
      <c r="A2758" s="21">
        <v>45414.299305555556</v>
      </c>
      <c r="B2758">
        <v>62.1</v>
      </c>
    </row>
    <row r="2759" spans="1:2" x14ac:dyDescent="0.3">
      <c r="A2759" s="21">
        <v>45414.3</v>
      </c>
      <c r="B2759">
        <v>62.5</v>
      </c>
    </row>
    <row r="2760" spans="1:2" x14ac:dyDescent="0.3">
      <c r="A2760" s="21">
        <v>45414.300694444442</v>
      </c>
      <c r="B2760">
        <v>62.2</v>
      </c>
    </row>
    <row r="2761" spans="1:2" x14ac:dyDescent="0.3">
      <c r="A2761" s="21">
        <v>45414.301388888889</v>
      </c>
      <c r="B2761">
        <v>62.4</v>
      </c>
    </row>
    <row r="2762" spans="1:2" x14ac:dyDescent="0.3">
      <c r="A2762" s="21">
        <v>45414.302083333336</v>
      </c>
      <c r="B2762">
        <v>62.2</v>
      </c>
    </row>
    <row r="2763" spans="1:2" x14ac:dyDescent="0.3">
      <c r="A2763" s="21">
        <v>45414.302777777775</v>
      </c>
      <c r="B2763">
        <v>62.3</v>
      </c>
    </row>
    <row r="2764" spans="1:2" x14ac:dyDescent="0.3">
      <c r="A2764" s="21">
        <v>45414.303472222222</v>
      </c>
      <c r="B2764">
        <v>62.2</v>
      </c>
    </row>
    <row r="2765" spans="1:2" x14ac:dyDescent="0.3">
      <c r="A2765" s="21">
        <v>45414.304166666669</v>
      </c>
      <c r="B2765">
        <v>62.3</v>
      </c>
    </row>
    <row r="2766" spans="1:2" x14ac:dyDescent="0.3">
      <c r="A2766" s="21">
        <v>45414.304861111108</v>
      </c>
      <c r="B2766">
        <v>62.3</v>
      </c>
    </row>
    <row r="2767" spans="1:2" x14ac:dyDescent="0.3">
      <c r="A2767" s="21">
        <v>45414.305555555555</v>
      </c>
      <c r="B2767">
        <v>62.9</v>
      </c>
    </row>
    <row r="2768" spans="1:2" x14ac:dyDescent="0.3">
      <c r="A2768" s="21">
        <v>45414.306250000001</v>
      </c>
      <c r="B2768">
        <v>62.3</v>
      </c>
    </row>
    <row r="2769" spans="1:2" x14ac:dyDescent="0.3">
      <c r="A2769" s="21">
        <v>45414.306944444441</v>
      </c>
      <c r="B2769">
        <v>62</v>
      </c>
    </row>
    <row r="2770" spans="1:2" x14ac:dyDescent="0.3">
      <c r="A2770" s="21">
        <v>45414.307638888888</v>
      </c>
      <c r="B2770">
        <v>62.3</v>
      </c>
    </row>
    <row r="2771" spans="1:2" x14ac:dyDescent="0.3">
      <c r="A2771" s="21">
        <v>45414.308333333334</v>
      </c>
      <c r="B2771">
        <v>62.5</v>
      </c>
    </row>
    <row r="2772" spans="1:2" x14ac:dyDescent="0.3">
      <c r="A2772" s="21">
        <v>45414.309027777781</v>
      </c>
      <c r="B2772">
        <v>60.6</v>
      </c>
    </row>
    <row r="2773" spans="1:2" x14ac:dyDescent="0.3">
      <c r="A2773" s="21">
        <v>45414.30972222222</v>
      </c>
      <c r="B2773">
        <v>58.8</v>
      </c>
    </row>
    <row r="2774" spans="1:2" x14ac:dyDescent="0.3">
      <c r="A2774" s="21">
        <v>45414.310416666667</v>
      </c>
      <c r="B2774">
        <v>59.1</v>
      </c>
    </row>
    <row r="2775" spans="1:2" x14ac:dyDescent="0.3">
      <c r="A2775" s="21">
        <v>45414.311111111114</v>
      </c>
      <c r="B2775">
        <v>59.3</v>
      </c>
    </row>
    <row r="2776" spans="1:2" x14ac:dyDescent="0.3">
      <c r="A2776" s="21">
        <v>45414.311805555553</v>
      </c>
      <c r="B2776">
        <v>59.8</v>
      </c>
    </row>
    <row r="2777" spans="1:2" x14ac:dyDescent="0.3">
      <c r="A2777" s="21">
        <v>45414.3125</v>
      </c>
      <c r="B2777">
        <v>59.9</v>
      </c>
    </row>
    <row r="2778" spans="1:2" x14ac:dyDescent="0.3">
      <c r="A2778" s="21">
        <v>45414.313194444447</v>
      </c>
      <c r="B2778">
        <v>59.9</v>
      </c>
    </row>
    <row r="2779" spans="1:2" x14ac:dyDescent="0.3">
      <c r="A2779" s="21">
        <v>45414.313888888886</v>
      </c>
      <c r="B2779">
        <v>60</v>
      </c>
    </row>
    <row r="2780" spans="1:2" x14ac:dyDescent="0.3">
      <c r="A2780" s="21">
        <v>45414.314583333333</v>
      </c>
      <c r="B2780">
        <v>59.7</v>
      </c>
    </row>
    <row r="2781" spans="1:2" x14ac:dyDescent="0.3">
      <c r="A2781" s="21">
        <v>45414.31527777778</v>
      </c>
      <c r="B2781">
        <v>59.7</v>
      </c>
    </row>
    <row r="2782" spans="1:2" x14ac:dyDescent="0.3">
      <c r="A2782" s="21">
        <v>45414.315972222219</v>
      </c>
      <c r="B2782">
        <v>59.5</v>
      </c>
    </row>
    <row r="2783" spans="1:2" x14ac:dyDescent="0.3">
      <c r="A2783" s="21">
        <v>45414.316666666666</v>
      </c>
      <c r="B2783">
        <v>59.6</v>
      </c>
    </row>
    <row r="2784" spans="1:2" x14ac:dyDescent="0.3">
      <c r="A2784" s="21">
        <v>45414.317361111112</v>
      </c>
      <c r="B2784">
        <v>60.3</v>
      </c>
    </row>
    <row r="2785" spans="1:2" x14ac:dyDescent="0.3">
      <c r="A2785" s="21">
        <v>45414.318055555559</v>
      </c>
      <c r="B2785">
        <v>60</v>
      </c>
    </row>
    <row r="2786" spans="1:2" x14ac:dyDescent="0.3">
      <c r="A2786" s="21">
        <v>45414.318749999999</v>
      </c>
      <c r="B2786">
        <v>60</v>
      </c>
    </row>
    <row r="2787" spans="1:2" x14ac:dyDescent="0.3">
      <c r="A2787" s="21">
        <v>45414.319444444445</v>
      </c>
      <c r="B2787">
        <v>60</v>
      </c>
    </row>
    <row r="2788" spans="1:2" x14ac:dyDescent="0.3">
      <c r="A2788" s="21">
        <v>45414.320138888892</v>
      </c>
      <c r="B2788">
        <v>59.9</v>
      </c>
    </row>
    <row r="2789" spans="1:2" x14ac:dyDescent="0.3">
      <c r="A2789" s="21">
        <v>45414.320833333331</v>
      </c>
      <c r="B2789">
        <v>60.2</v>
      </c>
    </row>
    <row r="2790" spans="1:2" x14ac:dyDescent="0.3">
      <c r="A2790" s="21">
        <v>45414.321527777778</v>
      </c>
      <c r="B2790">
        <v>60.1</v>
      </c>
    </row>
    <row r="2791" spans="1:2" x14ac:dyDescent="0.3">
      <c r="A2791" s="21">
        <v>45414.322222222225</v>
      </c>
      <c r="B2791">
        <v>59.9</v>
      </c>
    </row>
    <row r="2792" spans="1:2" x14ac:dyDescent="0.3">
      <c r="A2792" s="21">
        <v>45414.322916666664</v>
      </c>
      <c r="B2792">
        <v>60</v>
      </c>
    </row>
    <row r="2793" spans="1:2" x14ac:dyDescent="0.3">
      <c r="A2793" s="21">
        <v>45414.323611111111</v>
      </c>
      <c r="B2793">
        <v>60</v>
      </c>
    </row>
    <row r="2794" spans="1:2" x14ac:dyDescent="0.3">
      <c r="A2794" s="21">
        <v>45414.324305555558</v>
      </c>
      <c r="B2794">
        <v>59.7</v>
      </c>
    </row>
    <row r="2795" spans="1:2" x14ac:dyDescent="0.3">
      <c r="A2795" s="21">
        <v>45414.324999999997</v>
      </c>
      <c r="B2795">
        <v>60.1</v>
      </c>
    </row>
    <row r="2796" spans="1:2" x14ac:dyDescent="0.3">
      <c r="A2796" s="21">
        <v>45414.325694444444</v>
      </c>
      <c r="B2796">
        <v>60.4</v>
      </c>
    </row>
    <row r="2797" spans="1:2" x14ac:dyDescent="0.3">
      <c r="A2797" s="21">
        <v>45414.326388888891</v>
      </c>
      <c r="B2797">
        <v>60.1</v>
      </c>
    </row>
    <row r="2798" spans="1:2" x14ac:dyDescent="0.3">
      <c r="A2798" s="21">
        <v>45414.32708333333</v>
      </c>
      <c r="B2798">
        <v>60</v>
      </c>
    </row>
    <row r="2799" spans="1:2" x14ac:dyDescent="0.3">
      <c r="A2799" s="21">
        <v>45414.327777777777</v>
      </c>
      <c r="B2799">
        <v>60.4</v>
      </c>
    </row>
    <row r="2800" spans="1:2" x14ac:dyDescent="0.3">
      <c r="A2800" s="21">
        <v>45414.328472222223</v>
      </c>
      <c r="B2800">
        <v>60.4</v>
      </c>
    </row>
    <row r="2801" spans="1:2" x14ac:dyDescent="0.3">
      <c r="A2801" s="21">
        <v>45414.32916666667</v>
      </c>
      <c r="B2801">
        <v>60.2</v>
      </c>
    </row>
    <row r="2802" spans="1:2" x14ac:dyDescent="0.3">
      <c r="A2802" s="21">
        <v>45414.329861111109</v>
      </c>
      <c r="B2802">
        <v>60.1</v>
      </c>
    </row>
    <row r="2803" spans="1:2" x14ac:dyDescent="0.3">
      <c r="A2803" s="21">
        <v>45414.330555555556</v>
      </c>
      <c r="B2803">
        <v>60.6</v>
      </c>
    </row>
    <row r="2804" spans="1:2" x14ac:dyDescent="0.3">
      <c r="A2804" s="21">
        <v>45414.331250000003</v>
      </c>
      <c r="B2804">
        <v>60.4</v>
      </c>
    </row>
    <row r="2805" spans="1:2" x14ac:dyDescent="0.3">
      <c r="A2805" s="21">
        <v>45414.331944444442</v>
      </c>
      <c r="B2805">
        <v>60.1</v>
      </c>
    </row>
    <row r="2806" spans="1:2" x14ac:dyDescent="0.3">
      <c r="A2806" s="21">
        <v>45414.332638888889</v>
      </c>
      <c r="B2806">
        <v>60.5</v>
      </c>
    </row>
    <row r="2807" spans="1:2" x14ac:dyDescent="0.3">
      <c r="A2807" s="21">
        <v>45414.333333333336</v>
      </c>
      <c r="B2807">
        <v>60.2</v>
      </c>
    </row>
    <row r="2808" spans="1:2" x14ac:dyDescent="0.3">
      <c r="A2808" s="21">
        <v>45414.334027777775</v>
      </c>
      <c r="B2808">
        <v>60.6</v>
      </c>
    </row>
    <row r="2809" spans="1:2" x14ac:dyDescent="0.3">
      <c r="A2809" s="21">
        <v>45414.334722222222</v>
      </c>
      <c r="B2809">
        <v>61.1</v>
      </c>
    </row>
    <row r="2810" spans="1:2" x14ac:dyDescent="0.3">
      <c r="A2810" s="21">
        <v>45414.335416666669</v>
      </c>
      <c r="B2810">
        <v>60.7</v>
      </c>
    </row>
    <row r="2811" spans="1:2" x14ac:dyDescent="0.3">
      <c r="A2811" s="21">
        <v>45414.336111111108</v>
      </c>
      <c r="B2811">
        <v>60.2</v>
      </c>
    </row>
    <row r="2812" spans="1:2" x14ac:dyDescent="0.3">
      <c r="A2812" s="21">
        <v>45414.336805555555</v>
      </c>
      <c r="B2812">
        <v>60.5</v>
      </c>
    </row>
    <row r="2813" spans="1:2" x14ac:dyDescent="0.3">
      <c r="A2813" s="21">
        <v>45414.337500000001</v>
      </c>
      <c r="B2813">
        <v>60.8</v>
      </c>
    </row>
    <row r="2814" spans="1:2" x14ac:dyDescent="0.3">
      <c r="A2814" s="21">
        <v>45414.338194444441</v>
      </c>
      <c r="B2814">
        <v>60.7</v>
      </c>
    </row>
    <row r="2815" spans="1:2" x14ac:dyDescent="0.3">
      <c r="A2815" s="21">
        <v>45414.338888888888</v>
      </c>
      <c r="B2815">
        <v>61</v>
      </c>
    </row>
    <row r="2816" spans="1:2" x14ac:dyDescent="0.3">
      <c r="A2816" s="21">
        <v>45414.339583333334</v>
      </c>
      <c r="B2816">
        <v>60.5</v>
      </c>
    </row>
    <row r="2817" spans="1:2" x14ac:dyDescent="0.3">
      <c r="A2817" s="21">
        <v>45414.340277777781</v>
      </c>
      <c r="B2817">
        <v>60.5</v>
      </c>
    </row>
    <row r="2818" spans="1:2" x14ac:dyDescent="0.3">
      <c r="A2818" s="21">
        <v>45414.34097222222</v>
      </c>
      <c r="B2818">
        <v>60.9</v>
      </c>
    </row>
    <row r="2819" spans="1:2" x14ac:dyDescent="0.3">
      <c r="A2819" s="21">
        <v>45414.341666666667</v>
      </c>
      <c r="B2819">
        <v>60.9</v>
      </c>
    </row>
    <row r="2820" spans="1:2" x14ac:dyDescent="0.3">
      <c r="A2820" s="21">
        <v>45414.342361111114</v>
      </c>
      <c r="B2820">
        <v>60.9</v>
      </c>
    </row>
    <row r="2821" spans="1:2" x14ac:dyDescent="0.3">
      <c r="A2821" s="21">
        <v>45414.343055555553</v>
      </c>
      <c r="B2821">
        <v>60.7</v>
      </c>
    </row>
    <row r="2822" spans="1:2" x14ac:dyDescent="0.3">
      <c r="A2822" s="21">
        <v>45414.34375</v>
      </c>
      <c r="B2822">
        <v>60.5</v>
      </c>
    </row>
    <row r="2823" spans="1:2" x14ac:dyDescent="0.3">
      <c r="A2823" s="21">
        <v>45414.344444444447</v>
      </c>
      <c r="B2823">
        <v>61.1</v>
      </c>
    </row>
    <row r="2824" spans="1:2" x14ac:dyDescent="0.3">
      <c r="A2824" s="21">
        <v>45414.345138888886</v>
      </c>
      <c r="B2824">
        <v>61</v>
      </c>
    </row>
    <row r="2825" spans="1:2" x14ac:dyDescent="0.3">
      <c r="A2825" s="21">
        <v>45414.345833333333</v>
      </c>
      <c r="B2825">
        <v>61</v>
      </c>
    </row>
    <row r="2826" spans="1:2" x14ac:dyDescent="0.3">
      <c r="A2826" s="21">
        <v>45414.34652777778</v>
      </c>
      <c r="B2826">
        <v>61.2</v>
      </c>
    </row>
    <row r="2827" spans="1:2" x14ac:dyDescent="0.3">
      <c r="A2827" s="21">
        <v>45414.347222222219</v>
      </c>
      <c r="B2827">
        <v>61.1</v>
      </c>
    </row>
    <row r="2828" spans="1:2" x14ac:dyDescent="0.3">
      <c r="A2828" s="21">
        <v>45414.347916666666</v>
      </c>
      <c r="B2828">
        <v>60.8</v>
      </c>
    </row>
    <row r="2829" spans="1:2" x14ac:dyDescent="0.3">
      <c r="A2829" s="21">
        <v>45414.348611111112</v>
      </c>
      <c r="B2829">
        <v>61.1</v>
      </c>
    </row>
    <row r="2830" spans="1:2" x14ac:dyDescent="0.3">
      <c r="A2830" s="21">
        <v>45414.349305555559</v>
      </c>
      <c r="B2830">
        <v>61.4</v>
      </c>
    </row>
    <row r="2831" spans="1:2" x14ac:dyDescent="0.3">
      <c r="A2831" s="21">
        <v>45414.35</v>
      </c>
      <c r="B2831">
        <v>61</v>
      </c>
    </row>
    <row r="2832" spans="1:2" x14ac:dyDescent="0.3">
      <c r="A2832" s="21">
        <v>45414.350694444445</v>
      </c>
      <c r="B2832">
        <v>61.5</v>
      </c>
    </row>
    <row r="2833" spans="1:2" x14ac:dyDescent="0.3">
      <c r="A2833" s="21">
        <v>45414.351388888892</v>
      </c>
      <c r="B2833">
        <v>60.9</v>
      </c>
    </row>
    <row r="2834" spans="1:2" x14ac:dyDescent="0.3">
      <c r="A2834" s="21">
        <v>45414.352083333331</v>
      </c>
      <c r="B2834">
        <v>61.1</v>
      </c>
    </row>
    <row r="2835" spans="1:2" x14ac:dyDescent="0.3">
      <c r="A2835" s="21">
        <v>45414.352777777778</v>
      </c>
      <c r="B2835">
        <v>61.6</v>
      </c>
    </row>
    <row r="2836" spans="1:2" x14ac:dyDescent="0.3">
      <c r="A2836" s="21">
        <v>45414.353472222225</v>
      </c>
      <c r="B2836">
        <v>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Acidic Catholyte_Na2SO4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2026-08-10T16:53:50Z</dcterms:modified>
</cp:coreProperties>
</file>