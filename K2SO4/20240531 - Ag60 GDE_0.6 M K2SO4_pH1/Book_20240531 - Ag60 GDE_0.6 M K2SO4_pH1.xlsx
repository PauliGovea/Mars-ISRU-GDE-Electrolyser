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531 - Ag60 GDE_0.6 M K2SO4_pH1/"/>
    </mc:Choice>
  </mc:AlternateContent>
  <xr:revisionPtr revIDLastSave="169" documentId="8_{99172C6E-3916-40BE-A50D-EF70DFCC63BC}" xr6:coauthVersionLast="47" xr6:coauthVersionMax="47" xr10:uidLastSave="{0ADA6B63-9D35-4A35-BFA5-A674D8E47DD5}"/>
  <bookViews>
    <workbookView xWindow="-96" yWindow="0" windowWidth="11712" windowHeight="12336" xr2:uid="{15374DF8-AA4F-49FF-8BB1-7BFD50C5D9E4}"/>
  </bookViews>
  <sheets>
    <sheet name="Sheet1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Q4" i="1"/>
  <c r="R4" i="1"/>
  <c r="S4" i="1"/>
  <c r="P5" i="1"/>
  <c r="Q5" i="1"/>
  <c r="R5" i="1"/>
  <c r="S5" i="1"/>
  <c r="P6" i="1"/>
  <c r="T6" i="1" s="1"/>
  <c r="Q6" i="1"/>
  <c r="R6" i="1"/>
  <c r="S6" i="1"/>
  <c r="P7" i="1"/>
  <c r="T7" i="1" s="1"/>
  <c r="Q7" i="1"/>
  <c r="R7" i="1"/>
  <c r="S7" i="1"/>
  <c r="P8" i="1"/>
  <c r="T8" i="1" s="1"/>
  <c r="Q8" i="1"/>
  <c r="R8" i="1"/>
  <c r="S8" i="1"/>
  <c r="P9" i="1"/>
  <c r="T9" i="1" s="1"/>
  <c r="Q9" i="1"/>
  <c r="R9" i="1"/>
  <c r="S9" i="1"/>
  <c r="P10" i="1"/>
  <c r="Q10" i="1"/>
  <c r="R10" i="1"/>
  <c r="S10" i="1"/>
  <c r="P11" i="1"/>
  <c r="Q11" i="1"/>
  <c r="R11" i="1"/>
  <c r="S11" i="1"/>
  <c r="P12" i="1"/>
  <c r="T12" i="1" s="1"/>
  <c r="Q12" i="1"/>
  <c r="R12" i="1"/>
  <c r="S12" i="1"/>
  <c r="P13" i="1"/>
  <c r="T13" i="1" s="1"/>
  <c r="Q13" i="1"/>
  <c r="R13" i="1"/>
  <c r="S13" i="1"/>
  <c r="P14" i="1"/>
  <c r="Q14" i="1"/>
  <c r="R14" i="1"/>
  <c r="S14" i="1"/>
  <c r="P15" i="1"/>
  <c r="T15" i="1" s="1"/>
  <c r="Q15" i="1"/>
  <c r="R15" i="1"/>
  <c r="S15" i="1"/>
  <c r="P16" i="1"/>
  <c r="T16" i="1" s="1"/>
  <c r="Q16" i="1"/>
  <c r="R16" i="1"/>
  <c r="S16" i="1"/>
  <c r="P17" i="1"/>
  <c r="T17" i="1" s="1"/>
  <c r="Q17" i="1"/>
  <c r="R17" i="1"/>
  <c r="S17" i="1"/>
  <c r="P18" i="1"/>
  <c r="T18" i="1" s="1"/>
  <c r="Q18" i="1"/>
  <c r="R18" i="1"/>
  <c r="S18" i="1"/>
  <c r="P19" i="1"/>
  <c r="T19" i="1" s="1"/>
  <c r="Q19" i="1"/>
  <c r="R19" i="1"/>
  <c r="S19" i="1"/>
  <c r="P20" i="1"/>
  <c r="T20" i="1" s="1"/>
  <c r="Q20" i="1"/>
  <c r="R20" i="1"/>
  <c r="S20" i="1"/>
  <c r="P21" i="1"/>
  <c r="T21" i="1" s="1"/>
  <c r="Q21" i="1"/>
  <c r="R21" i="1"/>
  <c r="S21" i="1"/>
  <c r="P22" i="1"/>
  <c r="Q22" i="1"/>
  <c r="R22" i="1"/>
  <c r="S22" i="1"/>
  <c r="P23" i="1"/>
  <c r="T23" i="1" s="1"/>
  <c r="Q23" i="1"/>
  <c r="U23" i="1" s="1"/>
  <c r="R23" i="1"/>
  <c r="S23" i="1"/>
  <c r="P24" i="1"/>
  <c r="T24" i="1" s="1"/>
  <c r="Q24" i="1"/>
  <c r="R24" i="1"/>
  <c r="S24" i="1"/>
  <c r="P25" i="1"/>
  <c r="T25" i="1" s="1"/>
  <c r="Q25" i="1"/>
  <c r="R25" i="1"/>
  <c r="S25" i="1"/>
  <c r="P26" i="1"/>
  <c r="T26" i="1" s="1"/>
  <c r="Q26" i="1"/>
  <c r="R26" i="1"/>
  <c r="S26" i="1"/>
  <c r="P27" i="1"/>
  <c r="T27" i="1" s="1"/>
  <c r="Q27" i="1"/>
  <c r="R27" i="1"/>
  <c r="S27" i="1"/>
  <c r="P28" i="1"/>
  <c r="T28" i="1" s="1"/>
  <c r="Q28" i="1"/>
  <c r="R28" i="1"/>
  <c r="S28" i="1"/>
  <c r="P29" i="1"/>
  <c r="T29" i="1" s="1"/>
  <c r="Q29" i="1"/>
  <c r="R29" i="1"/>
  <c r="S29" i="1"/>
  <c r="P30" i="1"/>
  <c r="T30" i="1" s="1"/>
  <c r="Q30" i="1"/>
  <c r="R30" i="1"/>
  <c r="S30" i="1"/>
  <c r="P31" i="1"/>
  <c r="T31" i="1" s="1"/>
  <c r="Q31" i="1"/>
  <c r="R31" i="1"/>
  <c r="S31" i="1"/>
  <c r="P32" i="1"/>
  <c r="T32" i="1" s="1"/>
  <c r="Q32" i="1"/>
  <c r="R32" i="1"/>
  <c r="S32" i="1"/>
  <c r="P33" i="1"/>
  <c r="T33" i="1" s="1"/>
  <c r="Q33" i="1"/>
  <c r="R33" i="1"/>
  <c r="S33" i="1"/>
  <c r="P34" i="1"/>
  <c r="Q34" i="1"/>
  <c r="R34" i="1"/>
  <c r="S34" i="1"/>
  <c r="P35" i="1"/>
  <c r="T35" i="1" s="1"/>
  <c r="Q35" i="1"/>
  <c r="R35" i="1"/>
  <c r="S35" i="1"/>
  <c r="P36" i="1"/>
  <c r="T36" i="1" s="1"/>
  <c r="Q36" i="1"/>
  <c r="R36" i="1"/>
  <c r="S36" i="1"/>
  <c r="P37" i="1"/>
  <c r="Q37" i="1"/>
  <c r="R37" i="1"/>
  <c r="S37" i="1"/>
  <c r="P38" i="1"/>
  <c r="T38" i="1" s="1"/>
  <c r="Q38" i="1"/>
  <c r="U38" i="1" s="1"/>
  <c r="R38" i="1"/>
  <c r="S38" i="1"/>
  <c r="P39" i="1"/>
  <c r="T39" i="1" s="1"/>
  <c r="Q39" i="1"/>
  <c r="R39" i="1"/>
  <c r="S39" i="1"/>
  <c r="P40" i="1"/>
  <c r="T40" i="1" s="1"/>
  <c r="Q40" i="1"/>
  <c r="R40" i="1"/>
  <c r="S40" i="1"/>
  <c r="P41" i="1"/>
  <c r="T41" i="1" s="1"/>
  <c r="Q41" i="1"/>
  <c r="R41" i="1"/>
  <c r="S41" i="1"/>
  <c r="P42" i="1"/>
  <c r="T42" i="1" s="1"/>
  <c r="Q42" i="1"/>
  <c r="U42" i="1" s="1"/>
  <c r="R42" i="1"/>
  <c r="S42" i="1"/>
  <c r="P43" i="1"/>
  <c r="Q43" i="1"/>
  <c r="R43" i="1"/>
  <c r="S43" i="1"/>
  <c r="P44" i="1"/>
  <c r="T44" i="1" s="1"/>
  <c r="Q44" i="1"/>
  <c r="R44" i="1"/>
  <c r="S44" i="1"/>
  <c r="P45" i="1"/>
  <c r="T45" i="1" s="1"/>
  <c r="Q45" i="1"/>
  <c r="R45" i="1"/>
  <c r="S45" i="1"/>
  <c r="P46" i="1"/>
  <c r="T46" i="1" s="1"/>
  <c r="Q46" i="1"/>
  <c r="R46" i="1"/>
  <c r="S46" i="1"/>
  <c r="P47" i="1"/>
  <c r="Q47" i="1"/>
  <c r="R47" i="1"/>
  <c r="S47" i="1"/>
  <c r="P48" i="1"/>
  <c r="T48" i="1" s="1"/>
  <c r="Q48" i="1"/>
  <c r="R48" i="1"/>
  <c r="S48" i="1"/>
  <c r="P49" i="1"/>
  <c r="Q49" i="1"/>
  <c r="R49" i="1"/>
  <c r="S49" i="1"/>
  <c r="P50" i="1"/>
  <c r="T50" i="1" s="1"/>
  <c r="Q50" i="1"/>
  <c r="R50" i="1"/>
  <c r="S50" i="1"/>
  <c r="P51" i="1"/>
  <c r="T51" i="1" s="1"/>
  <c r="Q51" i="1"/>
  <c r="R51" i="1"/>
  <c r="S51" i="1"/>
  <c r="P52" i="1"/>
  <c r="T52" i="1" s="1"/>
  <c r="Q52" i="1"/>
  <c r="R52" i="1"/>
  <c r="S52" i="1"/>
  <c r="P53" i="1"/>
  <c r="T53" i="1" s="1"/>
  <c r="Q53" i="1"/>
  <c r="R53" i="1"/>
  <c r="S53" i="1"/>
  <c r="P54" i="1"/>
  <c r="T54" i="1" s="1"/>
  <c r="Q54" i="1"/>
  <c r="R54" i="1"/>
  <c r="S54" i="1"/>
  <c r="P55" i="1"/>
  <c r="Q55" i="1"/>
  <c r="R55" i="1"/>
  <c r="S55" i="1"/>
  <c r="P56" i="1"/>
  <c r="T56" i="1" s="1"/>
  <c r="Q56" i="1"/>
  <c r="R56" i="1"/>
  <c r="S56" i="1"/>
  <c r="P57" i="1"/>
  <c r="T57" i="1" s="1"/>
  <c r="Q57" i="1"/>
  <c r="R57" i="1"/>
  <c r="S57" i="1"/>
  <c r="P58" i="1"/>
  <c r="Q58" i="1"/>
  <c r="R58" i="1"/>
  <c r="S58" i="1"/>
  <c r="P59" i="1"/>
  <c r="Q59" i="1"/>
  <c r="R59" i="1"/>
  <c r="S59" i="1"/>
  <c r="P60" i="1"/>
  <c r="T60" i="1" s="1"/>
  <c r="Q60" i="1"/>
  <c r="R60" i="1"/>
  <c r="S60" i="1"/>
  <c r="P61" i="1"/>
  <c r="T61" i="1" s="1"/>
  <c r="Q61" i="1"/>
  <c r="R61" i="1"/>
  <c r="S61" i="1"/>
  <c r="P62" i="1"/>
  <c r="T62" i="1" s="1"/>
  <c r="Q62" i="1"/>
  <c r="R62" i="1"/>
  <c r="S62" i="1"/>
  <c r="P63" i="1"/>
  <c r="T63" i="1" s="1"/>
  <c r="Q63" i="1"/>
  <c r="R63" i="1"/>
  <c r="S63" i="1"/>
  <c r="S3" i="1"/>
  <c r="Q3" i="1"/>
  <c r="R3" i="1"/>
  <c r="P3" i="1"/>
  <c r="C3" i="2"/>
  <c r="D3" i="2" s="1"/>
  <c r="E3" i="2" s="1" a="1"/>
  <c r="E3" i="2" s="1"/>
  <c r="C4" i="2"/>
  <c r="D4" i="2" s="1"/>
  <c r="E4" i="2" s="1" a="1"/>
  <c r="E4" i="2" s="1"/>
  <c r="C5" i="2"/>
  <c r="D5" i="2"/>
  <c r="E5" i="2" a="1"/>
  <c r="E5" i="2" s="1"/>
  <c r="C6" i="2"/>
  <c r="D6" i="2" s="1"/>
  <c r="E6" i="2" s="1" a="1"/>
  <c r="E6" i="2" s="1"/>
  <c r="C7" i="2"/>
  <c r="D7" i="2" s="1"/>
  <c r="E7" i="2" s="1" a="1"/>
  <c r="E7" i="2" s="1"/>
  <c r="C8" i="2"/>
  <c r="D8" i="2"/>
  <c r="E8" i="2" s="1" a="1"/>
  <c r="E8" i="2" s="1"/>
  <c r="C9" i="2"/>
  <c r="D9" i="2" s="1"/>
  <c r="E9" i="2" s="1" a="1"/>
  <c r="E9" i="2" s="1"/>
  <c r="C10" i="2"/>
  <c r="D10" i="2" s="1"/>
  <c r="E10" i="2" s="1" a="1"/>
  <c r="E10" i="2" s="1"/>
  <c r="C11" i="2"/>
  <c r="D11" i="2"/>
  <c r="E11" i="2" a="1"/>
  <c r="E11" i="2" s="1"/>
  <c r="C12" i="2"/>
  <c r="D12" i="2" s="1"/>
  <c r="E12" i="2" s="1" a="1"/>
  <c r="E12" i="2" s="1"/>
  <c r="C13" i="2"/>
  <c r="D13" i="2" s="1"/>
  <c r="E13" i="2" s="1" a="1"/>
  <c r="E13" i="2" s="1"/>
  <c r="C14" i="2"/>
  <c r="D14" i="2"/>
  <c r="E14" i="2" a="1"/>
  <c r="E14" i="2" s="1"/>
  <c r="C15" i="2"/>
  <c r="D15" i="2" s="1"/>
  <c r="E15" i="2" s="1" a="1"/>
  <c r="E15" i="2" s="1"/>
  <c r="C16" i="2"/>
  <c r="D16" i="2" s="1"/>
  <c r="E16" i="2" s="1" a="1"/>
  <c r="E16" i="2" s="1"/>
  <c r="C17" i="2"/>
  <c r="D17" i="2"/>
  <c r="E17" i="2" a="1"/>
  <c r="E17" i="2" s="1"/>
  <c r="C18" i="2"/>
  <c r="D18" i="2" s="1"/>
  <c r="E18" i="2" s="1" a="1"/>
  <c r="E18" i="2" s="1"/>
  <c r="C19" i="2"/>
  <c r="D19" i="2" s="1"/>
  <c r="E19" i="2" s="1" a="1"/>
  <c r="E19" i="2" s="1"/>
  <c r="C20" i="2"/>
  <c r="D20" i="2"/>
  <c r="E20" i="2" a="1"/>
  <c r="E20" i="2"/>
  <c r="C21" i="2"/>
  <c r="D21" i="2" s="1"/>
  <c r="E21" i="2" s="1" a="1"/>
  <c r="E21" i="2" s="1"/>
  <c r="C22" i="2"/>
  <c r="D22" i="2"/>
  <c r="E22" i="2" s="1" a="1"/>
  <c r="E22" i="2" s="1"/>
  <c r="C23" i="2"/>
  <c r="D23" i="2"/>
  <c r="E23" i="2" s="1" a="1"/>
  <c r="E23" i="2" s="1"/>
  <c r="C24" i="2"/>
  <c r="D24" i="2" s="1"/>
  <c r="E24" i="2" s="1" a="1"/>
  <c r="E24" i="2" s="1"/>
  <c r="C25" i="2"/>
  <c r="D25" i="2"/>
  <c r="E25" i="2" s="1" a="1"/>
  <c r="E25" i="2" s="1"/>
  <c r="C26" i="2"/>
  <c r="D26" i="2"/>
  <c r="E26" i="2" s="1" a="1"/>
  <c r="E26" i="2" s="1"/>
  <c r="C27" i="2"/>
  <c r="D27" i="2" s="1"/>
  <c r="E27" i="2" s="1" a="1"/>
  <c r="E27" i="2" s="1"/>
  <c r="C28" i="2"/>
  <c r="D28" i="2"/>
  <c r="E28" i="2" s="1" a="1"/>
  <c r="E28" i="2" s="1"/>
  <c r="C29" i="2"/>
  <c r="D29" i="2"/>
  <c r="E29" i="2" a="1"/>
  <c r="E29" i="2" s="1"/>
  <c r="C30" i="2"/>
  <c r="D30" i="2" s="1"/>
  <c r="E30" i="2" s="1" a="1"/>
  <c r="E30" i="2" s="1"/>
  <c r="C31" i="2"/>
  <c r="D31" i="2"/>
  <c r="E31" i="2" s="1" a="1"/>
  <c r="E31" i="2" s="1"/>
  <c r="C32" i="2"/>
  <c r="D32" i="2"/>
  <c r="E32" i="2" a="1"/>
  <c r="E32" i="2" s="1"/>
  <c r="C33" i="2"/>
  <c r="D33" i="2" s="1"/>
  <c r="E33" i="2" s="1" a="1"/>
  <c r="E33" i="2" s="1"/>
  <c r="C34" i="2"/>
  <c r="D34" i="2"/>
  <c r="E34" i="2" s="1" a="1"/>
  <c r="E34" i="2" s="1"/>
  <c r="C35" i="2"/>
  <c r="D35" i="2"/>
  <c r="E35" i="2" a="1"/>
  <c r="E35" i="2"/>
  <c r="C36" i="2"/>
  <c r="D36" i="2" s="1"/>
  <c r="E36" i="2" s="1" a="1"/>
  <c r="E36" i="2" s="1"/>
  <c r="C37" i="2"/>
  <c r="D37" i="2"/>
  <c r="E37" i="2" s="1" a="1"/>
  <c r="E37" i="2" s="1"/>
  <c r="C38" i="2"/>
  <c r="D38" i="2"/>
  <c r="E38" i="2" a="1"/>
  <c r="E38" i="2" s="1"/>
  <c r="C39" i="2"/>
  <c r="D39" i="2" s="1"/>
  <c r="E39" i="2" s="1" a="1"/>
  <c r="E39" i="2" s="1"/>
  <c r="C40" i="2"/>
  <c r="D40" i="2"/>
  <c r="E40" i="2" s="1" a="1"/>
  <c r="E40" i="2" s="1"/>
  <c r="C41" i="2"/>
  <c r="D41" i="2"/>
  <c r="E41" i="2" a="1"/>
  <c r="E41" i="2" s="1"/>
  <c r="C42" i="2"/>
  <c r="D42" i="2" s="1"/>
  <c r="E42" i="2" s="1" a="1"/>
  <c r="E42" i="2" s="1"/>
  <c r="C43" i="2"/>
  <c r="D43" i="2"/>
  <c r="E43" i="2" s="1" a="1"/>
  <c r="E43" i="2" s="1"/>
  <c r="C44" i="2"/>
  <c r="D44" i="2"/>
  <c r="E44" i="2" a="1"/>
  <c r="E44" i="2"/>
  <c r="C45" i="2"/>
  <c r="D45" i="2" s="1"/>
  <c r="E45" i="2" s="1" a="1"/>
  <c r="E45" i="2" s="1"/>
  <c r="C46" i="2"/>
  <c r="D46" i="2"/>
  <c r="E46" i="2" s="1" a="1"/>
  <c r="E46" i="2" s="1"/>
  <c r="C47" i="2"/>
  <c r="D47" i="2"/>
  <c r="E47" i="2" s="1" a="1"/>
  <c r="E47" i="2" s="1"/>
  <c r="C48" i="2"/>
  <c r="D48" i="2" s="1"/>
  <c r="E48" i="2" s="1" a="1"/>
  <c r="E48" i="2" s="1"/>
  <c r="C49" i="2"/>
  <c r="D49" i="2"/>
  <c r="E49" i="2" s="1" a="1"/>
  <c r="E49" i="2" s="1"/>
  <c r="C50" i="2"/>
  <c r="D50" i="2"/>
  <c r="E50" i="2" a="1"/>
  <c r="E50" i="2"/>
  <c r="C51" i="2"/>
  <c r="D51" i="2" s="1"/>
  <c r="E51" i="2" s="1" a="1"/>
  <c r="E51" i="2" s="1"/>
  <c r="C52" i="2"/>
  <c r="D52" i="2"/>
  <c r="E52" i="2" s="1" a="1"/>
  <c r="E52" i="2" s="1"/>
  <c r="C53" i="2"/>
  <c r="D53" i="2"/>
  <c r="E53" i="2" a="1"/>
  <c r="E53" i="2" s="1"/>
  <c r="C54" i="2"/>
  <c r="D54" i="2" s="1"/>
  <c r="E54" i="2" s="1" a="1"/>
  <c r="E54" i="2" s="1"/>
  <c r="C55" i="2"/>
  <c r="D55" i="2"/>
  <c r="E55" i="2" s="1" a="1"/>
  <c r="E55" i="2" s="1"/>
  <c r="C56" i="2"/>
  <c r="D56" i="2"/>
  <c r="E56" i="2" a="1"/>
  <c r="E56" i="2" s="1"/>
  <c r="C57" i="2"/>
  <c r="D57" i="2" s="1"/>
  <c r="E57" i="2" s="1" a="1"/>
  <c r="E57" i="2" s="1"/>
  <c r="C58" i="2"/>
  <c r="D58" i="2"/>
  <c r="E58" i="2" s="1" a="1"/>
  <c r="E58" i="2" s="1"/>
  <c r="C59" i="2"/>
  <c r="D59" i="2"/>
  <c r="E59" i="2" a="1"/>
  <c r="E59" i="2" s="1"/>
  <c r="C60" i="2"/>
  <c r="D60" i="2" s="1"/>
  <c r="E60" i="2" s="1" a="1"/>
  <c r="E60" i="2" s="1"/>
  <c r="C61" i="2"/>
  <c r="D61" i="2"/>
  <c r="E61" i="2" s="1" a="1"/>
  <c r="E61" i="2" s="1"/>
  <c r="C62" i="2"/>
  <c r="D62" i="2"/>
  <c r="E62" i="2" s="1" a="1"/>
  <c r="E62" i="2" s="1"/>
  <c r="C2" i="2"/>
  <c r="C1" i="2"/>
  <c r="D1" i="2"/>
  <c r="E1" i="2" s="1" a="1"/>
  <c r="E1" i="2" s="1"/>
  <c r="C2" i="1" s="1"/>
  <c r="D2" i="2"/>
  <c r="E2" i="2" s="1" a="1"/>
  <c r="E2" i="2" s="1"/>
  <c r="C3" i="1" s="1"/>
  <c r="U10" i="1"/>
  <c r="U46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U16" i="1" s="1"/>
  <c r="C17" i="1"/>
  <c r="C18" i="1"/>
  <c r="C19" i="1"/>
  <c r="C20" i="1"/>
  <c r="C21" i="1"/>
  <c r="C22" i="1"/>
  <c r="C23" i="1"/>
  <c r="C24" i="1"/>
  <c r="C25" i="1"/>
  <c r="C26" i="1"/>
  <c r="C27" i="1"/>
  <c r="C28" i="1"/>
  <c r="U28" i="1" s="1"/>
  <c r="C29" i="1"/>
  <c r="C30" i="1"/>
  <c r="C31" i="1"/>
  <c r="C32" i="1"/>
  <c r="C33" i="1"/>
  <c r="C34" i="1"/>
  <c r="C35" i="1"/>
  <c r="C36" i="1"/>
  <c r="C37" i="1"/>
  <c r="C38" i="1"/>
  <c r="C39" i="1"/>
  <c r="C40" i="1"/>
  <c r="U40" i="1" s="1"/>
  <c r="C41" i="1"/>
  <c r="C42" i="1"/>
  <c r="C43" i="1"/>
  <c r="C44" i="1"/>
  <c r="C45" i="1"/>
  <c r="C46" i="1"/>
  <c r="C47" i="1"/>
  <c r="C48" i="1"/>
  <c r="C49" i="1"/>
  <c r="C50" i="1"/>
  <c r="C51" i="1"/>
  <c r="C52" i="1"/>
  <c r="U52" i="1" s="1"/>
  <c r="C53" i="1"/>
  <c r="C54" i="1"/>
  <c r="C55" i="1"/>
  <c r="C56" i="1"/>
  <c r="C57" i="1"/>
  <c r="C58" i="1"/>
  <c r="C59" i="1"/>
  <c r="C60" i="1"/>
  <c r="C61" i="1"/>
  <c r="C62" i="1"/>
  <c r="C63" i="1"/>
  <c r="T4" i="1"/>
  <c r="T5" i="1"/>
  <c r="T10" i="1"/>
  <c r="W10" i="1" s="1"/>
  <c r="T11" i="1"/>
  <c r="T14" i="1"/>
  <c r="T37" i="1"/>
  <c r="T43" i="1"/>
  <c r="T49" i="1"/>
  <c r="T55" i="1"/>
  <c r="U4" i="1" l="1"/>
  <c r="W4" i="1" s="1"/>
  <c r="W23" i="1"/>
  <c r="U58" i="1"/>
  <c r="U22" i="1"/>
  <c r="U34" i="1"/>
  <c r="W28" i="1"/>
  <c r="U61" i="1"/>
  <c r="U49" i="1"/>
  <c r="W49" i="1" s="1"/>
  <c r="U37" i="1"/>
  <c r="W37" i="1" s="1"/>
  <c r="U25" i="1"/>
  <c r="W25" i="1" s="1"/>
  <c r="U13" i="1"/>
  <c r="W13" i="1" s="1"/>
  <c r="W42" i="1"/>
  <c r="U63" i="1"/>
  <c r="W63" i="1" s="1"/>
  <c r="U51" i="1"/>
  <c r="W51" i="1" s="1"/>
  <c r="U39" i="1"/>
  <c r="W39" i="1" s="1"/>
  <c r="U27" i="1"/>
  <c r="W27" i="1" s="1"/>
  <c r="U15" i="1"/>
  <c r="W15" i="1" s="1"/>
  <c r="W16" i="1"/>
  <c r="U59" i="1"/>
  <c r="U47" i="1"/>
  <c r="U35" i="1"/>
  <c r="W35" i="1" s="1"/>
  <c r="U11" i="1"/>
  <c r="W11" i="1" s="1"/>
  <c r="W61" i="1"/>
  <c r="W52" i="1"/>
  <c r="W46" i="1"/>
  <c r="W40" i="1"/>
  <c r="U57" i="1"/>
  <c r="W57" i="1" s="1"/>
  <c r="U45" i="1"/>
  <c r="W45" i="1" s="1"/>
  <c r="U33" i="1"/>
  <c r="W33" i="1" s="1"/>
  <c r="U21" i="1"/>
  <c r="W21" i="1" s="1"/>
  <c r="U9" i="1"/>
  <c r="W9" i="1"/>
  <c r="W38" i="1"/>
  <c r="U62" i="1"/>
  <c r="W62" i="1" s="1"/>
  <c r="U50" i="1"/>
  <c r="W50" i="1" s="1"/>
  <c r="U26" i="1"/>
  <c r="W26" i="1" s="1"/>
  <c r="U14" i="1"/>
  <c r="W14" i="1" s="1"/>
  <c r="U60" i="1"/>
  <c r="W60" i="1" s="1"/>
  <c r="U48" i="1"/>
  <c r="W48" i="1" s="1"/>
  <c r="U36" i="1"/>
  <c r="W36" i="1" s="1"/>
  <c r="U24" i="1"/>
  <c r="W24" i="1" s="1"/>
  <c r="U12" i="1"/>
  <c r="W12" i="1" s="1"/>
  <c r="U56" i="1"/>
  <c r="W56" i="1" s="1"/>
  <c r="U44" i="1"/>
  <c r="W44" i="1" s="1"/>
  <c r="U32" i="1"/>
  <c r="W32" i="1" s="1"/>
  <c r="U20" i="1"/>
  <c r="W20" i="1" s="1"/>
  <c r="U8" i="1"/>
  <c r="W8" i="1" s="1"/>
  <c r="U55" i="1"/>
  <c r="W55" i="1" s="1"/>
  <c r="U43" i="1"/>
  <c r="W43" i="1" s="1"/>
  <c r="U31" i="1"/>
  <c r="W31" i="1" s="1"/>
  <c r="U19" i="1"/>
  <c r="W19" i="1" s="1"/>
  <c r="U7" i="1"/>
  <c r="W7" i="1" s="1"/>
  <c r="U54" i="1"/>
  <c r="W54" i="1" s="1"/>
  <c r="U30" i="1"/>
  <c r="W30" i="1" s="1"/>
  <c r="U18" i="1"/>
  <c r="W18" i="1" s="1"/>
  <c r="U6" i="1"/>
  <c r="W6" i="1" s="1"/>
  <c r="U53" i="1"/>
  <c r="W53" i="1" s="1"/>
  <c r="U41" i="1"/>
  <c r="W41" i="1" s="1"/>
  <c r="U29" i="1"/>
  <c r="W29" i="1" s="1"/>
  <c r="U17" i="1"/>
  <c r="W17" i="1" s="1"/>
  <c r="U5" i="1"/>
  <c r="W5" i="1" s="1"/>
  <c r="U3" i="1"/>
  <c r="T59" i="1"/>
  <c r="T58" i="1"/>
  <c r="W58" i="1" s="1"/>
  <c r="T47" i="1"/>
  <c r="T34" i="1"/>
  <c r="T22" i="1"/>
  <c r="T3" i="1"/>
  <c r="W59" i="1" l="1"/>
  <c r="W22" i="1"/>
  <c r="W34" i="1"/>
  <c r="W47" i="1"/>
  <c r="W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<sst xmlns="http://schemas.openxmlformats.org/spreadsheetml/2006/main" count="273" uniqueCount="29">
  <si>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</si>
  <si>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</si>
  <si>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</si>
  <si>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</si>
  <si>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</si>
  <si>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</si>
  <si>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</si>
  <si>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</si>
  <si>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</si>
  <si>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</si>
  <si>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</si>
  <si>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</si>
  <si>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</si>
  <si>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</si>
  <si>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</si>
  <si>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</si>
  <si>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</si>
  <si>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</si>
  <si>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</si>
  <si>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</si>
  <si>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</si>
  <si>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</si>
  <si>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</si>
  <si>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</si>
  <si>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</si>
  <si>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r>
      <t>0.05 M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</si>
  <si>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Time</t>
  </si>
  <si>
    <r>
      <t>0.3 M 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</si>
  <si>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0.6Mk2so4pH1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</si>
</sst>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/d/yy\ h:mm\ AM/PM;@"/>
    <numFmt numFmtId="165" formatCode="0.0"/>
    <numFmt numFmtId="166" formatCode="m/d/yy\ h:mm;@"/>
    <numFmt numFmtId="167" formatCode="d/mm/yy\ h:mm;@"/>
    <numFmt numFmtId="168" formatCode="yyyy\-mm\-dd\ hh:mm:ss"/>
    <numFmt numFmtId="170" formatCode="0.0000"/>
  </numFmts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164" fontId="0" fillId="0" borderId="0" xfId="0" applyNumberFormat="1"/>
    <xf numFmtId="22" fontId="0" fillId="0" borderId="0" xfId="0" applyNumberFormat="1"/>
    <xf numFmtId="166" fontId="0" fillId="0" borderId="0" xfId="0" applyNumberFormat="1"/>
    <xf numFmtId="165" fontId="0" fillId="0" borderId="0" xfId="0" applyNumberFormat="1"/>
    <xf numFmtId="2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/>
    <xf numFmtId="170" fontId="0" fillId="7" borderId="1" xfId="0" applyNumberFormat="1" applyFill="1" applyBorder="1" applyAlignment="1">
      <alignment horizontal="center" vertical="center"/>
    </xf>
    <xf numFmtId="170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AB66"/>
  <sheetViews>
    <sheetView tabSelected="1" topLeftCell="H1" zoomScale="70" zoomScaleNormal="70" workbookViewId="0">
      <selection activeCell="K4" sqref="K4"/>
    </sheetView>
  </sheetViews>
  <sheetFormatPr defaultRowHeight="14.4" x14ac:dyDescent="0.3"/>
  <cols>
    <col min="1" max="1" width="25.6640625" customWidth="1"/>
    <col min="2" max="2" width="6.5546875" customWidth="1"/>
    <col min="3" max="3" width="18.88671875" customWidth="1"/>
    <col min="4" max="4" width="13.77734375" customWidth="1"/>
    <col min="5" max="5" width="15.77734375" customWidth="1"/>
    <col min="6" max="6" width="13.5546875" customWidth="1"/>
    <col min="7" max="7" width="14.88671875" customWidth="1"/>
    <col min="8" max="8" width="23.5546875" bestFit="1" customWidth="1"/>
    <col min="9" max="9" width="15.109375" customWidth="1"/>
    <col min="12" max="12" width="9.33203125" bestFit="1" customWidth="1"/>
  </cols>
  <sheetData>
    <row r="1" spans="1:28" s="11" customFormat="1" ht="34.200000000000003" x14ac:dyDescent="0.2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26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</row>
    <row r="2" spans="1:28" ht="15.6" x14ac:dyDescent="0.3">
      <c r="A2" s="1" t="s">
        <v>23</v>
      </c>
      <c r="B2" s="1">
        <v>60</v>
      </c>
      <c r="C2" s="12">
        <f>+'Flow rate'!E1</f>
        <v>58.815907000000003</v>
      </c>
      <c r="D2" s="1" t="s">
        <v>27</v>
      </c>
      <c r="E2" s="1" t="s">
        <v>25</v>
      </c>
      <c r="F2" s="1" t="s">
        <v>24</v>
      </c>
      <c r="G2" s="1">
        <v>0</v>
      </c>
      <c r="H2" s="15">
        <v>45443.78928070602</v>
      </c>
      <c r="I2">
        <v>0</v>
      </c>
      <c r="J2" s="13">
        <v>0</v>
      </c>
      <c r="K2" s="13">
        <v>0</v>
      </c>
      <c r="L2">
        <v>0</v>
      </c>
      <c r="N2">
        <v>0</v>
      </c>
      <c r="O2">
        <v>0</v>
      </c>
      <c r="P2" s="3">
        <v>0</v>
      </c>
      <c r="Q2" s="3">
        <v>0</v>
      </c>
      <c r="R2" s="3">
        <v>0</v>
      </c>
      <c r="S2" s="3">
        <v>0</v>
      </c>
      <c r="T2" s="4">
        <v>0</v>
      </c>
      <c r="U2" s="5">
        <v>0</v>
      </c>
      <c r="V2" s="14"/>
      <c r="W2" s="3">
        <v>0</v>
      </c>
      <c r="X2" s="3">
        <v>0</v>
      </c>
      <c r="Y2">
        <v>0</v>
      </c>
    </row>
    <row r="3" spans="1:28" ht="15.6" x14ac:dyDescent="0.3">
      <c r="A3" s="1" t="s">
        <v>23</v>
      </c>
      <c r="B3" s="1">
        <v>60</v>
      </c>
      <c r="C3" s="12">
        <f>+'Flow rate'!E2</f>
        <v>60.413027999999997</v>
      </c>
      <c r="D3" s="1" t="s">
        <v>27</v>
      </c>
      <c r="E3" s="1" t="s">
        <v>25</v>
      </c>
      <c r="F3" s="1" t="s">
        <v>24</v>
      </c>
      <c r="G3" s="1">
        <v>-0.125</v>
      </c>
      <c r="H3" s="15">
        <v>45443.79283564815</v>
      </c>
      <c r="I3" s="2">
        <v>8.5318611119873822E-2</v>
      </c>
      <c r="J3" s="22">
        <v>0.38340232290492893</v>
      </c>
      <c r="K3" s="22">
        <v>0</v>
      </c>
      <c r="L3" s="22">
        <v>106.86504409247402</v>
      </c>
      <c r="N3" s="22">
        <v>2.26038246153751E-2</v>
      </c>
      <c r="O3" s="22">
        <v>5.7653289681425975E-2</v>
      </c>
      <c r="P3" s="3">
        <f>+J3/SUM($J3:$O3)</f>
        <v>3.5722254187009763E-3</v>
      </c>
      <c r="Q3" s="3">
        <f t="shared" ref="Q3:R3" si="0">+K3/SUM($J3:$O3)</f>
        <v>0</v>
      </c>
      <c r="R3" s="3">
        <f t="shared" si="0"/>
        <v>0.99568000523668365</v>
      </c>
      <c r="S3" s="3">
        <f>+N3/SUM($J3:$O3)</f>
        <v>2.1060372362669298E-4</v>
      </c>
      <c r="T3" s="4">
        <f>+P3*C3/1000/60/24.3*2*96485/-1/G3</f>
        <v>0.22850290205835627</v>
      </c>
      <c r="U3" s="5">
        <f>+Q3*C3/1000/60/24.3*2*96485/-1/G3</f>
        <v>0</v>
      </c>
      <c r="V3" s="14"/>
      <c r="W3" s="3">
        <f>T3+U3</f>
        <v>0.22850290205835627</v>
      </c>
      <c r="X3" s="3">
        <v>0</v>
      </c>
    </row>
    <row r="4" spans="1:28" ht="15.6" x14ac:dyDescent="0.3">
      <c r="A4" s="1" t="s">
        <v>23</v>
      </c>
      <c r="B4" s="1">
        <v>60</v>
      </c>
      <c r="C4" s="12">
        <f>+'Flow rate'!E3</f>
        <v>61.367046999999999</v>
      </c>
      <c r="D4" s="1" t="s">
        <v>27</v>
      </c>
      <c r="E4" s="1" t="s">
        <v>25</v>
      </c>
      <c r="F4" s="1" t="s">
        <v>24</v>
      </c>
      <c r="G4" s="1">
        <v>-0.125</v>
      </c>
      <c r="H4" s="15">
        <v>45443.808472222219</v>
      </c>
      <c r="I4" s="2">
        <v>0.4605963887879625</v>
      </c>
      <c r="J4" s="22">
        <v>1.5726832536346096</v>
      </c>
      <c r="K4" s="22">
        <v>0</v>
      </c>
      <c r="L4" s="22">
        <v>105.30370664165467</v>
      </c>
      <c r="N4" s="22">
        <v>1.4529461870483193E-2</v>
      </c>
      <c r="O4" s="22">
        <v>4.5548083870194919E-2</v>
      </c>
      <c r="P4" s="3">
        <f t="shared" ref="P4:P63" si="1">+J4/SUM($J4:$O4)</f>
        <v>1.4706706620001869E-2</v>
      </c>
      <c r="Q4" s="3">
        <f t="shared" ref="Q4:Q63" si="2">+K4/SUM($J4:$O4)</f>
        <v>0</v>
      </c>
      <c r="R4" s="3">
        <f t="shared" ref="R4:R63" si="3">+L4/SUM($J4:$O4)</f>
        <v>0.98473148741073124</v>
      </c>
      <c r="S4" s="3">
        <f t="shared" ref="S4:S63" si="4">+N4/SUM($J4:$O4)</f>
        <v>1.3587003777261908E-4</v>
      </c>
      <c r="T4" s="4">
        <f t="shared" ref="T4:T63" si="5">+P4*C4/1000/60/24.3*2*96485/-1/G4</f>
        <v>0.95559289966380345</v>
      </c>
      <c r="U4" s="5">
        <f t="shared" ref="U4:U63" si="6">+Q4*C4/1000/60/24.3*2*96485/-1/G4</f>
        <v>0</v>
      </c>
      <c r="V4" s="14"/>
      <c r="W4" s="3">
        <f t="shared" ref="W4:W63" si="7">T4+U4</f>
        <v>0.95559289966380345</v>
      </c>
      <c r="X4" s="3">
        <v>0</v>
      </c>
      <c r="Y4">
        <v>105.30370000000001</v>
      </c>
    </row>
    <row r="5" spans="1:28" ht="15.6" x14ac:dyDescent="0.3">
      <c r="A5" s="1" t="s">
        <v>23</v>
      </c>
      <c r="B5" s="1">
        <v>60</v>
      </c>
      <c r="C5" s="12">
        <f>+'Flow rate'!E4</f>
        <v>61.254046000000002</v>
      </c>
      <c r="D5" s="1" t="s">
        <v>27</v>
      </c>
      <c r="E5" s="1" t="s">
        <v>25</v>
      </c>
      <c r="F5" s="1" t="s">
        <v>24</v>
      </c>
      <c r="G5" s="1">
        <v>-0.125</v>
      </c>
      <c r="H5" s="15">
        <v>45443.824097222219</v>
      </c>
      <c r="I5" s="2">
        <v>0.8355963887879625</v>
      </c>
      <c r="J5" s="22">
        <v>1.5842558808141078</v>
      </c>
      <c r="K5" s="22">
        <v>0</v>
      </c>
      <c r="L5" s="22">
        <v>105.50934522988742</v>
      </c>
      <c r="N5" s="22">
        <v>1.0752571674788963E-2</v>
      </c>
      <c r="O5" s="22">
        <v>3.6534102641545343E-2</v>
      </c>
      <c r="P5" s="3">
        <f t="shared" si="1"/>
        <v>1.4786660009696539E-2</v>
      </c>
      <c r="Q5" s="3">
        <f t="shared" si="2"/>
        <v>0</v>
      </c>
      <c r="R5" s="3">
        <f t="shared" si="3"/>
        <v>0.98477198958436685</v>
      </c>
      <c r="S5" s="3">
        <f t="shared" si="4"/>
        <v>1.0035918030065604E-4</v>
      </c>
      <c r="T5" s="4">
        <f t="shared" si="5"/>
        <v>0.95901881445567982</v>
      </c>
      <c r="U5" s="5">
        <f t="shared" si="6"/>
        <v>0</v>
      </c>
      <c r="V5" s="14"/>
      <c r="W5" s="3">
        <f t="shared" si="7"/>
        <v>0.95901881445567982</v>
      </c>
      <c r="X5" s="3">
        <v>0</v>
      </c>
    </row>
    <row r="6" spans="1:28" ht="15.6" x14ac:dyDescent="0.3">
      <c r="A6" s="1" t="s">
        <v>23</v>
      </c>
      <c r="B6" s="1">
        <v>60</v>
      </c>
      <c r="C6" s="12">
        <f>+'Flow rate'!E5</f>
        <v>61.057260999999997</v>
      </c>
      <c r="D6" s="1" t="s">
        <v>27</v>
      </c>
      <c r="E6" s="1" t="s">
        <v>25</v>
      </c>
      <c r="F6" s="1" t="s">
        <v>24</v>
      </c>
      <c r="G6" s="1">
        <v>-0.125</v>
      </c>
      <c r="H6" s="15">
        <v>45443.839756944442</v>
      </c>
      <c r="I6" s="2">
        <v>1.2114297221414745</v>
      </c>
      <c r="J6" s="22">
        <v>1.576996066711176</v>
      </c>
      <c r="K6" s="22">
        <v>0</v>
      </c>
      <c r="L6" s="22">
        <v>105.39534072720031</v>
      </c>
      <c r="N6" s="22">
        <v>5.2725826724848227E-3</v>
      </c>
      <c r="O6" s="22">
        <v>2.2575898199504851E-2</v>
      </c>
      <c r="P6" s="3">
        <f t="shared" si="1"/>
        <v>1.4738255477421342E-2</v>
      </c>
      <c r="Q6" s="3">
        <f t="shared" si="2"/>
        <v>0</v>
      </c>
      <c r="R6" s="3">
        <f t="shared" si="3"/>
        <v>0.98500147879686539</v>
      </c>
      <c r="S6" s="3">
        <f t="shared" si="4"/>
        <v>4.9276388250585599E-5</v>
      </c>
      <c r="T6" s="4">
        <f t="shared" si="5"/>
        <v>0.95280857815632725</v>
      </c>
      <c r="U6" s="5">
        <f t="shared" si="6"/>
        <v>0</v>
      </c>
      <c r="V6" s="14"/>
      <c r="W6" s="3">
        <f t="shared" si="7"/>
        <v>0.95280857815632725</v>
      </c>
      <c r="X6" s="3">
        <v>0</v>
      </c>
      <c r="Y6">
        <v>105.39530000000001</v>
      </c>
    </row>
    <row r="7" spans="1:28" ht="15.6" x14ac:dyDescent="0.3">
      <c r="A7" s="1" t="s">
        <v>23</v>
      </c>
      <c r="B7" s="1">
        <v>60</v>
      </c>
      <c r="C7" s="12">
        <f>+'Flow rate'!E6</f>
        <v>61.700918999999999</v>
      </c>
      <c r="D7" s="1" t="s">
        <v>27</v>
      </c>
      <c r="E7" s="1" t="s">
        <v>25</v>
      </c>
      <c r="F7" s="1" t="s">
        <v>24</v>
      </c>
      <c r="G7" s="1">
        <v>-0.125</v>
      </c>
      <c r="H7" s="15">
        <v>45443.855405092596</v>
      </c>
      <c r="I7" s="2">
        <v>1.5869852778268978</v>
      </c>
      <c r="J7" s="22">
        <v>1.6223908522136308</v>
      </c>
      <c r="K7" s="22">
        <v>0</v>
      </c>
      <c r="L7" s="22">
        <v>105.36055708773543</v>
      </c>
      <c r="N7" s="22">
        <v>3.5226433124264447E-3</v>
      </c>
      <c r="O7" s="22">
        <v>2.0550152125034523E-2</v>
      </c>
      <c r="P7" s="3">
        <f t="shared" si="1"/>
        <v>1.5161536514744932E-2</v>
      </c>
      <c r="Q7" s="3">
        <f t="shared" si="2"/>
        <v>0</v>
      </c>
      <c r="R7" s="3">
        <f t="shared" si="3"/>
        <v>0.98461349884955152</v>
      </c>
      <c r="S7" s="3">
        <f t="shared" si="4"/>
        <v>3.2919740108805121E-5</v>
      </c>
      <c r="T7" s="4">
        <f t="shared" si="5"/>
        <v>0.99050599563999331</v>
      </c>
      <c r="U7" s="5">
        <f t="shared" si="6"/>
        <v>0</v>
      </c>
      <c r="V7" s="14"/>
      <c r="W7" s="3">
        <f t="shared" si="7"/>
        <v>0.99050599563999331</v>
      </c>
      <c r="X7" s="3">
        <v>0</v>
      </c>
      <c r="AB7" s="16"/>
    </row>
    <row r="8" spans="1:28" ht="15.6" x14ac:dyDescent="0.3">
      <c r="A8" s="1" t="s">
        <v>23</v>
      </c>
      <c r="B8" s="1">
        <v>60</v>
      </c>
      <c r="C8" s="12">
        <f>+'Flow rate'!E7</f>
        <v>61.782924000000001</v>
      </c>
      <c r="D8" s="1" t="s">
        <v>27</v>
      </c>
      <c r="E8" s="1" t="s">
        <v>25</v>
      </c>
      <c r="F8" s="1" t="s">
        <v>24</v>
      </c>
      <c r="G8" s="1">
        <v>-0.125</v>
      </c>
      <c r="H8" s="15">
        <v>45443.871041666665</v>
      </c>
      <c r="I8" s="2">
        <v>1.9622630554949865</v>
      </c>
      <c r="J8" s="22">
        <v>1.6341581795058149</v>
      </c>
      <c r="K8" s="22">
        <v>0</v>
      </c>
      <c r="L8" s="22">
        <v>105.07095675109369</v>
      </c>
      <c r="N8" s="22">
        <v>6.111680789431119E-3</v>
      </c>
      <c r="O8" s="22">
        <v>3.385730458004594E-2</v>
      </c>
      <c r="P8" s="3">
        <f t="shared" si="1"/>
        <v>1.5308978358125081E-2</v>
      </c>
      <c r="Q8" s="3">
        <f t="shared" si="2"/>
        <v>0</v>
      </c>
      <c r="R8" s="3">
        <f t="shared" si="3"/>
        <v>0.98431658767355323</v>
      </c>
      <c r="S8" s="3">
        <f t="shared" si="4"/>
        <v>5.7254915779000251E-5</v>
      </c>
      <c r="T8" s="4">
        <f t="shared" si="5"/>
        <v>1.0014676551726804</v>
      </c>
      <c r="U8" s="5">
        <f t="shared" si="6"/>
        <v>0</v>
      </c>
      <c r="V8" s="14"/>
      <c r="W8" s="3">
        <f t="shared" si="7"/>
        <v>1.0014676551726804</v>
      </c>
      <c r="X8" s="3">
        <v>0</v>
      </c>
      <c r="Y8">
        <v>105.071</v>
      </c>
      <c r="AB8" s="16"/>
    </row>
    <row r="9" spans="1:28" ht="15.6" x14ac:dyDescent="0.3">
      <c r="A9" s="1" t="s">
        <v>23</v>
      </c>
      <c r="B9" s="1">
        <v>60</v>
      </c>
      <c r="C9" s="12">
        <f>+'Flow rate'!E8</f>
        <v>63.533285999999997</v>
      </c>
      <c r="D9" s="1" t="s">
        <v>27</v>
      </c>
      <c r="E9" s="1" t="s">
        <v>25</v>
      </c>
      <c r="F9" s="1" t="s">
        <v>24</v>
      </c>
      <c r="G9" s="1">
        <v>-0.27</v>
      </c>
      <c r="H9" s="15">
        <v>45443.886666666665</v>
      </c>
      <c r="I9" s="2">
        <v>2.3372630554949865</v>
      </c>
      <c r="J9" s="22">
        <v>3.2224943702883149</v>
      </c>
      <c r="K9" s="22">
        <v>0</v>
      </c>
      <c r="L9" s="22">
        <v>103.35033456900612</v>
      </c>
      <c r="N9" s="22">
        <v>0</v>
      </c>
      <c r="O9" s="22">
        <v>1.4435453881413566E-2</v>
      </c>
      <c r="P9" s="3">
        <f t="shared" si="1"/>
        <v>3.0233390345785361E-2</v>
      </c>
      <c r="Q9" s="3">
        <f t="shared" si="2"/>
        <v>0</v>
      </c>
      <c r="R9" s="3">
        <f t="shared" si="3"/>
        <v>0.96963117645810437</v>
      </c>
      <c r="S9" s="3">
        <f t="shared" si="4"/>
        <v>0</v>
      </c>
      <c r="T9" s="4">
        <f t="shared" si="5"/>
        <v>0.94157881387364051</v>
      </c>
      <c r="U9" s="5">
        <f t="shared" si="6"/>
        <v>0</v>
      </c>
      <c r="V9" s="14"/>
      <c r="W9" s="3">
        <f t="shared" si="7"/>
        <v>0.94157881387364051</v>
      </c>
      <c r="X9" s="3">
        <v>0</v>
      </c>
      <c r="AB9" s="16"/>
    </row>
    <row r="10" spans="1:28" ht="15.6" x14ac:dyDescent="0.3">
      <c r="A10" s="1" t="s">
        <v>23</v>
      </c>
      <c r="B10" s="1">
        <v>60</v>
      </c>
      <c r="C10" s="12">
        <f>+'Flow rate'!E9</f>
        <v>63.664310999999998</v>
      </c>
      <c r="D10" s="1" t="s">
        <v>27</v>
      </c>
      <c r="E10" s="1" t="s">
        <v>25</v>
      </c>
      <c r="F10" s="1" t="s">
        <v>24</v>
      </c>
      <c r="G10" s="1">
        <v>-0.27</v>
      </c>
      <c r="H10" s="15">
        <v>45443.902314814812</v>
      </c>
      <c r="I10" s="2">
        <v>2.7128186110057868</v>
      </c>
      <c r="J10" s="22">
        <v>3.3242812908103847</v>
      </c>
      <c r="K10" s="22">
        <v>0</v>
      </c>
      <c r="L10" s="22">
        <v>103.0879589390662</v>
      </c>
      <c r="N10" s="22">
        <v>0</v>
      </c>
      <c r="O10" s="22">
        <v>1.5834649195141094E-2</v>
      </c>
      <c r="P10" s="3">
        <f t="shared" si="1"/>
        <v>3.1235003494966714E-2</v>
      </c>
      <c r="Q10" s="3">
        <f t="shared" si="2"/>
        <v>0</v>
      </c>
      <c r="R10" s="3">
        <f t="shared" si="3"/>
        <v>0.96861621387213181</v>
      </c>
      <c r="S10" s="3">
        <f t="shared" si="4"/>
        <v>0</v>
      </c>
      <c r="T10" s="4">
        <f t="shared" si="5"/>
        <v>0.97477887982651079</v>
      </c>
      <c r="U10" s="5">
        <f t="shared" si="6"/>
        <v>0</v>
      </c>
      <c r="V10" s="14"/>
      <c r="W10" s="3">
        <f t="shared" si="7"/>
        <v>0.97477887982651079</v>
      </c>
      <c r="X10" s="3">
        <v>0</v>
      </c>
      <c r="Y10">
        <v>103.08799999999999</v>
      </c>
      <c r="AA10" s="16"/>
      <c r="AB10" s="16"/>
    </row>
    <row r="11" spans="1:28" ht="15.6" x14ac:dyDescent="0.3">
      <c r="A11" s="1" t="s">
        <v>23</v>
      </c>
      <c r="B11" s="1">
        <v>60</v>
      </c>
      <c r="C11" s="12">
        <f>+'Flow rate'!E10</f>
        <v>63.458613999999997</v>
      </c>
      <c r="D11" s="1" t="s">
        <v>27</v>
      </c>
      <c r="E11" s="1" t="s">
        <v>25</v>
      </c>
      <c r="F11" s="1" t="s">
        <v>24</v>
      </c>
      <c r="G11" s="1">
        <v>-0.27</v>
      </c>
      <c r="H11" s="15">
        <v>45443.925243055557</v>
      </c>
      <c r="I11" s="2">
        <v>3.2630963888950646</v>
      </c>
      <c r="J11" s="22">
        <v>3.3512282464030836</v>
      </c>
      <c r="K11" s="22">
        <v>0</v>
      </c>
      <c r="L11" s="22">
        <v>103.58233100200485</v>
      </c>
      <c r="N11" s="22">
        <v>0</v>
      </c>
      <c r="O11" s="22">
        <v>1.3753746047731823E-2</v>
      </c>
      <c r="P11" s="3">
        <f t="shared" si="1"/>
        <v>3.1335319724926772E-2</v>
      </c>
      <c r="Q11" s="3">
        <f t="shared" si="2"/>
        <v>0</v>
      </c>
      <c r="R11" s="3">
        <f t="shared" si="3"/>
        <v>0.96853607726801649</v>
      </c>
      <c r="S11" s="3">
        <f t="shared" si="4"/>
        <v>0</v>
      </c>
      <c r="T11" s="4">
        <f t="shared" si="5"/>
        <v>0.97474994971914342</v>
      </c>
      <c r="U11" s="5">
        <f t="shared" si="6"/>
        <v>0</v>
      </c>
      <c r="V11" s="14"/>
      <c r="W11" s="3">
        <f t="shared" si="7"/>
        <v>0.97474994971914342</v>
      </c>
      <c r="X11" s="3">
        <v>0</v>
      </c>
      <c r="AA11" s="16"/>
      <c r="AB11" s="16"/>
    </row>
    <row r="12" spans="1:28" ht="15.6" x14ac:dyDescent="0.3">
      <c r="A12" s="1" t="s">
        <v>23</v>
      </c>
      <c r="B12" s="1">
        <v>60</v>
      </c>
      <c r="C12" s="12">
        <f>+'Flow rate'!E11</f>
        <v>63.347825999999998</v>
      </c>
      <c r="D12" s="1" t="s">
        <v>27</v>
      </c>
      <c r="E12" s="1" t="s">
        <v>25</v>
      </c>
      <c r="F12" s="1" t="s">
        <v>24</v>
      </c>
      <c r="G12" s="1">
        <v>-0.27</v>
      </c>
      <c r="H12" s="15">
        <v>45443.940879629627</v>
      </c>
      <c r="I12" s="2">
        <v>3.6383741665631533</v>
      </c>
      <c r="J12" s="22">
        <v>3.3632652867980286</v>
      </c>
      <c r="K12" s="22">
        <v>0</v>
      </c>
      <c r="L12" s="22">
        <v>103.6564501507283</v>
      </c>
      <c r="N12" s="22">
        <v>1.7593039965729945E-3</v>
      </c>
      <c r="O12" s="22">
        <v>2.6825395127700626E-2</v>
      </c>
      <c r="P12" s="3">
        <f t="shared" si="1"/>
        <v>3.1418203581978527E-2</v>
      </c>
      <c r="Q12" s="3">
        <f t="shared" si="2"/>
        <v>0</v>
      </c>
      <c r="R12" s="3">
        <f t="shared" si="3"/>
        <v>0.96831477023369361</v>
      </c>
      <c r="S12" s="3">
        <f t="shared" si="4"/>
        <v>1.643467476202038E-5</v>
      </c>
      <c r="T12" s="4">
        <f t="shared" si="5"/>
        <v>0.97562197390065508</v>
      </c>
      <c r="U12" s="5">
        <f t="shared" si="6"/>
        <v>0</v>
      </c>
      <c r="V12" s="14"/>
      <c r="W12" s="3">
        <f t="shared" si="7"/>
        <v>0.97562197390065508</v>
      </c>
      <c r="X12" s="3">
        <v>0</v>
      </c>
      <c r="Y12">
        <v>103.65649999999999</v>
      </c>
      <c r="AA12" s="16"/>
      <c r="AB12" s="16"/>
    </row>
    <row r="13" spans="1:28" ht="15.6" x14ac:dyDescent="0.3">
      <c r="A13" s="1" t="s">
        <v>23</v>
      </c>
      <c r="B13" s="1">
        <v>60</v>
      </c>
      <c r="C13" s="12">
        <f>+'Flow rate'!E12</f>
        <v>64.646482000000006</v>
      </c>
      <c r="D13" s="1" t="s">
        <v>27</v>
      </c>
      <c r="E13" s="1" t="s">
        <v>25</v>
      </c>
      <c r="F13" s="1" t="s">
        <v>24</v>
      </c>
      <c r="G13" s="1">
        <v>-0.52</v>
      </c>
      <c r="H13" s="15">
        <v>45443.956493055557</v>
      </c>
      <c r="I13" s="2">
        <v>4.0130963888950646</v>
      </c>
      <c r="J13" s="22">
        <v>3.3604475196066921</v>
      </c>
      <c r="K13" s="22">
        <v>0</v>
      </c>
      <c r="L13" s="22">
        <v>103.56526598308325</v>
      </c>
      <c r="N13" s="22">
        <v>0</v>
      </c>
      <c r="O13" s="22">
        <v>1.0607979313479964E-2</v>
      </c>
      <c r="P13" s="3">
        <f t="shared" si="1"/>
        <v>3.142475328340362E-2</v>
      </c>
      <c r="Q13" s="3">
        <f t="shared" si="2"/>
        <v>0</v>
      </c>
      <c r="R13" s="3">
        <f t="shared" si="3"/>
        <v>0.96847604768705742</v>
      </c>
      <c r="S13" s="3">
        <f t="shared" si="4"/>
        <v>0</v>
      </c>
      <c r="T13" s="4">
        <f t="shared" si="5"/>
        <v>0.51706566723797609</v>
      </c>
      <c r="U13" s="5">
        <f t="shared" si="6"/>
        <v>0</v>
      </c>
      <c r="V13" s="14"/>
      <c r="W13" s="3">
        <f t="shared" si="7"/>
        <v>0.51706566723797609</v>
      </c>
      <c r="X13" s="3">
        <v>0</v>
      </c>
      <c r="AA13" s="16"/>
      <c r="AB13" s="16"/>
    </row>
    <row r="14" spans="1:28" ht="15.6" x14ac:dyDescent="0.3">
      <c r="A14" s="1" t="s">
        <v>23</v>
      </c>
      <c r="B14" s="1">
        <v>60</v>
      </c>
      <c r="C14" s="12">
        <f>+'Flow rate'!E13</f>
        <v>65.777473999999998</v>
      </c>
      <c r="D14" s="1" t="s">
        <v>27</v>
      </c>
      <c r="E14" s="1" t="s">
        <v>25</v>
      </c>
      <c r="F14" s="1" t="s">
        <v>24</v>
      </c>
      <c r="G14" s="1">
        <v>-0.52</v>
      </c>
      <c r="H14" s="15">
        <v>45443.972129629627</v>
      </c>
      <c r="I14" s="2">
        <v>4.3883741665631533</v>
      </c>
      <c r="J14" s="22">
        <v>5.8894148208946238</v>
      </c>
      <c r="K14" s="22">
        <v>0</v>
      </c>
      <c r="L14" s="22">
        <v>100.32179642961091</v>
      </c>
      <c r="N14" s="22">
        <v>1.7421093630287238E-3</v>
      </c>
      <c r="O14" s="22">
        <v>3.2863490568017587E-2</v>
      </c>
      <c r="P14" s="3">
        <f t="shared" si="1"/>
        <v>5.5431968951636171E-2</v>
      </c>
      <c r="Q14" s="3">
        <f t="shared" si="2"/>
        <v>0</v>
      </c>
      <c r="R14" s="3">
        <f t="shared" si="3"/>
        <v>0.94424231846073547</v>
      </c>
      <c r="S14" s="3">
        <f t="shared" si="4"/>
        <v>1.6396968978845638E-5</v>
      </c>
      <c r="T14" s="4">
        <f t="shared" si="5"/>
        <v>0.92803942409876694</v>
      </c>
      <c r="U14" s="5">
        <f t="shared" si="6"/>
        <v>0</v>
      </c>
      <c r="V14" s="14"/>
      <c r="W14" s="3">
        <f t="shared" si="7"/>
        <v>0.92803942409876694</v>
      </c>
      <c r="X14" s="3">
        <v>0</v>
      </c>
      <c r="Y14">
        <v>100.3218</v>
      </c>
      <c r="AA14" s="16"/>
      <c r="AB14" s="16"/>
    </row>
    <row r="15" spans="1:28" ht="15.6" x14ac:dyDescent="0.3">
      <c r="A15" s="1" t="s">
        <v>23</v>
      </c>
      <c r="B15" s="1">
        <v>60</v>
      </c>
      <c r="C15" s="12">
        <f>+'Flow rate'!E14</f>
        <v>65.957442999999998</v>
      </c>
      <c r="D15" s="1" t="s">
        <v>27</v>
      </c>
      <c r="E15" s="1" t="s">
        <v>25</v>
      </c>
      <c r="F15" s="1" t="s">
        <v>24</v>
      </c>
      <c r="G15" s="1">
        <v>-0.52</v>
      </c>
      <c r="H15" s="15">
        <v>45443.987766203703</v>
      </c>
      <c r="I15" s="2">
        <v>4.7636519444058649</v>
      </c>
      <c r="J15" s="22">
        <v>5.9946511607962796</v>
      </c>
      <c r="K15" s="22">
        <v>0</v>
      </c>
      <c r="L15" s="22">
        <v>100.22773178762847</v>
      </c>
      <c r="N15" s="22">
        <v>0</v>
      </c>
      <c r="O15" s="22">
        <v>7.8572941846797115E-3</v>
      </c>
      <c r="P15" s="3">
        <f t="shared" si="1"/>
        <v>5.6430740880427738E-2</v>
      </c>
      <c r="Q15" s="3">
        <f t="shared" si="2"/>
        <v>0</v>
      </c>
      <c r="R15" s="3">
        <f t="shared" si="3"/>
        <v>0.94349529435994517</v>
      </c>
      <c r="S15" s="3">
        <f t="shared" si="4"/>
        <v>0</v>
      </c>
      <c r="T15" s="4">
        <f t="shared" si="5"/>
        <v>0.94734570877780977</v>
      </c>
      <c r="U15" s="5">
        <f t="shared" si="6"/>
        <v>0</v>
      </c>
      <c r="V15" s="14"/>
      <c r="W15" s="3">
        <f t="shared" si="7"/>
        <v>0.94734570877780977</v>
      </c>
      <c r="X15" s="3">
        <v>0</v>
      </c>
      <c r="AA15" s="16"/>
      <c r="AB15" s="16"/>
    </row>
    <row r="16" spans="1:28" ht="15.6" x14ac:dyDescent="0.3">
      <c r="A16" s="1" t="s">
        <v>23</v>
      </c>
      <c r="B16" s="1">
        <v>60</v>
      </c>
      <c r="C16" s="12">
        <f>+'Flow rate'!E15</f>
        <v>65.615140999999994</v>
      </c>
      <c r="D16" s="1" t="s">
        <v>27</v>
      </c>
      <c r="E16" s="1" t="s">
        <v>25</v>
      </c>
      <c r="F16" s="1" t="s">
        <v>24</v>
      </c>
      <c r="G16" s="1">
        <v>-0.52</v>
      </c>
      <c r="H16" s="15">
        <v>45444.00340277778</v>
      </c>
      <c r="I16" s="2">
        <v>5.1389297222485766</v>
      </c>
      <c r="J16" s="22">
        <v>6.0302358313885875</v>
      </c>
      <c r="K16" s="22">
        <v>0</v>
      </c>
      <c r="L16" s="22">
        <v>100.13291326687144</v>
      </c>
      <c r="N16" s="22">
        <v>0</v>
      </c>
      <c r="O16" s="22">
        <v>8.2893268740322351E-3</v>
      </c>
      <c r="P16" s="3">
        <f t="shared" si="1"/>
        <v>5.6797156757377461E-2</v>
      </c>
      <c r="Q16" s="3">
        <f t="shared" si="2"/>
        <v>0</v>
      </c>
      <c r="R16" s="3">
        <f t="shared" si="3"/>
        <v>0.94312476831967729</v>
      </c>
      <c r="S16" s="3">
        <f t="shared" si="4"/>
        <v>0</v>
      </c>
      <c r="T16" s="4">
        <f t="shared" si="5"/>
        <v>0.94854860855251255</v>
      </c>
      <c r="U16" s="5">
        <f t="shared" si="6"/>
        <v>0</v>
      </c>
      <c r="V16" s="14"/>
      <c r="W16" s="3">
        <f t="shared" si="7"/>
        <v>0.94854860855251255</v>
      </c>
      <c r="X16" s="3">
        <v>0</v>
      </c>
      <c r="Y16">
        <v>100.13290000000001</v>
      </c>
      <c r="AA16" s="16"/>
      <c r="AB16" s="16"/>
    </row>
    <row r="17" spans="1:28" ht="15.6" x14ac:dyDescent="0.3">
      <c r="A17" s="1" t="s">
        <v>23</v>
      </c>
      <c r="B17" s="1">
        <v>60</v>
      </c>
      <c r="C17" s="12">
        <f>+'Flow rate'!E16</f>
        <v>65.324658999999997</v>
      </c>
      <c r="D17" s="1" t="s">
        <v>27</v>
      </c>
      <c r="E17" s="1" t="s">
        <v>25</v>
      </c>
      <c r="F17" s="1" t="s">
        <v>24</v>
      </c>
      <c r="G17" s="1">
        <v>-0.52</v>
      </c>
      <c r="H17" s="15">
        <v>45444.01903935185</v>
      </c>
      <c r="I17" s="2">
        <v>5.5142074999166653</v>
      </c>
      <c r="J17" s="22">
        <v>6.0390704769845982</v>
      </c>
      <c r="K17" s="22">
        <v>0</v>
      </c>
      <c r="L17" s="22">
        <v>100.07043081146759</v>
      </c>
      <c r="N17" s="22">
        <v>0</v>
      </c>
      <c r="O17" s="22">
        <v>1.177036457872729E-2</v>
      </c>
      <c r="P17" s="3">
        <f t="shared" si="1"/>
        <v>5.690725697982265E-2</v>
      </c>
      <c r="Q17" s="3">
        <f t="shared" si="2"/>
        <v>0</v>
      </c>
      <c r="R17" s="3">
        <f t="shared" si="3"/>
        <v>0.94298182873885217</v>
      </c>
      <c r="S17" s="3">
        <f t="shared" si="4"/>
        <v>0</v>
      </c>
      <c r="T17" s="4">
        <f t="shared" si="5"/>
        <v>0.9461799328030045</v>
      </c>
      <c r="U17" s="5">
        <f t="shared" si="6"/>
        <v>0</v>
      </c>
      <c r="V17" s="14"/>
      <c r="W17" s="3">
        <f t="shared" si="7"/>
        <v>0.9461799328030045</v>
      </c>
      <c r="X17" s="3">
        <v>0</v>
      </c>
      <c r="AA17" s="16"/>
      <c r="AB17" s="16"/>
    </row>
    <row r="18" spans="1:28" ht="15.6" x14ac:dyDescent="0.3">
      <c r="A18" s="1" t="s">
        <v>23</v>
      </c>
      <c r="B18" s="1">
        <v>60</v>
      </c>
      <c r="C18" s="12">
        <f>+'Flow rate'!E17</f>
        <v>65.369837000000004</v>
      </c>
      <c r="D18" s="1" t="s">
        <v>27</v>
      </c>
      <c r="E18" s="1" t="s">
        <v>25</v>
      </c>
      <c r="F18" s="1" t="s">
        <v>24</v>
      </c>
      <c r="G18" s="1">
        <v>-0.52</v>
      </c>
      <c r="H18" s="15">
        <v>45444.03466435185</v>
      </c>
      <c r="I18" s="2">
        <v>5.8892074999166653</v>
      </c>
      <c r="J18" s="22">
        <v>6.0512652574372865</v>
      </c>
      <c r="K18" s="22">
        <v>0</v>
      </c>
      <c r="L18" s="22">
        <v>100.07371183773064</v>
      </c>
      <c r="N18" s="22">
        <v>0</v>
      </c>
      <c r="O18" s="22">
        <v>7.0294418805120747E-3</v>
      </c>
      <c r="P18" s="3">
        <f t="shared" si="1"/>
        <v>5.7016403014343436E-2</v>
      </c>
      <c r="Q18" s="3">
        <f t="shared" si="2"/>
        <v>0</v>
      </c>
      <c r="R18" s="3">
        <f t="shared" si="3"/>
        <v>0.9429173639791405</v>
      </c>
      <c r="S18" s="3">
        <f t="shared" si="4"/>
        <v>0</v>
      </c>
      <c r="T18" s="4">
        <f t="shared" si="5"/>
        <v>0.94865029662080436</v>
      </c>
      <c r="U18" s="5">
        <f t="shared" si="6"/>
        <v>0</v>
      </c>
      <c r="V18" s="14"/>
      <c r="W18" s="3">
        <f t="shared" si="7"/>
        <v>0.94865029662080436</v>
      </c>
      <c r="X18" s="3">
        <v>0</v>
      </c>
      <c r="Y18">
        <v>100.0737</v>
      </c>
      <c r="AA18" s="16"/>
      <c r="AB18" s="16"/>
    </row>
    <row r="19" spans="1:28" ht="15.6" x14ac:dyDescent="0.3">
      <c r="A19" s="1" t="s">
        <v>23</v>
      </c>
      <c r="B19" s="1">
        <v>60</v>
      </c>
      <c r="C19" s="12">
        <f>+'Flow rate'!E18</f>
        <v>67.931335000000004</v>
      </c>
      <c r="D19" s="1" t="s">
        <v>27</v>
      </c>
      <c r="E19" s="1" t="s">
        <v>25</v>
      </c>
      <c r="F19" s="1" t="s">
        <v>24</v>
      </c>
      <c r="G19" s="1">
        <v>-0.77</v>
      </c>
      <c r="H19" s="15">
        <v>45444.057592592595</v>
      </c>
      <c r="I19" s="2">
        <v>6.439485277805943</v>
      </c>
      <c r="J19" s="22">
        <v>8.5433352132189473</v>
      </c>
      <c r="K19" s="22">
        <v>0</v>
      </c>
      <c r="L19" s="22">
        <v>97.000987988642791</v>
      </c>
      <c r="N19" s="22">
        <v>0</v>
      </c>
      <c r="O19" s="22">
        <v>7.6171186767206682E-3</v>
      </c>
      <c r="P19" s="3">
        <f t="shared" si="1"/>
        <v>8.0939632064315273E-2</v>
      </c>
      <c r="Q19" s="3">
        <f t="shared" si="2"/>
        <v>0</v>
      </c>
      <c r="R19" s="3">
        <f t="shared" si="3"/>
        <v>0.91898820328713737</v>
      </c>
      <c r="S19" s="3">
        <f t="shared" si="4"/>
        <v>0</v>
      </c>
      <c r="T19" s="4">
        <f t="shared" si="5"/>
        <v>0.94508946712804254</v>
      </c>
      <c r="U19" s="5">
        <f t="shared" si="6"/>
        <v>0</v>
      </c>
      <c r="V19" s="14"/>
      <c r="W19" s="3">
        <f t="shared" si="7"/>
        <v>0.94508946712804254</v>
      </c>
      <c r="X19" s="3">
        <v>0</v>
      </c>
      <c r="AA19" s="16"/>
      <c r="AB19" s="16"/>
    </row>
    <row r="20" spans="1:28" ht="15.6" x14ac:dyDescent="0.3">
      <c r="A20" s="1" t="s">
        <v>23</v>
      </c>
      <c r="B20" s="1">
        <v>60</v>
      </c>
      <c r="C20" s="12">
        <f>+'Flow rate'!E19</f>
        <v>67.372111000000004</v>
      </c>
      <c r="D20" s="1" t="s">
        <v>27</v>
      </c>
      <c r="E20" s="1" t="s">
        <v>25</v>
      </c>
      <c r="F20" s="1" t="s">
        <v>24</v>
      </c>
      <c r="G20" s="1">
        <v>-0.77</v>
      </c>
      <c r="H20" s="15">
        <v>45444.073229166665</v>
      </c>
      <c r="I20" s="2">
        <v>6.8147630554740317</v>
      </c>
      <c r="J20" s="22">
        <v>8.6366320488578943</v>
      </c>
      <c r="K20" s="22">
        <v>0</v>
      </c>
      <c r="L20" s="22">
        <v>96.79336390035462</v>
      </c>
      <c r="N20" s="22">
        <v>0</v>
      </c>
      <c r="O20" s="22">
        <v>7.6843067244454378E-3</v>
      </c>
      <c r="P20" s="3">
        <f t="shared" si="1"/>
        <v>8.1912197118653746E-2</v>
      </c>
      <c r="Q20" s="3">
        <f t="shared" si="2"/>
        <v>0</v>
      </c>
      <c r="R20" s="3">
        <f t="shared" si="3"/>
        <v>0.91801492279990116</v>
      </c>
      <c r="S20" s="3">
        <f t="shared" si="4"/>
        <v>0</v>
      </c>
      <c r="T20" s="4">
        <f t="shared" si="5"/>
        <v>0.94857195047614173</v>
      </c>
      <c r="U20" s="5">
        <f t="shared" si="6"/>
        <v>0</v>
      </c>
      <c r="V20" s="14"/>
      <c r="W20" s="3">
        <f t="shared" si="7"/>
        <v>0.94857195047614173</v>
      </c>
      <c r="X20" s="3">
        <v>0</v>
      </c>
      <c r="Y20">
        <v>96.793400000000005</v>
      </c>
      <c r="AA20" s="16"/>
      <c r="AB20" s="16"/>
    </row>
    <row r="21" spans="1:28" ht="15.6" x14ac:dyDescent="0.3">
      <c r="A21" s="1" t="s">
        <v>23</v>
      </c>
      <c r="B21" s="1">
        <v>60</v>
      </c>
      <c r="C21" s="12">
        <f>+'Flow rate'!E20</f>
        <v>67.604690000000005</v>
      </c>
      <c r="D21" s="1" t="s">
        <v>27</v>
      </c>
      <c r="E21" s="1" t="s">
        <v>25</v>
      </c>
      <c r="F21" s="1" t="s">
        <v>24</v>
      </c>
      <c r="G21" s="1">
        <v>-0.77</v>
      </c>
      <c r="H21" s="15">
        <v>45444.088842592595</v>
      </c>
      <c r="I21" s="2">
        <v>7.189485277805943</v>
      </c>
      <c r="J21" s="22">
        <v>8.6384695948225119</v>
      </c>
      <c r="K21" s="22">
        <v>0</v>
      </c>
      <c r="L21" s="22">
        <v>96.648916262157712</v>
      </c>
      <c r="N21" s="22">
        <v>0</v>
      </c>
      <c r="O21" s="22">
        <v>7.1260790972211647E-3</v>
      </c>
      <c r="P21" s="3">
        <f t="shared" si="1"/>
        <v>8.2041024133022084E-2</v>
      </c>
      <c r="Q21" s="3">
        <f t="shared" si="2"/>
        <v>0</v>
      </c>
      <c r="R21" s="3">
        <f t="shared" si="3"/>
        <v>0.91789129827423177</v>
      </c>
      <c r="S21" s="3">
        <f t="shared" si="4"/>
        <v>0</v>
      </c>
      <c r="T21" s="4">
        <f t="shared" si="5"/>
        <v>0.95334358041830403</v>
      </c>
      <c r="U21" s="5">
        <f t="shared" si="6"/>
        <v>0</v>
      </c>
      <c r="V21" s="14"/>
      <c r="W21" s="3">
        <f t="shared" si="7"/>
        <v>0.95334358041830403</v>
      </c>
      <c r="X21" s="3">
        <v>0</v>
      </c>
      <c r="AA21" s="16"/>
      <c r="AB21" s="16"/>
    </row>
    <row r="22" spans="1:28" ht="15.6" x14ac:dyDescent="0.3">
      <c r="A22" s="1" t="s">
        <v>23</v>
      </c>
      <c r="B22" s="1">
        <v>60</v>
      </c>
      <c r="C22" s="12">
        <f>+'Flow rate'!E21</f>
        <v>67.366549000000006</v>
      </c>
      <c r="D22" s="1" t="s">
        <v>27</v>
      </c>
      <c r="E22" s="1" t="s">
        <v>25</v>
      </c>
      <c r="F22" s="1" t="s">
        <v>24</v>
      </c>
      <c r="G22" s="1">
        <v>-0.77</v>
      </c>
      <c r="H22" s="15">
        <v>45444.104490740741</v>
      </c>
      <c r="I22" s="2">
        <v>7.5650408333167434</v>
      </c>
      <c r="J22" s="22">
        <v>8.6617589629197251</v>
      </c>
      <c r="K22" s="22">
        <v>0</v>
      </c>
      <c r="L22" s="22">
        <v>96.7171636088394</v>
      </c>
      <c r="N22" s="22">
        <v>0</v>
      </c>
      <c r="O22" s="22">
        <v>5.7170976874867351E-3</v>
      </c>
      <c r="P22" s="3">
        <f t="shared" si="1"/>
        <v>8.2191854430479827E-2</v>
      </c>
      <c r="Q22" s="3">
        <f t="shared" si="2"/>
        <v>0</v>
      </c>
      <c r="R22" s="3">
        <f t="shared" si="3"/>
        <v>0.91775389574995059</v>
      </c>
      <c r="S22" s="3">
        <f t="shared" si="4"/>
        <v>0</v>
      </c>
      <c r="T22" s="4">
        <f t="shared" si="5"/>
        <v>0.95173190209720482</v>
      </c>
      <c r="U22" s="5">
        <f t="shared" si="6"/>
        <v>0</v>
      </c>
      <c r="V22" s="14"/>
      <c r="W22" s="3">
        <f t="shared" si="7"/>
        <v>0.95173190209720482</v>
      </c>
      <c r="X22" s="3">
        <v>0</v>
      </c>
      <c r="Y22">
        <v>96.717200000000005</v>
      </c>
      <c r="AA22" s="16"/>
      <c r="AB22" s="16"/>
    </row>
    <row r="23" spans="1:28" ht="15.6" x14ac:dyDescent="0.3">
      <c r="A23" s="1" t="s">
        <v>23</v>
      </c>
      <c r="B23" s="1">
        <v>60</v>
      </c>
      <c r="C23" s="12">
        <f>+'Flow rate'!E22</f>
        <v>67.288673000000003</v>
      </c>
      <c r="D23" s="1" t="s">
        <v>27</v>
      </c>
      <c r="E23" s="1" t="s">
        <v>25</v>
      </c>
      <c r="F23" s="1" t="s">
        <v>24</v>
      </c>
      <c r="G23" s="1">
        <v>-0.77</v>
      </c>
      <c r="H23" s="15">
        <v>45444.120127314818</v>
      </c>
      <c r="I23" s="2">
        <v>7.940318611159455</v>
      </c>
      <c r="J23" s="22">
        <v>8.6630197980125736</v>
      </c>
      <c r="K23" s="22">
        <v>0</v>
      </c>
      <c r="L23" s="22">
        <v>96.741525099031861</v>
      </c>
      <c r="N23" s="22">
        <v>0</v>
      </c>
      <c r="O23" s="22">
        <v>1.1117892676308985E-2</v>
      </c>
      <c r="P23" s="3">
        <f t="shared" si="1"/>
        <v>8.2179626525644908E-2</v>
      </c>
      <c r="Q23" s="3">
        <f t="shared" si="2"/>
        <v>0</v>
      </c>
      <c r="R23" s="3">
        <f t="shared" si="3"/>
        <v>0.91771490629441155</v>
      </c>
      <c r="S23" s="3">
        <f t="shared" si="4"/>
        <v>0</v>
      </c>
      <c r="T23" s="4">
        <f t="shared" si="5"/>
        <v>0.95049026816037718</v>
      </c>
      <c r="U23" s="5">
        <f t="shared" si="6"/>
        <v>0</v>
      </c>
      <c r="V23" s="14"/>
      <c r="W23" s="3">
        <f t="shared" si="7"/>
        <v>0.95049026816037718</v>
      </c>
      <c r="X23" s="3">
        <v>0</v>
      </c>
      <c r="AA23" s="16"/>
      <c r="AB23" s="16"/>
    </row>
    <row r="24" spans="1:28" ht="15.6" x14ac:dyDescent="0.3">
      <c r="A24" s="1" t="s">
        <v>23</v>
      </c>
      <c r="B24" s="1">
        <v>60</v>
      </c>
      <c r="C24" s="12">
        <f>+'Flow rate'!E23</f>
        <v>69.794351000000006</v>
      </c>
      <c r="D24" s="1" t="s">
        <v>27</v>
      </c>
      <c r="E24" s="1" t="s">
        <v>25</v>
      </c>
      <c r="F24" s="1" t="s">
        <v>24</v>
      </c>
      <c r="G24" s="1">
        <v>-1.1000000000000001</v>
      </c>
      <c r="H24" s="15">
        <v>45444.135752314818</v>
      </c>
      <c r="I24" s="2">
        <v>8.315318611159455</v>
      </c>
      <c r="J24" s="22">
        <v>10.934594703690205</v>
      </c>
      <c r="K24" s="22">
        <v>0</v>
      </c>
      <c r="L24" s="22">
        <v>93.904725883062767</v>
      </c>
      <c r="N24" s="22">
        <v>0</v>
      </c>
      <c r="O24" s="22">
        <v>3.3936743447846047E-3</v>
      </c>
      <c r="P24" s="3">
        <f t="shared" si="1"/>
        <v>0.10429522719584458</v>
      </c>
      <c r="Q24" s="3">
        <f t="shared" si="2"/>
        <v>0</v>
      </c>
      <c r="R24" s="3">
        <f t="shared" si="3"/>
        <v>0.8956724036083682</v>
      </c>
      <c r="S24" s="3">
        <f t="shared" si="4"/>
        <v>0</v>
      </c>
      <c r="T24" s="4">
        <f t="shared" si="5"/>
        <v>0.87583903137158492</v>
      </c>
      <c r="U24" s="5">
        <f t="shared" si="6"/>
        <v>0</v>
      </c>
      <c r="V24" s="14"/>
      <c r="W24" s="3">
        <f t="shared" si="7"/>
        <v>0.87583903137158492</v>
      </c>
      <c r="X24" s="3">
        <v>0</v>
      </c>
      <c r="Y24">
        <v>93.904700000000005</v>
      </c>
      <c r="AA24" s="16"/>
      <c r="AB24" s="16"/>
    </row>
    <row r="25" spans="1:28" ht="15.6" x14ac:dyDescent="0.3">
      <c r="A25" s="1" t="s">
        <v>23</v>
      </c>
      <c r="B25" s="1">
        <v>60</v>
      </c>
      <c r="C25" s="12">
        <f>+'Flow rate'!E24</f>
        <v>69.541417999999993</v>
      </c>
      <c r="D25" s="1" t="s">
        <v>27</v>
      </c>
      <c r="E25" s="1" t="s">
        <v>25</v>
      </c>
      <c r="F25" s="1" t="s">
        <v>24</v>
      </c>
      <c r="G25" s="1">
        <v>-1.1000000000000001</v>
      </c>
      <c r="H25" s="15">
        <v>45444.151377314818</v>
      </c>
      <c r="I25" s="2">
        <v>8.690318611159455</v>
      </c>
      <c r="J25" s="22">
        <v>11.089262398644887</v>
      </c>
      <c r="K25" s="22">
        <v>0</v>
      </c>
      <c r="L25" s="22">
        <v>93.712578171780663</v>
      </c>
      <c r="N25" s="22">
        <v>0</v>
      </c>
      <c r="O25" s="22">
        <v>4.7616370222529512E-3</v>
      </c>
      <c r="P25" s="3">
        <f t="shared" si="1"/>
        <v>0.1058069068654232</v>
      </c>
      <c r="Q25" s="3">
        <f t="shared" si="2"/>
        <v>0</v>
      </c>
      <c r="R25" s="3">
        <f t="shared" si="3"/>
        <v>0.89414766052897787</v>
      </c>
      <c r="S25" s="3">
        <f t="shared" si="4"/>
        <v>0</v>
      </c>
      <c r="T25" s="4">
        <f>+P25*C25/1000/60/24.3*2*96485/-1/G25</f>
        <v>0.88531362532089775</v>
      </c>
      <c r="U25" s="5">
        <f t="shared" si="6"/>
        <v>0</v>
      </c>
      <c r="V25" s="14"/>
      <c r="W25" s="3">
        <f t="shared" si="7"/>
        <v>0.88531362532089775</v>
      </c>
      <c r="X25" s="3">
        <v>0</v>
      </c>
      <c r="AA25" s="16"/>
      <c r="AB25" s="16"/>
    </row>
    <row r="26" spans="1:28" ht="15.6" x14ac:dyDescent="0.3">
      <c r="A26" s="1" t="s">
        <v>23</v>
      </c>
      <c r="B26" s="1">
        <v>60</v>
      </c>
      <c r="C26" s="12">
        <f>+'Flow rate'!E25</f>
        <v>69.496482</v>
      </c>
      <c r="D26" s="1" t="s">
        <v>27</v>
      </c>
      <c r="E26" s="1" t="s">
        <v>25</v>
      </c>
      <c r="F26" s="1" t="s">
        <v>24</v>
      </c>
      <c r="G26" s="1">
        <v>-1.1000000000000001</v>
      </c>
      <c r="H26" s="15">
        <v>45444.167025462964</v>
      </c>
      <c r="I26" s="2">
        <v>9.0658741666702554</v>
      </c>
      <c r="J26" s="22">
        <v>11.117909116392276</v>
      </c>
      <c r="K26" s="22">
        <v>0</v>
      </c>
      <c r="L26" s="22">
        <v>93.636678439496791</v>
      </c>
      <c r="N26" s="22">
        <v>0</v>
      </c>
      <c r="O26" s="22">
        <v>5.800209784153779E-3</v>
      </c>
      <c r="P26" s="3">
        <f t="shared" si="1"/>
        <v>0.10612703287487521</v>
      </c>
      <c r="Q26" s="3">
        <f t="shared" si="2"/>
        <v>0</v>
      </c>
      <c r="R26" s="3">
        <f t="shared" si="3"/>
        <v>0.89381760068454685</v>
      </c>
      <c r="S26" s="3">
        <f t="shared" si="4"/>
        <v>0</v>
      </c>
      <c r="T26" s="4">
        <f t="shared" si="5"/>
        <v>0.8874184027361407</v>
      </c>
      <c r="U26" s="5">
        <f t="shared" si="6"/>
        <v>0</v>
      </c>
      <c r="V26" s="14"/>
      <c r="W26" s="3">
        <f t="shared" si="7"/>
        <v>0.8874184027361407</v>
      </c>
      <c r="X26" s="3">
        <v>0</v>
      </c>
      <c r="Y26">
        <v>93.636700000000005</v>
      </c>
      <c r="AA26" s="16"/>
      <c r="AB26" s="16"/>
    </row>
    <row r="27" spans="1:28" ht="15.6" x14ac:dyDescent="0.3">
      <c r="A27" s="1" t="s">
        <v>23</v>
      </c>
      <c r="B27" s="1">
        <v>60</v>
      </c>
      <c r="C27" s="12">
        <f>+'Flow rate'!E26</f>
        <v>69.176687000000001</v>
      </c>
      <c r="D27" s="1" t="s">
        <v>27</v>
      </c>
      <c r="E27" s="1" t="s">
        <v>25</v>
      </c>
      <c r="F27" s="1" t="s">
        <v>24</v>
      </c>
      <c r="G27" s="1">
        <v>-1.1000000000000001</v>
      </c>
      <c r="H27" s="15">
        <v>45444.189953703702</v>
      </c>
      <c r="I27" s="2">
        <v>9.6161519443849102</v>
      </c>
      <c r="J27" s="22">
        <v>11.154407598636105</v>
      </c>
      <c r="K27" s="22">
        <v>0</v>
      </c>
      <c r="L27" s="22">
        <v>93.67685094223566</v>
      </c>
      <c r="N27" s="22">
        <v>0</v>
      </c>
      <c r="O27" s="22">
        <v>6.3052088509291315E-3</v>
      </c>
      <c r="P27" s="3">
        <f t="shared" si="1"/>
        <v>0.10639705082488249</v>
      </c>
      <c r="Q27" s="3">
        <f t="shared" si="2"/>
        <v>0</v>
      </c>
      <c r="R27" s="3">
        <f t="shared" si="3"/>
        <v>0.89354280652561835</v>
      </c>
      <c r="S27" s="3">
        <f t="shared" si="4"/>
        <v>0</v>
      </c>
      <c r="T27" s="4">
        <f t="shared" si="5"/>
        <v>0.88558231842141577</v>
      </c>
      <c r="U27" s="5">
        <f t="shared" si="6"/>
        <v>0</v>
      </c>
      <c r="V27" s="14"/>
      <c r="W27" s="3">
        <f t="shared" si="7"/>
        <v>0.88558231842141577</v>
      </c>
      <c r="X27" s="3">
        <v>0</v>
      </c>
      <c r="AA27" s="16"/>
      <c r="AB27" s="16"/>
    </row>
    <row r="28" spans="1:28" ht="15.6" x14ac:dyDescent="0.3">
      <c r="A28" s="1" t="s">
        <v>23</v>
      </c>
      <c r="B28" s="1">
        <v>60</v>
      </c>
      <c r="C28" s="12">
        <f>+'Flow rate'!E27</f>
        <v>69.495429999999999</v>
      </c>
      <c r="D28" s="1" t="s">
        <v>27</v>
      </c>
      <c r="E28" s="1" t="s">
        <v>25</v>
      </c>
      <c r="F28" s="1" t="s">
        <v>24</v>
      </c>
      <c r="G28" s="1">
        <v>-1.1000000000000001</v>
      </c>
      <c r="H28" s="15">
        <v>45444.200370370374</v>
      </c>
      <c r="I28" s="2">
        <v>9.8661519445013255</v>
      </c>
      <c r="J28" s="22">
        <v>11.153991335389552</v>
      </c>
      <c r="K28" s="22">
        <v>0</v>
      </c>
      <c r="L28" s="22">
        <v>93.389434757022201</v>
      </c>
      <c r="N28" s="22">
        <v>0</v>
      </c>
      <c r="O28" s="22">
        <v>0</v>
      </c>
      <c r="P28" s="3">
        <f t="shared" si="1"/>
        <v>0.10669242201350776</v>
      </c>
      <c r="Q28" s="3">
        <f t="shared" si="2"/>
        <v>0</v>
      </c>
      <c r="R28" s="3">
        <f t="shared" si="3"/>
        <v>0.8933075779864923</v>
      </c>
      <c r="S28" s="3">
        <f t="shared" si="4"/>
        <v>0</v>
      </c>
      <c r="T28" s="4">
        <f t="shared" si="5"/>
        <v>0.8921325974701827</v>
      </c>
      <c r="U28" s="5">
        <f t="shared" si="6"/>
        <v>0</v>
      </c>
      <c r="V28" s="14"/>
      <c r="W28" s="3">
        <f t="shared" si="7"/>
        <v>0.8921325974701827</v>
      </c>
      <c r="X28" s="3">
        <v>0</v>
      </c>
      <c r="Y28">
        <v>93.389399999999995</v>
      </c>
      <c r="AA28" s="16"/>
      <c r="AB28" s="16"/>
    </row>
    <row r="29" spans="1:28" ht="15.6" x14ac:dyDescent="0.3">
      <c r="A29" s="1" t="s">
        <v>23</v>
      </c>
      <c r="B29" s="1">
        <v>60</v>
      </c>
      <c r="C29" s="12">
        <f>+'Flow rate'!E28</f>
        <v>75.031047999999998</v>
      </c>
      <c r="D29" s="1" t="s">
        <v>27</v>
      </c>
      <c r="E29" s="1" t="s">
        <v>25</v>
      </c>
      <c r="F29" s="1" t="s">
        <v>24</v>
      </c>
      <c r="G29" s="1">
        <v>-1.52</v>
      </c>
      <c r="H29" s="15">
        <v>45444.210798611108</v>
      </c>
      <c r="I29" s="2">
        <v>10.116429722111207</v>
      </c>
      <c r="J29" s="22">
        <v>13.507475281590155</v>
      </c>
      <c r="K29" s="22">
        <v>0</v>
      </c>
      <c r="L29" s="22">
        <v>90.648686015299788</v>
      </c>
      <c r="N29" s="22">
        <v>2.0798506676938305E-2</v>
      </c>
      <c r="O29" s="22">
        <v>0</v>
      </c>
      <c r="P29" s="3">
        <f t="shared" si="1"/>
        <v>0.12965895056891147</v>
      </c>
      <c r="Q29" s="3">
        <f t="shared" si="2"/>
        <v>0</v>
      </c>
      <c r="R29" s="3">
        <f t="shared" si="3"/>
        <v>0.87014140349482627</v>
      </c>
      <c r="S29" s="3">
        <f t="shared" si="4"/>
        <v>1.9964593626225393E-4</v>
      </c>
      <c r="T29" s="4">
        <f t="shared" si="5"/>
        <v>0.84709515862503271</v>
      </c>
      <c r="U29" s="5">
        <f t="shared" si="6"/>
        <v>0</v>
      </c>
      <c r="V29" s="14"/>
      <c r="W29" s="3">
        <f t="shared" si="7"/>
        <v>0.84709515862503271</v>
      </c>
      <c r="X29" s="3">
        <v>0</v>
      </c>
      <c r="AA29" s="16"/>
      <c r="AB29" s="16"/>
    </row>
    <row r="30" spans="1:28" ht="15.6" x14ac:dyDescent="0.3">
      <c r="A30" s="1" t="s">
        <v>23</v>
      </c>
      <c r="B30" s="1">
        <v>60</v>
      </c>
      <c r="C30" s="12">
        <f>+'Flow rate'!E29</f>
        <v>74.082650999999998</v>
      </c>
      <c r="D30" s="1" t="s">
        <v>27</v>
      </c>
      <c r="E30" s="1" t="s">
        <v>25</v>
      </c>
      <c r="F30" s="1" t="s">
        <v>24</v>
      </c>
      <c r="G30" s="1">
        <v>-1.52</v>
      </c>
      <c r="H30" s="15">
        <v>45444.221226851849</v>
      </c>
      <c r="I30" s="2">
        <v>10.36670749989571</v>
      </c>
      <c r="J30" s="22">
        <v>15.470259111224729</v>
      </c>
      <c r="K30" s="22">
        <v>0</v>
      </c>
      <c r="L30" s="22">
        <v>88.294408672391327</v>
      </c>
      <c r="N30" s="22">
        <v>3.5609133925962252E-2</v>
      </c>
      <c r="O30" s="22">
        <v>0</v>
      </c>
      <c r="P30" s="3">
        <f t="shared" si="1"/>
        <v>0.14903870751244874</v>
      </c>
      <c r="Q30" s="3">
        <f t="shared" si="2"/>
        <v>0</v>
      </c>
      <c r="R30" s="3">
        <f t="shared" si="3"/>
        <v>0.85061823816261672</v>
      </c>
      <c r="S30" s="3">
        <f t="shared" si="4"/>
        <v>3.4305432493450684E-4</v>
      </c>
      <c r="T30" s="4">
        <f t="shared" si="5"/>
        <v>0.96140034901432592</v>
      </c>
      <c r="U30" s="5">
        <f t="shared" si="6"/>
        <v>0</v>
      </c>
      <c r="V30" s="14"/>
      <c r="W30" s="3">
        <f t="shared" si="7"/>
        <v>0.96140034901432592</v>
      </c>
      <c r="X30" s="3">
        <v>0</v>
      </c>
      <c r="Y30">
        <v>88.294399999999996</v>
      </c>
      <c r="AA30" s="16"/>
      <c r="AB30" s="16"/>
    </row>
    <row r="31" spans="1:28" ht="15.6" x14ac:dyDescent="0.3">
      <c r="A31" s="1" t="s">
        <v>23</v>
      </c>
      <c r="B31" s="1">
        <v>60</v>
      </c>
      <c r="C31" s="12">
        <f>+'Flow rate'!E30</f>
        <v>74.129110999999995</v>
      </c>
      <c r="D31" s="1" t="s">
        <v>27</v>
      </c>
      <c r="E31" s="1" t="s">
        <v>25</v>
      </c>
      <c r="F31" s="1" t="s">
        <v>24</v>
      </c>
      <c r="G31" s="1">
        <v>-1.52</v>
      </c>
      <c r="H31" s="15">
        <v>45444.23165509259</v>
      </c>
      <c r="I31" s="2">
        <v>10.616985277680214</v>
      </c>
      <c r="J31" s="22">
        <v>15.637951954719515</v>
      </c>
      <c r="K31" s="22">
        <v>0</v>
      </c>
      <c r="L31" s="22">
        <v>88.100821372157299</v>
      </c>
      <c r="N31" s="22">
        <v>3.4692244915189678E-2</v>
      </c>
      <c r="O31" s="22">
        <v>0</v>
      </c>
      <c r="P31" s="3">
        <f t="shared" si="1"/>
        <v>0.15069316485244438</v>
      </c>
      <c r="Q31" s="3">
        <f t="shared" si="2"/>
        <v>0</v>
      </c>
      <c r="R31" s="3">
        <f t="shared" si="3"/>
        <v>0.84897252767575604</v>
      </c>
      <c r="S31" s="3">
        <f t="shared" si="4"/>
        <v>3.3430747179961023E-4</v>
      </c>
      <c r="T31" s="4">
        <f t="shared" si="5"/>
        <v>0.97268233969446438</v>
      </c>
      <c r="U31" s="5">
        <f t="shared" si="6"/>
        <v>0</v>
      </c>
      <c r="V31" s="14"/>
      <c r="W31" s="3">
        <f t="shared" si="7"/>
        <v>0.97268233969446438</v>
      </c>
      <c r="X31" s="3">
        <v>0</v>
      </c>
      <c r="AA31" s="16"/>
      <c r="AB31" s="16"/>
    </row>
    <row r="32" spans="1:28" ht="15.6" x14ac:dyDescent="0.3">
      <c r="A32" s="1" t="s">
        <v>23</v>
      </c>
      <c r="B32" s="1">
        <v>60</v>
      </c>
      <c r="C32" s="12">
        <f>+'Flow rate'!E31</f>
        <v>73.810473000000002</v>
      </c>
      <c r="D32" s="1" t="s">
        <v>27</v>
      </c>
      <c r="E32" s="1" t="s">
        <v>25</v>
      </c>
      <c r="F32" s="1" t="s">
        <v>24</v>
      </c>
      <c r="G32" s="1">
        <v>-1.52</v>
      </c>
      <c r="H32" s="15">
        <v>45444.242083333331</v>
      </c>
      <c r="I32" s="2">
        <v>10.867263055464718</v>
      </c>
      <c r="J32" s="22">
        <v>15.687298287348204</v>
      </c>
      <c r="K32" s="22">
        <v>0</v>
      </c>
      <c r="L32" s="22">
        <v>88.012184552917574</v>
      </c>
      <c r="N32" s="22">
        <v>3.7026446064704656E-2</v>
      </c>
      <c r="O32" s="22">
        <v>0</v>
      </c>
      <c r="P32" s="3">
        <f t="shared" si="1"/>
        <v>0.15122253867294283</v>
      </c>
      <c r="Q32" s="3">
        <f t="shared" si="2"/>
        <v>0</v>
      </c>
      <c r="R32" s="3">
        <f t="shared" si="3"/>
        <v>0.84842053350753222</v>
      </c>
      <c r="S32" s="3">
        <f t="shared" si="4"/>
        <v>3.5692781952499815E-4</v>
      </c>
      <c r="T32" s="4">
        <f t="shared" si="5"/>
        <v>0.97190361597309505</v>
      </c>
      <c r="U32" s="5">
        <f t="shared" si="6"/>
        <v>0</v>
      </c>
      <c r="V32" s="14"/>
      <c r="W32" s="3">
        <f t="shared" si="7"/>
        <v>0.97190361597309505</v>
      </c>
      <c r="X32" s="3">
        <v>0</v>
      </c>
      <c r="Y32">
        <v>88.012200000000007</v>
      </c>
      <c r="AA32" s="16"/>
      <c r="AB32" s="16"/>
    </row>
    <row r="33" spans="1:28" ht="15.6" x14ac:dyDescent="0.3">
      <c r="A33" s="1" t="s">
        <v>23</v>
      </c>
      <c r="B33" s="1">
        <v>60</v>
      </c>
      <c r="C33" s="12">
        <f>+'Flow rate'!E32</f>
        <v>73.614520999999996</v>
      </c>
      <c r="D33" s="1" t="s">
        <v>27</v>
      </c>
      <c r="E33" s="1" t="s">
        <v>25</v>
      </c>
      <c r="F33" s="1" t="s">
        <v>24</v>
      </c>
      <c r="G33" s="1">
        <v>-1.52</v>
      </c>
      <c r="H33" s="15">
        <v>45444.252500000002</v>
      </c>
      <c r="I33" s="2">
        <v>11.117263055581134</v>
      </c>
      <c r="J33" s="22">
        <v>15.729404273677618</v>
      </c>
      <c r="K33" s="22">
        <v>0</v>
      </c>
      <c r="L33" s="22">
        <v>87.978481695935258</v>
      </c>
      <c r="N33" s="22">
        <v>3.4619197368547822E-2</v>
      </c>
      <c r="O33" s="22">
        <v>0</v>
      </c>
      <c r="P33" s="3">
        <f t="shared" si="1"/>
        <v>0.15161966879785629</v>
      </c>
      <c r="Q33" s="3">
        <f t="shared" si="2"/>
        <v>0</v>
      </c>
      <c r="R33" s="3">
        <f t="shared" si="3"/>
        <v>0.84804662808486486</v>
      </c>
      <c r="S33" s="3">
        <f t="shared" si="4"/>
        <v>3.3370311727893599E-4</v>
      </c>
      <c r="T33" s="4">
        <f t="shared" si="5"/>
        <v>0.9718689766166051</v>
      </c>
      <c r="U33" s="5">
        <f t="shared" si="6"/>
        <v>0</v>
      </c>
      <c r="V33" s="14"/>
      <c r="W33" s="3">
        <f t="shared" si="7"/>
        <v>0.9718689766166051</v>
      </c>
      <c r="X33" s="3">
        <v>0</v>
      </c>
      <c r="AA33" s="16"/>
      <c r="AB33" s="16"/>
    </row>
    <row r="34" spans="1:28" ht="15.6" x14ac:dyDescent="0.3">
      <c r="A34" s="1" t="s">
        <v>23</v>
      </c>
      <c r="B34" s="1">
        <v>60</v>
      </c>
      <c r="C34" s="12">
        <f>+'Flow rate'!E33</f>
        <v>73.499421999999996</v>
      </c>
      <c r="D34" s="1" t="s">
        <v>27</v>
      </c>
      <c r="E34" s="1" t="s">
        <v>25</v>
      </c>
      <c r="F34" s="1" t="s">
        <v>24</v>
      </c>
      <c r="G34" s="1">
        <v>-1.52</v>
      </c>
      <c r="H34" s="15">
        <v>45444.262939814813</v>
      </c>
      <c r="I34" s="2">
        <v>11.367818611033726</v>
      </c>
      <c r="J34" s="22">
        <v>15.74701193000697</v>
      </c>
      <c r="K34" s="22">
        <v>0</v>
      </c>
      <c r="L34" s="22">
        <v>87.921524240962427</v>
      </c>
      <c r="N34" s="22">
        <v>3.0496279995741372E-2</v>
      </c>
      <c r="O34" s="22">
        <v>0</v>
      </c>
      <c r="P34" s="3">
        <f t="shared" si="1"/>
        <v>0.15185302656949151</v>
      </c>
      <c r="Q34" s="3">
        <f t="shared" si="2"/>
        <v>0</v>
      </c>
      <c r="R34" s="3">
        <f t="shared" si="3"/>
        <v>0.84785288891231247</v>
      </c>
      <c r="S34" s="3">
        <f t="shared" si="4"/>
        <v>2.9408451819607639E-4</v>
      </c>
      <c r="T34" s="4">
        <f t="shared" si="5"/>
        <v>0.97184288828358112</v>
      </c>
      <c r="U34" s="5">
        <f t="shared" si="6"/>
        <v>0</v>
      </c>
      <c r="V34" s="14"/>
      <c r="W34" s="3">
        <f t="shared" si="7"/>
        <v>0.97184288828358112</v>
      </c>
      <c r="X34" s="3">
        <v>0</v>
      </c>
      <c r="Y34">
        <v>87.921499999999995</v>
      </c>
      <c r="AA34" s="16"/>
      <c r="AB34" s="16"/>
    </row>
    <row r="35" spans="1:28" ht="15.6" x14ac:dyDescent="0.3">
      <c r="A35" s="1" t="s">
        <v>23</v>
      </c>
      <c r="B35" s="1">
        <v>60</v>
      </c>
      <c r="C35" s="12">
        <f>+'Flow rate'!E34</f>
        <v>73.294741999999999</v>
      </c>
      <c r="D35" s="1" t="s">
        <v>27</v>
      </c>
      <c r="E35" s="1" t="s">
        <v>25</v>
      </c>
      <c r="F35" s="1" t="s">
        <v>24</v>
      </c>
      <c r="G35" s="1">
        <v>-1.52</v>
      </c>
      <c r="H35" s="15">
        <v>45444.280659722222</v>
      </c>
      <c r="I35" s="2">
        <v>11.793096388864797</v>
      </c>
      <c r="J35" s="22">
        <v>15.784557169391087</v>
      </c>
      <c r="K35" s="22">
        <v>0</v>
      </c>
      <c r="L35" s="22">
        <v>88.09864480460061</v>
      </c>
      <c r="N35" s="22">
        <v>3.4100275186557873E-2</v>
      </c>
      <c r="O35" s="22">
        <v>4.695867381866497E-3</v>
      </c>
      <c r="P35" s="3">
        <f t="shared" si="1"/>
        <v>0.15188850729839645</v>
      </c>
      <c r="Q35" s="3">
        <f t="shared" si="2"/>
        <v>0</v>
      </c>
      <c r="R35" s="3">
        <f t="shared" si="3"/>
        <v>0.84773817287258213</v>
      </c>
      <c r="S35" s="3">
        <f t="shared" si="4"/>
        <v>3.281333673772381E-4</v>
      </c>
      <c r="T35" s="4">
        <f t="shared" si="5"/>
        <v>0.96936295641341474</v>
      </c>
      <c r="U35" s="5">
        <f t="shared" si="6"/>
        <v>0</v>
      </c>
      <c r="V35" s="14"/>
      <c r="W35" s="3">
        <f t="shared" si="7"/>
        <v>0.96936295641341474</v>
      </c>
      <c r="X35" s="3">
        <v>0</v>
      </c>
      <c r="AA35" s="16"/>
      <c r="AB35" s="16"/>
    </row>
    <row r="36" spans="1:28" ht="15.6" x14ac:dyDescent="0.3">
      <c r="A36" s="1" t="s">
        <v>23</v>
      </c>
      <c r="B36" s="1">
        <v>60</v>
      </c>
      <c r="C36" s="12">
        <f>+'Flow rate'!E35</f>
        <v>78.912152000000006</v>
      </c>
      <c r="D36" s="1" t="s">
        <v>27</v>
      </c>
      <c r="E36" s="1" t="s">
        <v>25</v>
      </c>
      <c r="F36" s="1" t="s">
        <v>24</v>
      </c>
      <c r="G36" s="1">
        <v>-2.1</v>
      </c>
      <c r="H36" s="15">
        <v>45444.291087962964</v>
      </c>
      <c r="I36" s="2">
        <v>12.043374166649301</v>
      </c>
      <c r="J36" s="22">
        <v>16.224370390128055</v>
      </c>
      <c r="K36" s="22">
        <v>5.4466057941541758E-3</v>
      </c>
      <c r="L36" s="22">
        <v>87.263461537083131</v>
      </c>
      <c r="N36" s="22">
        <v>3.9871742873354279E-2</v>
      </c>
      <c r="O36" s="22">
        <v>0</v>
      </c>
      <c r="P36" s="3">
        <f t="shared" si="1"/>
        <v>0.15670700975384144</v>
      </c>
      <c r="Q36" s="3">
        <f t="shared" si="2"/>
        <v>5.2607360827338155E-5</v>
      </c>
      <c r="R36" s="3">
        <f t="shared" si="3"/>
        <v>0.84285527200280608</v>
      </c>
      <c r="S36" s="3">
        <f t="shared" si="4"/>
        <v>3.8511088252516599E-4</v>
      </c>
      <c r="T36" s="4">
        <f t="shared" si="5"/>
        <v>0.77937287882905626</v>
      </c>
      <c r="U36" s="5">
        <f t="shared" si="6"/>
        <v>2.6163954197075336E-4</v>
      </c>
      <c r="V36" s="14"/>
      <c r="W36" s="3">
        <f t="shared" si="7"/>
        <v>0.77963451837102704</v>
      </c>
      <c r="X36" s="3">
        <v>6.187771359556498E-5</v>
      </c>
      <c r="Y36">
        <v>87.268899999999988</v>
      </c>
      <c r="AA36" s="16"/>
      <c r="AB36" s="16"/>
    </row>
    <row r="37" spans="1:28" ht="15.6" x14ac:dyDescent="0.3">
      <c r="A37" s="1" t="s">
        <v>23</v>
      </c>
      <c r="B37" s="1">
        <v>60</v>
      </c>
      <c r="C37" s="12">
        <f>+'Flow rate'!E36</f>
        <v>78.759951999999998</v>
      </c>
      <c r="D37" s="1" t="s">
        <v>27</v>
      </c>
      <c r="E37" s="1" t="s">
        <v>25</v>
      </c>
      <c r="F37" s="1" t="s">
        <v>24</v>
      </c>
      <c r="G37" s="1">
        <v>-2.1</v>
      </c>
      <c r="H37" s="15">
        <v>45444.301493055558</v>
      </c>
      <c r="I37" s="2">
        <v>12.293096388923004</v>
      </c>
      <c r="J37" s="22">
        <v>19.601350152980594</v>
      </c>
      <c r="K37" s="22">
        <v>5.378080929453552E-2</v>
      </c>
      <c r="L37" s="22">
        <v>83.132853978777192</v>
      </c>
      <c r="N37" s="22">
        <v>0.15340707807846871</v>
      </c>
      <c r="O37" s="22">
        <v>0</v>
      </c>
      <c r="P37" s="3">
        <f t="shared" si="1"/>
        <v>0.1904127170665989</v>
      </c>
      <c r="Q37" s="3">
        <f t="shared" si="2"/>
        <v>5.2244105349324218E-4</v>
      </c>
      <c r="R37" s="3">
        <f t="shared" si="3"/>
        <v>0.80757460481326748</v>
      </c>
      <c r="S37" s="3">
        <f t="shared" si="4"/>
        <v>1.4902370666403976E-3</v>
      </c>
      <c r="T37" s="4">
        <f t="shared" si="5"/>
        <v>0.94517966855536195</v>
      </c>
      <c r="U37" s="5">
        <f t="shared" si="6"/>
        <v>2.5933176595959433E-3</v>
      </c>
      <c r="V37" s="14"/>
      <c r="W37" s="3">
        <f t="shared" si="7"/>
        <v>0.94777298621495787</v>
      </c>
      <c r="X37" s="3">
        <v>6.4673800018512579E-4</v>
      </c>
      <c r="AA37" s="16"/>
      <c r="AB37" s="16"/>
    </row>
    <row r="38" spans="1:28" ht="15.6" x14ac:dyDescent="0.3">
      <c r="A38" s="1" t="s">
        <v>23</v>
      </c>
      <c r="B38" s="1">
        <v>60</v>
      </c>
      <c r="C38" s="12">
        <f>+'Flow rate'!E37</f>
        <v>78.212569000000002</v>
      </c>
      <c r="D38" s="1" t="s">
        <v>27</v>
      </c>
      <c r="E38" s="1" t="s">
        <v>25</v>
      </c>
      <c r="F38" s="1" t="s">
        <v>24</v>
      </c>
      <c r="G38" s="1">
        <v>-2.1</v>
      </c>
      <c r="H38" s="15">
        <v>45444.311921296299</v>
      </c>
      <c r="I38" s="2">
        <v>12.543374166707508</v>
      </c>
      <c r="J38" s="22">
        <v>19.83484106423807</v>
      </c>
      <c r="K38" s="22">
        <v>5.1233244825364149E-2</v>
      </c>
      <c r="L38" s="22">
        <v>82.901576535704763</v>
      </c>
      <c r="N38" s="22">
        <v>0.13656606106710073</v>
      </c>
      <c r="O38" s="22">
        <v>0</v>
      </c>
      <c r="P38" s="3">
        <f t="shared" si="1"/>
        <v>0.19271306268363295</v>
      </c>
      <c r="Q38" s="3">
        <f t="shared" si="2"/>
        <v>4.9777638699196626E-4</v>
      </c>
      <c r="R38" s="3">
        <f t="shared" si="3"/>
        <v>0.80546230059297785</v>
      </c>
      <c r="S38" s="3">
        <f t="shared" si="4"/>
        <v>1.3268603363972558E-3</v>
      </c>
      <c r="T38" s="4">
        <f t="shared" si="5"/>
        <v>0.9499498592237271</v>
      </c>
      <c r="U38" s="5">
        <f t="shared" si="6"/>
        <v>2.4537133194971221E-3</v>
      </c>
      <c r="V38" s="14"/>
      <c r="W38" s="3">
        <f t="shared" si="7"/>
        <v>0.95240357254322427</v>
      </c>
      <c r="X38" s="3">
        <v>6.1721846640499177E-4</v>
      </c>
      <c r="Y38">
        <v>82.952799999999996</v>
      </c>
      <c r="AA38" s="16"/>
      <c r="AB38" s="16"/>
    </row>
    <row r="39" spans="1:28" ht="15.6" x14ac:dyDescent="0.3">
      <c r="A39" s="1" t="s">
        <v>23</v>
      </c>
      <c r="B39" s="1">
        <v>60</v>
      </c>
      <c r="C39" s="12">
        <f>+'Flow rate'!E38</f>
        <v>77.973544000000004</v>
      </c>
      <c r="D39" s="1" t="s">
        <v>27</v>
      </c>
      <c r="E39" s="1" t="s">
        <v>25</v>
      </c>
      <c r="F39" s="1" t="s">
        <v>24</v>
      </c>
      <c r="G39" s="1">
        <v>-2.1</v>
      </c>
      <c r="H39" s="15">
        <v>45444.32236111111</v>
      </c>
      <c r="I39" s="2">
        <v>12.793929722160101</v>
      </c>
      <c r="J39" s="22">
        <v>19.902983801065872</v>
      </c>
      <c r="K39" s="22">
        <v>4.67664031149247E-2</v>
      </c>
      <c r="L39" s="22">
        <v>82.775256418296564</v>
      </c>
      <c r="N39" s="22">
        <v>0.13658811763150885</v>
      </c>
      <c r="O39" s="22">
        <v>0</v>
      </c>
      <c r="P39" s="3">
        <f t="shared" si="1"/>
        <v>0.1934928566036036</v>
      </c>
      <c r="Q39" s="3">
        <f t="shared" si="2"/>
        <v>4.5465368520763419E-4</v>
      </c>
      <c r="R39" s="3">
        <f t="shared" si="3"/>
        <v>0.80472460715233274</v>
      </c>
      <c r="S39" s="3">
        <f t="shared" si="4"/>
        <v>1.3278825588560409E-3</v>
      </c>
      <c r="T39" s="4">
        <f t="shared" si="5"/>
        <v>0.95087885150037432</v>
      </c>
      <c r="U39" s="5">
        <f t="shared" si="6"/>
        <v>2.2342973358769275E-3</v>
      </c>
      <c r="V39" s="14"/>
      <c r="W39" s="3">
        <f t="shared" si="7"/>
        <v>0.9531131488362512</v>
      </c>
      <c r="X39" s="3">
        <v>5.650665703960658E-4</v>
      </c>
      <c r="AA39" s="16"/>
      <c r="AB39" s="16"/>
    </row>
    <row r="40" spans="1:28" ht="15.6" x14ac:dyDescent="0.3">
      <c r="A40" s="1" t="s">
        <v>23</v>
      </c>
      <c r="B40" s="1">
        <v>60</v>
      </c>
      <c r="C40" s="12">
        <f>+'Flow rate'!E39</f>
        <v>77.860641000000001</v>
      </c>
      <c r="D40" s="1" t="s">
        <v>27</v>
      </c>
      <c r="E40" s="1" t="s">
        <v>25</v>
      </c>
      <c r="F40" s="1" t="s">
        <v>24</v>
      </c>
      <c r="G40" s="1">
        <v>-2.1</v>
      </c>
      <c r="H40" s="15">
        <v>45444.332789351851</v>
      </c>
      <c r="I40" s="2">
        <v>13.044207499944605</v>
      </c>
      <c r="J40" s="22">
        <v>19.949735987916977</v>
      </c>
      <c r="K40" s="22">
        <v>4.7202609579627783E-2</v>
      </c>
      <c r="L40" s="22">
        <v>82.735015282538498</v>
      </c>
      <c r="N40" s="22">
        <v>0.13454005890090182</v>
      </c>
      <c r="O40" s="22">
        <v>0</v>
      </c>
      <c r="P40" s="3">
        <f t="shared" si="1"/>
        <v>0.1939381349942734</v>
      </c>
      <c r="Q40" s="3">
        <f t="shared" si="2"/>
        <v>4.5887254218704464E-4</v>
      </c>
      <c r="R40" s="3">
        <f t="shared" si="3"/>
        <v>0.8042950830194715</v>
      </c>
      <c r="S40" s="3">
        <f t="shared" si="4"/>
        <v>1.3079094440680364E-3</v>
      </c>
      <c r="T40" s="4">
        <f t="shared" si="5"/>
        <v>0.95168706775086231</v>
      </c>
      <c r="U40" s="5">
        <f t="shared" si="6"/>
        <v>2.2517647916861089E-3</v>
      </c>
      <c r="V40" s="14"/>
      <c r="W40" s="3">
        <f t="shared" si="7"/>
        <v>0.95393883254254841</v>
      </c>
      <c r="X40" s="3">
        <v>5.7017088214616183E-4</v>
      </c>
      <c r="Y40">
        <v>82.782200000000003</v>
      </c>
      <c r="AA40" s="16"/>
      <c r="AB40" s="16"/>
    </row>
    <row r="41" spans="1:28" ht="15.6" x14ac:dyDescent="0.3">
      <c r="A41" s="1" t="s">
        <v>23</v>
      </c>
      <c r="B41" s="1">
        <v>60</v>
      </c>
      <c r="C41" s="12">
        <f>+'Flow rate'!E40</f>
        <v>77.667716999999996</v>
      </c>
      <c r="D41" s="1" t="s">
        <v>27</v>
      </c>
      <c r="E41" s="1" t="s">
        <v>25</v>
      </c>
      <c r="F41" s="1" t="s">
        <v>24</v>
      </c>
      <c r="G41" s="1">
        <v>-2.1</v>
      </c>
      <c r="H41" s="15">
        <v>45444.343217592592</v>
      </c>
      <c r="I41" s="2">
        <v>13.294485277729109</v>
      </c>
      <c r="J41" s="22">
        <v>20.004048943364563</v>
      </c>
      <c r="K41" s="22">
        <v>4.084982719283245E-2</v>
      </c>
      <c r="L41" s="22">
        <v>82.748410204756098</v>
      </c>
      <c r="N41" s="22">
        <v>0.13045651130972755</v>
      </c>
      <c r="O41" s="22">
        <v>0</v>
      </c>
      <c r="P41" s="3">
        <f t="shared" si="1"/>
        <v>0.1943579196581614</v>
      </c>
      <c r="Q41" s="3">
        <f t="shared" si="2"/>
        <v>3.9689402150897414E-4</v>
      </c>
      <c r="R41" s="3">
        <f t="shared" si="3"/>
        <v>0.80397768011617032</v>
      </c>
      <c r="S41" s="3">
        <f t="shared" si="4"/>
        <v>1.267506204159259E-3</v>
      </c>
      <c r="T41" s="4">
        <f t="shared" si="5"/>
        <v>0.95138381630469304</v>
      </c>
      <c r="U41" s="5">
        <f t="shared" si="6"/>
        <v>1.9427999101649617E-3</v>
      </c>
      <c r="V41" s="14"/>
      <c r="W41" s="3">
        <f t="shared" si="7"/>
        <v>0.95332661621485804</v>
      </c>
      <c r="X41" s="3">
        <v>4.9281790378455164E-4</v>
      </c>
      <c r="AA41" s="16"/>
      <c r="AB41" s="16"/>
    </row>
    <row r="42" spans="1:28" ht="15.6" x14ac:dyDescent="0.3">
      <c r="A42" s="1" t="s">
        <v>23</v>
      </c>
      <c r="B42" s="1">
        <v>60</v>
      </c>
      <c r="C42" s="12">
        <f>+'Flow rate'!E41</f>
        <v>78.036771000000002</v>
      </c>
      <c r="D42" s="1" t="s">
        <v>27</v>
      </c>
      <c r="E42" s="1" t="s">
        <v>25</v>
      </c>
      <c r="F42" s="1" t="s">
        <v>24</v>
      </c>
      <c r="G42" s="1">
        <v>-2.1</v>
      </c>
      <c r="H42" s="15">
        <v>45444.353645833333</v>
      </c>
      <c r="I42" s="2">
        <v>13.544763055513613</v>
      </c>
      <c r="J42" s="22">
        <v>20.006233089112609</v>
      </c>
      <c r="K42" s="22">
        <v>5.3382113217903975E-2</v>
      </c>
      <c r="L42" s="22">
        <v>82.827921412962667</v>
      </c>
      <c r="N42" s="22">
        <v>0.1126579310854791</v>
      </c>
      <c r="O42" s="22">
        <v>0</v>
      </c>
      <c r="P42" s="3">
        <f t="shared" si="1"/>
        <v>0.19423490583898123</v>
      </c>
      <c r="Q42" s="3">
        <f t="shared" si="2"/>
        <v>5.1827196495116536E-4</v>
      </c>
      <c r="R42" s="3">
        <f t="shared" si="3"/>
        <v>0.80415305794075098</v>
      </c>
      <c r="S42" s="3">
        <f t="shared" si="4"/>
        <v>1.0937642553165447E-3</v>
      </c>
      <c r="T42" s="4">
        <f t="shared" si="5"/>
        <v>0.95529949553088767</v>
      </c>
      <c r="U42" s="5">
        <f t="shared" si="6"/>
        <v>2.5490008838889499E-3</v>
      </c>
      <c r="V42" s="14"/>
      <c r="W42" s="3">
        <f t="shared" si="7"/>
        <v>0.95784849641477665</v>
      </c>
      <c r="X42" s="3">
        <v>6.4429491332785574E-4</v>
      </c>
      <c r="Y42">
        <v>82.881299999999996</v>
      </c>
    </row>
    <row r="43" spans="1:28" ht="15.6" x14ac:dyDescent="0.3">
      <c r="A43" s="1" t="s">
        <v>23</v>
      </c>
      <c r="B43" s="1">
        <v>60</v>
      </c>
      <c r="C43" s="12">
        <f>+'Flow rate'!E42</f>
        <v>77.524483000000004</v>
      </c>
      <c r="D43" s="1" t="s">
        <v>27</v>
      </c>
      <c r="E43" s="1" t="s">
        <v>25</v>
      </c>
      <c r="F43" s="1" t="s">
        <v>24</v>
      </c>
      <c r="G43" s="1">
        <v>-2.1</v>
      </c>
      <c r="H43" s="15">
        <v>45444.371388888889</v>
      </c>
      <c r="I43" s="2">
        <v>13.970596388855483</v>
      </c>
      <c r="J43" s="22">
        <v>20.048570244005052</v>
      </c>
      <c r="K43" s="22">
        <v>5.4397779770713667E-2</v>
      </c>
      <c r="L43" s="22">
        <v>82.914097519893488</v>
      </c>
      <c r="N43" s="22">
        <v>0.13687686889137018</v>
      </c>
      <c r="O43" s="22">
        <v>2.7828808388324277E-3</v>
      </c>
      <c r="P43" s="3">
        <f t="shared" si="1"/>
        <v>0.19435058826249765</v>
      </c>
      <c r="Q43" s="3">
        <f t="shared" si="2"/>
        <v>5.2733139420619375E-4</v>
      </c>
      <c r="R43" s="3">
        <f t="shared" si="3"/>
        <v>0.8037682204826524</v>
      </c>
      <c r="S43" s="3">
        <f t="shared" si="4"/>
        <v>1.3268826487275896E-3</v>
      </c>
      <c r="T43" s="4">
        <f t="shared" si="5"/>
        <v>0.94959346304864911</v>
      </c>
      <c r="U43" s="5">
        <f t="shared" si="6"/>
        <v>2.576531665148337E-3</v>
      </c>
      <c r="V43" s="14"/>
      <c r="W43" s="3">
        <f t="shared" si="7"/>
        <v>0.95216999471379749</v>
      </c>
      <c r="X43" s="3">
        <v>6.5567052556090558E-4</v>
      </c>
    </row>
    <row r="44" spans="1:28" ht="15.6" x14ac:dyDescent="0.3">
      <c r="A44" s="1" t="s">
        <v>23</v>
      </c>
      <c r="B44" s="1">
        <v>60</v>
      </c>
      <c r="C44" s="12">
        <f>+'Flow rate'!E43</f>
        <v>86.480992999999998</v>
      </c>
      <c r="D44" s="1" t="s">
        <v>27</v>
      </c>
      <c r="E44" s="1" t="s">
        <v>25</v>
      </c>
      <c r="F44" s="1" t="s">
        <v>24</v>
      </c>
      <c r="G44" s="1">
        <v>-3.1</v>
      </c>
      <c r="H44" s="15">
        <v>45444.381805555553</v>
      </c>
      <c r="I44" s="2">
        <v>14.220596388797276</v>
      </c>
      <c r="J44" s="22">
        <v>24.595373899075213</v>
      </c>
      <c r="K44" s="22">
        <v>2.0147133008497833</v>
      </c>
      <c r="L44" s="22">
        <v>75.030851353096978</v>
      </c>
      <c r="N44" s="22">
        <v>0.34661831328126252</v>
      </c>
      <c r="O44" s="22">
        <v>0</v>
      </c>
      <c r="P44" s="3">
        <f t="shared" si="1"/>
        <v>0.24116053619479866</v>
      </c>
      <c r="Q44" s="3">
        <f t="shared" si="2"/>
        <v>1.9754501066153549E-2</v>
      </c>
      <c r="R44" s="3">
        <f t="shared" si="3"/>
        <v>0.73568632937698319</v>
      </c>
      <c r="S44" s="3">
        <f t="shared" si="4"/>
        <v>3.3986333620644404E-3</v>
      </c>
      <c r="T44" s="4">
        <f t="shared" si="5"/>
        <v>0.89042529225423217</v>
      </c>
      <c r="U44" s="5">
        <f t="shared" si="6"/>
        <v>7.2938581339684769E-2</v>
      </c>
      <c r="V44" s="14"/>
      <c r="W44" s="3">
        <f t="shared" si="7"/>
        <v>0.96336387359391695</v>
      </c>
      <c r="X44" s="3">
        <v>2.6149449157382119E-2</v>
      </c>
      <c r="Y44">
        <v>77.045600000000007</v>
      </c>
    </row>
    <row r="45" spans="1:28" ht="15.6" x14ac:dyDescent="0.3">
      <c r="A45" s="1" t="s">
        <v>23</v>
      </c>
      <c r="B45" s="1">
        <v>60</v>
      </c>
      <c r="C45" s="12">
        <f>+'Flow rate'!E44</f>
        <v>86.480475999999996</v>
      </c>
      <c r="D45" s="1" t="s">
        <v>27</v>
      </c>
      <c r="E45" s="1" t="s">
        <v>25</v>
      </c>
      <c r="F45" s="1" t="s">
        <v>24</v>
      </c>
      <c r="G45" s="1">
        <v>-3.1</v>
      </c>
      <c r="H45" s="15">
        <v>45444.392233796294</v>
      </c>
      <c r="I45" s="2">
        <v>14.47087416658178</v>
      </c>
      <c r="J45" s="22">
        <v>25.372420363853692</v>
      </c>
      <c r="K45" s="22">
        <v>1.9785898711606973</v>
      </c>
      <c r="L45" s="22">
        <v>74.106777149762237</v>
      </c>
      <c r="N45" s="22">
        <v>0.36637387997017462</v>
      </c>
      <c r="O45" s="22">
        <v>0</v>
      </c>
      <c r="P45" s="3">
        <f t="shared" si="1"/>
        <v>0.24917878083851247</v>
      </c>
      <c r="Q45" s="3">
        <f t="shared" si="2"/>
        <v>1.9431437947387421E-2</v>
      </c>
      <c r="R45" s="3">
        <f t="shared" si="3"/>
        <v>0.72779167762631236</v>
      </c>
      <c r="S45" s="3">
        <f t="shared" si="4"/>
        <v>3.5981035877878558E-3</v>
      </c>
      <c r="T45" s="4">
        <f t="shared" si="5"/>
        <v>0.92002516597713768</v>
      </c>
      <c r="U45" s="5">
        <f t="shared" si="6"/>
        <v>7.1745322224309044E-2</v>
      </c>
      <c r="V45" s="14"/>
      <c r="W45" s="3">
        <f t="shared" si="7"/>
        <v>0.99177048820144675</v>
      </c>
      <c r="X45" s="3">
        <v>2.6004989130634783E-2</v>
      </c>
    </row>
    <row r="46" spans="1:28" ht="15.6" x14ac:dyDescent="0.3">
      <c r="A46" s="1" t="s">
        <v>23</v>
      </c>
      <c r="B46" s="1">
        <v>60</v>
      </c>
      <c r="C46" s="12">
        <f>+'Flow rate'!E45</f>
        <v>85.539557000000002</v>
      </c>
      <c r="D46" s="1" t="s">
        <v>27</v>
      </c>
      <c r="E46" s="1" t="s">
        <v>25</v>
      </c>
      <c r="F46" s="1" t="s">
        <v>24</v>
      </c>
      <c r="G46" s="1">
        <v>-3.1</v>
      </c>
      <c r="H46" s="15">
        <v>45444.402650462966</v>
      </c>
      <c r="I46" s="2">
        <v>14.720874166698195</v>
      </c>
      <c r="J46" s="22">
        <v>25.730056601338489</v>
      </c>
      <c r="K46" s="22">
        <v>1.7821617329029085</v>
      </c>
      <c r="L46" s="22">
        <v>73.950714226033952</v>
      </c>
      <c r="N46" s="22">
        <v>0.35647309139187333</v>
      </c>
      <c r="O46" s="22">
        <v>0</v>
      </c>
      <c r="P46" s="3">
        <f t="shared" si="1"/>
        <v>0.25270287561256433</v>
      </c>
      <c r="Q46" s="3">
        <f t="shared" si="2"/>
        <v>1.7503163778031017E-2</v>
      </c>
      <c r="R46" s="3">
        <f t="shared" si="3"/>
        <v>0.72629292768635467</v>
      </c>
      <c r="S46" s="3">
        <f t="shared" si="4"/>
        <v>3.5010329230500308E-3</v>
      </c>
      <c r="T46" s="4">
        <f t="shared" si="5"/>
        <v>0.92288536650212882</v>
      </c>
      <c r="U46" s="5">
        <f t="shared" si="6"/>
        <v>6.3922556002096384E-2</v>
      </c>
      <c r="V46" s="14"/>
      <c r="W46" s="3">
        <f t="shared" si="7"/>
        <v>0.98680792250422522</v>
      </c>
      <c r="X46" s="3">
        <v>2.3532705072696277E-2</v>
      </c>
      <c r="Y46">
        <v>75.732900000000001</v>
      </c>
    </row>
    <row r="47" spans="1:28" ht="15.6" x14ac:dyDescent="0.3">
      <c r="A47" s="1" t="s">
        <v>23</v>
      </c>
      <c r="B47" s="1">
        <v>60</v>
      </c>
      <c r="C47" s="12">
        <f>+'Flow rate'!E46</f>
        <v>85.279947000000007</v>
      </c>
      <c r="D47" s="1" t="s">
        <v>27</v>
      </c>
      <c r="E47" s="1" t="s">
        <v>25</v>
      </c>
      <c r="F47" s="1" t="s">
        <v>24</v>
      </c>
      <c r="G47" s="1">
        <v>-3.1</v>
      </c>
      <c r="H47" s="15">
        <v>45444.413078703707</v>
      </c>
      <c r="I47" s="2">
        <v>14.971151944482699</v>
      </c>
      <c r="J47" s="22">
        <v>25.992114956084755</v>
      </c>
      <c r="K47" s="22">
        <v>1.656914948436218</v>
      </c>
      <c r="L47" s="22">
        <v>74.000829953749459</v>
      </c>
      <c r="N47" s="22">
        <v>0.34670950413088591</v>
      </c>
      <c r="O47" s="22">
        <v>0</v>
      </c>
      <c r="P47" s="3">
        <f t="shared" si="1"/>
        <v>0.25483322741702086</v>
      </c>
      <c r="Q47" s="3">
        <f t="shared" si="2"/>
        <v>1.6244810573472105E-2</v>
      </c>
      <c r="R47" s="3">
        <f t="shared" si="3"/>
        <v>0.72552273489531849</v>
      </c>
      <c r="S47" s="3">
        <f t="shared" si="4"/>
        <v>3.3992271141885327E-3</v>
      </c>
      <c r="T47" s="4">
        <f t="shared" si="5"/>
        <v>0.9278409911440596</v>
      </c>
      <c r="U47" s="5">
        <f t="shared" si="6"/>
        <v>5.9146922464598219E-2</v>
      </c>
      <c r="V47" s="14"/>
      <c r="W47" s="3">
        <f t="shared" si="7"/>
        <v>0.98698791360865779</v>
      </c>
      <c r="X47" s="3">
        <v>2.1899952020746075E-2</v>
      </c>
    </row>
    <row r="48" spans="1:28" ht="15.6" x14ac:dyDescent="0.3">
      <c r="A48" s="1" t="s">
        <v>23</v>
      </c>
      <c r="B48" s="1">
        <v>60</v>
      </c>
      <c r="C48" s="12">
        <f>+'Flow rate'!E47</f>
        <v>85.462976999999995</v>
      </c>
      <c r="D48" s="1" t="s">
        <v>27</v>
      </c>
      <c r="E48" s="1" t="s">
        <v>25</v>
      </c>
      <c r="F48" s="1" t="s">
        <v>24</v>
      </c>
      <c r="G48" s="1">
        <v>-3.1</v>
      </c>
      <c r="H48" s="15">
        <v>45444.423495370371</v>
      </c>
      <c r="I48" s="2">
        <v>15.221151944424491</v>
      </c>
      <c r="J48" s="22">
        <v>26.1493679314401</v>
      </c>
      <c r="K48" s="22">
        <v>1.5360118487457444</v>
      </c>
      <c r="L48" s="22">
        <v>73.805669617179078</v>
      </c>
      <c r="N48" s="22">
        <v>0.33750729200918789</v>
      </c>
      <c r="O48" s="22">
        <v>0</v>
      </c>
      <c r="P48" s="3">
        <f t="shared" si="1"/>
        <v>0.25679798262493497</v>
      </c>
      <c r="Q48" s="3">
        <f t="shared" si="2"/>
        <v>1.5084293627290786E-2</v>
      </c>
      <c r="R48" s="3">
        <f t="shared" si="3"/>
        <v>0.72480325771798704</v>
      </c>
      <c r="S48" s="3">
        <f t="shared" si="4"/>
        <v>3.314466029787173E-3</v>
      </c>
      <c r="T48" s="4">
        <f t="shared" si="5"/>
        <v>0.93700132182014984</v>
      </c>
      <c r="U48" s="5">
        <f t="shared" si="6"/>
        <v>5.5039385134649114E-2</v>
      </c>
      <c r="V48" s="14"/>
      <c r="W48" s="3">
        <f t="shared" si="7"/>
        <v>0.99204070695479896</v>
      </c>
      <c r="X48" s="3">
        <v>2.0387116298145647E-2</v>
      </c>
      <c r="Y48">
        <v>75.341700000000003</v>
      </c>
    </row>
    <row r="49" spans="1:25" ht="15.6" x14ac:dyDescent="0.3">
      <c r="A49" s="1" t="s">
        <v>23</v>
      </c>
      <c r="B49" s="1">
        <v>60</v>
      </c>
      <c r="C49" s="12">
        <f>+'Flow rate'!E48</f>
        <v>84.915847999999997</v>
      </c>
      <c r="D49" s="1" t="s">
        <v>27</v>
      </c>
      <c r="E49" s="1" t="s">
        <v>25</v>
      </c>
      <c r="F49" s="1" t="s">
        <v>24</v>
      </c>
      <c r="G49" s="1">
        <v>-3.1</v>
      </c>
      <c r="H49" s="15">
        <v>45444.433923611112</v>
      </c>
      <c r="I49" s="2">
        <v>15.471429722208995</v>
      </c>
      <c r="J49" s="22">
        <v>26.315418543709672</v>
      </c>
      <c r="K49" s="22">
        <v>1.4447970864519641</v>
      </c>
      <c r="L49" s="22">
        <v>73.866878385946151</v>
      </c>
      <c r="N49" s="22">
        <v>0.33432474321571731</v>
      </c>
      <c r="O49" s="22">
        <v>0</v>
      </c>
      <c r="P49" s="3">
        <f t="shared" si="1"/>
        <v>0.25809192206148418</v>
      </c>
      <c r="Q49" s="3">
        <f t="shared" si="2"/>
        <v>1.4170037098663359E-2</v>
      </c>
      <c r="R49" s="3">
        <f t="shared" si="3"/>
        <v>0.72445910703053695</v>
      </c>
      <c r="S49" s="3">
        <f t="shared" si="4"/>
        <v>3.2789338093154588E-3</v>
      </c>
      <c r="T49" s="4">
        <f t="shared" si="5"/>
        <v>0.93569377869835979</v>
      </c>
      <c r="U49" s="5">
        <f t="shared" si="6"/>
        <v>5.1372454632600512E-2</v>
      </c>
      <c r="V49" s="14"/>
      <c r="W49" s="3">
        <f t="shared" si="7"/>
        <v>0.98706623333096033</v>
      </c>
      <c r="X49" s="3">
        <v>1.9184270173160347E-2</v>
      </c>
    </row>
    <row r="50" spans="1:25" ht="15.6" x14ac:dyDescent="0.3">
      <c r="A50" s="1" t="s">
        <v>23</v>
      </c>
      <c r="B50" s="1">
        <v>60</v>
      </c>
      <c r="C50" s="12">
        <f>+'Flow rate'!E49</f>
        <v>84.515506000000002</v>
      </c>
      <c r="D50" s="1" t="s">
        <v>27</v>
      </c>
      <c r="E50" s="1" t="s">
        <v>25</v>
      </c>
      <c r="F50" s="1" t="s">
        <v>24</v>
      </c>
      <c r="G50" s="1">
        <v>-3.1</v>
      </c>
      <c r="H50" s="15">
        <v>45444.444351851853</v>
      </c>
      <c r="I50" s="2">
        <v>15.721707499993499</v>
      </c>
      <c r="J50" s="22">
        <v>26.400287615987587</v>
      </c>
      <c r="K50" s="22">
        <v>1.3739039405641991</v>
      </c>
      <c r="L50" s="22">
        <v>73.827718326807627</v>
      </c>
      <c r="N50" s="22">
        <v>0.32459329213190463</v>
      </c>
      <c r="O50" s="22">
        <v>0</v>
      </c>
      <c r="P50" s="3">
        <f t="shared" si="1"/>
        <v>0.25901298282089652</v>
      </c>
      <c r="Q50" s="3">
        <f t="shared" si="2"/>
        <v>1.3479359124080697E-2</v>
      </c>
      <c r="R50" s="3">
        <f t="shared" si="3"/>
        <v>0.72432307620418623</v>
      </c>
      <c r="S50" s="3">
        <f t="shared" si="4"/>
        <v>3.1845818508365598E-3</v>
      </c>
      <c r="T50" s="4">
        <f t="shared" si="5"/>
        <v>0.93460587840404963</v>
      </c>
      <c r="U50" s="5">
        <f t="shared" si="6"/>
        <v>4.8638057201929243E-2</v>
      </c>
      <c r="V50" s="14"/>
      <c r="W50" s="3">
        <f t="shared" si="7"/>
        <v>0.98324393560597889</v>
      </c>
      <c r="X50" s="3">
        <v>1.8269558094508625E-2</v>
      </c>
      <c r="Y50">
        <v>75.201599999999999</v>
      </c>
    </row>
    <row r="51" spans="1:25" ht="15.6" x14ac:dyDescent="0.3">
      <c r="A51" s="1" t="s">
        <v>23</v>
      </c>
      <c r="B51" s="1">
        <v>60</v>
      </c>
      <c r="C51" s="12">
        <f>+'Flow rate'!E50</f>
        <v>70.034184999999994</v>
      </c>
      <c r="D51" s="1" t="s">
        <v>27</v>
      </c>
      <c r="E51" s="1" t="s">
        <v>25</v>
      </c>
      <c r="F51" s="1" t="s">
        <v>24</v>
      </c>
      <c r="G51" s="1">
        <v>-0.5</v>
      </c>
      <c r="H51" s="15">
        <v>45444.462071759262</v>
      </c>
      <c r="I51" s="2">
        <v>16.146985277824569</v>
      </c>
      <c r="J51" s="22">
        <v>19.95992156500801</v>
      </c>
      <c r="K51" s="22">
        <v>0.48306785577048772</v>
      </c>
      <c r="L51" s="22">
        <v>82.569353669538359</v>
      </c>
      <c r="N51" s="22">
        <v>0.131280312132003</v>
      </c>
      <c r="O51" s="22">
        <v>1.387045434689349E-2</v>
      </c>
      <c r="P51" s="3">
        <f t="shared" si="1"/>
        <v>0.19348978749635548</v>
      </c>
      <c r="Q51" s="3">
        <f t="shared" si="2"/>
        <v>4.6828188404914838E-3</v>
      </c>
      <c r="R51" s="3">
        <f t="shared" si="3"/>
        <v>0.8004203144384443</v>
      </c>
      <c r="S51" s="3">
        <f t="shared" si="4"/>
        <v>1.2726202161739951E-3</v>
      </c>
      <c r="T51" s="4">
        <f t="shared" si="5"/>
        <v>3.5869918938641732</v>
      </c>
      <c r="U51" s="5">
        <f t="shared" si="6"/>
        <v>8.6811988573783333E-2</v>
      </c>
      <c r="V51" s="14"/>
      <c r="W51" s="3">
        <f t="shared" si="7"/>
        <v>3.6738038824379564</v>
      </c>
      <c r="X51" s="3">
        <v>5.8168026248457301E-3</v>
      </c>
    </row>
    <row r="52" spans="1:25" ht="15.6" x14ac:dyDescent="0.3">
      <c r="A52" s="1" t="s">
        <v>23</v>
      </c>
      <c r="B52" s="1">
        <v>60</v>
      </c>
      <c r="C52" s="12">
        <f>+'Flow rate'!E51</f>
        <v>70.670411999999999</v>
      </c>
      <c r="D52" s="1" t="s">
        <v>27</v>
      </c>
      <c r="E52" s="1" t="s">
        <v>25</v>
      </c>
      <c r="F52" s="1" t="s">
        <v>24</v>
      </c>
      <c r="G52" s="1">
        <v>-0.5</v>
      </c>
      <c r="H52" s="15">
        <v>45444.47247685185</v>
      </c>
      <c r="I52" s="2">
        <v>16.39670749992365</v>
      </c>
      <c r="J52" s="22">
        <v>16.669597095094694</v>
      </c>
      <c r="K52" s="22">
        <v>1.849117729167999E-2</v>
      </c>
      <c r="L52" s="22">
        <v>86.983677723221049</v>
      </c>
      <c r="N52" s="22">
        <v>2.7127910576316014E-2</v>
      </c>
      <c r="O52" s="22">
        <v>0</v>
      </c>
      <c r="P52" s="3">
        <f t="shared" si="1"/>
        <v>0.16074999903254186</v>
      </c>
      <c r="Q52" s="3">
        <f t="shared" si="2"/>
        <v>1.7831605135932248E-4</v>
      </c>
      <c r="R52" s="3">
        <f t="shared" si="3"/>
        <v>0.83881008221664433</v>
      </c>
      <c r="S52" s="3">
        <f t="shared" si="4"/>
        <v>2.6160269945462101E-4</v>
      </c>
      <c r="T52" s="4">
        <f t="shared" si="5"/>
        <v>3.0071207728966285</v>
      </c>
      <c r="U52" s="5">
        <f t="shared" si="6"/>
        <v>3.3357256946233019E-3</v>
      </c>
      <c r="V52" s="14"/>
      <c r="W52" s="3">
        <f t="shared" si="7"/>
        <v>3.0104564985912519</v>
      </c>
      <c r="X52" s="3">
        <v>2.1263830110043193E-4</v>
      </c>
      <c r="Y52">
        <v>87.002200000000002</v>
      </c>
    </row>
    <row r="53" spans="1:25" ht="15.6" x14ac:dyDescent="0.3">
      <c r="A53" s="1" t="s">
        <v>23</v>
      </c>
      <c r="B53" s="1">
        <v>60</v>
      </c>
      <c r="C53" s="12">
        <f>+'Flow rate'!E52</f>
        <v>71.222721000000007</v>
      </c>
      <c r="D53" s="1" t="s">
        <v>27</v>
      </c>
      <c r="E53" s="1" t="s">
        <v>25</v>
      </c>
      <c r="F53" s="1" t="s">
        <v>24</v>
      </c>
      <c r="G53" s="1">
        <v>-0.5</v>
      </c>
      <c r="H53" s="15">
        <v>45444.482905092591</v>
      </c>
      <c r="I53" s="2">
        <v>16.646985277708154</v>
      </c>
      <c r="J53" s="22">
        <v>16.384360928636486</v>
      </c>
      <c r="K53" s="22">
        <v>3.0811287904885698E-3</v>
      </c>
      <c r="L53" s="22">
        <v>87.212772088909688</v>
      </c>
      <c r="N53" s="22">
        <v>2.2889374115885965E-2</v>
      </c>
      <c r="O53" s="22">
        <v>0</v>
      </c>
      <c r="P53" s="3">
        <f t="shared" si="1"/>
        <v>0.1581149412824007</v>
      </c>
      <c r="Q53" s="3">
        <f t="shared" si="2"/>
        <v>2.9733994503266673E-5</v>
      </c>
      <c r="R53" s="3">
        <f t="shared" si="3"/>
        <v>0.84163443407865224</v>
      </c>
      <c r="S53" s="3">
        <f t="shared" si="4"/>
        <v>2.2089064444367066E-4</v>
      </c>
      <c r="T53" s="4">
        <f t="shared" si="5"/>
        <v>2.9809434760560771</v>
      </c>
      <c r="U53" s="5">
        <f t="shared" si="6"/>
        <v>5.605754662571271E-4</v>
      </c>
      <c r="V53" s="14"/>
      <c r="W53" s="3">
        <f t="shared" si="7"/>
        <v>2.9815040515223341</v>
      </c>
      <c r="X53" s="3">
        <v>3.5543977646277798E-5</v>
      </c>
    </row>
    <row r="54" spans="1:25" ht="15.6" x14ac:dyDescent="0.3">
      <c r="A54" s="1" t="s">
        <v>23</v>
      </c>
      <c r="B54" s="1">
        <v>60</v>
      </c>
      <c r="C54" s="12">
        <f>+'Flow rate'!E53</f>
        <v>71.730975000000001</v>
      </c>
      <c r="D54" s="1" t="s">
        <v>27</v>
      </c>
      <c r="E54" s="1" t="s">
        <v>25</v>
      </c>
      <c r="F54" s="1" t="s">
        <v>24</v>
      </c>
      <c r="G54" s="1">
        <v>-0.5</v>
      </c>
      <c r="H54" s="15">
        <v>45444.493321759262</v>
      </c>
      <c r="I54" s="2">
        <v>16.896985277824569</v>
      </c>
      <c r="J54" s="22">
        <v>16.268899724961202</v>
      </c>
      <c r="K54" s="22">
        <v>2.0503918604225999E-3</v>
      </c>
      <c r="L54" s="22">
        <v>87.43766864392191</v>
      </c>
      <c r="N54" s="22">
        <v>2.1308890833995495E-2</v>
      </c>
      <c r="O54" s="22">
        <v>0</v>
      </c>
      <c r="P54" s="3">
        <f t="shared" si="1"/>
        <v>0.15683901544410056</v>
      </c>
      <c r="Q54" s="3">
        <f t="shared" si="2"/>
        <v>1.9766637332571372E-5</v>
      </c>
      <c r="R54" s="3">
        <f t="shared" si="3"/>
        <v>0.84293579127539431</v>
      </c>
      <c r="S54" s="3">
        <f t="shared" si="4"/>
        <v>2.0542664317255434E-4</v>
      </c>
      <c r="T54" s="4">
        <f t="shared" si="5"/>
        <v>2.9779891416094451</v>
      </c>
      <c r="U54" s="5">
        <f t="shared" si="6"/>
        <v>3.7532007693270435E-4</v>
      </c>
      <c r="V54" s="14"/>
      <c r="W54" s="3">
        <f t="shared" si="7"/>
        <v>2.9783644616863776</v>
      </c>
      <c r="X54" s="3">
        <v>2.4016523368077235E-5</v>
      </c>
      <c r="Y54">
        <v>87.439800000000005</v>
      </c>
    </row>
    <row r="55" spans="1:25" ht="15.6" x14ac:dyDescent="0.3">
      <c r="A55" s="1" t="s">
        <v>23</v>
      </c>
      <c r="B55" s="1">
        <v>60</v>
      </c>
      <c r="C55" s="12">
        <f>+'Flow rate'!E54</f>
        <v>71.869799999999998</v>
      </c>
      <c r="D55" s="1" t="s">
        <v>27</v>
      </c>
      <c r="E55" s="1" t="s">
        <v>25</v>
      </c>
      <c r="F55" s="1" t="s">
        <v>24</v>
      </c>
      <c r="G55" s="1">
        <v>-0.5</v>
      </c>
      <c r="H55" s="15">
        <v>45444.503761574073</v>
      </c>
      <c r="I55" s="2">
        <v>17.147540833277162</v>
      </c>
      <c r="J55" s="22">
        <v>16.179557510425163</v>
      </c>
      <c r="K55" s="22">
        <v>6.284698175640052E-4</v>
      </c>
      <c r="L55" s="22">
        <v>87.510359139583514</v>
      </c>
      <c r="N55" s="22">
        <v>2.0886614350891071E-2</v>
      </c>
      <c r="O55" s="22">
        <v>0</v>
      </c>
      <c r="P55" s="3">
        <f t="shared" si="1"/>
        <v>0.15600553612927651</v>
      </c>
      <c r="Q55" s="3">
        <f t="shared" si="2"/>
        <v>6.0597930918053162E-6</v>
      </c>
      <c r="R55" s="3">
        <f t="shared" si="3"/>
        <v>0.84378701244701171</v>
      </c>
      <c r="S55" s="3">
        <f t="shared" si="4"/>
        <v>2.0139163062009955E-4</v>
      </c>
      <c r="T55" s="4">
        <f t="shared" si="5"/>
        <v>2.9678962506678093</v>
      </c>
      <c r="U55" s="5">
        <f t="shared" si="6"/>
        <v>1.1528332675379075E-4</v>
      </c>
      <c r="V55" s="14"/>
      <c r="W55" s="3">
        <f t="shared" si="7"/>
        <v>2.968011533994563</v>
      </c>
      <c r="X55" s="3">
        <v>6.8562809246837527E-6</v>
      </c>
    </row>
    <row r="56" spans="1:25" ht="15.6" x14ac:dyDescent="0.3">
      <c r="A56" s="1" t="s">
        <v>23</v>
      </c>
      <c r="B56" s="1">
        <v>60</v>
      </c>
      <c r="C56" s="12">
        <f>+'Flow rate'!E55</f>
        <v>71.755037000000002</v>
      </c>
      <c r="D56" s="1" t="s">
        <v>27</v>
      </c>
      <c r="E56" s="1" t="s">
        <v>25</v>
      </c>
      <c r="F56" s="1" t="s">
        <v>24</v>
      </c>
      <c r="G56" s="1">
        <v>-0.5</v>
      </c>
      <c r="H56" s="15">
        <v>45444.514178240737</v>
      </c>
      <c r="I56" s="2">
        <v>17.397540833218955</v>
      </c>
      <c r="J56" s="22">
        <v>16.110762542361059</v>
      </c>
      <c r="K56" s="22">
        <v>0</v>
      </c>
      <c r="L56" s="22">
        <v>87.611488239152507</v>
      </c>
      <c r="N56" s="22">
        <v>1.8610282037028213E-2</v>
      </c>
      <c r="O56" s="22">
        <v>0</v>
      </c>
      <c r="P56" s="3">
        <f t="shared" si="1"/>
        <v>0.15529813785227567</v>
      </c>
      <c r="Q56" s="3">
        <f t="shared" si="2"/>
        <v>0</v>
      </c>
      <c r="R56" s="3">
        <f t="shared" si="3"/>
        <v>0.84452247013337012</v>
      </c>
      <c r="S56" s="3">
        <f t="shared" si="4"/>
        <v>1.7939201435418725E-4</v>
      </c>
      <c r="T56" s="4">
        <f t="shared" si="5"/>
        <v>2.9497207920741442</v>
      </c>
      <c r="U56" s="5">
        <f t="shared" si="6"/>
        <v>0</v>
      </c>
      <c r="V56" s="14"/>
      <c r="W56" s="3">
        <f t="shared" si="7"/>
        <v>2.9497207920741442</v>
      </c>
      <c r="X56" s="3">
        <v>0</v>
      </c>
      <c r="Y56">
        <v>87.611500000000007</v>
      </c>
    </row>
    <row r="57" spans="1:25" ht="15.6" x14ac:dyDescent="0.3">
      <c r="A57" s="1" t="s">
        <v>23</v>
      </c>
      <c r="B57" s="1">
        <v>60</v>
      </c>
      <c r="C57" s="12">
        <f>+'Flow rate'!E56</f>
        <v>72.233262999999994</v>
      </c>
      <c r="D57" s="1" t="s">
        <v>27</v>
      </c>
      <c r="E57" s="1" t="s">
        <v>25</v>
      </c>
      <c r="F57" s="1" t="s">
        <v>24</v>
      </c>
      <c r="G57" s="1">
        <v>-0.5</v>
      </c>
      <c r="H57" s="15">
        <v>45444.524618055555</v>
      </c>
      <c r="I57" s="2">
        <v>17.64809638884617</v>
      </c>
      <c r="J57" s="22">
        <v>16.075631757534556</v>
      </c>
      <c r="K57" s="22">
        <v>0</v>
      </c>
      <c r="L57" s="22">
        <v>87.552841406663177</v>
      </c>
      <c r="N57" s="22">
        <v>1.7510655575970764E-2</v>
      </c>
      <c r="O57" s="22">
        <v>0</v>
      </c>
      <c r="P57" s="3">
        <f t="shared" si="1"/>
        <v>0.15510134753979371</v>
      </c>
      <c r="Q57" s="3">
        <f t="shared" si="2"/>
        <v>0</v>
      </c>
      <c r="R57" s="3">
        <f t="shared" si="3"/>
        <v>0.84472970567683248</v>
      </c>
      <c r="S57" s="3">
        <f t="shared" si="4"/>
        <v>1.6894678337386827E-4</v>
      </c>
      <c r="T57" s="4">
        <f t="shared" si="5"/>
        <v>2.965617073260542</v>
      </c>
      <c r="U57" s="5">
        <f t="shared" si="6"/>
        <v>0</v>
      </c>
      <c r="V57" s="14"/>
      <c r="W57" s="3">
        <f t="shared" si="7"/>
        <v>2.965617073260542</v>
      </c>
      <c r="X57" s="3">
        <v>0</v>
      </c>
    </row>
    <row r="58" spans="1:25" ht="15.6" x14ac:dyDescent="0.3">
      <c r="A58" s="1" t="s">
        <v>23</v>
      </c>
      <c r="B58" s="1">
        <v>60</v>
      </c>
      <c r="C58" s="12">
        <f>+'Flow rate'!E57</f>
        <v>72.550124999999994</v>
      </c>
      <c r="D58" s="1" t="s">
        <v>27</v>
      </c>
      <c r="E58" s="1" t="s">
        <v>25</v>
      </c>
      <c r="F58" s="1" t="s">
        <v>24</v>
      </c>
      <c r="G58" s="1">
        <v>-0.5</v>
      </c>
      <c r="H58" s="15">
        <v>45444.535046296296</v>
      </c>
      <c r="I58" s="2">
        <v>17.898374166630674</v>
      </c>
      <c r="J58" s="22">
        <v>16.05599134231257</v>
      </c>
      <c r="K58" s="22">
        <v>0</v>
      </c>
      <c r="L58" s="22">
        <v>87.738654146426057</v>
      </c>
      <c r="N58" s="22">
        <v>1.7510536992291513E-2</v>
      </c>
      <c r="O58" s="22">
        <v>0</v>
      </c>
      <c r="P58" s="3">
        <f t="shared" si="1"/>
        <v>0.15466388481839186</v>
      </c>
      <c r="Q58" s="3">
        <f t="shared" si="2"/>
        <v>0</v>
      </c>
      <c r="R58" s="3">
        <f t="shared" si="3"/>
        <v>0.8451674399737843</v>
      </c>
      <c r="S58" s="3">
        <f t="shared" si="4"/>
        <v>1.6867520782394064E-4</v>
      </c>
      <c r="T58" s="4">
        <f t="shared" si="5"/>
        <v>2.9702249925250612</v>
      </c>
      <c r="U58" s="5">
        <f t="shared" si="6"/>
        <v>0</v>
      </c>
      <c r="V58" s="14"/>
      <c r="W58" s="3">
        <f t="shared" si="7"/>
        <v>2.9702249925250612</v>
      </c>
      <c r="X58" s="3">
        <v>0</v>
      </c>
      <c r="Y58">
        <v>87.738699999999994</v>
      </c>
    </row>
    <row r="59" spans="1:25" ht="15.6" x14ac:dyDescent="0.3">
      <c r="A59" s="1" t="s">
        <v>23</v>
      </c>
      <c r="B59" s="1">
        <v>60</v>
      </c>
      <c r="C59" s="12">
        <f>+'Flow rate'!E58</f>
        <v>72.762540999999999</v>
      </c>
      <c r="D59" s="1" t="s">
        <v>27</v>
      </c>
      <c r="E59" s="1" t="s">
        <v>25</v>
      </c>
      <c r="F59" s="1" t="s">
        <v>24</v>
      </c>
      <c r="G59" s="1">
        <v>-0.5</v>
      </c>
      <c r="H59" s="15">
        <v>45444.552766203706</v>
      </c>
      <c r="I59" s="2">
        <v>18.323651944461744</v>
      </c>
      <c r="J59" s="22">
        <v>15.997968954450938</v>
      </c>
      <c r="K59" s="22">
        <v>0</v>
      </c>
      <c r="L59" s="22">
        <v>87.996535163751332</v>
      </c>
      <c r="N59" s="22">
        <v>2.4351985220240312E-2</v>
      </c>
      <c r="O59" s="22">
        <v>3.1315783749676128E-3</v>
      </c>
      <c r="P59" s="3">
        <f t="shared" si="1"/>
        <v>0.15379410940875898</v>
      </c>
      <c r="Q59" s="3">
        <f t="shared" si="2"/>
        <v>0</v>
      </c>
      <c r="R59" s="3">
        <f t="shared" si="3"/>
        <v>0.8459416814157803</v>
      </c>
      <c r="S59" s="3">
        <f t="shared" si="4"/>
        <v>2.3410420972470611E-4</v>
      </c>
      <c r="T59" s="4">
        <f t="shared" si="5"/>
        <v>2.9621689621907086</v>
      </c>
      <c r="U59" s="5">
        <f t="shared" si="6"/>
        <v>0</v>
      </c>
      <c r="V59" s="14"/>
      <c r="W59" s="3">
        <f t="shared" si="7"/>
        <v>2.9621689621907086</v>
      </c>
      <c r="X59" s="3">
        <v>0</v>
      </c>
    </row>
    <row r="60" spans="1:25" ht="15.6" x14ac:dyDescent="0.3">
      <c r="A60" s="1" t="s">
        <v>23</v>
      </c>
      <c r="B60" s="1">
        <v>60</v>
      </c>
      <c r="C60" s="12">
        <f>+'Flow rate'!E59</f>
        <v>72.620087999999996</v>
      </c>
      <c r="D60" s="1" t="s">
        <v>27</v>
      </c>
      <c r="E60" s="1" t="s">
        <v>25</v>
      </c>
      <c r="F60" s="1" t="s">
        <v>24</v>
      </c>
      <c r="G60" s="1">
        <v>-0.5</v>
      </c>
      <c r="H60" s="15">
        <v>45444.56318287037</v>
      </c>
      <c r="I60" s="2">
        <v>18.573651944403537</v>
      </c>
      <c r="J60" s="22">
        <v>15.991266697819835</v>
      </c>
      <c r="K60" s="22">
        <v>0</v>
      </c>
      <c r="L60" s="22">
        <v>87.809444621492631</v>
      </c>
      <c r="N60" s="22">
        <v>2.0077517904887716E-2</v>
      </c>
      <c r="O60" s="22">
        <v>0</v>
      </c>
      <c r="P60" s="3">
        <f t="shared" si="1"/>
        <v>0.15402759771834187</v>
      </c>
      <c r="Q60" s="3">
        <f t="shared" si="2"/>
        <v>0</v>
      </c>
      <c r="R60" s="3">
        <f t="shared" si="3"/>
        <v>0.84577901598465766</v>
      </c>
      <c r="S60" s="3">
        <f t="shared" si="4"/>
        <v>1.9338629700037867E-4</v>
      </c>
      <c r="T60" s="4">
        <f t="shared" si="5"/>
        <v>2.9608580127719515</v>
      </c>
      <c r="U60" s="5">
        <f t="shared" si="6"/>
        <v>0</v>
      </c>
      <c r="V60" s="14"/>
      <c r="W60" s="3">
        <f t="shared" si="7"/>
        <v>2.9608580127719515</v>
      </c>
      <c r="X60" s="3">
        <v>0</v>
      </c>
      <c r="Y60">
        <v>87.809399999999997</v>
      </c>
    </row>
    <row r="61" spans="1:25" ht="15.6" x14ac:dyDescent="0.3">
      <c r="A61" s="1" t="s">
        <v>23</v>
      </c>
      <c r="B61" s="1">
        <v>60</v>
      </c>
      <c r="C61" s="12">
        <f>+'Flow rate'!E60</f>
        <v>72.654904999999999</v>
      </c>
      <c r="D61" s="1" t="s">
        <v>27</v>
      </c>
      <c r="E61" s="1" t="s">
        <v>25</v>
      </c>
      <c r="F61" s="1" t="s">
        <v>24</v>
      </c>
      <c r="G61" s="1">
        <v>-0.5</v>
      </c>
      <c r="H61" s="15">
        <v>45444.573599537034</v>
      </c>
      <c r="I61" s="2">
        <v>18.823651944345329</v>
      </c>
      <c r="J61" s="22">
        <v>15.970483260410115</v>
      </c>
      <c r="K61" s="22">
        <v>0</v>
      </c>
      <c r="L61" s="22">
        <v>87.78895083812364</v>
      </c>
      <c r="N61" s="22">
        <v>1.9445466892547017E-2</v>
      </c>
      <c r="O61" s="22">
        <v>0</v>
      </c>
      <c r="P61" s="3">
        <f t="shared" si="1"/>
        <v>0.15388953250686899</v>
      </c>
      <c r="Q61" s="3">
        <f t="shared" si="2"/>
        <v>0</v>
      </c>
      <c r="R61" s="3">
        <f t="shared" si="3"/>
        <v>0.84592309346313588</v>
      </c>
      <c r="S61" s="3">
        <f t="shared" si="4"/>
        <v>1.8737402999507069E-4</v>
      </c>
      <c r="T61" s="4">
        <f t="shared" si="5"/>
        <v>2.9596222805511458</v>
      </c>
      <c r="U61" s="5">
        <f t="shared" si="6"/>
        <v>0</v>
      </c>
      <c r="V61" s="14"/>
      <c r="W61" s="3">
        <f t="shared" si="7"/>
        <v>2.9596222805511458</v>
      </c>
      <c r="X61" s="3">
        <v>0</v>
      </c>
    </row>
    <row r="62" spans="1:25" ht="15.6" x14ac:dyDescent="0.3">
      <c r="A62" s="1" t="s">
        <v>23</v>
      </c>
      <c r="B62" s="1">
        <v>60</v>
      </c>
      <c r="C62" s="12">
        <f>+'Flow rate'!E61</f>
        <v>72.581455000000005</v>
      </c>
      <c r="D62" s="1" t="s">
        <v>27</v>
      </c>
      <c r="E62" s="1" t="s">
        <v>25</v>
      </c>
      <c r="F62" s="1" t="s">
        <v>24</v>
      </c>
      <c r="G62" s="1">
        <v>-0.5</v>
      </c>
      <c r="H62" s="15">
        <v>45444.584039351852</v>
      </c>
      <c r="I62" s="2">
        <v>19.074207499972545</v>
      </c>
      <c r="J62" s="22">
        <v>15.955337583284187</v>
      </c>
      <c r="K62" s="22">
        <v>0</v>
      </c>
      <c r="L62" s="22">
        <v>87.864659316221406</v>
      </c>
      <c r="N62" s="22">
        <v>1.9650616658278469E-2</v>
      </c>
      <c r="O62" s="22">
        <v>0</v>
      </c>
      <c r="P62" s="3">
        <f t="shared" si="1"/>
        <v>0.15365361848710579</v>
      </c>
      <c r="Q62" s="3">
        <f t="shared" si="2"/>
        <v>0</v>
      </c>
      <c r="R62" s="3">
        <f t="shared" si="3"/>
        <v>0.84615714149592258</v>
      </c>
      <c r="S62" s="3">
        <f t="shared" si="4"/>
        <v>1.8924001697154851E-4</v>
      </c>
      <c r="T62" s="4">
        <f t="shared" si="5"/>
        <v>2.9520977293487927</v>
      </c>
      <c r="U62" s="5">
        <f t="shared" si="6"/>
        <v>0</v>
      </c>
      <c r="V62" s="14"/>
      <c r="W62" s="3">
        <f t="shared" si="7"/>
        <v>2.9520977293487927</v>
      </c>
      <c r="X62" s="3">
        <v>0</v>
      </c>
      <c r="Y62">
        <v>87.864699999999999</v>
      </c>
    </row>
    <row r="63" spans="1:25" ht="15.6" x14ac:dyDescent="0.3">
      <c r="A63" s="1" t="s">
        <v>23</v>
      </c>
      <c r="B63" s="1">
        <v>60</v>
      </c>
      <c r="C63" s="12">
        <f>+'Flow rate'!E62</f>
        <v>55.956791000000003</v>
      </c>
      <c r="D63" s="1" t="s">
        <v>27</v>
      </c>
      <c r="E63" s="1" t="s">
        <v>25</v>
      </c>
      <c r="F63" s="1" t="s">
        <v>24</v>
      </c>
      <c r="G63" s="1">
        <v>-0.5</v>
      </c>
      <c r="H63" s="15">
        <v>45444.594456018516</v>
      </c>
      <c r="I63" s="2">
        <v>19.324207499914337</v>
      </c>
      <c r="J63" s="23">
        <v>11.577882656404475</v>
      </c>
      <c r="K63" s="23">
        <v>0</v>
      </c>
      <c r="L63" s="23">
        <v>92.992294347176454</v>
      </c>
      <c r="N63" s="23">
        <v>1.9697931546444405E-2</v>
      </c>
      <c r="O63" s="23">
        <v>3.6781299226727655E-3</v>
      </c>
      <c r="P63" s="3">
        <f t="shared" si="1"/>
        <v>0.11069403722430027</v>
      </c>
      <c r="Q63" s="3">
        <f t="shared" si="2"/>
        <v>0</v>
      </c>
      <c r="R63" s="3">
        <f t="shared" si="3"/>
        <v>0.88908246848963624</v>
      </c>
      <c r="S63" s="3">
        <f t="shared" si="4"/>
        <v>1.8832835264897863E-4</v>
      </c>
      <c r="T63" s="4">
        <f t="shared" si="5"/>
        <v>1.6396052358666062</v>
      </c>
      <c r="U63" s="5">
        <f t="shared" si="6"/>
        <v>0</v>
      </c>
      <c r="V63" s="14"/>
      <c r="W63" s="3">
        <f t="shared" si="7"/>
        <v>1.6396052358666062</v>
      </c>
      <c r="X63" s="3">
        <v>0</v>
      </c>
    </row>
    <row r="64" spans="1:25" x14ac:dyDescent="0.3">
      <c r="A64" s="1"/>
      <c r="B64" s="1"/>
      <c r="C64" s="12"/>
      <c r="D64" s="1"/>
      <c r="E64" s="1"/>
      <c r="F64" s="1"/>
      <c r="G64" s="1"/>
      <c r="H64" s="15"/>
      <c r="I64" s="2"/>
      <c r="J64" s="13"/>
      <c r="K64" s="13"/>
      <c r="P64" s="3"/>
      <c r="Q64" s="3"/>
      <c r="R64" s="3"/>
    </row>
    <row r="65" spans="1:18" x14ac:dyDescent="0.3">
      <c r="A65" s="1"/>
      <c r="B65" s="1"/>
      <c r="C65" s="12"/>
      <c r="D65" s="1"/>
      <c r="E65" s="1"/>
      <c r="F65" s="1"/>
      <c r="G65" s="1"/>
      <c r="H65" s="15"/>
      <c r="I65" s="2"/>
      <c r="J65" s="13"/>
      <c r="K65" s="13"/>
      <c r="P65" s="3"/>
      <c r="Q65" s="3"/>
      <c r="R65" s="3"/>
    </row>
    <row r="66" spans="1:18" x14ac:dyDescent="0.3">
      <c r="A66" s="1"/>
      <c r="B66" s="1"/>
      <c r="C66" s="12"/>
      <c r="D66" s="1"/>
      <c r="E66" s="1"/>
      <c r="F66" s="1"/>
      <c r="G66" s="1"/>
      <c r="H66" s="15"/>
      <c r="I66" s="2"/>
      <c r="J66" s="13"/>
      <c r="K66" s="13"/>
      <c r="P66" s="3"/>
      <c r="Q66" s="3"/>
      <c r="R66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A370-7A5C-4F40-B963-C8D7C0869325}">
  <dimension ref="A1:E1454"/>
  <sheetViews>
    <sheetView topLeftCell="A49" workbookViewId="0">
      <selection activeCell="C63" sqref="C63:E1454"/>
    </sheetView>
  </sheetViews>
  <sheetFormatPr defaultRowHeight="14.4" x14ac:dyDescent="0.3"/>
  <cols>
    <col min="1" max="1" width="18.109375" bestFit="1" customWidth="1"/>
    <col min="3" max="4" width="13.44140625" bestFit="1" customWidth="1"/>
  </cols>
  <sheetData>
    <row r="1" spans="1:5" x14ac:dyDescent="0.3">
      <c r="A1" s="17"/>
      <c r="B1" s="18" t="s">
        <v>28</v>
      </c>
      <c r="C1" s="19">
        <f>+Sheet1!H2</f>
        <v>45443.78928070602</v>
      </c>
      <c r="D1" s="20">
        <f t="shared" ref="D1:D2" si="0">+C1-2/24</f>
        <v>45443.705947372684</v>
      </c>
      <c r="E1" cm="1">
        <f t="array" ref="E1">INDEX(B$1:B$224233, MATCH(D1,A$1:A$224233,1) +0)</f>
        <v>58.815907000000003</v>
      </c>
    </row>
    <row r="2" spans="1:5" x14ac:dyDescent="0.3">
      <c r="A2" s="21">
        <v>45443.609722000001</v>
      </c>
      <c r="B2" s="18">
        <v>0</v>
      </c>
      <c r="C2" s="19">
        <f>+Sheet1!H3</f>
        <v>45443.79283564815</v>
      </c>
      <c r="D2" s="20">
        <f t="shared" si="0"/>
        <v>45443.709502314814</v>
      </c>
      <c r="E2" cm="1">
        <f t="array" ref="E2">INDEX(B$1:B$224233, MATCH(D2,A$1:A$224233,1) +0)</f>
        <v>60.413027999999997</v>
      </c>
    </row>
    <row r="3" spans="1:5" x14ac:dyDescent="0.3">
      <c r="A3" s="21">
        <v>45443.610417000004</v>
      </c>
      <c r="B3" s="18">
        <v>26.609639000000001</v>
      </c>
      <c r="C3" s="19">
        <f>+Sheet1!H4</f>
        <v>45443.808472222219</v>
      </c>
      <c r="D3" s="20">
        <f t="shared" ref="D3:D62" si="1">+C3-2/24</f>
        <v>45443.725138888884</v>
      </c>
      <c r="E3" cm="1">
        <f t="array" ref="E3">INDEX(B$1:B$224233, MATCH(D3,A$1:A$224233,1) +0)</f>
        <v>61.367046999999999</v>
      </c>
    </row>
    <row r="4" spans="1:5" x14ac:dyDescent="0.3">
      <c r="A4" s="21">
        <v>45443.611110999998</v>
      </c>
      <c r="B4" s="18">
        <v>44.966346000000001</v>
      </c>
      <c r="C4" s="19">
        <f>+Sheet1!H5</f>
        <v>45443.824097222219</v>
      </c>
      <c r="D4" s="20">
        <f t="shared" si="1"/>
        <v>45443.740763888884</v>
      </c>
      <c r="E4" cm="1">
        <f t="array" ref="E4">INDEX(B$1:B$224233, MATCH(D4,A$1:A$224233,1) +0)</f>
        <v>61.254046000000002</v>
      </c>
    </row>
    <row r="5" spans="1:5" x14ac:dyDescent="0.3">
      <c r="A5" s="21">
        <v>45443.611806000001</v>
      </c>
      <c r="B5" s="18">
        <v>30.416798</v>
      </c>
      <c r="C5" s="19">
        <f>+Sheet1!H6</f>
        <v>45443.839756944442</v>
      </c>
      <c r="D5" s="20">
        <f t="shared" si="1"/>
        <v>45443.756423611107</v>
      </c>
      <c r="E5" cm="1">
        <f t="array" ref="E5">INDEX(B$1:B$224233, MATCH(D5,A$1:A$224233,1) +0)</f>
        <v>61.057260999999997</v>
      </c>
    </row>
    <row r="6" spans="1:5" x14ac:dyDescent="0.3">
      <c r="A6" s="21">
        <v>45443.612500000003</v>
      </c>
      <c r="B6" s="18">
        <v>37.172204999999998</v>
      </c>
      <c r="C6" s="19">
        <f>+Sheet1!H7</f>
        <v>45443.855405092596</v>
      </c>
      <c r="D6" s="20">
        <f t="shared" si="1"/>
        <v>45443.77207175926</v>
      </c>
      <c r="E6" cm="1">
        <f t="array" ref="E6">INDEX(B$1:B$224233, MATCH(D6,A$1:A$224233,1) +0)</f>
        <v>61.700918999999999</v>
      </c>
    </row>
    <row r="7" spans="1:5" x14ac:dyDescent="0.3">
      <c r="A7" s="21">
        <v>45443.613193999998</v>
      </c>
      <c r="B7" s="18">
        <v>45.621313999999998</v>
      </c>
      <c r="C7" s="19">
        <f>+Sheet1!H8</f>
        <v>45443.871041666665</v>
      </c>
      <c r="D7" s="20">
        <f t="shared" si="1"/>
        <v>45443.78770833333</v>
      </c>
      <c r="E7" cm="1">
        <f t="array" ref="E7">INDEX(B$1:B$224233, MATCH(D7,A$1:A$224233,1) +0)</f>
        <v>61.782924000000001</v>
      </c>
    </row>
    <row r="8" spans="1:5" x14ac:dyDescent="0.3">
      <c r="A8" s="21">
        <v>45443.613889</v>
      </c>
      <c r="B8" s="18">
        <v>45.698639</v>
      </c>
      <c r="C8" s="19">
        <f>+Sheet1!H9</f>
        <v>45443.886666666665</v>
      </c>
      <c r="D8" s="20">
        <f t="shared" si="1"/>
        <v>45443.80333333333</v>
      </c>
      <c r="E8" cm="1">
        <f t="array" ref="E8">INDEX(B$1:B$224233, MATCH(D8,A$1:A$224233,1) +0)</f>
        <v>63.533285999999997</v>
      </c>
    </row>
    <row r="9" spans="1:5" x14ac:dyDescent="0.3">
      <c r="A9" s="21">
        <v>45443.614583000002</v>
      </c>
      <c r="B9" s="18">
        <v>45.845560999999996</v>
      </c>
      <c r="C9" s="19">
        <f>+Sheet1!H10</f>
        <v>45443.902314814812</v>
      </c>
      <c r="D9" s="20">
        <f t="shared" si="1"/>
        <v>45443.818981481476</v>
      </c>
      <c r="E9" cm="1">
        <f t="array" ref="E9">INDEX(B$1:B$224233, MATCH(D9,A$1:A$224233,1) +0)</f>
        <v>63.664310999999998</v>
      </c>
    </row>
    <row r="10" spans="1:5" x14ac:dyDescent="0.3">
      <c r="A10" s="21">
        <v>45443.615277999997</v>
      </c>
      <c r="B10" s="18">
        <v>46.211433</v>
      </c>
      <c r="C10" s="19">
        <f>+Sheet1!H11</f>
        <v>45443.925243055557</v>
      </c>
      <c r="D10" s="20">
        <f t="shared" si="1"/>
        <v>45443.841909722221</v>
      </c>
      <c r="E10" cm="1">
        <f t="array" ref="E10">INDEX(B$1:B$224233, MATCH(D10,A$1:A$224233,1) +0)</f>
        <v>63.458613999999997</v>
      </c>
    </row>
    <row r="11" spans="1:5" x14ac:dyDescent="0.3">
      <c r="A11" s="21">
        <v>45443.615972</v>
      </c>
      <c r="B11" s="18">
        <v>46.171076999999997</v>
      </c>
      <c r="C11" s="19">
        <f>+Sheet1!H12</f>
        <v>45443.940879629627</v>
      </c>
      <c r="D11" s="20">
        <f t="shared" si="1"/>
        <v>45443.857546296291</v>
      </c>
      <c r="E11" cm="1">
        <f t="array" ref="E11">INDEX(B$1:B$224233, MATCH(D11,A$1:A$224233,1) +0)</f>
        <v>63.347825999999998</v>
      </c>
    </row>
    <row r="12" spans="1:5" x14ac:dyDescent="0.3">
      <c r="A12" s="21">
        <v>45443.616667000002</v>
      </c>
      <c r="B12" s="18">
        <v>45.696553999999999</v>
      </c>
      <c r="C12" s="19">
        <f>+Sheet1!H13</f>
        <v>45443.956493055557</v>
      </c>
      <c r="D12" s="20">
        <f t="shared" si="1"/>
        <v>45443.873159722221</v>
      </c>
      <c r="E12" cm="1">
        <f t="array" ref="E12">INDEX(B$1:B$224233, MATCH(D12,A$1:A$224233,1) +0)</f>
        <v>64.646482000000006</v>
      </c>
    </row>
    <row r="13" spans="1:5" x14ac:dyDescent="0.3">
      <c r="A13" s="21">
        <v>45443.617360999997</v>
      </c>
      <c r="B13" s="18">
        <v>45.774403</v>
      </c>
      <c r="C13" s="19">
        <f>+Sheet1!H14</f>
        <v>45443.972129629627</v>
      </c>
      <c r="D13" s="20">
        <f t="shared" si="1"/>
        <v>45443.888796296291</v>
      </c>
      <c r="E13" cm="1">
        <f t="array" ref="E13">INDEX(B$1:B$224233, MATCH(D13,A$1:A$224233,1) +0)</f>
        <v>65.777473999999998</v>
      </c>
    </row>
    <row r="14" spans="1:5" x14ac:dyDescent="0.3">
      <c r="A14" s="21">
        <v>45443.618055999999</v>
      </c>
      <c r="B14" s="18">
        <v>46.609493999999998</v>
      </c>
      <c r="C14" s="19">
        <f>+Sheet1!H15</f>
        <v>45443.987766203703</v>
      </c>
      <c r="D14" s="20">
        <f t="shared" si="1"/>
        <v>45443.904432870368</v>
      </c>
      <c r="E14" cm="1">
        <f t="array" ref="E14">INDEX(B$1:B$224233, MATCH(D14,A$1:A$224233,1) +0)</f>
        <v>65.957442999999998</v>
      </c>
    </row>
    <row r="15" spans="1:5" x14ac:dyDescent="0.3">
      <c r="A15" s="21">
        <v>45443.618750000001</v>
      </c>
      <c r="B15" s="18">
        <v>46.361842000000003</v>
      </c>
      <c r="C15" s="19">
        <f>+Sheet1!H16</f>
        <v>45444.00340277778</v>
      </c>
      <c r="D15" s="20">
        <f t="shared" si="1"/>
        <v>45443.920069444444</v>
      </c>
      <c r="E15" cm="1">
        <f t="array" ref="E15">INDEX(B$1:B$224233, MATCH(D15,A$1:A$224233,1) +0)</f>
        <v>65.615140999999994</v>
      </c>
    </row>
    <row r="16" spans="1:5" x14ac:dyDescent="0.3">
      <c r="A16" s="21">
        <v>45443.619444000004</v>
      </c>
      <c r="B16" s="18">
        <v>46.807628000000001</v>
      </c>
      <c r="C16" s="19">
        <f>+Sheet1!H17</f>
        <v>45444.01903935185</v>
      </c>
      <c r="D16" s="20">
        <f t="shared" si="1"/>
        <v>45443.935706018514</v>
      </c>
      <c r="E16" cm="1">
        <f t="array" ref="E16">INDEX(B$1:B$224233, MATCH(D16,A$1:A$224233,1) +0)</f>
        <v>65.324658999999997</v>
      </c>
    </row>
    <row r="17" spans="1:5" x14ac:dyDescent="0.3">
      <c r="A17" s="21">
        <v>45443.620138999999</v>
      </c>
      <c r="B17" s="18">
        <v>47.454776000000003</v>
      </c>
      <c r="C17" s="19">
        <f>+Sheet1!H18</f>
        <v>45444.03466435185</v>
      </c>
      <c r="D17" s="20">
        <f t="shared" si="1"/>
        <v>45443.951331018514</v>
      </c>
      <c r="E17" cm="1">
        <f t="array" ref="E17">INDEX(B$1:B$224233, MATCH(D17,A$1:A$224233,1) +0)</f>
        <v>65.369837000000004</v>
      </c>
    </row>
    <row r="18" spans="1:5" x14ac:dyDescent="0.3">
      <c r="A18" s="21">
        <v>45443.620833000001</v>
      </c>
      <c r="B18" s="18">
        <v>47.260469999999998</v>
      </c>
      <c r="C18" s="19">
        <f>+Sheet1!H19</f>
        <v>45444.057592592595</v>
      </c>
      <c r="D18" s="20">
        <f t="shared" si="1"/>
        <v>45443.974259259259</v>
      </c>
      <c r="E18" cm="1">
        <f t="array" ref="E18">INDEX(B$1:B$224233, MATCH(D18,A$1:A$224233,1) +0)</f>
        <v>67.931335000000004</v>
      </c>
    </row>
    <row r="19" spans="1:5" x14ac:dyDescent="0.3">
      <c r="A19" s="21">
        <v>45443.621528000003</v>
      </c>
      <c r="B19" s="18">
        <v>46.937308999999999</v>
      </c>
      <c r="C19" s="19">
        <f>+Sheet1!H20</f>
        <v>45444.073229166665</v>
      </c>
      <c r="D19" s="20">
        <f t="shared" si="1"/>
        <v>45443.989895833329</v>
      </c>
      <c r="E19" cm="1">
        <f t="array" ref="E19">INDEX(B$1:B$224233, MATCH(D19,A$1:A$224233,1) +0)</f>
        <v>67.372111000000004</v>
      </c>
    </row>
    <row r="20" spans="1:5" x14ac:dyDescent="0.3">
      <c r="A20" s="21">
        <v>45443.622221999998</v>
      </c>
      <c r="B20" s="18">
        <v>47.757342000000001</v>
      </c>
      <c r="C20" s="19">
        <f>+Sheet1!H21</f>
        <v>45444.088842592595</v>
      </c>
      <c r="D20" s="20">
        <f t="shared" si="1"/>
        <v>45444.005509259259</v>
      </c>
      <c r="E20" cm="1">
        <f t="array" ref="E20">INDEX(B$1:B$224233, MATCH(D20,A$1:A$224233,1) +0)</f>
        <v>67.604690000000005</v>
      </c>
    </row>
    <row r="21" spans="1:5" x14ac:dyDescent="0.3">
      <c r="A21" s="21">
        <v>45443.622917000001</v>
      </c>
      <c r="B21" s="18">
        <v>48.387214</v>
      </c>
      <c r="C21" s="19">
        <f>+Sheet1!H22</f>
        <v>45444.104490740741</v>
      </c>
      <c r="D21" s="20">
        <f t="shared" si="1"/>
        <v>45444.021157407406</v>
      </c>
      <c r="E21" cm="1">
        <f t="array" ref="E21">INDEX(B$1:B$224233, MATCH(D21,A$1:A$224233,1) +0)</f>
        <v>67.366549000000006</v>
      </c>
    </row>
    <row r="22" spans="1:5" x14ac:dyDescent="0.3">
      <c r="A22" s="21">
        <v>45443.623611000003</v>
      </c>
      <c r="B22" s="18">
        <v>47.947412999999997</v>
      </c>
      <c r="C22" s="19">
        <f>+Sheet1!H23</f>
        <v>45444.120127314818</v>
      </c>
      <c r="D22" s="20">
        <f t="shared" si="1"/>
        <v>45444.036793981482</v>
      </c>
      <c r="E22" cm="1">
        <f t="array" ref="E22">INDEX(B$1:B$224233, MATCH(D22,A$1:A$224233,1) +0)</f>
        <v>67.288673000000003</v>
      </c>
    </row>
    <row r="23" spans="1:5" x14ac:dyDescent="0.3">
      <c r="A23" s="21">
        <v>45443.624305999998</v>
      </c>
      <c r="B23" s="18">
        <v>48.124747999999997</v>
      </c>
      <c r="C23" s="19">
        <f>+Sheet1!H24</f>
        <v>45444.135752314818</v>
      </c>
      <c r="D23" s="20">
        <f t="shared" si="1"/>
        <v>45444.052418981482</v>
      </c>
      <c r="E23" cm="1">
        <f t="array" ref="E23">INDEX(B$1:B$224233, MATCH(D23,A$1:A$224233,1) +0)</f>
        <v>69.794351000000006</v>
      </c>
    </row>
    <row r="24" spans="1:5" x14ac:dyDescent="0.3">
      <c r="A24" s="21">
        <v>45443.625</v>
      </c>
      <c r="B24" s="18">
        <v>48.611538000000003</v>
      </c>
      <c r="C24" s="19">
        <f>+Sheet1!H25</f>
        <v>45444.151377314818</v>
      </c>
      <c r="D24" s="20">
        <f t="shared" si="1"/>
        <v>45444.068043981482</v>
      </c>
      <c r="E24" cm="1">
        <f t="array" ref="E24">INDEX(B$1:B$224233, MATCH(D24,A$1:A$224233,1) +0)</f>
        <v>69.541417999999993</v>
      </c>
    </row>
    <row r="25" spans="1:5" x14ac:dyDescent="0.3">
      <c r="A25" s="21">
        <v>45443.625694000002</v>
      </c>
      <c r="B25" s="18">
        <v>48.315562999999997</v>
      </c>
      <c r="C25" s="19">
        <f>+Sheet1!H26</f>
        <v>45444.167025462964</v>
      </c>
      <c r="D25" s="20">
        <f t="shared" si="1"/>
        <v>45444.083692129629</v>
      </c>
      <c r="E25" cm="1">
        <f t="array" ref="E25">INDEX(B$1:B$224233, MATCH(D25,A$1:A$224233,1) +0)</f>
        <v>69.496482</v>
      </c>
    </row>
    <row r="26" spans="1:5" x14ac:dyDescent="0.3">
      <c r="A26" s="21">
        <v>45443.626388999997</v>
      </c>
      <c r="B26" s="18">
        <v>48.510354</v>
      </c>
      <c r="C26" s="19">
        <f>+Sheet1!H27</f>
        <v>45444.189953703702</v>
      </c>
      <c r="D26" s="20">
        <f t="shared" si="1"/>
        <v>45444.106620370367</v>
      </c>
      <c r="E26" cm="1">
        <f t="array" ref="E26">INDEX(B$1:B$224233, MATCH(D26,A$1:A$224233,1) +0)</f>
        <v>69.176687000000001</v>
      </c>
    </row>
    <row r="27" spans="1:5" x14ac:dyDescent="0.3">
      <c r="A27" s="21">
        <v>45443.627082999999</v>
      </c>
      <c r="B27" s="18">
        <v>49.115459999999999</v>
      </c>
      <c r="C27" s="19">
        <f>+Sheet1!H28</f>
        <v>45444.200370370374</v>
      </c>
      <c r="D27" s="20">
        <f t="shared" si="1"/>
        <v>45444.117037037038</v>
      </c>
      <c r="E27" cm="1">
        <f t="array" ref="E27">INDEX(B$1:B$224233, MATCH(D27,A$1:A$224233,1) +0)</f>
        <v>69.495429999999999</v>
      </c>
    </row>
    <row r="28" spans="1:5" x14ac:dyDescent="0.3">
      <c r="A28" s="21">
        <v>45443.627778000002</v>
      </c>
      <c r="B28" s="18">
        <v>49.033427000000003</v>
      </c>
      <c r="C28" s="19">
        <f>+Sheet1!H29</f>
        <v>45444.210798611108</v>
      </c>
      <c r="D28" s="20">
        <f t="shared" si="1"/>
        <v>45444.127465277772</v>
      </c>
      <c r="E28" cm="1">
        <f t="array" ref="E28">INDEX(B$1:B$224233, MATCH(D28,A$1:A$224233,1) +0)</f>
        <v>75.031047999999998</v>
      </c>
    </row>
    <row r="29" spans="1:5" x14ac:dyDescent="0.3">
      <c r="A29" s="21">
        <v>45443.628471999997</v>
      </c>
      <c r="B29" s="18">
        <v>49.860478999999998</v>
      </c>
      <c r="C29" s="19">
        <f>+Sheet1!H30</f>
        <v>45444.221226851849</v>
      </c>
      <c r="D29" s="20">
        <f t="shared" si="1"/>
        <v>45444.137893518513</v>
      </c>
      <c r="E29" cm="1">
        <f t="array" ref="E29">INDEX(B$1:B$224233, MATCH(D29,A$1:A$224233,1) +0)</f>
        <v>74.082650999999998</v>
      </c>
    </row>
    <row r="30" spans="1:5" x14ac:dyDescent="0.3">
      <c r="A30" s="21">
        <v>45443.629166999999</v>
      </c>
      <c r="B30" s="18">
        <v>49.512217</v>
      </c>
      <c r="C30" s="19">
        <f>+Sheet1!H31</f>
        <v>45444.23165509259</v>
      </c>
      <c r="D30" s="20">
        <f t="shared" si="1"/>
        <v>45444.148321759254</v>
      </c>
      <c r="E30" cm="1">
        <f t="array" ref="E30">INDEX(B$1:B$224233, MATCH(D30,A$1:A$224233,1) +0)</f>
        <v>74.129110999999995</v>
      </c>
    </row>
    <row r="31" spans="1:5" x14ac:dyDescent="0.3">
      <c r="A31" s="21">
        <v>45443.629861000001</v>
      </c>
      <c r="B31" s="18">
        <v>49.247785999999998</v>
      </c>
      <c r="C31" s="19">
        <f>+Sheet1!H32</f>
        <v>45444.242083333331</v>
      </c>
      <c r="D31" s="20">
        <f t="shared" si="1"/>
        <v>45444.158749999995</v>
      </c>
      <c r="E31" cm="1">
        <f t="array" ref="E31">INDEX(B$1:B$224233, MATCH(D31,A$1:A$224233,1) +0)</f>
        <v>73.810473000000002</v>
      </c>
    </row>
    <row r="32" spans="1:5" x14ac:dyDescent="0.3">
      <c r="A32" s="21">
        <v>45443.630555999996</v>
      </c>
      <c r="B32" s="18">
        <v>50.172963000000003</v>
      </c>
      <c r="C32" s="19">
        <f>+Sheet1!H33</f>
        <v>45444.252500000002</v>
      </c>
      <c r="D32" s="20">
        <f t="shared" si="1"/>
        <v>45444.169166666667</v>
      </c>
      <c r="E32" cm="1">
        <f t="array" ref="E32">INDEX(B$1:B$224233, MATCH(D32,A$1:A$224233,1) +0)</f>
        <v>73.614520999999996</v>
      </c>
    </row>
    <row r="33" spans="1:5" x14ac:dyDescent="0.3">
      <c r="A33" s="21">
        <v>45443.631249999999</v>
      </c>
      <c r="B33" s="18">
        <v>50.062086000000001</v>
      </c>
      <c r="C33" s="19">
        <f>+Sheet1!H34</f>
        <v>45444.262939814813</v>
      </c>
      <c r="D33" s="20">
        <f t="shared" si="1"/>
        <v>45444.179606481477</v>
      </c>
      <c r="E33" cm="1">
        <f t="array" ref="E33">INDEX(B$1:B$224233, MATCH(D33,A$1:A$224233,1) +0)</f>
        <v>73.499421999999996</v>
      </c>
    </row>
    <row r="34" spans="1:5" x14ac:dyDescent="0.3">
      <c r="A34" s="21">
        <v>45443.631944000001</v>
      </c>
      <c r="B34" s="18">
        <v>50.084735000000002</v>
      </c>
      <c r="C34" s="19">
        <f>+Sheet1!H35</f>
        <v>45444.280659722222</v>
      </c>
      <c r="D34" s="20">
        <f t="shared" si="1"/>
        <v>45444.197326388887</v>
      </c>
      <c r="E34" cm="1">
        <f t="array" ref="E34">INDEX(B$1:B$224233, MATCH(D34,A$1:A$224233,1) +0)</f>
        <v>73.294741999999999</v>
      </c>
    </row>
    <row r="35" spans="1:5" x14ac:dyDescent="0.3">
      <c r="A35" s="21">
        <v>45443.632639000003</v>
      </c>
      <c r="B35" s="18">
        <v>50.024326000000002</v>
      </c>
      <c r="C35" s="19">
        <f>+Sheet1!H36</f>
        <v>45444.291087962964</v>
      </c>
      <c r="D35" s="20">
        <f t="shared" si="1"/>
        <v>45444.207754629628</v>
      </c>
      <c r="E35" cm="1">
        <f t="array" ref="E35">INDEX(B$1:B$224233, MATCH(D35,A$1:A$224233,1) +0)</f>
        <v>78.912152000000006</v>
      </c>
    </row>
    <row r="36" spans="1:5" x14ac:dyDescent="0.3">
      <c r="A36" s="21">
        <v>45443.633332999998</v>
      </c>
      <c r="B36" s="18">
        <v>50.042183999999999</v>
      </c>
      <c r="C36" s="19">
        <f>+Sheet1!H37</f>
        <v>45444.301493055558</v>
      </c>
      <c r="D36" s="20">
        <f t="shared" si="1"/>
        <v>45444.218159722222</v>
      </c>
      <c r="E36" cm="1">
        <f t="array" ref="E36">INDEX(B$1:B$224233, MATCH(D36,A$1:A$224233,1) +0)</f>
        <v>78.759951999999998</v>
      </c>
    </row>
    <row r="37" spans="1:5" x14ac:dyDescent="0.3">
      <c r="A37" s="21">
        <v>45443.634028</v>
      </c>
      <c r="B37" s="18">
        <v>50.768912</v>
      </c>
      <c r="C37" s="19">
        <f>+Sheet1!H38</f>
        <v>45444.311921296299</v>
      </c>
      <c r="D37" s="20">
        <f t="shared" si="1"/>
        <v>45444.228587962964</v>
      </c>
      <c r="E37" cm="1">
        <f t="array" ref="E37">INDEX(B$1:B$224233, MATCH(D37,A$1:A$224233,1) +0)</f>
        <v>78.212569000000002</v>
      </c>
    </row>
    <row r="38" spans="1:5" x14ac:dyDescent="0.3">
      <c r="A38" s="21">
        <v>45443.634722000003</v>
      </c>
      <c r="B38" s="18">
        <v>50.916826999999998</v>
      </c>
      <c r="C38" s="19">
        <f>+Sheet1!H39</f>
        <v>45444.32236111111</v>
      </c>
      <c r="D38" s="20">
        <f t="shared" si="1"/>
        <v>45444.239027777774</v>
      </c>
      <c r="E38" cm="1">
        <f t="array" ref="E38">INDEX(B$1:B$224233, MATCH(D38,A$1:A$224233,1) +0)</f>
        <v>77.973544000000004</v>
      </c>
    </row>
    <row r="39" spans="1:5" x14ac:dyDescent="0.3">
      <c r="A39" s="21">
        <v>45443.635416999998</v>
      </c>
      <c r="B39" s="18">
        <v>50.992947000000001</v>
      </c>
      <c r="C39" s="19">
        <f>+Sheet1!H40</f>
        <v>45444.332789351851</v>
      </c>
      <c r="D39" s="20">
        <f t="shared" si="1"/>
        <v>45444.249456018515</v>
      </c>
      <c r="E39" cm="1">
        <f t="array" ref="E39">INDEX(B$1:B$224233, MATCH(D39,A$1:A$224233,1) +0)</f>
        <v>77.860641000000001</v>
      </c>
    </row>
    <row r="40" spans="1:5" x14ac:dyDescent="0.3">
      <c r="A40" s="21">
        <v>45443.636111</v>
      </c>
      <c r="B40" s="18">
        <v>51.265228999999998</v>
      </c>
      <c r="C40" s="19">
        <f>+Sheet1!H41</f>
        <v>45444.343217592592</v>
      </c>
      <c r="D40" s="20">
        <f t="shared" si="1"/>
        <v>45444.259884259256</v>
      </c>
      <c r="E40" cm="1">
        <f t="array" ref="E40">INDEX(B$1:B$224233, MATCH(D40,A$1:A$224233,1) +0)</f>
        <v>77.667716999999996</v>
      </c>
    </row>
    <row r="41" spans="1:5" x14ac:dyDescent="0.3">
      <c r="A41" s="21">
        <v>45443.636806000002</v>
      </c>
      <c r="B41" s="18">
        <v>51.387402000000002</v>
      </c>
      <c r="C41" s="19">
        <f>+Sheet1!H42</f>
        <v>45444.353645833333</v>
      </c>
      <c r="D41" s="20">
        <f t="shared" si="1"/>
        <v>45444.270312499997</v>
      </c>
      <c r="E41" cm="1">
        <f t="array" ref="E41">INDEX(B$1:B$224233, MATCH(D41,A$1:A$224233,1) +0)</f>
        <v>78.036771000000002</v>
      </c>
    </row>
    <row r="42" spans="1:5" x14ac:dyDescent="0.3">
      <c r="A42" s="21">
        <v>45443.637499999997</v>
      </c>
      <c r="B42" s="18">
        <v>51.188026999999998</v>
      </c>
      <c r="C42" s="19">
        <f>+Sheet1!H43</f>
        <v>45444.371388888889</v>
      </c>
      <c r="D42" s="20">
        <f t="shared" si="1"/>
        <v>45444.288055555553</v>
      </c>
      <c r="E42" cm="1">
        <f t="array" ref="E42">INDEX(B$1:B$224233, MATCH(D42,A$1:A$224233,1) +0)</f>
        <v>77.524483000000004</v>
      </c>
    </row>
    <row r="43" spans="1:5" x14ac:dyDescent="0.3">
      <c r="A43" s="21">
        <v>45443.638193999999</v>
      </c>
      <c r="B43" s="18">
        <v>51.334612999999997</v>
      </c>
      <c r="C43" s="19">
        <f>+Sheet1!H44</f>
        <v>45444.381805555553</v>
      </c>
      <c r="D43" s="20">
        <f t="shared" si="1"/>
        <v>45444.298472222217</v>
      </c>
      <c r="E43" cm="1">
        <f t="array" ref="E43">INDEX(B$1:B$224233, MATCH(D43,A$1:A$224233,1) +0)</f>
        <v>86.480992999999998</v>
      </c>
    </row>
    <row r="44" spans="1:5" x14ac:dyDescent="0.3">
      <c r="A44" s="21">
        <v>45443.638889000002</v>
      </c>
      <c r="B44" s="18">
        <v>51.641212000000003</v>
      </c>
      <c r="C44" s="19">
        <f>+Sheet1!H45</f>
        <v>45444.392233796294</v>
      </c>
      <c r="D44" s="20">
        <f t="shared" si="1"/>
        <v>45444.308900462958</v>
      </c>
      <c r="E44" cm="1">
        <f t="array" ref="E44">INDEX(B$1:B$224233, MATCH(D44,A$1:A$224233,1) +0)</f>
        <v>86.480475999999996</v>
      </c>
    </row>
    <row r="45" spans="1:5" x14ac:dyDescent="0.3">
      <c r="A45" s="21">
        <v>45443.639582999996</v>
      </c>
      <c r="B45" s="18">
        <v>51.731062000000001</v>
      </c>
      <c r="C45" s="19">
        <f>+Sheet1!H46</f>
        <v>45444.402650462966</v>
      </c>
      <c r="D45" s="20">
        <f t="shared" si="1"/>
        <v>45444.31931712963</v>
      </c>
      <c r="E45" cm="1">
        <f t="array" ref="E45">INDEX(B$1:B$224233, MATCH(D45,A$1:A$224233,1) +0)</f>
        <v>85.539557000000002</v>
      </c>
    </row>
    <row r="46" spans="1:5" x14ac:dyDescent="0.3">
      <c r="A46" s="21">
        <v>45443.640277999999</v>
      </c>
      <c r="B46" s="18">
        <v>52.235044000000002</v>
      </c>
      <c r="C46" s="19">
        <f>+Sheet1!H47</f>
        <v>45444.413078703707</v>
      </c>
      <c r="D46" s="20">
        <f t="shared" si="1"/>
        <v>45444.329745370371</v>
      </c>
      <c r="E46" cm="1">
        <f t="array" ref="E46">INDEX(B$1:B$224233, MATCH(D46,A$1:A$224233,1) +0)</f>
        <v>85.279947000000007</v>
      </c>
    </row>
    <row r="47" spans="1:5" x14ac:dyDescent="0.3">
      <c r="A47" s="21">
        <v>45443.640972000001</v>
      </c>
      <c r="B47" s="18">
        <v>52.464649999999999</v>
      </c>
      <c r="C47" s="19">
        <f>+Sheet1!H48</f>
        <v>45444.423495370371</v>
      </c>
      <c r="D47" s="20">
        <f t="shared" si="1"/>
        <v>45444.340162037035</v>
      </c>
      <c r="E47" cm="1">
        <f t="array" ref="E47">INDEX(B$1:B$224233, MATCH(D47,A$1:A$224233,1) +0)</f>
        <v>85.462976999999995</v>
      </c>
    </row>
    <row r="48" spans="1:5" x14ac:dyDescent="0.3">
      <c r="A48" s="21">
        <v>45443.641667000004</v>
      </c>
      <c r="B48" s="18">
        <v>52.561374000000001</v>
      </c>
      <c r="C48" s="19">
        <f>+Sheet1!H49</f>
        <v>45444.433923611112</v>
      </c>
      <c r="D48" s="20">
        <f t="shared" si="1"/>
        <v>45444.350590277776</v>
      </c>
      <c r="E48" cm="1">
        <f t="array" ref="E48">INDEX(B$1:B$224233, MATCH(D48,A$1:A$224233,1) +0)</f>
        <v>84.915847999999997</v>
      </c>
    </row>
    <row r="49" spans="1:5" x14ac:dyDescent="0.3">
      <c r="A49" s="21">
        <v>45443.642360999998</v>
      </c>
      <c r="B49" s="18">
        <v>52.174520000000001</v>
      </c>
      <c r="C49" s="19">
        <f>+Sheet1!H50</f>
        <v>45444.444351851853</v>
      </c>
      <c r="D49" s="20">
        <f t="shared" si="1"/>
        <v>45444.361018518517</v>
      </c>
      <c r="E49" cm="1">
        <f t="array" ref="E49">INDEX(B$1:B$224233, MATCH(D49,A$1:A$224233,1) +0)</f>
        <v>84.515506000000002</v>
      </c>
    </row>
    <row r="50" spans="1:5" x14ac:dyDescent="0.3">
      <c r="A50" s="21">
        <v>45443.643056000001</v>
      </c>
      <c r="B50" s="18">
        <v>52.478723000000002</v>
      </c>
      <c r="C50" s="19">
        <f>+Sheet1!H51</f>
        <v>45444.462071759262</v>
      </c>
      <c r="D50" s="20">
        <f t="shared" si="1"/>
        <v>45444.378738425927</v>
      </c>
      <c r="E50" cm="1">
        <f t="array" ref="E50">INDEX(B$1:B$224233, MATCH(D50,A$1:A$224233,1) +0)</f>
        <v>70.034184999999994</v>
      </c>
    </row>
    <row r="51" spans="1:5" x14ac:dyDescent="0.3">
      <c r="A51" s="21">
        <v>45443.643750000003</v>
      </c>
      <c r="B51" s="18">
        <v>53.051535999999999</v>
      </c>
      <c r="C51" s="19">
        <f>+Sheet1!H52</f>
        <v>45444.47247685185</v>
      </c>
      <c r="D51" s="20">
        <f t="shared" si="1"/>
        <v>45444.389143518514</v>
      </c>
      <c r="E51" cm="1">
        <f t="array" ref="E51">INDEX(B$1:B$224233, MATCH(D51,A$1:A$224233,1) +0)</f>
        <v>70.670411999999999</v>
      </c>
    </row>
    <row r="52" spans="1:5" x14ac:dyDescent="0.3">
      <c r="A52" s="21">
        <v>45443.644443999998</v>
      </c>
      <c r="B52" s="18">
        <v>53.000197</v>
      </c>
      <c r="C52" s="19">
        <f>+Sheet1!H53</f>
        <v>45444.482905092591</v>
      </c>
      <c r="D52" s="20">
        <f t="shared" si="1"/>
        <v>45444.399571759255</v>
      </c>
      <c r="E52" cm="1">
        <f t="array" ref="E52">INDEX(B$1:B$224233, MATCH(D52,A$1:A$224233,1) +0)</f>
        <v>71.222721000000007</v>
      </c>
    </row>
    <row r="53" spans="1:5" x14ac:dyDescent="0.3">
      <c r="A53" s="21">
        <v>45443.645139</v>
      </c>
      <c r="B53" s="18">
        <v>52.981319999999997</v>
      </c>
      <c r="C53" s="19">
        <f>+Sheet1!H54</f>
        <v>45444.493321759262</v>
      </c>
      <c r="D53" s="20">
        <f t="shared" si="1"/>
        <v>45444.409988425927</v>
      </c>
      <c r="E53" cm="1">
        <f t="array" ref="E53">INDEX(B$1:B$224233, MATCH(D53,A$1:A$224233,1) +0)</f>
        <v>71.730975000000001</v>
      </c>
    </row>
    <row r="54" spans="1:5" x14ac:dyDescent="0.3">
      <c r="A54" s="21">
        <v>45443.645833000002</v>
      </c>
      <c r="B54" s="18">
        <v>52.820608</v>
      </c>
      <c r="C54" s="19">
        <f>+Sheet1!H55</f>
        <v>45444.503761574073</v>
      </c>
      <c r="D54" s="20">
        <f t="shared" si="1"/>
        <v>45444.420428240737</v>
      </c>
      <c r="E54" cm="1">
        <f t="array" ref="E54">INDEX(B$1:B$224233, MATCH(D54,A$1:A$224233,1) +0)</f>
        <v>71.869799999999998</v>
      </c>
    </row>
    <row r="55" spans="1:5" x14ac:dyDescent="0.3">
      <c r="A55" s="21">
        <v>45443.646527999997</v>
      </c>
      <c r="B55" s="18">
        <v>53.072699999999998</v>
      </c>
      <c r="C55" s="19">
        <f>+Sheet1!H56</f>
        <v>45444.514178240737</v>
      </c>
      <c r="D55" s="20">
        <f t="shared" si="1"/>
        <v>45444.430844907401</v>
      </c>
      <c r="E55" cm="1">
        <f t="array" ref="E55">INDEX(B$1:B$224233, MATCH(D55,A$1:A$224233,1) +0)</f>
        <v>71.755037000000002</v>
      </c>
    </row>
    <row r="56" spans="1:5" x14ac:dyDescent="0.3">
      <c r="A56" s="21">
        <v>45443.647222</v>
      </c>
      <c r="B56" s="18">
        <v>53.078972</v>
      </c>
      <c r="C56" s="19">
        <f>+Sheet1!H57</f>
        <v>45444.524618055555</v>
      </c>
      <c r="D56" s="20">
        <f t="shared" si="1"/>
        <v>45444.441284722219</v>
      </c>
      <c r="E56" cm="1">
        <f t="array" ref="E56">INDEX(B$1:B$224233, MATCH(D56,A$1:A$224233,1) +0)</f>
        <v>72.233262999999994</v>
      </c>
    </row>
    <row r="57" spans="1:5" x14ac:dyDescent="0.3">
      <c r="A57" s="21">
        <v>45443.647917000002</v>
      </c>
      <c r="B57" s="18">
        <v>53.573864999999998</v>
      </c>
      <c r="C57" s="19">
        <f>+Sheet1!H58</f>
        <v>45444.535046296296</v>
      </c>
      <c r="D57" s="20">
        <f t="shared" si="1"/>
        <v>45444.45171296296</v>
      </c>
      <c r="E57" cm="1">
        <f t="array" ref="E57">INDEX(B$1:B$224233, MATCH(D57,A$1:A$224233,1) +0)</f>
        <v>72.550124999999994</v>
      </c>
    </row>
    <row r="58" spans="1:5" x14ac:dyDescent="0.3">
      <c r="A58" s="21">
        <v>45443.648610999997</v>
      </c>
      <c r="B58" s="18">
        <v>53.338884</v>
      </c>
      <c r="C58" s="19">
        <f>+Sheet1!H59</f>
        <v>45444.552766203706</v>
      </c>
      <c r="D58" s="20">
        <f t="shared" si="1"/>
        <v>45444.46943287037</v>
      </c>
      <c r="E58" cm="1">
        <f t="array" ref="E58">INDEX(B$1:B$224233, MATCH(D58,A$1:A$224233,1) +0)</f>
        <v>72.762540999999999</v>
      </c>
    </row>
    <row r="59" spans="1:5" x14ac:dyDescent="0.3">
      <c r="A59" s="21">
        <v>45443.649305999999</v>
      </c>
      <c r="B59" s="18">
        <v>53.390054999999997</v>
      </c>
      <c r="C59" s="19">
        <f>+Sheet1!H60</f>
        <v>45444.56318287037</v>
      </c>
      <c r="D59" s="20">
        <f t="shared" si="1"/>
        <v>45444.479849537034</v>
      </c>
      <c r="E59" cm="1">
        <f t="array" ref="E59">INDEX(B$1:B$224233, MATCH(D59,A$1:A$224233,1) +0)</f>
        <v>72.620087999999996</v>
      </c>
    </row>
    <row r="60" spans="1:5" x14ac:dyDescent="0.3">
      <c r="A60" s="21">
        <v>45443.65</v>
      </c>
      <c r="B60" s="18">
        <v>53.806545</v>
      </c>
      <c r="C60" s="19">
        <f>+Sheet1!H61</f>
        <v>45444.573599537034</v>
      </c>
      <c r="D60" s="20">
        <f t="shared" si="1"/>
        <v>45444.490266203698</v>
      </c>
      <c r="E60" cm="1">
        <f t="array" ref="E60">INDEX(B$1:B$224233, MATCH(D60,A$1:A$224233,1) +0)</f>
        <v>72.654904999999999</v>
      </c>
    </row>
    <row r="61" spans="1:5" x14ac:dyDescent="0.3">
      <c r="A61" s="21">
        <v>45443.650694000004</v>
      </c>
      <c r="B61" s="18">
        <v>53.555447999999998</v>
      </c>
      <c r="C61" s="19">
        <f>+Sheet1!H62</f>
        <v>45444.584039351852</v>
      </c>
      <c r="D61" s="20">
        <f t="shared" si="1"/>
        <v>45444.500706018516</v>
      </c>
      <c r="E61" cm="1">
        <f t="array" ref="E61">INDEX(B$1:B$224233, MATCH(D61,A$1:A$224233,1) +0)</f>
        <v>72.581455000000005</v>
      </c>
    </row>
    <row r="62" spans="1:5" x14ac:dyDescent="0.3">
      <c r="A62" s="21">
        <v>45443.651388999999</v>
      </c>
      <c r="B62" s="18">
        <v>54.232367000000004</v>
      </c>
      <c r="C62" s="19">
        <f>+Sheet1!H63</f>
        <v>45444.594456018516</v>
      </c>
      <c r="D62" s="20">
        <f t="shared" si="1"/>
        <v>45444.51112268518</v>
      </c>
      <c r="E62" cm="1">
        <f t="array" ref="E62">INDEX(B$1:B$224233, MATCH(D62,A$1:A$224233,1) +0)</f>
        <v>55.956791000000003</v>
      </c>
    </row>
    <row r="63" spans="1:5" x14ac:dyDescent="0.3">
      <c r="A63" s="21">
        <v>45443.652083000001</v>
      </c>
      <c r="B63" s="18">
        <v>54.306147000000003</v>
      </c>
      <c r="C63" s="19"/>
      <c r="D63" s="20"/>
    </row>
    <row r="64" spans="1:5" x14ac:dyDescent="0.3">
      <c r="A64" s="21">
        <v>45443.652778000003</v>
      </c>
      <c r="B64" s="18">
        <v>54.719557999999999</v>
      </c>
      <c r="C64" s="19"/>
      <c r="D64" s="20"/>
    </row>
    <row r="65" spans="1:4" x14ac:dyDescent="0.3">
      <c r="A65" s="21">
        <v>45443.653471999998</v>
      </c>
      <c r="B65" s="18">
        <v>54.574306999999997</v>
      </c>
      <c r="C65" s="19"/>
      <c r="D65" s="20"/>
    </row>
    <row r="66" spans="1:4" x14ac:dyDescent="0.3">
      <c r="A66" s="21">
        <v>45443.654167000001</v>
      </c>
      <c r="B66" s="18">
        <v>55.031739000000002</v>
      </c>
      <c r="C66" s="19"/>
      <c r="D66" s="20"/>
    </row>
    <row r="67" spans="1:4" x14ac:dyDescent="0.3">
      <c r="A67" s="21">
        <v>45443.654861000003</v>
      </c>
      <c r="B67" s="18">
        <v>54.975040999999997</v>
      </c>
      <c r="C67" s="19"/>
      <c r="D67" s="20"/>
    </row>
    <row r="68" spans="1:4" x14ac:dyDescent="0.3">
      <c r="A68" s="21">
        <v>45443.655555999998</v>
      </c>
      <c r="B68" s="18">
        <v>54.697668</v>
      </c>
      <c r="C68" s="19"/>
      <c r="D68" s="20"/>
    </row>
    <row r="69" spans="1:4" x14ac:dyDescent="0.3">
      <c r="A69" s="21">
        <v>45443.65625</v>
      </c>
      <c r="B69" s="18">
        <v>55.108794000000003</v>
      </c>
      <c r="C69" s="19"/>
      <c r="D69" s="20"/>
    </row>
    <row r="70" spans="1:4" x14ac:dyDescent="0.3">
      <c r="A70" s="21">
        <v>45443.656944000002</v>
      </c>
      <c r="B70" s="18">
        <v>55.379368999999997</v>
      </c>
      <c r="C70" s="19"/>
      <c r="D70" s="20"/>
    </row>
    <row r="71" spans="1:4" x14ac:dyDescent="0.3">
      <c r="A71" s="21">
        <v>45443.657638999997</v>
      </c>
      <c r="B71" s="18">
        <v>55.453665000000001</v>
      </c>
      <c r="C71" s="19"/>
      <c r="D71" s="20"/>
    </row>
    <row r="72" spans="1:4" x14ac:dyDescent="0.3">
      <c r="A72" s="21">
        <v>45443.658332999999</v>
      </c>
      <c r="B72" s="18">
        <v>54.558613000000001</v>
      </c>
      <c r="C72" s="19"/>
      <c r="D72" s="20"/>
    </row>
    <row r="73" spans="1:4" x14ac:dyDescent="0.3">
      <c r="A73" s="21">
        <v>45443.659028000002</v>
      </c>
      <c r="B73" s="18">
        <v>55.391100000000002</v>
      </c>
      <c r="C73" s="19"/>
      <c r="D73" s="20"/>
    </row>
    <row r="74" spans="1:4" x14ac:dyDescent="0.3">
      <c r="A74" s="21">
        <v>45443.659721999997</v>
      </c>
      <c r="B74" s="18">
        <v>55.389822000000002</v>
      </c>
      <c r="C74" s="19"/>
      <c r="D74" s="20"/>
    </row>
    <row r="75" spans="1:4" x14ac:dyDescent="0.3">
      <c r="A75" s="21">
        <v>45443.660416999999</v>
      </c>
      <c r="B75" s="18">
        <v>55.934753000000001</v>
      </c>
      <c r="C75" s="19"/>
      <c r="D75" s="20"/>
    </row>
    <row r="76" spans="1:4" x14ac:dyDescent="0.3">
      <c r="A76" s="21">
        <v>45443.661111000001</v>
      </c>
      <c r="B76" s="18">
        <v>55.601452999999999</v>
      </c>
      <c r="C76" s="19"/>
      <c r="D76" s="20"/>
    </row>
    <row r="77" spans="1:4" x14ac:dyDescent="0.3">
      <c r="A77" s="21">
        <v>45443.661805999996</v>
      </c>
      <c r="B77" s="18">
        <v>56.240231000000001</v>
      </c>
      <c r="C77" s="19"/>
      <c r="D77" s="20"/>
    </row>
    <row r="78" spans="1:4" x14ac:dyDescent="0.3">
      <c r="A78" s="21">
        <v>45443.662499999999</v>
      </c>
      <c r="B78" s="18">
        <v>55.632868999999999</v>
      </c>
      <c r="C78" s="19"/>
      <c r="D78" s="20"/>
    </row>
    <row r="79" spans="1:4" x14ac:dyDescent="0.3">
      <c r="A79" s="21">
        <v>45443.663194000001</v>
      </c>
      <c r="B79" s="18">
        <v>55.192019999999999</v>
      </c>
      <c r="C79" s="19"/>
      <c r="D79" s="20"/>
    </row>
    <row r="80" spans="1:4" x14ac:dyDescent="0.3">
      <c r="A80" s="21">
        <v>45443.663889000003</v>
      </c>
      <c r="B80" s="18">
        <v>55.777555</v>
      </c>
      <c r="C80" s="19"/>
      <c r="D80" s="20"/>
    </row>
    <row r="81" spans="1:4" x14ac:dyDescent="0.3">
      <c r="A81" s="21">
        <v>45443.664582999998</v>
      </c>
      <c r="B81" s="18">
        <v>55.912539000000002</v>
      </c>
      <c r="C81" s="19"/>
      <c r="D81" s="20"/>
    </row>
    <row r="82" spans="1:4" x14ac:dyDescent="0.3">
      <c r="A82" s="21">
        <v>45443.665278</v>
      </c>
      <c r="B82" s="18">
        <v>55.828482000000001</v>
      </c>
      <c r="C82" s="19"/>
      <c r="D82" s="20"/>
    </row>
    <row r="83" spans="1:4" x14ac:dyDescent="0.3">
      <c r="A83" s="21">
        <v>45443.665972000003</v>
      </c>
      <c r="B83" s="18">
        <v>55.962888999999997</v>
      </c>
      <c r="C83" s="19"/>
      <c r="D83" s="20"/>
    </row>
    <row r="84" spans="1:4" x14ac:dyDescent="0.3">
      <c r="A84" s="21">
        <v>45443.666666999998</v>
      </c>
      <c r="B84" s="18">
        <v>55.876410999999997</v>
      </c>
      <c r="C84" s="19"/>
      <c r="D84" s="20"/>
    </row>
    <row r="85" spans="1:4" x14ac:dyDescent="0.3">
      <c r="A85" s="21">
        <v>45443.667361</v>
      </c>
      <c r="B85" s="18">
        <v>55.886330999999998</v>
      </c>
      <c r="C85" s="19"/>
      <c r="D85" s="20"/>
    </row>
    <row r="86" spans="1:4" x14ac:dyDescent="0.3">
      <c r="A86" s="21">
        <v>45443.668056000002</v>
      </c>
      <c r="B86" s="18">
        <v>56.361724000000002</v>
      </c>
      <c r="C86" s="19"/>
      <c r="D86" s="20"/>
    </row>
    <row r="87" spans="1:4" x14ac:dyDescent="0.3">
      <c r="A87" s="21">
        <v>45443.668749999997</v>
      </c>
      <c r="B87" s="18">
        <v>55.734555</v>
      </c>
      <c r="C87" s="19"/>
      <c r="D87" s="20"/>
    </row>
    <row r="88" spans="1:4" x14ac:dyDescent="0.3">
      <c r="A88" s="21">
        <v>45443.669443999999</v>
      </c>
      <c r="B88" s="18">
        <v>56.070543999999998</v>
      </c>
      <c r="C88" s="19"/>
      <c r="D88" s="20"/>
    </row>
    <row r="89" spans="1:4" x14ac:dyDescent="0.3">
      <c r="A89" s="21">
        <v>45443.670139000002</v>
      </c>
      <c r="B89" s="18">
        <v>55.979256999999997</v>
      </c>
      <c r="C89" s="19"/>
      <c r="D89" s="20"/>
    </row>
    <row r="90" spans="1:4" x14ac:dyDescent="0.3">
      <c r="A90" s="21">
        <v>45443.670832999996</v>
      </c>
      <c r="B90" s="18">
        <v>56.637039000000001</v>
      </c>
      <c r="C90" s="19"/>
      <c r="D90" s="20"/>
    </row>
    <row r="91" spans="1:4" x14ac:dyDescent="0.3">
      <c r="A91" s="21">
        <v>45443.671527999999</v>
      </c>
      <c r="B91" s="18">
        <v>56.813752999999998</v>
      </c>
      <c r="C91" s="19"/>
      <c r="D91" s="20"/>
    </row>
    <row r="92" spans="1:4" x14ac:dyDescent="0.3">
      <c r="A92" s="21">
        <v>45443.672222000001</v>
      </c>
      <c r="B92" s="18">
        <v>56.581957000000003</v>
      </c>
      <c r="C92" s="19"/>
      <c r="D92" s="20"/>
    </row>
    <row r="93" spans="1:4" x14ac:dyDescent="0.3">
      <c r="A93" s="21">
        <v>45443.672917000004</v>
      </c>
      <c r="B93" s="18">
        <v>57.267341000000002</v>
      </c>
      <c r="C93" s="19"/>
      <c r="D93" s="20"/>
    </row>
    <row r="94" spans="1:4" x14ac:dyDescent="0.3">
      <c r="A94" s="21">
        <v>45443.673610999998</v>
      </c>
      <c r="B94" s="18">
        <v>56.805706999999998</v>
      </c>
      <c r="C94" s="19"/>
      <c r="D94" s="20"/>
    </row>
    <row r="95" spans="1:4" x14ac:dyDescent="0.3">
      <c r="A95" s="21">
        <v>45443.674306000001</v>
      </c>
      <c r="B95" s="18">
        <v>56.769410999999998</v>
      </c>
      <c r="C95" s="19"/>
      <c r="D95" s="20"/>
    </row>
    <row r="96" spans="1:4" x14ac:dyDescent="0.3">
      <c r="A96" s="21">
        <v>45443.675000000003</v>
      </c>
      <c r="B96" s="18">
        <v>57.541260000000001</v>
      </c>
      <c r="C96" s="19"/>
      <c r="D96" s="20"/>
    </row>
    <row r="97" spans="1:4" x14ac:dyDescent="0.3">
      <c r="A97" s="21">
        <v>45443.675693999998</v>
      </c>
      <c r="B97" s="18">
        <v>57.210070000000002</v>
      </c>
      <c r="C97" s="19"/>
      <c r="D97" s="20"/>
    </row>
    <row r="98" spans="1:4" x14ac:dyDescent="0.3">
      <c r="A98" s="21">
        <v>45443.676389</v>
      </c>
      <c r="B98" s="18">
        <v>57.029046000000001</v>
      </c>
      <c r="C98" s="19"/>
      <c r="D98" s="20"/>
    </row>
    <row r="99" spans="1:4" x14ac:dyDescent="0.3">
      <c r="A99" s="21">
        <v>45443.677083000002</v>
      </c>
      <c r="B99" s="18">
        <v>56.828389999999999</v>
      </c>
      <c r="C99" s="19"/>
      <c r="D99" s="20"/>
    </row>
    <row r="100" spans="1:4" x14ac:dyDescent="0.3">
      <c r="A100" s="21">
        <v>45443.677777999997</v>
      </c>
      <c r="B100" s="18">
        <v>57.48809</v>
      </c>
      <c r="C100" s="19"/>
      <c r="D100" s="20"/>
    </row>
    <row r="101" spans="1:4" x14ac:dyDescent="0.3">
      <c r="A101" s="21">
        <v>45443.678472</v>
      </c>
      <c r="B101" s="18">
        <v>57.335996999999999</v>
      </c>
      <c r="C101" s="19"/>
      <c r="D101" s="20"/>
    </row>
    <row r="102" spans="1:4" x14ac:dyDescent="0.3">
      <c r="A102" s="21">
        <v>45443.679167000002</v>
      </c>
      <c r="B102" s="18">
        <v>56.926521999999999</v>
      </c>
      <c r="C102" s="19"/>
      <c r="D102" s="20"/>
    </row>
    <row r="103" spans="1:4" x14ac:dyDescent="0.3">
      <c r="A103" s="21">
        <v>45443.679860999997</v>
      </c>
      <c r="B103" s="18">
        <v>57.24241</v>
      </c>
      <c r="C103" s="19"/>
      <c r="D103" s="20"/>
    </row>
    <row r="104" spans="1:4" x14ac:dyDescent="0.3">
      <c r="A104" s="21">
        <v>45443.680555999999</v>
      </c>
      <c r="B104" s="18">
        <v>57.671782999999998</v>
      </c>
      <c r="C104" s="19"/>
      <c r="D104" s="20"/>
    </row>
    <row r="105" spans="1:4" x14ac:dyDescent="0.3">
      <c r="A105" s="21">
        <v>45443.681250000001</v>
      </c>
      <c r="B105" s="18">
        <v>57.158954999999999</v>
      </c>
      <c r="C105" s="19"/>
      <c r="D105" s="20"/>
    </row>
    <row r="106" spans="1:4" x14ac:dyDescent="0.3">
      <c r="A106" s="21">
        <v>45443.681944000004</v>
      </c>
      <c r="B106" s="18">
        <v>57.883378</v>
      </c>
      <c r="C106" s="19"/>
      <c r="D106" s="20"/>
    </row>
    <row r="107" spans="1:4" x14ac:dyDescent="0.3">
      <c r="A107" s="21">
        <v>45443.682638999999</v>
      </c>
      <c r="B107" s="18">
        <v>57.653492999999997</v>
      </c>
      <c r="C107" s="19"/>
      <c r="D107" s="20"/>
    </row>
    <row r="108" spans="1:4" x14ac:dyDescent="0.3">
      <c r="A108" s="21">
        <v>45443.683333000001</v>
      </c>
      <c r="B108" s="18">
        <v>57.588655000000003</v>
      </c>
      <c r="C108" s="19"/>
      <c r="D108" s="20"/>
    </row>
    <row r="109" spans="1:4" x14ac:dyDescent="0.3">
      <c r="A109" s="21">
        <v>45443.684028000003</v>
      </c>
      <c r="B109" s="18">
        <v>57.892377000000003</v>
      </c>
      <c r="C109" s="19"/>
      <c r="D109" s="20"/>
    </row>
    <row r="110" spans="1:4" x14ac:dyDescent="0.3">
      <c r="A110" s="21">
        <v>45443.684721999998</v>
      </c>
      <c r="B110" s="18">
        <v>57.891089999999998</v>
      </c>
      <c r="C110" s="19"/>
      <c r="D110" s="20"/>
    </row>
    <row r="111" spans="1:4" x14ac:dyDescent="0.3">
      <c r="A111" s="21">
        <v>45443.685417000001</v>
      </c>
      <c r="B111" s="18">
        <v>58.046142000000003</v>
      </c>
      <c r="C111" s="19"/>
      <c r="D111" s="20"/>
    </row>
    <row r="112" spans="1:4" x14ac:dyDescent="0.3">
      <c r="A112" s="21">
        <v>45443.686111000003</v>
      </c>
      <c r="B112" s="18">
        <v>58.085386</v>
      </c>
      <c r="C112" s="19"/>
      <c r="D112" s="20"/>
    </row>
    <row r="113" spans="1:4" x14ac:dyDescent="0.3">
      <c r="A113" s="21">
        <v>45443.686805999998</v>
      </c>
      <c r="B113" s="18">
        <v>58.199193999999999</v>
      </c>
      <c r="C113" s="19"/>
      <c r="D113" s="20"/>
    </row>
    <row r="114" spans="1:4" x14ac:dyDescent="0.3">
      <c r="A114" s="21">
        <v>45443.6875</v>
      </c>
      <c r="B114" s="18">
        <v>58.485832000000002</v>
      </c>
      <c r="C114" s="19"/>
      <c r="D114" s="20"/>
    </row>
    <row r="115" spans="1:4" x14ac:dyDescent="0.3">
      <c r="A115" s="21">
        <v>45443.688194000002</v>
      </c>
      <c r="B115" s="18">
        <v>57.707977999999997</v>
      </c>
      <c r="C115" s="19"/>
      <c r="D115" s="20"/>
    </row>
    <row r="116" spans="1:4" x14ac:dyDescent="0.3">
      <c r="A116" s="21">
        <v>45443.688888999997</v>
      </c>
      <c r="B116" s="18">
        <v>58.311771</v>
      </c>
      <c r="C116" s="19"/>
      <c r="D116" s="20"/>
    </row>
    <row r="117" spans="1:4" x14ac:dyDescent="0.3">
      <c r="A117" s="21">
        <v>45443.689582999999</v>
      </c>
      <c r="B117" s="18">
        <v>58.110827999999998</v>
      </c>
      <c r="C117" s="19"/>
      <c r="D117" s="20"/>
    </row>
    <row r="118" spans="1:4" x14ac:dyDescent="0.3">
      <c r="A118" s="21">
        <v>45443.690278000002</v>
      </c>
      <c r="B118" s="18">
        <v>58.373233999999997</v>
      </c>
      <c r="C118" s="19"/>
      <c r="D118" s="20"/>
    </row>
    <row r="119" spans="1:4" x14ac:dyDescent="0.3">
      <c r="A119" s="21">
        <v>45443.690971999997</v>
      </c>
      <c r="B119" s="18">
        <v>58.563513</v>
      </c>
      <c r="C119" s="19"/>
      <c r="D119" s="20"/>
    </row>
    <row r="120" spans="1:4" x14ac:dyDescent="0.3">
      <c r="A120" s="21">
        <v>45443.691666999999</v>
      </c>
      <c r="B120" s="18">
        <v>58.357289999999999</v>
      </c>
      <c r="C120" s="19"/>
      <c r="D120" s="20"/>
    </row>
    <row r="121" spans="1:4" x14ac:dyDescent="0.3">
      <c r="A121" s="21">
        <v>45443.692361000001</v>
      </c>
      <c r="B121" s="18">
        <v>58.374346000000003</v>
      </c>
      <c r="C121" s="19"/>
      <c r="D121" s="20"/>
    </row>
    <row r="122" spans="1:4" x14ac:dyDescent="0.3">
      <c r="A122" s="21">
        <v>45443.693055999996</v>
      </c>
      <c r="B122" s="18">
        <v>58.545029</v>
      </c>
      <c r="C122" s="19"/>
      <c r="D122" s="20"/>
    </row>
    <row r="123" spans="1:4" x14ac:dyDescent="0.3">
      <c r="A123" s="21">
        <v>45443.693749999999</v>
      </c>
      <c r="B123" s="18">
        <v>58.604567000000003</v>
      </c>
      <c r="C123" s="19"/>
      <c r="D123" s="20"/>
    </row>
    <row r="124" spans="1:4" x14ac:dyDescent="0.3">
      <c r="A124" s="21">
        <v>45443.694444000001</v>
      </c>
      <c r="B124" s="18">
        <v>58.781733000000003</v>
      </c>
      <c r="C124" s="19"/>
      <c r="D124" s="20"/>
    </row>
    <row r="125" spans="1:4" x14ac:dyDescent="0.3">
      <c r="A125" s="21">
        <v>45443.695139000003</v>
      </c>
      <c r="B125" s="18">
        <v>58.593001000000001</v>
      </c>
      <c r="C125" s="19"/>
      <c r="D125" s="20"/>
    </row>
    <row r="126" spans="1:4" x14ac:dyDescent="0.3">
      <c r="A126" s="21">
        <v>45443.695832999998</v>
      </c>
      <c r="B126" s="18">
        <v>58.781126</v>
      </c>
      <c r="C126" s="19"/>
      <c r="D126" s="20"/>
    </row>
    <row r="127" spans="1:4" x14ac:dyDescent="0.3">
      <c r="A127" s="21">
        <v>45443.696528</v>
      </c>
      <c r="B127" s="18">
        <v>58.495466999999998</v>
      </c>
      <c r="C127" s="19"/>
      <c r="D127" s="20"/>
    </row>
    <row r="128" spans="1:4" x14ac:dyDescent="0.3">
      <c r="A128" s="21">
        <v>45443.697222000003</v>
      </c>
      <c r="B128" s="18">
        <v>58.718991000000003</v>
      </c>
      <c r="C128" s="19"/>
      <c r="D128" s="20"/>
    </row>
    <row r="129" spans="1:4" x14ac:dyDescent="0.3">
      <c r="A129" s="21">
        <v>45443.697916999998</v>
      </c>
      <c r="B129" s="18">
        <v>58.990344</v>
      </c>
      <c r="C129" s="19"/>
      <c r="D129" s="20"/>
    </row>
    <row r="130" spans="1:4" x14ac:dyDescent="0.3">
      <c r="A130" s="21">
        <v>45443.698611</v>
      </c>
      <c r="B130" s="18">
        <v>58.553392000000002</v>
      </c>
      <c r="C130" s="19"/>
      <c r="D130" s="20"/>
    </row>
    <row r="131" spans="1:4" x14ac:dyDescent="0.3">
      <c r="A131" s="21">
        <v>45443.699306000002</v>
      </c>
      <c r="B131" s="18">
        <v>58.791846</v>
      </c>
      <c r="C131" s="19"/>
      <c r="D131" s="20"/>
    </row>
    <row r="132" spans="1:4" x14ac:dyDescent="0.3">
      <c r="A132" s="21">
        <v>45443.7</v>
      </c>
      <c r="B132" s="18">
        <v>59.054985000000002</v>
      </c>
      <c r="C132" s="19"/>
      <c r="D132" s="20"/>
    </row>
    <row r="133" spans="1:4" x14ac:dyDescent="0.3">
      <c r="A133" s="21">
        <v>45443.700693999999</v>
      </c>
      <c r="B133" s="18">
        <v>58.589606000000003</v>
      </c>
      <c r="C133" s="19"/>
      <c r="D133" s="20"/>
    </row>
    <row r="134" spans="1:4" x14ac:dyDescent="0.3">
      <c r="A134" s="21">
        <v>45443.701389000002</v>
      </c>
      <c r="B134" s="18">
        <v>58.908011000000002</v>
      </c>
      <c r="C134" s="19"/>
      <c r="D134" s="20"/>
    </row>
    <row r="135" spans="1:4" x14ac:dyDescent="0.3">
      <c r="A135" s="21">
        <v>45443.702082999996</v>
      </c>
      <c r="B135" s="18">
        <v>59.032572000000002</v>
      </c>
      <c r="C135" s="19"/>
      <c r="D135" s="20"/>
    </row>
    <row r="136" spans="1:4" x14ac:dyDescent="0.3">
      <c r="A136" s="21">
        <v>45443.702777999999</v>
      </c>
      <c r="B136" s="18">
        <v>58.548090999999999</v>
      </c>
      <c r="C136" s="19"/>
      <c r="D136" s="20"/>
    </row>
    <row r="137" spans="1:4" x14ac:dyDescent="0.3">
      <c r="A137" s="21">
        <v>45443.703472000001</v>
      </c>
      <c r="B137" s="18">
        <v>59.275174999999997</v>
      </c>
      <c r="C137" s="19"/>
      <c r="D137" s="20"/>
    </row>
    <row r="138" spans="1:4" x14ac:dyDescent="0.3">
      <c r="A138" s="21">
        <v>45443.704167000004</v>
      </c>
      <c r="B138" s="18">
        <v>58.956721000000002</v>
      </c>
      <c r="C138" s="19"/>
      <c r="D138" s="20"/>
    </row>
    <row r="139" spans="1:4" x14ac:dyDescent="0.3">
      <c r="A139" s="21">
        <v>45443.704860999998</v>
      </c>
      <c r="B139" s="18">
        <v>58.838034</v>
      </c>
      <c r="C139" s="19"/>
      <c r="D139" s="20"/>
    </row>
    <row r="140" spans="1:4" x14ac:dyDescent="0.3">
      <c r="A140" s="21">
        <v>45443.705556000001</v>
      </c>
      <c r="B140" s="18">
        <v>58.815907000000003</v>
      </c>
      <c r="C140" s="19"/>
      <c r="D140" s="20"/>
    </row>
    <row r="141" spans="1:4" x14ac:dyDescent="0.3">
      <c r="A141" s="21">
        <v>45443.706250000003</v>
      </c>
      <c r="B141" s="18">
        <v>60.05001</v>
      </c>
      <c r="C141" s="19"/>
      <c r="D141" s="20"/>
    </row>
    <row r="142" spans="1:4" x14ac:dyDescent="0.3">
      <c r="A142" s="21">
        <v>45443.706943999998</v>
      </c>
      <c r="B142" s="18">
        <v>60.726233000000001</v>
      </c>
      <c r="C142" s="19"/>
      <c r="D142" s="20"/>
    </row>
    <row r="143" spans="1:4" x14ac:dyDescent="0.3">
      <c r="A143" s="21">
        <v>45443.707639</v>
      </c>
      <c r="B143" s="18">
        <v>60.912474000000003</v>
      </c>
      <c r="C143" s="19"/>
      <c r="D143" s="20"/>
    </row>
    <row r="144" spans="1:4" x14ac:dyDescent="0.3">
      <c r="A144" s="21">
        <v>45443.708333000002</v>
      </c>
      <c r="B144" s="18">
        <v>60.899605000000001</v>
      </c>
      <c r="C144" s="19"/>
      <c r="D144" s="20"/>
    </row>
    <row r="145" spans="1:4" x14ac:dyDescent="0.3">
      <c r="A145" s="21">
        <v>45443.709027999997</v>
      </c>
      <c r="B145" s="18">
        <v>60.413027999999997</v>
      </c>
      <c r="C145" s="19"/>
      <c r="D145" s="20"/>
    </row>
    <row r="146" spans="1:4" x14ac:dyDescent="0.3">
      <c r="A146" s="21">
        <v>45443.709722</v>
      </c>
      <c r="B146" s="18">
        <v>60.809598999999999</v>
      </c>
      <c r="C146" s="19"/>
      <c r="D146" s="20"/>
    </row>
    <row r="147" spans="1:4" x14ac:dyDescent="0.3">
      <c r="A147" s="21">
        <v>45443.710417000002</v>
      </c>
      <c r="B147" s="18">
        <v>60.589848000000003</v>
      </c>
      <c r="C147" s="19"/>
      <c r="D147" s="20"/>
    </row>
    <row r="148" spans="1:4" x14ac:dyDescent="0.3">
      <c r="A148" s="21">
        <v>45443.711110999997</v>
      </c>
      <c r="B148" s="18">
        <v>60.824764000000002</v>
      </c>
      <c r="C148" s="19"/>
      <c r="D148" s="20"/>
    </row>
    <row r="149" spans="1:4" x14ac:dyDescent="0.3">
      <c r="A149" s="21">
        <v>45443.711805999999</v>
      </c>
      <c r="B149" s="18">
        <v>61.223104999999997</v>
      </c>
      <c r="C149" s="19"/>
      <c r="D149" s="20"/>
    </row>
    <row r="150" spans="1:4" x14ac:dyDescent="0.3">
      <c r="A150" s="21">
        <v>45443.712500000001</v>
      </c>
      <c r="B150" s="18">
        <v>60.857529</v>
      </c>
      <c r="C150" s="19"/>
      <c r="D150" s="20"/>
    </row>
    <row r="151" spans="1:4" x14ac:dyDescent="0.3">
      <c r="A151" s="21">
        <v>45443.713194000004</v>
      </c>
      <c r="B151" s="18">
        <v>60.762008000000002</v>
      </c>
      <c r="C151" s="19"/>
      <c r="D151" s="20"/>
    </row>
    <row r="152" spans="1:4" x14ac:dyDescent="0.3">
      <c r="A152" s="21">
        <v>45443.713888999999</v>
      </c>
      <c r="B152" s="18">
        <v>61.067132999999998</v>
      </c>
      <c r="C152" s="19"/>
      <c r="D152" s="20"/>
    </row>
    <row r="153" spans="1:4" x14ac:dyDescent="0.3">
      <c r="A153" s="21">
        <v>45443.714583000001</v>
      </c>
      <c r="B153" s="18">
        <v>61.284058000000002</v>
      </c>
      <c r="C153" s="19"/>
      <c r="D153" s="20"/>
    </row>
    <row r="154" spans="1:4" x14ac:dyDescent="0.3">
      <c r="A154" s="21">
        <v>45443.715278000003</v>
      </c>
      <c r="B154" s="18">
        <v>61.341586</v>
      </c>
      <c r="C154" s="19"/>
      <c r="D154" s="20"/>
    </row>
    <row r="155" spans="1:4" x14ac:dyDescent="0.3">
      <c r="A155" s="21">
        <v>45443.715971999998</v>
      </c>
      <c r="B155" s="18">
        <v>61.150649999999999</v>
      </c>
      <c r="C155" s="19"/>
      <c r="D155" s="20"/>
    </row>
    <row r="156" spans="1:4" x14ac:dyDescent="0.3">
      <c r="A156" s="21">
        <v>45443.716667000001</v>
      </c>
      <c r="B156" s="18">
        <v>60.901496000000002</v>
      </c>
      <c r="C156" s="19"/>
      <c r="D156" s="20"/>
    </row>
    <row r="157" spans="1:4" x14ac:dyDescent="0.3">
      <c r="A157" s="21">
        <v>45443.717361000003</v>
      </c>
      <c r="B157" s="18">
        <v>61.030586</v>
      </c>
      <c r="C157" s="19"/>
      <c r="D157" s="20"/>
    </row>
    <row r="158" spans="1:4" x14ac:dyDescent="0.3">
      <c r="A158" s="21">
        <v>45443.718055999998</v>
      </c>
      <c r="B158" s="18">
        <v>61.118744999999997</v>
      </c>
      <c r="C158" s="19"/>
      <c r="D158" s="20"/>
    </row>
    <row r="159" spans="1:4" x14ac:dyDescent="0.3">
      <c r="A159" s="21">
        <v>45443.71875</v>
      </c>
      <c r="B159" s="18">
        <v>60.678764000000001</v>
      </c>
      <c r="C159" s="19"/>
      <c r="D159" s="20"/>
    </row>
    <row r="160" spans="1:4" x14ac:dyDescent="0.3">
      <c r="A160" s="21">
        <v>45443.719444000002</v>
      </c>
      <c r="B160" s="18">
        <v>60.999926000000002</v>
      </c>
      <c r="C160" s="19"/>
      <c r="D160" s="20"/>
    </row>
    <row r="161" spans="1:4" x14ac:dyDescent="0.3">
      <c r="A161" s="21">
        <v>45443.720138999997</v>
      </c>
      <c r="B161" s="18">
        <v>60.856684000000001</v>
      </c>
      <c r="C161" s="19"/>
      <c r="D161" s="20"/>
    </row>
    <row r="162" spans="1:4" x14ac:dyDescent="0.3">
      <c r="A162" s="21">
        <v>45443.720832999999</v>
      </c>
      <c r="B162" s="18">
        <v>61.256262999999997</v>
      </c>
      <c r="C162" s="19"/>
      <c r="D162" s="20"/>
    </row>
    <row r="163" spans="1:4" x14ac:dyDescent="0.3">
      <c r="A163" s="21">
        <v>45443.721528000002</v>
      </c>
      <c r="B163" s="18">
        <v>61.236488000000001</v>
      </c>
      <c r="C163" s="19"/>
      <c r="D163" s="20"/>
    </row>
    <row r="164" spans="1:4" x14ac:dyDescent="0.3">
      <c r="A164" s="21">
        <v>45443.722221999997</v>
      </c>
      <c r="B164" s="18">
        <v>61.014158000000002</v>
      </c>
      <c r="C164" s="19"/>
      <c r="D164" s="20"/>
    </row>
    <row r="165" spans="1:4" x14ac:dyDescent="0.3">
      <c r="A165" s="21">
        <v>45443.722916999999</v>
      </c>
      <c r="B165" s="18">
        <v>61.058321999999997</v>
      </c>
      <c r="C165" s="19"/>
      <c r="D165" s="20"/>
    </row>
    <row r="166" spans="1:4" x14ac:dyDescent="0.3">
      <c r="A166" s="21">
        <v>45443.723611000001</v>
      </c>
      <c r="B166" s="18">
        <v>61.365070000000003</v>
      </c>
      <c r="C166" s="19"/>
      <c r="D166" s="20"/>
    </row>
    <row r="167" spans="1:4" x14ac:dyDescent="0.3">
      <c r="A167" s="21">
        <v>45443.724305999996</v>
      </c>
      <c r="B167" s="18">
        <v>60.745575000000002</v>
      </c>
      <c r="C167" s="19"/>
      <c r="D167" s="20"/>
    </row>
    <row r="168" spans="1:4" x14ac:dyDescent="0.3">
      <c r="A168" s="21">
        <v>45443.724999999999</v>
      </c>
      <c r="B168" s="18">
        <v>61.367046999999999</v>
      </c>
      <c r="C168" s="19"/>
      <c r="D168" s="20"/>
    </row>
    <row r="169" spans="1:4" x14ac:dyDescent="0.3">
      <c r="A169" s="21">
        <v>45443.725694000001</v>
      </c>
      <c r="B169" s="18">
        <v>60.930233999999999</v>
      </c>
      <c r="C169" s="19"/>
      <c r="D169" s="20"/>
    </row>
    <row r="170" spans="1:4" x14ac:dyDescent="0.3">
      <c r="A170" s="21">
        <v>45443.726389000003</v>
      </c>
      <c r="B170" s="18">
        <v>61.155797</v>
      </c>
      <c r="C170" s="19"/>
      <c r="D170" s="20"/>
    </row>
    <row r="171" spans="1:4" x14ac:dyDescent="0.3">
      <c r="A171" s="21">
        <v>45443.727082999998</v>
      </c>
      <c r="B171" s="18">
        <v>61.056832</v>
      </c>
      <c r="C171" s="19"/>
      <c r="D171" s="20"/>
    </row>
    <row r="172" spans="1:4" x14ac:dyDescent="0.3">
      <c r="A172" s="21">
        <v>45443.727778</v>
      </c>
      <c r="B172" s="18">
        <v>61.242393999999997</v>
      </c>
      <c r="C172" s="19"/>
      <c r="D172" s="20"/>
    </row>
    <row r="173" spans="1:4" x14ac:dyDescent="0.3">
      <c r="A173" s="21">
        <v>45443.728472000003</v>
      </c>
      <c r="B173" s="18">
        <v>61.498854999999999</v>
      </c>
      <c r="C173" s="19"/>
      <c r="D173" s="20"/>
    </row>
    <row r="174" spans="1:4" x14ac:dyDescent="0.3">
      <c r="A174" s="21">
        <v>45443.729166999998</v>
      </c>
      <c r="B174" s="18">
        <v>61.430453999999997</v>
      </c>
      <c r="C174" s="19"/>
      <c r="D174" s="20"/>
    </row>
    <row r="175" spans="1:4" x14ac:dyDescent="0.3">
      <c r="A175" s="21">
        <v>45443.729861</v>
      </c>
      <c r="B175" s="18">
        <v>61.265723000000001</v>
      </c>
      <c r="C175" s="19"/>
      <c r="D175" s="20"/>
    </row>
    <row r="176" spans="1:4" x14ac:dyDescent="0.3">
      <c r="A176" s="21">
        <v>45443.730556000002</v>
      </c>
      <c r="B176" s="18">
        <v>61.408819999999999</v>
      </c>
      <c r="C176" s="19"/>
      <c r="D176" s="20"/>
    </row>
    <row r="177" spans="1:4" x14ac:dyDescent="0.3">
      <c r="A177" s="21">
        <v>45443.731249999997</v>
      </c>
      <c r="B177" s="18">
        <v>61.838281000000002</v>
      </c>
      <c r="C177" s="19"/>
      <c r="D177" s="20"/>
    </row>
    <row r="178" spans="1:4" x14ac:dyDescent="0.3">
      <c r="A178" s="21">
        <v>45443.731943999999</v>
      </c>
      <c r="B178" s="18">
        <v>61.088985999999998</v>
      </c>
      <c r="C178" s="19"/>
      <c r="D178" s="20"/>
    </row>
    <row r="179" spans="1:4" x14ac:dyDescent="0.3">
      <c r="A179" s="21">
        <v>45443.732639000002</v>
      </c>
      <c r="B179" s="18">
        <v>61.379359999999998</v>
      </c>
      <c r="C179" s="19"/>
      <c r="D179" s="20"/>
    </row>
    <row r="180" spans="1:4" x14ac:dyDescent="0.3">
      <c r="A180" s="21">
        <v>45443.733332999996</v>
      </c>
      <c r="B180" s="18">
        <v>61.295783</v>
      </c>
      <c r="C180" s="19"/>
      <c r="D180" s="20"/>
    </row>
    <row r="181" spans="1:4" x14ac:dyDescent="0.3">
      <c r="A181" s="21">
        <v>45443.734027999999</v>
      </c>
      <c r="B181" s="18">
        <v>61.295451999999997</v>
      </c>
      <c r="C181" s="19"/>
      <c r="D181" s="20"/>
    </row>
    <row r="182" spans="1:4" x14ac:dyDescent="0.3">
      <c r="A182" s="21">
        <v>45443.734722000001</v>
      </c>
      <c r="B182" s="18">
        <v>61.101449000000002</v>
      </c>
      <c r="C182" s="19"/>
      <c r="D182" s="20"/>
    </row>
    <row r="183" spans="1:4" x14ac:dyDescent="0.3">
      <c r="A183" s="21">
        <v>45443.735417000004</v>
      </c>
      <c r="B183" s="18">
        <v>61.476331000000002</v>
      </c>
      <c r="C183" s="19"/>
      <c r="D183" s="20"/>
    </row>
    <row r="184" spans="1:4" x14ac:dyDescent="0.3">
      <c r="A184" s="21">
        <v>45443.736110999998</v>
      </c>
      <c r="B184" s="18">
        <v>61.512014999999998</v>
      </c>
      <c r="C184" s="19"/>
      <c r="D184" s="20"/>
    </row>
    <row r="185" spans="1:4" x14ac:dyDescent="0.3">
      <c r="A185" s="21">
        <v>45443.736806000001</v>
      </c>
      <c r="B185" s="18">
        <v>61.294564999999999</v>
      </c>
      <c r="C185" s="19"/>
      <c r="D185" s="20"/>
    </row>
    <row r="186" spans="1:4" x14ac:dyDescent="0.3">
      <c r="A186" s="21">
        <v>45443.737500000003</v>
      </c>
      <c r="B186" s="18">
        <v>61.689900000000002</v>
      </c>
      <c r="C186" s="19"/>
      <c r="D186" s="20"/>
    </row>
    <row r="187" spans="1:4" x14ac:dyDescent="0.3">
      <c r="A187" s="21">
        <v>45443.738193999998</v>
      </c>
      <c r="B187" s="18">
        <v>61.675182999999997</v>
      </c>
      <c r="C187" s="19"/>
      <c r="D187" s="20"/>
    </row>
    <row r="188" spans="1:4" x14ac:dyDescent="0.3">
      <c r="A188" s="21">
        <v>45443.738889</v>
      </c>
      <c r="B188" s="18">
        <v>61.342098999999997</v>
      </c>
      <c r="C188" s="19"/>
      <c r="D188" s="20"/>
    </row>
    <row r="189" spans="1:4" x14ac:dyDescent="0.3">
      <c r="A189" s="21">
        <v>45443.739583000002</v>
      </c>
      <c r="B189" s="18">
        <v>61.280686000000003</v>
      </c>
      <c r="C189" s="19"/>
      <c r="D189" s="20"/>
    </row>
    <row r="190" spans="1:4" x14ac:dyDescent="0.3">
      <c r="A190" s="21">
        <v>45443.740277999997</v>
      </c>
      <c r="B190" s="18">
        <v>61.254046000000002</v>
      </c>
      <c r="C190" s="19"/>
      <c r="D190" s="20"/>
    </row>
    <row r="191" spans="1:4" x14ac:dyDescent="0.3">
      <c r="A191" s="21">
        <v>45443.740972</v>
      </c>
      <c r="B191" s="18">
        <v>61.690958000000002</v>
      </c>
      <c r="C191" s="19"/>
      <c r="D191" s="20"/>
    </row>
    <row r="192" spans="1:4" x14ac:dyDescent="0.3">
      <c r="A192" s="21">
        <v>45443.741667000002</v>
      </c>
      <c r="B192" s="18">
        <v>61.398404999999997</v>
      </c>
      <c r="C192" s="19"/>
      <c r="D192" s="20"/>
    </row>
    <row r="193" spans="1:4" x14ac:dyDescent="0.3">
      <c r="A193" s="21">
        <v>45443.742360999997</v>
      </c>
      <c r="B193" s="18">
        <v>61.348045999999997</v>
      </c>
      <c r="C193" s="19"/>
      <c r="D193" s="20"/>
    </row>
    <row r="194" spans="1:4" x14ac:dyDescent="0.3">
      <c r="A194" s="21">
        <v>45443.743055999999</v>
      </c>
      <c r="B194" s="18">
        <v>61.290604000000002</v>
      </c>
      <c r="C194" s="19"/>
      <c r="D194" s="20"/>
    </row>
    <row r="195" spans="1:4" x14ac:dyDescent="0.3">
      <c r="A195" s="21">
        <v>45443.743750000001</v>
      </c>
      <c r="B195" s="18">
        <v>61.640256000000001</v>
      </c>
      <c r="C195" s="19"/>
      <c r="D195" s="20"/>
    </row>
    <row r="196" spans="1:4" x14ac:dyDescent="0.3">
      <c r="A196" s="21">
        <v>45443.744444000004</v>
      </c>
      <c r="B196" s="18">
        <v>61.562981000000001</v>
      </c>
      <c r="C196" s="19"/>
      <c r="D196" s="20"/>
    </row>
    <row r="197" spans="1:4" x14ac:dyDescent="0.3">
      <c r="A197" s="21">
        <v>45443.745138999999</v>
      </c>
      <c r="B197" s="18">
        <v>61.433098000000001</v>
      </c>
      <c r="C197" s="19"/>
      <c r="D197" s="20"/>
    </row>
    <row r="198" spans="1:4" x14ac:dyDescent="0.3">
      <c r="A198" s="21">
        <v>45443.745833000001</v>
      </c>
      <c r="B198" s="18">
        <v>62.169426000000001</v>
      </c>
      <c r="C198" s="19"/>
      <c r="D198" s="20"/>
    </row>
    <row r="199" spans="1:4" x14ac:dyDescent="0.3">
      <c r="A199" s="21">
        <v>45443.746528000003</v>
      </c>
      <c r="B199" s="18">
        <v>61.532741999999999</v>
      </c>
      <c r="C199" s="19"/>
      <c r="D199" s="20"/>
    </row>
    <row r="200" spans="1:4" x14ac:dyDescent="0.3">
      <c r="A200" s="21">
        <v>45443.747221999998</v>
      </c>
      <c r="B200" s="18">
        <v>61.653951999999997</v>
      </c>
      <c r="C200" s="19"/>
      <c r="D200" s="20"/>
    </row>
    <row r="201" spans="1:4" x14ac:dyDescent="0.3">
      <c r="A201" s="21">
        <v>45443.747917000001</v>
      </c>
      <c r="B201" s="18">
        <v>61.528903</v>
      </c>
      <c r="C201" s="19"/>
      <c r="D201" s="20"/>
    </row>
    <row r="202" spans="1:4" x14ac:dyDescent="0.3">
      <c r="A202" s="21">
        <v>45443.748611000003</v>
      </c>
      <c r="B202" s="18">
        <v>61.461962</v>
      </c>
      <c r="C202" s="19"/>
      <c r="D202" s="20"/>
    </row>
    <row r="203" spans="1:4" x14ac:dyDescent="0.3">
      <c r="A203" s="21">
        <v>45443.749305999998</v>
      </c>
      <c r="B203" s="18">
        <v>61.342160999999997</v>
      </c>
      <c r="C203" s="19"/>
      <c r="D203" s="20"/>
    </row>
    <row r="204" spans="1:4" x14ac:dyDescent="0.3">
      <c r="A204" s="21">
        <v>45443.75</v>
      </c>
      <c r="B204" s="18">
        <v>61.572569000000001</v>
      </c>
      <c r="C204" s="19"/>
      <c r="D204" s="20"/>
    </row>
    <row r="205" spans="1:4" x14ac:dyDescent="0.3">
      <c r="A205" s="21">
        <v>45443.750694000002</v>
      </c>
      <c r="B205" s="18">
        <v>61.438820999999997</v>
      </c>
      <c r="C205" s="19"/>
      <c r="D205" s="20"/>
    </row>
    <row r="206" spans="1:4" x14ac:dyDescent="0.3">
      <c r="A206" s="21">
        <v>45443.751388999997</v>
      </c>
      <c r="B206" s="18">
        <v>61.754035000000002</v>
      </c>
      <c r="C206" s="19"/>
      <c r="D206" s="20"/>
    </row>
    <row r="207" spans="1:4" x14ac:dyDescent="0.3">
      <c r="A207" s="21">
        <v>45443.752082999999</v>
      </c>
      <c r="B207" s="18">
        <v>61.506540000000001</v>
      </c>
      <c r="C207" s="19"/>
      <c r="D207" s="20"/>
    </row>
    <row r="208" spans="1:4" x14ac:dyDescent="0.3">
      <c r="A208" s="21">
        <v>45443.752778000002</v>
      </c>
      <c r="B208" s="18">
        <v>61.308807000000002</v>
      </c>
      <c r="C208" s="19"/>
      <c r="D208" s="20"/>
    </row>
    <row r="209" spans="1:4" x14ac:dyDescent="0.3">
      <c r="A209" s="21">
        <v>45443.753471999997</v>
      </c>
      <c r="B209" s="18">
        <v>61.661136999999997</v>
      </c>
      <c r="C209" s="19"/>
      <c r="D209" s="20"/>
    </row>
    <row r="210" spans="1:4" x14ac:dyDescent="0.3">
      <c r="A210" s="21">
        <v>45443.754166999999</v>
      </c>
      <c r="B210" s="18">
        <v>61.553317</v>
      </c>
      <c r="C210" s="19"/>
      <c r="D210" s="20"/>
    </row>
    <row r="211" spans="1:4" x14ac:dyDescent="0.3">
      <c r="A211" s="21">
        <v>45443.754861000001</v>
      </c>
      <c r="B211" s="18">
        <v>61.430922000000002</v>
      </c>
      <c r="C211" s="19"/>
      <c r="D211" s="20"/>
    </row>
    <row r="212" spans="1:4" x14ac:dyDescent="0.3">
      <c r="A212" s="21">
        <v>45443.755555999996</v>
      </c>
      <c r="B212" s="18">
        <v>61.203456000000003</v>
      </c>
      <c r="C212" s="19"/>
      <c r="D212" s="20"/>
    </row>
    <row r="213" spans="1:4" x14ac:dyDescent="0.3">
      <c r="A213" s="21">
        <v>45443.756249999999</v>
      </c>
      <c r="B213" s="18">
        <v>61.057260999999997</v>
      </c>
      <c r="C213" s="19"/>
      <c r="D213" s="20"/>
    </row>
    <row r="214" spans="1:4" x14ac:dyDescent="0.3">
      <c r="A214" s="21">
        <v>45443.756944000001</v>
      </c>
      <c r="B214" s="18">
        <v>61.790655999999998</v>
      </c>
      <c r="C214" s="19"/>
      <c r="D214" s="20"/>
    </row>
    <row r="215" spans="1:4" x14ac:dyDescent="0.3">
      <c r="A215" s="21">
        <v>45443.757639000003</v>
      </c>
      <c r="B215" s="18">
        <v>61.581619000000003</v>
      </c>
      <c r="C215" s="19"/>
      <c r="D215" s="20"/>
    </row>
    <row r="216" spans="1:4" x14ac:dyDescent="0.3">
      <c r="A216" s="21">
        <v>45443.758332999998</v>
      </c>
      <c r="B216" s="18">
        <v>61.533600999999997</v>
      </c>
      <c r="C216" s="19"/>
      <c r="D216" s="20"/>
    </row>
    <row r="217" spans="1:4" x14ac:dyDescent="0.3">
      <c r="A217" s="21">
        <v>45443.759028</v>
      </c>
      <c r="B217" s="18">
        <v>61.702798000000001</v>
      </c>
      <c r="C217" s="19"/>
      <c r="D217" s="20"/>
    </row>
    <row r="218" spans="1:4" x14ac:dyDescent="0.3">
      <c r="A218" s="21">
        <v>45443.759722000003</v>
      </c>
      <c r="B218" s="18">
        <v>61.486381999999999</v>
      </c>
      <c r="C218" s="19"/>
      <c r="D218" s="20"/>
    </row>
    <row r="219" spans="1:4" x14ac:dyDescent="0.3">
      <c r="A219" s="21">
        <v>45443.760416999998</v>
      </c>
      <c r="B219" s="18">
        <v>61.745241</v>
      </c>
      <c r="C219" s="19"/>
      <c r="D219" s="20"/>
    </row>
    <row r="220" spans="1:4" x14ac:dyDescent="0.3">
      <c r="A220" s="21">
        <v>45443.761111</v>
      </c>
      <c r="B220" s="18">
        <v>61.693699000000002</v>
      </c>
      <c r="C220" s="19"/>
      <c r="D220" s="20"/>
    </row>
    <row r="221" spans="1:4" x14ac:dyDescent="0.3">
      <c r="A221" s="21">
        <v>45443.761806000002</v>
      </c>
      <c r="B221" s="18">
        <v>61.533982999999999</v>
      </c>
      <c r="C221" s="19"/>
      <c r="D221" s="20"/>
    </row>
    <row r="222" spans="1:4" x14ac:dyDescent="0.3">
      <c r="A222" s="21">
        <v>45443.762499999997</v>
      </c>
      <c r="B222" s="18">
        <v>61.541949000000002</v>
      </c>
      <c r="C222" s="19"/>
      <c r="D222" s="20"/>
    </row>
    <row r="223" spans="1:4" x14ac:dyDescent="0.3">
      <c r="A223" s="21">
        <v>45443.763193999999</v>
      </c>
      <c r="B223" s="18">
        <v>61.895183000000003</v>
      </c>
      <c r="C223" s="19"/>
      <c r="D223" s="20"/>
    </row>
    <row r="224" spans="1:4" x14ac:dyDescent="0.3">
      <c r="A224" s="21">
        <v>45443.763889000002</v>
      </c>
      <c r="B224" s="18">
        <v>61.512388000000001</v>
      </c>
      <c r="C224" s="19"/>
      <c r="D224" s="20"/>
    </row>
    <row r="225" spans="1:4" x14ac:dyDescent="0.3">
      <c r="A225" s="21">
        <v>45443.764582999996</v>
      </c>
      <c r="B225" s="18">
        <v>62.125067000000001</v>
      </c>
      <c r="C225" s="19"/>
      <c r="D225" s="20"/>
    </row>
    <row r="226" spans="1:4" x14ac:dyDescent="0.3">
      <c r="A226" s="21">
        <v>45443.765277999999</v>
      </c>
      <c r="B226" s="18">
        <v>62.140701999999997</v>
      </c>
      <c r="C226" s="19"/>
      <c r="D226" s="20"/>
    </row>
    <row r="227" spans="1:4" x14ac:dyDescent="0.3">
      <c r="A227" s="21">
        <v>45443.765972000001</v>
      </c>
      <c r="B227" s="18">
        <v>61.681784</v>
      </c>
      <c r="C227" s="19"/>
      <c r="D227" s="20"/>
    </row>
    <row r="228" spans="1:4" x14ac:dyDescent="0.3">
      <c r="A228" s="21">
        <v>45443.766667000004</v>
      </c>
      <c r="B228" s="18">
        <v>61.676240999999997</v>
      </c>
      <c r="C228" s="19"/>
      <c r="D228" s="20"/>
    </row>
    <row r="229" spans="1:4" x14ac:dyDescent="0.3">
      <c r="A229" s="21">
        <v>45443.767360999998</v>
      </c>
      <c r="B229" s="18">
        <v>61.889792999999997</v>
      </c>
      <c r="C229" s="19"/>
      <c r="D229" s="20"/>
    </row>
    <row r="230" spans="1:4" x14ac:dyDescent="0.3">
      <c r="A230" s="21">
        <v>45443.768056000001</v>
      </c>
      <c r="B230" s="18">
        <v>61.837738000000002</v>
      </c>
      <c r="C230" s="19"/>
      <c r="D230" s="20"/>
    </row>
    <row r="231" spans="1:4" x14ac:dyDescent="0.3">
      <c r="A231" s="21">
        <v>45443.768750000003</v>
      </c>
      <c r="B231" s="18">
        <v>62.004849</v>
      </c>
      <c r="C231" s="19"/>
      <c r="D231" s="20"/>
    </row>
    <row r="232" spans="1:4" x14ac:dyDescent="0.3">
      <c r="A232" s="21">
        <v>45443.769443999998</v>
      </c>
      <c r="B232" s="18">
        <v>62.123792000000002</v>
      </c>
      <c r="C232" s="19"/>
      <c r="D232" s="20"/>
    </row>
    <row r="233" spans="1:4" x14ac:dyDescent="0.3">
      <c r="A233" s="21">
        <v>45443.770139</v>
      </c>
      <c r="B233" s="18">
        <v>62.228200999999999</v>
      </c>
      <c r="C233" s="19"/>
      <c r="D233" s="20"/>
    </row>
    <row r="234" spans="1:4" x14ac:dyDescent="0.3">
      <c r="A234" s="21">
        <v>45443.770833000002</v>
      </c>
      <c r="B234" s="18">
        <v>62.036766</v>
      </c>
      <c r="C234" s="19"/>
      <c r="D234" s="20"/>
    </row>
    <row r="235" spans="1:4" x14ac:dyDescent="0.3">
      <c r="A235" s="21">
        <v>45443.771527999997</v>
      </c>
      <c r="B235" s="18">
        <v>61.700918999999999</v>
      </c>
      <c r="C235" s="19"/>
      <c r="D235" s="20"/>
    </row>
    <row r="236" spans="1:4" x14ac:dyDescent="0.3">
      <c r="A236" s="21">
        <v>45443.772222</v>
      </c>
      <c r="B236" s="18">
        <v>61.699978999999999</v>
      </c>
      <c r="C236" s="19"/>
      <c r="D236" s="20"/>
    </row>
    <row r="237" spans="1:4" x14ac:dyDescent="0.3">
      <c r="A237" s="21">
        <v>45443.772917000002</v>
      </c>
      <c r="B237" s="18">
        <v>62.170372</v>
      </c>
      <c r="C237" s="19"/>
      <c r="D237" s="20"/>
    </row>
    <row r="238" spans="1:4" x14ac:dyDescent="0.3">
      <c r="A238" s="21">
        <v>45443.773610999997</v>
      </c>
      <c r="B238" s="18">
        <v>61.930866999999999</v>
      </c>
      <c r="C238" s="19"/>
      <c r="D238" s="20"/>
    </row>
    <row r="239" spans="1:4" x14ac:dyDescent="0.3">
      <c r="A239" s="21">
        <v>45443.774305999999</v>
      </c>
      <c r="B239" s="18">
        <v>62.109101000000003</v>
      </c>
      <c r="C239" s="19"/>
      <c r="D239" s="20"/>
    </row>
    <row r="240" spans="1:4" x14ac:dyDescent="0.3">
      <c r="A240" s="21">
        <v>45443.775000000001</v>
      </c>
      <c r="B240" s="18">
        <v>61.675781999999998</v>
      </c>
      <c r="C240" s="19"/>
      <c r="D240" s="20"/>
    </row>
    <row r="241" spans="1:4" x14ac:dyDescent="0.3">
      <c r="A241" s="21">
        <v>45443.775694000004</v>
      </c>
      <c r="B241" s="18">
        <v>62.361511</v>
      </c>
      <c r="C241" s="19"/>
      <c r="D241" s="20"/>
    </row>
    <row r="242" spans="1:4" x14ac:dyDescent="0.3">
      <c r="A242" s="21">
        <v>45443.776388999999</v>
      </c>
      <c r="B242" s="18">
        <v>62.036641000000003</v>
      </c>
      <c r="C242" s="19"/>
      <c r="D242" s="20"/>
    </row>
    <row r="243" spans="1:4" x14ac:dyDescent="0.3">
      <c r="A243" s="21">
        <v>45443.777083000001</v>
      </c>
      <c r="B243" s="18">
        <v>61.768216000000002</v>
      </c>
      <c r="C243" s="19"/>
      <c r="D243" s="20"/>
    </row>
    <row r="244" spans="1:4" x14ac:dyDescent="0.3">
      <c r="A244" s="21">
        <v>45443.777778000003</v>
      </c>
      <c r="B244" s="18">
        <v>61.599947</v>
      </c>
      <c r="C244" s="19"/>
      <c r="D244" s="20"/>
    </row>
    <row r="245" spans="1:4" x14ac:dyDescent="0.3">
      <c r="A245" s="21">
        <v>45443.778471999998</v>
      </c>
      <c r="B245" s="18">
        <v>61.998263000000001</v>
      </c>
      <c r="C245" s="19"/>
      <c r="D245" s="20"/>
    </row>
    <row r="246" spans="1:4" x14ac:dyDescent="0.3">
      <c r="A246" s="21">
        <v>45443.779167000001</v>
      </c>
      <c r="B246" s="18">
        <v>61.461005</v>
      </c>
      <c r="C246" s="19"/>
      <c r="D246" s="20"/>
    </row>
    <row r="247" spans="1:4" x14ac:dyDescent="0.3">
      <c r="A247" s="21">
        <v>45443.779861000003</v>
      </c>
      <c r="B247" s="18">
        <v>62.323799999999999</v>
      </c>
      <c r="C247" s="19"/>
      <c r="D247" s="20"/>
    </row>
    <row r="248" spans="1:4" x14ac:dyDescent="0.3">
      <c r="A248" s="21">
        <v>45443.780555999998</v>
      </c>
      <c r="B248" s="18">
        <v>62.078423000000001</v>
      </c>
      <c r="C248" s="19"/>
      <c r="D248" s="20"/>
    </row>
    <row r="249" spans="1:4" x14ac:dyDescent="0.3">
      <c r="A249" s="21">
        <v>45443.78125</v>
      </c>
      <c r="B249" s="18">
        <v>61.877299000000001</v>
      </c>
      <c r="C249" s="19"/>
      <c r="D249" s="20"/>
    </row>
    <row r="250" spans="1:4" x14ac:dyDescent="0.3">
      <c r="A250" s="21">
        <v>45443.781944000002</v>
      </c>
      <c r="B250" s="18">
        <v>61.483781</v>
      </c>
      <c r="C250" s="19"/>
      <c r="D250" s="20"/>
    </row>
    <row r="251" spans="1:4" x14ac:dyDescent="0.3">
      <c r="A251" s="21">
        <v>45443.782638999997</v>
      </c>
      <c r="B251" s="18">
        <v>61.793754999999997</v>
      </c>
      <c r="C251" s="19"/>
      <c r="D251" s="20"/>
    </row>
    <row r="252" spans="1:4" x14ac:dyDescent="0.3">
      <c r="A252" s="21">
        <v>45443.783332999999</v>
      </c>
      <c r="B252" s="18">
        <v>61.896881</v>
      </c>
      <c r="C252" s="19"/>
      <c r="D252" s="20"/>
    </row>
    <row r="253" spans="1:4" x14ac:dyDescent="0.3">
      <c r="A253" s="21">
        <v>45443.784028000002</v>
      </c>
      <c r="B253" s="18">
        <v>61.913421999999997</v>
      </c>
      <c r="C253" s="19"/>
      <c r="D253" s="20"/>
    </row>
    <row r="254" spans="1:4" x14ac:dyDescent="0.3">
      <c r="A254" s="21">
        <v>45443.784721999997</v>
      </c>
      <c r="B254" s="18">
        <v>61.920352999999999</v>
      </c>
      <c r="C254" s="19"/>
      <c r="D254" s="20"/>
    </row>
    <row r="255" spans="1:4" x14ac:dyDescent="0.3">
      <c r="A255" s="21">
        <v>45443.785416999999</v>
      </c>
      <c r="B255" s="18">
        <v>62.408191000000002</v>
      </c>
      <c r="C255" s="19"/>
      <c r="D255" s="20"/>
    </row>
    <row r="256" spans="1:4" x14ac:dyDescent="0.3">
      <c r="A256" s="21">
        <v>45443.786111000001</v>
      </c>
      <c r="B256" s="18">
        <v>62.222389</v>
      </c>
      <c r="C256" s="19"/>
      <c r="D256" s="20"/>
    </row>
    <row r="257" spans="1:4" x14ac:dyDescent="0.3">
      <c r="A257" s="21">
        <v>45443.786805999996</v>
      </c>
      <c r="B257" s="18">
        <v>62.028343</v>
      </c>
      <c r="C257" s="19"/>
      <c r="D257" s="20"/>
    </row>
    <row r="258" spans="1:4" x14ac:dyDescent="0.3">
      <c r="A258" s="21">
        <v>45443.787499999999</v>
      </c>
      <c r="B258" s="18">
        <v>61.782924000000001</v>
      </c>
      <c r="C258" s="19"/>
      <c r="D258" s="20"/>
    </row>
    <row r="259" spans="1:4" x14ac:dyDescent="0.3">
      <c r="A259" s="21">
        <v>45443.788194000001</v>
      </c>
      <c r="B259" s="18">
        <v>61.848232000000003</v>
      </c>
      <c r="C259" s="19"/>
      <c r="D259" s="20"/>
    </row>
    <row r="260" spans="1:4" x14ac:dyDescent="0.3">
      <c r="A260" s="21">
        <v>45443.788889000003</v>
      </c>
      <c r="B260" s="18">
        <v>61.857846000000002</v>
      </c>
      <c r="C260" s="19"/>
      <c r="D260" s="20"/>
    </row>
    <row r="261" spans="1:4" x14ac:dyDescent="0.3">
      <c r="A261" s="21">
        <v>45443.789582999998</v>
      </c>
      <c r="B261" s="18">
        <v>62.764823999999997</v>
      </c>
      <c r="C261" s="19"/>
      <c r="D261" s="20"/>
    </row>
    <row r="262" spans="1:4" x14ac:dyDescent="0.3">
      <c r="A262" s="21">
        <v>45443.790278</v>
      </c>
      <c r="B262" s="18">
        <v>63.621760000000002</v>
      </c>
      <c r="C262" s="19"/>
      <c r="D262" s="20"/>
    </row>
    <row r="263" spans="1:4" x14ac:dyDescent="0.3">
      <c r="A263" s="21">
        <v>45443.790972000003</v>
      </c>
      <c r="B263" s="18">
        <v>63.759372999999997</v>
      </c>
      <c r="C263" s="19"/>
      <c r="D263" s="20"/>
    </row>
    <row r="264" spans="1:4" x14ac:dyDescent="0.3">
      <c r="A264" s="21">
        <v>45443.791666999998</v>
      </c>
      <c r="B264" s="18">
        <v>63.648212999999998</v>
      </c>
      <c r="C264" s="19"/>
      <c r="D264" s="20"/>
    </row>
    <row r="265" spans="1:4" x14ac:dyDescent="0.3">
      <c r="A265" s="21">
        <v>45443.792361</v>
      </c>
      <c r="B265" s="18">
        <v>63.711888999999999</v>
      </c>
      <c r="C265" s="19"/>
      <c r="D265" s="20"/>
    </row>
    <row r="266" spans="1:4" x14ac:dyDescent="0.3">
      <c r="A266" s="21">
        <v>45443.793056000002</v>
      </c>
      <c r="B266" s="18">
        <v>64.033165999999994</v>
      </c>
      <c r="C266" s="19"/>
      <c r="D266" s="20"/>
    </row>
    <row r="267" spans="1:4" x14ac:dyDescent="0.3">
      <c r="A267" s="21">
        <v>45443.793749999997</v>
      </c>
      <c r="B267" s="18">
        <v>63.633507999999999</v>
      </c>
      <c r="C267" s="19"/>
      <c r="D267" s="20"/>
    </row>
    <row r="268" spans="1:4" x14ac:dyDescent="0.3">
      <c r="A268" s="21">
        <v>45443.794443999999</v>
      </c>
      <c r="B268" s="18">
        <v>63.579863000000003</v>
      </c>
      <c r="C268" s="19"/>
      <c r="D268" s="20"/>
    </row>
    <row r="269" spans="1:4" x14ac:dyDescent="0.3">
      <c r="A269" s="21">
        <v>45443.795139000002</v>
      </c>
      <c r="B269" s="18">
        <v>63.583722999999999</v>
      </c>
      <c r="C269" s="19"/>
      <c r="D269" s="20"/>
    </row>
    <row r="270" spans="1:4" x14ac:dyDescent="0.3">
      <c r="A270" s="21">
        <v>45443.795832999996</v>
      </c>
      <c r="B270" s="18">
        <v>63.451324999999997</v>
      </c>
      <c r="C270" s="19"/>
      <c r="D270" s="20"/>
    </row>
    <row r="271" spans="1:4" x14ac:dyDescent="0.3">
      <c r="A271" s="21">
        <v>45443.796527999999</v>
      </c>
      <c r="B271" s="18">
        <v>63.408006999999998</v>
      </c>
      <c r="C271" s="19"/>
      <c r="D271" s="20"/>
    </row>
    <row r="272" spans="1:4" x14ac:dyDescent="0.3">
      <c r="A272" s="21">
        <v>45443.797222000001</v>
      </c>
      <c r="B272" s="18">
        <v>63.469079999999998</v>
      </c>
      <c r="C272" s="19"/>
      <c r="D272" s="20"/>
    </row>
    <row r="273" spans="1:4" x14ac:dyDescent="0.3">
      <c r="A273" s="21">
        <v>45443.797917000004</v>
      </c>
      <c r="B273" s="18">
        <v>63.591127</v>
      </c>
      <c r="C273" s="19"/>
      <c r="D273" s="20"/>
    </row>
    <row r="274" spans="1:4" x14ac:dyDescent="0.3">
      <c r="A274" s="21">
        <v>45443.798610999998</v>
      </c>
      <c r="B274" s="18">
        <v>63.227054000000003</v>
      </c>
      <c r="C274" s="19"/>
      <c r="D274" s="20"/>
    </row>
    <row r="275" spans="1:4" x14ac:dyDescent="0.3">
      <c r="A275" s="21">
        <v>45443.799306000001</v>
      </c>
      <c r="B275" s="18">
        <v>63.606164</v>
      </c>
      <c r="C275" s="19"/>
      <c r="D275" s="20"/>
    </row>
    <row r="276" spans="1:4" x14ac:dyDescent="0.3">
      <c r="A276" s="21">
        <v>45443.8</v>
      </c>
      <c r="B276" s="18">
        <v>63.462871</v>
      </c>
      <c r="C276" s="19"/>
      <c r="D276" s="20"/>
    </row>
    <row r="277" spans="1:4" x14ac:dyDescent="0.3">
      <c r="A277" s="21">
        <v>45443.800693999998</v>
      </c>
      <c r="B277" s="18">
        <v>63.498705999999999</v>
      </c>
      <c r="C277" s="19"/>
      <c r="D277" s="20"/>
    </row>
    <row r="278" spans="1:4" x14ac:dyDescent="0.3">
      <c r="A278" s="21">
        <v>45443.801389</v>
      </c>
      <c r="B278" s="18">
        <v>63.703812999999997</v>
      </c>
      <c r="C278" s="19"/>
      <c r="D278" s="20"/>
    </row>
    <row r="279" spans="1:4" x14ac:dyDescent="0.3">
      <c r="A279" s="21">
        <v>45443.802083000002</v>
      </c>
      <c r="B279" s="18">
        <v>63.978276999999999</v>
      </c>
      <c r="C279" s="19"/>
      <c r="D279" s="20"/>
    </row>
    <row r="280" spans="1:4" x14ac:dyDescent="0.3">
      <c r="A280" s="21">
        <v>45443.802777999997</v>
      </c>
      <c r="B280" s="18">
        <v>63.533285999999997</v>
      </c>
      <c r="C280" s="19"/>
      <c r="D280" s="20"/>
    </row>
    <row r="281" spans="1:4" x14ac:dyDescent="0.3">
      <c r="A281" s="21">
        <v>45443.803472</v>
      </c>
      <c r="B281" s="18">
        <v>64.077641</v>
      </c>
      <c r="C281" s="19"/>
      <c r="D281" s="20"/>
    </row>
    <row r="282" spans="1:4" x14ac:dyDescent="0.3">
      <c r="A282" s="21">
        <v>45443.804167000002</v>
      </c>
      <c r="B282" s="18">
        <v>63.488869999999999</v>
      </c>
      <c r="C282" s="19"/>
      <c r="D282" s="20"/>
    </row>
    <row r="283" spans="1:4" x14ac:dyDescent="0.3">
      <c r="A283" s="21">
        <v>45443.804860999997</v>
      </c>
      <c r="B283" s="18">
        <v>63.389223999999999</v>
      </c>
      <c r="C283" s="19"/>
      <c r="D283" s="20"/>
    </row>
    <row r="284" spans="1:4" x14ac:dyDescent="0.3">
      <c r="A284" s="21">
        <v>45443.805555999999</v>
      </c>
      <c r="B284" s="18">
        <v>63.958174</v>
      </c>
      <c r="C284" s="19"/>
      <c r="D284" s="20"/>
    </row>
    <row r="285" spans="1:4" x14ac:dyDescent="0.3">
      <c r="A285" s="21">
        <v>45443.806250000001</v>
      </c>
      <c r="B285" s="18">
        <v>63.309286</v>
      </c>
      <c r="C285" s="19"/>
      <c r="D285" s="20"/>
    </row>
    <row r="286" spans="1:4" x14ac:dyDescent="0.3">
      <c r="A286" s="21">
        <v>45443.806944000004</v>
      </c>
      <c r="B286" s="18">
        <v>63.398595</v>
      </c>
      <c r="C286" s="19"/>
      <c r="D286" s="20"/>
    </row>
    <row r="287" spans="1:4" x14ac:dyDescent="0.3">
      <c r="A287" s="21">
        <v>45443.807638999999</v>
      </c>
      <c r="B287" s="18">
        <v>63.880038999999996</v>
      </c>
      <c r="C287" s="19"/>
      <c r="D287" s="20"/>
    </row>
    <row r="288" spans="1:4" x14ac:dyDescent="0.3">
      <c r="A288" s="21">
        <v>45443.808333000001</v>
      </c>
      <c r="B288" s="18">
        <v>63.726855</v>
      </c>
      <c r="C288" s="19"/>
      <c r="D288" s="20"/>
    </row>
    <row r="289" spans="1:4" x14ac:dyDescent="0.3">
      <c r="A289" s="21">
        <v>45443.809028000003</v>
      </c>
      <c r="B289" s="18">
        <v>63.634455000000003</v>
      </c>
      <c r="C289" s="19"/>
      <c r="D289" s="20"/>
    </row>
    <row r="290" spans="1:4" x14ac:dyDescent="0.3">
      <c r="A290" s="21">
        <v>45443.809721999998</v>
      </c>
      <c r="B290" s="18">
        <v>63.813704000000001</v>
      </c>
      <c r="C290" s="19"/>
      <c r="D290" s="20"/>
    </row>
    <row r="291" spans="1:4" x14ac:dyDescent="0.3">
      <c r="A291" s="21">
        <v>45443.810417000001</v>
      </c>
      <c r="B291" s="18">
        <v>63.369627999999999</v>
      </c>
      <c r="C291" s="19"/>
      <c r="D291" s="20"/>
    </row>
    <row r="292" spans="1:4" x14ac:dyDescent="0.3">
      <c r="A292" s="21">
        <v>45443.811111000003</v>
      </c>
      <c r="B292" s="18">
        <v>63.607944000000003</v>
      </c>
      <c r="C292" s="19"/>
      <c r="D292" s="20"/>
    </row>
    <row r="293" spans="1:4" x14ac:dyDescent="0.3">
      <c r="A293" s="21">
        <v>45443.811805999998</v>
      </c>
      <c r="B293" s="18">
        <v>63.526992</v>
      </c>
      <c r="C293" s="19"/>
      <c r="D293" s="20"/>
    </row>
    <row r="294" spans="1:4" x14ac:dyDescent="0.3">
      <c r="A294" s="21">
        <v>45443.8125</v>
      </c>
      <c r="B294" s="18">
        <v>63.625759000000002</v>
      </c>
      <c r="C294" s="19"/>
      <c r="D294" s="20"/>
    </row>
    <row r="295" spans="1:4" x14ac:dyDescent="0.3">
      <c r="A295" s="21">
        <v>45443.813194000002</v>
      </c>
      <c r="B295" s="18">
        <v>63.971972999999998</v>
      </c>
      <c r="C295" s="19"/>
      <c r="D295" s="20"/>
    </row>
    <row r="296" spans="1:4" x14ac:dyDescent="0.3">
      <c r="A296" s="21">
        <v>45443.813888999997</v>
      </c>
      <c r="B296" s="18">
        <v>63.456584999999997</v>
      </c>
      <c r="C296" s="19"/>
      <c r="D296" s="20"/>
    </row>
    <row r="297" spans="1:4" x14ac:dyDescent="0.3">
      <c r="A297" s="21">
        <v>45443.814582999999</v>
      </c>
      <c r="B297" s="18">
        <v>63.463349000000001</v>
      </c>
      <c r="C297" s="19"/>
      <c r="D297" s="20"/>
    </row>
    <row r="298" spans="1:4" x14ac:dyDescent="0.3">
      <c r="A298" s="21">
        <v>45443.815278000002</v>
      </c>
      <c r="B298" s="18">
        <v>63.589238999999999</v>
      </c>
      <c r="C298" s="19"/>
      <c r="D298" s="20"/>
    </row>
    <row r="299" spans="1:4" x14ac:dyDescent="0.3">
      <c r="A299" s="21">
        <v>45443.815971999997</v>
      </c>
      <c r="B299" s="18">
        <v>63.627791000000002</v>
      </c>
      <c r="C299" s="19"/>
      <c r="D299" s="20"/>
    </row>
    <row r="300" spans="1:4" x14ac:dyDescent="0.3">
      <c r="A300" s="21">
        <v>45443.816666999999</v>
      </c>
      <c r="B300" s="18">
        <v>63.509000999999998</v>
      </c>
      <c r="C300" s="19"/>
      <c r="D300" s="20"/>
    </row>
    <row r="301" spans="1:4" x14ac:dyDescent="0.3">
      <c r="A301" s="21">
        <v>45443.817361000001</v>
      </c>
      <c r="B301" s="18">
        <v>63.730988000000004</v>
      </c>
      <c r="C301" s="19"/>
      <c r="D301" s="20"/>
    </row>
    <row r="302" spans="1:4" x14ac:dyDescent="0.3">
      <c r="A302" s="21">
        <v>45443.818055999996</v>
      </c>
      <c r="B302" s="18">
        <v>63.527467000000001</v>
      </c>
      <c r="C302" s="19"/>
      <c r="D302" s="20"/>
    </row>
    <row r="303" spans="1:4" x14ac:dyDescent="0.3">
      <c r="A303" s="21">
        <v>45443.818749999999</v>
      </c>
      <c r="B303" s="18">
        <v>63.664310999999998</v>
      </c>
      <c r="C303" s="19"/>
      <c r="D303" s="20"/>
    </row>
    <row r="304" spans="1:4" x14ac:dyDescent="0.3">
      <c r="A304" s="21">
        <v>45443.819444000001</v>
      </c>
      <c r="B304" s="18">
        <v>63.097651999999997</v>
      </c>
      <c r="C304" s="19"/>
      <c r="D304" s="20"/>
    </row>
    <row r="305" spans="1:4" x14ac:dyDescent="0.3">
      <c r="A305" s="21">
        <v>45443.820139000003</v>
      </c>
      <c r="B305" s="18">
        <v>63.292501000000001</v>
      </c>
      <c r="C305" s="19"/>
      <c r="D305" s="20"/>
    </row>
    <row r="306" spans="1:4" x14ac:dyDescent="0.3">
      <c r="A306" s="21">
        <v>45443.820832999998</v>
      </c>
      <c r="B306" s="18">
        <v>63.563229</v>
      </c>
      <c r="C306" s="19"/>
      <c r="D306" s="20"/>
    </row>
    <row r="307" spans="1:4" x14ac:dyDescent="0.3">
      <c r="A307" s="21">
        <v>45443.821528</v>
      </c>
      <c r="B307" s="18">
        <v>63.567078000000002</v>
      </c>
      <c r="C307" s="19"/>
      <c r="D307" s="20"/>
    </row>
    <row r="308" spans="1:4" x14ac:dyDescent="0.3">
      <c r="A308" s="21">
        <v>45443.822222000003</v>
      </c>
      <c r="B308" s="18">
        <v>63.263036999999997</v>
      </c>
      <c r="C308" s="19"/>
      <c r="D308" s="20"/>
    </row>
    <row r="309" spans="1:4" x14ac:dyDescent="0.3">
      <c r="A309" s="21">
        <v>45443.822916999998</v>
      </c>
      <c r="B309" s="18">
        <v>63.340688999999998</v>
      </c>
      <c r="C309" s="19"/>
      <c r="D309" s="20"/>
    </row>
    <row r="310" spans="1:4" x14ac:dyDescent="0.3">
      <c r="A310" s="21">
        <v>45443.823611</v>
      </c>
      <c r="B310" s="18">
        <v>63.391803000000003</v>
      </c>
      <c r="C310" s="19"/>
      <c r="D310" s="20"/>
    </row>
    <row r="311" spans="1:4" x14ac:dyDescent="0.3">
      <c r="A311" s="21">
        <v>45443.824306000002</v>
      </c>
      <c r="B311" s="18">
        <v>63.632086000000001</v>
      </c>
      <c r="C311" s="19"/>
      <c r="D311" s="20"/>
    </row>
    <row r="312" spans="1:4" x14ac:dyDescent="0.3">
      <c r="A312" s="21">
        <v>45443.824999999997</v>
      </c>
      <c r="B312" s="18">
        <v>63.834905999999997</v>
      </c>
      <c r="C312" s="19"/>
      <c r="D312" s="20"/>
    </row>
    <row r="313" spans="1:4" x14ac:dyDescent="0.3">
      <c r="A313" s="21">
        <v>45443.825693999999</v>
      </c>
      <c r="B313" s="18">
        <v>63.315795999999999</v>
      </c>
      <c r="C313" s="19"/>
      <c r="D313" s="20"/>
    </row>
    <row r="314" spans="1:4" x14ac:dyDescent="0.3">
      <c r="A314" s="21">
        <v>45443.826389000002</v>
      </c>
      <c r="B314" s="18">
        <v>64.118925000000004</v>
      </c>
      <c r="C314" s="19"/>
      <c r="D314" s="20"/>
    </row>
    <row r="315" spans="1:4" x14ac:dyDescent="0.3">
      <c r="A315" s="21">
        <v>45443.827082999996</v>
      </c>
      <c r="B315" s="18">
        <v>63.182485</v>
      </c>
      <c r="C315" s="19"/>
      <c r="D315" s="20"/>
    </row>
    <row r="316" spans="1:4" x14ac:dyDescent="0.3">
      <c r="A316" s="21">
        <v>45443.827777999999</v>
      </c>
      <c r="B316" s="18">
        <v>63.621049999999997</v>
      </c>
      <c r="C316" s="19"/>
      <c r="D316" s="20"/>
    </row>
    <row r="317" spans="1:4" x14ac:dyDescent="0.3">
      <c r="A317" s="21">
        <v>45443.828472000001</v>
      </c>
      <c r="B317" s="18">
        <v>63.180231999999997</v>
      </c>
      <c r="C317" s="19"/>
      <c r="D317" s="20"/>
    </row>
    <row r="318" spans="1:4" x14ac:dyDescent="0.3">
      <c r="A318" s="21">
        <v>45443.829167000004</v>
      </c>
      <c r="B318" s="18">
        <v>63.469386999999998</v>
      </c>
      <c r="C318" s="19"/>
      <c r="D318" s="20"/>
    </row>
    <row r="319" spans="1:4" x14ac:dyDescent="0.3">
      <c r="A319" s="21">
        <v>45443.829860999998</v>
      </c>
      <c r="B319" s="18">
        <v>63.126838999999997</v>
      </c>
      <c r="C319" s="19"/>
      <c r="D319" s="20"/>
    </row>
    <row r="320" spans="1:4" x14ac:dyDescent="0.3">
      <c r="A320" s="21">
        <v>45443.830556000001</v>
      </c>
      <c r="B320" s="18">
        <v>63.400919000000002</v>
      </c>
      <c r="C320" s="19"/>
      <c r="D320" s="20"/>
    </row>
    <row r="321" spans="1:4" x14ac:dyDescent="0.3">
      <c r="A321" s="21">
        <v>45443.831250000003</v>
      </c>
      <c r="B321" s="18">
        <v>63.663902</v>
      </c>
      <c r="C321" s="19"/>
      <c r="D321" s="20"/>
    </row>
    <row r="322" spans="1:4" x14ac:dyDescent="0.3">
      <c r="A322" s="21">
        <v>45443.831943999998</v>
      </c>
      <c r="B322" s="18">
        <v>62.917099</v>
      </c>
      <c r="C322" s="19"/>
      <c r="D322" s="20"/>
    </row>
    <row r="323" spans="1:4" x14ac:dyDescent="0.3">
      <c r="A323" s="21">
        <v>45443.832639</v>
      </c>
      <c r="B323" s="18">
        <v>63.613346999999997</v>
      </c>
      <c r="C323" s="19"/>
      <c r="D323" s="20"/>
    </row>
    <row r="324" spans="1:4" x14ac:dyDescent="0.3">
      <c r="A324" s="21">
        <v>45443.833333000002</v>
      </c>
      <c r="B324" s="18">
        <v>63.722741999999997</v>
      </c>
      <c r="C324" s="19"/>
      <c r="D324" s="20"/>
    </row>
    <row r="325" spans="1:4" x14ac:dyDescent="0.3">
      <c r="A325" s="21">
        <v>45443.834027999997</v>
      </c>
      <c r="B325" s="18">
        <v>63.305760999999997</v>
      </c>
      <c r="C325" s="19"/>
      <c r="D325" s="20"/>
    </row>
    <row r="326" spans="1:4" x14ac:dyDescent="0.3">
      <c r="A326" s="21">
        <v>45443.834722</v>
      </c>
      <c r="B326" s="18">
        <v>63.509447000000002</v>
      </c>
      <c r="C326" s="19"/>
      <c r="D326" s="20"/>
    </row>
    <row r="327" spans="1:4" x14ac:dyDescent="0.3">
      <c r="A327" s="21">
        <v>45443.835417000002</v>
      </c>
      <c r="B327" s="18">
        <v>63.286414999999998</v>
      </c>
      <c r="C327" s="19"/>
      <c r="D327" s="20"/>
    </row>
    <row r="328" spans="1:4" x14ac:dyDescent="0.3">
      <c r="A328" s="21">
        <v>45443.836110999997</v>
      </c>
      <c r="B328" s="18">
        <v>62.819915000000002</v>
      </c>
      <c r="C328" s="19"/>
      <c r="D328" s="20"/>
    </row>
    <row r="329" spans="1:4" x14ac:dyDescent="0.3">
      <c r="A329" s="21">
        <v>45443.836805999999</v>
      </c>
      <c r="B329" s="18">
        <v>63.301411000000002</v>
      </c>
      <c r="C329" s="19"/>
      <c r="D329" s="20"/>
    </row>
    <row r="330" spans="1:4" x14ac:dyDescent="0.3">
      <c r="A330" s="21">
        <v>45443.837500000001</v>
      </c>
      <c r="B330" s="18">
        <v>63.723177999999997</v>
      </c>
      <c r="C330" s="19"/>
      <c r="D330" s="20"/>
    </row>
    <row r="331" spans="1:4" x14ac:dyDescent="0.3">
      <c r="A331" s="21">
        <v>45443.838194000004</v>
      </c>
      <c r="B331" s="18">
        <v>63.455958000000003</v>
      </c>
      <c r="C331" s="19"/>
      <c r="D331" s="20"/>
    </row>
    <row r="332" spans="1:4" x14ac:dyDescent="0.3">
      <c r="A332" s="21">
        <v>45443.838888999999</v>
      </c>
      <c r="B332" s="18">
        <v>63.109755</v>
      </c>
      <c r="C332" s="19"/>
      <c r="D332" s="20"/>
    </row>
    <row r="333" spans="1:4" x14ac:dyDescent="0.3">
      <c r="A333" s="21">
        <v>45443.839583000001</v>
      </c>
      <c r="B333" s="18">
        <v>63.364412000000002</v>
      </c>
      <c r="C333" s="19"/>
      <c r="D333" s="20"/>
    </row>
    <row r="334" spans="1:4" x14ac:dyDescent="0.3">
      <c r="A334" s="21">
        <v>45443.840278000003</v>
      </c>
      <c r="B334" s="18">
        <v>63.419685999999999</v>
      </c>
      <c r="C334" s="19"/>
      <c r="D334" s="20"/>
    </row>
    <row r="335" spans="1:4" x14ac:dyDescent="0.3">
      <c r="A335" s="21">
        <v>45443.840971999998</v>
      </c>
      <c r="B335" s="18">
        <v>63.184790999999997</v>
      </c>
      <c r="C335" s="19"/>
      <c r="D335" s="20"/>
    </row>
    <row r="336" spans="1:4" x14ac:dyDescent="0.3">
      <c r="A336" s="21">
        <v>45443.841667000001</v>
      </c>
      <c r="B336" s="18">
        <v>63.458613999999997</v>
      </c>
      <c r="C336" s="19"/>
      <c r="D336" s="20"/>
    </row>
    <row r="337" spans="1:4" x14ac:dyDescent="0.3">
      <c r="A337" s="21">
        <v>45443.842361000003</v>
      </c>
      <c r="B337" s="18">
        <v>63.510289999999998</v>
      </c>
      <c r="C337" s="19"/>
      <c r="D337" s="20"/>
    </row>
    <row r="338" spans="1:4" x14ac:dyDescent="0.3">
      <c r="A338" s="21">
        <v>45443.843055999998</v>
      </c>
      <c r="B338" s="18">
        <v>63.502488</v>
      </c>
      <c r="C338" s="19"/>
      <c r="D338" s="20"/>
    </row>
    <row r="339" spans="1:4" x14ac:dyDescent="0.3">
      <c r="A339" s="21">
        <v>45443.84375</v>
      </c>
      <c r="B339" s="18">
        <v>63.386957000000002</v>
      </c>
      <c r="C339" s="19"/>
      <c r="D339" s="20"/>
    </row>
    <row r="340" spans="1:4" x14ac:dyDescent="0.3">
      <c r="A340" s="21">
        <v>45443.844444000002</v>
      </c>
      <c r="B340" s="18">
        <v>63.661389999999997</v>
      </c>
      <c r="C340" s="19"/>
      <c r="D340" s="20"/>
    </row>
    <row r="341" spans="1:4" x14ac:dyDescent="0.3">
      <c r="A341" s="21">
        <v>45443.845138999997</v>
      </c>
      <c r="B341" s="18">
        <v>63.305728999999999</v>
      </c>
      <c r="C341" s="19"/>
      <c r="D341" s="20"/>
    </row>
    <row r="342" spans="1:4" x14ac:dyDescent="0.3">
      <c r="A342" s="21">
        <v>45443.845832999999</v>
      </c>
      <c r="B342" s="18">
        <v>63.481732000000001</v>
      </c>
      <c r="C342" s="19"/>
      <c r="D342" s="20"/>
    </row>
    <row r="343" spans="1:4" x14ac:dyDescent="0.3">
      <c r="A343" s="21">
        <v>45443.846528000002</v>
      </c>
      <c r="B343" s="18">
        <v>63.405495000000002</v>
      </c>
      <c r="C343" s="19"/>
      <c r="D343" s="20"/>
    </row>
    <row r="344" spans="1:4" x14ac:dyDescent="0.3">
      <c r="A344" s="21">
        <v>45443.847221999997</v>
      </c>
      <c r="B344" s="18">
        <v>63.388475</v>
      </c>
      <c r="C344" s="19"/>
      <c r="D344" s="20"/>
    </row>
    <row r="345" spans="1:4" x14ac:dyDescent="0.3">
      <c r="A345" s="21">
        <v>45443.847916999999</v>
      </c>
      <c r="B345" s="18">
        <v>63.055556000000003</v>
      </c>
      <c r="C345" s="19"/>
      <c r="D345" s="20"/>
    </row>
    <row r="346" spans="1:4" x14ac:dyDescent="0.3">
      <c r="A346" s="21">
        <v>45443.848611000001</v>
      </c>
      <c r="B346" s="18">
        <v>63.430151000000002</v>
      </c>
      <c r="C346" s="19"/>
      <c r="D346" s="20"/>
    </row>
    <row r="347" spans="1:4" x14ac:dyDescent="0.3">
      <c r="A347" s="21">
        <v>45443.849305999996</v>
      </c>
      <c r="B347" s="18">
        <v>63.520715000000003</v>
      </c>
      <c r="C347" s="19"/>
      <c r="D347" s="20"/>
    </row>
    <row r="348" spans="1:4" x14ac:dyDescent="0.3">
      <c r="A348" s="21">
        <v>45443.85</v>
      </c>
      <c r="B348" s="18">
        <v>63.270508</v>
      </c>
      <c r="C348" s="19"/>
      <c r="D348" s="20"/>
    </row>
    <row r="349" spans="1:4" x14ac:dyDescent="0.3">
      <c r="A349" s="21">
        <v>45443.850694000001</v>
      </c>
      <c r="B349" s="18">
        <v>63.625101999999998</v>
      </c>
      <c r="C349" s="19"/>
      <c r="D349" s="20"/>
    </row>
    <row r="350" spans="1:4" x14ac:dyDescent="0.3">
      <c r="A350" s="21">
        <v>45443.851389000003</v>
      </c>
      <c r="B350" s="18">
        <v>63.497169999999997</v>
      </c>
      <c r="C350" s="19"/>
      <c r="D350" s="20"/>
    </row>
    <row r="351" spans="1:4" x14ac:dyDescent="0.3">
      <c r="A351" s="21">
        <v>45443.852082999998</v>
      </c>
      <c r="B351" s="18">
        <v>63.370935000000003</v>
      </c>
      <c r="C351" s="19"/>
      <c r="D351" s="20"/>
    </row>
    <row r="352" spans="1:4" x14ac:dyDescent="0.3">
      <c r="A352" s="21">
        <v>45443.852778</v>
      </c>
      <c r="B352" s="18">
        <v>63.20825</v>
      </c>
      <c r="C352" s="19"/>
      <c r="D352" s="20"/>
    </row>
    <row r="353" spans="1:4" x14ac:dyDescent="0.3">
      <c r="A353" s="21">
        <v>45443.853472000003</v>
      </c>
      <c r="B353" s="18">
        <v>63.309745999999997</v>
      </c>
      <c r="C353" s="19"/>
      <c r="D353" s="20"/>
    </row>
    <row r="354" spans="1:4" x14ac:dyDescent="0.3">
      <c r="A354" s="21">
        <v>45443.854166999998</v>
      </c>
      <c r="B354" s="18">
        <v>63.542831</v>
      </c>
      <c r="C354" s="19"/>
      <c r="D354" s="20"/>
    </row>
    <row r="355" spans="1:4" x14ac:dyDescent="0.3">
      <c r="A355" s="21">
        <v>45443.854861</v>
      </c>
      <c r="B355" s="18">
        <v>63.063326000000004</v>
      </c>
      <c r="C355" s="19"/>
      <c r="D355" s="20"/>
    </row>
    <row r="356" spans="1:4" x14ac:dyDescent="0.3">
      <c r="A356" s="21">
        <v>45443.855556000002</v>
      </c>
      <c r="B356" s="18">
        <v>63.384501999999998</v>
      </c>
      <c r="C356" s="19"/>
      <c r="D356" s="20"/>
    </row>
    <row r="357" spans="1:4" x14ac:dyDescent="0.3">
      <c r="A357" s="21">
        <v>45443.856249999997</v>
      </c>
      <c r="B357" s="18">
        <v>63.609887000000001</v>
      </c>
      <c r="C357" s="19"/>
      <c r="D357" s="20"/>
    </row>
    <row r="358" spans="1:4" x14ac:dyDescent="0.3">
      <c r="A358" s="21">
        <v>45443.856943999999</v>
      </c>
      <c r="B358" s="18">
        <v>63.347825999999998</v>
      </c>
      <c r="C358" s="19"/>
      <c r="D358" s="20"/>
    </row>
    <row r="359" spans="1:4" x14ac:dyDescent="0.3">
      <c r="A359" s="21">
        <v>45443.857639000002</v>
      </c>
      <c r="B359" s="18">
        <v>63.305759999999999</v>
      </c>
      <c r="C359" s="19"/>
      <c r="D359" s="20"/>
    </row>
    <row r="360" spans="1:4" x14ac:dyDescent="0.3">
      <c r="A360" s="21">
        <v>45443.858332999996</v>
      </c>
      <c r="B360" s="18">
        <v>63.103695000000002</v>
      </c>
      <c r="C360" s="19"/>
      <c r="D360" s="20"/>
    </row>
    <row r="361" spans="1:4" x14ac:dyDescent="0.3">
      <c r="A361" s="21">
        <v>45443.859027999999</v>
      </c>
      <c r="B361" s="18">
        <v>63.508448000000001</v>
      </c>
      <c r="C361" s="19"/>
      <c r="D361" s="20"/>
    </row>
    <row r="362" spans="1:4" x14ac:dyDescent="0.3">
      <c r="A362" s="21">
        <v>45443.859722000001</v>
      </c>
      <c r="B362" s="18">
        <v>62.858569000000003</v>
      </c>
      <c r="C362" s="19"/>
      <c r="D362" s="20"/>
    </row>
    <row r="363" spans="1:4" x14ac:dyDescent="0.3">
      <c r="A363" s="21">
        <v>45443.860417000004</v>
      </c>
      <c r="B363" s="18">
        <v>62.823034</v>
      </c>
      <c r="C363" s="19"/>
      <c r="D363" s="20"/>
    </row>
    <row r="364" spans="1:4" x14ac:dyDescent="0.3">
      <c r="A364" s="21">
        <v>45443.861110999998</v>
      </c>
      <c r="B364" s="18">
        <v>63.370826000000001</v>
      </c>
      <c r="C364" s="19"/>
      <c r="D364" s="20"/>
    </row>
    <row r="365" spans="1:4" x14ac:dyDescent="0.3">
      <c r="A365" s="21">
        <v>45443.861806000001</v>
      </c>
      <c r="B365" s="18">
        <v>63.724783000000002</v>
      </c>
      <c r="C365" s="19"/>
      <c r="D365" s="20"/>
    </row>
    <row r="366" spans="1:4" x14ac:dyDescent="0.3">
      <c r="A366" s="21">
        <v>45443.862500000003</v>
      </c>
      <c r="B366" s="18">
        <v>63.524061000000003</v>
      </c>
      <c r="C366" s="19"/>
      <c r="D366" s="20"/>
    </row>
    <row r="367" spans="1:4" x14ac:dyDescent="0.3">
      <c r="A367" s="21">
        <v>45443.863193999998</v>
      </c>
      <c r="B367" s="18">
        <v>63.138517999999998</v>
      </c>
      <c r="C367" s="19"/>
      <c r="D367" s="20"/>
    </row>
    <row r="368" spans="1:4" x14ac:dyDescent="0.3">
      <c r="A368" s="21">
        <v>45443.863889</v>
      </c>
      <c r="B368" s="18">
        <v>63.340553</v>
      </c>
      <c r="C368" s="19"/>
      <c r="D368" s="20"/>
    </row>
    <row r="369" spans="1:4" x14ac:dyDescent="0.3">
      <c r="A369" s="21">
        <v>45443.864583000002</v>
      </c>
      <c r="B369" s="18">
        <v>63.174466000000002</v>
      </c>
      <c r="C369" s="19"/>
      <c r="D369" s="20"/>
    </row>
    <row r="370" spans="1:4" x14ac:dyDescent="0.3">
      <c r="A370" s="21">
        <v>45443.865277999997</v>
      </c>
      <c r="B370" s="18">
        <v>63.504432999999999</v>
      </c>
      <c r="C370" s="19"/>
      <c r="D370" s="20"/>
    </row>
    <row r="371" spans="1:4" x14ac:dyDescent="0.3">
      <c r="A371" s="21">
        <v>45443.865972</v>
      </c>
      <c r="B371" s="18">
        <v>63.383341000000001</v>
      </c>
      <c r="C371" s="19"/>
      <c r="D371" s="20"/>
    </row>
    <row r="372" spans="1:4" x14ac:dyDescent="0.3">
      <c r="A372" s="21">
        <v>45443.866667000002</v>
      </c>
      <c r="B372" s="18">
        <v>63.209693999999999</v>
      </c>
      <c r="C372" s="19"/>
      <c r="D372" s="20"/>
    </row>
    <row r="373" spans="1:4" x14ac:dyDescent="0.3">
      <c r="A373" s="21">
        <v>45443.867360999997</v>
      </c>
      <c r="B373" s="18">
        <v>63.258074000000001</v>
      </c>
      <c r="C373" s="19"/>
      <c r="D373" s="20"/>
    </row>
    <row r="374" spans="1:4" x14ac:dyDescent="0.3">
      <c r="A374" s="21">
        <v>45443.868055999999</v>
      </c>
      <c r="B374" s="18">
        <v>63.437705999999999</v>
      </c>
      <c r="C374" s="19"/>
      <c r="D374" s="20"/>
    </row>
    <row r="375" spans="1:4" x14ac:dyDescent="0.3">
      <c r="A375" s="21">
        <v>45443.868750000001</v>
      </c>
      <c r="B375" s="18">
        <v>63.237488999999997</v>
      </c>
      <c r="C375" s="19"/>
      <c r="D375" s="20"/>
    </row>
    <row r="376" spans="1:4" x14ac:dyDescent="0.3">
      <c r="A376" s="21">
        <v>45443.869444000004</v>
      </c>
      <c r="B376" s="18">
        <v>63.488118</v>
      </c>
      <c r="C376" s="19"/>
      <c r="D376" s="20"/>
    </row>
    <row r="377" spans="1:4" x14ac:dyDescent="0.3">
      <c r="A377" s="21">
        <v>45443.870138999999</v>
      </c>
      <c r="B377" s="18">
        <v>63.438353999999997</v>
      </c>
      <c r="C377" s="19"/>
      <c r="D377" s="20"/>
    </row>
    <row r="378" spans="1:4" x14ac:dyDescent="0.3">
      <c r="A378" s="21">
        <v>45443.870833000001</v>
      </c>
      <c r="B378" s="18">
        <v>63.340206000000002</v>
      </c>
      <c r="C378" s="19"/>
      <c r="D378" s="20"/>
    </row>
    <row r="379" spans="1:4" x14ac:dyDescent="0.3">
      <c r="A379" s="21">
        <v>45443.871528000003</v>
      </c>
      <c r="B379" s="18">
        <v>63.275770999999999</v>
      </c>
      <c r="C379" s="19"/>
      <c r="D379" s="20"/>
    </row>
    <row r="380" spans="1:4" x14ac:dyDescent="0.3">
      <c r="A380" s="21">
        <v>45443.872221999998</v>
      </c>
      <c r="B380" s="18">
        <v>63.229672999999998</v>
      </c>
      <c r="C380" s="19"/>
      <c r="D380" s="20"/>
    </row>
    <row r="381" spans="1:4" x14ac:dyDescent="0.3">
      <c r="A381" s="21">
        <v>45443.872917000001</v>
      </c>
      <c r="B381" s="18">
        <v>64.646482000000006</v>
      </c>
      <c r="C381" s="19"/>
      <c r="D381" s="20"/>
    </row>
    <row r="382" spans="1:4" x14ac:dyDescent="0.3">
      <c r="A382" s="21">
        <v>45443.873611000003</v>
      </c>
      <c r="B382" s="18">
        <v>66.147105999999994</v>
      </c>
      <c r="C382" s="19"/>
      <c r="D382" s="20"/>
    </row>
    <row r="383" spans="1:4" x14ac:dyDescent="0.3">
      <c r="A383" s="21">
        <v>45443.874305999998</v>
      </c>
      <c r="B383" s="18">
        <v>66.210622000000001</v>
      </c>
      <c r="C383" s="19"/>
      <c r="D383" s="20"/>
    </row>
    <row r="384" spans="1:4" x14ac:dyDescent="0.3">
      <c r="A384" s="21">
        <v>45443.875</v>
      </c>
      <c r="B384" s="18">
        <v>65.926163000000003</v>
      </c>
      <c r="C384" s="19"/>
      <c r="D384" s="20"/>
    </row>
    <row r="385" spans="1:4" x14ac:dyDescent="0.3">
      <c r="A385" s="21">
        <v>45443.875694000002</v>
      </c>
      <c r="B385" s="18">
        <v>66.032469000000006</v>
      </c>
      <c r="C385" s="19"/>
      <c r="D385" s="20"/>
    </row>
    <row r="386" spans="1:4" x14ac:dyDescent="0.3">
      <c r="A386" s="21">
        <v>45443.876388999997</v>
      </c>
      <c r="B386" s="18">
        <v>65.875714000000002</v>
      </c>
      <c r="C386" s="19"/>
      <c r="D386" s="20"/>
    </row>
    <row r="387" spans="1:4" x14ac:dyDescent="0.3">
      <c r="A387" s="21">
        <v>45443.877082999999</v>
      </c>
      <c r="B387" s="18">
        <v>66.272852</v>
      </c>
      <c r="C387" s="19"/>
      <c r="D387" s="20"/>
    </row>
    <row r="388" spans="1:4" x14ac:dyDescent="0.3">
      <c r="A388" s="21">
        <v>45443.877778000002</v>
      </c>
      <c r="B388" s="18">
        <v>65.908580999999998</v>
      </c>
      <c r="C388" s="19"/>
      <c r="D388" s="20"/>
    </row>
    <row r="389" spans="1:4" x14ac:dyDescent="0.3">
      <c r="A389" s="21">
        <v>45443.878471999997</v>
      </c>
      <c r="B389" s="18">
        <v>65.901019000000005</v>
      </c>
      <c r="C389" s="19"/>
      <c r="D389" s="20"/>
    </row>
    <row r="390" spans="1:4" x14ac:dyDescent="0.3">
      <c r="A390" s="21">
        <v>45443.879166999999</v>
      </c>
      <c r="B390" s="18">
        <v>65.851438000000002</v>
      </c>
      <c r="C390" s="19"/>
      <c r="D390" s="20"/>
    </row>
    <row r="391" spans="1:4" x14ac:dyDescent="0.3">
      <c r="A391" s="21">
        <v>45443.879861000001</v>
      </c>
      <c r="B391" s="18">
        <v>66.180344000000005</v>
      </c>
      <c r="C391" s="19"/>
      <c r="D391" s="20"/>
    </row>
    <row r="392" spans="1:4" x14ac:dyDescent="0.3">
      <c r="A392" s="21">
        <v>45443.880555999996</v>
      </c>
      <c r="B392" s="18">
        <v>66.047606999999999</v>
      </c>
      <c r="C392" s="19"/>
      <c r="D392" s="20"/>
    </row>
    <row r="393" spans="1:4" x14ac:dyDescent="0.3">
      <c r="A393" s="21">
        <v>45443.881249999999</v>
      </c>
      <c r="B393" s="18">
        <v>66.081862000000001</v>
      </c>
      <c r="C393" s="19"/>
      <c r="D393" s="20"/>
    </row>
    <row r="394" spans="1:4" x14ac:dyDescent="0.3">
      <c r="A394" s="21">
        <v>45443.881944000001</v>
      </c>
      <c r="B394" s="18">
        <v>65.722701000000001</v>
      </c>
      <c r="C394" s="19"/>
      <c r="D394" s="20"/>
    </row>
    <row r="395" spans="1:4" x14ac:dyDescent="0.3">
      <c r="A395" s="21">
        <v>45443.882639000003</v>
      </c>
      <c r="B395" s="18">
        <v>66.014508000000006</v>
      </c>
      <c r="C395" s="19"/>
      <c r="D395" s="20"/>
    </row>
    <row r="396" spans="1:4" x14ac:dyDescent="0.3">
      <c r="A396" s="21">
        <v>45443.883332999998</v>
      </c>
      <c r="B396" s="18">
        <v>65.686809999999994</v>
      </c>
      <c r="C396" s="19"/>
      <c r="D396" s="20"/>
    </row>
    <row r="397" spans="1:4" x14ac:dyDescent="0.3">
      <c r="A397" s="21">
        <v>45443.884028</v>
      </c>
      <c r="B397" s="18">
        <v>65.761985999999993</v>
      </c>
      <c r="C397" s="19"/>
      <c r="D397" s="20"/>
    </row>
    <row r="398" spans="1:4" x14ac:dyDescent="0.3">
      <c r="A398" s="21">
        <v>45443.884722000003</v>
      </c>
      <c r="B398" s="18">
        <v>65.962383000000003</v>
      </c>
      <c r="C398" s="19"/>
      <c r="D398" s="20"/>
    </row>
    <row r="399" spans="1:4" x14ac:dyDescent="0.3">
      <c r="A399" s="21">
        <v>45443.885416999998</v>
      </c>
      <c r="B399" s="18">
        <v>65.671524000000005</v>
      </c>
      <c r="C399" s="19"/>
      <c r="D399" s="20"/>
    </row>
    <row r="400" spans="1:4" x14ac:dyDescent="0.3">
      <c r="A400" s="21">
        <v>45443.886111</v>
      </c>
      <c r="B400" s="18">
        <v>66.146019999999993</v>
      </c>
      <c r="C400" s="19"/>
      <c r="D400" s="20"/>
    </row>
    <row r="401" spans="1:4" x14ac:dyDescent="0.3">
      <c r="A401" s="21">
        <v>45443.886806000002</v>
      </c>
      <c r="B401" s="18">
        <v>66.227225000000004</v>
      </c>
      <c r="C401" s="19"/>
      <c r="D401" s="20"/>
    </row>
    <row r="402" spans="1:4" x14ac:dyDescent="0.3">
      <c r="A402" s="21">
        <v>45443.887499999997</v>
      </c>
      <c r="B402" s="18">
        <v>66.122872999999998</v>
      </c>
      <c r="C402" s="19"/>
      <c r="D402" s="20"/>
    </row>
    <row r="403" spans="1:4" x14ac:dyDescent="0.3">
      <c r="A403" s="21">
        <v>45443.888193999999</v>
      </c>
      <c r="B403" s="18">
        <v>65.777473999999998</v>
      </c>
      <c r="C403" s="19"/>
      <c r="D403" s="20"/>
    </row>
    <row r="404" spans="1:4" x14ac:dyDescent="0.3">
      <c r="A404" s="21">
        <v>45443.888889000002</v>
      </c>
      <c r="B404" s="18">
        <v>65.625405999999998</v>
      </c>
      <c r="C404" s="19"/>
      <c r="D404" s="20"/>
    </row>
    <row r="405" spans="1:4" x14ac:dyDescent="0.3">
      <c r="A405" s="21">
        <v>45443.889582999996</v>
      </c>
      <c r="B405" s="18">
        <v>65.946820000000002</v>
      </c>
      <c r="C405" s="19"/>
      <c r="D405" s="20"/>
    </row>
    <row r="406" spans="1:4" x14ac:dyDescent="0.3">
      <c r="A406" s="21">
        <v>45443.890277999999</v>
      </c>
      <c r="B406" s="18">
        <v>65.700967000000006</v>
      </c>
      <c r="C406" s="19"/>
      <c r="D406" s="20"/>
    </row>
    <row r="407" spans="1:4" x14ac:dyDescent="0.3">
      <c r="A407" s="21">
        <v>45443.890972000001</v>
      </c>
      <c r="B407" s="18">
        <v>65.920147999999998</v>
      </c>
      <c r="C407" s="19"/>
      <c r="D407" s="20"/>
    </row>
    <row r="408" spans="1:4" x14ac:dyDescent="0.3">
      <c r="A408" s="21">
        <v>45443.891667000004</v>
      </c>
      <c r="B408" s="18">
        <v>65.656176000000002</v>
      </c>
      <c r="C408" s="19"/>
      <c r="D408" s="20"/>
    </row>
    <row r="409" spans="1:4" x14ac:dyDescent="0.3">
      <c r="A409" s="21">
        <v>45443.892360999998</v>
      </c>
      <c r="B409" s="18">
        <v>66.008032999999998</v>
      </c>
      <c r="C409" s="19"/>
      <c r="D409" s="20"/>
    </row>
    <row r="410" spans="1:4" x14ac:dyDescent="0.3">
      <c r="A410" s="21">
        <v>45443.893056000001</v>
      </c>
      <c r="B410" s="18">
        <v>66.013036</v>
      </c>
      <c r="C410" s="19"/>
      <c r="D410" s="20"/>
    </row>
    <row r="411" spans="1:4" x14ac:dyDescent="0.3">
      <c r="A411" s="21">
        <v>45443.893750000003</v>
      </c>
      <c r="B411" s="18">
        <v>65.909285999999994</v>
      </c>
      <c r="C411" s="19"/>
      <c r="D411" s="20"/>
    </row>
    <row r="412" spans="1:4" x14ac:dyDescent="0.3">
      <c r="A412" s="21">
        <v>45443.894443999998</v>
      </c>
      <c r="B412" s="18">
        <v>65.659631000000005</v>
      </c>
      <c r="C412" s="19"/>
      <c r="D412" s="20"/>
    </row>
    <row r="413" spans="1:4" x14ac:dyDescent="0.3">
      <c r="A413" s="21">
        <v>45443.895139</v>
      </c>
      <c r="B413" s="18">
        <v>65.836652000000001</v>
      </c>
      <c r="C413" s="19"/>
      <c r="D413" s="20"/>
    </row>
    <row r="414" spans="1:4" x14ac:dyDescent="0.3">
      <c r="A414" s="21">
        <v>45443.895833000002</v>
      </c>
      <c r="B414" s="18">
        <v>65.930356000000003</v>
      </c>
      <c r="C414" s="19"/>
      <c r="D414" s="20"/>
    </row>
    <row r="415" spans="1:4" x14ac:dyDescent="0.3">
      <c r="A415" s="21">
        <v>45443.896527999997</v>
      </c>
      <c r="B415" s="18">
        <v>66.032071000000002</v>
      </c>
      <c r="C415" s="19"/>
      <c r="D415" s="20"/>
    </row>
    <row r="416" spans="1:4" x14ac:dyDescent="0.3">
      <c r="A416" s="21">
        <v>45443.897222</v>
      </c>
      <c r="B416" s="18">
        <v>65.735185000000001</v>
      </c>
      <c r="C416" s="19"/>
      <c r="D416" s="20"/>
    </row>
    <row r="417" spans="1:4" x14ac:dyDescent="0.3">
      <c r="A417" s="21">
        <v>45443.897917000002</v>
      </c>
      <c r="B417" s="18">
        <v>65.894649000000001</v>
      </c>
      <c r="C417" s="19"/>
      <c r="D417" s="20"/>
    </row>
    <row r="418" spans="1:4" x14ac:dyDescent="0.3">
      <c r="A418" s="21">
        <v>45443.898610999997</v>
      </c>
      <c r="B418" s="18">
        <v>65.479911000000001</v>
      </c>
      <c r="C418" s="19"/>
      <c r="D418" s="20"/>
    </row>
    <row r="419" spans="1:4" x14ac:dyDescent="0.3">
      <c r="A419" s="21">
        <v>45443.899305999999</v>
      </c>
      <c r="B419" s="18">
        <v>65.611585000000005</v>
      </c>
      <c r="C419" s="19"/>
      <c r="D419" s="20"/>
    </row>
    <row r="420" spans="1:4" x14ac:dyDescent="0.3">
      <c r="A420" s="21">
        <v>45443.9</v>
      </c>
      <c r="B420" s="18">
        <v>65.808401000000003</v>
      </c>
      <c r="C420" s="19"/>
      <c r="D420" s="20"/>
    </row>
    <row r="421" spans="1:4" x14ac:dyDescent="0.3">
      <c r="A421" s="21">
        <v>45443.900694000004</v>
      </c>
      <c r="B421" s="18">
        <v>65.459106000000006</v>
      </c>
      <c r="C421" s="19"/>
      <c r="D421" s="20"/>
    </row>
    <row r="422" spans="1:4" x14ac:dyDescent="0.3">
      <c r="A422" s="21">
        <v>45443.901388999999</v>
      </c>
      <c r="B422" s="18">
        <v>65.510029000000003</v>
      </c>
      <c r="C422" s="19"/>
      <c r="D422" s="20"/>
    </row>
    <row r="423" spans="1:4" x14ac:dyDescent="0.3">
      <c r="A423" s="21">
        <v>45443.902083000001</v>
      </c>
      <c r="B423" s="18">
        <v>65.504690999999994</v>
      </c>
      <c r="C423" s="19"/>
      <c r="D423" s="20"/>
    </row>
    <row r="424" spans="1:4" x14ac:dyDescent="0.3">
      <c r="A424" s="21">
        <v>45443.902778000003</v>
      </c>
      <c r="B424" s="18">
        <v>65.906811000000005</v>
      </c>
      <c r="C424" s="19"/>
      <c r="D424" s="20"/>
    </row>
    <row r="425" spans="1:4" x14ac:dyDescent="0.3">
      <c r="A425" s="21">
        <v>45443.903471999998</v>
      </c>
      <c r="B425" s="18">
        <v>65.770135999999994</v>
      </c>
      <c r="C425" s="19"/>
      <c r="D425" s="20"/>
    </row>
    <row r="426" spans="1:4" x14ac:dyDescent="0.3">
      <c r="A426" s="21">
        <v>45443.904167000001</v>
      </c>
      <c r="B426" s="18">
        <v>65.957442999999998</v>
      </c>
      <c r="C426" s="19"/>
      <c r="D426" s="20"/>
    </row>
    <row r="427" spans="1:4" x14ac:dyDescent="0.3">
      <c r="A427" s="21">
        <v>45443.904861000003</v>
      </c>
      <c r="B427" s="18">
        <v>65.356896000000006</v>
      </c>
      <c r="C427" s="19"/>
      <c r="D427" s="20"/>
    </row>
    <row r="428" spans="1:4" x14ac:dyDescent="0.3">
      <c r="A428" s="21">
        <v>45443.905555999998</v>
      </c>
      <c r="B428" s="18">
        <v>65.720325000000003</v>
      </c>
      <c r="C428" s="19"/>
      <c r="D428" s="20"/>
    </row>
    <row r="429" spans="1:4" x14ac:dyDescent="0.3">
      <c r="A429" s="21">
        <v>45443.90625</v>
      </c>
      <c r="B429" s="18">
        <v>65.574889999999996</v>
      </c>
      <c r="C429" s="19"/>
      <c r="D429" s="20"/>
    </row>
    <row r="430" spans="1:4" x14ac:dyDescent="0.3">
      <c r="A430" s="21">
        <v>45443.906944000002</v>
      </c>
      <c r="B430" s="18">
        <v>65.556899000000001</v>
      </c>
      <c r="C430" s="19"/>
      <c r="D430" s="20"/>
    </row>
    <row r="431" spans="1:4" x14ac:dyDescent="0.3">
      <c r="A431" s="21">
        <v>45443.907638999997</v>
      </c>
      <c r="B431" s="18">
        <v>65.699719000000002</v>
      </c>
      <c r="C431" s="19"/>
      <c r="D431" s="20"/>
    </row>
    <row r="432" spans="1:4" x14ac:dyDescent="0.3">
      <c r="A432" s="21">
        <v>45443.908332999999</v>
      </c>
      <c r="B432" s="18">
        <v>65.238966000000005</v>
      </c>
      <c r="C432" s="19"/>
      <c r="D432" s="20"/>
    </row>
    <row r="433" spans="1:4" x14ac:dyDescent="0.3">
      <c r="A433" s="21">
        <v>45443.909028000002</v>
      </c>
      <c r="B433" s="18">
        <v>65.734621000000004</v>
      </c>
      <c r="C433" s="19"/>
      <c r="D433" s="20"/>
    </row>
    <row r="434" spans="1:4" x14ac:dyDescent="0.3">
      <c r="A434" s="21">
        <v>45443.909721999997</v>
      </c>
      <c r="B434" s="18">
        <v>65.520959000000005</v>
      </c>
      <c r="C434" s="19"/>
      <c r="D434" s="20"/>
    </row>
    <row r="435" spans="1:4" x14ac:dyDescent="0.3">
      <c r="A435" s="21">
        <v>45443.910416999999</v>
      </c>
      <c r="B435" s="18">
        <v>65.532774000000003</v>
      </c>
      <c r="C435" s="19"/>
      <c r="D435" s="20"/>
    </row>
    <row r="436" spans="1:4" x14ac:dyDescent="0.3">
      <c r="A436" s="21">
        <v>45443.911111000001</v>
      </c>
      <c r="B436" s="18">
        <v>65.221276000000003</v>
      </c>
      <c r="C436" s="19"/>
      <c r="D436" s="20"/>
    </row>
    <row r="437" spans="1:4" x14ac:dyDescent="0.3">
      <c r="A437" s="21">
        <v>45443.911805999996</v>
      </c>
      <c r="B437" s="18">
        <v>65.756926000000007</v>
      </c>
      <c r="C437" s="19"/>
      <c r="D437" s="20"/>
    </row>
    <row r="438" spans="1:4" x14ac:dyDescent="0.3">
      <c r="A438" s="21">
        <v>45443.912499999999</v>
      </c>
      <c r="B438" s="18">
        <v>65.734172999999998</v>
      </c>
      <c r="C438" s="19"/>
      <c r="D438" s="20"/>
    </row>
    <row r="439" spans="1:4" x14ac:dyDescent="0.3">
      <c r="A439" s="21">
        <v>45443.913194000001</v>
      </c>
      <c r="B439" s="18">
        <v>65.705969999999994</v>
      </c>
      <c r="C439" s="19"/>
      <c r="D439" s="20"/>
    </row>
    <row r="440" spans="1:4" x14ac:dyDescent="0.3">
      <c r="A440" s="21">
        <v>45443.913889000003</v>
      </c>
      <c r="B440" s="18">
        <v>65.467580999999996</v>
      </c>
      <c r="C440" s="19"/>
      <c r="D440" s="20"/>
    </row>
    <row r="441" spans="1:4" x14ac:dyDescent="0.3">
      <c r="A441" s="21">
        <v>45443.914582999998</v>
      </c>
      <c r="B441" s="18">
        <v>65.542389999999997</v>
      </c>
      <c r="C441" s="19"/>
      <c r="D441" s="20"/>
    </row>
    <row r="442" spans="1:4" x14ac:dyDescent="0.3">
      <c r="A442" s="21">
        <v>45443.915278</v>
      </c>
      <c r="B442" s="18">
        <v>65.401274999999998</v>
      </c>
      <c r="C442" s="19"/>
      <c r="D442" s="20"/>
    </row>
    <row r="443" spans="1:4" x14ac:dyDescent="0.3">
      <c r="A443" s="21">
        <v>45443.915972000003</v>
      </c>
      <c r="B443" s="18">
        <v>66.073908000000003</v>
      </c>
      <c r="C443" s="19"/>
      <c r="D443" s="20"/>
    </row>
    <row r="444" spans="1:4" x14ac:dyDescent="0.3">
      <c r="A444" s="21">
        <v>45443.916666999998</v>
      </c>
      <c r="B444" s="18">
        <v>65.540525000000002</v>
      </c>
      <c r="C444" s="19"/>
      <c r="D444" s="20"/>
    </row>
    <row r="445" spans="1:4" x14ac:dyDescent="0.3">
      <c r="A445" s="21">
        <v>45443.917361</v>
      </c>
      <c r="B445" s="18">
        <v>65.495585000000005</v>
      </c>
      <c r="C445" s="19"/>
      <c r="D445" s="20"/>
    </row>
    <row r="446" spans="1:4" x14ac:dyDescent="0.3">
      <c r="A446" s="21">
        <v>45443.918056000002</v>
      </c>
      <c r="B446" s="18">
        <v>65.616214999999997</v>
      </c>
      <c r="C446" s="19"/>
      <c r="D446" s="20"/>
    </row>
    <row r="447" spans="1:4" x14ac:dyDescent="0.3">
      <c r="A447" s="21">
        <v>45443.918749999997</v>
      </c>
      <c r="B447" s="18">
        <v>65.616898000000006</v>
      </c>
      <c r="C447" s="19"/>
      <c r="D447" s="20"/>
    </row>
    <row r="448" spans="1:4" x14ac:dyDescent="0.3">
      <c r="A448" s="21">
        <v>45443.919443999999</v>
      </c>
      <c r="B448" s="18">
        <v>65.615140999999994</v>
      </c>
      <c r="C448" s="19"/>
      <c r="D448" s="20"/>
    </row>
    <row r="449" spans="1:4" x14ac:dyDescent="0.3">
      <c r="A449" s="21">
        <v>45443.920139000002</v>
      </c>
      <c r="B449" s="18">
        <v>65.308595999999994</v>
      </c>
      <c r="C449" s="19"/>
      <c r="D449" s="20"/>
    </row>
    <row r="450" spans="1:4" x14ac:dyDescent="0.3">
      <c r="A450" s="21">
        <v>45443.920832999996</v>
      </c>
      <c r="B450" s="18">
        <v>65.961798999999999</v>
      </c>
      <c r="C450" s="19"/>
      <c r="D450" s="20"/>
    </row>
    <row r="451" spans="1:4" x14ac:dyDescent="0.3">
      <c r="A451" s="21">
        <v>45443.921527999999</v>
      </c>
      <c r="B451" s="18">
        <v>65.378776999999999</v>
      </c>
      <c r="C451" s="19"/>
      <c r="D451" s="20"/>
    </row>
    <row r="452" spans="1:4" x14ac:dyDescent="0.3">
      <c r="A452" s="21">
        <v>45443.922222000001</v>
      </c>
      <c r="B452" s="18">
        <v>65.675250000000005</v>
      </c>
      <c r="C452" s="19"/>
      <c r="D452" s="20"/>
    </row>
    <row r="453" spans="1:4" x14ac:dyDescent="0.3">
      <c r="A453" s="21">
        <v>45443.922917000004</v>
      </c>
      <c r="B453" s="18">
        <v>65.642894999999996</v>
      </c>
      <c r="C453" s="19"/>
      <c r="D453" s="20"/>
    </row>
    <row r="454" spans="1:4" x14ac:dyDescent="0.3">
      <c r="A454" s="21">
        <v>45443.923610999998</v>
      </c>
      <c r="B454" s="18">
        <v>65.104348000000002</v>
      </c>
      <c r="C454" s="19"/>
      <c r="D454" s="20"/>
    </row>
    <row r="455" spans="1:4" x14ac:dyDescent="0.3">
      <c r="A455" s="21">
        <v>45443.924306000001</v>
      </c>
      <c r="B455" s="18">
        <v>65.581614000000002</v>
      </c>
      <c r="C455" s="19"/>
      <c r="D455" s="20"/>
    </row>
    <row r="456" spans="1:4" x14ac:dyDescent="0.3">
      <c r="A456" s="21">
        <v>45443.925000000003</v>
      </c>
      <c r="B456" s="18">
        <v>65.146636999999998</v>
      </c>
      <c r="C456" s="19"/>
      <c r="D456" s="20"/>
    </row>
    <row r="457" spans="1:4" x14ac:dyDescent="0.3">
      <c r="A457" s="21">
        <v>45443.925693999998</v>
      </c>
      <c r="B457" s="18">
        <v>65.559961000000001</v>
      </c>
      <c r="C457" s="19"/>
      <c r="D457" s="20"/>
    </row>
    <row r="458" spans="1:4" x14ac:dyDescent="0.3">
      <c r="A458" s="21">
        <v>45443.926389</v>
      </c>
      <c r="B458" s="18">
        <v>65.630807000000004</v>
      </c>
      <c r="C458" s="19"/>
      <c r="D458" s="20"/>
    </row>
    <row r="459" spans="1:4" x14ac:dyDescent="0.3">
      <c r="A459" s="21">
        <v>45443.927083000002</v>
      </c>
      <c r="B459" s="18">
        <v>65.355977999999993</v>
      </c>
      <c r="C459" s="19"/>
      <c r="D459" s="20"/>
    </row>
    <row r="460" spans="1:4" x14ac:dyDescent="0.3">
      <c r="A460" s="21">
        <v>45443.927777999997</v>
      </c>
      <c r="B460" s="18">
        <v>65.103531000000004</v>
      </c>
      <c r="C460" s="19"/>
      <c r="D460" s="20"/>
    </row>
    <row r="461" spans="1:4" x14ac:dyDescent="0.3">
      <c r="A461" s="21">
        <v>45443.928472</v>
      </c>
      <c r="B461" s="18">
        <v>65.440476000000004</v>
      </c>
      <c r="C461" s="19"/>
      <c r="D461" s="20"/>
    </row>
    <row r="462" spans="1:4" x14ac:dyDescent="0.3">
      <c r="A462" s="21">
        <v>45443.929167000002</v>
      </c>
      <c r="B462" s="18">
        <v>65.251294999999999</v>
      </c>
      <c r="C462" s="19"/>
      <c r="D462" s="20"/>
    </row>
    <row r="463" spans="1:4" x14ac:dyDescent="0.3">
      <c r="A463" s="21">
        <v>45443.929860999997</v>
      </c>
      <c r="B463" s="18">
        <v>65.436307999999997</v>
      </c>
      <c r="C463" s="19"/>
      <c r="D463" s="20"/>
    </row>
    <row r="464" spans="1:4" x14ac:dyDescent="0.3">
      <c r="A464" s="21">
        <v>45443.930555999999</v>
      </c>
      <c r="B464" s="18">
        <v>65.417642999999998</v>
      </c>
      <c r="C464" s="19"/>
      <c r="D464" s="20"/>
    </row>
    <row r="465" spans="1:4" x14ac:dyDescent="0.3">
      <c r="A465" s="21">
        <v>45443.931250000001</v>
      </c>
      <c r="B465" s="18">
        <v>65.214731</v>
      </c>
      <c r="C465" s="19"/>
      <c r="D465" s="20"/>
    </row>
    <row r="466" spans="1:4" x14ac:dyDescent="0.3">
      <c r="A466" s="21">
        <v>45443.931944000004</v>
      </c>
      <c r="B466" s="18">
        <v>65.259124999999997</v>
      </c>
      <c r="C466" s="19"/>
      <c r="D466" s="20"/>
    </row>
    <row r="467" spans="1:4" x14ac:dyDescent="0.3">
      <c r="A467" s="21">
        <v>45443.932638999999</v>
      </c>
      <c r="B467" s="18">
        <v>65.518726000000001</v>
      </c>
      <c r="C467" s="19"/>
      <c r="D467" s="20"/>
    </row>
    <row r="468" spans="1:4" x14ac:dyDescent="0.3">
      <c r="A468" s="21">
        <v>45443.933333000001</v>
      </c>
      <c r="B468" s="18">
        <v>65.341038999999995</v>
      </c>
      <c r="C468" s="19"/>
      <c r="D468" s="20"/>
    </row>
    <row r="469" spans="1:4" x14ac:dyDescent="0.3">
      <c r="A469" s="21">
        <v>45443.934028000003</v>
      </c>
      <c r="B469" s="18">
        <v>65.155787000000004</v>
      </c>
      <c r="C469" s="19"/>
      <c r="D469" s="20"/>
    </row>
    <row r="470" spans="1:4" x14ac:dyDescent="0.3">
      <c r="A470" s="21">
        <v>45443.934721999998</v>
      </c>
      <c r="B470" s="18">
        <v>65.409454999999994</v>
      </c>
      <c r="C470" s="19"/>
      <c r="D470" s="20"/>
    </row>
    <row r="471" spans="1:4" x14ac:dyDescent="0.3">
      <c r="A471" s="21">
        <v>45443.935417000001</v>
      </c>
      <c r="B471" s="18">
        <v>65.324658999999997</v>
      </c>
      <c r="C471" s="19"/>
      <c r="D471" s="20"/>
    </row>
    <row r="472" spans="1:4" x14ac:dyDescent="0.3">
      <c r="A472" s="21">
        <v>45443.936111000003</v>
      </c>
      <c r="B472" s="18">
        <v>65.415024000000003</v>
      </c>
      <c r="C472" s="19"/>
      <c r="D472" s="20"/>
    </row>
    <row r="473" spans="1:4" x14ac:dyDescent="0.3">
      <c r="A473" s="21">
        <v>45443.936805999998</v>
      </c>
      <c r="B473" s="18">
        <v>65.746467999999993</v>
      </c>
      <c r="C473" s="19"/>
      <c r="D473" s="20"/>
    </row>
    <row r="474" spans="1:4" x14ac:dyDescent="0.3">
      <c r="A474" s="21">
        <v>45443.9375</v>
      </c>
      <c r="B474" s="18">
        <v>65.334934000000004</v>
      </c>
      <c r="C474" s="19"/>
      <c r="D474" s="20"/>
    </row>
    <row r="475" spans="1:4" x14ac:dyDescent="0.3">
      <c r="A475" s="21">
        <v>45443.938194000002</v>
      </c>
      <c r="B475" s="18">
        <v>65.394413</v>
      </c>
      <c r="C475" s="19"/>
      <c r="D475" s="20"/>
    </row>
    <row r="476" spans="1:4" x14ac:dyDescent="0.3">
      <c r="A476" s="21">
        <v>45443.938888999997</v>
      </c>
      <c r="B476" s="18">
        <v>65.541612999999998</v>
      </c>
      <c r="C476" s="19"/>
      <c r="D476" s="20"/>
    </row>
    <row r="477" spans="1:4" x14ac:dyDescent="0.3">
      <c r="A477" s="21">
        <v>45443.939582999999</v>
      </c>
      <c r="B477" s="18">
        <v>65.539939000000004</v>
      </c>
      <c r="C477" s="19"/>
      <c r="D477" s="20"/>
    </row>
    <row r="478" spans="1:4" x14ac:dyDescent="0.3">
      <c r="A478" s="21">
        <v>45443.940278000002</v>
      </c>
      <c r="B478" s="18">
        <v>65.728596999999993</v>
      </c>
      <c r="C478" s="19"/>
      <c r="D478" s="20"/>
    </row>
    <row r="479" spans="1:4" x14ac:dyDescent="0.3">
      <c r="A479" s="21">
        <v>45443.940971999997</v>
      </c>
      <c r="B479" s="18">
        <v>65.298597999999998</v>
      </c>
      <c r="C479" s="19"/>
      <c r="D479" s="20"/>
    </row>
    <row r="480" spans="1:4" x14ac:dyDescent="0.3">
      <c r="A480" s="21">
        <v>45443.941666999999</v>
      </c>
      <c r="B480" s="18">
        <v>65.284683000000001</v>
      </c>
      <c r="C480" s="19"/>
      <c r="D480" s="20"/>
    </row>
    <row r="481" spans="1:4" x14ac:dyDescent="0.3">
      <c r="A481" s="21">
        <v>45443.942361000001</v>
      </c>
      <c r="B481" s="18">
        <v>65.154706000000004</v>
      </c>
      <c r="C481" s="19"/>
      <c r="D481" s="20"/>
    </row>
    <row r="482" spans="1:4" x14ac:dyDescent="0.3">
      <c r="A482" s="21">
        <v>45443.943055999996</v>
      </c>
      <c r="B482" s="18">
        <v>65.212940000000003</v>
      </c>
      <c r="C482" s="19"/>
      <c r="D482" s="20"/>
    </row>
    <row r="483" spans="1:4" x14ac:dyDescent="0.3">
      <c r="A483" s="21">
        <v>45443.943749999999</v>
      </c>
      <c r="B483" s="18">
        <v>65.253586999999996</v>
      </c>
      <c r="C483" s="19"/>
      <c r="D483" s="20"/>
    </row>
    <row r="484" spans="1:4" x14ac:dyDescent="0.3">
      <c r="A484" s="21">
        <v>45443.944444000001</v>
      </c>
      <c r="B484" s="18">
        <v>65.166518999999994</v>
      </c>
      <c r="C484" s="19"/>
      <c r="D484" s="20"/>
    </row>
    <row r="485" spans="1:4" x14ac:dyDescent="0.3">
      <c r="A485" s="21">
        <v>45443.945139000003</v>
      </c>
      <c r="B485" s="18">
        <v>65.278063000000003</v>
      </c>
      <c r="C485" s="19"/>
      <c r="D485" s="20"/>
    </row>
    <row r="486" spans="1:4" x14ac:dyDescent="0.3">
      <c r="A486" s="21">
        <v>45443.945832999998</v>
      </c>
      <c r="B486" s="18">
        <v>65.392291</v>
      </c>
      <c r="C486" s="19"/>
      <c r="D486" s="20"/>
    </row>
    <row r="487" spans="1:4" x14ac:dyDescent="0.3">
      <c r="A487" s="21">
        <v>45443.946528</v>
      </c>
      <c r="B487" s="18">
        <v>65.404152999999994</v>
      </c>
      <c r="C487" s="19"/>
      <c r="D487" s="20"/>
    </row>
    <row r="488" spans="1:4" x14ac:dyDescent="0.3">
      <c r="A488" s="21">
        <v>45443.947222000003</v>
      </c>
      <c r="B488" s="18">
        <v>65.576415999999995</v>
      </c>
      <c r="C488" s="19"/>
      <c r="D488" s="20"/>
    </row>
    <row r="489" spans="1:4" x14ac:dyDescent="0.3">
      <c r="A489" s="21">
        <v>45443.947916999998</v>
      </c>
      <c r="B489" s="18">
        <v>65.390371999999999</v>
      </c>
      <c r="C489" s="19"/>
      <c r="D489" s="20"/>
    </row>
    <row r="490" spans="1:4" x14ac:dyDescent="0.3">
      <c r="A490" s="21">
        <v>45443.948611</v>
      </c>
      <c r="B490" s="18">
        <v>65.881898000000007</v>
      </c>
      <c r="C490" s="19"/>
      <c r="D490" s="20"/>
    </row>
    <row r="491" spans="1:4" x14ac:dyDescent="0.3">
      <c r="A491" s="21">
        <v>45443.949306000002</v>
      </c>
      <c r="B491" s="18">
        <v>64.941828000000001</v>
      </c>
      <c r="C491" s="19"/>
      <c r="D491" s="20"/>
    </row>
    <row r="492" spans="1:4" x14ac:dyDescent="0.3">
      <c r="A492" s="21">
        <v>45443.95</v>
      </c>
      <c r="B492" s="18">
        <v>65.432434999999998</v>
      </c>
      <c r="C492" s="19"/>
      <c r="D492" s="20"/>
    </row>
    <row r="493" spans="1:4" x14ac:dyDescent="0.3">
      <c r="A493" s="21">
        <v>45443.950693999999</v>
      </c>
      <c r="B493" s="18">
        <v>65.369837000000004</v>
      </c>
      <c r="C493" s="19"/>
      <c r="D493" s="20"/>
    </row>
    <row r="494" spans="1:4" x14ac:dyDescent="0.3">
      <c r="A494" s="21">
        <v>45443.951389000002</v>
      </c>
      <c r="B494" s="18">
        <v>65.354298999999997</v>
      </c>
      <c r="C494" s="19"/>
      <c r="D494" s="20"/>
    </row>
    <row r="495" spans="1:4" x14ac:dyDescent="0.3">
      <c r="A495" s="21">
        <v>45443.952082999996</v>
      </c>
      <c r="B495" s="18">
        <v>65.141681000000005</v>
      </c>
      <c r="C495" s="19"/>
      <c r="D495" s="20"/>
    </row>
    <row r="496" spans="1:4" x14ac:dyDescent="0.3">
      <c r="A496" s="21">
        <v>45443.952777999999</v>
      </c>
      <c r="B496" s="18">
        <v>65.217307000000005</v>
      </c>
      <c r="C496" s="19"/>
      <c r="D496" s="20"/>
    </row>
    <row r="497" spans="1:4" x14ac:dyDescent="0.3">
      <c r="A497" s="21">
        <v>45443.953472000001</v>
      </c>
      <c r="B497" s="18">
        <v>65.414305999999996</v>
      </c>
      <c r="C497" s="19"/>
      <c r="D497" s="20"/>
    </row>
    <row r="498" spans="1:4" x14ac:dyDescent="0.3">
      <c r="A498" s="21">
        <v>45443.954167000004</v>
      </c>
      <c r="B498" s="18">
        <v>64.909425999999996</v>
      </c>
      <c r="C498" s="19"/>
      <c r="D498" s="20"/>
    </row>
    <row r="499" spans="1:4" x14ac:dyDescent="0.3">
      <c r="A499" s="21">
        <v>45443.954860999998</v>
      </c>
      <c r="B499" s="18">
        <v>65.556419000000005</v>
      </c>
      <c r="C499" s="19"/>
      <c r="D499" s="20"/>
    </row>
    <row r="500" spans="1:4" x14ac:dyDescent="0.3">
      <c r="A500" s="21">
        <v>45443.955556000001</v>
      </c>
      <c r="B500" s="18">
        <v>65.358530999999999</v>
      </c>
      <c r="C500" s="19"/>
      <c r="D500" s="20"/>
    </row>
    <row r="501" spans="1:4" x14ac:dyDescent="0.3">
      <c r="A501" s="21">
        <v>45443.956250000003</v>
      </c>
      <c r="B501" s="18">
        <v>66.667311999999995</v>
      </c>
      <c r="C501" s="19"/>
      <c r="D501" s="20"/>
    </row>
    <row r="502" spans="1:4" x14ac:dyDescent="0.3">
      <c r="A502" s="21">
        <v>45443.956943999998</v>
      </c>
      <c r="B502" s="18">
        <v>67.860545000000002</v>
      </c>
      <c r="C502" s="19"/>
      <c r="D502" s="20"/>
    </row>
    <row r="503" spans="1:4" x14ac:dyDescent="0.3">
      <c r="A503" s="21">
        <v>45443.957639</v>
      </c>
      <c r="B503" s="18">
        <v>68.577045999999996</v>
      </c>
      <c r="C503" s="19"/>
      <c r="D503" s="20"/>
    </row>
    <row r="504" spans="1:4" x14ac:dyDescent="0.3">
      <c r="A504" s="21">
        <v>45443.958333000002</v>
      </c>
      <c r="B504" s="18">
        <v>67.899089000000004</v>
      </c>
      <c r="C504" s="19"/>
      <c r="D504" s="20"/>
    </row>
    <row r="505" spans="1:4" x14ac:dyDescent="0.3">
      <c r="A505" s="21">
        <v>45443.959027999997</v>
      </c>
      <c r="B505" s="18">
        <v>68.106842999999998</v>
      </c>
      <c r="C505" s="19"/>
      <c r="D505" s="20"/>
    </row>
    <row r="506" spans="1:4" x14ac:dyDescent="0.3">
      <c r="A506" s="21">
        <v>45443.959722</v>
      </c>
      <c r="B506" s="18">
        <v>68.109713999999997</v>
      </c>
      <c r="C506" s="19"/>
      <c r="D506" s="20"/>
    </row>
    <row r="507" spans="1:4" x14ac:dyDescent="0.3">
      <c r="A507" s="21">
        <v>45443.960417000002</v>
      </c>
      <c r="B507" s="18">
        <v>67.814749000000006</v>
      </c>
      <c r="C507" s="19"/>
      <c r="D507" s="20"/>
    </row>
    <row r="508" spans="1:4" x14ac:dyDescent="0.3">
      <c r="A508" s="21">
        <v>45443.961110999997</v>
      </c>
      <c r="B508" s="18">
        <v>67.987599000000003</v>
      </c>
      <c r="C508" s="19"/>
      <c r="D508" s="20"/>
    </row>
    <row r="509" spans="1:4" x14ac:dyDescent="0.3">
      <c r="A509" s="21">
        <v>45443.961805999999</v>
      </c>
      <c r="B509" s="18">
        <v>68.436385999999999</v>
      </c>
      <c r="C509" s="19"/>
      <c r="D509" s="20"/>
    </row>
    <row r="510" spans="1:4" x14ac:dyDescent="0.3">
      <c r="A510" s="21">
        <v>45443.962500000001</v>
      </c>
      <c r="B510" s="18">
        <v>68.053462999999994</v>
      </c>
      <c r="C510" s="19"/>
      <c r="D510" s="20"/>
    </row>
    <row r="511" spans="1:4" x14ac:dyDescent="0.3">
      <c r="A511" s="21">
        <v>45443.963194000004</v>
      </c>
      <c r="B511" s="18">
        <v>68.108410000000006</v>
      </c>
      <c r="C511" s="19"/>
      <c r="D511" s="20"/>
    </row>
    <row r="512" spans="1:4" x14ac:dyDescent="0.3">
      <c r="A512" s="21">
        <v>45443.963888999999</v>
      </c>
      <c r="B512" s="18">
        <v>67.950036999999995</v>
      </c>
      <c r="C512" s="19"/>
      <c r="D512" s="20"/>
    </row>
    <row r="513" spans="1:4" x14ac:dyDescent="0.3">
      <c r="A513" s="21">
        <v>45443.964583000001</v>
      </c>
      <c r="B513" s="18">
        <v>67.951971</v>
      </c>
      <c r="C513" s="19"/>
      <c r="D513" s="20"/>
    </row>
    <row r="514" spans="1:4" x14ac:dyDescent="0.3">
      <c r="A514" s="21">
        <v>45443.965278000003</v>
      </c>
      <c r="B514" s="18">
        <v>68.054428000000001</v>
      </c>
      <c r="C514" s="19"/>
      <c r="D514" s="20"/>
    </row>
    <row r="515" spans="1:4" x14ac:dyDescent="0.3">
      <c r="A515" s="21">
        <v>45443.965971999998</v>
      </c>
      <c r="B515" s="18">
        <v>68.161514999999994</v>
      </c>
      <c r="C515" s="19"/>
      <c r="D515" s="20"/>
    </row>
    <row r="516" spans="1:4" x14ac:dyDescent="0.3">
      <c r="A516" s="21">
        <v>45443.966667000001</v>
      </c>
      <c r="B516" s="18">
        <v>68.335239000000001</v>
      </c>
      <c r="C516" s="19"/>
      <c r="D516" s="20"/>
    </row>
    <row r="517" spans="1:4" x14ac:dyDescent="0.3">
      <c r="A517" s="21">
        <v>45443.967361000003</v>
      </c>
      <c r="B517" s="18">
        <v>68.140359000000004</v>
      </c>
      <c r="C517" s="19"/>
      <c r="D517" s="20"/>
    </row>
    <row r="518" spans="1:4" x14ac:dyDescent="0.3">
      <c r="A518" s="21">
        <v>45443.968055999998</v>
      </c>
      <c r="B518" s="18">
        <v>68.007971999999995</v>
      </c>
      <c r="C518" s="19"/>
      <c r="D518" s="20"/>
    </row>
    <row r="519" spans="1:4" x14ac:dyDescent="0.3">
      <c r="A519" s="21">
        <v>45443.96875</v>
      </c>
      <c r="B519" s="18">
        <v>68.174385999999998</v>
      </c>
      <c r="C519" s="19"/>
      <c r="D519" s="20"/>
    </row>
    <row r="520" spans="1:4" x14ac:dyDescent="0.3">
      <c r="A520" s="21">
        <v>45443.969444000002</v>
      </c>
      <c r="B520" s="18">
        <v>67.760217999999995</v>
      </c>
      <c r="C520" s="19"/>
      <c r="D520" s="20"/>
    </row>
    <row r="521" spans="1:4" x14ac:dyDescent="0.3">
      <c r="A521" s="21">
        <v>45443.970138999997</v>
      </c>
      <c r="B521" s="18">
        <v>67.911743999999999</v>
      </c>
      <c r="C521" s="19"/>
      <c r="D521" s="20"/>
    </row>
    <row r="522" spans="1:4" x14ac:dyDescent="0.3">
      <c r="A522" s="21">
        <v>45443.970832999999</v>
      </c>
      <c r="B522" s="18">
        <v>68.010379</v>
      </c>
      <c r="C522" s="19"/>
      <c r="D522" s="20"/>
    </row>
    <row r="523" spans="1:4" x14ac:dyDescent="0.3">
      <c r="A523" s="21">
        <v>45443.971528000002</v>
      </c>
      <c r="B523" s="18">
        <v>67.801660999999996</v>
      </c>
      <c r="C523" s="19"/>
      <c r="D523" s="20"/>
    </row>
    <row r="524" spans="1:4" x14ac:dyDescent="0.3">
      <c r="A524" s="21">
        <v>45443.972221999997</v>
      </c>
      <c r="B524" s="18">
        <v>67.757803999999993</v>
      </c>
      <c r="C524" s="19"/>
      <c r="D524" s="20"/>
    </row>
    <row r="525" spans="1:4" x14ac:dyDescent="0.3">
      <c r="A525" s="21">
        <v>45443.972916999999</v>
      </c>
      <c r="B525" s="18">
        <v>68.057012</v>
      </c>
      <c r="C525" s="19"/>
      <c r="D525" s="20"/>
    </row>
    <row r="526" spans="1:4" x14ac:dyDescent="0.3">
      <c r="A526" s="21">
        <v>45443.973611000001</v>
      </c>
      <c r="B526" s="18">
        <v>67.931335000000004</v>
      </c>
      <c r="C526" s="19"/>
      <c r="D526" s="20"/>
    </row>
    <row r="527" spans="1:4" x14ac:dyDescent="0.3">
      <c r="A527" s="21">
        <v>45443.974305999996</v>
      </c>
      <c r="B527" s="18">
        <v>67.917753000000005</v>
      </c>
      <c r="C527" s="19"/>
      <c r="D527" s="20"/>
    </row>
    <row r="528" spans="1:4" x14ac:dyDescent="0.3">
      <c r="A528" s="21">
        <v>45443.974999999999</v>
      </c>
      <c r="B528" s="18">
        <v>67.799076999999997</v>
      </c>
      <c r="C528" s="19"/>
      <c r="D528" s="20"/>
    </row>
    <row r="529" spans="1:4" x14ac:dyDescent="0.3">
      <c r="A529" s="21">
        <v>45443.975694000001</v>
      </c>
      <c r="B529" s="18">
        <v>67.969403999999997</v>
      </c>
      <c r="C529" s="19"/>
      <c r="D529" s="20"/>
    </row>
    <row r="530" spans="1:4" x14ac:dyDescent="0.3">
      <c r="A530" s="21">
        <v>45443.976389000003</v>
      </c>
      <c r="B530" s="18">
        <v>68.004266000000001</v>
      </c>
      <c r="C530" s="19"/>
      <c r="D530" s="20"/>
    </row>
    <row r="531" spans="1:4" x14ac:dyDescent="0.3">
      <c r="A531" s="21">
        <v>45443.977082999998</v>
      </c>
      <c r="B531" s="18">
        <v>67.732997999999995</v>
      </c>
      <c r="C531" s="19"/>
      <c r="D531" s="20"/>
    </row>
    <row r="532" spans="1:4" x14ac:dyDescent="0.3">
      <c r="A532" s="21">
        <v>45443.977778</v>
      </c>
      <c r="B532" s="18">
        <v>67.931329000000005</v>
      </c>
      <c r="C532" s="19"/>
      <c r="D532" s="20"/>
    </row>
    <row r="533" spans="1:4" x14ac:dyDescent="0.3">
      <c r="A533" s="21">
        <v>45443.978472000003</v>
      </c>
      <c r="B533" s="18">
        <v>67.838260000000005</v>
      </c>
      <c r="C533" s="19"/>
      <c r="D533" s="20"/>
    </row>
    <row r="534" spans="1:4" x14ac:dyDescent="0.3">
      <c r="A534" s="21">
        <v>45443.979166999998</v>
      </c>
      <c r="B534" s="18">
        <v>67.654978</v>
      </c>
      <c r="C534" s="19"/>
      <c r="D534" s="20"/>
    </row>
    <row r="535" spans="1:4" x14ac:dyDescent="0.3">
      <c r="A535" s="21">
        <v>45443.979861</v>
      </c>
      <c r="B535" s="18">
        <v>67.783030999999994</v>
      </c>
      <c r="C535" s="19"/>
      <c r="D535" s="20"/>
    </row>
    <row r="536" spans="1:4" x14ac:dyDescent="0.3">
      <c r="A536" s="21">
        <v>45443.980556000002</v>
      </c>
      <c r="B536" s="18">
        <v>67.518928000000002</v>
      </c>
      <c r="C536" s="19"/>
      <c r="D536" s="20"/>
    </row>
    <row r="537" spans="1:4" x14ac:dyDescent="0.3">
      <c r="A537" s="21">
        <v>45443.981249999997</v>
      </c>
      <c r="B537" s="18">
        <v>67.711704999999995</v>
      </c>
      <c r="C537" s="19"/>
      <c r="D537" s="20"/>
    </row>
    <row r="538" spans="1:4" x14ac:dyDescent="0.3">
      <c r="A538" s="21">
        <v>45443.981943999999</v>
      </c>
      <c r="B538" s="18">
        <v>67.482377999999997</v>
      </c>
      <c r="C538" s="19"/>
      <c r="D538" s="20"/>
    </row>
    <row r="539" spans="1:4" x14ac:dyDescent="0.3">
      <c r="A539" s="21">
        <v>45443.982639000002</v>
      </c>
      <c r="B539" s="18">
        <v>67.652631</v>
      </c>
      <c r="C539" s="19"/>
      <c r="D539" s="20"/>
    </row>
    <row r="540" spans="1:4" x14ac:dyDescent="0.3">
      <c r="A540" s="21">
        <v>45443.983332999996</v>
      </c>
      <c r="B540" s="18">
        <v>67.604888000000003</v>
      </c>
      <c r="C540" s="19"/>
      <c r="D540" s="20"/>
    </row>
    <row r="541" spans="1:4" x14ac:dyDescent="0.3">
      <c r="A541" s="21">
        <v>45443.984027999999</v>
      </c>
      <c r="B541" s="18">
        <v>67.494645000000006</v>
      </c>
      <c r="C541" s="19"/>
      <c r="D541" s="20"/>
    </row>
    <row r="542" spans="1:4" x14ac:dyDescent="0.3">
      <c r="A542" s="21">
        <v>45443.984722000001</v>
      </c>
      <c r="B542" s="18">
        <v>67.637433999999999</v>
      </c>
      <c r="C542" s="19"/>
      <c r="D542" s="20"/>
    </row>
    <row r="543" spans="1:4" x14ac:dyDescent="0.3">
      <c r="A543" s="21">
        <v>45443.985417000004</v>
      </c>
      <c r="B543" s="18">
        <v>67.400316000000004</v>
      </c>
      <c r="C543" s="19"/>
      <c r="D543" s="20"/>
    </row>
    <row r="544" spans="1:4" x14ac:dyDescent="0.3">
      <c r="A544" s="21">
        <v>45443.986110999998</v>
      </c>
      <c r="B544" s="18">
        <v>67.598994000000005</v>
      </c>
      <c r="C544" s="19"/>
      <c r="D544" s="20"/>
    </row>
    <row r="545" spans="1:4" x14ac:dyDescent="0.3">
      <c r="A545" s="21">
        <v>45443.986806000001</v>
      </c>
      <c r="B545" s="18">
        <v>67.336129</v>
      </c>
      <c r="C545" s="19"/>
      <c r="D545" s="20"/>
    </row>
    <row r="546" spans="1:4" x14ac:dyDescent="0.3">
      <c r="A546" s="21">
        <v>45443.987500000003</v>
      </c>
      <c r="B546" s="18">
        <v>67.749899999999997</v>
      </c>
      <c r="C546" s="19"/>
      <c r="D546" s="20"/>
    </row>
    <row r="547" spans="1:4" x14ac:dyDescent="0.3">
      <c r="A547" s="21">
        <v>45443.988193999998</v>
      </c>
      <c r="B547" s="18">
        <v>67.513142000000002</v>
      </c>
      <c r="C547" s="19"/>
      <c r="D547" s="20"/>
    </row>
    <row r="548" spans="1:4" x14ac:dyDescent="0.3">
      <c r="A548" s="21">
        <v>45443.988889</v>
      </c>
      <c r="B548" s="18">
        <v>67.602557000000004</v>
      </c>
      <c r="C548" s="19"/>
      <c r="D548" s="20"/>
    </row>
    <row r="549" spans="1:4" x14ac:dyDescent="0.3">
      <c r="A549" s="21">
        <v>45443.989583000002</v>
      </c>
      <c r="B549" s="18">
        <v>67.372111000000004</v>
      </c>
      <c r="C549" s="19"/>
      <c r="D549" s="20"/>
    </row>
    <row r="550" spans="1:4" x14ac:dyDescent="0.3">
      <c r="A550" s="21">
        <v>45443.990277999997</v>
      </c>
      <c r="B550" s="18">
        <v>67.078151000000005</v>
      </c>
      <c r="C550" s="19"/>
      <c r="D550" s="20"/>
    </row>
    <row r="551" spans="1:4" x14ac:dyDescent="0.3">
      <c r="A551" s="21">
        <v>45443.990972</v>
      </c>
      <c r="B551" s="18">
        <v>67.485049000000004</v>
      </c>
      <c r="C551" s="19"/>
      <c r="D551" s="20"/>
    </row>
    <row r="552" spans="1:4" x14ac:dyDescent="0.3">
      <c r="A552" s="21">
        <v>45443.991667000002</v>
      </c>
      <c r="B552" s="18">
        <v>67.454820999999995</v>
      </c>
      <c r="C552" s="19"/>
      <c r="D552" s="20"/>
    </row>
    <row r="553" spans="1:4" x14ac:dyDescent="0.3">
      <c r="A553" s="21">
        <v>45443.992360999997</v>
      </c>
      <c r="B553" s="18">
        <v>67.374373000000006</v>
      </c>
      <c r="C553" s="19"/>
      <c r="D553" s="20"/>
    </row>
    <row r="554" spans="1:4" x14ac:dyDescent="0.3">
      <c r="A554" s="21">
        <v>45443.993055999999</v>
      </c>
      <c r="B554" s="18">
        <v>67.335731999999993</v>
      </c>
      <c r="C554" s="19"/>
      <c r="D554" s="20"/>
    </row>
    <row r="555" spans="1:4" x14ac:dyDescent="0.3">
      <c r="A555" s="21">
        <v>45443.993750000001</v>
      </c>
      <c r="B555" s="18">
        <v>67.578498999999994</v>
      </c>
      <c r="C555" s="19"/>
      <c r="D555" s="20"/>
    </row>
    <row r="556" spans="1:4" x14ac:dyDescent="0.3">
      <c r="A556" s="21">
        <v>45443.994444000004</v>
      </c>
      <c r="B556" s="18">
        <v>68.028057000000004</v>
      </c>
      <c r="C556" s="19"/>
      <c r="D556" s="20"/>
    </row>
    <row r="557" spans="1:4" x14ac:dyDescent="0.3">
      <c r="A557" s="21">
        <v>45443.995138999999</v>
      </c>
      <c r="B557" s="18">
        <v>67.235540999999998</v>
      </c>
      <c r="C557" s="19"/>
      <c r="D557" s="20"/>
    </row>
    <row r="558" spans="1:4" x14ac:dyDescent="0.3">
      <c r="A558" s="21">
        <v>45443.995833000001</v>
      </c>
      <c r="B558" s="18">
        <v>67.349210999999997</v>
      </c>
      <c r="C558" s="19"/>
      <c r="D558" s="20"/>
    </row>
    <row r="559" spans="1:4" x14ac:dyDescent="0.3">
      <c r="A559" s="21">
        <v>45443.996528000003</v>
      </c>
      <c r="B559" s="18">
        <v>67.248169000000004</v>
      </c>
      <c r="C559" s="19"/>
      <c r="D559" s="20"/>
    </row>
    <row r="560" spans="1:4" x14ac:dyDescent="0.3">
      <c r="A560" s="21">
        <v>45443.997221999998</v>
      </c>
      <c r="B560" s="18">
        <v>67.684877999999998</v>
      </c>
      <c r="C560" s="19"/>
      <c r="D560" s="20"/>
    </row>
    <row r="561" spans="1:4" x14ac:dyDescent="0.3">
      <c r="A561" s="21">
        <v>45443.997917000001</v>
      </c>
      <c r="B561" s="18">
        <v>67.359932000000001</v>
      </c>
      <c r="C561" s="19"/>
      <c r="D561" s="20"/>
    </row>
    <row r="562" spans="1:4" x14ac:dyDescent="0.3">
      <c r="A562" s="21">
        <v>45443.998611000003</v>
      </c>
      <c r="B562" s="18">
        <v>67.792550000000006</v>
      </c>
      <c r="C562" s="19"/>
      <c r="D562" s="20"/>
    </row>
    <row r="563" spans="1:4" x14ac:dyDescent="0.3">
      <c r="A563" s="21">
        <v>45443.999305999998</v>
      </c>
      <c r="B563" s="18">
        <v>67.599311</v>
      </c>
      <c r="C563" s="19"/>
      <c r="D563" s="20"/>
    </row>
    <row r="564" spans="1:4" x14ac:dyDescent="0.3">
      <c r="A564" s="21">
        <v>45444</v>
      </c>
      <c r="B564" s="18">
        <v>67.374353999999997</v>
      </c>
      <c r="C564" s="19"/>
      <c r="D564" s="20"/>
    </row>
    <row r="565" spans="1:4" x14ac:dyDescent="0.3">
      <c r="A565" s="21">
        <v>45444.000694000002</v>
      </c>
      <c r="B565" s="18">
        <v>67.359359999999995</v>
      </c>
      <c r="C565" s="19"/>
      <c r="D565" s="20"/>
    </row>
    <row r="566" spans="1:4" x14ac:dyDescent="0.3">
      <c r="A566" s="21">
        <v>45444.001388999997</v>
      </c>
      <c r="B566" s="18">
        <v>67.517630999999994</v>
      </c>
      <c r="C566" s="19"/>
      <c r="D566" s="20"/>
    </row>
    <row r="567" spans="1:4" x14ac:dyDescent="0.3">
      <c r="A567" s="21">
        <v>45444.002082999999</v>
      </c>
      <c r="B567" s="18">
        <v>67.268645000000006</v>
      </c>
      <c r="C567" s="19"/>
      <c r="D567" s="20"/>
    </row>
    <row r="568" spans="1:4" x14ac:dyDescent="0.3">
      <c r="A568" s="21">
        <v>45444.002778000002</v>
      </c>
      <c r="B568" s="18">
        <v>67.693792000000002</v>
      </c>
      <c r="C568" s="19"/>
      <c r="D568" s="20"/>
    </row>
    <row r="569" spans="1:4" x14ac:dyDescent="0.3">
      <c r="A569" s="21">
        <v>45444.003471999997</v>
      </c>
      <c r="B569" s="18">
        <v>67.361597000000003</v>
      </c>
      <c r="C569" s="19"/>
      <c r="D569" s="20"/>
    </row>
    <row r="570" spans="1:4" x14ac:dyDescent="0.3">
      <c r="A570" s="21">
        <v>45444.004166999999</v>
      </c>
      <c r="B570" s="18">
        <v>67.363937000000007</v>
      </c>
      <c r="C570" s="19"/>
      <c r="D570" s="20"/>
    </row>
    <row r="571" spans="1:4" x14ac:dyDescent="0.3">
      <c r="A571" s="21">
        <v>45444.004861000001</v>
      </c>
      <c r="B571" s="18">
        <v>67.604690000000005</v>
      </c>
      <c r="C571" s="19"/>
      <c r="D571" s="20"/>
    </row>
    <row r="572" spans="1:4" x14ac:dyDescent="0.3">
      <c r="A572" s="21">
        <v>45444.005555999996</v>
      </c>
      <c r="B572" s="18">
        <v>67.694895000000002</v>
      </c>
      <c r="C572" s="19"/>
      <c r="D572" s="20"/>
    </row>
    <row r="573" spans="1:4" x14ac:dyDescent="0.3">
      <c r="A573" s="21">
        <v>45444.006249999999</v>
      </c>
      <c r="B573" s="18">
        <v>67.637252000000004</v>
      </c>
      <c r="C573" s="19"/>
      <c r="D573" s="20"/>
    </row>
    <row r="574" spans="1:4" x14ac:dyDescent="0.3">
      <c r="A574" s="21">
        <v>45444.006944000001</v>
      </c>
      <c r="B574" s="18">
        <v>67.172561999999999</v>
      </c>
      <c r="C574" s="19"/>
      <c r="D574" s="20"/>
    </row>
    <row r="575" spans="1:4" x14ac:dyDescent="0.3">
      <c r="A575" s="21">
        <v>45444.007639000003</v>
      </c>
      <c r="B575" s="18">
        <v>67.175263999999999</v>
      </c>
      <c r="C575" s="19"/>
      <c r="D575" s="20"/>
    </row>
    <row r="576" spans="1:4" x14ac:dyDescent="0.3">
      <c r="A576" s="21">
        <v>45444.008332999998</v>
      </c>
      <c r="B576" s="18">
        <v>67.565560000000005</v>
      </c>
      <c r="C576" s="19"/>
      <c r="D576" s="20"/>
    </row>
    <row r="577" spans="1:4" x14ac:dyDescent="0.3">
      <c r="A577" s="21">
        <v>45444.009028</v>
      </c>
      <c r="B577" s="18">
        <v>67.406441000000001</v>
      </c>
      <c r="C577" s="19"/>
      <c r="D577" s="20"/>
    </row>
    <row r="578" spans="1:4" x14ac:dyDescent="0.3">
      <c r="A578" s="21">
        <v>45444.009722000003</v>
      </c>
      <c r="B578" s="18">
        <v>67.401724999999999</v>
      </c>
      <c r="C578" s="19"/>
      <c r="D578" s="20"/>
    </row>
    <row r="579" spans="1:4" x14ac:dyDescent="0.3">
      <c r="A579" s="21">
        <v>45444.010416999998</v>
      </c>
      <c r="B579" s="18">
        <v>67.466622999999998</v>
      </c>
      <c r="C579" s="19"/>
      <c r="D579" s="20"/>
    </row>
    <row r="580" spans="1:4" x14ac:dyDescent="0.3">
      <c r="A580" s="21">
        <v>45444.011111</v>
      </c>
      <c r="B580" s="18">
        <v>67.340435999999997</v>
      </c>
      <c r="C580" s="19"/>
      <c r="D580" s="20"/>
    </row>
    <row r="581" spans="1:4" x14ac:dyDescent="0.3">
      <c r="A581" s="21">
        <v>45444.011806000002</v>
      </c>
      <c r="B581" s="18">
        <v>67.323642000000007</v>
      </c>
      <c r="C581" s="19"/>
      <c r="D581" s="20"/>
    </row>
    <row r="582" spans="1:4" x14ac:dyDescent="0.3">
      <c r="A582" s="21">
        <v>45444.012499999997</v>
      </c>
      <c r="B582" s="18">
        <v>67.302843999999993</v>
      </c>
      <c r="C582" s="19"/>
      <c r="D582" s="20"/>
    </row>
    <row r="583" spans="1:4" x14ac:dyDescent="0.3">
      <c r="A583" s="21">
        <v>45444.013193999999</v>
      </c>
      <c r="B583" s="18">
        <v>67.065264999999997</v>
      </c>
      <c r="C583" s="19"/>
      <c r="D583" s="20"/>
    </row>
    <row r="584" spans="1:4" x14ac:dyDescent="0.3">
      <c r="A584" s="21">
        <v>45444.013889000002</v>
      </c>
      <c r="B584" s="18">
        <v>67.577100999999999</v>
      </c>
      <c r="C584" s="19"/>
      <c r="D584" s="20"/>
    </row>
    <row r="585" spans="1:4" x14ac:dyDescent="0.3">
      <c r="A585" s="21">
        <v>45444.014582999996</v>
      </c>
      <c r="B585" s="18">
        <v>67.532017999999994</v>
      </c>
      <c r="C585" s="19"/>
      <c r="D585" s="20"/>
    </row>
    <row r="586" spans="1:4" x14ac:dyDescent="0.3">
      <c r="A586" s="21">
        <v>45444.015277999999</v>
      </c>
      <c r="B586" s="18">
        <v>67.150350000000003</v>
      </c>
      <c r="C586" s="19"/>
      <c r="D586" s="20"/>
    </row>
    <row r="587" spans="1:4" x14ac:dyDescent="0.3">
      <c r="A587" s="21">
        <v>45444.015972000001</v>
      </c>
      <c r="B587" s="18">
        <v>67.469655000000003</v>
      </c>
      <c r="C587" s="19"/>
      <c r="D587" s="20"/>
    </row>
    <row r="588" spans="1:4" x14ac:dyDescent="0.3">
      <c r="A588" s="21">
        <v>45444.016667000004</v>
      </c>
      <c r="B588" s="18">
        <v>67.223060000000004</v>
      </c>
      <c r="C588" s="19"/>
      <c r="D588" s="20"/>
    </row>
    <row r="589" spans="1:4" x14ac:dyDescent="0.3">
      <c r="A589" s="21">
        <v>45444.017360999998</v>
      </c>
      <c r="B589" s="18">
        <v>67.186363</v>
      </c>
      <c r="C589" s="19"/>
      <c r="D589" s="20"/>
    </row>
    <row r="590" spans="1:4" x14ac:dyDescent="0.3">
      <c r="A590" s="21">
        <v>45444.018056000001</v>
      </c>
      <c r="B590" s="18">
        <v>67.270156</v>
      </c>
      <c r="C590" s="19"/>
      <c r="D590" s="20"/>
    </row>
    <row r="591" spans="1:4" x14ac:dyDescent="0.3">
      <c r="A591" s="21">
        <v>45444.018750000003</v>
      </c>
      <c r="B591" s="18">
        <v>67.587575000000001</v>
      </c>
      <c r="C591" s="19"/>
      <c r="D591" s="20"/>
    </row>
    <row r="592" spans="1:4" x14ac:dyDescent="0.3">
      <c r="A592" s="21">
        <v>45444.019443999998</v>
      </c>
      <c r="B592" s="18">
        <v>67.250056000000001</v>
      </c>
      <c r="C592" s="19"/>
      <c r="D592" s="20"/>
    </row>
    <row r="593" spans="1:4" x14ac:dyDescent="0.3">
      <c r="A593" s="21">
        <v>45444.020139</v>
      </c>
      <c r="B593" s="18">
        <v>67.286773999999994</v>
      </c>
      <c r="C593" s="19"/>
      <c r="D593" s="20"/>
    </row>
    <row r="594" spans="1:4" x14ac:dyDescent="0.3">
      <c r="A594" s="21">
        <v>45444.020833000002</v>
      </c>
      <c r="B594" s="18">
        <v>67.366549000000006</v>
      </c>
      <c r="C594" s="19"/>
      <c r="D594" s="20"/>
    </row>
    <row r="595" spans="1:4" x14ac:dyDescent="0.3">
      <c r="A595" s="21">
        <v>45444.021527999997</v>
      </c>
      <c r="B595" s="18">
        <v>67.234522999999996</v>
      </c>
      <c r="C595" s="19"/>
      <c r="D595" s="20"/>
    </row>
    <row r="596" spans="1:4" x14ac:dyDescent="0.3">
      <c r="A596" s="21">
        <v>45444.022222</v>
      </c>
      <c r="B596" s="18">
        <v>67.339416999999997</v>
      </c>
      <c r="C596" s="19"/>
      <c r="D596" s="20"/>
    </row>
    <row r="597" spans="1:4" x14ac:dyDescent="0.3">
      <c r="A597" s="21">
        <v>45444.022917000002</v>
      </c>
      <c r="B597" s="18">
        <v>67.333691999999999</v>
      </c>
      <c r="C597" s="19"/>
      <c r="D597" s="20"/>
    </row>
    <row r="598" spans="1:4" x14ac:dyDescent="0.3">
      <c r="A598" s="21">
        <v>45444.023610999997</v>
      </c>
      <c r="B598" s="18">
        <v>67.038442000000003</v>
      </c>
      <c r="C598" s="19"/>
      <c r="D598" s="20"/>
    </row>
    <row r="599" spans="1:4" x14ac:dyDescent="0.3">
      <c r="A599" s="21">
        <v>45444.024305999999</v>
      </c>
      <c r="B599" s="18">
        <v>67.264893000000001</v>
      </c>
      <c r="C599" s="19"/>
      <c r="D599" s="20"/>
    </row>
    <row r="600" spans="1:4" x14ac:dyDescent="0.3">
      <c r="A600" s="21">
        <v>45444.025000000001</v>
      </c>
      <c r="B600" s="18">
        <v>67.187246999999999</v>
      </c>
      <c r="C600" s="19"/>
      <c r="D600" s="20"/>
    </row>
    <row r="601" spans="1:4" x14ac:dyDescent="0.3">
      <c r="A601" s="21">
        <v>45444.025694000004</v>
      </c>
      <c r="B601" s="18">
        <v>67.606938999999997</v>
      </c>
      <c r="C601" s="19"/>
      <c r="D601" s="20"/>
    </row>
    <row r="602" spans="1:4" x14ac:dyDescent="0.3">
      <c r="A602" s="21">
        <v>45444.026388999999</v>
      </c>
      <c r="B602" s="18">
        <v>67.123097000000001</v>
      </c>
      <c r="C602" s="19"/>
      <c r="D602" s="20"/>
    </row>
    <row r="603" spans="1:4" x14ac:dyDescent="0.3">
      <c r="A603" s="21">
        <v>45444.027083000001</v>
      </c>
      <c r="B603" s="18">
        <v>67.200901999999999</v>
      </c>
      <c r="C603" s="19"/>
      <c r="D603" s="20"/>
    </row>
    <row r="604" spans="1:4" x14ac:dyDescent="0.3">
      <c r="A604" s="21">
        <v>45444.027778000003</v>
      </c>
      <c r="B604" s="18">
        <v>67.201364999999996</v>
      </c>
      <c r="C604" s="19"/>
      <c r="D604" s="20"/>
    </row>
    <row r="605" spans="1:4" x14ac:dyDescent="0.3">
      <c r="A605" s="21">
        <v>45444.028471999998</v>
      </c>
      <c r="B605" s="18">
        <v>67.166203999999993</v>
      </c>
      <c r="C605" s="19"/>
      <c r="D605" s="20"/>
    </row>
    <row r="606" spans="1:4" x14ac:dyDescent="0.3">
      <c r="A606" s="21">
        <v>45444.029167000001</v>
      </c>
      <c r="B606" s="18">
        <v>67.265620999999996</v>
      </c>
      <c r="C606" s="19"/>
      <c r="D606" s="20"/>
    </row>
    <row r="607" spans="1:4" x14ac:dyDescent="0.3">
      <c r="A607" s="21">
        <v>45444.029861000003</v>
      </c>
      <c r="B607" s="18">
        <v>67.125799000000001</v>
      </c>
      <c r="C607" s="19"/>
      <c r="D607" s="20"/>
    </row>
    <row r="608" spans="1:4" x14ac:dyDescent="0.3">
      <c r="A608" s="21">
        <v>45444.030555999998</v>
      </c>
      <c r="B608" s="18">
        <v>67.325464999999994</v>
      </c>
      <c r="C608" s="19"/>
      <c r="D608" s="20"/>
    </row>
    <row r="609" spans="1:4" x14ac:dyDescent="0.3">
      <c r="A609" s="21">
        <v>45444.03125</v>
      </c>
      <c r="B609" s="18">
        <v>66.996027999999995</v>
      </c>
      <c r="C609" s="19"/>
      <c r="D609" s="20"/>
    </row>
    <row r="610" spans="1:4" x14ac:dyDescent="0.3">
      <c r="A610" s="21">
        <v>45444.031944000002</v>
      </c>
      <c r="B610" s="18">
        <v>67.029363000000004</v>
      </c>
      <c r="C610" s="19"/>
      <c r="D610" s="20"/>
    </row>
    <row r="611" spans="1:4" x14ac:dyDescent="0.3">
      <c r="A611" s="21">
        <v>45444.032638999997</v>
      </c>
      <c r="B611" s="18">
        <v>67.114895000000004</v>
      </c>
      <c r="C611" s="19"/>
      <c r="D611" s="20"/>
    </row>
    <row r="612" spans="1:4" x14ac:dyDescent="0.3">
      <c r="A612" s="21">
        <v>45444.033332999999</v>
      </c>
      <c r="B612" s="18">
        <v>67.007153000000002</v>
      </c>
      <c r="C612" s="19"/>
      <c r="D612" s="20"/>
    </row>
    <row r="613" spans="1:4" x14ac:dyDescent="0.3">
      <c r="A613" s="21">
        <v>45444.034028000002</v>
      </c>
      <c r="B613" s="18">
        <v>66.997489999999999</v>
      </c>
      <c r="C613" s="19"/>
      <c r="D613" s="20"/>
    </row>
    <row r="614" spans="1:4" x14ac:dyDescent="0.3">
      <c r="A614" s="21">
        <v>45444.034721999997</v>
      </c>
      <c r="B614" s="18">
        <v>67.348780000000005</v>
      </c>
      <c r="C614" s="19"/>
      <c r="D614" s="20"/>
    </row>
    <row r="615" spans="1:4" x14ac:dyDescent="0.3">
      <c r="A615" s="21">
        <v>45444.035416999999</v>
      </c>
      <c r="B615" s="18">
        <v>67.416049999999998</v>
      </c>
      <c r="C615" s="19"/>
      <c r="D615" s="20"/>
    </row>
    <row r="616" spans="1:4" x14ac:dyDescent="0.3">
      <c r="A616" s="21">
        <v>45444.036111000001</v>
      </c>
      <c r="B616" s="18">
        <v>67.288673000000003</v>
      </c>
      <c r="C616" s="19"/>
      <c r="D616" s="20"/>
    </row>
    <row r="617" spans="1:4" x14ac:dyDescent="0.3">
      <c r="A617" s="21">
        <v>45444.036805999996</v>
      </c>
      <c r="B617" s="18">
        <v>67.288987000000006</v>
      </c>
      <c r="C617" s="19"/>
      <c r="D617" s="20"/>
    </row>
    <row r="618" spans="1:4" x14ac:dyDescent="0.3">
      <c r="A618" s="21">
        <v>45444.037499999999</v>
      </c>
      <c r="B618" s="18">
        <v>67.336088000000004</v>
      </c>
      <c r="C618" s="19"/>
      <c r="D618" s="20"/>
    </row>
    <row r="619" spans="1:4" x14ac:dyDescent="0.3">
      <c r="A619" s="21">
        <v>45444.038194000001</v>
      </c>
      <c r="B619" s="18">
        <v>67.225740999999999</v>
      </c>
      <c r="C619" s="19"/>
      <c r="D619" s="20"/>
    </row>
    <row r="620" spans="1:4" x14ac:dyDescent="0.3">
      <c r="A620" s="21">
        <v>45444.038889000003</v>
      </c>
      <c r="B620" s="18">
        <v>67.021828999999997</v>
      </c>
      <c r="C620" s="19"/>
      <c r="D620" s="20"/>
    </row>
    <row r="621" spans="1:4" x14ac:dyDescent="0.3">
      <c r="A621" s="21">
        <v>45444.039582999998</v>
      </c>
      <c r="B621" s="18">
        <v>68.450137999999995</v>
      </c>
      <c r="C621" s="19"/>
      <c r="D621" s="20"/>
    </row>
    <row r="622" spans="1:4" x14ac:dyDescent="0.3">
      <c r="A622" s="21">
        <v>45444.040278</v>
      </c>
      <c r="B622" s="18">
        <v>69.853575000000006</v>
      </c>
      <c r="C622" s="19"/>
      <c r="D622" s="20"/>
    </row>
    <row r="623" spans="1:4" x14ac:dyDescent="0.3">
      <c r="A623" s="21">
        <v>45444.040972000003</v>
      </c>
      <c r="B623" s="18">
        <v>69.817103000000003</v>
      </c>
      <c r="C623" s="19"/>
      <c r="D623" s="20"/>
    </row>
    <row r="624" spans="1:4" x14ac:dyDescent="0.3">
      <c r="A624" s="21">
        <v>45444.041666999998</v>
      </c>
      <c r="B624" s="18">
        <v>70.011398999999997</v>
      </c>
      <c r="C624" s="19"/>
      <c r="D624" s="20"/>
    </row>
    <row r="625" spans="1:4" x14ac:dyDescent="0.3">
      <c r="A625" s="21">
        <v>45444.042361</v>
      </c>
      <c r="B625" s="18">
        <v>70.005369000000002</v>
      </c>
      <c r="C625" s="19"/>
      <c r="D625" s="20"/>
    </row>
    <row r="626" spans="1:4" x14ac:dyDescent="0.3">
      <c r="A626" s="21">
        <v>45444.043056000002</v>
      </c>
      <c r="B626" s="18">
        <v>70.110654999999994</v>
      </c>
      <c r="C626" s="19"/>
      <c r="D626" s="20"/>
    </row>
    <row r="627" spans="1:4" x14ac:dyDescent="0.3">
      <c r="A627" s="21">
        <v>45444.043749999997</v>
      </c>
      <c r="B627" s="18">
        <v>70.044933</v>
      </c>
      <c r="C627" s="19"/>
      <c r="D627" s="20"/>
    </row>
    <row r="628" spans="1:4" x14ac:dyDescent="0.3">
      <c r="A628" s="21">
        <v>45444.044443999999</v>
      </c>
      <c r="B628" s="18">
        <v>70.007988999999995</v>
      </c>
      <c r="C628" s="19"/>
      <c r="D628" s="20"/>
    </row>
    <row r="629" spans="1:4" x14ac:dyDescent="0.3">
      <c r="A629" s="21">
        <v>45444.045139000002</v>
      </c>
      <c r="B629" s="18">
        <v>70.096182999999996</v>
      </c>
      <c r="C629" s="19"/>
      <c r="D629" s="20"/>
    </row>
    <row r="630" spans="1:4" x14ac:dyDescent="0.3">
      <c r="A630" s="21">
        <v>45444.045832999996</v>
      </c>
      <c r="B630" s="18">
        <v>69.927125000000004</v>
      </c>
      <c r="C630" s="19"/>
      <c r="D630" s="20"/>
    </row>
    <row r="631" spans="1:4" x14ac:dyDescent="0.3">
      <c r="A631" s="21">
        <v>45444.046527999999</v>
      </c>
      <c r="B631" s="18">
        <v>70.088060999999996</v>
      </c>
      <c r="C631" s="19"/>
      <c r="D631" s="20"/>
    </row>
    <row r="632" spans="1:4" x14ac:dyDescent="0.3">
      <c r="A632" s="21">
        <v>45444.047222000001</v>
      </c>
      <c r="B632" s="18">
        <v>70.083759999999998</v>
      </c>
      <c r="C632" s="19"/>
      <c r="D632" s="20"/>
    </row>
    <row r="633" spans="1:4" x14ac:dyDescent="0.3">
      <c r="A633" s="21">
        <v>45444.047917000004</v>
      </c>
      <c r="B633" s="18">
        <v>69.841964000000004</v>
      </c>
      <c r="C633" s="19"/>
      <c r="D633" s="20"/>
    </row>
    <row r="634" spans="1:4" x14ac:dyDescent="0.3">
      <c r="A634" s="21">
        <v>45444.048610999998</v>
      </c>
      <c r="B634" s="18">
        <v>70.102316000000002</v>
      </c>
      <c r="C634" s="19"/>
      <c r="D634" s="20"/>
    </row>
    <row r="635" spans="1:4" x14ac:dyDescent="0.3">
      <c r="A635" s="21">
        <v>45444.049306000001</v>
      </c>
      <c r="B635" s="18">
        <v>70.010065999999995</v>
      </c>
      <c r="C635" s="19"/>
      <c r="D635" s="20"/>
    </row>
    <row r="636" spans="1:4" x14ac:dyDescent="0.3">
      <c r="A636" s="21">
        <v>45444.05</v>
      </c>
      <c r="B636" s="18">
        <v>70.057412999999997</v>
      </c>
      <c r="C636" s="19"/>
      <c r="D636" s="20"/>
    </row>
    <row r="637" spans="1:4" x14ac:dyDescent="0.3">
      <c r="A637" s="21">
        <v>45444.050693999998</v>
      </c>
      <c r="B637" s="18">
        <v>69.680950999999993</v>
      </c>
      <c r="C637" s="19"/>
      <c r="D637" s="20"/>
    </row>
    <row r="638" spans="1:4" x14ac:dyDescent="0.3">
      <c r="A638" s="21">
        <v>45444.051389</v>
      </c>
      <c r="B638" s="18">
        <v>69.874707000000001</v>
      </c>
      <c r="C638" s="19"/>
      <c r="D638" s="20"/>
    </row>
    <row r="639" spans="1:4" x14ac:dyDescent="0.3">
      <c r="A639" s="21">
        <v>45444.052083000002</v>
      </c>
      <c r="B639" s="18">
        <v>69.794351000000006</v>
      </c>
      <c r="C639" s="19"/>
      <c r="D639" s="20"/>
    </row>
    <row r="640" spans="1:4" x14ac:dyDescent="0.3">
      <c r="A640" s="21">
        <v>45444.052777999997</v>
      </c>
      <c r="B640" s="18">
        <v>69.928253999999995</v>
      </c>
      <c r="C640" s="19"/>
      <c r="D640" s="20"/>
    </row>
    <row r="641" spans="1:4" x14ac:dyDescent="0.3">
      <c r="A641" s="21">
        <v>45444.053472</v>
      </c>
      <c r="B641" s="18">
        <v>69.765681000000001</v>
      </c>
      <c r="C641" s="19"/>
      <c r="D641" s="20"/>
    </row>
    <row r="642" spans="1:4" x14ac:dyDescent="0.3">
      <c r="A642" s="21">
        <v>45444.054167000002</v>
      </c>
      <c r="B642" s="18">
        <v>70.183705000000003</v>
      </c>
      <c r="C642" s="19"/>
      <c r="D642" s="20"/>
    </row>
    <row r="643" spans="1:4" x14ac:dyDescent="0.3">
      <c r="A643" s="21">
        <v>45444.054860999997</v>
      </c>
      <c r="B643" s="18">
        <v>70.036064999999994</v>
      </c>
      <c r="C643" s="19"/>
      <c r="D643" s="20"/>
    </row>
    <row r="644" spans="1:4" x14ac:dyDescent="0.3">
      <c r="A644" s="21">
        <v>45444.055555999999</v>
      </c>
      <c r="B644" s="18">
        <v>69.775836999999996</v>
      </c>
      <c r="C644" s="19"/>
      <c r="D644" s="20"/>
    </row>
    <row r="645" spans="1:4" x14ac:dyDescent="0.3">
      <c r="A645" s="21">
        <v>45444.056250000001</v>
      </c>
      <c r="B645" s="18">
        <v>70.058098999999999</v>
      </c>
      <c r="C645" s="19"/>
      <c r="D645" s="20"/>
    </row>
    <row r="646" spans="1:4" x14ac:dyDescent="0.3">
      <c r="A646" s="21">
        <v>45444.056944000004</v>
      </c>
      <c r="B646" s="18">
        <v>69.962433000000004</v>
      </c>
      <c r="C646" s="19"/>
      <c r="D646" s="20"/>
    </row>
    <row r="647" spans="1:4" x14ac:dyDescent="0.3">
      <c r="A647" s="21">
        <v>45444.057638999999</v>
      </c>
      <c r="B647" s="18">
        <v>69.666189000000003</v>
      </c>
      <c r="C647" s="19"/>
      <c r="D647" s="20"/>
    </row>
    <row r="648" spans="1:4" x14ac:dyDescent="0.3">
      <c r="A648" s="21">
        <v>45444.058333000001</v>
      </c>
      <c r="B648" s="18">
        <v>70.015412999999995</v>
      </c>
      <c r="C648" s="19"/>
      <c r="D648" s="20"/>
    </row>
    <row r="649" spans="1:4" x14ac:dyDescent="0.3">
      <c r="A649" s="21">
        <v>45444.059028000003</v>
      </c>
      <c r="B649" s="18">
        <v>69.869705999999994</v>
      </c>
      <c r="C649" s="19"/>
      <c r="D649" s="20"/>
    </row>
    <row r="650" spans="1:4" x14ac:dyDescent="0.3">
      <c r="A650" s="21">
        <v>45444.059721999998</v>
      </c>
      <c r="B650" s="18">
        <v>69.564335999999997</v>
      </c>
      <c r="C650" s="19"/>
      <c r="D650" s="20"/>
    </row>
    <row r="651" spans="1:4" x14ac:dyDescent="0.3">
      <c r="A651" s="21">
        <v>45444.060417000001</v>
      </c>
      <c r="B651" s="18">
        <v>69.829447000000002</v>
      </c>
      <c r="C651" s="19"/>
      <c r="D651" s="20"/>
    </row>
    <row r="652" spans="1:4" x14ac:dyDescent="0.3">
      <c r="A652" s="21">
        <v>45444.061111000003</v>
      </c>
      <c r="B652" s="18">
        <v>69.587457000000001</v>
      </c>
      <c r="C652" s="19"/>
      <c r="D652" s="20"/>
    </row>
    <row r="653" spans="1:4" x14ac:dyDescent="0.3">
      <c r="A653" s="21">
        <v>45444.061805999998</v>
      </c>
      <c r="B653" s="18">
        <v>69.711594000000005</v>
      </c>
      <c r="C653" s="19"/>
      <c r="D653" s="20"/>
    </row>
    <row r="654" spans="1:4" x14ac:dyDescent="0.3">
      <c r="A654" s="21">
        <v>45444.0625</v>
      </c>
      <c r="B654" s="18">
        <v>69.769615999999999</v>
      </c>
      <c r="C654" s="19"/>
      <c r="D654" s="20"/>
    </row>
    <row r="655" spans="1:4" x14ac:dyDescent="0.3">
      <c r="A655" s="21">
        <v>45444.063194000002</v>
      </c>
      <c r="B655" s="18">
        <v>69.578267999999994</v>
      </c>
      <c r="C655" s="19"/>
      <c r="D655" s="20"/>
    </row>
    <row r="656" spans="1:4" x14ac:dyDescent="0.3">
      <c r="A656" s="21">
        <v>45444.063888999997</v>
      </c>
      <c r="B656" s="18">
        <v>69.551833000000002</v>
      </c>
      <c r="C656" s="19"/>
      <c r="D656" s="20"/>
    </row>
    <row r="657" spans="1:4" x14ac:dyDescent="0.3">
      <c r="A657" s="21">
        <v>45444.064582999999</v>
      </c>
      <c r="B657" s="18">
        <v>69.742397999999994</v>
      </c>
      <c r="C657" s="19"/>
      <c r="D657" s="20"/>
    </row>
    <row r="658" spans="1:4" x14ac:dyDescent="0.3">
      <c r="A658" s="21">
        <v>45444.065278000002</v>
      </c>
      <c r="B658" s="18">
        <v>69.624797999999998</v>
      </c>
      <c r="C658" s="19"/>
      <c r="D658" s="20"/>
    </row>
    <row r="659" spans="1:4" x14ac:dyDescent="0.3">
      <c r="A659" s="21">
        <v>45444.065971999997</v>
      </c>
      <c r="B659" s="18">
        <v>69.635170000000002</v>
      </c>
      <c r="C659" s="19"/>
      <c r="D659" s="20"/>
    </row>
    <row r="660" spans="1:4" x14ac:dyDescent="0.3">
      <c r="A660" s="21">
        <v>45444.066666999999</v>
      </c>
      <c r="B660" s="18">
        <v>69.451395000000005</v>
      </c>
      <c r="C660" s="19"/>
      <c r="D660" s="20"/>
    </row>
    <row r="661" spans="1:4" x14ac:dyDescent="0.3">
      <c r="A661" s="21">
        <v>45444.067361000001</v>
      </c>
      <c r="B661" s="18">
        <v>69.541417999999993</v>
      </c>
      <c r="C661" s="19"/>
      <c r="D661" s="20"/>
    </row>
    <row r="662" spans="1:4" x14ac:dyDescent="0.3">
      <c r="A662" s="21">
        <v>45444.068055999996</v>
      </c>
      <c r="B662" s="18">
        <v>69.653317999999999</v>
      </c>
      <c r="C662" s="19"/>
      <c r="D662" s="20"/>
    </row>
    <row r="663" spans="1:4" x14ac:dyDescent="0.3">
      <c r="A663" s="21">
        <v>45444.068749999999</v>
      </c>
      <c r="B663" s="18">
        <v>69.646995000000004</v>
      </c>
      <c r="C663" s="19"/>
      <c r="D663" s="20"/>
    </row>
    <row r="664" spans="1:4" x14ac:dyDescent="0.3">
      <c r="A664" s="21">
        <v>45444.069444000001</v>
      </c>
      <c r="B664" s="18">
        <v>69.582418000000004</v>
      </c>
      <c r="C664" s="19"/>
      <c r="D664" s="20"/>
    </row>
    <row r="665" spans="1:4" x14ac:dyDescent="0.3">
      <c r="A665" s="21">
        <v>45444.070139000003</v>
      </c>
      <c r="B665" s="18">
        <v>69.530050000000003</v>
      </c>
      <c r="C665" s="19"/>
      <c r="D665" s="20"/>
    </row>
    <row r="666" spans="1:4" x14ac:dyDescent="0.3">
      <c r="A666" s="21">
        <v>45444.070832999998</v>
      </c>
      <c r="B666" s="18">
        <v>69.484088999999997</v>
      </c>
      <c r="C666" s="19"/>
      <c r="D666" s="20"/>
    </row>
    <row r="667" spans="1:4" x14ac:dyDescent="0.3">
      <c r="A667" s="21">
        <v>45444.071528</v>
      </c>
      <c r="B667" s="18">
        <v>69.572535999999999</v>
      </c>
      <c r="C667" s="19"/>
      <c r="D667" s="20"/>
    </row>
    <row r="668" spans="1:4" x14ac:dyDescent="0.3">
      <c r="A668" s="21">
        <v>45444.072222000003</v>
      </c>
      <c r="B668" s="18">
        <v>69.822528000000005</v>
      </c>
      <c r="C668" s="19"/>
      <c r="D668" s="20"/>
    </row>
    <row r="669" spans="1:4" x14ac:dyDescent="0.3">
      <c r="A669" s="21">
        <v>45444.072916999998</v>
      </c>
      <c r="B669" s="18">
        <v>69.388729999999995</v>
      </c>
      <c r="C669" s="19"/>
      <c r="D669" s="20"/>
    </row>
    <row r="670" spans="1:4" x14ac:dyDescent="0.3">
      <c r="A670" s="21">
        <v>45444.073611</v>
      </c>
      <c r="B670" s="18">
        <v>69.455549000000005</v>
      </c>
      <c r="C670" s="19"/>
      <c r="D670" s="20"/>
    </row>
    <row r="671" spans="1:4" x14ac:dyDescent="0.3">
      <c r="A671" s="21">
        <v>45444.074306000002</v>
      </c>
      <c r="B671" s="18">
        <v>69.944310999999999</v>
      </c>
      <c r="C671" s="19"/>
      <c r="D671" s="20"/>
    </row>
    <row r="672" spans="1:4" x14ac:dyDescent="0.3">
      <c r="A672" s="21">
        <v>45444.074999999997</v>
      </c>
      <c r="B672" s="18">
        <v>69.410353999999998</v>
      </c>
      <c r="C672" s="19"/>
      <c r="D672" s="20"/>
    </row>
    <row r="673" spans="1:4" x14ac:dyDescent="0.3">
      <c r="A673" s="21">
        <v>45444.075693999999</v>
      </c>
      <c r="B673" s="18">
        <v>69.488181999999995</v>
      </c>
      <c r="C673" s="19"/>
      <c r="D673" s="20"/>
    </row>
    <row r="674" spans="1:4" x14ac:dyDescent="0.3">
      <c r="A674" s="21">
        <v>45444.076389000002</v>
      </c>
      <c r="B674" s="18">
        <v>69.589591999999996</v>
      </c>
      <c r="C674" s="19"/>
      <c r="D674" s="20"/>
    </row>
    <row r="675" spans="1:4" x14ac:dyDescent="0.3">
      <c r="A675" s="21">
        <v>45444.077082999996</v>
      </c>
      <c r="B675" s="18">
        <v>69.601810999999998</v>
      </c>
      <c r="C675" s="19"/>
      <c r="D675" s="20"/>
    </row>
    <row r="676" spans="1:4" x14ac:dyDescent="0.3">
      <c r="A676" s="21">
        <v>45444.077777999999</v>
      </c>
      <c r="B676" s="18">
        <v>69.673484999999999</v>
      </c>
      <c r="C676" s="19"/>
      <c r="D676" s="20"/>
    </row>
    <row r="677" spans="1:4" x14ac:dyDescent="0.3">
      <c r="A677" s="21">
        <v>45444.078472000001</v>
      </c>
      <c r="B677" s="18">
        <v>69.465680000000006</v>
      </c>
      <c r="C677" s="19"/>
      <c r="D677" s="20"/>
    </row>
    <row r="678" spans="1:4" x14ac:dyDescent="0.3">
      <c r="A678" s="21">
        <v>45444.079167000004</v>
      </c>
      <c r="B678" s="18">
        <v>69.589096999999995</v>
      </c>
      <c r="C678" s="19"/>
      <c r="D678" s="20"/>
    </row>
    <row r="679" spans="1:4" x14ac:dyDescent="0.3">
      <c r="A679" s="21">
        <v>45444.079860999998</v>
      </c>
      <c r="B679" s="18">
        <v>69.412328000000002</v>
      </c>
      <c r="C679" s="19"/>
      <c r="D679" s="20"/>
    </row>
    <row r="680" spans="1:4" x14ac:dyDescent="0.3">
      <c r="A680" s="21">
        <v>45444.080556000001</v>
      </c>
      <c r="B680" s="18">
        <v>69.605858999999995</v>
      </c>
      <c r="C680" s="19"/>
      <c r="D680" s="20"/>
    </row>
    <row r="681" spans="1:4" x14ac:dyDescent="0.3">
      <c r="A681" s="21">
        <v>45444.081250000003</v>
      </c>
      <c r="B681" s="18">
        <v>69.638947999999999</v>
      </c>
      <c r="C681" s="19"/>
      <c r="D681" s="20"/>
    </row>
    <row r="682" spans="1:4" x14ac:dyDescent="0.3">
      <c r="A682" s="21">
        <v>45444.081943999998</v>
      </c>
      <c r="B682" s="18">
        <v>69.392505</v>
      </c>
      <c r="C682" s="19"/>
      <c r="D682" s="20"/>
    </row>
    <row r="683" spans="1:4" x14ac:dyDescent="0.3">
      <c r="A683" s="21">
        <v>45444.082639</v>
      </c>
      <c r="B683" s="18">
        <v>69.314183</v>
      </c>
      <c r="C683" s="19"/>
      <c r="D683" s="20"/>
    </row>
    <row r="684" spans="1:4" x14ac:dyDescent="0.3">
      <c r="A684" s="21">
        <v>45444.083333000002</v>
      </c>
      <c r="B684" s="18">
        <v>69.496482</v>
      </c>
      <c r="C684" s="19"/>
      <c r="D684" s="20"/>
    </row>
    <row r="685" spans="1:4" x14ac:dyDescent="0.3">
      <c r="A685" s="21">
        <v>45444.084027999997</v>
      </c>
      <c r="B685" s="18">
        <v>69.310758000000007</v>
      </c>
      <c r="C685" s="19"/>
      <c r="D685" s="20"/>
    </row>
    <row r="686" spans="1:4" x14ac:dyDescent="0.3">
      <c r="A686" s="21">
        <v>45444.084722</v>
      </c>
      <c r="B686" s="18">
        <v>69.309860999999998</v>
      </c>
      <c r="C686" s="19"/>
      <c r="D686" s="20"/>
    </row>
    <row r="687" spans="1:4" x14ac:dyDescent="0.3">
      <c r="A687" s="21">
        <v>45444.085417000002</v>
      </c>
      <c r="B687" s="18">
        <v>69.351442000000006</v>
      </c>
      <c r="C687" s="19"/>
      <c r="D687" s="20"/>
    </row>
    <row r="688" spans="1:4" x14ac:dyDescent="0.3">
      <c r="A688" s="21">
        <v>45444.086110999997</v>
      </c>
      <c r="B688" s="18">
        <v>69.322474</v>
      </c>
      <c r="C688" s="19"/>
      <c r="D688" s="20"/>
    </row>
    <row r="689" spans="1:4" x14ac:dyDescent="0.3">
      <c r="A689" s="21">
        <v>45444.086805999999</v>
      </c>
      <c r="B689" s="18">
        <v>69.541244000000006</v>
      </c>
      <c r="C689" s="19"/>
      <c r="D689" s="20"/>
    </row>
    <row r="690" spans="1:4" x14ac:dyDescent="0.3">
      <c r="A690" s="21">
        <v>45444.087500000001</v>
      </c>
      <c r="B690" s="18">
        <v>69.447755000000001</v>
      </c>
      <c r="C690" s="19"/>
      <c r="D690" s="20"/>
    </row>
    <row r="691" spans="1:4" x14ac:dyDescent="0.3">
      <c r="A691" s="21">
        <v>45444.088194000004</v>
      </c>
      <c r="B691" s="18">
        <v>69.395804999999996</v>
      </c>
      <c r="C691" s="19"/>
      <c r="D691" s="20"/>
    </row>
    <row r="692" spans="1:4" x14ac:dyDescent="0.3">
      <c r="A692" s="21">
        <v>45444.088888999999</v>
      </c>
      <c r="B692" s="18">
        <v>69.496855999999994</v>
      </c>
      <c r="C692" s="19"/>
      <c r="D692" s="20"/>
    </row>
    <row r="693" spans="1:4" x14ac:dyDescent="0.3">
      <c r="A693" s="21">
        <v>45444.089583000001</v>
      </c>
      <c r="B693" s="18">
        <v>69.295688999999996</v>
      </c>
      <c r="C693" s="19"/>
      <c r="D693" s="20"/>
    </row>
    <row r="694" spans="1:4" x14ac:dyDescent="0.3">
      <c r="A694" s="21">
        <v>45444.090278000003</v>
      </c>
      <c r="B694" s="18">
        <v>69.152777</v>
      </c>
      <c r="C694" s="19"/>
      <c r="D694" s="20"/>
    </row>
    <row r="695" spans="1:4" x14ac:dyDescent="0.3">
      <c r="A695" s="21">
        <v>45444.090971999998</v>
      </c>
      <c r="B695" s="18">
        <v>69.710909000000001</v>
      </c>
      <c r="C695" s="19"/>
      <c r="D695" s="20"/>
    </row>
    <row r="696" spans="1:4" x14ac:dyDescent="0.3">
      <c r="A696" s="21">
        <v>45444.091667000001</v>
      </c>
      <c r="B696" s="18">
        <v>69.103609000000006</v>
      </c>
      <c r="C696" s="19"/>
      <c r="D696" s="20"/>
    </row>
    <row r="697" spans="1:4" x14ac:dyDescent="0.3">
      <c r="A697" s="21">
        <v>45444.092361000003</v>
      </c>
      <c r="B697" s="18">
        <v>69.631058999999993</v>
      </c>
      <c r="C697" s="19"/>
      <c r="D697" s="20"/>
    </row>
    <row r="698" spans="1:4" x14ac:dyDescent="0.3">
      <c r="A698" s="21">
        <v>45444.093055999998</v>
      </c>
      <c r="B698" s="18">
        <v>69.321833999999996</v>
      </c>
      <c r="C698" s="19"/>
      <c r="D698" s="20"/>
    </row>
    <row r="699" spans="1:4" x14ac:dyDescent="0.3">
      <c r="A699" s="21">
        <v>45444.09375</v>
      </c>
      <c r="B699" s="18">
        <v>69.299138999999997</v>
      </c>
      <c r="C699" s="19"/>
      <c r="D699" s="20"/>
    </row>
    <row r="700" spans="1:4" x14ac:dyDescent="0.3">
      <c r="A700" s="21">
        <v>45444.094444000002</v>
      </c>
      <c r="B700" s="18">
        <v>69.143609999999995</v>
      </c>
      <c r="C700" s="19"/>
      <c r="D700" s="20"/>
    </row>
    <row r="701" spans="1:4" x14ac:dyDescent="0.3">
      <c r="A701" s="21">
        <v>45444.095138999997</v>
      </c>
      <c r="B701" s="18">
        <v>69.653345999999999</v>
      </c>
      <c r="C701" s="19"/>
      <c r="D701" s="20"/>
    </row>
    <row r="702" spans="1:4" x14ac:dyDescent="0.3">
      <c r="A702" s="21">
        <v>45444.095832999999</v>
      </c>
      <c r="B702" s="18">
        <v>69.330224999999999</v>
      </c>
      <c r="C702" s="19"/>
      <c r="D702" s="20"/>
    </row>
    <row r="703" spans="1:4" x14ac:dyDescent="0.3">
      <c r="A703" s="21">
        <v>45444.096528000002</v>
      </c>
      <c r="B703" s="18">
        <v>69.119462999999996</v>
      </c>
      <c r="C703" s="19"/>
      <c r="D703" s="20"/>
    </row>
    <row r="704" spans="1:4" x14ac:dyDescent="0.3">
      <c r="A704" s="21">
        <v>45444.097221999997</v>
      </c>
      <c r="B704" s="18">
        <v>69.220438000000001</v>
      </c>
      <c r="C704" s="19"/>
      <c r="D704" s="20"/>
    </row>
    <row r="705" spans="1:4" x14ac:dyDescent="0.3">
      <c r="A705" s="21">
        <v>45444.097916999999</v>
      </c>
      <c r="B705" s="18">
        <v>69.158738</v>
      </c>
      <c r="C705" s="19"/>
      <c r="D705" s="20"/>
    </row>
    <row r="706" spans="1:4" x14ac:dyDescent="0.3">
      <c r="A706" s="21">
        <v>45444.098611000001</v>
      </c>
      <c r="B706" s="18">
        <v>69.326747999999995</v>
      </c>
      <c r="C706" s="19"/>
      <c r="D706" s="20"/>
    </row>
    <row r="707" spans="1:4" x14ac:dyDescent="0.3">
      <c r="A707" s="21">
        <v>45444.099305999996</v>
      </c>
      <c r="B707" s="18">
        <v>69.470747000000003</v>
      </c>
      <c r="C707" s="19"/>
      <c r="D707" s="20"/>
    </row>
    <row r="708" spans="1:4" x14ac:dyDescent="0.3">
      <c r="A708" s="21">
        <v>45444.1</v>
      </c>
      <c r="B708" s="18">
        <v>69.229202000000001</v>
      </c>
      <c r="C708" s="19"/>
      <c r="D708" s="20"/>
    </row>
    <row r="709" spans="1:4" x14ac:dyDescent="0.3">
      <c r="A709" s="21">
        <v>45444.100694000001</v>
      </c>
      <c r="B709" s="18">
        <v>69.131403000000006</v>
      </c>
      <c r="C709" s="19"/>
      <c r="D709" s="20"/>
    </row>
    <row r="710" spans="1:4" x14ac:dyDescent="0.3">
      <c r="A710" s="21">
        <v>45444.101389000003</v>
      </c>
      <c r="B710" s="18">
        <v>68.900073000000006</v>
      </c>
      <c r="C710" s="19"/>
      <c r="D710" s="20"/>
    </row>
    <row r="711" spans="1:4" x14ac:dyDescent="0.3">
      <c r="A711" s="21">
        <v>45444.102082999998</v>
      </c>
      <c r="B711" s="18">
        <v>69.518038000000004</v>
      </c>
      <c r="C711" s="19"/>
      <c r="D711" s="20"/>
    </row>
    <row r="712" spans="1:4" x14ac:dyDescent="0.3">
      <c r="A712" s="21">
        <v>45444.102778</v>
      </c>
      <c r="B712" s="18">
        <v>69.065815000000001</v>
      </c>
      <c r="C712" s="19"/>
      <c r="D712" s="20"/>
    </row>
    <row r="713" spans="1:4" x14ac:dyDescent="0.3">
      <c r="A713" s="21">
        <v>45444.103472000003</v>
      </c>
      <c r="B713" s="18">
        <v>69.249335000000002</v>
      </c>
      <c r="C713" s="19"/>
      <c r="D713" s="20"/>
    </row>
    <row r="714" spans="1:4" x14ac:dyDescent="0.3">
      <c r="A714" s="21">
        <v>45444.104166999998</v>
      </c>
      <c r="B714" s="18">
        <v>69.095819000000006</v>
      </c>
      <c r="C714" s="19"/>
      <c r="D714" s="20"/>
    </row>
    <row r="715" spans="1:4" x14ac:dyDescent="0.3">
      <c r="A715" s="21">
        <v>45444.104861</v>
      </c>
      <c r="B715" s="18">
        <v>69.975229999999996</v>
      </c>
      <c r="C715" s="19"/>
      <c r="D715" s="20"/>
    </row>
    <row r="716" spans="1:4" x14ac:dyDescent="0.3">
      <c r="A716" s="21">
        <v>45444.105556000002</v>
      </c>
      <c r="B716" s="18">
        <v>69.183537000000001</v>
      </c>
      <c r="C716" s="19"/>
      <c r="D716" s="20"/>
    </row>
    <row r="717" spans="1:4" x14ac:dyDescent="0.3">
      <c r="A717" s="21">
        <v>45444.106249999997</v>
      </c>
      <c r="B717" s="18">
        <v>69.176687000000001</v>
      </c>
      <c r="C717" s="19"/>
      <c r="D717" s="20"/>
    </row>
    <row r="718" spans="1:4" x14ac:dyDescent="0.3">
      <c r="A718" s="21">
        <v>45444.106943999999</v>
      </c>
      <c r="B718" s="18">
        <v>69.164533000000006</v>
      </c>
      <c r="C718" s="19"/>
      <c r="D718" s="20"/>
    </row>
    <row r="719" spans="1:4" x14ac:dyDescent="0.3">
      <c r="A719" s="21">
        <v>45444.107639000002</v>
      </c>
      <c r="B719" s="18">
        <v>69.209473000000003</v>
      </c>
      <c r="C719" s="19"/>
      <c r="D719" s="20"/>
    </row>
    <row r="720" spans="1:4" x14ac:dyDescent="0.3">
      <c r="A720" s="21">
        <v>45444.108332999996</v>
      </c>
      <c r="B720" s="18">
        <v>69.464507999999995</v>
      </c>
      <c r="C720" s="19"/>
      <c r="D720" s="20"/>
    </row>
    <row r="721" spans="1:4" x14ac:dyDescent="0.3">
      <c r="A721" s="21">
        <v>45444.109027999999</v>
      </c>
      <c r="B721" s="18">
        <v>69.355423999999999</v>
      </c>
      <c r="C721" s="19"/>
      <c r="D721" s="20"/>
    </row>
    <row r="722" spans="1:4" x14ac:dyDescent="0.3">
      <c r="A722" s="21">
        <v>45444.109722000001</v>
      </c>
      <c r="B722" s="18">
        <v>69.378902999999994</v>
      </c>
      <c r="C722" s="19"/>
      <c r="D722" s="20"/>
    </row>
    <row r="723" spans="1:4" x14ac:dyDescent="0.3">
      <c r="A723" s="21">
        <v>45444.110417000004</v>
      </c>
      <c r="B723" s="18">
        <v>69.557393000000005</v>
      </c>
      <c r="C723" s="19"/>
      <c r="D723" s="20"/>
    </row>
    <row r="724" spans="1:4" x14ac:dyDescent="0.3">
      <c r="A724" s="21">
        <v>45444.111110999998</v>
      </c>
      <c r="B724" s="18">
        <v>69.035484999999994</v>
      </c>
      <c r="C724" s="19"/>
      <c r="D724" s="20"/>
    </row>
    <row r="725" spans="1:4" x14ac:dyDescent="0.3">
      <c r="A725" s="21">
        <v>45444.111806000001</v>
      </c>
      <c r="B725" s="18">
        <v>69.081423000000001</v>
      </c>
      <c r="C725" s="19"/>
      <c r="D725" s="20"/>
    </row>
    <row r="726" spans="1:4" x14ac:dyDescent="0.3">
      <c r="A726" s="21">
        <v>45444.112500000003</v>
      </c>
      <c r="B726" s="18">
        <v>69.539957999999999</v>
      </c>
      <c r="C726" s="19"/>
      <c r="D726" s="20"/>
    </row>
    <row r="727" spans="1:4" x14ac:dyDescent="0.3">
      <c r="A727" s="21">
        <v>45444.113193999998</v>
      </c>
      <c r="B727" s="18">
        <v>69.350740999999999</v>
      </c>
      <c r="C727" s="19"/>
      <c r="D727" s="20"/>
    </row>
    <row r="728" spans="1:4" x14ac:dyDescent="0.3">
      <c r="A728" s="21">
        <v>45444.113889</v>
      </c>
      <c r="B728" s="18">
        <v>69.546282000000005</v>
      </c>
      <c r="C728" s="19"/>
      <c r="D728" s="20"/>
    </row>
    <row r="729" spans="1:4" x14ac:dyDescent="0.3">
      <c r="A729" s="21">
        <v>45444.114583000002</v>
      </c>
      <c r="B729" s="18">
        <v>69.504941000000002</v>
      </c>
      <c r="C729" s="19"/>
      <c r="D729" s="20"/>
    </row>
    <row r="730" spans="1:4" x14ac:dyDescent="0.3">
      <c r="A730" s="21">
        <v>45444.115277999997</v>
      </c>
      <c r="B730" s="18">
        <v>68.961276999999995</v>
      </c>
      <c r="C730" s="19"/>
      <c r="D730" s="20"/>
    </row>
    <row r="731" spans="1:4" x14ac:dyDescent="0.3">
      <c r="A731" s="21">
        <v>45444.115972</v>
      </c>
      <c r="B731" s="18">
        <v>69.442014</v>
      </c>
      <c r="C731" s="19"/>
      <c r="D731" s="20"/>
    </row>
    <row r="732" spans="1:4" x14ac:dyDescent="0.3">
      <c r="A732" s="21">
        <v>45444.116667000002</v>
      </c>
      <c r="B732" s="18">
        <v>69.495429999999999</v>
      </c>
      <c r="C732" s="19"/>
      <c r="D732" s="20"/>
    </row>
    <row r="733" spans="1:4" x14ac:dyDescent="0.3">
      <c r="A733" s="21">
        <v>45444.117360999997</v>
      </c>
      <c r="B733" s="18">
        <v>69.370019999999997</v>
      </c>
      <c r="C733" s="19"/>
      <c r="D733" s="20"/>
    </row>
    <row r="734" spans="1:4" x14ac:dyDescent="0.3">
      <c r="A734" s="21">
        <v>45444.118055999999</v>
      </c>
      <c r="B734" s="18">
        <v>68.997693999999996</v>
      </c>
      <c r="C734" s="19"/>
      <c r="D734" s="20"/>
    </row>
    <row r="735" spans="1:4" x14ac:dyDescent="0.3">
      <c r="A735" s="21">
        <v>45444.118750000001</v>
      </c>
      <c r="B735" s="18">
        <v>69.183418000000003</v>
      </c>
      <c r="C735" s="19"/>
      <c r="D735" s="20"/>
    </row>
    <row r="736" spans="1:4" x14ac:dyDescent="0.3">
      <c r="A736" s="21">
        <v>45444.119444000004</v>
      </c>
      <c r="B736" s="18">
        <v>69.242444000000006</v>
      </c>
      <c r="C736" s="19"/>
      <c r="D736" s="20"/>
    </row>
    <row r="737" spans="1:4" x14ac:dyDescent="0.3">
      <c r="A737" s="21">
        <v>45444.120138999999</v>
      </c>
      <c r="B737" s="18">
        <v>69.406062000000006</v>
      </c>
      <c r="C737" s="19"/>
      <c r="D737" s="20"/>
    </row>
    <row r="738" spans="1:4" x14ac:dyDescent="0.3">
      <c r="A738" s="21">
        <v>45444.120833000001</v>
      </c>
      <c r="B738" s="18">
        <v>69.359205000000003</v>
      </c>
      <c r="C738" s="19"/>
      <c r="D738" s="20"/>
    </row>
    <row r="739" spans="1:4" x14ac:dyDescent="0.3">
      <c r="A739" s="21">
        <v>45444.121528000003</v>
      </c>
      <c r="B739" s="18">
        <v>69.615499</v>
      </c>
      <c r="C739" s="19"/>
      <c r="D739" s="20"/>
    </row>
    <row r="740" spans="1:4" x14ac:dyDescent="0.3">
      <c r="A740" s="21">
        <v>45444.122221999998</v>
      </c>
      <c r="B740" s="18">
        <v>69.294382999999996</v>
      </c>
      <c r="C740" s="19"/>
      <c r="D740" s="20"/>
    </row>
    <row r="741" spans="1:4" x14ac:dyDescent="0.3">
      <c r="A741" s="21">
        <v>45444.122917000001</v>
      </c>
      <c r="B741" s="18">
        <v>71.663251000000002</v>
      </c>
      <c r="C741" s="19"/>
      <c r="D741" s="20"/>
    </row>
    <row r="742" spans="1:4" x14ac:dyDescent="0.3">
      <c r="A742" s="21">
        <v>45444.123611000003</v>
      </c>
      <c r="B742" s="18">
        <v>74.997350999999995</v>
      </c>
      <c r="C742" s="19"/>
      <c r="D742" s="20"/>
    </row>
    <row r="743" spans="1:4" x14ac:dyDescent="0.3">
      <c r="A743" s="21">
        <v>45444.124305999998</v>
      </c>
      <c r="B743" s="18">
        <v>74.624044999999995</v>
      </c>
      <c r="C743" s="19"/>
      <c r="D743" s="20"/>
    </row>
    <row r="744" spans="1:4" x14ac:dyDescent="0.3">
      <c r="A744" s="21">
        <v>45444.125</v>
      </c>
      <c r="B744" s="18">
        <v>74.796726000000007</v>
      </c>
      <c r="C744" s="19"/>
      <c r="D744" s="20"/>
    </row>
    <row r="745" spans="1:4" x14ac:dyDescent="0.3">
      <c r="A745" s="21">
        <v>45444.125694000002</v>
      </c>
      <c r="B745" s="18">
        <v>74.873067000000006</v>
      </c>
      <c r="C745" s="19"/>
      <c r="D745" s="20"/>
    </row>
    <row r="746" spans="1:4" x14ac:dyDescent="0.3">
      <c r="A746" s="21">
        <v>45444.126388999997</v>
      </c>
      <c r="B746" s="18">
        <v>74.922652999999997</v>
      </c>
      <c r="C746" s="19"/>
      <c r="D746" s="20"/>
    </row>
    <row r="747" spans="1:4" x14ac:dyDescent="0.3">
      <c r="A747" s="21">
        <v>45444.127082999999</v>
      </c>
      <c r="B747" s="18">
        <v>75.031047999999998</v>
      </c>
      <c r="C747" s="19"/>
      <c r="D747" s="20"/>
    </row>
    <row r="748" spans="1:4" x14ac:dyDescent="0.3">
      <c r="A748" s="21">
        <v>45444.127778000002</v>
      </c>
      <c r="B748" s="18">
        <v>74.959924999999998</v>
      </c>
      <c r="C748" s="19"/>
      <c r="D748" s="20"/>
    </row>
    <row r="749" spans="1:4" x14ac:dyDescent="0.3">
      <c r="A749" s="21">
        <v>45444.128471999997</v>
      </c>
      <c r="B749" s="18">
        <v>74.831490000000002</v>
      </c>
      <c r="C749" s="19"/>
      <c r="D749" s="20"/>
    </row>
    <row r="750" spans="1:4" x14ac:dyDescent="0.3">
      <c r="A750" s="21">
        <v>45444.129166999999</v>
      </c>
      <c r="B750" s="18">
        <v>74.882054999999994</v>
      </c>
      <c r="C750" s="19"/>
      <c r="D750" s="20"/>
    </row>
    <row r="751" spans="1:4" x14ac:dyDescent="0.3">
      <c r="A751" s="21">
        <v>45444.129861000001</v>
      </c>
      <c r="B751" s="18">
        <v>74.483159000000001</v>
      </c>
      <c r="C751" s="19"/>
      <c r="D751" s="20"/>
    </row>
    <row r="752" spans="1:4" x14ac:dyDescent="0.3">
      <c r="A752" s="21">
        <v>45444.130555999996</v>
      </c>
      <c r="B752" s="18">
        <v>74.799809999999994</v>
      </c>
      <c r="C752" s="19"/>
      <c r="D752" s="20"/>
    </row>
    <row r="753" spans="1:4" x14ac:dyDescent="0.3">
      <c r="A753" s="21">
        <v>45444.131249999999</v>
      </c>
      <c r="B753" s="18">
        <v>74.529024000000007</v>
      </c>
      <c r="C753" s="19"/>
      <c r="D753" s="20"/>
    </row>
    <row r="754" spans="1:4" x14ac:dyDescent="0.3">
      <c r="A754" s="21">
        <v>45444.131944000001</v>
      </c>
      <c r="B754" s="18">
        <v>74.501188999999997</v>
      </c>
      <c r="C754" s="19"/>
      <c r="D754" s="20"/>
    </row>
    <row r="755" spans="1:4" x14ac:dyDescent="0.3">
      <c r="A755" s="21">
        <v>45444.132639000003</v>
      </c>
      <c r="B755" s="18">
        <v>74.696633000000006</v>
      </c>
      <c r="C755" s="19"/>
      <c r="D755" s="20"/>
    </row>
    <row r="756" spans="1:4" x14ac:dyDescent="0.3">
      <c r="A756" s="21">
        <v>45444.133332999998</v>
      </c>
      <c r="B756" s="18">
        <v>74.677010999999993</v>
      </c>
      <c r="C756" s="19"/>
      <c r="D756" s="20"/>
    </row>
    <row r="757" spans="1:4" x14ac:dyDescent="0.3">
      <c r="A757" s="21">
        <v>45444.134028</v>
      </c>
      <c r="B757" s="18">
        <v>74.465069999999997</v>
      </c>
      <c r="C757" s="19"/>
      <c r="D757" s="20"/>
    </row>
    <row r="758" spans="1:4" x14ac:dyDescent="0.3">
      <c r="A758" s="21">
        <v>45444.134722000003</v>
      </c>
      <c r="B758" s="18">
        <v>74.643294999999995</v>
      </c>
      <c r="C758" s="19"/>
      <c r="D758" s="20"/>
    </row>
    <row r="759" spans="1:4" x14ac:dyDescent="0.3">
      <c r="A759" s="21">
        <v>45444.135416999998</v>
      </c>
      <c r="B759" s="18">
        <v>74.369023999999996</v>
      </c>
      <c r="C759" s="19"/>
      <c r="D759" s="20"/>
    </row>
    <row r="760" spans="1:4" x14ac:dyDescent="0.3">
      <c r="A760" s="21">
        <v>45444.136111</v>
      </c>
      <c r="B760" s="18">
        <v>74.408101000000002</v>
      </c>
      <c r="C760" s="19"/>
      <c r="D760" s="20"/>
    </row>
    <row r="761" spans="1:4" x14ac:dyDescent="0.3">
      <c r="A761" s="21">
        <v>45444.136806000002</v>
      </c>
      <c r="B761" s="18">
        <v>74.260520999999997</v>
      </c>
      <c r="C761" s="19"/>
      <c r="D761" s="20"/>
    </row>
    <row r="762" spans="1:4" x14ac:dyDescent="0.3">
      <c r="A762" s="21">
        <v>45444.137499999997</v>
      </c>
      <c r="B762" s="18">
        <v>74.082650999999998</v>
      </c>
      <c r="C762" s="19"/>
      <c r="D762" s="20"/>
    </row>
    <row r="763" spans="1:4" x14ac:dyDescent="0.3">
      <c r="A763" s="21">
        <v>45444.138193999999</v>
      </c>
      <c r="B763" s="18">
        <v>74.634180999999998</v>
      </c>
      <c r="C763" s="19"/>
      <c r="D763" s="20"/>
    </row>
    <row r="764" spans="1:4" x14ac:dyDescent="0.3">
      <c r="A764" s="21">
        <v>45444.138889000002</v>
      </c>
      <c r="B764" s="18">
        <v>74.260007999999999</v>
      </c>
      <c r="C764" s="19"/>
      <c r="D764" s="20"/>
    </row>
    <row r="765" spans="1:4" x14ac:dyDescent="0.3">
      <c r="A765" s="21">
        <v>45444.139582999996</v>
      </c>
      <c r="B765" s="18">
        <v>74.282904000000002</v>
      </c>
      <c r="C765" s="19"/>
      <c r="D765" s="20"/>
    </row>
    <row r="766" spans="1:4" x14ac:dyDescent="0.3">
      <c r="A766" s="21">
        <v>45444.140277999999</v>
      </c>
      <c r="B766" s="18">
        <v>74.225662999999997</v>
      </c>
      <c r="C766" s="19"/>
      <c r="D766" s="20"/>
    </row>
    <row r="767" spans="1:4" x14ac:dyDescent="0.3">
      <c r="A767" s="21">
        <v>45444.140972000001</v>
      </c>
      <c r="B767" s="18">
        <v>74.916483999999997</v>
      </c>
      <c r="C767" s="19"/>
      <c r="D767" s="20"/>
    </row>
    <row r="768" spans="1:4" x14ac:dyDescent="0.3">
      <c r="A768" s="21">
        <v>45444.141667000004</v>
      </c>
      <c r="B768" s="18">
        <v>74.254920999999996</v>
      </c>
      <c r="C768" s="19"/>
      <c r="D768" s="20"/>
    </row>
    <row r="769" spans="1:4" x14ac:dyDescent="0.3">
      <c r="A769" s="21">
        <v>45444.142360999998</v>
      </c>
      <c r="B769" s="18">
        <v>73.744997999999995</v>
      </c>
      <c r="C769" s="19"/>
      <c r="D769" s="20"/>
    </row>
    <row r="770" spans="1:4" x14ac:dyDescent="0.3">
      <c r="A770" s="21">
        <v>45444.143056000001</v>
      </c>
      <c r="B770" s="18">
        <v>74.228554000000003</v>
      </c>
      <c r="C770" s="19"/>
      <c r="D770" s="20"/>
    </row>
    <row r="771" spans="1:4" x14ac:dyDescent="0.3">
      <c r="A771" s="21">
        <v>45444.143750000003</v>
      </c>
      <c r="B771" s="18">
        <v>74.405472000000003</v>
      </c>
      <c r="C771" s="19"/>
      <c r="D771" s="20"/>
    </row>
    <row r="772" spans="1:4" x14ac:dyDescent="0.3">
      <c r="A772" s="21">
        <v>45444.144443999998</v>
      </c>
      <c r="B772" s="18">
        <v>74.076414</v>
      </c>
      <c r="C772" s="19"/>
      <c r="D772" s="20"/>
    </row>
    <row r="773" spans="1:4" x14ac:dyDescent="0.3">
      <c r="A773" s="21">
        <v>45444.145139</v>
      </c>
      <c r="B773" s="18">
        <v>73.883043000000001</v>
      </c>
      <c r="C773" s="19"/>
      <c r="D773" s="20"/>
    </row>
    <row r="774" spans="1:4" x14ac:dyDescent="0.3">
      <c r="A774" s="21">
        <v>45444.145833000002</v>
      </c>
      <c r="B774" s="18">
        <v>74.067009999999996</v>
      </c>
      <c r="C774" s="19"/>
      <c r="D774" s="20"/>
    </row>
    <row r="775" spans="1:4" x14ac:dyDescent="0.3">
      <c r="A775" s="21">
        <v>45444.146527999997</v>
      </c>
      <c r="B775" s="18">
        <v>74.162916999999993</v>
      </c>
      <c r="C775" s="19"/>
      <c r="D775" s="20"/>
    </row>
    <row r="776" spans="1:4" x14ac:dyDescent="0.3">
      <c r="A776" s="21">
        <v>45444.147222</v>
      </c>
      <c r="B776" s="18">
        <v>73.806461999999996</v>
      </c>
      <c r="C776" s="19"/>
      <c r="D776" s="20"/>
    </row>
    <row r="777" spans="1:4" x14ac:dyDescent="0.3">
      <c r="A777" s="21">
        <v>45444.147917000002</v>
      </c>
      <c r="B777" s="18">
        <v>74.129110999999995</v>
      </c>
      <c r="C777" s="19"/>
      <c r="D777" s="20"/>
    </row>
    <row r="778" spans="1:4" x14ac:dyDescent="0.3">
      <c r="A778" s="21">
        <v>45444.148610999997</v>
      </c>
      <c r="B778" s="18">
        <v>74.149216999999993</v>
      </c>
      <c r="C778" s="19"/>
      <c r="D778" s="20"/>
    </row>
    <row r="779" spans="1:4" x14ac:dyDescent="0.3">
      <c r="A779" s="21">
        <v>45444.149305999999</v>
      </c>
      <c r="B779" s="18">
        <v>73.877843999999996</v>
      </c>
      <c r="C779" s="19"/>
      <c r="D779" s="20"/>
    </row>
    <row r="780" spans="1:4" x14ac:dyDescent="0.3">
      <c r="A780" s="21">
        <v>45444.15</v>
      </c>
      <c r="B780" s="18">
        <v>73.838014999999999</v>
      </c>
      <c r="C780" s="19"/>
      <c r="D780" s="20"/>
    </row>
    <row r="781" spans="1:4" x14ac:dyDescent="0.3">
      <c r="A781" s="21">
        <v>45444.150694000004</v>
      </c>
      <c r="B781" s="18">
        <v>73.692048999999997</v>
      </c>
      <c r="C781" s="19"/>
      <c r="D781" s="20"/>
    </row>
    <row r="782" spans="1:4" x14ac:dyDescent="0.3">
      <c r="A782" s="21">
        <v>45444.151388999999</v>
      </c>
      <c r="B782" s="18">
        <v>73.839943000000005</v>
      </c>
      <c r="C782" s="19"/>
      <c r="D782" s="20"/>
    </row>
    <row r="783" spans="1:4" x14ac:dyDescent="0.3">
      <c r="A783" s="21">
        <v>45444.152083000001</v>
      </c>
      <c r="B783" s="18">
        <v>73.991121000000007</v>
      </c>
      <c r="C783" s="19"/>
      <c r="D783" s="20"/>
    </row>
    <row r="784" spans="1:4" x14ac:dyDescent="0.3">
      <c r="A784" s="21">
        <v>45444.152778000003</v>
      </c>
      <c r="B784" s="18">
        <v>73.782859000000002</v>
      </c>
      <c r="C784" s="19"/>
      <c r="D784" s="20"/>
    </row>
    <row r="785" spans="1:4" x14ac:dyDescent="0.3">
      <c r="A785" s="21">
        <v>45444.153471999998</v>
      </c>
      <c r="B785" s="18">
        <v>73.778898999999996</v>
      </c>
      <c r="C785" s="19"/>
      <c r="D785" s="20"/>
    </row>
    <row r="786" spans="1:4" x14ac:dyDescent="0.3">
      <c r="A786" s="21">
        <v>45444.154167000001</v>
      </c>
      <c r="B786" s="18">
        <v>73.643221999999994</v>
      </c>
      <c r="C786" s="19"/>
      <c r="D786" s="20"/>
    </row>
    <row r="787" spans="1:4" x14ac:dyDescent="0.3">
      <c r="A787" s="21">
        <v>45444.154861000003</v>
      </c>
      <c r="B787" s="18">
        <v>74.048495000000003</v>
      </c>
      <c r="C787" s="19"/>
      <c r="D787" s="20"/>
    </row>
    <row r="788" spans="1:4" x14ac:dyDescent="0.3">
      <c r="A788" s="21">
        <v>45444.155555999998</v>
      </c>
      <c r="B788" s="18">
        <v>73.815211000000005</v>
      </c>
      <c r="C788" s="19"/>
      <c r="D788" s="20"/>
    </row>
    <row r="789" spans="1:4" x14ac:dyDescent="0.3">
      <c r="A789" s="21">
        <v>45444.15625</v>
      </c>
      <c r="B789" s="18">
        <v>73.996435000000005</v>
      </c>
      <c r="C789" s="19"/>
      <c r="D789" s="20"/>
    </row>
    <row r="790" spans="1:4" x14ac:dyDescent="0.3">
      <c r="A790" s="21">
        <v>45444.156944000002</v>
      </c>
      <c r="B790" s="18">
        <v>73.862891000000005</v>
      </c>
      <c r="C790" s="19"/>
      <c r="D790" s="20"/>
    </row>
    <row r="791" spans="1:4" x14ac:dyDescent="0.3">
      <c r="A791" s="21">
        <v>45444.157638999997</v>
      </c>
      <c r="B791" s="18">
        <v>73.570200999999997</v>
      </c>
      <c r="C791" s="19"/>
      <c r="D791" s="20"/>
    </row>
    <row r="792" spans="1:4" x14ac:dyDescent="0.3">
      <c r="A792" s="21">
        <v>45444.158332999999</v>
      </c>
      <c r="B792" s="18">
        <v>73.810473000000002</v>
      </c>
      <c r="C792" s="19"/>
      <c r="D792" s="20"/>
    </row>
    <row r="793" spans="1:4" x14ac:dyDescent="0.3">
      <c r="A793" s="21">
        <v>45444.159028000002</v>
      </c>
      <c r="B793" s="18">
        <v>73.596573000000006</v>
      </c>
      <c r="C793" s="19"/>
      <c r="D793" s="20"/>
    </row>
    <row r="794" spans="1:4" x14ac:dyDescent="0.3">
      <c r="A794" s="21">
        <v>45444.159721999997</v>
      </c>
      <c r="B794" s="18">
        <v>73.651408000000004</v>
      </c>
      <c r="C794" s="19"/>
      <c r="D794" s="20"/>
    </row>
    <row r="795" spans="1:4" x14ac:dyDescent="0.3">
      <c r="A795" s="21">
        <v>45444.160416999999</v>
      </c>
      <c r="B795" s="18">
        <v>73.868362000000005</v>
      </c>
      <c r="C795" s="19"/>
      <c r="D795" s="20"/>
    </row>
    <row r="796" spans="1:4" x14ac:dyDescent="0.3">
      <c r="A796" s="21">
        <v>45444.161111000001</v>
      </c>
      <c r="B796" s="18">
        <v>73.868322000000006</v>
      </c>
      <c r="C796" s="19"/>
      <c r="D796" s="20"/>
    </row>
    <row r="797" spans="1:4" x14ac:dyDescent="0.3">
      <c r="A797" s="21">
        <v>45444.161805999996</v>
      </c>
      <c r="B797" s="18">
        <v>73.999032999999997</v>
      </c>
      <c r="C797" s="19"/>
      <c r="D797" s="20"/>
    </row>
    <row r="798" spans="1:4" x14ac:dyDescent="0.3">
      <c r="A798" s="21">
        <v>45444.162499999999</v>
      </c>
      <c r="B798" s="18">
        <v>73.615210000000005</v>
      </c>
      <c r="C798" s="19"/>
      <c r="D798" s="20"/>
    </row>
    <row r="799" spans="1:4" x14ac:dyDescent="0.3">
      <c r="A799" s="21">
        <v>45444.163194000001</v>
      </c>
      <c r="B799" s="18">
        <v>73.648313000000002</v>
      </c>
      <c r="C799" s="19"/>
      <c r="D799" s="20"/>
    </row>
    <row r="800" spans="1:4" x14ac:dyDescent="0.3">
      <c r="A800" s="21">
        <v>45444.163889000003</v>
      </c>
      <c r="B800" s="18">
        <v>73.608577999999994</v>
      </c>
      <c r="C800" s="19"/>
      <c r="D800" s="20"/>
    </row>
    <row r="801" spans="1:4" x14ac:dyDescent="0.3">
      <c r="A801" s="21">
        <v>45444.164582999998</v>
      </c>
      <c r="B801" s="18">
        <v>73.765910000000005</v>
      </c>
      <c r="C801" s="19"/>
      <c r="D801" s="20"/>
    </row>
    <row r="802" spans="1:4" x14ac:dyDescent="0.3">
      <c r="A802" s="21">
        <v>45444.165278</v>
      </c>
      <c r="B802" s="18">
        <v>73.738677999999993</v>
      </c>
      <c r="C802" s="19"/>
      <c r="D802" s="20"/>
    </row>
    <row r="803" spans="1:4" x14ac:dyDescent="0.3">
      <c r="A803" s="21">
        <v>45444.165972000003</v>
      </c>
      <c r="B803" s="18">
        <v>73.562612000000001</v>
      </c>
      <c r="C803" s="19"/>
      <c r="D803" s="20"/>
    </row>
    <row r="804" spans="1:4" x14ac:dyDescent="0.3">
      <c r="A804" s="21">
        <v>45444.166666999998</v>
      </c>
      <c r="B804" s="18">
        <v>73.512125999999995</v>
      </c>
      <c r="C804" s="19"/>
      <c r="D804" s="20"/>
    </row>
    <row r="805" spans="1:4" x14ac:dyDescent="0.3">
      <c r="A805" s="21">
        <v>45444.167361</v>
      </c>
      <c r="B805" s="18">
        <v>73.617322999999999</v>
      </c>
      <c r="C805" s="19"/>
      <c r="D805" s="20"/>
    </row>
    <row r="806" spans="1:4" x14ac:dyDescent="0.3">
      <c r="A806" s="21">
        <v>45444.168056000002</v>
      </c>
      <c r="B806" s="18">
        <v>73.435580999999999</v>
      </c>
      <c r="C806" s="19"/>
      <c r="D806" s="20"/>
    </row>
    <row r="807" spans="1:4" x14ac:dyDescent="0.3">
      <c r="A807" s="21">
        <v>45444.168749999997</v>
      </c>
      <c r="B807" s="18">
        <v>73.614520999999996</v>
      </c>
      <c r="C807" s="19"/>
      <c r="D807" s="20"/>
    </row>
    <row r="808" spans="1:4" x14ac:dyDescent="0.3">
      <c r="A808" s="21">
        <v>45444.169443999999</v>
      </c>
      <c r="B808" s="18">
        <v>73.777289999999994</v>
      </c>
      <c r="C808" s="19"/>
      <c r="D808" s="20"/>
    </row>
    <row r="809" spans="1:4" x14ac:dyDescent="0.3">
      <c r="A809" s="21">
        <v>45444.170139000002</v>
      </c>
      <c r="B809" s="18">
        <v>73.679950000000005</v>
      </c>
      <c r="C809" s="19"/>
      <c r="D809" s="20"/>
    </row>
    <row r="810" spans="1:4" x14ac:dyDescent="0.3">
      <c r="A810" s="21">
        <v>45444.170832999996</v>
      </c>
      <c r="B810" s="18">
        <v>73.549886000000001</v>
      </c>
      <c r="C810" s="19"/>
      <c r="D810" s="20"/>
    </row>
    <row r="811" spans="1:4" x14ac:dyDescent="0.3">
      <c r="A811" s="21">
        <v>45444.171527999999</v>
      </c>
      <c r="B811" s="18">
        <v>73.543948</v>
      </c>
      <c r="C811" s="19"/>
      <c r="D811" s="20"/>
    </row>
    <row r="812" spans="1:4" x14ac:dyDescent="0.3">
      <c r="A812" s="21">
        <v>45444.172222000001</v>
      </c>
      <c r="B812" s="18">
        <v>73.852776000000006</v>
      </c>
      <c r="C812" s="19"/>
      <c r="D812" s="20"/>
    </row>
    <row r="813" spans="1:4" x14ac:dyDescent="0.3">
      <c r="A813" s="21">
        <v>45444.172917000004</v>
      </c>
      <c r="B813" s="18">
        <v>73.451019000000002</v>
      </c>
      <c r="C813" s="19"/>
      <c r="D813" s="20"/>
    </row>
    <row r="814" spans="1:4" x14ac:dyDescent="0.3">
      <c r="A814" s="21">
        <v>45444.173610999998</v>
      </c>
      <c r="B814" s="18">
        <v>73.259376000000003</v>
      </c>
      <c r="C814" s="19"/>
      <c r="D814" s="20"/>
    </row>
    <row r="815" spans="1:4" x14ac:dyDescent="0.3">
      <c r="A815" s="21">
        <v>45444.174306000001</v>
      </c>
      <c r="B815" s="18">
        <v>73.904606000000001</v>
      </c>
      <c r="C815" s="19"/>
      <c r="D815" s="20"/>
    </row>
    <row r="816" spans="1:4" x14ac:dyDescent="0.3">
      <c r="A816" s="21">
        <v>45444.175000000003</v>
      </c>
      <c r="B816" s="18">
        <v>73.647135000000006</v>
      </c>
      <c r="C816" s="19"/>
      <c r="D816" s="20"/>
    </row>
    <row r="817" spans="1:4" x14ac:dyDescent="0.3">
      <c r="A817" s="21">
        <v>45444.175693999998</v>
      </c>
      <c r="B817" s="18">
        <v>73.524231999999998</v>
      </c>
      <c r="C817" s="19"/>
      <c r="D817" s="20"/>
    </row>
    <row r="818" spans="1:4" x14ac:dyDescent="0.3">
      <c r="A818" s="21">
        <v>45444.176389</v>
      </c>
      <c r="B818" s="18">
        <v>73.435896</v>
      </c>
      <c r="C818" s="19"/>
      <c r="D818" s="20"/>
    </row>
    <row r="819" spans="1:4" x14ac:dyDescent="0.3">
      <c r="A819" s="21">
        <v>45444.177083000002</v>
      </c>
      <c r="B819" s="18">
        <v>73.480170999999999</v>
      </c>
      <c r="C819" s="19"/>
      <c r="D819" s="20"/>
    </row>
    <row r="820" spans="1:4" x14ac:dyDescent="0.3">
      <c r="A820" s="21">
        <v>45444.177777999997</v>
      </c>
      <c r="B820" s="18">
        <v>73.436935000000005</v>
      </c>
      <c r="C820" s="19"/>
      <c r="D820" s="20"/>
    </row>
    <row r="821" spans="1:4" x14ac:dyDescent="0.3">
      <c r="A821" s="21">
        <v>45444.178472</v>
      </c>
      <c r="B821" s="18">
        <v>73.422077000000002</v>
      </c>
      <c r="C821" s="19"/>
      <c r="D821" s="20"/>
    </row>
    <row r="822" spans="1:4" x14ac:dyDescent="0.3">
      <c r="A822" s="21">
        <v>45444.179167000002</v>
      </c>
      <c r="B822" s="18">
        <v>73.499421999999996</v>
      </c>
      <c r="C822" s="19"/>
      <c r="D822" s="20"/>
    </row>
    <row r="823" spans="1:4" x14ac:dyDescent="0.3">
      <c r="A823" s="21">
        <v>45444.179860999997</v>
      </c>
      <c r="B823" s="18">
        <v>73.428038999999998</v>
      </c>
      <c r="C823" s="19"/>
      <c r="D823" s="20"/>
    </row>
    <row r="824" spans="1:4" x14ac:dyDescent="0.3">
      <c r="A824" s="21">
        <v>45444.180555999999</v>
      </c>
      <c r="B824" s="18">
        <v>73.431075000000007</v>
      </c>
      <c r="C824" s="19"/>
      <c r="D824" s="20"/>
    </row>
    <row r="825" spans="1:4" x14ac:dyDescent="0.3">
      <c r="A825" s="21">
        <v>45444.181250000001</v>
      </c>
      <c r="B825" s="18">
        <v>73.593249999999998</v>
      </c>
      <c r="C825" s="19"/>
      <c r="D825" s="20"/>
    </row>
    <row r="826" spans="1:4" x14ac:dyDescent="0.3">
      <c r="A826" s="21">
        <v>45444.181944000004</v>
      </c>
      <c r="B826" s="18">
        <v>73.580622000000005</v>
      </c>
      <c r="C826" s="19"/>
      <c r="D826" s="20"/>
    </row>
    <row r="827" spans="1:4" x14ac:dyDescent="0.3">
      <c r="A827" s="21">
        <v>45444.182638999999</v>
      </c>
      <c r="B827" s="18">
        <v>73.533807999999993</v>
      </c>
      <c r="C827" s="19"/>
      <c r="D827" s="20"/>
    </row>
    <row r="828" spans="1:4" x14ac:dyDescent="0.3">
      <c r="A828" s="21">
        <v>45444.183333000001</v>
      </c>
      <c r="B828" s="18">
        <v>73.39761</v>
      </c>
      <c r="C828" s="19"/>
      <c r="D828" s="20"/>
    </row>
    <row r="829" spans="1:4" x14ac:dyDescent="0.3">
      <c r="A829" s="21">
        <v>45444.184028000003</v>
      </c>
      <c r="B829" s="18">
        <v>73.467140000000001</v>
      </c>
      <c r="C829" s="19"/>
      <c r="D829" s="20"/>
    </row>
    <row r="830" spans="1:4" x14ac:dyDescent="0.3">
      <c r="A830" s="21">
        <v>45444.184721999998</v>
      </c>
      <c r="B830" s="18">
        <v>73.430820999999995</v>
      </c>
      <c r="C830" s="19"/>
      <c r="D830" s="20"/>
    </row>
    <row r="831" spans="1:4" x14ac:dyDescent="0.3">
      <c r="A831" s="21">
        <v>45444.185417000001</v>
      </c>
      <c r="B831" s="18">
        <v>73.427430999999999</v>
      </c>
      <c r="C831" s="19"/>
      <c r="D831" s="20"/>
    </row>
    <row r="832" spans="1:4" x14ac:dyDescent="0.3">
      <c r="A832" s="21">
        <v>45444.186111000003</v>
      </c>
      <c r="B832" s="18">
        <v>73.491974999999996</v>
      </c>
      <c r="C832" s="19"/>
      <c r="D832" s="20"/>
    </row>
    <row r="833" spans="1:4" x14ac:dyDescent="0.3">
      <c r="A833" s="21">
        <v>45444.186805999998</v>
      </c>
      <c r="B833" s="18">
        <v>73.617101000000005</v>
      </c>
      <c r="C833" s="19"/>
      <c r="D833" s="20"/>
    </row>
    <row r="834" spans="1:4" x14ac:dyDescent="0.3">
      <c r="A834" s="21">
        <v>45444.1875</v>
      </c>
      <c r="B834" s="18">
        <v>73.754686000000007</v>
      </c>
      <c r="C834" s="19"/>
      <c r="D834" s="20"/>
    </row>
    <row r="835" spans="1:4" x14ac:dyDescent="0.3">
      <c r="A835" s="21">
        <v>45444.188194000002</v>
      </c>
      <c r="B835" s="18">
        <v>73.441399000000004</v>
      </c>
      <c r="C835" s="19"/>
      <c r="D835" s="20"/>
    </row>
    <row r="836" spans="1:4" x14ac:dyDescent="0.3">
      <c r="A836" s="21">
        <v>45444.188888999997</v>
      </c>
      <c r="B836" s="18">
        <v>73.660212000000001</v>
      </c>
      <c r="C836" s="19"/>
      <c r="D836" s="20"/>
    </row>
    <row r="837" spans="1:4" x14ac:dyDescent="0.3">
      <c r="A837" s="21">
        <v>45444.189582999999</v>
      </c>
      <c r="B837" s="18">
        <v>73.670919999999995</v>
      </c>
      <c r="C837" s="19"/>
      <c r="D837" s="20"/>
    </row>
    <row r="838" spans="1:4" x14ac:dyDescent="0.3">
      <c r="A838" s="21">
        <v>45444.190278000002</v>
      </c>
      <c r="B838" s="18">
        <v>73.671943999999996</v>
      </c>
      <c r="C838" s="19"/>
      <c r="D838" s="20"/>
    </row>
    <row r="839" spans="1:4" x14ac:dyDescent="0.3">
      <c r="A839" s="21">
        <v>45444.190971999997</v>
      </c>
      <c r="B839" s="18">
        <v>73.311412000000004</v>
      </c>
      <c r="C839" s="19"/>
      <c r="D839" s="20"/>
    </row>
    <row r="840" spans="1:4" x14ac:dyDescent="0.3">
      <c r="A840" s="21">
        <v>45444.191666999999</v>
      </c>
      <c r="B840" s="18">
        <v>73.949003000000005</v>
      </c>
      <c r="C840" s="19"/>
      <c r="D840" s="20"/>
    </row>
    <row r="841" spans="1:4" x14ac:dyDescent="0.3">
      <c r="A841" s="21">
        <v>45444.192361000001</v>
      </c>
      <c r="B841" s="18">
        <v>73.529922999999997</v>
      </c>
      <c r="C841" s="19"/>
      <c r="D841" s="20"/>
    </row>
    <row r="842" spans="1:4" x14ac:dyDescent="0.3">
      <c r="A842" s="21">
        <v>45444.193055999996</v>
      </c>
      <c r="B842" s="18">
        <v>73.327044000000001</v>
      </c>
      <c r="C842" s="19"/>
      <c r="D842" s="20"/>
    </row>
    <row r="843" spans="1:4" x14ac:dyDescent="0.3">
      <c r="A843" s="21">
        <v>45444.193749999999</v>
      </c>
      <c r="B843" s="18">
        <v>73.370275000000007</v>
      </c>
      <c r="C843" s="19"/>
      <c r="D843" s="20"/>
    </row>
    <row r="844" spans="1:4" x14ac:dyDescent="0.3">
      <c r="A844" s="21">
        <v>45444.194444000001</v>
      </c>
      <c r="B844" s="18">
        <v>73.498343000000006</v>
      </c>
      <c r="C844" s="19"/>
      <c r="D844" s="20"/>
    </row>
    <row r="845" spans="1:4" x14ac:dyDescent="0.3">
      <c r="A845" s="21">
        <v>45444.195139000003</v>
      </c>
      <c r="B845" s="18">
        <v>73.199169999999995</v>
      </c>
      <c r="C845" s="19"/>
      <c r="D845" s="20"/>
    </row>
    <row r="846" spans="1:4" x14ac:dyDescent="0.3">
      <c r="A846" s="21">
        <v>45444.195832999998</v>
      </c>
      <c r="B846" s="18">
        <v>73.288629999999998</v>
      </c>
      <c r="C846" s="19"/>
      <c r="D846" s="20"/>
    </row>
    <row r="847" spans="1:4" x14ac:dyDescent="0.3">
      <c r="A847" s="21">
        <v>45444.196528</v>
      </c>
      <c r="B847" s="18">
        <v>73.254945000000006</v>
      </c>
      <c r="C847" s="19"/>
      <c r="D847" s="20"/>
    </row>
    <row r="848" spans="1:4" x14ac:dyDescent="0.3">
      <c r="A848" s="21">
        <v>45444.197222000003</v>
      </c>
      <c r="B848" s="18">
        <v>73.294741999999999</v>
      </c>
      <c r="C848" s="19"/>
      <c r="D848" s="20"/>
    </row>
    <row r="849" spans="1:4" x14ac:dyDescent="0.3">
      <c r="A849" s="21">
        <v>45444.197916999998</v>
      </c>
      <c r="B849" s="18">
        <v>73.445003999999997</v>
      </c>
      <c r="C849" s="19"/>
      <c r="D849" s="20"/>
    </row>
    <row r="850" spans="1:4" x14ac:dyDescent="0.3">
      <c r="A850" s="21">
        <v>45444.198611</v>
      </c>
      <c r="B850" s="18">
        <v>73.354521000000005</v>
      </c>
      <c r="C850" s="19"/>
      <c r="D850" s="20"/>
    </row>
    <row r="851" spans="1:4" x14ac:dyDescent="0.3">
      <c r="A851" s="21">
        <v>45444.199306000002</v>
      </c>
      <c r="B851" s="18">
        <v>73.296475999999998</v>
      </c>
      <c r="C851" s="19"/>
      <c r="D851" s="20"/>
    </row>
    <row r="852" spans="1:4" x14ac:dyDescent="0.3">
      <c r="A852" s="21">
        <v>45444.2</v>
      </c>
      <c r="B852" s="18">
        <v>73.488298</v>
      </c>
      <c r="C852" s="19"/>
      <c r="D852" s="20"/>
    </row>
    <row r="853" spans="1:4" x14ac:dyDescent="0.3">
      <c r="A853" s="21">
        <v>45444.200693999999</v>
      </c>
      <c r="B853" s="18">
        <v>73.063059999999993</v>
      </c>
      <c r="C853" s="19"/>
      <c r="D853" s="20"/>
    </row>
    <row r="854" spans="1:4" x14ac:dyDescent="0.3">
      <c r="A854" s="21">
        <v>45444.201389000002</v>
      </c>
      <c r="B854" s="18">
        <v>73.322601000000006</v>
      </c>
      <c r="C854" s="19"/>
      <c r="D854" s="20"/>
    </row>
    <row r="855" spans="1:4" x14ac:dyDescent="0.3">
      <c r="A855" s="21">
        <v>45444.202082999996</v>
      </c>
      <c r="B855" s="18">
        <v>73.346591000000004</v>
      </c>
      <c r="C855" s="19"/>
      <c r="D855" s="20"/>
    </row>
    <row r="856" spans="1:4" x14ac:dyDescent="0.3">
      <c r="A856" s="21">
        <v>45444.202777999999</v>
      </c>
      <c r="B856" s="18">
        <v>73.412171000000001</v>
      </c>
      <c r="C856" s="19"/>
      <c r="D856" s="20"/>
    </row>
    <row r="857" spans="1:4" x14ac:dyDescent="0.3">
      <c r="A857" s="21">
        <v>45444.203472000001</v>
      </c>
      <c r="B857" s="18">
        <v>73.481280999999996</v>
      </c>
      <c r="C857" s="19"/>
      <c r="D857" s="20"/>
    </row>
    <row r="858" spans="1:4" x14ac:dyDescent="0.3">
      <c r="A858" s="21">
        <v>45444.204167000004</v>
      </c>
      <c r="B858" s="18">
        <v>73.701517999999993</v>
      </c>
      <c r="C858" s="19"/>
      <c r="D858" s="20"/>
    </row>
    <row r="859" spans="1:4" x14ac:dyDescent="0.3">
      <c r="A859" s="21">
        <v>45444.204860999998</v>
      </c>
      <c r="B859" s="18">
        <v>73.290597000000005</v>
      </c>
      <c r="C859" s="19"/>
      <c r="D859" s="20"/>
    </row>
    <row r="860" spans="1:4" x14ac:dyDescent="0.3">
      <c r="A860" s="21">
        <v>45444.205556000001</v>
      </c>
      <c r="B860" s="18">
        <v>73.817271000000005</v>
      </c>
      <c r="C860" s="19"/>
      <c r="D860" s="20"/>
    </row>
    <row r="861" spans="1:4" x14ac:dyDescent="0.3">
      <c r="A861" s="21">
        <v>45444.206250000003</v>
      </c>
      <c r="B861" s="18">
        <v>76.153829999999999</v>
      </c>
      <c r="C861" s="19"/>
      <c r="D861" s="20"/>
    </row>
    <row r="862" spans="1:4" x14ac:dyDescent="0.3">
      <c r="A862" s="21">
        <v>45444.206943999998</v>
      </c>
      <c r="B862" s="18">
        <v>79.159475999999998</v>
      </c>
      <c r="C862" s="19"/>
      <c r="D862" s="20"/>
    </row>
    <row r="863" spans="1:4" x14ac:dyDescent="0.3">
      <c r="A863" s="21">
        <v>45444.207639</v>
      </c>
      <c r="B863" s="18">
        <v>78.912152000000006</v>
      </c>
      <c r="C863" s="19"/>
      <c r="D863" s="20"/>
    </row>
    <row r="864" spans="1:4" x14ac:dyDescent="0.3">
      <c r="A864" s="21">
        <v>45444.208333000002</v>
      </c>
      <c r="B864" s="18">
        <v>79.209368999999995</v>
      </c>
      <c r="C864" s="19"/>
      <c r="D864" s="20"/>
    </row>
    <row r="865" spans="1:4" x14ac:dyDescent="0.3">
      <c r="A865" s="21">
        <v>45444.209027999997</v>
      </c>
      <c r="B865" s="18">
        <v>78.674912000000006</v>
      </c>
      <c r="C865" s="19"/>
      <c r="D865" s="20"/>
    </row>
    <row r="866" spans="1:4" x14ac:dyDescent="0.3">
      <c r="A866" s="21">
        <v>45444.209722</v>
      </c>
      <c r="B866" s="18">
        <v>79.049892999999997</v>
      </c>
      <c r="C866" s="19"/>
      <c r="D866" s="20"/>
    </row>
    <row r="867" spans="1:4" x14ac:dyDescent="0.3">
      <c r="A867" s="21">
        <v>45444.210417000002</v>
      </c>
      <c r="B867" s="18">
        <v>78.982236</v>
      </c>
      <c r="C867" s="19"/>
      <c r="D867" s="20"/>
    </row>
    <row r="868" spans="1:4" x14ac:dyDescent="0.3">
      <c r="A868" s="21">
        <v>45444.211110999997</v>
      </c>
      <c r="B868" s="18">
        <v>78.813868999999997</v>
      </c>
      <c r="C868" s="19"/>
      <c r="D868" s="20"/>
    </row>
    <row r="869" spans="1:4" x14ac:dyDescent="0.3">
      <c r="A869" s="21">
        <v>45444.211805999999</v>
      </c>
      <c r="B869" s="18">
        <v>78.800179999999997</v>
      </c>
      <c r="C869" s="19"/>
      <c r="D869" s="20"/>
    </row>
    <row r="870" spans="1:4" x14ac:dyDescent="0.3">
      <c r="A870" s="21">
        <v>45444.212500000001</v>
      </c>
      <c r="B870" s="18">
        <v>78.983779999999996</v>
      </c>
      <c r="C870" s="19"/>
      <c r="D870" s="20"/>
    </row>
    <row r="871" spans="1:4" x14ac:dyDescent="0.3">
      <c r="A871" s="21">
        <v>45444.213194000004</v>
      </c>
      <c r="B871" s="18">
        <v>78.617555999999993</v>
      </c>
      <c r="C871" s="19"/>
      <c r="D871" s="20"/>
    </row>
    <row r="872" spans="1:4" x14ac:dyDescent="0.3">
      <c r="A872" s="21">
        <v>45444.213888999999</v>
      </c>
      <c r="B872" s="18">
        <v>78.783158</v>
      </c>
      <c r="C872" s="19"/>
      <c r="D872" s="20"/>
    </row>
    <row r="873" spans="1:4" x14ac:dyDescent="0.3">
      <c r="A873" s="21">
        <v>45444.214583000001</v>
      </c>
      <c r="B873" s="18">
        <v>78.776054999999999</v>
      </c>
      <c r="C873" s="19"/>
      <c r="D873" s="20"/>
    </row>
    <row r="874" spans="1:4" x14ac:dyDescent="0.3">
      <c r="A874" s="21">
        <v>45444.215278000003</v>
      </c>
      <c r="B874" s="18">
        <v>78.694027000000006</v>
      </c>
      <c r="C874" s="19"/>
      <c r="D874" s="20"/>
    </row>
    <row r="875" spans="1:4" x14ac:dyDescent="0.3">
      <c r="A875" s="21">
        <v>45444.215971999998</v>
      </c>
      <c r="B875" s="18">
        <v>78.690517999999997</v>
      </c>
      <c r="C875" s="19"/>
      <c r="D875" s="20"/>
    </row>
    <row r="876" spans="1:4" x14ac:dyDescent="0.3">
      <c r="A876" s="21">
        <v>45444.216667000001</v>
      </c>
      <c r="B876" s="18">
        <v>78.798880999999994</v>
      </c>
      <c r="C876" s="19"/>
      <c r="D876" s="20"/>
    </row>
    <row r="877" spans="1:4" x14ac:dyDescent="0.3">
      <c r="A877" s="21">
        <v>45444.217361000003</v>
      </c>
      <c r="B877" s="18">
        <v>78.880798999999996</v>
      </c>
      <c r="C877" s="19"/>
      <c r="D877" s="20"/>
    </row>
    <row r="878" spans="1:4" x14ac:dyDescent="0.3">
      <c r="A878" s="21">
        <v>45444.218055999998</v>
      </c>
      <c r="B878" s="18">
        <v>78.759951999999998</v>
      </c>
      <c r="C878" s="19"/>
      <c r="D878" s="20"/>
    </row>
    <row r="879" spans="1:4" x14ac:dyDescent="0.3">
      <c r="A879" s="21">
        <v>45444.21875</v>
      </c>
      <c r="B879" s="18">
        <v>78.682722999999996</v>
      </c>
      <c r="C879" s="19"/>
      <c r="D879" s="20"/>
    </row>
    <row r="880" spans="1:4" x14ac:dyDescent="0.3">
      <c r="A880" s="21">
        <v>45444.219444000002</v>
      </c>
      <c r="B880" s="18">
        <v>78.566092999999995</v>
      </c>
      <c r="C880" s="19"/>
      <c r="D880" s="20"/>
    </row>
    <row r="881" spans="1:4" x14ac:dyDescent="0.3">
      <c r="A881" s="21">
        <v>45444.220138999997</v>
      </c>
      <c r="B881" s="18">
        <v>78.882681000000005</v>
      </c>
      <c r="C881" s="19"/>
      <c r="D881" s="20"/>
    </row>
    <row r="882" spans="1:4" x14ac:dyDescent="0.3">
      <c r="A882" s="21">
        <v>45444.220832999999</v>
      </c>
      <c r="B882" s="18">
        <v>78.547225999999995</v>
      </c>
      <c r="C882" s="19"/>
      <c r="D882" s="20"/>
    </row>
    <row r="883" spans="1:4" x14ac:dyDescent="0.3">
      <c r="A883" s="21">
        <v>45444.221528000002</v>
      </c>
      <c r="B883" s="18">
        <v>78.366262000000006</v>
      </c>
      <c r="C883" s="19"/>
      <c r="D883" s="20"/>
    </row>
    <row r="884" spans="1:4" x14ac:dyDescent="0.3">
      <c r="A884" s="21">
        <v>45444.222221999997</v>
      </c>
      <c r="B884" s="18">
        <v>78.511870000000002</v>
      </c>
      <c r="C884" s="19"/>
      <c r="D884" s="20"/>
    </row>
    <row r="885" spans="1:4" x14ac:dyDescent="0.3">
      <c r="A885" s="21">
        <v>45444.222916999999</v>
      </c>
      <c r="B885" s="18">
        <v>78.675102999999993</v>
      </c>
      <c r="C885" s="19"/>
      <c r="D885" s="20"/>
    </row>
    <row r="886" spans="1:4" x14ac:dyDescent="0.3">
      <c r="A886" s="21">
        <v>45444.223611000001</v>
      </c>
      <c r="B886" s="18">
        <v>78.566944000000007</v>
      </c>
      <c r="C886" s="19"/>
      <c r="D886" s="20"/>
    </row>
    <row r="887" spans="1:4" x14ac:dyDescent="0.3">
      <c r="A887" s="21">
        <v>45444.224305999996</v>
      </c>
      <c r="B887" s="18">
        <v>78.405713000000006</v>
      </c>
      <c r="C887" s="19"/>
      <c r="D887" s="20"/>
    </row>
    <row r="888" spans="1:4" x14ac:dyDescent="0.3">
      <c r="A888" s="21">
        <v>45444.224999999999</v>
      </c>
      <c r="B888" s="18">
        <v>78.455821</v>
      </c>
      <c r="C888" s="19"/>
      <c r="D888" s="20"/>
    </row>
    <row r="889" spans="1:4" x14ac:dyDescent="0.3">
      <c r="A889" s="21">
        <v>45444.225694000001</v>
      </c>
      <c r="B889" s="18">
        <v>78.545274000000006</v>
      </c>
      <c r="C889" s="19"/>
      <c r="D889" s="20"/>
    </row>
    <row r="890" spans="1:4" x14ac:dyDescent="0.3">
      <c r="A890" s="21">
        <v>45444.226389000003</v>
      </c>
      <c r="B890" s="18">
        <v>78.413015999999999</v>
      </c>
      <c r="C890" s="19"/>
      <c r="D890" s="20"/>
    </row>
    <row r="891" spans="1:4" x14ac:dyDescent="0.3">
      <c r="A891" s="21">
        <v>45444.227082999998</v>
      </c>
      <c r="B891" s="18">
        <v>78.169752000000003</v>
      </c>
      <c r="C891" s="19"/>
      <c r="D891" s="20"/>
    </row>
    <row r="892" spans="1:4" x14ac:dyDescent="0.3">
      <c r="A892" s="21">
        <v>45444.227778</v>
      </c>
      <c r="B892" s="18">
        <v>78.477295999999996</v>
      </c>
      <c r="C892" s="19"/>
      <c r="D892" s="20"/>
    </row>
    <row r="893" spans="1:4" x14ac:dyDescent="0.3">
      <c r="A893" s="21">
        <v>45444.228472000003</v>
      </c>
      <c r="B893" s="18">
        <v>78.212569000000002</v>
      </c>
      <c r="C893" s="19"/>
      <c r="D893" s="20"/>
    </row>
    <row r="894" spans="1:4" x14ac:dyDescent="0.3">
      <c r="A894" s="21">
        <v>45444.229166999998</v>
      </c>
      <c r="B894" s="18">
        <v>77.963643000000005</v>
      </c>
      <c r="C894" s="19"/>
      <c r="D894" s="20"/>
    </row>
    <row r="895" spans="1:4" x14ac:dyDescent="0.3">
      <c r="A895" s="21">
        <v>45444.229861</v>
      </c>
      <c r="B895" s="18">
        <v>78.145289000000005</v>
      </c>
      <c r="C895" s="19"/>
      <c r="D895" s="20"/>
    </row>
    <row r="896" spans="1:4" x14ac:dyDescent="0.3">
      <c r="A896" s="21">
        <v>45444.230556000002</v>
      </c>
      <c r="B896" s="18">
        <v>78.358975000000001</v>
      </c>
      <c r="C896" s="19"/>
      <c r="D896" s="20"/>
    </row>
    <row r="897" spans="1:4" x14ac:dyDescent="0.3">
      <c r="A897" s="21">
        <v>45444.231249999997</v>
      </c>
      <c r="B897" s="18">
        <v>78.238506000000001</v>
      </c>
      <c r="C897" s="19"/>
      <c r="D897" s="20"/>
    </row>
    <row r="898" spans="1:4" x14ac:dyDescent="0.3">
      <c r="A898" s="21">
        <v>45444.231943999999</v>
      </c>
      <c r="B898" s="18">
        <v>78.516050000000007</v>
      </c>
      <c r="C898" s="19"/>
      <c r="D898" s="20"/>
    </row>
    <row r="899" spans="1:4" x14ac:dyDescent="0.3">
      <c r="A899" s="21">
        <v>45444.232639000002</v>
      </c>
      <c r="B899" s="18">
        <v>78.479106999999999</v>
      </c>
      <c r="C899" s="19"/>
      <c r="D899" s="20"/>
    </row>
    <row r="900" spans="1:4" x14ac:dyDescent="0.3">
      <c r="A900" s="21">
        <v>45444.233332999996</v>
      </c>
      <c r="B900" s="18">
        <v>78.112442000000001</v>
      </c>
      <c r="C900" s="19"/>
      <c r="D900" s="20"/>
    </row>
    <row r="901" spans="1:4" x14ac:dyDescent="0.3">
      <c r="A901" s="21">
        <v>45444.234027999999</v>
      </c>
      <c r="B901" s="18">
        <v>78.347986000000006</v>
      </c>
      <c r="C901" s="19"/>
      <c r="D901" s="20"/>
    </row>
    <row r="902" spans="1:4" x14ac:dyDescent="0.3">
      <c r="A902" s="21">
        <v>45444.234722000001</v>
      </c>
      <c r="B902" s="18">
        <v>78.203536999999997</v>
      </c>
      <c r="C902" s="19"/>
      <c r="D902" s="20"/>
    </row>
    <row r="903" spans="1:4" x14ac:dyDescent="0.3">
      <c r="A903" s="21">
        <v>45444.235417000004</v>
      </c>
      <c r="B903" s="18">
        <v>78.289322999999996</v>
      </c>
      <c r="C903" s="19"/>
      <c r="D903" s="20"/>
    </row>
    <row r="904" spans="1:4" x14ac:dyDescent="0.3">
      <c r="A904" s="21">
        <v>45444.236110999998</v>
      </c>
      <c r="B904" s="18">
        <v>78.439589999999995</v>
      </c>
      <c r="C904" s="19"/>
      <c r="D904" s="20"/>
    </row>
    <row r="905" spans="1:4" x14ac:dyDescent="0.3">
      <c r="A905" s="21">
        <v>45444.236806000001</v>
      </c>
      <c r="B905" s="18">
        <v>78.069322</v>
      </c>
      <c r="C905" s="19"/>
      <c r="D905" s="20"/>
    </row>
    <row r="906" spans="1:4" x14ac:dyDescent="0.3">
      <c r="A906" s="21">
        <v>45444.237500000003</v>
      </c>
      <c r="B906" s="18">
        <v>78.056061999999997</v>
      </c>
      <c r="C906" s="19"/>
      <c r="D906" s="20"/>
    </row>
    <row r="907" spans="1:4" x14ac:dyDescent="0.3">
      <c r="A907" s="21">
        <v>45444.238193999998</v>
      </c>
      <c r="B907" s="18">
        <v>78.020572999999999</v>
      </c>
      <c r="C907" s="19"/>
      <c r="D907" s="20"/>
    </row>
    <row r="908" spans="1:4" x14ac:dyDescent="0.3">
      <c r="A908" s="21">
        <v>45444.238889</v>
      </c>
      <c r="B908" s="18">
        <v>77.973544000000004</v>
      </c>
      <c r="C908" s="19"/>
      <c r="D908" s="20"/>
    </row>
    <row r="909" spans="1:4" x14ac:dyDescent="0.3">
      <c r="A909" s="21">
        <v>45444.239583000002</v>
      </c>
      <c r="B909" s="18">
        <v>78.115424000000004</v>
      </c>
      <c r="C909" s="19"/>
      <c r="D909" s="20"/>
    </row>
    <row r="910" spans="1:4" x14ac:dyDescent="0.3">
      <c r="A910" s="21">
        <v>45444.240277999997</v>
      </c>
      <c r="B910" s="18">
        <v>78.090260000000001</v>
      </c>
      <c r="C910" s="19"/>
      <c r="D910" s="20"/>
    </row>
    <row r="911" spans="1:4" x14ac:dyDescent="0.3">
      <c r="A911" s="21">
        <v>45444.240972</v>
      </c>
      <c r="B911" s="18">
        <v>77.521580999999998</v>
      </c>
      <c r="C911" s="19"/>
      <c r="D911" s="20"/>
    </row>
    <row r="912" spans="1:4" x14ac:dyDescent="0.3">
      <c r="A912" s="21">
        <v>45444.241667000002</v>
      </c>
      <c r="B912" s="18">
        <v>77.739666999999997</v>
      </c>
      <c r="C912" s="19"/>
      <c r="D912" s="20"/>
    </row>
    <row r="913" spans="1:4" x14ac:dyDescent="0.3">
      <c r="A913" s="21">
        <v>45444.242360999997</v>
      </c>
      <c r="B913" s="18">
        <v>77.967040999999995</v>
      </c>
      <c r="C913" s="19"/>
      <c r="D913" s="20"/>
    </row>
    <row r="914" spans="1:4" x14ac:dyDescent="0.3">
      <c r="A914" s="21">
        <v>45444.243055999999</v>
      </c>
      <c r="B914" s="18">
        <v>77.852986999999999</v>
      </c>
      <c r="C914" s="19"/>
      <c r="D914" s="20"/>
    </row>
    <row r="915" spans="1:4" x14ac:dyDescent="0.3">
      <c r="A915" s="21">
        <v>45444.243750000001</v>
      </c>
      <c r="B915" s="18">
        <v>78.068833999999995</v>
      </c>
      <c r="C915" s="19"/>
      <c r="D915" s="20"/>
    </row>
    <row r="916" spans="1:4" x14ac:dyDescent="0.3">
      <c r="A916" s="21">
        <v>45444.244444000004</v>
      </c>
      <c r="B916" s="18">
        <v>78.025711000000001</v>
      </c>
      <c r="C916" s="19"/>
      <c r="D916" s="20"/>
    </row>
    <row r="917" spans="1:4" x14ac:dyDescent="0.3">
      <c r="A917" s="21">
        <v>45444.245138999999</v>
      </c>
      <c r="B917" s="18">
        <v>78.245356999999998</v>
      </c>
      <c r="C917" s="19"/>
      <c r="D917" s="20"/>
    </row>
    <row r="918" spans="1:4" x14ac:dyDescent="0.3">
      <c r="A918" s="21">
        <v>45444.245833000001</v>
      </c>
      <c r="B918" s="18">
        <v>78.035792999999998</v>
      </c>
      <c r="C918" s="19"/>
      <c r="D918" s="20"/>
    </row>
    <row r="919" spans="1:4" x14ac:dyDescent="0.3">
      <c r="A919" s="21">
        <v>45444.246528000003</v>
      </c>
      <c r="B919" s="18">
        <v>78.045668000000006</v>
      </c>
      <c r="C919" s="19"/>
      <c r="D919" s="20"/>
    </row>
    <row r="920" spans="1:4" x14ac:dyDescent="0.3">
      <c r="A920" s="21">
        <v>45444.247221999998</v>
      </c>
      <c r="B920" s="18">
        <v>78.177038999999994</v>
      </c>
      <c r="C920" s="19"/>
      <c r="D920" s="20"/>
    </row>
    <row r="921" spans="1:4" x14ac:dyDescent="0.3">
      <c r="A921" s="21">
        <v>45444.247917000001</v>
      </c>
      <c r="B921" s="18">
        <v>77.950652000000005</v>
      </c>
      <c r="C921" s="19"/>
      <c r="D921" s="20"/>
    </row>
    <row r="922" spans="1:4" x14ac:dyDescent="0.3">
      <c r="A922" s="21">
        <v>45444.248611000003</v>
      </c>
      <c r="B922" s="18">
        <v>77.896165999999994</v>
      </c>
      <c r="C922" s="19"/>
      <c r="D922" s="20"/>
    </row>
    <row r="923" spans="1:4" x14ac:dyDescent="0.3">
      <c r="A923" s="21">
        <v>45444.249305999998</v>
      </c>
      <c r="B923" s="18">
        <v>77.860641000000001</v>
      </c>
      <c r="C923" s="19"/>
      <c r="D923" s="20"/>
    </row>
    <row r="924" spans="1:4" x14ac:dyDescent="0.3">
      <c r="A924" s="21">
        <v>45444.25</v>
      </c>
      <c r="B924" s="18">
        <v>77.867185000000006</v>
      </c>
      <c r="C924" s="19"/>
      <c r="D924" s="20"/>
    </row>
    <row r="925" spans="1:4" x14ac:dyDescent="0.3">
      <c r="A925" s="21">
        <v>45444.250694000002</v>
      </c>
      <c r="B925" s="18">
        <v>77.814330999999996</v>
      </c>
      <c r="C925" s="19"/>
      <c r="D925" s="20"/>
    </row>
    <row r="926" spans="1:4" x14ac:dyDescent="0.3">
      <c r="A926" s="21">
        <v>45444.251388999997</v>
      </c>
      <c r="B926" s="18">
        <v>77.868384000000006</v>
      </c>
      <c r="C926" s="19"/>
      <c r="D926" s="20"/>
    </row>
    <row r="927" spans="1:4" x14ac:dyDescent="0.3">
      <c r="A927" s="21">
        <v>45444.252082999999</v>
      </c>
      <c r="B927" s="18">
        <v>77.993975000000006</v>
      </c>
      <c r="C927" s="19"/>
      <c r="D927" s="20"/>
    </row>
    <row r="928" spans="1:4" x14ac:dyDescent="0.3">
      <c r="A928" s="21">
        <v>45444.252778000002</v>
      </c>
      <c r="B928" s="18">
        <v>78.057345999999995</v>
      </c>
      <c r="C928" s="19"/>
      <c r="D928" s="20"/>
    </row>
    <row r="929" spans="1:4" x14ac:dyDescent="0.3">
      <c r="A929" s="21">
        <v>45444.253471999997</v>
      </c>
      <c r="B929" s="18">
        <v>78.164364000000006</v>
      </c>
      <c r="C929" s="19"/>
      <c r="D929" s="20"/>
    </row>
    <row r="930" spans="1:4" x14ac:dyDescent="0.3">
      <c r="A930" s="21">
        <v>45444.254166999999</v>
      </c>
      <c r="B930" s="18">
        <v>78.047742</v>
      </c>
      <c r="C930" s="19"/>
      <c r="D930" s="20"/>
    </row>
    <row r="931" spans="1:4" x14ac:dyDescent="0.3">
      <c r="A931" s="21">
        <v>45444.254861000001</v>
      </c>
      <c r="B931" s="18">
        <v>77.915135000000006</v>
      </c>
      <c r="C931" s="19"/>
      <c r="D931" s="20"/>
    </row>
    <row r="932" spans="1:4" x14ac:dyDescent="0.3">
      <c r="A932" s="21">
        <v>45444.255555999996</v>
      </c>
      <c r="B932" s="18">
        <v>77.843898999999993</v>
      </c>
      <c r="C932" s="19"/>
      <c r="D932" s="20"/>
    </row>
    <row r="933" spans="1:4" x14ac:dyDescent="0.3">
      <c r="A933" s="21">
        <v>45444.256249999999</v>
      </c>
      <c r="B933" s="18">
        <v>78.091516999999996</v>
      </c>
      <c r="C933" s="19"/>
      <c r="D933" s="20"/>
    </row>
    <row r="934" spans="1:4" x14ac:dyDescent="0.3">
      <c r="A934" s="21">
        <v>45444.256944000001</v>
      </c>
      <c r="B934" s="18">
        <v>77.828359000000006</v>
      </c>
      <c r="C934" s="19"/>
      <c r="D934" s="20"/>
    </row>
    <row r="935" spans="1:4" x14ac:dyDescent="0.3">
      <c r="A935" s="21">
        <v>45444.257639000003</v>
      </c>
      <c r="B935" s="18">
        <v>77.705959000000007</v>
      </c>
      <c r="C935" s="19"/>
      <c r="D935" s="20"/>
    </row>
    <row r="936" spans="1:4" x14ac:dyDescent="0.3">
      <c r="A936" s="21">
        <v>45444.258332999998</v>
      </c>
      <c r="B936" s="18">
        <v>78.035652999999996</v>
      </c>
      <c r="C936" s="19"/>
      <c r="D936" s="20"/>
    </row>
    <row r="937" spans="1:4" x14ac:dyDescent="0.3">
      <c r="A937" s="21">
        <v>45444.259028</v>
      </c>
      <c r="B937" s="18">
        <v>77.889328000000006</v>
      </c>
      <c r="C937" s="19"/>
      <c r="D937" s="20"/>
    </row>
    <row r="938" spans="1:4" x14ac:dyDescent="0.3">
      <c r="A938" s="21">
        <v>45444.259722000003</v>
      </c>
      <c r="B938" s="18">
        <v>77.667716999999996</v>
      </c>
      <c r="C938" s="19"/>
      <c r="D938" s="20"/>
    </row>
    <row r="939" spans="1:4" x14ac:dyDescent="0.3">
      <c r="A939" s="21">
        <v>45444.260416999998</v>
      </c>
      <c r="B939" s="18">
        <v>77.568942000000007</v>
      </c>
      <c r="C939" s="19"/>
      <c r="D939" s="20"/>
    </row>
    <row r="940" spans="1:4" x14ac:dyDescent="0.3">
      <c r="A940" s="21">
        <v>45444.261111</v>
      </c>
      <c r="B940" s="18">
        <v>77.858889000000005</v>
      </c>
      <c r="C940" s="19"/>
      <c r="D940" s="20"/>
    </row>
    <row r="941" spans="1:4" x14ac:dyDescent="0.3">
      <c r="A941" s="21">
        <v>45444.261806000002</v>
      </c>
      <c r="B941" s="18">
        <v>77.715276000000003</v>
      </c>
      <c r="C941" s="19"/>
      <c r="D941" s="20"/>
    </row>
    <row r="942" spans="1:4" x14ac:dyDescent="0.3">
      <c r="A942" s="21">
        <v>45444.262499999997</v>
      </c>
      <c r="B942" s="18">
        <v>78.098988000000006</v>
      </c>
      <c r="C942" s="19"/>
      <c r="D942" s="20"/>
    </row>
    <row r="943" spans="1:4" x14ac:dyDescent="0.3">
      <c r="A943" s="21">
        <v>45444.263193999999</v>
      </c>
      <c r="B943" s="18">
        <v>78.119242999999997</v>
      </c>
      <c r="C943" s="19"/>
      <c r="D943" s="20"/>
    </row>
    <row r="944" spans="1:4" x14ac:dyDescent="0.3">
      <c r="A944" s="21">
        <v>45444.263889000002</v>
      </c>
      <c r="B944" s="18">
        <v>78.040674999999993</v>
      </c>
      <c r="C944" s="19"/>
      <c r="D944" s="20"/>
    </row>
    <row r="945" spans="1:4" x14ac:dyDescent="0.3">
      <c r="A945" s="21">
        <v>45444.264582999996</v>
      </c>
      <c r="B945" s="18">
        <v>77.587986000000001</v>
      </c>
      <c r="C945" s="19"/>
      <c r="D945" s="20"/>
    </row>
    <row r="946" spans="1:4" x14ac:dyDescent="0.3">
      <c r="A946" s="21">
        <v>45444.265277999999</v>
      </c>
      <c r="B946" s="18">
        <v>77.659777000000005</v>
      </c>
      <c r="C946" s="19"/>
      <c r="D946" s="20"/>
    </row>
    <row r="947" spans="1:4" x14ac:dyDescent="0.3">
      <c r="A947" s="21">
        <v>45444.265972000001</v>
      </c>
      <c r="B947" s="18">
        <v>77.584238999999997</v>
      </c>
      <c r="C947" s="19"/>
      <c r="D947" s="20"/>
    </row>
    <row r="948" spans="1:4" x14ac:dyDescent="0.3">
      <c r="A948" s="21">
        <v>45444.266667000004</v>
      </c>
      <c r="B948" s="18">
        <v>77.641178999999994</v>
      </c>
      <c r="C948" s="19"/>
      <c r="D948" s="20"/>
    </row>
    <row r="949" spans="1:4" x14ac:dyDescent="0.3">
      <c r="A949" s="21">
        <v>45444.267360999998</v>
      </c>
      <c r="B949" s="18">
        <v>77.810778999999997</v>
      </c>
      <c r="C949" s="19"/>
      <c r="D949" s="20"/>
    </row>
    <row r="950" spans="1:4" x14ac:dyDescent="0.3">
      <c r="A950" s="21">
        <v>45444.268056000001</v>
      </c>
      <c r="B950" s="18">
        <v>77.662058000000002</v>
      </c>
      <c r="C950" s="19"/>
      <c r="D950" s="20"/>
    </row>
    <row r="951" spans="1:4" x14ac:dyDescent="0.3">
      <c r="A951" s="21">
        <v>45444.268750000003</v>
      </c>
      <c r="B951" s="18">
        <v>77.992265000000003</v>
      </c>
      <c r="C951" s="19"/>
      <c r="D951" s="20"/>
    </row>
    <row r="952" spans="1:4" x14ac:dyDescent="0.3">
      <c r="A952" s="21">
        <v>45444.269443999998</v>
      </c>
      <c r="B952" s="18">
        <v>77.670395999999997</v>
      </c>
      <c r="C952" s="19"/>
      <c r="D952" s="20"/>
    </row>
    <row r="953" spans="1:4" x14ac:dyDescent="0.3">
      <c r="A953" s="21">
        <v>45444.270139</v>
      </c>
      <c r="B953" s="18">
        <v>78.036771000000002</v>
      </c>
      <c r="C953" s="19"/>
      <c r="D953" s="20"/>
    </row>
    <row r="954" spans="1:4" x14ac:dyDescent="0.3">
      <c r="A954" s="21">
        <v>45444.270833000002</v>
      </c>
      <c r="B954" s="18">
        <v>77.459524999999999</v>
      </c>
      <c r="C954" s="19"/>
      <c r="D954" s="20"/>
    </row>
    <row r="955" spans="1:4" x14ac:dyDescent="0.3">
      <c r="A955" s="21">
        <v>45444.271527999997</v>
      </c>
      <c r="B955" s="18">
        <v>77.816861000000003</v>
      </c>
      <c r="C955" s="19"/>
      <c r="D955" s="20"/>
    </row>
    <row r="956" spans="1:4" x14ac:dyDescent="0.3">
      <c r="A956" s="21">
        <v>45444.272222</v>
      </c>
      <c r="B956" s="18">
        <v>77.758641999999995</v>
      </c>
      <c r="C956" s="19"/>
      <c r="D956" s="20"/>
    </row>
    <row r="957" spans="1:4" x14ac:dyDescent="0.3">
      <c r="A957" s="21">
        <v>45444.272917000002</v>
      </c>
      <c r="B957" s="18">
        <v>77.550820999999999</v>
      </c>
      <c r="C957" s="19"/>
      <c r="D957" s="20"/>
    </row>
    <row r="958" spans="1:4" x14ac:dyDescent="0.3">
      <c r="A958" s="21">
        <v>45444.273610999997</v>
      </c>
      <c r="B958" s="18">
        <v>77.881770000000003</v>
      </c>
      <c r="C958" s="19"/>
      <c r="D958" s="20"/>
    </row>
    <row r="959" spans="1:4" x14ac:dyDescent="0.3">
      <c r="A959" s="21">
        <v>45444.274305999999</v>
      </c>
      <c r="B959" s="18">
        <v>77.927311000000003</v>
      </c>
      <c r="C959" s="19"/>
      <c r="D959" s="20"/>
    </row>
    <row r="960" spans="1:4" x14ac:dyDescent="0.3">
      <c r="A960" s="21">
        <v>45444.275000000001</v>
      </c>
      <c r="B960" s="18">
        <v>77.703811000000002</v>
      </c>
      <c r="C960" s="19"/>
      <c r="D960" s="20"/>
    </row>
    <row r="961" spans="1:4" x14ac:dyDescent="0.3">
      <c r="A961" s="21">
        <v>45444.275694000004</v>
      </c>
      <c r="B961" s="18">
        <v>77.665362000000002</v>
      </c>
      <c r="C961" s="19"/>
      <c r="D961" s="20"/>
    </row>
    <row r="962" spans="1:4" x14ac:dyDescent="0.3">
      <c r="A962" s="21">
        <v>45444.276388999999</v>
      </c>
      <c r="B962" s="18">
        <v>77.748503999999997</v>
      </c>
      <c r="C962" s="19"/>
      <c r="D962" s="20"/>
    </row>
    <row r="963" spans="1:4" x14ac:dyDescent="0.3">
      <c r="A963" s="21">
        <v>45444.277083000001</v>
      </c>
      <c r="B963" s="18">
        <v>77.491117000000003</v>
      </c>
      <c r="C963" s="19"/>
      <c r="D963" s="20"/>
    </row>
    <row r="964" spans="1:4" x14ac:dyDescent="0.3">
      <c r="A964" s="21">
        <v>45444.277778000003</v>
      </c>
      <c r="B964" s="18">
        <v>77.735477000000003</v>
      </c>
      <c r="C964" s="19"/>
      <c r="D964" s="20"/>
    </row>
    <row r="965" spans="1:4" x14ac:dyDescent="0.3">
      <c r="A965" s="21">
        <v>45444.278471999998</v>
      </c>
      <c r="B965" s="18">
        <v>77.653073000000006</v>
      </c>
      <c r="C965" s="19"/>
      <c r="D965" s="20"/>
    </row>
    <row r="966" spans="1:4" x14ac:dyDescent="0.3">
      <c r="A966" s="21">
        <v>45444.279167000001</v>
      </c>
      <c r="B966" s="18">
        <v>77.495075999999997</v>
      </c>
      <c r="C966" s="19"/>
      <c r="D966" s="20"/>
    </row>
    <row r="967" spans="1:4" x14ac:dyDescent="0.3">
      <c r="A967" s="21">
        <v>45444.279861000003</v>
      </c>
      <c r="B967" s="18">
        <v>77.544022999999996</v>
      </c>
      <c r="C967" s="19"/>
      <c r="D967" s="20"/>
    </row>
    <row r="968" spans="1:4" x14ac:dyDescent="0.3">
      <c r="A968" s="21">
        <v>45444.280555999998</v>
      </c>
      <c r="B968" s="18">
        <v>77.812145000000001</v>
      </c>
      <c r="C968" s="19"/>
      <c r="D968" s="20"/>
    </row>
    <row r="969" spans="1:4" x14ac:dyDescent="0.3">
      <c r="A969" s="21">
        <v>45444.28125</v>
      </c>
      <c r="B969" s="18">
        <v>77.642601999999997</v>
      </c>
      <c r="C969" s="19"/>
      <c r="D969" s="20"/>
    </row>
    <row r="970" spans="1:4" x14ac:dyDescent="0.3">
      <c r="A970" s="21">
        <v>45444.281944000002</v>
      </c>
      <c r="B970" s="18">
        <v>77.904328000000007</v>
      </c>
      <c r="C970" s="19"/>
      <c r="D970" s="20"/>
    </row>
    <row r="971" spans="1:4" x14ac:dyDescent="0.3">
      <c r="A971" s="21">
        <v>45444.282638999997</v>
      </c>
      <c r="B971" s="18">
        <v>77.397260000000003</v>
      </c>
      <c r="C971" s="19"/>
      <c r="D971" s="20"/>
    </row>
    <row r="972" spans="1:4" x14ac:dyDescent="0.3">
      <c r="A972" s="21">
        <v>45444.283332999999</v>
      </c>
      <c r="B972" s="18">
        <v>77.626018999999999</v>
      </c>
      <c r="C972" s="19"/>
      <c r="D972" s="20"/>
    </row>
    <row r="973" spans="1:4" x14ac:dyDescent="0.3">
      <c r="A973" s="21">
        <v>45444.284028000002</v>
      </c>
      <c r="B973" s="18">
        <v>77.391369999999995</v>
      </c>
      <c r="C973" s="19"/>
      <c r="D973" s="20"/>
    </row>
    <row r="974" spans="1:4" x14ac:dyDescent="0.3">
      <c r="A974" s="21">
        <v>45444.284721999997</v>
      </c>
      <c r="B974" s="18">
        <v>77.823674999999994</v>
      </c>
      <c r="C974" s="19"/>
      <c r="D974" s="20"/>
    </row>
    <row r="975" spans="1:4" x14ac:dyDescent="0.3">
      <c r="A975" s="21">
        <v>45444.285416999999</v>
      </c>
      <c r="B975" s="18">
        <v>77.415801999999999</v>
      </c>
      <c r="C975" s="19"/>
      <c r="D975" s="20"/>
    </row>
    <row r="976" spans="1:4" x14ac:dyDescent="0.3">
      <c r="A976" s="21">
        <v>45444.286111000001</v>
      </c>
      <c r="B976" s="18">
        <v>77.582049999999995</v>
      </c>
      <c r="C976" s="19"/>
      <c r="D976" s="20"/>
    </row>
    <row r="977" spans="1:4" x14ac:dyDescent="0.3">
      <c r="A977" s="21">
        <v>45444.286805999996</v>
      </c>
      <c r="B977" s="18">
        <v>77.719060999999996</v>
      </c>
      <c r="C977" s="19"/>
      <c r="D977" s="20"/>
    </row>
    <row r="978" spans="1:4" x14ac:dyDescent="0.3">
      <c r="A978" s="21">
        <v>45444.287499999999</v>
      </c>
      <c r="B978" s="18">
        <v>77.524483000000004</v>
      </c>
      <c r="C978" s="19"/>
      <c r="D978" s="20"/>
    </row>
    <row r="979" spans="1:4" x14ac:dyDescent="0.3">
      <c r="A979" s="21">
        <v>45444.288194000001</v>
      </c>
      <c r="B979" s="18">
        <v>77.919376999999997</v>
      </c>
      <c r="C979" s="19"/>
      <c r="D979" s="20"/>
    </row>
    <row r="980" spans="1:4" x14ac:dyDescent="0.3">
      <c r="A980" s="21">
        <v>45444.288889000003</v>
      </c>
      <c r="B980" s="18">
        <v>77.493932000000001</v>
      </c>
      <c r="C980" s="19"/>
      <c r="D980" s="20"/>
    </row>
    <row r="981" spans="1:4" x14ac:dyDescent="0.3">
      <c r="A981" s="21">
        <v>45444.289582999998</v>
      </c>
      <c r="B981" s="18">
        <v>82.644670000000005</v>
      </c>
      <c r="C981" s="19"/>
      <c r="D981" s="20"/>
    </row>
    <row r="982" spans="1:4" x14ac:dyDescent="0.3">
      <c r="A982" s="21">
        <v>45444.290278</v>
      </c>
      <c r="B982" s="18">
        <v>85.910437999999999</v>
      </c>
      <c r="C982" s="19"/>
      <c r="D982" s="20"/>
    </row>
    <row r="983" spans="1:4" x14ac:dyDescent="0.3">
      <c r="A983" s="21">
        <v>45444.290972000003</v>
      </c>
      <c r="B983" s="18">
        <v>85.967802000000006</v>
      </c>
      <c r="C983" s="19"/>
      <c r="D983" s="20"/>
    </row>
    <row r="984" spans="1:4" x14ac:dyDescent="0.3">
      <c r="A984" s="21">
        <v>45444.291666999998</v>
      </c>
      <c r="B984" s="18">
        <v>86.853127000000001</v>
      </c>
      <c r="C984" s="19"/>
      <c r="D984" s="20"/>
    </row>
    <row r="985" spans="1:4" x14ac:dyDescent="0.3">
      <c r="A985" s="21">
        <v>45444.292361</v>
      </c>
      <c r="B985" s="18">
        <v>86.459509999999995</v>
      </c>
      <c r="C985" s="19"/>
      <c r="D985" s="20"/>
    </row>
    <row r="986" spans="1:4" x14ac:dyDescent="0.3">
      <c r="A986" s="21">
        <v>45444.293056000002</v>
      </c>
      <c r="B986" s="18">
        <v>86.466909000000001</v>
      </c>
      <c r="C986" s="19"/>
      <c r="D986" s="20"/>
    </row>
    <row r="987" spans="1:4" x14ac:dyDescent="0.3">
      <c r="A987" s="21">
        <v>45444.293749999997</v>
      </c>
      <c r="B987" s="18">
        <v>86.584134000000006</v>
      </c>
      <c r="C987" s="19"/>
      <c r="D987" s="20"/>
    </row>
    <row r="988" spans="1:4" x14ac:dyDescent="0.3">
      <c r="A988" s="21">
        <v>45444.294443999999</v>
      </c>
      <c r="B988" s="18">
        <v>86.241778999999994</v>
      </c>
      <c r="C988" s="19"/>
      <c r="D988" s="20"/>
    </row>
    <row r="989" spans="1:4" x14ac:dyDescent="0.3">
      <c r="A989" s="21">
        <v>45444.295139000002</v>
      </c>
      <c r="B989" s="18">
        <v>86.764578</v>
      </c>
      <c r="C989" s="19"/>
      <c r="D989" s="20"/>
    </row>
    <row r="990" spans="1:4" x14ac:dyDescent="0.3">
      <c r="A990" s="21">
        <v>45444.295832999996</v>
      </c>
      <c r="B990" s="18">
        <v>86.65204</v>
      </c>
      <c r="C990" s="19"/>
      <c r="D990" s="20"/>
    </row>
    <row r="991" spans="1:4" x14ac:dyDescent="0.3">
      <c r="A991" s="21">
        <v>45444.296527999999</v>
      </c>
      <c r="B991" s="18">
        <v>86.384428999999997</v>
      </c>
      <c r="C991" s="19"/>
      <c r="D991" s="20"/>
    </row>
    <row r="992" spans="1:4" x14ac:dyDescent="0.3">
      <c r="A992" s="21">
        <v>45444.297222000001</v>
      </c>
      <c r="B992" s="18">
        <v>86.397951000000006</v>
      </c>
      <c r="C992" s="19"/>
      <c r="D992" s="20"/>
    </row>
    <row r="993" spans="1:4" x14ac:dyDescent="0.3">
      <c r="A993" s="21">
        <v>45444.297917000004</v>
      </c>
      <c r="B993" s="18">
        <v>86.480992999999998</v>
      </c>
      <c r="C993" s="19"/>
      <c r="D993" s="20"/>
    </row>
    <row r="994" spans="1:4" x14ac:dyDescent="0.3">
      <c r="A994" s="21">
        <v>45444.298610999998</v>
      </c>
      <c r="B994" s="18">
        <v>86.876932999999994</v>
      </c>
      <c r="C994" s="19"/>
      <c r="D994" s="20"/>
    </row>
    <row r="995" spans="1:4" x14ac:dyDescent="0.3">
      <c r="A995" s="21">
        <v>45444.299306000001</v>
      </c>
      <c r="B995" s="18">
        <v>86.749728000000005</v>
      </c>
      <c r="C995" s="19"/>
      <c r="D995" s="20"/>
    </row>
    <row r="996" spans="1:4" x14ac:dyDescent="0.3">
      <c r="A996" s="21">
        <v>45444.3</v>
      </c>
      <c r="B996" s="18">
        <v>85.959806</v>
      </c>
      <c r="C996" s="19"/>
      <c r="D996" s="20"/>
    </row>
    <row r="997" spans="1:4" x14ac:dyDescent="0.3">
      <c r="A997" s="21">
        <v>45444.300693999998</v>
      </c>
      <c r="B997" s="18">
        <v>86.600797</v>
      </c>
      <c r="C997" s="19"/>
      <c r="D997" s="20"/>
    </row>
    <row r="998" spans="1:4" x14ac:dyDescent="0.3">
      <c r="A998" s="21">
        <v>45444.301389</v>
      </c>
      <c r="B998" s="18">
        <v>86.595084999999997</v>
      </c>
      <c r="C998" s="19"/>
      <c r="D998" s="20"/>
    </row>
    <row r="999" spans="1:4" x14ac:dyDescent="0.3">
      <c r="A999" s="21">
        <v>45444.302083000002</v>
      </c>
      <c r="B999" s="18">
        <v>86.551553999999996</v>
      </c>
      <c r="C999" s="19"/>
      <c r="D999" s="20"/>
    </row>
    <row r="1000" spans="1:4" x14ac:dyDescent="0.3">
      <c r="A1000" s="21">
        <v>45444.302777999997</v>
      </c>
      <c r="B1000" s="18">
        <v>86.458509000000006</v>
      </c>
      <c r="C1000" s="19"/>
      <c r="D1000" s="20"/>
    </row>
    <row r="1001" spans="1:4" x14ac:dyDescent="0.3">
      <c r="A1001" s="21">
        <v>45444.303472</v>
      </c>
      <c r="B1001" s="18">
        <v>86.294528999999997</v>
      </c>
      <c r="C1001" s="19"/>
      <c r="D1001" s="20"/>
    </row>
    <row r="1002" spans="1:4" x14ac:dyDescent="0.3">
      <c r="A1002" s="21">
        <v>45444.304167000002</v>
      </c>
      <c r="B1002" s="18">
        <v>86.730025999999995</v>
      </c>
      <c r="C1002" s="19"/>
      <c r="D1002" s="20"/>
    </row>
    <row r="1003" spans="1:4" x14ac:dyDescent="0.3">
      <c r="A1003" s="21">
        <v>45444.304860999997</v>
      </c>
      <c r="B1003" s="18">
        <v>85.826615000000004</v>
      </c>
      <c r="C1003" s="19"/>
      <c r="D1003" s="20"/>
    </row>
    <row r="1004" spans="1:4" x14ac:dyDescent="0.3">
      <c r="A1004" s="21">
        <v>45444.305555999999</v>
      </c>
      <c r="B1004" s="18">
        <v>85.958173000000002</v>
      </c>
      <c r="C1004" s="19"/>
      <c r="D1004" s="20"/>
    </row>
    <row r="1005" spans="1:4" x14ac:dyDescent="0.3">
      <c r="A1005" s="21">
        <v>45444.306250000001</v>
      </c>
      <c r="B1005" s="18">
        <v>86.205375000000004</v>
      </c>
      <c r="C1005" s="19"/>
      <c r="D1005" s="20"/>
    </row>
    <row r="1006" spans="1:4" x14ac:dyDescent="0.3">
      <c r="A1006" s="21">
        <v>45444.306944000004</v>
      </c>
      <c r="B1006" s="18">
        <v>85.812119999999993</v>
      </c>
      <c r="C1006" s="19"/>
      <c r="D1006" s="20"/>
    </row>
    <row r="1007" spans="1:4" x14ac:dyDescent="0.3">
      <c r="A1007" s="21">
        <v>45444.307638999999</v>
      </c>
      <c r="B1007" s="18">
        <v>86.422641999999996</v>
      </c>
      <c r="C1007" s="19"/>
      <c r="D1007" s="20"/>
    </row>
    <row r="1008" spans="1:4" x14ac:dyDescent="0.3">
      <c r="A1008" s="21">
        <v>45444.308333000001</v>
      </c>
      <c r="B1008" s="18">
        <v>86.480475999999996</v>
      </c>
      <c r="C1008" s="19"/>
      <c r="D1008" s="20"/>
    </row>
    <row r="1009" spans="1:4" x14ac:dyDescent="0.3">
      <c r="A1009" s="21">
        <v>45444.309028000003</v>
      </c>
      <c r="B1009" s="18">
        <v>86.477023000000003</v>
      </c>
      <c r="C1009" s="19"/>
      <c r="D1009" s="20"/>
    </row>
    <row r="1010" spans="1:4" x14ac:dyDescent="0.3">
      <c r="A1010" s="21">
        <v>45444.309721999998</v>
      </c>
      <c r="B1010" s="18">
        <v>86.193190000000001</v>
      </c>
      <c r="C1010" s="19"/>
      <c r="D1010" s="20"/>
    </row>
    <row r="1011" spans="1:4" x14ac:dyDescent="0.3">
      <c r="A1011" s="21">
        <v>45444.310417000001</v>
      </c>
      <c r="B1011" s="18">
        <v>86.390122000000005</v>
      </c>
      <c r="C1011" s="19"/>
      <c r="D1011" s="20"/>
    </row>
    <row r="1012" spans="1:4" x14ac:dyDescent="0.3">
      <c r="A1012" s="21">
        <v>45444.311111000003</v>
      </c>
      <c r="B1012" s="18">
        <v>86.301264000000003</v>
      </c>
      <c r="C1012" s="19"/>
      <c r="D1012" s="20"/>
    </row>
    <row r="1013" spans="1:4" x14ac:dyDescent="0.3">
      <c r="A1013" s="21">
        <v>45444.311805999998</v>
      </c>
      <c r="B1013" s="18">
        <v>85.833279000000005</v>
      </c>
      <c r="C1013" s="19"/>
      <c r="D1013" s="20"/>
    </row>
    <row r="1014" spans="1:4" x14ac:dyDescent="0.3">
      <c r="A1014" s="21">
        <v>45444.3125</v>
      </c>
      <c r="B1014" s="18">
        <v>85.868949999999998</v>
      </c>
      <c r="C1014" s="19"/>
      <c r="D1014" s="20"/>
    </row>
    <row r="1015" spans="1:4" x14ac:dyDescent="0.3">
      <c r="A1015" s="21">
        <v>45444.313194000002</v>
      </c>
      <c r="B1015" s="18">
        <v>85.742559</v>
      </c>
      <c r="C1015" s="19"/>
      <c r="D1015" s="20"/>
    </row>
    <row r="1016" spans="1:4" x14ac:dyDescent="0.3">
      <c r="A1016" s="21">
        <v>45444.313888999997</v>
      </c>
      <c r="B1016" s="18">
        <v>85.388391999999996</v>
      </c>
      <c r="C1016" s="19"/>
      <c r="D1016" s="20"/>
    </row>
    <row r="1017" spans="1:4" x14ac:dyDescent="0.3">
      <c r="A1017" s="21">
        <v>45444.314582999999</v>
      </c>
      <c r="B1017" s="18">
        <v>85.586820000000003</v>
      </c>
      <c r="C1017" s="19"/>
      <c r="D1017" s="20"/>
    </row>
    <row r="1018" spans="1:4" x14ac:dyDescent="0.3">
      <c r="A1018" s="21">
        <v>45444.315278000002</v>
      </c>
      <c r="B1018" s="18">
        <v>85.674457000000004</v>
      </c>
      <c r="C1018" s="19"/>
      <c r="D1018" s="20"/>
    </row>
    <row r="1019" spans="1:4" x14ac:dyDescent="0.3">
      <c r="A1019" s="21">
        <v>45444.315971999997</v>
      </c>
      <c r="B1019" s="18">
        <v>86.109334000000004</v>
      </c>
      <c r="C1019" s="19"/>
      <c r="D1019" s="20"/>
    </row>
    <row r="1020" spans="1:4" x14ac:dyDescent="0.3">
      <c r="A1020" s="21">
        <v>45444.316666999999</v>
      </c>
      <c r="B1020" s="18">
        <v>86.335213999999993</v>
      </c>
      <c r="C1020" s="19"/>
      <c r="D1020" s="20"/>
    </row>
    <row r="1021" spans="1:4" x14ac:dyDescent="0.3">
      <c r="A1021" s="21">
        <v>45444.317361000001</v>
      </c>
      <c r="B1021" s="18">
        <v>85.380915999999999</v>
      </c>
      <c r="C1021" s="19"/>
      <c r="D1021" s="20"/>
    </row>
    <row r="1022" spans="1:4" x14ac:dyDescent="0.3">
      <c r="A1022" s="21">
        <v>45444.318055999996</v>
      </c>
      <c r="B1022" s="18">
        <v>85.619045</v>
      </c>
      <c r="C1022" s="19"/>
      <c r="D1022" s="20"/>
    </row>
    <row r="1023" spans="1:4" x14ac:dyDescent="0.3">
      <c r="A1023" s="21">
        <v>45444.318749999999</v>
      </c>
      <c r="B1023" s="18">
        <v>85.539557000000002</v>
      </c>
      <c r="C1023" s="19"/>
      <c r="D1023" s="20"/>
    </row>
    <row r="1024" spans="1:4" x14ac:dyDescent="0.3">
      <c r="A1024" s="21">
        <v>45444.319444000001</v>
      </c>
      <c r="B1024" s="18">
        <v>85.782105000000001</v>
      </c>
      <c r="C1024" s="19"/>
      <c r="D1024" s="20"/>
    </row>
    <row r="1025" spans="1:4" x14ac:dyDescent="0.3">
      <c r="A1025" s="21">
        <v>45444.320139000003</v>
      </c>
      <c r="B1025" s="18">
        <v>86.046164000000005</v>
      </c>
      <c r="C1025" s="19"/>
      <c r="D1025" s="20"/>
    </row>
    <row r="1026" spans="1:4" x14ac:dyDescent="0.3">
      <c r="A1026" s="21">
        <v>45444.320832999998</v>
      </c>
      <c r="B1026" s="18">
        <v>85.622290000000007</v>
      </c>
      <c r="C1026" s="19"/>
      <c r="D1026" s="20"/>
    </row>
    <row r="1027" spans="1:4" x14ac:dyDescent="0.3">
      <c r="A1027" s="21">
        <v>45444.321528</v>
      </c>
      <c r="B1027" s="18">
        <v>85.785770999999997</v>
      </c>
      <c r="C1027" s="19"/>
      <c r="D1027" s="20"/>
    </row>
    <row r="1028" spans="1:4" x14ac:dyDescent="0.3">
      <c r="A1028" s="21">
        <v>45444.322222000003</v>
      </c>
      <c r="B1028" s="18">
        <v>85.577759</v>
      </c>
      <c r="C1028" s="19"/>
      <c r="D1028" s="20"/>
    </row>
    <row r="1029" spans="1:4" x14ac:dyDescent="0.3">
      <c r="A1029" s="21">
        <v>45444.322916999998</v>
      </c>
      <c r="B1029" s="18">
        <v>85.646852999999993</v>
      </c>
      <c r="C1029" s="19"/>
      <c r="D1029" s="20"/>
    </row>
    <row r="1030" spans="1:4" x14ac:dyDescent="0.3">
      <c r="A1030" s="21">
        <v>45444.323611</v>
      </c>
      <c r="B1030" s="18">
        <v>85.455504000000005</v>
      </c>
      <c r="C1030" s="19"/>
      <c r="D1030" s="20"/>
    </row>
    <row r="1031" spans="1:4" x14ac:dyDescent="0.3">
      <c r="A1031" s="21">
        <v>45444.324306000002</v>
      </c>
      <c r="B1031" s="18">
        <v>85.719525000000004</v>
      </c>
      <c r="C1031" s="19"/>
      <c r="D1031" s="20"/>
    </row>
    <row r="1032" spans="1:4" x14ac:dyDescent="0.3">
      <c r="A1032" s="21">
        <v>45444.324999999997</v>
      </c>
      <c r="B1032" s="18">
        <v>85.672732999999994</v>
      </c>
      <c r="C1032" s="19"/>
      <c r="D1032" s="20"/>
    </row>
    <row r="1033" spans="1:4" x14ac:dyDescent="0.3">
      <c r="A1033" s="21">
        <v>45444.325693999999</v>
      </c>
      <c r="B1033" s="18">
        <v>85.202929999999995</v>
      </c>
      <c r="C1033" s="19"/>
      <c r="D1033" s="20"/>
    </row>
    <row r="1034" spans="1:4" x14ac:dyDescent="0.3">
      <c r="A1034" s="21">
        <v>45444.326389000002</v>
      </c>
      <c r="B1034" s="18">
        <v>85.475628</v>
      </c>
      <c r="C1034" s="19"/>
      <c r="D1034" s="20"/>
    </row>
    <row r="1035" spans="1:4" x14ac:dyDescent="0.3">
      <c r="A1035" s="21">
        <v>45444.327082999996</v>
      </c>
      <c r="B1035" s="18">
        <v>85.813636000000002</v>
      </c>
      <c r="C1035" s="19"/>
      <c r="D1035" s="20"/>
    </row>
    <row r="1036" spans="1:4" x14ac:dyDescent="0.3">
      <c r="A1036" s="21">
        <v>45444.327777999999</v>
      </c>
      <c r="B1036" s="18">
        <v>85.466246999999996</v>
      </c>
      <c r="C1036" s="19"/>
      <c r="D1036" s="20"/>
    </row>
    <row r="1037" spans="1:4" x14ac:dyDescent="0.3">
      <c r="A1037" s="21">
        <v>45444.328472000001</v>
      </c>
      <c r="B1037" s="18">
        <v>85.409908000000001</v>
      </c>
      <c r="C1037" s="19"/>
      <c r="D1037" s="20"/>
    </row>
    <row r="1038" spans="1:4" x14ac:dyDescent="0.3">
      <c r="A1038" s="21">
        <v>45444.329167000004</v>
      </c>
      <c r="B1038" s="18">
        <v>85.279947000000007</v>
      </c>
      <c r="C1038" s="19"/>
      <c r="D1038" s="20"/>
    </row>
    <row r="1039" spans="1:4" x14ac:dyDescent="0.3">
      <c r="A1039" s="21">
        <v>45444.329860999998</v>
      </c>
      <c r="B1039" s="18">
        <v>85.288779000000005</v>
      </c>
      <c r="C1039" s="19"/>
      <c r="D1039" s="20"/>
    </row>
    <row r="1040" spans="1:4" x14ac:dyDescent="0.3">
      <c r="A1040" s="21">
        <v>45444.330556000001</v>
      </c>
      <c r="B1040" s="18">
        <v>85.521929999999998</v>
      </c>
      <c r="C1040" s="19"/>
      <c r="D1040" s="20"/>
    </row>
    <row r="1041" spans="1:4" x14ac:dyDescent="0.3">
      <c r="A1041" s="21">
        <v>45444.331250000003</v>
      </c>
      <c r="B1041" s="18">
        <v>85.559200000000004</v>
      </c>
      <c r="C1041" s="19"/>
      <c r="D1041" s="20"/>
    </row>
    <row r="1042" spans="1:4" x14ac:dyDescent="0.3">
      <c r="A1042" s="21">
        <v>45444.331943999998</v>
      </c>
      <c r="B1042" s="18">
        <v>85.624720999999994</v>
      </c>
      <c r="C1042" s="19"/>
      <c r="D1042" s="20"/>
    </row>
    <row r="1043" spans="1:4" x14ac:dyDescent="0.3">
      <c r="A1043" s="21">
        <v>45444.332639</v>
      </c>
      <c r="B1043" s="18">
        <v>85.409107000000006</v>
      </c>
      <c r="C1043" s="19"/>
      <c r="D1043" s="20"/>
    </row>
    <row r="1044" spans="1:4" x14ac:dyDescent="0.3">
      <c r="A1044" s="21">
        <v>45444.333333000002</v>
      </c>
      <c r="B1044" s="18">
        <v>85.415785</v>
      </c>
      <c r="C1044" s="19"/>
      <c r="D1044" s="20"/>
    </row>
    <row r="1045" spans="1:4" x14ac:dyDescent="0.3">
      <c r="A1045" s="21">
        <v>45444.334027999997</v>
      </c>
      <c r="B1045" s="18">
        <v>85.633217000000002</v>
      </c>
      <c r="C1045" s="19"/>
      <c r="D1045" s="20"/>
    </row>
    <row r="1046" spans="1:4" x14ac:dyDescent="0.3">
      <c r="A1046" s="21">
        <v>45444.334722</v>
      </c>
      <c r="B1046" s="18">
        <v>85.333838999999998</v>
      </c>
      <c r="C1046" s="19"/>
      <c r="D1046" s="20"/>
    </row>
    <row r="1047" spans="1:4" x14ac:dyDescent="0.3">
      <c r="A1047" s="21">
        <v>45444.335417000002</v>
      </c>
      <c r="B1047" s="18">
        <v>85.336467999999996</v>
      </c>
      <c r="C1047" s="19"/>
      <c r="D1047" s="20"/>
    </row>
    <row r="1048" spans="1:4" x14ac:dyDescent="0.3">
      <c r="A1048" s="21">
        <v>45444.336110999997</v>
      </c>
      <c r="B1048" s="18">
        <v>85.335127999999997</v>
      </c>
      <c r="C1048" s="19"/>
      <c r="D1048" s="20"/>
    </row>
    <row r="1049" spans="1:4" x14ac:dyDescent="0.3">
      <c r="A1049" s="21">
        <v>45444.336805999999</v>
      </c>
      <c r="B1049" s="18">
        <v>85.117841999999996</v>
      </c>
      <c r="C1049" s="19"/>
      <c r="D1049" s="20"/>
    </row>
    <row r="1050" spans="1:4" x14ac:dyDescent="0.3">
      <c r="A1050" s="21">
        <v>45444.337500000001</v>
      </c>
      <c r="B1050" s="18">
        <v>85.356601999999995</v>
      </c>
      <c r="C1050" s="19"/>
      <c r="D1050" s="20"/>
    </row>
    <row r="1051" spans="1:4" x14ac:dyDescent="0.3">
      <c r="A1051" s="21">
        <v>45444.338194000004</v>
      </c>
      <c r="B1051" s="18">
        <v>85.009601000000004</v>
      </c>
      <c r="C1051" s="19"/>
      <c r="D1051" s="20"/>
    </row>
    <row r="1052" spans="1:4" x14ac:dyDescent="0.3">
      <c r="A1052" s="21">
        <v>45444.338888999999</v>
      </c>
      <c r="B1052" s="18">
        <v>85.201457000000005</v>
      </c>
      <c r="C1052" s="19"/>
      <c r="D1052" s="20"/>
    </row>
    <row r="1053" spans="1:4" x14ac:dyDescent="0.3">
      <c r="A1053" s="21">
        <v>45444.339583000001</v>
      </c>
      <c r="B1053" s="18">
        <v>85.462976999999995</v>
      </c>
      <c r="C1053" s="19"/>
      <c r="D1053" s="20"/>
    </row>
    <row r="1054" spans="1:4" x14ac:dyDescent="0.3">
      <c r="A1054" s="21">
        <v>45444.340278000003</v>
      </c>
      <c r="B1054" s="18">
        <v>85.434417999999994</v>
      </c>
      <c r="C1054" s="19"/>
      <c r="D1054" s="20"/>
    </row>
    <row r="1055" spans="1:4" x14ac:dyDescent="0.3">
      <c r="A1055" s="21">
        <v>45444.340971999998</v>
      </c>
      <c r="B1055" s="18">
        <v>85.044443000000001</v>
      </c>
      <c r="C1055" s="19"/>
      <c r="D1055" s="20"/>
    </row>
    <row r="1056" spans="1:4" x14ac:dyDescent="0.3">
      <c r="A1056" s="21">
        <v>45444.341667000001</v>
      </c>
      <c r="B1056" s="18">
        <v>84.833507999999995</v>
      </c>
      <c r="C1056" s="19"/>
      <c r="D1056" s="20"/>
    </row>
    <row r="1057" spans="1:4" x14ac:dyDescent="0.3">
      <c r="A1057" s="21">
        <v>45444.342361000003</v>
      </c>
      <c r="B1057" s="18">
        <v>85.171163000000007</v>
      </c>
      <c r="C1057" s="19"/>
      <c r="D1057" s="20"/>
    </row>
    <row r="1058" spans="1:4" x14ac:dyDescent="0.3">
      <c r="A1058" s="21">
        <v>45444.343055999998</v>
      </c>
      <c r="B1058" s="18">
        <v>85.167171999999994</v>
      </c>
      <c r="C1058" s="19"/>
      <c r="D1058" s="20"/>
    </row>
    <row r="1059" spans="1:4" x14ac:dyDescent="0.3">
      <c r="A1059" s="21">
        <v>45444.34375</v>
      </c>
      <c r="B1059" s="18">
        <v>85.012422000000001</v>
      </c>
      <c r="C1059" s="19"/>
      <c r="D1059" s="20"/>
    </row>
    <row r="1060" spans="1:4" x14ac:dyDescent="0.3">
      <c r="A1060" s="21">
        <v>45444.344444000002</v>
      </c>
      <c r="B1060" s="18">
        <v>85.186993000000001</v>
      </c>
      <c r="C1060" s="19"/>
      <c r="D1060" s="20"/>
    </row>
    <row r="1061" spans="1:4" x14ac:dyDescent="0.3">
      <c r="A1061" s="21">
        <v>45444.345138999997</v>
      </c>
      <c r="B1061" s="18">
        <v>85.611228999999994</v>
      </c>
      <c r="C1061" s="19"/>
      <c r="D1061" s="20"/>
    </row>
    <row r="1062" spans="1:4" x14ac:dyDescent="0.3">
      <c r="A1062" s="21">
        <v>45444.345832999999</v>
      </c>
      <c r="B1062" s="18">
        <v>85.754164000000003</v>
      </c>
      <c r="C1062" s="19"/>
      <c r="D1062" s="20"/>
    </row>
    <row r="1063" spans="1:4" x14ac:dyDescent="0.3">
      <c r="A1063" s="21">
        <v>45444.346528000002</v>
      </c>
      <c r="B1063" s="18">
        <v>85.169534999999996</v>
      </c>
      <c r="C1063" s="19"/>
      <c r="D1063" s="20"/>
    </row>
    <row r="1064" spans="1:4" x14ac:dyDescent="0.3">
      <c r="A1064" s="21">
        <v>45444.347221999997</v>
      </c>
      <c r="B1064" s="18">
        <v>85.121379000000005</v>
      </c>
      <c r="C1064" s="19"/>
      <c r="D1064" s="20"/>
    </row>
    <row r="1065" spans="1:4" x14ac:dyDescent="0.3">
      <c r="A1065" s="21">
        <v>45444.347916999999</v>
      </c>
      <c r="B1065" s="18">
        <v>84.850858000000002</v>
      </c>
      <c r="C1065" s="19"/>
      <c r="D1065" s="20"/>
    </row>
    <row r="1066" spans="1:4" x14ac:dyDescent="0.3">
      <c r="A1066" s="21">
        <v>45444.348611000001</v>
      </c>
      <c r="B1066" s="18">
        <v>85.430693000000005</v>
      </c>
      <c r="C1066" s="19"/>
      <c r="D1066" s="20"/>
    </row>
    <row r="1067" spans="1:4" x14ac:dyDescent="0.3">
      <c r="A1067" s="21">
        <v>45444.349305999996</v>
      </c>
      <c r="B1067" s="18">
        <v>85.061376999999993</v>
      </c>
      <c r="C1067" s="19"/>
      <c r="D1067" s="20"/>
    </row>
    <row r="1068" spans="1:4" x14ac:dyDescent="0.3">
      <c r="A1068" s="21">
        <v>45444.35</v>
      </c>
      <c r="B1068" s="18">
        <v>84.915847999999997</v>
      </c>
      <c r="C1068" s="19"/>
      <c r="D1068" s="20"/>
    </row>
    <row r="1069" spans="1:4" x14ac:dyDescent="0.3">
      <c r="A1069" s="21">
        <v>45444.350694000001</v>
      </c>
      <c r="B1069" s="18">
        <v>85.082787999999994</v>
      </c>
      <c r="C1069" s="19"/>
      <c r="D1069" s="20"/>
    </row>
    <row r="1070" spans="1:4" x14ac:dyDescent="0.3">
      <c r="A1070" s="21">
        <v>45444.351389000003</v>
      </c>
      <c r="B1070" s="18">
        <v>85.436031</v>
      </c>
      <c r="C1070" s="19"/>
      <c r="D1070" s="20"/>
    </row>
    <row r="1071" spans="1:4" x14ac:dyDescent="0.3">
      <c r="A1071" s="21">
        <v>45444.352082999998</v>
      </c>
      <c r="B1071" s="18">
        <v>84.961631999999994</v>
      </c>
      <c r="C1071" s="19"/>
      <c r="D1071" s="20"/>
    </row>
    <row r="1072" spans="1:4" x14ac:dyDescent="0.3">
      <c r="A1072" s="21">
        <v>45444.352778</v>
      </c>
      <c r="B1072" s="18">
        <v>85.489130000000003</v>
      </c>
      <c r="C1072" s="19"/>
      <c r="D1072" s="20"/>
    </row>
    <row r="1073" spans="1:4" x14ac:dyDescent="0.3">
      <c r="A1073" s="21">
        <v>45444.353472000003</v>
      </c>
      <c r="B1073" s="18">
        <v>85.016918000000004</v>
      </c>
      <c r="C1073" s="19"/>
      <c r="D1073" s="20"/>
    </row>
    <row r="1074" spans="1:4" x14ac:dyDescent="0.3">
      <c r="A1074" s="21">
        <v>45444.354166999998</v>
      </c>
      <c r="B1074" s="18">
        <v>85.312269000000001</v>
      </c>
      <c r="C1074" s="19"/>
      <c r="D1074" s="20"/>
    </row>
    <row r="1075" spans="1:4" x14ac:dyDescent="0.3">
      <c r="A1075" s="21">
        <v>45444.354861</v>
      </c>
      <c r="B1075" s="18">
        <v>85.002735999999999</v>
      </c>
      <c r="C1075" s="19"/>
      <c r="D1075" s="20"/>
    </row>
    <row r="1076" spans="1:4" x14ac:dyDescent="0.3">
      <c r="A1076" s="21">
        <v>45444.355556000002</v>
      </c>
      <c r="B1076" s="18">
        <v>85.071655000000007</v>
      </c>
      <c r="C1076" s="19"/>
      <c r="D1076" s="20"/>
    </row>
    <row r="1077" spans="1:4" x14ac:dyDescent="0.3">
      <c r="A1077" s="21">
        <v>45444.356249999997</v>
      </c>
      <c r="B1077" s="18">
        <v>84.943423999999993</v>
      </c>
      <c r="C1077" s="19"/>
      <c r="D1077" s="20"/>
    </row>
    <row r="1078" spans="1:4" x14ac:dyDescent="0.3">
      <c r="A1078" s="21">
        <v>45444.356943999999</v>
      </c>
      <c r="B1078" s="18">
        <v>85.031662999999995</v>
      </c>
      <c r="C1078" s="19"/>
      <c r="D1078" s="20"/>
    </row>
    <row r="1079" spans="1:4" x14ac:dyDescent="0.3">
      <c r="A1079" s="21">
        <v>45444.357639000002</v>
      </c>
      <c r="B1079" s="18">
        <v>84.761994000000001</v>
      </c>
      <c r="C1079" s="19"/>
      <c r="D1079" s="20"/>
    </row>
    <row r="1080" spans="1:4" x14ac:dyDescent="0.3">
      <c r="A1080" s="21">
        <v>45444.358332999996</v>
      </c>
      <c r="B1080" s="18">
        <v>85.114887999999993</v>
      </c>
      <c r="C1080" s="19"/>
      <c r="D1080" s="20"/>
    </row>
    <row r="1081" spans="1:4" x14ac:dyDescent="0.3">
      <c r="A1081" s="21">
        <v>45444.359027999999</v>
      </c>
      <c r="B1081" s="18">
        <v>84.914652000000004</v>
      </c>
      <c r="C1081" s="19"/>
      <c r="D1081" s="20"/>
    </row>
    <row r="1082" spans="1:4" x14ac:dyDescent="0.3">
      <c r="A1082" s="21">
        <v>45444.359722000001</v>
      </c>
      <c r="B1082" s="18">
        <v>85.086198999999993</v>
      </c>
      <c r="C1082" s="19"/>
      <c r="D1082" s="20"/>
    </row>
    <row r="1083" spans="1:4" x14ac:dyDescent="0.3">
      <c r="A1083" s="21">
        <v>45444.360417000004</v>
      </c>
      <c r="B1083" s="18">
        <v>84.515506000000002</v>
      </c>
      <c r="C1083" s="19"/>
      <c r="D1083" s="20"/>
    </row>
    <row r="1084" spans="1:4" x14ac:dyDescent="0.3">
      <c r="A1084" s="21">
        <v>45444.361110999998</v>
      </c>
      <c r="B1084" s="18">
        <v>84.900356000000002</v>
      </c>
      <c r="C1084" s="19"/>
      <c r="D1084" s="20"/>
    </row>
    <row r="1085" spans="1:4" x14ac:dyDescent="0.3">
      <c r="A1085" s="21">
        <v>45444.361806000001</v>
      </c>
      <c r="B1085" s="18">
        <v>84.599288999999999</v>
      </c>
      <c r="C1085" s="19"/>
      <c r="D1085" s="20"/>
    </row>
    <row r="1086" spans="1:4" x14ac:dyDescent="0.3">
      <c r="A1086" s="21">
        <v>45444.362500000003</v>
      </c>
      <c r="B1086" s="18">
        <v>84.837850000000003</v>
      </c>
      <c r="C1086" s="19"/>
      <c r="D1086" s="20"/>
    </row>
    <row r="1087" spans="1:4" x14ac:dyDescent="0.3">
      <c r="A1087" s="21">
        <v>45444.363193999998</v>
      </c>
      <c r="B1087" s="18">
        <v>85.023515000000003</v>
      </c>
      <c r="C1087" s="19"/>
      <c r="D1087" s="20"/>
    </row>
    <row r="1088" spans="1:4" x14ac:dyDescent="0.3">
      <c r="A1088" s="21">
        <v>45444.363889</v>
      </c>
      <c r="B1088" s="18">
        <v>84.768891999999994</v>
      </c>
      <c r="C1088" s="19"/>
      <c r="D1088" s="20"/>
    </row>
    <row r="1089" spans="1:4" x14ac:dyDescent="0.3">
      <c r="A1089" s="21">
        <v>45444.364583000002</v>
      </c>
      <c r="B1089" s="18">
        <v>85.136273000000003</v>
      </c>
      <c r="C1089" s="19"/>
      <c r="D1089" s="20"/>
    </row>
    <row r="1090" spans="1:4" x14ac:dyDescent="0.3">
      <c r="A1090" s="21">
        <v>45444.365277999997</v>
      </c>
      <c r="B1090" s="18">
        <v>85.139750000000006</v>
      </c>
      <c r="C1090" s="19"/>
      <c r="D1090" s="20"/>
    </row>
    <row r="1091" spans="1:4" x14ac:dyDescent="0.3">
      <c r="A1091" s="21">
        <v>45444.365972</v>
      </c>
      <c r="B1091" s="18">
        <v>84.912025999999997</v>
      </c>
      <c r="C1091" s="19"/>
      <c r="D1091" s="20"/>
    </row>
    <row r="1092" spans="1:4" x14ac:dyDescent="0.3">
      <c r="A1092" s="21">
        <v>45444.366667000002</v>
      </c>
      <c r="B1092" s="18">
        <v>85.268677999999994</v>
      </c>
      <c r="C1092" s="19"/>
      <c r="D1092" s="20"/>
    </row>
    <row r="1093" spans="1:4" x14ac:dyDescent="0.3">
      <c r="A1093" s="21">
        <v>45444.367360999997</v>
      </c>
      <c r="B1093" s="18">
        <v>85.473714000000001</v>
      </c>
      <c r="C1093" s="19"/>
      <c r="D1093" s="20"/>
    </row>
    <row r="1094" spans="1:4" x14ac:dyDescent="0.3">
      <c r="A1094" s="21">
        <v>45444.368055999999</v>
      </c>
      <c r="B1094" s="18">
        <v>84.616726</v>
      </c>
      <c r="C1094" s="19"/>
      <c r="D1094" s="20"/>
    </row>
    <row r="1095" spans="1:4" x14ac:dyDescent="0.3">
      <c r="A1095" s="21">
        <v>45444.368750000001</v>
      </c>
      <c r="B1095" s="18">
        <v>84.911752000000007</v>
      </c>
      <c r="C1095" s="19"/>
      <c r="D1095" s="20"/>
    </row>
    <row r="1096" spans="1:4" x14ac:dyDescent="0.3">
      <c r="A1096" s="21">
        <v>45444.369444000004</v>
      </c>
      <c r="B1096" s="18">
        <v>84.510446000000002</v>
      </c>
      <c r="C1096" s="19"/>
      <c r="D1096" s="20"/>
    </row>
    <row r="1097" spans="1:4" x14ac:dyDescent="0.3">
      <c r="A1097" s="21">
        <v>45444.370138999999</v>
      </c>
      <c r="B1097" s="18">
        <v>84.515615999999994</v>
      </c>
      <c r="C1097" s="19"/>
      <c r="D1097" s="20"/>
    </row>
    <row r="1098" spans="1:4" x14ac:dyDescent="0.3">
      <c r="A1098" s="21">
        <v>45444.370833000001</v>
      </c>
      <c r="B1098" s="18">
        <v>84.660566000000003</v>
      </c>
      <c r="C1098" s="19"/>
      <c r="D1098" s="20"/>
    </row>
    <row r="1099" spans="1:4" x14ac:dyDescent="0.3">
      <c r="A1099" s="21">
        <v>45444.371528000003</v>
      </c>
      <c r="B1099" s="18">
        <v>84.911744999999996</v>
      </c>
      <c r="C1099" s="19"/>
      <c r="D1099" s="20"/>
    </row>
    <row r="1100" spans="1:4" x14ac:dyDescent="0.3">
      <c r="A1100" s="21">
        <v>45444.372221999998</v>
      </c>
      <c r="B1100" s="18">
        <v>84.632433000000006</v>
      </c>
      <c r="C1100" s="19"/>
      <c r="D1100" s="20"/>
    </row>
    <row r="1101" spans="1:4" x14ac:dyDescent="0.3">
      <c r="A1101" s="21">
        <v>45444.372917000001</v>
      </c>
      <c r="B1101" s="18">
        <v>77.550113999999994</v>
      </c>
      <c r="C1101" s="19"/>
      <c r="D1101" s="20"/>
    </row>
    <row r="1102" spans="1:4" x14ac:dyDescent="0.3">
      <c r="A1102" s="21">
        <v>45444.373611000003</v>
      </c>
      <c r="B1102" s="18">
        <v>70.587591000000003</v>
      </c>
      <c r="C1102" s="19"/>
      <c r="D1102" s="20"/>
    </row>
    <row r="1103" spans="1:4" x14ac:dyDescent="0.3">
      <c r="A1103" s="21">
        <v>45444.374305999998</v>
      </c>
      <c r="B1103" s="18">
        <v>70.272126999999998</v>
      </c>
      <c r="C1103" s="19"/>
      <c r="D1103" s="20"/>
    </row>
    <row r="1104" spans="1:4" x14ac:dyDescent="0.3">
      <c r="A1104" s="21">
        <v>45444.375</v>
      </c>
      <c r="B1104" s="18">
        <v>70.308222999999998</v>
      </c>
      <c r="C1104" s="19"/>
      <c r="D1104" s="20"/>
    </row>
    <row r="1105" spans="1:4" x14ac:dyDescent="0.3">
      <c r="A1105" s="21">
        <v>45444.375694000002</v>
      </c>
      <c r="B1105" s="18">
        <v>69.832711000000003</v>
      </c>
      <c r="C1105" s="19"/>
      <c r="D1105" s="20"/>
    </row>
    <row r="1106" spans="1:4" x14ac:dyDescent="0.3">
      <c r="A1106" s="21">
        <v>45444.376388999997</v>
      </c>
      <c r="B1106" s="18">
        <v>70.162137999999999</v>
      </c>
      <c r="C1106" s="19"/>
      <c r="D1106" s="20"/>
    </row>
    <row r="1107" spans="1:4" x14ac:dyDescent="0.3">
      <c r="A1107" s="21">
        <v>45444.377082999999</v>
      </c>
      <c r="B1107" s="18">
        <v>69.813846999999996</v>
      </c>
      <c r="C1107" s="19"/>
      <c r="D1107" s="20"/>
    </row>
    <row r="1108" spans="1:4" x14ac:dyDescent="0.3">
      <c r="A1108" s="21">
        <v>45444.377778000002</v>
      </c>
      <c r="B1108" s="18">
        <v>70.108039000000005</v>
      </c>
      <c r="C1108" s="19"/>
      <c r="D1108" s="20"/>
    </row>
    <row r="1109" spans="1:4" x14ac:dyDescent="0.3">
      <c r="A1109" s="21">
        <v>45444.378471999997</v>
      </c>
      <c r="B1109" s="18">
        <v>70.034184999999994</v>
      </c>
      <c r="C1109" s="19"/>
      <c r="D1109" s="20"/>
    </row>
    <row r="1110" spans="1:4" x14ac:dyDescent="0.3">
      <c r="A1110" s="21">
        <v>45444.379166999999</v>
      </c>
      <c r="B1110" s="18">
        <v>70.209832000000006</v>
      </c>
      <c r="C1110" s="19"/>
      <c r="D1110" s="20"/>
    </row>
    <row r="1111" spans="1:4" x14ac:dyDescent="0.3">
      <c r="A1111" s="21">
        <v>45444.379861000001</v>
      </c>
      <c r="B1111" s="18">
        <v>69.940730000000002</v>
      </c>
      <c r="C1111" s="19"/>
      <c r="D1111" s="20"/>
    </row>
    <row r="1112" spans="1:4" x14ac:dyDescent="0.3">
      <c r="A1112" s="21">
        <v>45444.380555999996</v>
      </c>
      <c r="B1112" s="18">
        <v>70.138700999999998</v>
      </c>
      <c r="C1112" s="19"/>
      <c r="D1112" s="20"/>
    </row>
    <row r="1113" spans="1:4" x14ac:dyDescent="0.3">
      <c r="A1113" s="21">
        <v>45444.381249999999</v>
      </c>
      <c r="B1113" s="18">
        <v>70.462509999999995</v>
      </c>
      <c r="C1113" s="19"/>
      <c r="D1113" s="20"/>
    </row>
    <row r="1114" spans="1:4" x14ac:dyDescent="0.3">
      <c r="A1114" s="21">
        <v>45444.381944000001</v>
      </c>
      <c r="B1114" s="18">
        <v>70.173506000000003</v>
      </c>
      <c r="C1114" s="19"/>
      <c r="D1114" s="20"/>
    </row>
    <row r="1115" spans="1:4" x14ac:dyDescent="0.3">
      <c r="A1115" s="21">
        <v>45444.382639000003</v>
      </c>
      <c r="B1115" s="18">
        <v>70.080358000000004</v>
      </c>
      <c r="C1115" s="19"/>
      <c r="D1115" s="20"/>
    </row>
    <row r="1116" spans="1:4" x14ac:dyDescent="0.3">
      <c r="A1116" s="21">
        <v>45444.383332999998</v>
      </c>
      <c r="B1116" s="18">
        <v>70.099305999999999</v>
      </c>
      <c r="C1116" s="19"/>
      <c r="D1116" s="20"/>
    </row>
    <row r="1117" spans="1:4" x14ac:dyDescent="0.3">
      <c r="A1117" s="21">
        <v>45444.384028</v>
      </c>
      <c r="B1117" s="18">
        <v>70.202946999999995</v>
      </c>
      <c r="C1117" s="19"/>
      <c r="D1117" s="20"/>
    </row>
    <row r="1118" spans="1:4" x14ac:dyDescent="0.3">
      <c r="A1118" s="21">
        <v>45444.384722000003</v>
      </c>
      <c r="B1118" s="18">
        <v>70.538236999999995</v>
      </c>
      <c r="C1118" s="19"/>
      <c r="D1118" s="20"/>
    </row>
    <row r="1119" spans="1:4" x14ac:dyDescent="0.3">
      <c r="A1119" s="21">
        <v>45444.385416999998</v>
      </c>
      <c r="B1119" s="18">
        <v>70.551035999999996</v>
      </c>
      <c r="C1119" s="19"/>
      <c r="D1119" s="20"/>
    </row>
    <row r="1120" spans="1:4" x14ac:dyDescent="0.3">
      <c r="A1120" s="21">
        <v>45444.386111</v>
      </c>
      <c r="B1120" s="18">
        <v>70.243126000000004</v>
      </c>
      <c r="C1120" s="19"/>
      <c r="D1120" s="20"/>
    </row>
    <row r="1121" spans="1:4" x14ac:dyDescent="0.3">
      <c r="A1121" s="21">
        <v>45444.386806000002</v>
      </c>
      <c r="B1121" s="18">
        <v>70.553132000000005</v>
      </c>
      <c r="C1121" s="19"/>
      <c r="D1121" s="20"/>
    </row>
    <row r="1122" spans="1:4" x14ac:dyDescent="0.3">
      <c r="A1122" s="21">
        <v>45444.387499999997</v>
      </c>
      <c r="B1122" s="18">
        <v>70.588142000000005</v>
      </c>
      <c r="C1122" s="19"/>
      <c r="D1122" s="20"/>
    </row>
    <row r="1123" spans="1:4" x14ac:dyDescent="0.3">
      <c r="A1123" s="21">
        <v>45444.388193999999</v>
      </c>
      <c r="B1123" s="18">
        <v>70.481093999999999</v>
      </c>
      <c r="C1123" s="19"/>
      <c r="D1123" s="20"/>
    </row>
    <row r="1124" spans="1:4" x14ac:dyDescent="0.3">
      <c r="A1124" s="21">
        <v>45444.388889000002</v>
      </c>
      <c r="B1124" s="18">
        <v>70.670411999999999</v>
      </c>
      <c r="C1124" s="19"/>
      <c r="D1124" s="20"/>
    </row>
    <row r="1125" spans="1:4" x14ac:dyDescent="0.3">
      <c r="A1125" s="21">
        <v>45444.389582999996</v>
      </c>
      <c r="B1125" s="18">
        <v>70.898168999999996</v>
      </c>
      <c r="C1125" s="19"/>
      <c r="D1125" s="20"/>
    </row>
    <row r="1126" spans="1:4" x14ac:dyDescent="0.3">
      <c r="A1126" s="21">
        <v>45444.390277999999</v>
      </c>
      <c r="B1126" s="18">
        <v>70.344821999999994</v>
      </c>
      <c r="C1126" s="19"/>
      <c r="D1126" s="20"/>
    </row>
    <row r="1127" spans="1:4" x14ac:dyDescent="0.3">
      <c r="A1127" s="21">
        <v>45444.390972000001</v>
      </c>
      <c r="B1127" s="18">
        <v>70.950789999999998</v>
      </c>
      <c r="C1127" s="19"/>
      <c r="D1127" s="20"/>
    </row>
    <row r="1128" spans="1:4" x14ac:dyDescent="0.3">
      <c r="A1128" s="21">
        <v>45444.391667000004</v>
      </c>
      <c r="B1128" s="18">
        <v>70.688827000000003</v>
      </c>
      <c r="C1128" s="19"/>
      <c r="D1128" s="20"/>
    </row>
    <row r="1129" spans="1:4" x14ac:dyDescent="0.3">
      <c r="A1129" s="21">
        <v>45444.392360999998</v>
      </c>
      <c r="B1129" s="18">
        <v>71.039288999999997</v>
      </c>
      <c r="C1129" s="19"/>
      <c r="D1129" s="20"/>
    </row>
    <row r="1130" spans="1:4" x14ac:dyDescent="0.3">
      <c r="A1130" s="21">
        <v>45444.393056000001</v>
      </c>
      <c r="B1130" s="18">
        <v>70.811211999999998</v>
      </c>
      <c r="C1130" s="19"/>
      <c r="D1130" s="20"/>
    </row>
    <row r="1131" spans="1:4" x14ac:dyDescent="0.3">
      <c r="A1131" s="21">
        <v>45444.393750000003</v>
      </c>
      <c r="B1131" s="18">
        <v>70.991944000000004</v>
      </c>
      <c r="C1131" s="19"/>
      <c r="D1131" s="20"/>
    </row>
    <row r="1132" spans="1:4" x14ac:dyDescent="0.3">
      <c r="A1132" s="21">
        <v>45444.394443999998</v>
      </c>
      <c r="B1132" s="18">
        <v>70.843793000000005</v>
      </c>
      <c r="C1132" s="19"/>
      <c r="D1132" s="20"/>
    </row>
    <row r="1133" spans="1:4" x14ac:dyDescent="0.3">
      <c r="A1133" s="21">
        <v>45444.395139</v>
      </c>
      <c r="B1133" s="18">
        <v>71.026679999999999</v>
      </c>
      <c r="C1133" s="19"/>
      <c r="D1133" s="20"/>
    </row>
    <row r="1134" spans="1:4" x14ac:dyDescent="0.3">
      <c r="A1134" s="21">
        <v>45444.395833000002</v>
      </c>
      <c r="B1134" s="18">
        <v>70.969789000000006</v>
      </c>
      <c r="C1134" s="19"/>
      <c r="D1134" s="20"/>
    </row>
    <row r="1135" spans="1:4" x14ac:dyDescent="0.3">
      <c r="A1135" s="21">
        <v>45444.396527999997</v>
      </c>
      <c r="B1135" s="18">
        <v>71.210804999999993</v>
      </c>
      <c r="C1135" s="19"/>
      <c r="D1135" s="20"/>
    </row>
    <row r="1136" spans="1:4" x14ac:dyDescent="0.3">
      <c r="A1136" s="21">
        <v>45444.397222</v>
      </c>
      <c r="B1136" s="18">
        <v>70.910234000000003</v>
      </c>
      <c r="C1136" s="19"/>
      <c r="D1136" s="20"/>
    </row>
    <row r="1137" spans="1:4" x14ac:dyDescent="0.3">
      <c r="A1137" s="21">
        <v>45444.397917000002</v>
      </c>
      <c r="B1137" s="18">
        <v>71.271990000000002</v>
      </c>
      <c r="C1137" s="19"/>
      <c r="D1137" s="20"/>
    </row>
    <row r="1138" spans="1:4" x14ac:dyDescent="0.3">
      <c r="A1138" s="21">
        <v>45444.398610999997</v>
      </c>
      <c r="B1138" s="18">
        <v>71.772638000000001</v>
      </c>
      <c r="C1138" s="19"/>
      <c r="D1138" s="20"/>
    </row>
    <row r="1139" spans="1:4" x14ac:dyDescent="0.3">
      <c r="A1139" s="21">
        <v>45444.399305999999</v>
      </c>
      <c r="B1139" s="18">
        <v>71.222721000000007</v>
      </c>
      <c r="C1139" s="19"/>
      <c r="D1139" s="20"/>
    </row>
    <row r="1140" spans="1:4" x14ac:dyDescent="0.3">
      <c r="A1140" s="21">
        <v>45444.4</v>
      </c>
      <c r="B1140" s="18">
        <v>71.284148000000002</v>
      </c>
      <c r="C1140" s="19"/>
      <c r="D1140" s="20"/>
    </row>
    <row r="1141" spans="1:4" x14ac:dyDescent="0.3">
      <c r="A1141" s="21">
        <v>45444.400694000004</v>
      </c>
      <c r="B1141" s="18">
        <v>71.513587999999999</v>
      </c>
      <c r="C1141" s="19"/>
      <c r="D1141" s="20"/>
    </row>
    <row r="1142" spans="1:4" x14ac:dyDescent="0.3">
      <c r="A1142" s="21">
        <v>45444.401388999999</v>
      </c>
      <c r="B1142" s="18">
        <v>71.350324999999998</v>
      </c>
      <c r="C1142" s="19"/>
      <c r="D1142" s="20"/>
    </row>
    <row r="1143" spans="1:4" x14ac:dyDescent="0.3">
      <c r="A1143" s="21">
        <v>45444.402083000001</v>
      </c>
      <c r="B1143" s="18">
        <v>70.953162000000006</v>
      </c>
      <c r="C1143" s="19"/>
      <c r="D1143" s="20"/>
    </row>
    <row r="1144" spans="1:4" x14ac:dyDescent="0.3">
      <c r="A1144" s="21">
        <v>45444.402778000003</v>
      </c>
      <c r="B1144" s="18">
        <v>71.472599000000002</v>
      </c>
      <c r="C1144" s="19"/>
      <c r="D1144" s="20"/>
    </row>
    <row r="1145" spans="1:4" x14ac:dyDescent="0.3">
      <c r="A1145" s="21">
        <v>45444.403471999998</v>
      </c>
      <c r="B1145" s="18">
        <v>71.575136999999998</v>
      </c>
      <c r="C1145" s="19"/>
      <c r="D1145" s="20"/>
    </row>
    <row r="1146" spans="1:4" x14ac:dyDescent="0.3">
      <c r="A1146" s="21">
        <v>45444.404167000001</v>
      </c>
      <c r="B1146" s="18">
        <v>71.154341000000002</v>
      </c>
      <c r="C1146" s="19"/>
      <c r="D1146" s="20"/>
    </row>
    <row r="1147" spans="1:4" x14ac:dyDescent="0.3">
      <c r="A1147" s="21">
        <v>45444.404861000003</v>
      </c>
      <c r="B1147" s="18">
        <v>71.389762000000005</v>
      </c>
      <c r="C1147" s="19"/>
      <c r="D1147" s="20"/>
    </row>
    <row r="1148" spans="1:4" x14ac:dyDescent="0.3">
      <c r="A1148" s="21">
        <v>45444.405555999998</v>
      </c>
      <c r="B1148" s="18">
        <v>71.276087000000004</v>
      </c>
      <c r="C1148" s="19"/>
      <c r="D1148" s="20"/>
    </row>
    <row r="1149" spans="1:4" x14ac:dyDescent="0.3">
      <c r="A1149" s="21">
        <v>45444.40625</v>
      </c>
      <c r="B1149" s="18">
        <v>71.246229999999997</v>
      </c>
      <c r="C1149" s="19"/>
      <c r="D1149" s="20"/>
    </row>
    <row r="1150" spans="1:4" x14ac:dyDescent="0.3">
      <c r="A1150" s="21">
        <v>45444.406944000002</v>
      </c>
      <c r="B1150" s="18">
        <v>71.750848000000005</v>
      </c>
      <c r="C1150" s="19"/>
      <c r="D1150" s="20"/>
    </row>
    <row r="1151" spans="1:4" x14ac:dyDescent="0.3">
      <c r="A1151" s="21">
        <v>45444.407638999997</v>
      </c>
      <c r="B1151" s="18">
        <v>71.601397000000006</v>
      </c>
      <c r="C1151" s="19"/>
      <c r="D1151" s="20"/>
    </row>
    <row r="1152" spans="1:4" x14ac:dyDescent="0.3">
      <c r="A1152" s="21">
        <v>45444.408332999999</v>
      </c>
      <c r="B1152" s="18">
        <v>71.549671000000004</v>
      </c>
      <c r="C1152" s="19"/>
      <c r="D1152" s="20"/>
    </row>
    <row r="1153" spans="1:4" x14ac:dyDescent="0.3">
      <c r="A1153" s="21">
        <v>45444.409028000002</v>
      </c>
      <c r="B1153" s="18">
        <v>71.516834000000003</v>
      </c>
      <c r="C1153" s="19"/>
      <c r="D1153" s="20"/>
    </row>
    <row r="1154" spans="1:4" x14ac:dyDescent="0.3">
      <c r="A1154" s="21">
        <v>45444.409721999997</v>
      </c>
      <c r="B1154" s="18">
        <v>71.730975000000001</v>
      </c>
      <c r="C1154" s="19"/>
      <c r="D1154" s="20"/>
    </row>
    <row r="1155" spans="1:4" x14ac:dyDescent="0.3">
      <c r="A1155" s="21">
        <v>45444.410416999999</v>
      </c>
      <c r="B1155" s="18">
        <v>71.189970000000002</v>
      </c>
      <c r="C1155" s="19"/>
      <c r="D1155" s="20"/>
    </row>
    <row r="1156" spans="1:4" x14ac:dyDescent="0.3">
      <c r="A1156" s="21">
        <v>45444.411111000001</v>
      </c>
      <c r="B1156" s="18">
        <v>71.566058999999996</v>
      </c>
      <c r="C1156" s="19"/>
      <c r="D1156" s="20"/>
    </row>
    <row r="1157" spans="1:4" x14ac:dyDescent="0.3">
      <c r="A1157" s="21">
        <v>45444.411805999996</v>
      </c>
      <c r="B1157" s="18">
        <v>71.455746000000005</v>
      </c>
      <c r="C1157" s="19"/>
      <c r="D1157" s="20"/>
    </row>
    <row r="1158" spans="1:4" x14ac:dyDescent="0.3">
      <c r="A1158" s="21">
        <v>45444.412499999999</v>
      </c>
      <c r="B1158" s="18">
        <v>71.803586999999993</v>
      </c>
      <c r="C1158" s="19"/>
      <c r="D1158" s="20"/>
    </row>
    <row r="1159" spans="1:4" x14ac:dyDescent="0.3">
      <c r="A1159" s="21">
        <v>45444.413194000001</v>
      </c>
      <c r="B1159" s="18">
        <v>71.535484999999994</v>
      </c>
      <c r="C1159" s="19"/>
      <c r="D1159" s="20"/>
    </row>
    <row r="1160" spans="1:4" x14ac:dyDescent="0.3">
      <c r="A1160" s="21">
        <v>45444.413889000003</v>
      </c>
      <c r="B1160" s="18">
        <v>71.586794999999995</v>
      </c>
      <c r="C1160" s="19"/>
      <c r="D1160" s="20"/>
    </row>
    <row r="1161" spans="1:4" x14ac:dyDescent="0.3">
      <c r="A1161" s="21">
        <v>45444.414582999998</v>
      </c>
      <c r="B1161" s="18">
        <v>71.806954000000005</v>
      </c>
      <c r="C1161" s="19"/>
      <c r="D1161" s="20"/>
    </row>
    <row r="1162" spans="1:4" x14ac:dyDescent="0.3">
      <c r="A1162" s="21">
        <v>45444.415278</v>
      </c>
      <c r="B1162" s="18">
        <v>71.693811999999994</v>
      </c>
      <c r="C1162" s="19"/>
      <c r="D1162" s="20"/>
    </row>
    <row r="1163" spans="1:4" x14ac:dyDescent="0.3">
      <c r="A1163" s="21">
        <v>45444.415972000003</v>
      </c>
      <c r="B1163" s="18">
        <v>71.404199000000006</v>
      </c>
      <c r="C1163" s="19"/>
      <c r="D1163" s="20"/>
    </row>
    <row r="1164" spans="1:4" x14ac:dyDescent="0.3">
      <c r="A1164" s="21">
        <v>45444.416666999998</v>
      </c>
      <c r="B1164" s="18">
        <v>71.429395</v>
      </c>
      <c r="C1164" s="19"/>
      <c r="D1164" s="20"/>
    </row>
    <row r="1165" spans="1:4" x14ac:dyDescent="0.3">
      <c r="A1165" s="21">
        <v>45444.417361</v>
      </c>
      <c r="B1165" s="18">
        <v>71.493621000000005</v>
      </c>
      <c r="C1165" s="19"/>
      <c r="D1165" s="20"/>
    </row>
    <row r="1166" spans="1:4" x14ac:dyDescent="0.3">
      <c r="A1166" s="21">
        <v>45444.418056000002</v>
      </c>
      <c r="B1166" s="18">
        <v>71.713182000000003</v>
      </c>
      <c r="C1166" s="19"/>
      <c r="D1166" s="20"/>
    </row>
    <row r="1167" spans="1:4" x14ac:dyDescent="0.3">
      <c r="A1167" s="21">
        <v>45444.418749999997</v>
      </c>
      <c r="B1167" s="18">
        <v>72.122686999999999</v>
      </c>
      <c r="C1167" s="19"/>
      <c r="D1167" s="20"/>
    </row>
    <row r="1168" spans="1:4" x14ac:dyDescent="0.3">
      <c r="A1168" s="21">
        <v>45444.419443999999</v>
      </c>
      <c r="B1168" s="18">
        <v>71.795492999999993</v>
      </c>
      <c r="C1168" s="19"/>
      <c r="D1168" s="20"/>
    </row>
    <row r="1169" spans="1:4" x14ac:dyDescent="0.3">
      <c r="A1169" s="21">
        <v>45444.420139000002</v>
      </c>
      <c r="B1169" s="18">
        <v>71.869799999999998</v>
      </c>
      <c r="C1169" s="19"/>
      <c r="D1169" s="20"/>
    </row>
    <row r="1170" spans="1:4" x14ac:dyDescent="0.3">
      <c r="A1170" s="21">
        <v>45444.420832999996</v>
      </c>
      <c r="B1170" s="18">
        <v>72.281512000000006</v>
      </c>
      <c r="C1170" s="19"/>
      <c r="D1170" s="20"/>
    </row>
    <row r="1171" spans="1:4" x14ac:dyDescent="0.3">
      <c r="A1171" s="21">
        <v>45444.421527999999</v>
      </c>
      <c r="B1171" s="18">
        <v>71.650767999999999</v>
      </c>
      <c r="C1171" s="19"/>
      <c r="D1171" s="20"/>
    </row>
    <row r="1172" spans="1:4" x14ac:dyDescent="0.3">
      <c r="A1172" s="21">
        <v>45444.422222000001</v>
      </c>
      <c r="B1172" s="18">
        <v>71.647238000000002</v>
      </c>
      <c r="C1172" s="19"/>
      <c r="D1172" s="20"/>
    </row>
    <row r="1173" spans="1:4" x14ac:dyDescent="0.3">
      <c r="A1173" s="21">
        <v>45444.422917000004</v>
      </c>
      <c r="B1173" s="18">
        <v>72.022060999999994</v>
      </c>
      <c r="C1173" s="19"/>
      <c r="D1173" s="20"/>
    </row>
    <row r="1174" spans="1:4" x14ac:dyDescent="0.3">
      <c r="A1174" s="21">
        <v>45444.423610999998</v>
      </c>
      <c r="B1174" s="18">
        <v>71.676168000000004</v>
      </c>
      <c r="C1174" s="19"/>
      <c r="D1174" s="20"/>
    </row>
    <row r="1175" spans="1:4" x14ac:dyDescent="0.3">
      <c r="A1175" s="21">
        <v>45444.424306000001</v>
      </c>
      <c r="B1175" s="18">
        <v>71.990588000000002</v>
      </c>
      <c r="C1175" s="19"/>
      <c r="D1175" s="20"/>
    </row>
    <row r="1176" spans="1:4" x14ac:dyDescent="0.3">
      <c r="A1176" s="21">
        <v>45444.425000000003</v>
      </c>
      <c r="B1176" s="18">
        <v>72.180789000000004</v>
      </c>
      <c r="C1176" s="19"/>
      <c r="D1176" s="20"/>
    </row>
    <row r="1177" spans="1:4" x14ac:dyDescent="0.3">
      <c r="A1177" s="21">
        <v>45444.425693999998</v>
      </c>
      <c r="B1177" s="18">
        <v>72.115063000000006</v>
      </c>
      <c r="C1177" s="19"/>
      <c r="D1177" s="20"/>
    </row>
    <row r="1178" spans="1:4" x14ac:dyDescent="0.3">
      <c r="A1178" s="21">
        <v>45444.426389</v>
      </c>
      <c r="B1178" s="18">
        <v>72.003416000000001</v>
      </c>
      <c r="C1178" s="19"/>
      <c r="D1178" s="20"/>
    </row>
    <row r="1179" spans="1:4" x14ac:dyDescent="0.3">
      <c r="A1179" s="21">
        <v>45444.427083000002</v>
      </c>
      <c r="B1179" s="18">
        <v>71.956250999999995</v>
      </c>
      <c r="C1179" s="19"/>
      <c r="D1179" s="20"/>
    </row>
    <row r="1180" spans="1:4" x14ac:dyDescent="0.3">
      <c r="A1180" s="21">
        <v>45444.427777999997</v>
      </c>
      <c r="B1180" s="18">
        <v>72.159740999999997</v>
      </c>
      <c r="C1180" s="19"/>
      <c r="D1180" s="20"/>
    </row>
    <row r="1181" spans="1:4" x14ac:dyDescent="0.3">
      <c r="A1181" s="21">
        <v>45444.428472</v>
      </c>
      <c r="B1181" s="18">
        <v>71.913016999999996</v>
      </c>
      <c r="C1181" s="19"/>
      <c r="D1181" s="20"/>
    </row>
    <row r="1182" spans="1:4" x14ac:dyDescent="0.3">
      <c r="A1182" s="21">
        <v>45444.429167000002</v>
      </c>
      <c r="B1182" s="18">
        <v>71.628414000000006</v>
      </c>
      <c r="C1182" s="19"/>
      <c r="D1182" s="20"/>
    </row>
    <row r="1183" spans="1:4" x14ac:dyDescent="0.3">
      <c r="A1183" s="21">
        <v>45444.429860999997</v>
      </c>
      <c r="B1183" s="18">
        <v>72.193261000000007</v>
      </c>
      <c r="C1183" s="19"/>
      <c r="D1183" s="20"/>
    </row>
    <row r="1184" spans="1:4" x14ac:dyDescent="0.3">
      <c r="A1184" s="21">
        <v>45444.430555999999</v>
      </c>
      <c r="B1184" s="18">
        <v>71.755037000000002</v>
      </c>
      <c r="C1184" s="19"/>
      <c r="D1184" s="20"/>
    </row>
    <row r="1185" spans="1:4" x14ac:dyDescent="0.3">
      <c r="A1185" s="21">
        <v>45444.431250000001</v>
      </c>
      <c r="B1185" s="18">
        <v>71.955371</v>
      </c>
      <c r="C1185" s="19"/>
      <c r="D1185" s="20"/>
    </row>
    <row r="1186" spans="1:4" x14ac:dyDescent="0.3">
      <c r="A1186" s="21">
        <v>45444.431944000004</v>
      </c>
      <c r="B1186" s="18">
        <v>72.028619000000006</v>
      </c>
      <c r="C1186" s="19"/>
      <c r="D1186" s="20"/>
    </row>
    <row r="1187" spans="1:4" x14ac:dyDescent="0.3">
      <c r="A1187" s="21">
        <v>45444.432638999999</v>
      </c>
      <c r="B1187" s="18">
        <v>72.020713999999998</v>
      </c>
      <c r="C1187" s="19"/>
      <c r="D1187" s="20"/>
    </row>
    <row r="1188" spans="1:4" x14ac:dyDescent="0.3">
      <c r="A1188" s="21">
        <v>45444.433333000001</v>
      </c>
      <c r="B1188" s="18">
        <v>71.829417000000007</v>
      </c>
      <c r="C1188" s="19"/>
      <c r="D1188" s="20"/>
    </row>
    <row r="1189" spans="1:4" x14ac:dyDescent="0.3">
      <c r="A1189" s="21">
        <v>45444.434028000003</v>
      </c>
      <c r="B1189" s="18">
        <v>72.222802000000001</v>
      </c>
      <c r="C1189" s="19"/>
      <c r="D1189" s="20"/>
    </row>
    <row r="1190" spans="1:4" x14ac:dyDescent="0.3">
      <c r="A1190" s="21">
        <v>45444.434721999998</v>
      </c>
      <c r="B1190" s="18">
        <v>72.294095999999996</v>
      </c>
      <c r="C1190" s="19"/>
      <c r="D1190" s="20"/>
    </row>
    <row r="1191" spans="1:4" x14ac:dyDescent="0.3">
      <c r="A1191" s="21">
        <v>45444.435417000001</v>
      </c>
      <c r="B1191" s="18">
        <v>71.783367999999996</v>
      </c>
      <c r="C1191" s="19"/>
      <c r="D1191" s="20"/>
    </row>
    <row r="1192" spans="1:4" x14ac:dyDescent="0.3">
      <c r="A1192" s="21">
        <v>45444.436111000003</v>
      </c>
      <c r="B1192" s="18">
        <v>72.174162999999993</v>
      </c>
      <c r="C1192" s="19"/>
      <c r="D1192" s="20"/>
    </row>
    <row r="1193" spans="1:4" x14ac:dyDescent="0.3">
      <c r="A1193" s="21">
        <v>45444.436805999998</v>
      </c>
      <c r="B1193" s="18">
        <v>72.336905000000002</v>
      </c>
      <c r="C1193" s="19"/>
      <c r="D1193" s="20"/>
    </row>
    <row r="1194" spans="1:4" x14ac:dyDescent="0.3">
      <c r="A1194" s="21">
        <v>45444.4375</v>
      </c>
      <c r="B1194" s="18">
        <v>72.259529999999998</v>
      </c>
      <c r="C1194" s="19"/>
      <c r="D1194" s="20"/>
    </row>
    <row r="1195" spans="1:4" x14ac:dyDescent="0.3">
      <c r="A1195" s="21">
        <v>45444.438194000002</v>
      </c>
      <c r="B1195" s="18">
        <v>72.050912999999994</v>
      </c>
      <c r="C1195" s="19"/>
      <c r="D1195" s="20"/>
    </row>
    <row r="1196" spans="1:4" x14ac:dyDescent="0.3">
      <c r="A1196" s="21">
        <v>45444.438888999997</v>
      </c>
      <c r="B1196" s="18">
        <v>72.445125000000004</v>
      </c>
      <c r="C1196" s="19"/>
      <c r="D1196" s="20"/>
    </row>
    <row r="1197" spans="1:4" x14ac:dyDescent="0.3">
      <c r="A1197" s="21">
        <v>45444.439582999999</v>
      </c>
      <c r="B1197" s="18">
        <v>72.782629</v>
      </c>
      <c r="C1197" s="19"/>
      <c r="D1197" s="20"/>
    </row>
    <row r="1198" spans="1:4" x14ac:dyDescent="0.3">
      <c r="A1198" s="21">
        <v>45444.440278000002</v>
      </c>
      <c r="B1198" s="18">
        <v>72.441265000000001</v>
      </c>
      <c r="C1198" s="19"/>
      <c r="D1198" s="20"/>
    </row>
    <row r="1199" spans="1:4" x14ac:dyDescent="0.3">
      <c r="A1199" s="21">
        <v>45444.440971999997</v>
      </c>
      <c r="B1199" s="18">
        <v>72.233262999999994</v>
      </c>
      <c r="C1199" s="19"/>
      <c r="D1199" s="20"/>
    </row>
    <row r="1200" spans="1:4" x14ac:dyDescent="0.3">
      <c r="A1200" s="21">
        <v>45444.441666999999</v>
      </c>
      <c r="B1200" s="18">
        <v>72.379734999999997</v>
      </c>
      <c r="C1200" s="19"/>
      <c r="D1200" s="20"/>
    </row>
    <row r="1201" spans="1:4" x14ac:dyDescent="0.3">
      <c r="A1201" s="21">
        <v>45444.442361000001</v>
      </c>
      <c r="B1201" s="18">
        <v>72.267360999999994</v>
      </c>
      <c r="C1201" s="19"/>
      <c r="D1201" s="20"/>
    </row>
    <row r="1202" spans="1:4" x14ac:dyDescent="0.3">
      <c r="A1202" s="21">
        <v>45444.443055999996</v>
      </c>
      <c r="B1202" s="18">
        <v>72.205742000000001</v>
      </c>
      <c r="C1202" s="19"/>
      <c r="D1202" s="20"/>
    </row>
    <row r="1203" spans="1:4" x14ac:dyDescent="0.3">
      <c r="A1203" s="21">
        <v>45444.443749999999</v>
      </c>
      <c r="B1203" s="18">
        <v>72.373057000000003</v>
      </c>
      <c r="C1203" s="19"/>
      <c r="D1203" s="20"/>
    </row>
    <row r="1204" spans="1:4" x14ac:dyDescent="0.3">
      <c r="A1204" s="21">
        <v>45444.444444000001</v>
      </c>
      <c r="B1204" s="18">
        <v>72.202633000000006</v>
      </c>
      <c r="C1204" s="19"/>
      <c r="D1204" s="20"/>
    </row>
    <row r="1205" spans="1:4" x14ac:dyDescent="0.3">
      <c r="A1205" s="21">
        <v>45444.445139000003</v>
      </c>
      <c r="B1205" s="18">
        <v>72.199715999999995</v>
      </c>
      <c r="C1205" s="19"/>
      <c r="D1205" s="20"/>
    </row>
    <row r="1206" spans="1:4" x14ac:dyDescent="0.3">
      <c r="A1206" s="21">
        <v>45444.445832999998</v>
      </c>
      <c r="B1206" s="18">
        <v>72.127913000000007</v>
      </c>
      <c r="C1206" s="19"/>
      <c r="D1206" s="20"/>
    </row>
    <row r="1207" spans="1:4" x14ac:dyDescent="0.3">
      <c r="A1207" s="21">
        <v>45444.446528</v>
      </c>
      <c r="B1207" s="18">
        <v>71.767240999999999</v>
      </c>
      <c r="C1207" s="19"/>
      <c r="D1207" s="20"/>
    </row>
    <row r="1208" spans="1:4" x14ac:dyDescent="0.3">
      <c r="A1208" s="21">
        <v>45444.447222000003</v>
      </c>
      <c r="B1208" s="18">
        <v>72.175045999999995</v>
      </c>
      <c r="C1208" s="19"/>
      <c r="D1208" s="20"/>
    </row>
    <row r="1209" spans="1:4" x14ac:dyDescent="0.3">
      <c r="A1209" s="21">
        <v>45444.447916999998</v>
      </c>
      <c r="B1209" s="18">
        <v>72.315128999999999</v>
      </c>
      <c r="C1209" s="19"/>
      <c r="D1209" s="20"/>
    </row>
    <row r="1210" spans="1:4" x14ac:dyDescent="0.3">
      <c r="A1210" s="21">
        <v>45444.448611</v>
      </c>
      <c r="B1210" s="18">
        <v>72.313457999999997</v>
      </c>
      <c r="C1210" s="19"/>
      <c r="D1210" s="20"/>
    </row>
    <row r="1211" spans="1:4" x14ac:dyDescent="0.3">
      <c r="A1211" s="21">
        <v>45444.449306000002</v>
      </c>
      <c r="B1211" s="18">
        <v>72.370790999999997</v>
      </c>
      <c r="C1211" s="19"/>
      <c r="D1211" s="20"/>
    </row>
    <row r="1212" spans="1:4" x14ac:dyDescent="0.3">
      <c r="A1212" s="21">
        <v>45444.45</v>
      </c>
      <c r="B1212" s="18">
        <v>72.285248999999993</v>
      </c>
      <c r="C1212" s="19"/>
      <c r="D1212" s="20"/>
    </row>
    <row r="1213" spans="1:4" x14ac:dyDescent="0.3">
      <c r="A1213" s="21">
        <v>45444.450693999999</v>
      </c>
      <c r="B1213" s="18">
        <v>72.407342999999997</v>
      </c>
      <c r="C1213" s="19"/>
      <c r="D1213" s="20"/>
    </row>
    <row r="1214" spans="1:4" x14ac:dyDescent="0.3">
      <c r="A1214" s="21">
        <v>45444.451389000002</v>
      </c>
      <c r="B1214" s="18">
        <v>72.550124999999994</v>
      </c>
      <c r="C1214" s="19"/>
      <c r="D1214" s="20"/>
    </row>
    <row r="1215" spans="1:4" x14ac:dyDescent="0.3">
      <c r="A1215" s="21">
        <v>45444.452082999996</v>
      </c>
      <c r="B1215" s="18">
        <v>72.391977999999995</v>
      </c>
      <c r="C1215" s="19"/>
      <c r="D1215" s="20"/>
    </row>
    <row r="1216" spans="1:4" x14ac:dyDescent="0.3">
      <c r="A1216" s="21">
        <v>45444.452777999999</v>
      </c>
      <c r="B1216" s="18">
        <v>72.401241999999996</v>
      </c>
      <c r="C1216" s="19"/>
      <c r="D1216" s="20"/>
    </row>
    <row r="1217" spans="1:4" x14ac:dyDescent="0.3">
      <c r="A1217" s="21">
        <v>45444.453472000001</v>
      </c>
      <c r="B1217" s="18">
        <v>72.558572999999996</v>
      </c>
      <c r="C1217" s="19"/>
      <c r="D1217" s="20"/>
    </row>
    <row r="1218" spans="1:4" x14ac:dyDescent="0.3">
      <c r="A1218" s="21">
        <v>45444.454167000004</v>
      </c>
      <c r="B1218" s="18">
        <v>72.401207999999997</v>
      </c>
      <c r="C1218" s="19"/>
      <c r="D1218" s="20"/>
    </row>
    <row r="1219" spans="1:4" x14ac:dyDescent="0.3">
      <c r="A1219" s="21">
        <v>45444.454860999998</v>
      </c>
      <c r="B1219" s="18">
        <v>72.646051</v>
      </c>
      <c r="C1219" s="19"/>
      <c r="D1219" s="20"/>
    </row>
    <row r="1220" spans="1:4" x14ac:dyDescent="0.3">
      <c r="A1220" s="21">
        <v>45444.455556000001</v>
      </c>
      <c r="B1220" s="18">
        <v>72.500026000000005</v>
      </c>
      <c r="C1220" s="19"/>
      <c r="D1220" s="20"/>
    </row>
    <row r="1221" spans="1:4" x14ac:dyDescent="0.3">
      <c r="A1221" s="21">
        <v>45444.456250000003</v>
      </c>
      <c r="B1221" s="18">
        <v>72.360686000000001</v>
      </c>
      <c r="C1221" s="19"/>
      <c r="D1221" s="20"/>
    </row>
    <row r="1222" spans="1:4" x14ac:dyDescent="0.3">
      <c r="A1222" s="21">
        <v>45444.456943999998</v>
      </c>
      <c r="B1222" s="18">
        <v>72.191439000000003</v>
      </c>
      <c r="C1222" s="19"/>
      <c r="D1222" s="20"/>
    </row>
    <row r="1223" spans="1:4" x14ac:dyDescent="0.3">
      <c r="A1223" s="21">
        <v>45444.457639</v>
      </c>
      <c r="B1223" s="18">
        <v>72.496408000000002</v>
      </c>
      <c r="C1223" s="19"/>
      <c r="D1223" s="20"/>
    </row>
    <row r="1224" spans="1:4" x14ac:dyDescent="0.3">
      <c r="A1224" s="21">
        <v>45444.458333000002</v>
      </c>
      <c r="B1224" s="18">
        <v>72.314634999999996</v>
      </c>
      <c r="C1224" s="19"/>
      <c r="D1224" s="20"/>
    </row>
    <row r="1225" spans="1:4" x14ac:dyDescent="0.3">
      <c r="A1225" s="21">
        <v>45444.459027999997</v>
      </c>
      <c r="B1225" s="18">
        <v>72.512249999999995</v>
      </c>
      <c r="C1225" s="19"/>
      <c r="D1225" s="20"/>
    </row>
    <row r="1226" spans="1:4" x14ac:dyDescent="0.3">
      <c r="A1226" s="21">
        <v>45444.459722</v>
      </c>
      <c r="B1226" s="18">
        <v>72.333456999999996</v>
      </c>
      <c r="C1226" s="19"/>
      <c r="D1226" s="20"/>
    </row>
    <row r="1227" spans="1:4" x14ac:dyDescent="0.3">
      <c r="A1227" s="21">
        <v>45444.460417000002</v>
      </c>
      <c r="B1227" s="18">
        <v>72.369637999999995</v>
      </c>
      <c r="C1227" s="19"/>
      <c r="D1227" s="20"/>
    </row>
    <row r="1228" spans="1:4" x14ac:dyDescent="0.3">
      <c r="A1228" s="21">
        <v>45444.461110999997</v>
      </c>
      <c r="B1228" s="18">
        <v>72.496557999999993</v>
      </c>
      <c r="C1228" s="19"/>
      <c r="D1228" s="20"/>
    </row>
    <row r="1229" spans="1:4" x14ac:dyDescent="0.3">
      <c r="A1229" s="21">
        <v>45444.461805999999</v>
      </c>
      <c r="B1229" s="18">
        <v>72.255202999999995</v>
      </c>
      <c r="C1229" s="19"/>
      <c r="D1229" s="20"/>
    </row>
    <row r="1230" spans="1:4" x14ac:dyDescent="0.3">
      <c r="A1230" s="21">
        <v>45444.462500000001</v>
      </c>
      <c r="B1230" s="18">
        <v>72.535618999999997</v>
      </c>
      <c r="C1230" s="19"/>
      <c r="D1230" s="20"/>
    </row>
    <row r="1231" spans="1:4" x14ac:dyDescent="0.3">
      <c r="A1231" s="21">
        <v>45444.463194000004</v>
      </c>
      <c r="B1231" s="18">
        <v>72.116817999999995</v>
      </c>
      <c r="C1231" s="19"/>
      <c r="D1231" s="20"/>
    </row>
    <row r="1232" spans="1:4" x14ac:dyDescent="0.3">
      <c r="A1232" s="21">
        <v>45444.463888999999</v>
      </c>
      <c r="B1232" s="18">
        <v>72.420247000000003</v>
      </c>
      <c r="C1232" s="19"/>
      <c r="D1232" s="20"/>
    </row>
    <row r="1233" spans="1:4" x14ac:dyDescent="0.3">
      <c r="A1233" s="21">
        <v>45444.464583000001</v>
      </c>
      <c r="B1233" s="18">
        <v>72.277381000000005</v>
      </c>
      <c r="C1233" s="19"/>
      <c r="D1233" s="20"/>
    </row>
    <row r="1234" spans="1:4" x14ac:dyDescent="0.3">
      <c r="A1234" s="21">
        <v>45444.465278000003</v>
      </c>
      <c r="B1234" s="18">
        <v>72.598033999999998</v>
      </c>
      <c r="C1234" s="19"/>
      <c r="D1234" s="20"/>
    </row>
    <row r="1235" spans="1:4" x14ac:dyDescent="0.3">
      <c r="A1235" s="21">
        <v>45444.465971999998</v>
      </c>
      <c r="B1235" s="18">
        <v>72.623564000000002</v>
      </c>
      <c r="C1235" s="19"/>
      <c r="D1235" s="20"/>
    </row>
    <row r="1236" spans="1:4" x14ac:dyDescent="0.3">
      <c r="A1236" s="21">
        <v>45444.466667000001</v>
      </c>
      <c r="B1236" s="18">
        <v>72.492456000000004</v>
      </c>
      <c r="C1236" s="19"/>
      <c r="D1236" s="20"/>
    </row>
    <row r="1237" spans="1:4" x14ac:dyDescent="0.3">
      <c r="A1237" s="21">
        <v>45444.467361000003</v>
      </c>
      <c r="B1237" s="18">
        <v>72.374228000000002</v>
      </c>
      <c r="C1237" s="19"/>
      <c r="D1237" s="20"/>
    </row>
    <row r="1238" spans="1:4" x14ac:dyDescent="0.3">
      <c r="A1238" s="21">
        <v>45444.468055999998</v>
      </c>
      <c r="B1238" s="18">
        <v>72.184398999999999</v>
      </c>
      <c r="C1238" s="19"/>
      <c r="D1238" s="20"/>
    </row>
    <row r="1239" spans="1:4" x14ac:dyDescent="0.3">
      <c r="A1239" s="21">
        <v>45444.46875</v>
      </c>
      <c r="B1239" s="18">
        <v>72.762540999999999</v>
      </c>
      <c r="C1239" s="19"/>
      <c r="D1239" s="20"/>
    </row>
    <row r="1240" spans="1:4" x14ac:dyDescent="0.3">
      <c r="A1240" s="21">
        <v>45444.469444000002</v>
      </c>
      <c r="B1240" s="18">
        <v>72.509688999999995</v>
      </c>
      <c r="C1240" s="19"/>
      <c r="D1240" s="20"/>
    </row>
    <row r="1241" spans="1:4" x14ac:dyDescent="0.3">
      <c r="A1241" s="21">
        <v>45444.470138999997</v>
      </c>
      <c r="B1241" s="18">
        <v>72.521604999999994</v>
      </c>
      <c r="C1241" s="19"/>
      <c r="D1241" s="20"/>
    </row>
    <row r="1242" spans="1:4" x14ac:dyDescent="0.3">
      <c r="A1242" s="21">
        <v>45444.470832999999</v>
      </c>
      <c r="B1242" s="18">
        <v>72.777692999999999</v>
      </c>
      <c r="C1242" s="19"/>
      <c r="D1242" s="20"/>
    </row>
    <row r="1243" spans="1:4" x14ac:dyDescent="0.3">
      <c r="A1243" s="21">
        <v>45444.471528000002</v>
      </c>
      <c r="B1243" s="18">
        <v>72.549519000000004</v>
      </c>
      <c r="C1243" s="19"/>
      <c r="D1243" s="20"/>
    </row>
    <row r="1244" spans="1:4" x14ac:dyDescent="0.3">
      <c r="A1244" s="21">
        <v>45444.472221999997</v>
      </c>
      <c r="B1244" s="18">
        <v>72.713617999999997</v>
      </c>
      <c r="C1244" s="19"/>
      <c r="D1244" s="20"/>
    </row>
    <row r="1245" spans="1:4" x14ac:dyDescent="0.3">
      <c r="A1245" s="21">
        <v>45444.472916999999</v>
      </c>
      <c r="B1245" s="18">
        <v>72.323952000000006</v>
      </c>
      <c r="C1245" s="19"/>
      <c r="D1245" s="20"/>
    </row>
    <row r="1246" spans="1:4" x14ac:dyDescent="0.3">
      <c r="A1246" s="21">
        <v>45444.473611000001</v>
      </c>
      <c r="B1246" s="18">
        <v>72.652625</v>
      </c>
      <c r="C1246" s="19"/>
      <c r="D1246" s="20"/>
    </row>
    <row r="1247" spans="1:4" x14ac:dyDescent="0.3">
      <c r="A1247" s="21">
        <v>45444.474305999996</v>
      </c>
      <c r="B1247" s="18">
        <v>72.429732000000001</v>
      </c>
      <c r="C1247" s="19"/>
      <c r="D1247" s="20"/>
    </row>
    <row r="1248" spans="1:4" x14ac:dyDescent="0.3">
      <c r="A1248" s="21">
        <v>45444.474999999999</v>
      </c>
      <c r="B1248" s="18">
        <v>72.531125000000003</v>
      </c>
      <c r="C1248" s="19"/>
      <c r="D1248" s="20"/>
    </row>
    <row r="1249" spans="1:4" x14ac:dyDescent="0.3">
      <c r="A1249" s="21">
        <v>45444.475694000001</v>
      </c>
      <c r="B1249" s="18">
        <v>72.291540999999995</v>
      </c>
      <c r="C1249" s="19"/>
      <c r="D1249" s="20"/>
    </row>
    <row r="1250" spans="1:4" x14ac:dyDescent="0.3">
      <c r="A1250" s="21">
        <v>45444.476389000003</v>
      </c>
      <c r="B1250" s="18">
        <v>72.798473000000001</v>
      </c>
      <c r="C1250" s="19"/>
      <c r="D1250" s="20"/>
    </row>
    <row r="1251" spans="1:4" x14ac:dyDescent="0.3">
      <c r="A1251" s="21">
        <v>45444.477082999998</v>
      </c>
      <c r="B1251" s="18">
        <v>72.588742999999994</v>
      </c>
      <c r="C1251" s="19"/>
      <c r="D1251" s="20"/>
    </row>
    <row r="1252" spans="1:4" x14ac:dyDescent="0.3">
      <c r="A1252" s="21">
        <v>45444.477778</v>
      </c>
      <c r="B1252" s="18">
        <v>72.51155</v>
      </c>
      <c r="C1252" s="19"/>
      <c r="D1252" s="20"/>
    </row>
    <row r="1253" spans="1:4" x14ac:dyDescent="0.3">
      <c r="A1253" s="21">
        <v>45444.478472000003</v>
      </c>
      <c r="B1253" s="18">
        <v>72.527770000000004</v>
      </c>
      <c r="C1253" s="19"/>
      <c r="D1253" s="20"/>
    </row>
    <row r="1254" spans="1:4" x14ac:dyDescent="0.3">
      <c r="A1254" s="21">
        <v>45444.479166999998</v>
      </c>
      <c r="B1254" s="18">
        <v>72.620087999999996</v>
      </c>
      <c r="C1254" s="19"/>
      <c r="D1254" s="20"/>
    </row>
    <row r="1255" spans="1:4" x14ac:dyDescent="0.3">
      <c r="A1255" s="21">
        <v>45444.479861</v>
      </c>
      <c r="B1255" s="18">
        <v>72.982624999999999</v>
      </c>
      <c r="C1255" s="19"/>
      <c r="D1255" s="20"/>
    </row>
    <row r="1256" spans="1:4" x14ac:dyDescent="0.3">
      <c r="A1256" s="21">
        <v>45444.480556000002</v>
      </c>
      <c r="B1256" s="18">
        <v>73.123017000000004</v>
      </c>
      <c r="C1256" s="19"/>
      <c r="D1256" s="20"/>
    </row>
    <row r="1257" spans="1:4" x14ac:dyDescent="0.3">
      <c r="A1257" s="21">
        <v>45444.481249999997</v>
      </c>
      <c r="B1257" s="18">
        <v>72.610992999999993</v>
      </c>
      <c r="C1257" s="19"/>
      <c r="D1257" s="20"/>
    </row>
    <row r="1258" spans="1:4" x14ac:dyDescent="0.3">
      <c r="A1258" s="21">
        <v>45444.481943999999</v>
      </c>
      <c r="B1258" s="18">
        <v>72.743539999999996</v>
      </c>
      <c r="C1258" s="19"/>
      <c r="D1258" s="20"/>
    </row>
    <row r="1259" spans="1:4" x14ac:dyDescent="0.3">
      <c r="A1259" s="21">
        <v>45444.482639000002</v>
      </c>
      <c r="B1259" s="18">
        <v>72.560726000000003</v>
      </c>
      <c r="C1259" s="19"/>
      <c r="D1259" s="20"/>
    </row>
    <row r="1260" spans="1:4" x14ac:dyDescent="0.3">
      <c r="A1260" s="21">
        <v>45444.483332999996</v>
      </c>
      <c r="B1260" s="18">
        <v>72.405829999999995</v>
      </c>
      <c r="C1260" s="19"/>
      <c r="D1260" s="20"/>
    </row>
    <row r="1261" spans="1:4" x14ac:dyDescent="0.3">
      <c r="A1261" s="21">
        <v>45444.484027999999</v>
      </c>
      <c r="B1261" s="18">
        <v>72.429586</v>
      </c>
      <c r="C1261" s="19"/>
      <c r="D1261" s="20"/>
    </row>
    <row r="1262" spans="1:4" x14ac:dyDescent="0.3">
      <c r="A1262" s="21">
        <v>45444.484722000001</v>
      </c>
      <c r="B1262" s="18">
        <v>72.839528000000001</v>
      </c>
      <c r="C1262" s="19"/>
      <c r="D1262" s="20"/>
    </row>
    <row r="1263" spans="1:4" x14ac:dyDescent="0.3">
      <c r="A1263" s="21">
        <v>45444.485417000004</v>
      </c>
      <c r="B1263" s="18">
        <v>72.581974000000002</v>
      </c>
      <c r="C1263" s="19"/>
      <c r="D1263" s="20"/>
    </row>
    <row r="1264" spans="1:4" x14ac:dyDescent="0.3">
      <c r="A1264" s="21">
        <v>45444.486110999998</v>
      </c>
      <c r="B1264" s="18">
        <v>72.539304000000001</v>
      </c>
      <c r="C1264" s="19"/>
      <c r="D1264" s="20"/>
    </row>
    <row r="1265" spans="1:4" x14ac:dyDescent="0.3">
      <c r="A1265" s="21">
        <v>45444.486806000001</v>
      </c>
      <c r="B1265" s="18">
        <v>72.750022999999999</v>
      </c>
      <c r="C1265" s="19"/>
      <c r="D1265" s="20"/>
    </row>
    <row r="1266" spans="1:4" x14ac:dyDescent="0.3">
      <c r="A1266" s="21">
        <v>45444.487500000003</v>
      </c>
      <c r="B1266" s="18">
        <v>72.835491000000005</v>
      </c>
      <c r="C1266" s="19"/>
      <c r="D1266" s="20"/>
    </row>
    <row r="1267" spans="1:4" x14ac:dyDescent="0.3">
      <c r="A1267" s="21">
        <v>45444.488193999998</v>
      </c>
      <c r="B1267" s="18">
        <v>72.351017999999996</v>
      </c>
      <c r="C1267" s="19"/>
      <c r="D1267" s="20"/>
    </row>
    <row r="1268" spans="1:4" x14ac:dyDescent="0.3">
      <c r="A1268" s="21">
        <v>45444.488889</v>
      </c>
      <c r="B1268" s="18">
        <v>72.789552</v>
      </c>
      <c r="C1268" s="19"/>
      <c r="D1268" s="20"/>
    </row>
    <row r="1269" spans="1:4" x14ac:dyDescent="0.3">
      <c r="A1269" s="21">
        <v>45444.489583000002</v>
      </c>
      <c r="B1269" s="18">
        <v>72.654904999999999</v>
      </c>
      <c r="C1269" s="19"/>
      <c r="D1269" s="20"/>
    </row>
    <row r="1270" spans="1:4" x14ac:dyDescent="0.3">
      <c r="A1270" s="21">
        <v>45444.490277999997</v>
      </c>
      <c r="B1270" s="18">
        <v>72.899603999999997</v>
      </c>
      <c r="C1270" s="19"/>
      <c r="D1270" s="20"/>
    </row>
    <row r="1271" spans="1:4" x14ac:dyDescent="0.3">
      <c r="A1271" s="21">
        <v>45444.490972</v>
      </c>
      <c r="B1271" s="18">
        <v>72.744416999999999</v>
      </c>
      <c r="C1271" s="19"/>
      <c r="D1271" s="20"/>
    </row>
    <row r="1272" spans="1:4" x14ac:dyDescent="0.3">
      <c r="A1272" s="21">
        <v>45444.491667000002</v>
      </c>
      <c r="B1272" s="18">
        <v>72.786931999999993</v>
      </c>
      <c r="C1272" s="19"/>
      <c r="D1272" s="20"/>
    </row>
    <row r="1273" spans="1:4" x14ac:dyDescent="0.3">
      <c r="A1273" s="21">
        <v>45444.492360999997</v>
      </c>
      <c r="B1273" s="18">
        <v>72.613314000000003</v>
      </c>
      <c r="C1273" s="19"/>
      <c r="D1273" s="20"/>
    </row>
    <row r="1274" spans="1:4" x14ac:dyDescent="0.3">
      <c r="A1274" s="21">
        <v>45444.493055999999</v>
      </c>
      <c r="B1274" s="18">
        <v>72.705040999999994</v>
      </c>
      <c r="C1274" s="19"/>
      <c r="D1274" s="20"/>
    </row>
    <row r="1275" spans="1:4" x14ac:dyDescent="0.3">
      <c r="A1275" s="21">
        <v>45444.493750000001</v>
      </c>
      <c r="B1275" s="18">
        <v>72.792081999999994</v>
      </c>
      <c r="C1275" s="19"/>
      <c r="D1275" s="20"/>
    </row>
    <row r="1276" spans="1:4" x14ac:dyDescent="0.3">
      <c r="A1276" s="21">
        <v>45444.494444000004</v>
      </c>
      <c r="B1276" s="18">
        <v>72.738501999999997</v>
      </c>
      <c r="C1276" s="19"/>
      <c r="D1276" s="20"/>
    </row>
    <row r="1277" spans="1:4" x14ac:dyDescent="0.3">
      <c r="A1277" s="21">
        <v>45444.495138999999</v>
      </c>
      <c r="B1277" s="18">
        <v>72.696702000000002</v>
      </c>
      <c r="C1277" s="19"/>
      <c r="D1277" s="20"/>
    </row>
    <row r="1278" spans="1:4" x14ac:dyDescent="0.3">
      <c r="A1278" s="21">
        <v>45444.495833000001</v>
      </c>
      <c r="B1278" s="18">
        <v>72.968584000000007</v>
      </c>
      <c r="C1278" s="19"/>
      <c r="D1278" s="20"/>
    </row>
    <row r="1279" spans="1:4" x14ac:dyDescent="0.3">
      <c r="A1279" s="21">
        <v>45444.496528000003</v>
      </c>
      <c r="B1279" s="18">
        <v>72.461698999999996</v>
      </c>
      <c r="C1279" s="19"/>
      <c r="D1279" s="20"/>
    </row>
    <row r="1280" spans="1:4" x14ac:dyDescent="0.3">
      <c r="A1280" s="21">
        <v>45444.497221999998</v>
      </c>
      <c r="B1280" s="18">
        <v>72.624516</v>
      </c>
      <c r="C1280" s="19"/>
      <c r="D1280" s="20"/>
    </row>
    <row r="1281" spans="1:4" x14ac:dyDescent="0.3">
      <c r="A1281" s="21">
        <v>45444.497917000001</v>
      </c>
      <c r="B1281" s="18">
        <v>72.532572000000002</v>
      </c>
      <c r="C1281" s="19"/>
      <c r="D1281" s="20"/>
    </row>
    <row r="1282" spans="1:4" x14ac:dyDescent="0.3">
      <c r="A1282" s="21">
        <v>45444.498611000003</v>
      </c>
      <c r="B1282" s="18">
        <v>72.507176999999999</v>
      </c>
      <c r="C1282" s="19"/>
      <c r="D1282" s="20"/>
    </row>
    <row r="1283" spans="1:4" x14ac:dyDescent="0.3">
      <c r="A1283" s="21">
        <v>45444.499305999998</v>
      </c>
      <c r="B1283" s="18">
        <v>72.643986999999996</v>
      </c>
      <c r="C1283" s="19"/>
      <c r="D1283" s="20"/>
    </row>
    <row r="1284" spans="1:4" x14ac:dyDescent="0.3">
      <c r="A1284" s="21">
        <v>45444.5</v>
      </c>
      <c r="B1284" s="18">
        <v>72.540125000000003</v>
      </c>
      <c r="C1284" s="19"/>
      <c r="D1284" s="20"/>
    </row>
    <row r="1285" spans="1:4" x14ac:dyDescent="0.3">
      <c r="A1285" s="21">
        <v>45444.500694000002</v>
      </c>
      <c r="B1285" s="18">
        <v>72.581455000000005</v>
      </c>
      <c r="C1285" s="19"/>
      <c r="D1285" s="20"/>
    </row>
    <row r="1286" spans="1:4" x14ac:dyDescent="0.3">
      <c r="A1286" s="21">
        <v>45444.501388999997</v>
      </c>
      <c r="B1286" s="18">
        <v>72.232107999999997</v>
      </c>
      <c r="C1286" s="19"/>
      <c r="D1286" s="20"/>
    </row>
    <row r="1287" spans="1:4" x14ac:dyDescent="0.3">
      <c r="A1287" s="21">
        <v>45444.502082999999</v>
      </c>
      <c r="B1287" s="18">
        <v>72.397791999999995</v>
      </c>
      <c r="C1287" s="19"/>
      <c r="D1287" s="20"/>
    </row>
    <row r="1288" spans="1:4" x14ac:dyDescent="0.3">
      <c r="A1288" s="21">
        <v>45444.502778000002</v>
      </c>
      <c r="B1288" s="18">
        <v>72.933757999999997</v>
      </c>
      <c r="C1288" s="19"/>
      <c r="D1288" s="20"/>
    </row>
    <row r="1289" spans="1:4" x14ac:dyDescent="0.3">
      <c r="A1289" s="21">
        <v>45444.503471999997</v>
      </c>
      <c r="B1289" s="18">
        <v>73.036229000000006</v>
      </c>
      <c r="C1289" s="19"/>
      <c r="D1289" s="20"/>
    </row>
    <row r="1290" spans="1:4" x14ac:dyDescent="0.3">
      <c r="A1290" s="21">
        <v>45444.504166999999</v>
      </c>
      <c r="B1290" s="18">
        <v>72.858048999999994</v>
      </c>
      <c r="C1290" s="19"/>
      <c r="D1290" s="20"/>
    </row>
    <row r="1291" spans="1:4" x14ac:dyDescent="0.3">
      <c r="A1291" s="21">
        <v>45444.504861000001</v>
      </c>
      <c r="B1291" s="18">
        <v>72.690234000000004</v>
      </c>
      <c r="C1291" s="19"/>
      <c r="D1291" s="20"/>
    </row>
    <row r="1292" spans="1:4" x14ac:dyDescent="0.3">
      <c r="A1292" s="21">
        <v>45444.505555999996</v>
      </c>
      <c r="B1292" s="18">
        <v>72.717792000000003</v>
      </c>
      <c r="C1292" s="19"/>
      <c r="D1292" s="20"/>
    </row>
    <row r="1293" spans="1:4" x14ac:dyDescent="0.3">
      <c r="A1293" s="21">
        <v>45444.506249999999</v>
      </c>
      <c r="B1293" s="18">
        <v>72.631181999999995</v>
      </c>
      <c r="C1293" s="19"/>
      <c r="D1293" s="20"/>
    </row>
    <row r="1294" spans="1:4" x14ac:dyDescent="0.3">
      <c r="A1294" s="21">
        <v>45444.506944000001</v>
      </c>
      <c r="B1294" s="18">
        <v>73.081884000000002</v>
      </c>
      <c r="C1294" s="19"/>
      <c r="D1294" s="20"/>
    </row>
    <row r="1295" spans="1:4" x14ac:dyDescent="0.3">
      <c r="A1295" s="21">
        <v>45444.507639000003</v>
      </c>
      <c r="B1295" s="18">
        <v>59.159666000000001</v>
      </c>
      <c r="C1295" s="19"/>
      <c r="D1295" s="20"/>
    </row>
    <row r="1296" spans="1:4" x14ac:dyDescent="0.3">
      <c r="A1296" s="21">
        <v>45444.508332999998</v>
      </c>
      <c r="B1296" s="18">
        <v>55.905123000000003</v>
      </c>
      <c r="C1296" s="19"/>
      <c r="D1296" s="20"/>
    </row>
    <row r="1297" spans="1:4" x14ac:dyDescent="0.3">
      <c r="A1297" s="21">
        <v>45444.509028</v>
      </c>
      <c r="B1297" s="18">
        <v>55.992750999999998</v>
      </c>
      <c r="C1297" s="19"/>
      <c r="D1297" s="20"/>
    </row>
    <row r="1298" spans="1:4" x14ac:dyDescent="0.3">
      <c r="A1298" s="21">
        <v>45444.509722000003</v>
      </c>
      <c r="B1298" s="18">
        <v>55.442635000000003</v>
      </c>
      <c r="C1298" s="19"/>
      <c r="D1298" s="20"/>
    </row>
    <row r="1299" spans="1:4" x14ac:dyDescent="0.3">
      <c r="A1299" s="21">
        <v>45444.510416999998</v>
      </c>
      <c r="B1299" s="18">
        <v>56.044165</v>
      </c>
      <c r="C1299" s="19"/>
      <c r="D1299" s="20"/>
    </row>
    <row r="1300" spans="1:4" x14ac:dyDescent="0.3">
      <c r="A1300" s="21">
        <v>45444.511111</v>
      </c>
      <c r="B1300" s="18">
        <v>55.956791000000003</v>
      </c>
      <c r="C1300" s="19"/>
      <c r="D1300" s="20"/>
    </row>
    <row r="1301" spans="1:4" x14ac:dyDescent="0.3">
      <c r="A1301" s="21">
        <v>45444.511806000002</v>
      </c>
      <c r="B1301" s="18">
        <v>55.647869999999998</v>
      </c>
      <c r="C1301" s="19"/>
      <c r="D1301" s="20"/>
    </row>
    <row r="1302" spans="1:4" x14ac:dyDescent="0.3">
      <c r="A1302" s="21">
        <v>45444.512499999997</v>
      </c>
      <c r="B1302" s="18">
        <v>55.775590999999999</v>
      </c>
      <c r="C1302" s="19"/>
      <c r="D1302" s="20"/>
    </row>
    <row r="1303" spans="1:4" x14ac:dyDescent="0.3">
      <c r="A1303" s="21">
        <v>45444.513193999999</v>
      </c>
      <c r="B1303" s="18">
        <v>56.037303000000001</v>
      </c>
      <c r="C1303" s="19"/>
      <c r="D1303" s="20"/>
    </row>
    <row r="1304" spans="1:4" x14ac:dyDescent="0.3">
      <c r="A1304" s="21">
        <v>45444.513889000002</v>
      </c>
      <c r="B1304" s="18">
        <v>55.722577999999999</v>
      </c>
      <c r="C1304" s="19"/>
      <c r="D1304" s="20"/>
    </row>
    <row r="1305" spans="1:4" x14ac:dyDescent="0.3">
      <c r="A1305" s="21">
        <v>45444.514582999996</v>
      </c>
      <c r="B1305" s="18">
        <v>55.986440000000002</v>
      </c>
      <c r="C1305" s="19"/>
      <c r="D1305" s="20"/>
    </row>
    <row r="1306" spans="1:4" x14ac:dyDescent="0.3">
      <c r="A1306" s="21">
        <v>45444.515277999999</v>
      </c>
      <c r="B1306" s="18">
        <v>56.369078000000002</v>
      </c>
      <c r="C1306" s="19"/>
      <c r="D1306" s="20"/>
    </row>
    <row r="1307" spans="1:4" x14ac:dyDescent="0.3">
      <c r="A1307" s="21">
        <v>45444.515972000001</v>
      </c>
      <c r="B1307" s="18">
        <v>56.376893000000003</v>
      </c>
      <c r="C1307" s="19"/>
      <c r="D1307" s="20"/>
    </row>
    <row r="1308" spans="1:4" x14ac:dyDescent="0.3">
      <c r="A1308" s="21">
        <v>45444.516667000004</v>
      </c>
      <c r="B1308" s="18">
        <v>56.491219999999998</v>
      </c>
      <c r="C1308" s="19"/>
      <c r="D1308" s="20"/>
    </row>
    <row r="1309" spans="1:4" x14ac:dyDescent="0.3">
      <c r="A1309" s="21">
        <v>45444.517360999998</v>
      </c>
      <c r="B1309" s="18">
        <v>56.254187000000002</v>
      </c>
      <c r="C1309" s="19"/>
      <c r="D1309" s="20"/>
    </row>
    <row r="1310" spans="1:4" x14ac:dyDescent="0.3">
      <c r="A1310" s="21">
        <v>45444.518056000001</v>
      </c>
      <c r="B1310" s="18">
        <v>56.628079</v>
      </c>
      <c r="C1310" s="19"/>
      <c r="D1310" s="20"/>
    </row>
    <row r="1311" spans="1:4" x14ac:dyDescent="0.3">
      <c r="A1311" s="21">
        <v>45444.518750000003</v>
      </c>
      <c r="B1311" s="18">
        <v>56.366714000000002</v>
      </c>
      <c r="C1311" s="19"/>
      <c r="D1311" s="20"/>
    </row>
    <row r="1312" spans="1:4" x14ac:dyDescent="0.3">
      <c r="A1312" s="21">
        <v>45444.519443999998</v>
      </c>
      <c r="B1312" s="18">
        <v>57.150066000000002</v>
      </c>
      <c r="C1312" s="19"/>
      <c r="D1312" s="20"/>
    </row>
    <row r="1313" spans="1:4" x14ac:dyDescent="0.3">
      <c r="A1313" s="21">
        <v>45444.520139</v>
      </c>
      <c r="B1313" s="18">
        <v>56.254463999999999</v>
      </c>
      <c r="C1313" s="19"/>
      <c r="D1313" s="20"/>
    </row>
    <row r="1314" spans="1:4" x14ac:dyDescent="0.3">
      <c r="A1314" s="21">
        <v>45444.520833000002</v>
      </c>
      <c r="B1314" s="18">
        <v>57.168564000000003</v>
      </c>
      <c r="C1314" s="19"/>
      <c r="D1314" s="20"/>
    </row>
    <row r="1315" spans="1:4" x14ac:dyDescent="0.3">
      <c r="A1315" s="21">
        <v>45444.521527999997</v>
      </c>
      <c r="B1315" s="18">
        <v>56.743757000000002</v>
      </c>
      <c r="C1315" s="19"/>
      <c r="D1315" s="20"/>
    </row>
    <row r="1316" spans="1:4" x14ac:dyDescent="0.3">
      <c r="A1316" s="21">
        <v>45444.522222</v>
      </c>
      <c r="B1316" s="18">
        <v>56.637014000000001</v>
      </c>
      <c r="C1316" s="19"/>
      <c r="D1316" s="20"/>
    </row>
    <row r="1317" spans="1:4" x14ac:dyDescent="0.3">
      <c r="A1317" s="21">
        <v>45444.522917000002</v>
      </c>
      <c r="B1317" s="18">
        <v>56.687820000000002</v>
      </c>
      <c r="C1317" s="19"/>
      <c r="D1317" s="20"/>
    </row>
    <row r="1318" spans="1:4" x14ac:dyDescent="0.3">
      <c r="A1318" s="21">
        <v>45444.523610999997</v>
      </c>
      <c r="B1318" s="18">
        <v>57.444895000000002</v>
      </c>
      <c r="C1318" s="19"/>
      <c r="D1318" s="20"/>
    </row>
    <row r="1319" spans="1:4" x14ac:dyDescent="0.3">
      <c r="A1319" s="21">
        <v>45444.524305999999</v>
      </c>
      <c r="B1319" s="18">
        <v>57.933523000000001</v>
      </c>
      <c r="C1319" s="19"/>
      <c r="D1319" s="20"/>
    </row>
    <row r="1320" spans="1:4" x14ac:dyDescent="0.3">
      <c r="A1320" s="21">
        <v>45444.525000000001</v>
      </c>
      <c r="B1320" s="18">
        <v>57.006659999999997</v>
      </c>
      <c r="C1320" s="19"/>
      <c r="D1320" s="20"/>
    </row>
    <row r="1321" spans="1:4" x14ac:dyDescent="0.3">
      <c r="A1321" s="21">
        <v>45444.525694000004</v>
      </c>
      <c r="B1321" s="18">
        <v>57.359459999999999</v>
      </c>
      <c r="C1321" s="19"/>
      <c r="D1321" s="20"/>
    </row>
    <row r="1322" spans="1:4" x14ac:dyDescent="0.3">
      <c r="A1322" s="21">
        <v>45444.526388999999</v>
      </c>
      <c r="B1322" s="18">
        <v>57.341614</v>
      </c>
      <c r="C1322" s="19"/>
      <c r="D1322" s="20"/>
    </row>
    <row r="1323" spans="1:4" x14ac:dyDescent="0.3">
      <c r="A1323" s="21">
        <v>45444.527083000001</v>
      </c>
      <c r="B1323" s="18">
        <v>57.923000000000002</v>
      </c>
      <c r="C1323" s="19"/>
      <c r="D1323" s="20"/>
    </row>
    <row r="1324" spans="1:4" x14ac:dyDescent="0.3">
      <c r="A1324" s="21">
        <v>45444.527778000003</v>
      </c>
      <c r="B1324" s="18">
        <v>57.315452999999998</v>
      </c>
      <c r="C1324" s="19"/>
      <c r="D1324" s="20"/>
    </row>
    <row r="1325" spans="1:4" x14ac:dyDescent="0.3">
      <c r="A1325" s="21">
        <v>45444.528471999998</v>
      </c>
      <c r="B1325" s="18">
        <v>57.035648000000002</v>
      </c>
      <c r="C1325" s="19"/>
      <c r="D1325" s="20"/>
    </row>
    <row r="1326" spans="1:4" x14ac:dyDescent="0.3">
      <c r="A1326" s="21">
        <v>45444.529167000001</v>
      </c>
      <c r="B1326" s="18">
        <v>57.977347999999999</v>
      </c>
      <c r="C1326" s="19"/>
      <c r="D1326" s="20"/>
    </row>
    <row r="1327" spans="1:4" x14ac:dyDescent="0.3">
      <c r="A1327" s="21">
        <v>45444.529861000003</v>
      </c>
      <c r="B1327" s="18">
        <v>57.555236999999998</v>
      </c>
      <c r="C1327" s="19"/>
      <c r="D1327" s="20"/>
    </row>
    <row r="1328" spans="1:4" x14ac:dyDescent="0.3">
      <c r="A1328" s="21">
        <v>45444.530555999998</v>
      </c>
      <c r="B1328" s="18">
        <v>57.691915999999999</v>
      </c>
      <c r="C1328" s="19"/>
      <c r="D1328" s="20"/>
    </row>
    <row r="1329" spans="1:4" x14ac:dyDescent="0.3">
      <c r="A1329" s="21">
        <v>45444.53125</v>
      </c>
      <c r="B1329" s="18">
        <v>57.521284999999999</v>
      </c>
      <c r="C1329" s="19"/>
      <c r="D1329" s="20"/>
    </row>
    <row r="1330" spans="1:4" x14ac:dyDescent="0.3">
      <c r="A1330" s="21">
        <v>45444.531944000002</v>
      </c>
      <c r="B1330" s="18">
        <v>57.882925999999998</v>
      </c>
      <c r="C1330" s="19"/>
      <c r="D1330" s="20"/>
    </row>
    <row r="1331" spans="1:4" x14ac:dyDescent="0.3">
      <c r="A1331" s="21">
        <v>45444.532638999997</v>
      </c>
      <c r="B1331" s="18">
        <v>58.043675999999998</v>
      </c>
      <c r="C1331" s="19"/>
      <c r="D1331" s="20"/>
    </row>
    <row r="1332" spans="1:4" x14ac:dyDescent="0.3">
      <c r="A1332" s="21">
        <v>45444.533332999999</v>
      </c>
      <c r="B1332" s="18">
        <v>58.533099</v>
      </c>
      <c r="C1332" s="19"/>
      <c r="D1332" s="20"/>
    </row>
    <row r="1333" spans="1:4" x14ac:dyDescent="0.3">
      <c r="A1333" s="21">
        <v>45444.534028000002</v>
      </c>
      <c r="B1333" s="18">
        <v>57.949719000000002</v>
      </c>
      <c r="C1333" s="19"/>
      <c r="D1333" s="20"/>
    </row>
    <row r="1334" spans="1:4" x14ac:dyDescent="0.3">
      <c r="A1334" s="21">
        <v>45444.534721999997</v>
      </c>
      <c r="B1334" s="18">
        <v>58.021523999999999</v>
      </c>
      <c r="C1334" s="19"/>
      <c r="D1334" s="20"/>
    </row>
    <row r="1335" spans="1:4" x14ac:dyDescent="0.3">
      <c r="A1335" s="21">
        <v>45444.535416999999</v>
      </c>
      <c r="B1335" s="18">
        <v>57.857467999999997</v>
      </c>
      <c r="C1335" s="19"/>
      <c r="D1335" s="20"/>
    </row>
    <row r="1336" spans="1:4" x14ac:dyDescent="0.3">
      <c r="A1336" s="21">
        <v>45444.536111000001</v>
      </c>
      <c r="B1336" s="18">
        <v>58.127941</v>
      </c>
      <c r="C1336" s="19"/>
      <c r="D1336" s="20"/>
    </row>
    <row r="1337" spans="1:4" x14ac:dyDescent="0.3">
      <c r="A1337" s="21">
        <v>45444.536805999996</v>
      </c>
      <c r="B1337" s="18">
        <v>58.564967000000003</v>
      </c>
      <c r="C1337" s="19"/>
      <c r="D1337" s="20"/>
    </row>
    <row r="1338" spans="1:4" x14ac:dyDescent="0.3">
      <c r="A1338" s="21">
        <v>45444.537499999999</v>
      </c>
      <c r="B1338" s="18">
        <v>58.292928000000003</v>
      </c>
      <c r="C1338" s="19"/>
      <c r="D1338" s="20"/>
    </row>
    <row r="1339" spans="1:4" x14ac:dyDescent="0.3">
      <c r="A1339" s="21">
        <v>45444.538194000001</v>
      </c>
      <c r="B1339" s="18">
        <v>58.420257999999997</v>
      </c>
      <c r="C1339" s="19"/>
      <c r="D1339" s="20"/>
    </row>
    <row r="1340" spans="1:4" x14ac:dyDescent="0.3">
      <c r="A1340" s="21">
        <v>45444.538889000003</v>
      </c>
      <c r="B1340" s="18">
        <v>58.732902000000003</v>
      </c>
      <c r="C1340" s="19"/>
      <c r="D1340" s="20"/>
    </row>
    <row r="1341" spans="1:4" x14ac:dyDescent="0.3">
      <c r="A1341" s="21">
        <v>45444.539582999998</v>
      </c>
      <c r="B1341" s="18">
        <v>58.259118000000001</v>
      </c>
      <c r="C1341" s="19"/>
      <c r="D1341" s="20"/>
    </row>
    <row r="1342" spans="1:4" x14ac:dyDescent="0.3">
      <c r="A1342" s="21">
        <v>45444.540278</v>
      </c>
      <c r="B1342" s="18">
        <v>58.150844999999997</v>
      </c>
      <c r="C1342" s="19"/>
      <c r="D1342" s="20"/>
    </row>
    <row r="1343" spans="1:4" x14ac:dyDescent="0.3">
      <c r="A1343" s="21">
        <v>45444.540972000003</v>
      </c>
      <c r="B1343" s="18">
        <v>57.925744000000002</v>
      </c>
      <c r="C1343" s="19"/>
      <c r="D1343" s="20"/>
    </row>
    <row r="1344" spans="1:4" x14ac:dyDescent="0.3">
      <c r="A1344" s="21">
        <v>45444.541666999998</v>
      </c>
      <c r="B1344" s="18">
        <v>59.645913</v>
      </c>
      <c r="C1344" s="19"/>
      <c r="D1344" s="20"/>
    </row>
    <row r="1345" spans="1:4" x14ac:dyDescent="0.3">
      <c r="A1345" s="21">
        <v>45444.542361</v>
      </c>
      <c r="B1345" s="18">
        <v>58.760103999999998</v>
      </c>
      <c r="C1345" s="19"/>
      <c r="D1345" s="20"/>
    </row>
    <row r="1346" spans="1:4" x14ac:dyDescent="0.3">
      <c r="A1346" s="21">
        <v>45444.543056000002</v>
      </c>
      <c r="B1346" s="18">
        <v>58.574950000000001</v>
      </c>
      <c r="C1346" s="19"/>
      <c r="D1346" s="20"/>
    </row>
    <row r="1347" spans="1:4" x14ac:dyDescent="0.3">
      <c r="A1347" s="21">
        <v>45444.543749999997</v>
      </c>
      <c r="B1347" s="18">
        <v>58.171376000000002</v>
      </c>
      <c r="C1347" s="19"/>
      <c r="D1347" s="20"/>
    </row>
    <row r="1348" spans="1:4" x14ac:dyDescent="0.3">
      <c r="A1348" s="21">
        <v>45444.544443999999</v>
      </c>
      <c r="B1348" s="18">
        <v>58.350203999999998</v>
      </c>
      <c r="C1348" s="19"/>
      <c r="D1348" s="20"/>
    </row>
    <row r="1349" spans="1:4" x14ac:dyDescent="0.3">
      <c r="A1349" s="21">
        <v>45444.545139000002</v>
      </c>
      <c r="B1349" s="18">
        <v>58.052815000000002</v>
      </c>
      <c r="C1349" s="19"/>
      <c r="D1349" s="20"/>
    </row>
    <row r="1350" spans="1:4" x14ac:dyDescent="0.3">
      <c r="A1350" s="21">
        <v>45444.545832999996</v>
      </c>
      <c r="B1350" s="18">
        <v>58.169975999999998</v>
      </c>
      <c r="C1350" s="19"/>
      <c r="D1350" s="20"/>
    </row>
    <row r="1351" spans="1:4" x14ac:dyDescent="0.3">
      <c r="A1351" s="21">
        <v>45444.546527999999</v>
      </c>
      <c r="B1351" s="18">
        <v>58.862445999999998</v>
      </c>
      <c r="C1351" s="19"/>
      <c r="D1351" s="20"/>
    </row>
    <row r="1352" spans="1:4" x14ac:dyDescent="0.3">
      <c r="A1352" s="21">
        <v>45444.547222000001</v>
      </c>
      <c r="B1352" s="18">
        <v>58.956493999999999</v>
      </c>
      <c r="C1352" s="19"/>
      <c r="D1352" s="20"/>
    </row>
    <row r="1353" spans="1:4" x14ac:dyDescent="0.3">
      <c r="A1353" s="21">
        <v>45444.547917000004</v>
      </c>
      <c r="B1353" s="18">
        <v>58.881833</v>
      </c>
      <c r="C1353" s="19"/>
      <c r="D1353" s="20"/>
    </row>
    <row r="1354" spans="1:4" x14ac:dyDescent="0.3">
      <c r="A1354" s="21">
        <v>45444.548610999998</v>
      </c>
      <c r="B1354" s="18">
        <v>58.798081000000003</v>
      </c>
      <c r="C1354" s="19"/>
      <c r="D1354" s="20"/>
    </row>
    <row r="1355" spans="1:4" x14ac:dyDescent="0.3">
      <c r="A1355" s="21">
        <v>45444.549306000001</v>
      </c>
      <c r="B1355" s="18">
        <v>59.117686999999997</v>
      </c>
      <c r="C1355" s="19"/>
      <c r="D1355" s="20"/>
    </row>
    <row r="1356" spans="1:4" x14ac:dyDescent="0.3">
      <c r="A1356" s="21">
        <v>45444.55</v>
      </c>
      <c r="B1356" s="18">
        <v>58.902880000000003</v>
      </c>
      <c r="C1356" s="19"/>
      <c r="D1356" s="20"/>
    </row>
    <row r="1357" spans="1:4" x14ac:dyDescent="0.3">
      <c r="A1357" s="21">
        <v>45444.550693999998</v>
      </c>
      <c r="B1357" s="18">
        <v>58.684919000000001</v>
      </c>
      <c r="C1357" s="19"/>
      <c r="D1357" s="20"/>
    </row>
    <row r="1358" spans="1:4" x14ac:dyDescent="0.3">
      <c r="A1358" s="21">
        <v>45444.551389</v>
      </c>
      <c r="B1358" s="18">
        <v>59.103994999999998</v>
      </c>
      <c r="C1358" s="19"/>
      <c r="D1358" s="20"/>
    </row>
    <row r="1359" spans="1:4" x14ac:dyDescent="0.3">
      <c r="A1359" s="21">
        <v>45444.552083000002</v>
      </c>
      <c r="B1359" s="18">
        <v>59.581634000000001</v>
      </c>
      <c r="C1359" s="19"/>
      <c r="D1359" s="20"/>
    </row>
    <row r="1360" spans="1:4" x14ac:dyDescent="0.3">
      <c r="A1360" s="21">
        <v>45444.552777999997</v>
      </c>
      <c r="B1360" s="18">
        <v>59.697988000000002</v>
      </c>
      <c r="C1360" s="19"/>
      <c r="D1360" s="20"/>
    </row>
    <row r="1361" spans="1:4" x14ac:dyDescent="0.3">
      <c r="A1361" s="21">
        <v>45444.553472</v>
      </c>
      <c r="B1361" s="18">
        <v>59.253957999999997</v>
      </c>
      <c r="C1361" s="19"/>
      <c r="D1361" s="20"/>
    </row>
    <row r="1362" spans="1:4" x14ac:dyDescent="0.3">
      <c r="A1362" s="21">
        <v>45444.554167000002</v>
      </c>
      <c r="B1362" s="18">
        <v>58.729222</v>
      </c>
      <c r="C1362" s="19"/>
      <c r="D1362" s="20"/>
    </row>
    <row r="1363" spans="1:4" x14ac:dyDescent="0.3">
      <c r="A1363" s="21">
        <v>45444.554860999997</v>
      </c>
      <c r="B1363" s="18">
        <v>59.204568999999999</v>
      </c>
      <c r="C1363" s="19"/>
      <c r="D1363" s="20"/>
    </row>
    <row r="1364" spans="1:4" x14ac:dyDescent="0.3">
      <c r="A1364" s="21">
        <v>45444.555555999999</v>
      </c>
      <c r="B1364" s="18">
        <v>59.649106000000003</v>
      </c>
      <c r="C1364" s="19"/>
      <c r="D1364" s="20"/>
    </row>
    <row r="1365" spans="1:4" x14ac:dyDescent="0.3">
      <c r="A1365" s="21">
        <v>45444.556250000001</v>
      </c>
      <c r="B1365" s="18">
        <v>59.367902000000001</v>
      </c>
      <c r="C1365" s="19"/>
      <c r="D1365" s="20"/>
    </row>
    <row r="1366" spans="1:4" x14ac:dyDescent="0.3">
      <c r="A1366" s="21">
        <v>45444.556944000004</v>
      </c>
      <c r="B1366" s="18">
        <v>59.470472000000001</v>
      </c>
      <c r="C1366" s="19"/>
      <c r="D1366" s="20"/>
    </row>
    <row r="1367" spans="1:4" x14ac:dyDescent="0.3">
      <c r="A1367" s="21">
        <v>45444.557638999999</v>
      </c>
      <c r="B1367" s="18">
        <v>59.557532999999999</v>
      </c>
      <c r="C1367" s="19"/>
      <c r="D1367" s="20"/>
    </row>
    <row r="1368" spans="1:4" x14ac:dyDescent="0.3">
      <c r="A1368" s="21">
        <v>45444.558333000001</v>
      </c>
      <c r="B1368" s="18">
        <v>59.446063000000002</v>
      </c>
      <c r="C1368" s="19"/>
      <c r="D1368" s="20"/>
    </row>
    <row r="1369" spans="1:4" x14ac:dyDescent="0.3">
      <c r="A1369" s="21">
        <v>45444.559028000003</v>
      </c>
      <c r="B1369" s="18">
        <v>59.266001000000003</v>
      </c>
      <c r="C1369" s="19"/>
      <c r="D1369" s="20"/>
    </row>
    <row r="1370" spans="1:4" x14ac:dyDescent="0.3">
      <c r="A1370" s="21">
        <v>45444.559721999998</v>
      </c>
      <c r="B1370" s="18">
        <v>58.746079999999999</v>
      </c>
      <c r="C1370" s="19"/>
      <c r="D1370" s="20"/>
    </row>
    <row r="1371" spans="1:4" x14ac:dyDescent="0.3">
      <c r="A1371" s="21">
        <v>45444.560417000001</v>
      </c>
      <c r="B1371" s="18">
        <v>59.376466000000001</v>
      </c>
      <c r="C1371" s="19"/>
      <c r="D1371" s="20"/>
    </row>
    <row r="1372" spans="1:4" x14ac:dyDescent="0.3">
      <c r="A1372" s="21">
        <v>45444.561111000003</v>
      </c>
      <c r="B1372" s="18">
        <v>58.572828000000001</v>
      </c>
      <c r="C1372" s="19"/>
      <c r="D1372" s="20"/>
    </row>
    <row r="1373" spans="1:4" x14ac:dyDescent="0.3">
      <c r="A1373" s="21">
        <v>45444.561805999998</v>
      </c>
      <c r="B1373" s="18">
        <v>59.799145000000003</v>
      </c>
      <c r="C1373" s="19"/>
      <c r="D1373" s="20"/>
    </row>
    <row r="1374" spans="1:4" x14ac:dyDescent="0.3">
      <c r="A1374" s="21">
        <v>45444.5625</v>
      </c>
      <c r="B1374" s="18">
        <v>59.520712000000003</v>
      </c>
      <c r="C1374" s="19"/>
      <c r="D1374" s="20"/>
    </row>
    <row r="1375" spans="1:4" x14ac:dyDescent="0.3">
      <c r="A1375" s="21">
        <v>45444.563194000002</v>
      </c>
      <c r="B1375" s="18">
        <v>59.568572000000003</v>
      </c>
      <c r="C1375" s="19"/>
      <c r="D1375" s="20"/>
    </row>
    <row r="1376" spans="1:4" x14ac:dyDescent="0.3">
      <c r="A1376" s="21">
        <v>45444.563888999997</v>
      </c>
      <c r="B1376" s="18">
        <v>59.821173999999999</v>
      </c>
      <c r="C1376" s="19"/>
      <c r="D1376" s="20"/>
    </row>
    <row r="1377" spans="1:4" x14ac:dyDescent="0.3">
      <c r="A1377" s="21">
        <v>45444.564582999999</v>
      </c>
      <c r="B1377" s="18">
        <v>59.403208999999997</v>
      </c>
      <c r="C1377" s="19"/>
      <c r="D1377" s="20"/>
    </row>
    <row r="1378" spans="1:4" x14ac:dyDescent="0.3">
      <c r="A1378" s="21">
        <v>45444.565278000002</v>
      </c>
      <c r="B1378" s="18">
        <v>60.051648999999998</v>
      </c>
      <c r="C1378" s="19"/>
      <c r="D1378" s="20"/>
    </row>
    <row r="1379" spans="1:4" x14ac:dyDescent="0.3">
      <c r="A1379" s="21">
        <v>45444.565971999997</v>
      </c>
      <c r="B1379" s="18">
        <v>59.236058</v>
      </c>
      <c r="C1379" s="19"/>
      <c r="D1379" s="20"/>
    </row>
    <row r="1380" spans="1:4" x14ac:dyDescent="0.3">
      <c r="A1380" s="21">
        <v>45444.566666999999</v>
      </c>
      <c r="B1380" s="18">
        <v>60.098013999999999</v>
      </c>
      <c r="C1380" s="19"/>
      <c r="D1380" s="20"/>
    </row>
    <row r="1381" spans="1:4" x14ac:dyDescent="0.3">
      <c r="A1381" s="21">
        <v>45444.567361000001</v>
      </c>
      <c r="B1381" s="18">
        <v>59.481501000000002</v>
      </c>
      <c r="C1381" s="19"/>
      <c r="D1381" s="20"/>
    </row>
    <row r="1382" spans="1:4" x14ac:dyDescent="0.3">
      <c r="A1382" s="21">
        <v>45444.568055999996</v>
      </c>
      <c r="B1382" s="18">
        <v>58.927543999999997</v>
      </c>
      <c r="C1382" s="19"/>
      <c r="D1382" s="20"/>
    </row>
    <row r="1383" spans="1:4" x14ac:dyDescent="0.3">
      <c r="A1383" s="21">
        <v>45444.568749999999</v>
      </c>
      <c r="B1383" s="18">
        <v>59.398885</v>
      </c>
      <c r="C1383" s="19"/>
      <c r="D1383" s="20"/>
    </row>
    <row r="1384" spans="1:4" x14ac:dyDescent="0.3">
      <c r="A1384" s="21">
        <v>45444.569444000001</v>
      </c>
      <c r="B1384" s="18">
        <v>60.203727000000001</v>
      </c>
      <c r="C1384" s="19"/>
      <c r="D1384" s="20"/>
    </row>
    <row r="1385" spans="1:4" x14ac:dyDescent="0.3">
      <c r="A1385" s="21">
        <v>45444.570139000003</v>
      </c>
      <c r="B1385" s="18">
        <v>59.519786000000003</v>
      </c>
      <c r="C1385" s="19"/>
      <c r="D1385" s="20"/>
    </row>
    <row r="1386" spans="1:4" x14ac:dyDescent="0.3">
      <c r="A1386" s="21">
        <v>45444.570832999998</v>
      </c>
      <c r="B1386" s="18">
        <v>59.208055000000002</v>
      </c>
      <c r="C1386" s="19"/>
      <c r="D1386" s="20"/>
    </row>
    <row r="1387" spans="1:4" x14ac:dyDescent="0.3">
      <c r="A1387" s="21">
        <v>45444.571528</v>
      </c>
      <c r="B1387" s="18">
        <v>59.255240000000001</v>
      </c>
      <c r="C1387" s="19"/>
      <c r="D1387" s="20"/>
    </row>
    <row r="1388" spans="1:4" x14ac:dyDescent="0.3">
      <c r="A1388" s="21">
        <v>45444.572222000003</v>
      </c>
      <c r="B1388" s="18">
        <v>59.777859999999997</v>
      </c>
      <c r="C1388" s="19"/>
      <c r="D1388" s="20"/>
    </row>
    <row r="1389" spans="1:4" x14ac:dyDescent="0.3">
      <c r="A1389" s="21">
        <v>45444.572916999998</v>
      </c>
      <c r="B1389" s="18">
        <v>59.490257999999997</v>
      </c>
      <c r="C1389" s="19"/>
      <c r="D1389" s="20"/>
    </row>
    <row r="1390" spans="1:4" x14ac:dyDescent="0.3">
      <c r="A1390" s="21">
        <v>45444.573611</v>
      </c>
      <c r="B1390" s="18">
        <v>59.396582000000002</v>
      </c>
      <c r="C1390" s="19"/>
      <c r="D1390" s="20"/>
    </row>
    <row r="1391" spans="1:4" x14ac:dyDescent="0.3">
      <c r="A1391" s="21">
        <v>45444.574306000002</v>
      </c>
      <c r="B1391" s="18">
        <v>60.092230999999998</v>
      </c>
      <c r="C1391" s="19"/>
      <c r="D1391" s="20"/>
    </row>
    <row r="1392" spans="1:4" x14ac:dyDescent="0.3">
      <c r="A1392" s="21">
        <v>45444.574999999997</v>
      </c>
      <c r="B1392" s="18">
        <v>59.794522000000001</v>
      </c>
      <c r="C1392" s="19"/>
      <c r="D1392" s="20"/>
    </row>
    <row r="1393" spans="1:4" x14ac:dyDescent="0.3">
      <c r="A1393" s="21">
        <v>45444.575693999999</v>
      </c>
      <c r="B1393" s="18">
        <v>60.166592000000001</v>
      </c>
      <c r="C1393" s="19"/>
      <c r="D1393" s="20"/>
    </row>
    <row r="1394" spans="1:4" x14ac:dyDescent="0.3">
      <c r="A1394" s="21">
        <v>45444.576389000002</v>
      </c>
      <c r="B1394" s="18">
        <v>59.339834000000003</v>
      </c>
      <c r="C1394" s="19"/>
      <c r="D1394" s="20"/>
    </row>
    <row r="1395" spans="1:4" x14ac:dyDescent="0.3">
      <c r="A1395" s="21">
        <v>45444.577082999996</v>
      </c>
      <c r="B1395" s="18">
        <v>59.805818000000002</v>
      </c>
      <c r="C1395" s="19"/>
      <c r="D1395" s="20"/>
    </row>
    <row r="1396" spans="1:4" x14ac:dyDescent="0.3">
      <c r="A1396" s="21">
        <v>45444.577777999999</v>
      </c>
      <c r="B1396" s="18">
        <v>59.368090000000002</v>
      </c>
      <c r="C1396" s="19"/>
      <c r="D1396" s="20"/>
    </row>
    <row r="1397" spans="1:4" x14ac:dyDescent="0.3">
      <c r="A1397" s="21">
        <v>45444.578472000001</v>
      </c>
      <c r="B1397" s="18">
        <v>59.969161</v>
      </c>
      <c r="C1397" s="19"/>
      <c r="D1397" s="20"/>
    </row>
    <row r="1398" spans="1:4" x14ac:dyDescent="0.3">
      <c r="A1398" s="21">
        <v>45444.579167000004</v>
      </c>
      <c r="B1398" s="18">
        <v>59.462592000000001</v>
      </c>
      <c r="C1398" s="19"/>
      <c r="D1398" s="20"/>
    </row>
    <row r="1399" spans="1:4" x14ac:dyDescent="0.3">
      <c r="A1399" s="21">
        <v>45444.579860999998</v>
      </c>
      <c r="B1399" s="18">
        <v>60.214193000000002</v>
      </c>
      <c r="C1399" s="19"/>
      <c r="D1399" s="20"/>
    </row>
    <row r="1400" spans="1:4" x14ac:dyDescent="0.3">
      <c r="A1400" s="21">
        <v>45444.580556000001</v>
      </c>
      <c r="B1400" s="18">
        <v>59.614203000000003</v>
      </c>
      <c r="C1400" s="19"/>
      <c r="D1400" s="20"/>
    </row>
    <row r="1401" spans="1:4" x14ac:dyDescent="0.3">
      <c r="A1401" s="21">
        <v>45444.581250000003</v>
      </c>
      <c r="B1401" s="18">
        <v>59.667459999999998</v>
      </c>
      <c r="C1401" s="19"/>
      <c r="D1401" s="20"/>
    </row>
    <row r="1402" spans="1:4" x14ac:dyDescent="0.3">
      <c r="A1402" s="21">
        <v>45444.581943999998</v>
      </c>
      <c r="B1402" s="18">
        <v>59.982509999999998</v>
      </c>
      <c r="C1402" s="19"/>
      <c r="D1402" s="20"/>
    </row>
    <row r="1403" spans="1:4" x14ac:dyDescent="0.3">
      <c r="A1403" s="21">
        <v>45444.582639</v>
      </c>
      <c r="B1403" s="18">
        <v>59.915267</v>
      </c>
      <c r="C1403" s="19"/>
      <c r="D1403" s="20"/>
    </row>
    <row r="1404" spans="1:4" x14ac:dyDescent="0.3">
      <c r="A1404" s="21">
        <v>45444.583333000002</v>
      </c>
      <c r="B1404" s="18">
        <v>59.604706999999998</v>
      </c>
      <c r="C1404" s="19"/>
      <c r="D1404" s="20"/>
    </row>
    <row r="1405" spans="1:4" x14ac:dyDescent="0.3">
      <c r="A1405" s="21">
        <v>45444.584027999997</v>
      </c>
      <c r="B1405" s="18">
        <v>60.038919</v>
      </c>
      <c r="C1405" s="19"/>
      <c r="D1405" s="20"/>
    </row>
    <row r="1406" spans="1:4" x14ac:dyDescent="0.3">
      <c r="A1406" s="21">
        <v>45444.584722</v>
      </c>
      <c r="B1406" s="18">
        <v>59.722588000000002</v>
      </c>
      <c r="C1406" s="19"/>
      <c r="D1406" s="20"/>
    </row>
    <row r="1407" spans="1:4" x14ac:dyDescent="0.3">
      <c r="A1407" s="21">
        <v>45444.585417000002</v>
      </c>
      <c r="B1407" s="18">
        <v>60.109327</v>
      </c>
      <c r="C1407" s="19"/>
      <c r="D1407" s="20"/>
    </row>
    <row r="1408" spans="1:4" x14ac:dyDescent="0.3">
      <c r="A1408" s="21">
        <v>45444.586110999997</v>
      </c>
      <c r="B1408" s="18">
        <v>60.076723999999999</v>
      </c>
      <c r="C1408" s="19"/>
      <c r="D1408" s="20"/>
    </row>
    <row r="1409" spans="1:4" x14ac:dyDescent="0.3">
      <c r="A1409" s="21">
        <v>45444.586805999999</v>
      </c>
      <c r="B1409" s="18">
        <v>59.972357000000002</v>
      </c>
      <c r="C1409" s="19"/>
      <c r="D1409" s="20"/>
    </row>
    <row r="1410" spans="1:4" x14ac:dyDescent="0.3">
      <c r="A1410" s="21">
        <v>45444.587500000001</v>
      </c>
      <c r="B1410" s="18">
        <v>59.761526000000003</v>
      </c>
      <c r="C1410" s="19"/>
      <c r="D1410" s="20"/>
    </row>
    <row r="1411" spans="1:4" x14ac:dyDescent="0.3">
      <c r="A1411" s="21">
        <v>45444.588194000004</v>
      </c>
      <c r="B1411" s="18">
        <v>59.817442</v>
      </c>
      <c r="C1411" s="19"/>
      <c r="D1411" s="20"/>
    </row>
    <row r="1412" spans="1:4" x14ac:dyDescent="0.3">
      <c r="A1412" s="21">
        <v>45444.588888999999</v>
      </c>
      <c r="B1412" s="18">
        <v>59.576331000000003</v>
      </c>
      <c r="C1412" s="19"/>
      <c r="D1412" s="20"/>
    </row>
    <row r="1413" spans="1:4" x14ac:dyDescent="0.3">
      <c r="A1413" s="21">
        <v>45444.589583000001</v>
      </c>
      <c r="B1413" s="18">
        <v>59.708823000000002</v>
      </c>
      <c r="C1413" s="19"/>
      <c r="D1413" s="20"/>
    </row>
    <row r="1414" spans="1:4" x14ac:dyDescent="0.3">
      <c r="A1414" s="21">
        <v>45444.590278000003</v>
      </c>
      <c r="B1414" s="18">
        <v>59.890998000000003</v>
      </c>
      <c r="C1414" s="19"/>
      <c r="D1414" s="20"/>
    </row>
    <row r="1415" spans="1:4" x14ac:dyDescent="0.3">
      <c r="A1415" s="21">
        <v>45444.590971999998</v>
      </c>
      <c r="B1415" s="18">
        <v>60.091712000000001</v>
      </c>
      <c r="C1415" s="19"/>
      <c r="D1415" s="20"/>
    </row>
    <row r="1416" spans="1:4" x14ac:dyDescent="0.3">
      <c r="A1416" s="21">
        <v>45444.591667000001</v>
      </c>
      <c r="B1416" s="18">
        <v>60.387839</v>
      </c>
      <c r="C1416" s="19"/>
      <c r="D1416" s="20"/>
    </row>
    <row r="1417" spans="1:4" x14ac:dyDescent="0.3">
      <c r="A1417" s="21">
        <v>45444.592361000003</v>
      </c>
      <c r="B1417" s="18">
        <v>60.373769000000003</v>
      </c>
      <c r="C1417" s="19"/>
      <c r="D1417" s="20"/>
    </row>
    <row r="1418" spans="1:4" x14ac:dyDescent="0.3">
      <c r="A1418" s="21">
        <v>45444.593055999998</v>
      </c>
      <c r="B1418" s="18">
        <v>59.942101999999998</v>
      </c>
      <c r="C1418" s="19"/>
      <c r="D1418" s="20"/>
    </row>
    <row r="1419" spans="1:4" x14ac:dyDescent="0.3">
      <c r="A1419" s="21">
        <v>45444.59375</v>
      </c>
      <c r="B1419" s="18">
        <v>59.896929</v>
      </c>
      <c r="C1419" s="19"/>
      <c r="D1419" s="20"/>
    </row>
    <row r="1420" spans="1:4" x14ac:dyDescent="0.3">
      <c r="A1420" s="21">
        <v>45444.594444000002</v>
      </c>
      <c r="B1420" s="18">
        <v>59.893244000000003</v>
      </c>
      <c r="C1420" s="19"/>
      <c r="D1420" s="20"/>
    </row>
    <row r="1421" spans="1:4" x14ac:dyDescent="0.3">
      <c r="A1421" s="21">
        <v>45444.595138999997</v>
      </c>
      <c r="B1421" s="18">
        <v>60.089329999999997</v>
      </c>
      <c r="C1421" s="19"/>
      <c r="D1421" s="20"/>
    </row>
    <row r="1422" spans="1:4" x14ac:dyDescent="0.3">
      <c r="A1422" s="21">
        <v>45444.595832999999</v>
      </c>
      <c r="B1422" s="18">
        <v>59.693655</v>
      </c>
      <c r="C1422" s="19"/>
      <c r="D1422" s="20"/>
    </row>
    <row r="1423" spans="1:4" x14ac:dyDescent="0.3">
      <c r="A1423" s="21">
        <v>45444.596528000002</v>
      </c>
      <c r="B1423" s="18">
        <v>60.030954999999999</v>
      </c>
      <c r="C1423" s="19"/>
      <c r="D1423" s="20"/>
    </row>
    <row r="1424" spans="1:4" x14ac:dyDescent="0.3">
      <c r="A1424" s="21">
        <v>45444.597221999997</v>
      </c>
      <c r="B1424" s="18">
        <v>60.366957999999997</v>
      </c>
      <c r="C1424" s="19"/>
      <c r="D1424" s="20"/>
    </row>
    <row r="1425" spans="1:4" x14ac:dyDescent="0.3">
      <c r="A1425" s="21">
        <v>45444.597916999999</v>
      </c>
      <c r="B1425" s="18">
        <v>61.054174000000003</v>
      </c>
      <c r="C1425" s="19"/>
      <c r="D1425" s="20"/>
    </row>
    <row r="1426" spans="1:4" x14ac:dyDescent="0.3">
      <c r="A1426" s="21">
        <v>45444.598611000001</v>
      </c>
      <c r="B1426" s="18">
        <v>60.214333000000003</v>
      </c>
      <c r="C1426" s="19"/>
      <c r="D1426" s="20"/>
    </row>
    <row r="1427" spans="1:4" x14ac:dyDescent="0.3">
      <c r="A1427" s="21">
        <v>45444.599305999996</v>
      </c>
      <c r="B1427" s="18">
        <v>60.410691999999997</v>
      </c>
      <c r="C1427" s="19"/>
      <c r="D1427" s="20"/>
    </row>
    <row r="1428" spans="1:4" x14ac:dyDescent="0.3">
      <c r="A1428" s="21">
        <v>45444.6</v>
      </c>
      <c r="B1428" s="18">
        <v>60.240304999999999</v>
      </c>
      <c r="C1428" s="19"/>
      <c r="D1428" s="20"/>
    </row>
    <row r="1429" spans="1:4" x14ac:dyDescent="0.3">
      <c r="A1429" s="21">
        <v>45444.600694000001</v>
      </c>
      <c r="B1429" s="18">
        <v>59.615901999999998</v>
      </c>
      <c r="C1429" s="19"/>
      <c r="D1429" s="20"/>
    </row>
    <row r="1430" spans="1:4" x14ac:dyDescent="0.3">
      <c r="A1430" s="21">
        <v>45444.601389000003</v>
      </c>
      <c r="B1430" s="18">
        <v>60.526319000000001</v>
      </c>
      <c r="C1430" s="19"/>
      <c r="D1430" s="20"/>
    </row>
    <row r="1431" spans="1:4" x14ac:dyDescent="0.3">
      <c r="A1431" s="21">
        <v>45444.602082999998</v>
      </c>
      <c r="B1431" s="18">
        <v>60.214826000000002</v>
      </c>
      <c r="C1431" s="19"/>
      <c r="D1431" s="20"/>
    </row>
    <row r="1432" spans="1:4" x14ac:dyDescent="0.3">
      <c r="A1432" s="21">
        <v>45444.602778</v>
      </c>
      <c r="B1432" s="18">
        <v>60.188478000000003</v>
      </c>
      <c r="C1432" s="19"/>
      <c r="D1432" s="20"/>
    </row>
    <row r="1433" spans="1:4" x14ac:dyDescent="0.3">
      <c r="A1433" s="21">
        <v>45444.603472000003</v>
      </c>
      <c r="B1433" s="18">
        <v>59.977207999999997</v>
      </c>
      <c r="C1433" s="19"/>
      <c r="D1433" s="20"/>
    </row>
    <row r="1434" spans="1:4" x14ac:dyDescent="0.3">
      <c r="A1434" s="21">
        <v>45444.604166999998</v>
      </c>
      <c r="B1434" s="18">
        <v>60.058186999999997</v>
      </c>
      <c r="C1434" s="19"/>
      <c r="D1434" s="20"/>
    </row>
    <row r="1435" spans="1:4" x14ac:dyDescent="0.3">
      <c r="A1435" s="21">
        <v>45444.604861</v>
      </c>
      <c r="B1435" s="18">
        <v>60.173653999999999</v>
      </c>
      <c r="C1435" s="19"/>
      <c r="D1435" s="20"/>
    </row>
    <row r="1436" spans="1:4" x14ac:dyDescent="0.3">
      <c r="A1436" s="21">
        <v>45444.605556000002</v>
      </c>
      <c r="B1436" s="18">
        <v>60.693652</v>
      </c>
      <c r="C1436" s="19"/>
      <c r="D1436" s="20"/>
    </row>
    <row r="1437" spans="1:4" x14ac:dyDescent="0.3">
      <c r="A1437" s="21">
        <v>45444.606249999997</v>
      </c>
      <c r="B1437" s="18">
        <v>60.489078999999997</v>
      </c>
      <c r="C1437" s="19"/>
      <c r="D1437" s="20"/>
    </row>
    <row r="1438" spans="1:4" x14ac:dyDescent="0.3">
      <c r="A1438" s="21">
        <v>45444.606943999999</v>
      </c>
      <c r="B1438" s="18">
        <v>60.258056000000003</v>
      </c>
      <c r="C1438" s="19"/>
      <c r="D1438" s="20"/>
    </row>
    <row r="1439" spans="1:4" x14ac:dyDescent="0.3">
      <c r="A1439" s="21">
        <v>45444.607639000002</v>
      </c>
      <c r="B1439" s="18">
        <v>60.496273000000002</v>
      </c>
      <c r="C1439" s="19"/>
      <c r="D1439" s="20"/>
    </row>
    <row r="1440" spans="1:4" x14ac:dyDescent="0.3">
      <c r="A1440" s="21">
        <v>45444.608332999996</v>
      </c>
      <c r="B1440" s="18">
        <v>60.390968999999998</v>
      </c>
      <c r="C1440" s="19"/>
      <c r="D1440" s="20"/>
    </row>
    <row r="1441" spans="1:4" x14ac:dyDescent="0.3">
      <c r="A1441" s="21">
        <v>45444.609027999999</v>
      </c>
      <c r="B1441" s="18">
        <v>60.626302000000003</v>
      </c>
      <c r="C1441" s="19"/>
      <c r="D1441" s="20"/>
    </row>
    <row r="1442" spans="1:4" x14ac:dyDescent="0.3">
      <c r="A1442" s="21">
        <v>45444.609722000001</v>
      </c>
      <c r="B1442" s="18">
        <v>60.096496000000002</v>
      </c>
      <c r="C1442" s="19"/>
      <c r="D1442" s="20"/>
    </row>
    <row r="1443" spans="1:4" x14ac:dyDescent="0.3">
      <c r="A1443" s="21">
        <v>45444.610417000004</v>
      </c>
      <c r="B1443" s="18">
        <v>60.468817000000001</v>
      </c>
      <c r="C1443" s="19"/>
      <c r="D1443" s="20"/>
    </row>
    <row r="1444" spans="1:4" x14ac:dyDescent="0.3">
      <c r="A1444" s="21">
        <v>45444.611110999998</v>
      </c>
      <c r="B1444" s="18">
        <v>60.620702000000001</v>
      </c>
      <c r="C1444" s="19"/>
      <c r="D1444" s="20"/>
    </row>
    <row r="1445" spans="1:4" x14ac:dyDescent="0.3">
      <c r="A1445" s="21">
        <v>45444.611806000001</v>
      </c>
      <c r="B1445" s="18">
        <v>59.994905000000003</v>
      </c>
      <c r="C1445" s="19"/>
      <c r="D1445" s="20"/>
    </row>
    <row r="1446" spans="1:4" x14ac:dyDescent="0.3">
      <c r="A1446" s="21">
        <v>45444.612500000003</v>
      </c>
      <c r="B1446" s="18">
        <v>60.428666</v>
      </c>
      <c r="C1446" s="19"/>
      <c r="D1446" s="20"/>
    </row>
    <row r="1447" spans="1:4" x14ac:dyDescent="0.3">
      <c r="A1447" s="21">
        <v>45444.613193999998</v>
      </c>
      <c r="B1447" s="18">
        <v>60.890358999999997</v>
      </c>
      <c r="C1447" s="19"/>
      <c r="D1447" s="20"/>
    </row>
    <row r="1448" spans="1:4" x14ac:dyDescent="0.3">
      <c r="A1448" s="21">
        <v>45444.613889</v>
      </c>
      <c r="B1448" s="18">
        <v>60.390160000000002</v>
      </c>
      <c r="C1448" s="19"/>
      <c r="D1448" s="20"/>
    </row>
    <row r="1449" spans="1:4" x14ac:dyDescent="0.3">
      <c r="A1449" s="21">
        <v>45444.614583000002</v>
      </c>
      <c r="B1449" s="18">
        <v>60.231229999999996</v>
      </c>
      <c r="C1449" s="19"/>
      <c r="D1449" s="20"/>
    </row>
    <row r="1450" spans="1:4" x14ac:dyDescent="0.3">
      <c r="A1450" s="21">
        <v>45444.615277999997</v>
      </c>
      <c r="B1450" s="18">
        <v>60.139690000000002</v>
      </c>
      <c r="C1450" s="19"/>
      <c r="D1450" s="20"/>
    </row>
    <row r="1451" spans="1:4" x14ac:dyDescent="0.3">
      <c r="A1451" s="21">
        <v>45444.615972</v>
      </c>
      <c r="B1451" s="18">
        <v>60.928721000000003</v>
      </c>
      <c r="C1451" s="19"/>
      <c r="D1451" s="20"/>
    </row>
    <row r="1452" spans="1:4" x14ac:dyDescent="0.3">
      <c r="A1452" s="21">
        <v>45444.616667000002</v>
      </c>
      <c r="B1452" s="18">
        <v>60.251159000000001</v>
      </c>
      <c r="C1452" s="19"/>
      <c r="D1452" s="20"/>
    </row>
    <row r="1453" spans="1:4" x14ac:dyDescent="0.3">
      <c r="A1453" s="21">
        <v>45444.617360999997</v>
      </c>
      <c r="B1453" s="18">
        <v>60.391930000000002</v>
      </c>
      <c r="C1453" s="19"/>
      <c r="D1453" s="20"/>
    </row>
    <row r="1454" spans="1:4" x14ac:dyDescent="0.3">
      <c r="A1454" s="21">
        <v>45444.618055999999</v>
      </c>
      <c r="B1454" s="18">
        <v>52.980944000000001</v>
      </c>
      <c r="C1454" s="19"/>
      <c r="D1454" s="2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2026-08-10T14:45:52Z</dcterms:modified>
</cp:coreProperties>
</file>