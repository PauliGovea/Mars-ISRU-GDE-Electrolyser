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toresearch-my.sharepoint.com/personal/paulina_goveaalvarez_vito_be/Documents/Documents/Experiments/2024/K2SO4/20240607 - Ag60 GDE_0.9 M K2SO4_pH2/"/>
    </mc:Choice>
  </mc:AlternateContent>
  <xr:revisionPtr revIDLastSave="195" documentId="8_{99172C6E-3916-40BE-A50D-EF70DFCC63BC}" xr6:coauthVersionLast="47" xr6:coauthVersionMax="47" xr10:uidLastSave="{3D3A42EA-03C9-4DD7-82B7-963A10C8F225}"/>
  <bookViews>
    <workbookView xWindow="-96" yWindow="0" windowWidth="11712" windowHeight="12336" xr2:uid="{15374DF8-AA4F-49FF-8BB1-7BFD50C5D9E4}"/>
  </bookViews>
  <sheets>
    <sheet name="Sheet1" sheetId="1" r:id="rId1"/>
    <sheet name="Flow ra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" l="1"/>
  <c r="Q4" i="1"/>
  <c r="R4" i="1"/>
  <c r="S4" i="1"/>
  <c r="P5" i="1"/>
  <c r="Q5" i="1"/>
  <c r="R5" i="1"/>
  <c r="S5" i="1"/>
  <c r="P6" i="1"/>
  <c r="Q6" i="1"/>
  <c r="R6" i="1"/>
  <c r="S6" i="1"/>
  <c r="P7" i="1"/>
  <c r="Q7" i="1"/>
  <c r="R7" i="1"/>
  <c r="S7" i="1"/>
  <c r="P8" i="1"/>
  <c r="Q8" i="1"/>
  <c r="R8" i="1"/>
  <c r="S8" i="1"/>
  <c r="P9" i="1"/>
  <c r="Q9" i="1"/>
  <c r="R9" i="1"/>
  <c r="S9" i="1"/>
  <c r="P10" i="1"/>
  <c r="Q10" i="1"/>
  <c r="R10" i="1"/>
  <c r="S10" i="1"/>
  <c r="P11" i="1"/>
  <c r="Q11" i="1"/>
  <c r="R11" i="1"/>
  <c r="S11" i="1"/>
  <c r="P12" i="1"/>
  <c r="Q12" i="1"/>
  <c r="R12" i="1"/>
  <c r="S12" i="1"/>
  <c r="P13" i="1"/>
  <c r="Q13" i="1"/>
  <c r="R13" i="1"/>
  <c r="S13" i="1"/>
  <c r="P14" i="1"/>
  <c r="Q14" i="1"/>
  <c r="R14" i="1"/>
  <c r="S14" i="1"/>
  <c r="P15" i="1"/>
  <c r="Q15" i="1"/>
  <c r="R15" i="1"/>
  <c r="S15" i="1"/>
  <c r="P16" i="1"/>
  <c r="Q16" i="1"/>
  <c r="R16" i="1"/>
  <c r="S16" i="1"/>
  <c r="P17" i="1"/>
  <c r="Q17" i="1"/>
  <c r="R17" i="1"/>
  <c r="S17" i="1"/>
  <c r="P18" i="1"/>
  <c r="Q18" i="1"/>
  <c r="R18" i="1"/>
  <c r="S18" i="1"/>
  <c r="P19" i="1"/>
  <c r="Q19" i="1"/>
  <c r="R19" i="1"/>
  <c r="S19" i="1"/>
  <c r="P20" i="1"/>
  <c r="Q20" i="1"/>
  <c r="R20" i="1"/>
  <c r="S20" i="1"/>
  <c r="P21" i="1"/>
  <c r="Q21" i="1"/>
  <c r="R21" i="1"/>
  <c r="S21" i="1"/>
  <c r="P22" i="1"/>
  <c r="Q22" i="1"/>
  <c r="R22" i="1"/>
  <c r="S22" i="1"/>
  <c r="P23" i="1"/>
  <c r="Q23" i="1"/>
  <c r="R23" i="1"/>
  <c r="S23" i="1"/>
  <c r="P24" i="1"/>
  <c r="Q24" i="1"/>
  <c r="R24" i="1"/>
  <c r="S24" i="1"/>
  <c r="P25" i="1"/>
  <c r="Q25" i="1"/>
  <c r="R25" i="1"/>
  <c r="S25" i="1"/>
  <c r="P26" i="1"/>
  <c r="Q26" i="1"/>
  <c r="R26" i="1"/>
  <c r="S26" i="1"/>
  <c r="P27" i="1"/>
  <c r="Q27" i="1"/>
  <c r="R27" i="1"/>
  <c r="S27" i="1"/>
  <c r="P28" i="1"/>
  <c r="Q28" i="1"/>
  <c r="U28" i="1" s="1"/>
  <c r="R28" i="1"/>
  <c r="S28" i="1"/>
  <c r="P29" i="1"/>
  <c r="Q29" i="1"/>
  <c r="R29" i="1"/>
  <c r="S29" i="1"/>
  <c r="P30" i="1"/>
  <c r="Q30" i="1"/>
  <c r="R30" i="1"/>
  <c r="S30" i="1"/>
  <c r="P31" i="1"/>
  <c r="Q31" i="1"/>
  <c r="R31" i="1"/>
  <c r="S31" i="1"/>
  <c r="P32" i="1"/>
  <c r="Q32" i="1"/>
  <c r="R32" i="1"/>
  <c r="S32" i="1"/>
  <c r="P33" i="1"/>
  <c r="Q33" i="1"/>
  <c r="R33" i="1"/>
  <c r="S33" i="1"/>
  <c r="P34" i="1"/>
  <c r="Q34" i="1"/>
  <c r="R34" i="1"/>
  <c r="S34" i="1"/>
  <c r="P35" i="1"/>
  <c r="Q35" i="1"/>
  <c r="R35" i="1"/>
  <c r="S35" i="1"/>
  <c r="P36" i="1"/>
  <c r="Q36" i="1"/>
  <c r="R36" i="1"/>
  <c r="S36" i="1"/>
  <c r="P37" i="1"/>
  <c r="Q37" i="1"/>
  <c r="R37" i="1"/>
  <c r="S37" i="1"/>
  <c r="P38" i="1"/>
  <c r="Q38" i="1"/>
  <c r="R38" i="1"/>
  <c r="S38" i="1"/>
  <c r="P39" i="1"/>
  <c r="Q39" i="1"/>
  <c r="R39" i="1"/>
  <c r="S39" i="1"/>
  <c r="P40" i="1"/>
  <c r="Q40" i="1"/>
  <c r="R40" i="1"/>
  <c r="S40" i="1"/>
  <c r="P41" i="1"/>
  <c r="Q41" i="1"/>
  <c r="R41" i="1"/>
  <c r="S41" i="1"/>
  <c r="P42" i="1"/>
  <c r="Q42" i="1"/>
  <c r="R42" i="1"/>
  <c r="S42" i="1"/>
  <c r="P43" i="1"/>
  <c r="Q43" i="1"/>
  <c r="R43" i="1"/>
  <c r="S43" i="1"/>
  <c r="P44" i="1"/>
  <c r="Q44" i="1"/>
  <c r="R44" i="1"/>
  <c r="S44" i="1"/>
  <c r="P45" i="1"/>
  <c r="Q45" i="1"/>
  <c r="R45" i="1"/>
  <c r="S45" i="1"/>
  <c r="P46" i="1"/>
  <c r="Q46" i="1"/>
  <c r="R46" i="1"/>
  <c r="S46" i="1"/>
  <c r="P47" i="1"/>
  <c r="Q47" i="1"/>
  <c r="R47" i="1"/>
  <c r="S47" i="1"/>
  <c r="P48" i="1"/>
  <c r="Q48" i="1"/>
  <c r="R48" i="1"/>
  <c r="S48" i="1"/>
  <c r="P49" i="1"/>
  <c r="Q49" i="1"/>
  <c r="R49" i="1"/>
  <c r="S49" i="1"/>
  <c r="P50" i="1"/>
  <c r="Q50" i="1"/>
  <c r="R50" i="1"/>
  <c r="S50" i="1"/>
  <c r="P51" i="1"/>
  <c r="Q51" i="1"/>
  <c r="R51" i="1"/>
  <c r="S51" i="1"/>
  <c r="P52" i="1"/>
  <c r="Q52" i="1"/>
  <c r="R52" i="1"/>
  <c r="S52" i="1"/>
  <c r="P53" i="1"/>
  <c r="Q53" i="1"/>
  <c r="R53" i="1"/>
  <c r="S53" i="1"/>
  <c r="P54" i="1"/>
  <c r="Q54" i="1"/>
  <c r="R54" i="1"/>
  <c r="S54" i="1"/>
  <c r="P55" i="1"/>
  <c r="Q55" i="1"/>
  <c r="R55" i="1"/>
  <c r="S55" i="1"/>
  <c r="P56" i="1"/>
  <c r="Q56" i="1"/>
  <c r="R56" i="1"/>
  <c r="S56" i="1"/>
  <c r="P57" i="1"/>
  <c r="Q57" i="1"/>
  <c r="R57" i="1"/>
  <c r="S57" i="1"/>
  <c r="P58" i="1"/>
  <c r="Q58" i="1"/>
  <c r="R58" i="1"/>
  <c r="S58" i="1"/>
  <c r="P59" i="1"/>
  <c r="Q59" i="1"/>
  <c r="R59" i="1"/>
  <c r="S59" i="1"/>
  <c r="P60" i="1"/>
  <c r="Q60" i="1"/>
  <c r="R60" i="1"/>
  <c r="S60" i="1"/>
  <c r="P61" i="1"/>
  <c r="Q61" i="1"/>
  <c r="R61" i="1"/>
  <c r="S61" i="1"/>
  <c r="P62" i="1"/>
  <c r="Q62" i="1"/>
  <c r="R62" i="1"/>
  <c r="S62" i="1"/>
  <c r="P63" i="1"/>
  <c r="Q63" i="1"/>
  <c r="R63" i="1"/>
  <c r="S63" i="1"/>
  <c r="P64" i="1"/>
  <c r="Q64" i="1"/>
  <c r="R64" i="1"/>
  <c r="S64" i="1"/>
  <c r="P65" i="1"/>
  <c r="Q65" i="1"/>
  <c r="R65" i="1"/>
  <c r="S65" i="1"/>
  <c r="P66" i="1"/>
  <c r="Q66" i="1"/>
  <c r="R66" i="1"/>
  <c r="S66" i="1"/>
  <c r="P67" i="1"/>
  <c r="Q67" i="1"/>
  <c r="R67" i="1"/>
  <c r="S67" i="1"/>
  <c r="P68" i="1"/>
  <c r="Q68" i="1"/>
  <c r="R68" i="1"/>
  <c r="S68" i="1"/>
  <c r="P69" i="1"/>
  <c r="Q69" i="1"/>
  <c r="R69" i="1"/>
  <c r="S69" i="1"/>
  <c r="P70" i="1"/>
  <c r="Q70" i="1"/>
  <c r="R70" i="1"/>
  <c r="S70" i="1"/>
  <c r="P71" i="1"/>
  <c r="Q71" i="1"/>
  <c r="R71" i="1"/>
  <c r="S71" i="1"/>
  <c r="P72" i="1"/>
  <c r="Q72" i="1"/>
  <c r="R72" i="1"/>
  <c r="S72" i="1"/>
  <c r="P73" i="1"/>
  <c r="Q73" i="1"/>
  <c r="R73" i="1"/>
  <c r="S73" i="1"/>
  <c r="P74" i="1"/>
  <c r="Q74" i="1"/>
  <c r="R74" i="1"/>
  <c r="S74" i="1"/>
  <c r="P75" i="1"/>
  <c r="Q75" i="1"/>
  <c r="R75" i="1"/>
  <c r="S75" i="1"/>
  <c r="P76" i="1"/>
  <c r="Q76" i="1"/>
  <c r="R76" i="1"/>
  <c r="S76" i="1"/>
  <c r="P77" i="1"/>
  <c r="Q77" i="1"/>
  <c r="R77" i="1"/>
  <c r="S77" i="1"/>
  <c r="P78" i="1"/>
  <c r="Q78" i="1"/>
  <c r="R78" i="1"/>
  <c r="S78" i="1"/>
  <c r="P79" i="1"/>
  <c r="Q79" i="1"/>
  <c r="R79" i="1"/>
  <c r="S79" i="1"/>
  <c r="P80" i="1"/>
  <c r="Q80" i="1"/>
  <c r="R80" i="1"/>
  <c r="S80" i="1"/>
  <c r="P81" i="1"/>
  <c r="Q81" i="1"/>
  <c r="R81" i="1"/>
  <c r="S81" i="1"/>
  <c r="P82" i="1"/>
  <c r="Q82" i="1"/>
  <c r="R82" i="1"/>
  <c r="S82" i="1"/>
  <c r="P83" i="1"/>
  <c r="Q83" i="1"/>
  <c r="R83" i="1"/>
  <c r="S83" i="1"/>
  <c r="P84" i="1"/>
  <c r="Q84" i="1"/>
  <c r="R84" i="1"/>
  <c r="S84" i="1"/>
  <c r="P85" i="1"/>
  <c r="Q85" i="1"/>
  <c r="R85" i="1"/>
  <c r="S85" i="1"/>
  <c r="P86" i="1"/>
  <c r="Q86" i="1"/>
  <c r="R86" i="1"/>
  <c r="S86" i="1"/>
  <c r="P87" i="1"/>
  <c r="Q87" i="1"/>
  <c r="R87" i="1"/>
  <c r="S87" i="1"/>
  <c r="P88" i="1"/>
  <c r="Q88" i="1"/>
  <c r="R88" i="1"/>
  <c r="S88" i="1"/>
  <c r="P89" i="1"/>
  <c r="Q89" i="1"/>
  <c r="R89" i="1"/>
  <c r="S89" i="1"/>
  <c r="P90" i="1"/>
  <c r="Q90" i="1"/>
  <c r="R90" i="1"/>
  <c r="S90" i="1"/>
  <c r="P91" i="1"/>
  <c r="Q91" i="1"/>
  <c r="R91" i="1"/>
  <c r="S91" i="1"/>
  <c r="P92" i="1"/>
  <c r="Q92" i="1"/>
  <c r="R92" i="1"/>
  <c r="S92" i="1"/>
  <c r="P93" i="1"/>
  <c r="Q93" i="1"/>
  <c r="R93" i="1"/>
  <c r="S93" i="1"/>
  <c r="P94" i="1"/>
  <c r="Q94" i="1"/>
  <c r="R94" i="1"/>
  <c r="S94" i="1"/>
  <c r="P95" i="1"/>
  <c r="Q95" i="1"/>
  <c r="R95" i="1"/>
  <c r="S95" i="1"/>
  <c r="P96" i="1"/>
  <c r="Q96" i="1"/>
  <c r="R96" i="1"/>
  <c r="S96" i="1"/>
  <c r="P97" i="1"/>
  <c r="Q97" i="1"/>
  <c r="R97" i="1"/>
  <c r="S97" i="1"/>
  <c r="P98" i="1"/>
  <c r="Q98" i="1"/>
  <c r="R98" i="1"/>
  <c r="S98" i="1"/>
  <c r="P99" i="1"/>
  <c r="Q99" i="1"/>
  <c r="R99" i="1"/>
  <c r="S99" i="1"/>
  <c r="P100" i="1"/>
  <c r="Q100" i="1"/>
  <c r="R100" i="1"/>
  <c r="S100" i="1"/>
  <c r="P101" i="1"/>
  <c r="Q101" i="1"/>
  <c r="R101" i="1"/>
  <c r="S101" i="1"/>
  <c r="P102" i="1"/>
  <c r="Q102" i="1"/>
  <c r="R102" i="1"/>
  <c r="S102" i="1"/>
  <c r="P103" i="1"/>
  <c r="Q103" i="1"/>
  <c r="R103" i="1"/>
  <c r="S103" i="1"/>
  <c r="P104" i="1"/>
  <c r="Q104" i="1"/>
  <c r="R104" i="1"/>
  <c r="S104" i="1"/>
  <c r="P105" i="1"/>
  <c r="Q105" i="1"/>
  <c r="R105" i="1"/>
  <c r="S105" i="1"/>
  <c r="P106" i="1"/>
  <c r="Q106" i="1"/>
  <c r="R106" i="1"/>
  <c r="S106" i="1"/>
  <c r="P107" i="1"/>
  <c r="Q107" i="1"/>
  <c r="R107" i="1"/>
  <c r="S107" i="1"/>
  <c r="P108" i="1"/>
  <c r="Q108" i="1"/>
  <c r="R108" i="1"/>
  <c r="S108" i="1"/>
  <c r="P109" i="1"/>
  <c r="Q109" i="1"/>
  <c r="R109" i="1"/>
  <c r="S109" i="1"/>
  <c r="P110" i="1"/>
  <c r="Q110" i="1"/>
  <c r="R110" i="1"/>
  <c r="S110" i="1"/>
  <c r="P111" i="1"/>
  <c r="Q111" i="1"/>
  <c r="R111" i="1"/>
  <c r="S111" i="1"/>
  <c r="P112" i="1"/>
  <c r="Q112" i="1"/>
  <c r="R112" i="1"/>
  <c r="S112" i="1"/>
  <c r="P113" i="1"/>
  <c r="Q113" i="1"/>
  <c r="R113" i="1"/>
  <c r="S113" i="1"/>
  <c r="P114" i="1"/>
  <c r="Q114" i="1"/>
  <c r="R114" i="1"/>
  <c r="S114" i="1"/>
  <c r="P115" i="1"/>
  <c r="Q115" i="1"/>
  <c r="R115" i="1"/>
  <c r="S115" i="1"/>
  <c r="P116" i="1"/>
  <c r="Q116" i="1"/>
  <c r="R116" i="1"/>
  <c r="S116" i="1"/>
  <c r="P117" i="1"/>
  <c r="Q117" i="1"/>
  <c r="R117" i="1"/>
  <c r="S117" i="1"/>
  <c r="P118" i="1"/>
  <c r="Q118" i="1"/>
  <c r="R118" i="1"/>
  <c r="S118" i="1"/>
  <c r="P119" i="1"/>
  <c r="T119" i="1" s="1"/>
  <c r="Q119" i="1"/>
  <c r="R119" i="1"/>
  <c r="S119" i="1"/>
  <c r="P120" i="1"/>
  <c r="Q120" i="1"/>
  <c r="R120" i="1"/>
  <c r="S120" i="1"/>
  <c r="P121" i="1"/>
  <c r="Q121" i="1"/>
  <c r="R121" i="1"/>
  <c r="S121" i="1"/>
  <c r="P122" i="1"/>
  <c r="Q122" i="1"/>
  <c r="R122" i="1"/>
  <c r="S122" i="1"/>
  <c r="P123" i="1"/>
  <c r="Q123" i="1"/>
  <c r="R123" i="1"/>
  <c r="S123" i="1"/>
  <c r="P124" i="1"/>
  <c r="Q124" i="1"/>
  <c r="R124" i="1"/>
  <c r="S124" i="1"/>
  <c r="P125" i="1"/>
  <c r="Q125" i="1"/>
  <c r="R125" i="1"/>
  <c r="S125" i="1"/>
  <c r="P126" i="1"/>
  <c r="Q126" i="1"/>
  <c r="R126" i="1"/>
  <c r="S126" i="1"/>
  <c r="S3" i="1"/>
  <c r="Q3" i="1"/>
  <c r="R3" i="1"/>
  <c r="P3" i="1"/>
  <c r="C3" i="2"/>
  <c r="D3" i="2" s="1"/>
  <c r="E3" i="2" s="1" a="1"/>
  <c r="E3" i="2" s="1"/>
  <c r="C4" i="1" s="1"/>
  <c r="C4" i="2"/>
  <c r="D4" i="2" s="1"/>
  <c r="E4" i="2" s="1" a="1"/>
  <c r="E4" i="2" s="1"/>
  <c r="C5" i="2"/>
  <c r="D5" i="2" s="1"/>
  <c r="E5" i="2" s="1" a="1"/>
  <c r="E5" i="2" s="1"/>
  <c r="C6" i="1" s="1"/>
  <c r="C6" i="2"/>
  <c r="D6" i="2" s="1"/>
  <c r="E6" i="2" s="1" a="1"/>
  <c r="E6" i="2" s="1"/>
  <c r="C7" i="1" s="1"/>
  <c r="C7" i="2"/>
  <c r="D7" i="2" s="1"/>
  <c r="E7" i="2" s="1" a="1"/>
  <c r="E7" i="2" s="1"/>
  <c r="C8" i="1" s="1"/>
  <c r="C8" i="2"/>
  <c r="D8" i="2" s="1"/>
  <c r="E8" i="2" s="1" a="1"/>
  <c r="E8" i="2" s="1"/>
  <c r="C9" i="1" s="1"/>
  <c r="C9" i="2"/>
  <c r="D9" i="2" s="1"/>
  <c r="E9" i="2" s="1" a="1"/>
  <c r="E9" i="2" s="1"/>
  <c r="C10" i="1" s="1"/>
  <c r="C10" i="2"/>
  <c r="D10" i="2" s="1"/>
  <c r="E10" i="2" s="1" a="1"/>
  <c r="E10" i="2" s="1"/>
  <c r="C11" i="1" s="1"/>
  <c r="C11" i="2"/>
  <c r="D11" i="2"/>
  <c r="E11" i="2" s="1" a="1"/>
  <c r="E11" i="2" s="1"/>
  <c r="C12" i="1" s="1"/>
  <c r="C12" i="2"/>
  <c r="D12" i="2" s="1"/>
  <c r="E12" i="2" s="1" a="1"/>
  <c r="E12" i="2" s="1"/>
  <c r="C13" i="1" s="1"/>
  <c r="C13" i="2"/>
  <c r="D13" i="2" s="1"/>
  <c r="E13" i="2" s="1" a="1"/>
  <c r="E13" i="2" s="1"/>
  <c r="C14" i="2"/>
  <c r="D14" i="2" s="1"/>
  <c r="E14" i="2" s="1" a="1"/>
  <c r="E14" i="2" s="1"/>
  <c r="C15" i="1" s="1"/>
  <c r="C15" i="2"/>
  <c r="D15" i="2" s="1"/>
  <c r="E15" i="2" s="1" a="1"/>
  <c r="E15" i="2" s="1"/>
  <c r="C16" i="1" s="1"/>
  <c r="C16" i="2"/>
  <c r="D16" i="2" s="1"/>
  <c r="E16" i="2" s="1" a="1"/>
  <c r="E16" i="2" s="1"/>
  <c r="C17" i="1" s="1"/>
  <c r="C17" i="2"/>
  <c r="D17" i="2" s="1"/>
  <c r="E17" i="2" s="1" a="1"/>
  <c r="E17" i="2" s="1"/>
  <c r="C18" i="1" s="1"/>
  <c r="C18" i="2"/>
  <c r="D18" i="2" s="1"/>
  <c r="E18" i="2" s="1" a="1"/>
  <c r="E18" i="2" s="1"/>
  <c r="C19" i="1" s="1"/>
  <c r="C19" i="2"/>
  <c r="D19" i="2" s="1"/>
  <c r="E19" i="2" s="1" a="1"/>
  <c r="E19" i="2" s="1"/>
  <c r="C20" i="2"/>
  <c r="D20" i="2" s="1"/>
  <c r="E20" i="2" s="1" a="1"/>
  <c r="E20" i="2" s="1"/>
  <c r="C21" i="1" s="1"/>
  <c r="C21" i="2"/>
  <c r="D21" i="2" s="1"/>
  <c r="E21" i="2" s="1" a="1"/>
  <c r="E21" i="2" s="1"/>
  <c r="C22" i="1" s="1"/>
  <c r="C22" i="2"/>
  <c r="D22" i="2" s="1"/>
  <c r="E22" i="2" s="1" a="1"/>
  <c r="E22" i="2" s="1"/>
  <c r="C23" i="1" s="1"/>
  <c r="C23" i="2"/>
  <c r="D23" i="2" s="1"/>
  <c r="E23" i="2" s="1" a="1"/>
  <c r="E23" i="2" s="1"/>
  <c r="C24" i="1" s="1"/>
  <c r="C24" i="2"/>
  <c r="D24" i="2" s="1"/>
  <c r="E24" i="2" s="1" a="1"/>
  <c r="E24" i="2" s="1"/>
  <c r="C25" i="1" s="1"/>
  <c r="C25" i="2"/>
  <c r="D25" i="2" s="1"/>
  <c r="E25" i="2" s="1" a="1"/>
  <c r="E25" i="2" s="1"/>
  <c r="C26" i="1" s="1"/>
  <c r="C26" i="2"/>
  <c r="D26" i="2" s="1"/>
  <c r="E26" i="2" s="1" a="1"/>
  <c r="E26" i="2" s="1"/>
  <c r="C27" i="1" s="1"/>
  <c r="C27" i="2"/>
  <c r="D27" i="2" s="1"/>
  <c r="E27" i="2" s="1" a="1"/>
  <c r="E27" i="2" s="1"/>
  <c r="C28" i="1" s="1"/>
  <c r="C28" i="2"/>
  <c r="D28" i="2" s="1"/>
  <c r="E28" i="2" s="1" a="1"/>
  <c r="E28" i="2" s="1"/>
  <c r="C29" i="1" s="1"/>
  <c r="C29" i="2"/>
  <c r="D29" i="2"/>
  <c r="E29" i="2" s="1" a="1"/>
  <c r="E29" i="2" s="1"/>
  <c r="C30" i="1" s="1"/>
  <c r="C30" i="2"/>
  <c r="D30" i="2" s="1"/>
  <c r="E30" i="2" s="1" a="1"/>
  <c r="E30" i="2" s="1"/>
  <c r="C31" i="1" s="1"/>
  <c r="C31" i="2"/>
  <c r="D31" i="2" s="1"/>
  <c r="E31" i="2" s="1" a="1"/>
  <c r="E31" i="2" s="1"/>
  <c r="C32" i="1" s="1"/>
  <c r="C32" i="2"/>
  <c r="D32" i="2" s="1"/>
  <c r="E32" i="2" s="1" a="1"/>
  <c r="E32" i="2" s="1"/>
  <c r="C33" i="1" s="1"/>
  <c r="C33" i="2"/>
  <c r="D33" i="2" s="1"/>
  <c r="E33" i="2" s="1" a="1"/>
  <c r="E33" i="2" s="1"/>
  <c r="C34" i="1" s="1"/>
  <c r="C34" i="2"/>
  <c r="D34" i="2" s="1"/>
  <c r="E34" i="2" s="1" a="1"/>
  <c r="E34" i="2" s="1"/>
  <c r="C35" i="1" s="1"/>
  <c r="C35" i="2"/>
  <c r="D35" i="2" s="1"/>
  <c r="E35" i="2" s="1" a="1"/>
  <c r="E35" i="2" s="1"/>
  <c r="C36" i="1" s="1"/>
  <c r="T36" i="1" s="1"/>
  <c r="C36" i="2"/>
  <c r="D36" i="2" s="1"/>
  <c r="E36" i="2" s="1" a="1"/>
  <c r="E36" i="2" s="1"/>
  <c r="C37" i="1" s="1"/>
  <c r="C37" i="2"/>
  <c r="D37" i="2" s="1"/>
  <c r="E37" i="2" s="1" a="1"/>
  <c r="E37" i="2" s="1"/>
  <c r="C38" i="1" s="1"/>
  <c r="C38" i="2"/>
  <c r="D38" i="2"/>
  <c r="E38" i="2" s="1" a="1"/>
  <c r="E38" i="2" s="1"/>
  <c r="C39" i="1" s="1"/>
  <c r="C39" i="2"/>
  <c r="D39" i="2" s="1"/>
  <c r="E39" i="2" s="1" a="1"/>
  <c r="E39" i="2" s="1"/>
  <c r="C40" i="1" s="1"/>
  <c r="C40" i="2"/>
  <c r="D40" i="2" s="1"/>
  <c r="E40" i="2" s="1" a="1"/>
  <c r="E40" i="2" s="1"/>
  <c r="C41" i="1" s="1"/>
  <c r="C41" i="2"/>
  <c r="D41" i="2" s="1"/>
  <c r="E41" i="2" s="1" a="1"/>
  <c r="E41" i="2" s="1"/>
  <c r="C42" i="1" s="1"/>
  <c r="C42" i="2"/>
  <c r="D42" i="2" s="1"/>
  <c r="E42" i="2" s="1" a="1"/>
  <c r="E42" i="2" s="1"/>
  <c r="C43" i="1" s="1"/>
  <c r="C43" i="2"/>
  <c r="D43" i="2" s="1"/>
  <c r="E43" i="2" s="1" a="1"/>
  <c r="E43" i="2" s="1"/>
  <c r="C44" i="1" s="1"/>
  <c r="C44" i="2"/>
  <c r="D44" i="2" s="1"/>
  <c r="E44" i="2" s="1" a="1"/>
  <c r="E44" i="2" s="1"/>
  <c r="C45" i="1" s="1"/>
  <c r="C45" i="2"/>
  <c r="D45" i="2" s="1"/>
  <c r="E45" i="2" s="1" a="1"/>
  <c r="E45" i="2" s="1"/>
  <c r="C46" i="1" s="1"/>
  <c r="C46" i="2"/>
  <c r="D46" i="2" s="1"/>
  <c r="E46" i="2" s="1" a="1"/>
  <c r="E46" i="2" s="1"/>
  <c r="C47" i="1" s="1"/>
  <c r="C47" i="2"/>
  <c r="D47" i="2" s="1"/>
  <c r="E47" i="2" s="1" a="1"/>
  <c r="E47" i="2" s="1"/>
  <c r="C48" i="1" s="1"/>
  <c r="C48" i="2"/>
  <c r="D48" i="2" s="1"/>
  <c r="E48" i="2" s="1" a="1"/>
  <c r="E48" i="2" s="1"/>
  <c r="C49" i="2"/>
  <c r="D49" i="2" s="1"/>
  <c r="E49" i="2" s="1" a="1"/>
  <c r="E49" i="2" s="1"/>
  <c r="C50" i="1" s="1"/>
  <c r="C50" i="2"/>
  <c r="D50" i="2" s="1"/>
  <c r="E50" i="2" s="1" a="1"/>
  <c r="E50" i="2" s="1"/>
  <c r="C51" i="1" s="1"/>
  <c r="C51" i="2"/>
  <c r="D51" i="2" s="1"/>
  <c r="E51" i="2" s="1" a="1"/>
  <c r="E51" i="2" s="1"/>
  <c r="C52" i="2"/>
  <c r="D52" i="2" s="1"/>
  <c r="E52" i="2" s="1" a="1"/>
  <c r="E52" i="2" s="1"/>
  <c r="C53" i="1" s="1"/>
  <c r="C53" i="2"/>
  <c r="D53" i="2" s="1"/>
  <c r="E53" i="2" s="1" a="1"/>
  <c r="E53" i="2" s="1"/>
  <c r="C54" i="1" s="1"/>
  <c r="C54" i="2"/>
  <c r="D54" i="2" s="1"/>
  <c r="E54" i="2" s="1" a="1"/>
  <c r="E54" i="2" s="1"/>
  <c r="C55" i="1" s="1"/>
  <c r="C55" i="2"/>
  <c r="D55" i="2" s="1"/>
  <c r="E55" i="2" s="1" a="1"/>
  <c r="E55" i="2" s="1"/>
  <c r="C56" i="1" s="1"/>
  <c r="C56" i="2"/>
  <c r="D56" i="2" s="1"/>
  <c r="E56" i="2" s="1" a="1"/>
  <c r="E56" i="2" s="1"/>
  <c r="C57" i="1" s="1"/>
  <c r="C57" i="2"/>
  <c r="D57" i="2" s="1"/>
  <c r="E57" i="2" s="1" a="1"/>
  <c r="E57" i="2" s="1"/>
  <c r="C58" i="1" s="1"/>
  <c r="C58" i="2"/>
  <c r="D58" i="2" s="1"/>
  <c r="E58" i="2" s="1" a="1"/>
  <c r="E58" i="2" s="1"/>
  <c r="C59" i="1" s="1"/>
  <c r="C59" i="2"/>
  <c r="D59" i="2" s="1"/>
  <c r="E59" i="2" s="1" a="1"/>
  <c r="E59" i="2" s="1"/>
  <c r="C60" i="1" s="1"/>
  <c r="C60" i="2"/>
  <c r="D60" i="2" s="1"/>
  <c r="E60" i="2" s="1" a="1"/>
  <c r="E60" i="2" s="1"/>
  <c r="C61" i="1" s="1"/>
  <c r="C61" i="2"/>
  <c r="D61" i="2"/>
  <c r="E61" i="2" s="1" a="1"/>
  <c r="E61" i="2" s="1"/>
  <c r="C62" i="1" s="1"/>
  <c r="C62" i="2"/>
  <c r="D62" i="2" s="1"/>
  <c r="E62" i="2" s="1" a="1"/>
  <c r="E62" i="2" s="1"/>
  <c r="C63" i="1" s="1"/>
  <c r="C63" i="2"/>
  <c r="D63" i="2" s="1"/>
  <c r="E63" i="2" s="1" a="1"/>
  <c r="E63" i="2" s="1"/>
  <c r="C64" i="1" s="1"/>
  <c r="C64" i="2"/>
  <c r="D64" i="2" s="1"/>
  <c r="E64" i="2" s="1" a="1"/>
  <c r="E64" i="2" s="1"/>
  <c r="C65" i="1" s="1"/>
  <c r="C65" i="2"/>
  <c r="D65" i="2" s="1"/>
  <c r="E65" i="2" s="1" a="1"/>
  <c r="E65" i="2" s="1"/>
  <c r="C66" i="1" s="1"/>
  <c r="C66" i="2"/>
  <c r="D66" i="2"/>
  <c r="E66" i="2" s="1" a="1"/>
  <c r="E66" i="2" s="1"/>
  <c r="C67" i="1" s="1"/>
  <c r="C67" i="2"/>
  <c r="D67" i="2" s="1"/>
  <c r="E67" i="2" s="1" a="1"/>
  <c r="E67" i="2" s="1"/>
  <c r="C68" i="1" s="1"/>
  <c r="C68" i="2"/>
  <c r="D68" i="2" s="1"/>
  <c r="E68" i="2" s="1" a="1"/>
  <c r="E68" i="2" s="1"/>
  <c r="C69" i="1" s="1"/>
  <c r="C69" i="2"/>
  <c r="D69" i="2" s="1"/>
  <c r="E69" i="2" s="1" a="1"/>
  <c r="E69" i="2" s="1"/>
  <c r="C70" i="1" s="1"/>
  <c r="C70" i="2"/>
  <c r="D70" i="2" s="1"/>
  <c r="E70" i="2" s="1" a="1"/>
  <c r="E70" i="2" s="1"/>
  <c r="C71" i="1" s="1"/>
  <c r="C71" i="2"/>
  <c r="D71" i="2" s="1"/>
  <c r="E71" i="2" s="1" a="1"/>
  <c r="E71" i="2" s="1"/>
  <c r="C72" i="1" s="1"/>
  <c r="C72" i="2"/>
  <c r="D72" i="2" s="1"/>
  <c r="E72" i="2" s="1" a="1"/>
  <c r="E72" i="2" s="1"/>
  <c r="C73" i="1" s="1"/>
  <c r="C73" i="2"/>
  <c r="D73" i="2" s="1"/>
  <c r="E73" i="2" s="1" a="1"/>
  <c r="E73" i="2" s="1"/>
  <c r="C74" i="1" s="1"/>
  <c r="C74" i="2"/>
  <c r="D74" i="2" s="1"/>
  <c r="E74" i="2" s="1" a="1"/>
  <c r="E74" i="2" s="1"/>
  <c r="C75" i="1" s="1"/>
  <c r="C75" i="2"/>
  <c r="D75" i="2" s="1"/>
  <c r="E75" i="2" s="1" a="1"/>
  <c r="E75" i="2" s="1"/>
  <c r="C76" i="1" s="1"/>
  <c r="C76" i="2"/>
  <c r="D76" i="2" s="1"/>
  <c r="E76" i="2" s="1" a="1"/>
  <c r="E76" i="2" s="1"/>
  <c r="C77" i="1" s="1"/>
  <c r="C77" i="2"/>
  <c r="D77" i="2" s="1"/>
  <c r="E77" i="2" s="1" a="1"/>
  <c r="E77" i="2" s="1"/>
  <c r="C78" i="1" s="1"/>
  <c r="C78" i="2"/>
  <c r="D78" i="2" s="1"/>
  <c r="E78" i="2" s="1" a="1"/>
  <c r="E78" i="2" s="1"/>
  <c r="C79" i="1" s="1"/>
  <c r="C79" i="2"/>
  <c r="D79" i="2" s="1"/>
  <c r="E79" i="2" s="1" a="1"/>
  <c r="E79" i="2" s="1"/>
  <c r="C80" i="1" s="1"/>
  <c r="C80" i="2"/>
  <c r="D80" i="2" s="1"/>
  <c r="E80" i="2" s="1" a="1"/>
  <c r="E80" i="2" s="1"/>
  <c r="C81" i="1" s="1"/>
  <c r="C81" i="2"/>
  <c r="D81" i="2" s="1"/>
  <c r="E81" i="2" s="1" a="1"/>
  <c r="E81" i="2" s="1"/>
  <c r="C82" i="1" s="1"/>
  <c r="C82" i="2"/>
  <c r="D82" i="2" s="1"/>
  <c r="E82" i="2" s="1" a="1"/>
  <c r="E82" i="2" s="1"/>
  <c r="C83" i="1" s="1"/>
  <c r="C83" i="2"/>
  <c r="D83" i="2"/>
  <c r="E83" i="2" s="1" a="1"/>
  <c r="E83" i="2" s="1"/>
  <c r="C84" i="1" s="1"/>
  <c r="C84" i="2"/>
  <c r="D84" i="2" s="1"/>
  <c r="E84" i="2" s="1" a="1"/>
  <c r="E84" i="2" s="1"/>
  <c r="C85" i="1" s="1"/>
  <c r="C85" i="2"/>
  <c r="D85" i="2" s="1"/>
  <c r="E85" i="2" s="1" a="1"/>
  <c r="E85" i="2" s="1"/>
  <c r="C86" i="1" s="1"/>
  <c r="C86" i="2"/>
  <c r="D86" i="2" s="1"/>
  <c r="E86" i="2" s="1" a="1"/>
  <c r="E86" i="2" s="1"/>
  <c r="C87" i="1" s="1"/>
  <c r="U87" i="1" s="1"/>
  <c r="C87" i="2"/>
  <c r="D87" i="2" s="1"/>
  <c r="E87" i="2" s="1" a="1"/>
  <c r="E87" i="2" s="1"/>
  <c r="C88" i="1" s="1"/>
  <c r="T88" i="1" s="1"/>
  <c r="C88" i="2"/>
  <c r="D88" i="2" s="1"/>
  <c r="E88" i="2" s="1" a="1"/>
  <c r="E88" i="2" s="1"/>
  <c r="C89" i="1" s="1"/>
  <c r="C89" i="2"/>
  <c r="D89" i="2" s="1"/>
  <c r="E89" i="2" s="1" a="1"/>
  <c r="E89" i="2" s="1"/>
  <c r="C90" i="1" s="1"/>
  <c r="C90" i="2"/>
  <c r="D90" i="2" s="1"/>
  <c r="E90" i="2" s="1" a="1"/>
  <c r="E90" i="2" s="1"/>
  <c r="C91" i="1" s="1"/>
  <c r="C91" i="2"/>
  <c r="D91" i="2" s="1"/>
  <c r="E91" i="2" s="1" a="1"/>
  <c r="E91" i="2" s="1"/>
  <c r="C92" i="1" s="1"/>
  <c r="C92" i="2"/>
  <c r="D92" i="2"/>
  <c r="E92" i="2" s="1" a="1"/>
  <c r="E92" i="2" s="1"/>
  <c r="C93" i="1" s="1"/>
  <c r="C93" i="2"/>
  <c r="D93" i="2" s="1"/>
  <c r="E93" i="2" s="1" a="1"/>
  <c r="E93" i="2" s="1"/>
  <c r="C94" i="1" s="1"/>
  <c r="C94" i="2"/>
  <c r="D94" i="2" s="1"/>
  <c r="E94" i="2" s="1" a="1"/>
  <c r="E94" i="2" s="1"/>
  <c r="C95" i="1" s="1"/>
  <c r="C95" i="2"/>
  <c r="D95" i="2" s="1"/>
  <c r="E95" i="2" s="1" a="1"/>
  <c r="E95" i="2" s="1"/>
  <c r="C96" i="1" s="1"/>
  <c r="C96" i="2"/>
  <c r="D96" i="2" s="1"/>
  <c r="E96" i="2" s="1" a="1"/>
  <c r="E96" i="2" s="1"/>
  <c r="C97" i="1" s="1"/>
  <c r="C97" i="2"/>
  <c r="D97" i="2" s="1"/>
  <c r="E97" i="2" s="1" a="1"/>
  <c r="E97" i="2" s="1"/>
  <c r="C98" i="1" s="1"/>
  <c r="C98" i="2"/>
  <c r="D98" i="2" s="1"/>
  <c r="E98" i="2" s="1" a="1"/>
  <c r="E98" i="2" s="1"/>
  <c r="C99" i="1" s="1"/>
  <c r="C99" i="2"/>
  <c r="D99" i="2" s="1"/>
  <c r="E99" i="2" s="1" a="1"/>
  <c r="E99" i="2" s="1"/>
  <c r="C100" i="1" s="1"/>
  <c r="C100" i="2"/>
  <c r="D100" i="2" s="1"/>
  <c r="E100" i="2" s="1" a="1"/>
  <c r="E100" i="2" s="1"/>
  <c r="C101" i="1" s="1"/>
  <c r="C101" i="2"/>
  <c r="D101" i="2" s="1"/>
  <c r="E101" i="2" s="1" a="1"/>
  <c r="E101" i="2" s="1"/>
  <c r="C102" i="1" s="1"/>
  <c r="C102" i="2"/>
  <c r="D102" i="2" s="1"/>
  <c r="E102" i="2" s="1" a="1"/>
  <c r="E102" i="2" s="1"/>
  <c r="C103" i="1" s="1"/>
  <c r="T103" i="1" s="1"/>
  <c r="C103" i="2"/>
  <c r="D103" i="2" s="1"/>
  <c r="E103" i="2" s="1" a="1"/>
  <c r="E103" i="2" s="1"/>
  <c r="C104" i="2"/>
  <c r="D104" i="2" s="1"/>
  <c r="E104" i="2" s="1" a="1"/>
  <c r="E104" i="2" s="1"/>
  <c r="C105" i="1" s="1"/>
  <c r="C105" i="2"/>
  <c r="D105" i="2" s="1"/>
  <c r="E105" i="2" s="1" a="1"/>
  <c r="E105" i="2" s="1"/>
  <c r="C106" i="2"/>
  <c r="D106" i="2" s="1"/>
  <c r="E106" i="2" s="1" a="1"/>
  <c r="E106" i="2" s="1"/>
  <c r="C107" i="1" s="1"/>
  <c r="C107" i="2"/>
  <c r="D107" i="2" s="1"/>
  <c r="E107" i="2" s="1" a="1"/>
  <c r="E107" i="2" s="1"/>
  <c r="C108" i="1" s="1"/>
  <c r="C108" i="2"/>
  <c r="D108" i="2" s="1"/>
  <c r="E108" i="2" s="1" a="1"/>
  <c r="E108" i="2" s="1"/>
  <c r="C109" i="1" s="1"/>
  <c r="C109" i="2"/>
  <c r="D109" i="2" s="1"/>
  <c r="E109" i="2" s="1" a="1"/>
  <c r="E109" i="2" s="1"/>
  <c r="C110" i="1" s="1"/>
  <c r="C110" i="2"/>
  <c r="D110" i="2" s="1"/>
  <c r="E110" i="2" s="1" a="1"/>
  <c r="E110" i="2" s="1"/>
  <c r="C111" i="1" s="1"/>
  <c r="C111" i="2"/>
  <c r="D111" i="2" s="1"/>
  <c r="E111" i="2" s="1" a="1"/>
  <c r="E111" i="2" s="1"/>
  <c r="C112" i="1" s="1"/>
  <c r="C112" i="2"/>
  <c r="D112" i="2" s="1"/>
  <c r="E112" i="2" s="1" a="1"/>
  <c r="E112" i="2" s="1"/>
  <c r="C113" i="1" s="1"/>
  <c r="C113" i="2"/>
  <c r="D113" i="2" s="1"/>
  <c r="E113" i="2" s="1" a="1"/>
  <c r="E113" i="2" s="1"/>
  <c r="C114" i="1" s="1"/>
  <c r="C114" i="2"/>
  <c r="D114" i="2" s="1"/>
  <c r="E114" i="2" s="1" a="1"/>
  <c r="E114" i="2" s="1"/>
  <c r="C115" i="1" s="1"/>
  <c r="C115" i="2"/>
  <c r="D115" i="2" s="1"/>
  <c r="E115" i="2" s="1" a="1"/>
  <c r="E115" i="2" s="1"/>
  <c r="C116" i="1" s="1"/>
  <c r="C116" i="2"/>
  <c r="D116" i="2" s="1"/>
  <c r="E116" i="2" s="1" a="1"/>
  <c r="E116" i="2" s="1"/>
  <c r="C117" i="1" s="1"/>
  <c r="C117" i="2"/>
  <c r="D117" i="2" s="1"/>
  <c r="E117" i="2" s="1" a="1"/>
  <c r="E117" i="2" s="1"/>
  <c r="C118" i="1" s="1"/>
  <c r="C118" i="2"/>
  <c r="D118" i="2" s="1"/>
  <c r="E118" i="2" s="1" a="1"/>
  <c r="E118" i="2" s="1"/>
  <c r="C119" i="1" s="1"/>
  <c r="C119" i="2"/>
  <c r="D119" i="2" s="1"/>
  <c r="E119" i="2" s="1" a="1"/>
  <c r="E119" i="2" s="1"/>
  <c r="C120" i="1" s="1"/>
  <c r="C120" i="2"/>
  <c r="D120" i="2" s="1"/>
  <c r="E120" i="2" s="1" a="1"/>
  <c r="E120" i="2" s="1"/>
  <c r="C121" i="1" s="1"/>
  <c r="C121" i="2"/>
  <c r="D121" i="2" s="1"/>
  <c r="E121" i="2" s="1" a="1"/>
  <c r="E121" i="2" s="1"/>
  <c r="C122" i="1" s="1"/>
  <c r="C122" i="2"/>
  <c r="D122" i="2" s="1"/>
  <c r="E122" i="2" s="1" a="1"/>
  <c r="E122" i="2" s="1"/>
  <c r="C123" i="1" s="1"/>
  <c r="C123" i="2"/>
  <c r="D123" i="2" s="1"/>
  <c r="E123" i="2" s="1" a="1"/>
  <c r="E123" i="2" s="1"/>
  <c r="C124" i="1" s="1"/>
  <c r="C124" i="2"/>
  <c r="D124" i="2" s="1"/>
  <c r="E124" i="2" s="1" a="1"/>
  <c r="E124" i="2" s="1"/>
  <c r="C125" i="1" s="1"/>
  <c r="C125" i="2"/>
  <c r="D125" i="2" s="1"/>
  <c r="E125" i="2" s="1" a="1"/>
  <c r="E125" i="2" s="1"/>
  <c r="C126" i="1" s="1"/>
  <c r="C2" i="2"/>
  <c r="D2" i="2" s="1"/>
  <c r="E2" i="2" s="1" a="1"/>
  <c r="E2" i="2" s="1"/>
  <c r="C3" i="1" s="1"/>
  <c r="C1" i="2"/>
  <c r="D1" i="2" s="1"/>
  <c r="E1" i="2" s="1" a="1"/>
  <c r="E1" i="2" s="1"/>
  <c r="C2" i="1" s="1"/>
  <c r="C5" i="1"/>
  <c r="C14" i="1"/>
  <c r="C20" i="1"/>
  <c r="C49" i="1"/>
  <c r="C52" i="1"/>
  <c r="C104" i="1"/>
  <c r="C106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3" i="1"/>
  <c r="Y126" i="1"/>
  <c r="X126" i="1"/>
  <c r="X125" i="1"/>
  <c r="Y124" i="1"/>
  <c r="X124" i="1"/>
  <c r="X123" i="1"/>
  <c r="Y122" i="1"/>
  <c r="X122" i="1"/>
  <c r="X121" i="1"/>
  <c r="Y120" i="1"/>
  <c r="X120" i="1"/>
  <c r="X119" i="1"/>
  <c r="Y118" i="1"/>
  <c r="X118" i="1"/>
  <c r="X117" i="1"/>
  <c r="Y116" i="1"/>
  <c r="X116" i="1"/>
  <c r="X115" i="1"/>
  <c r="Y114" i="1"/>
  <c r="X114" i="1"/>
  <c r="X113" i="1"/>
  <c r="Y112" i="1"/>
  <c r="X112" i="1"/>
  <c r="X111" i="1"/>
  <c r="Y110" i="1"/>
  <c r="X110" i="1"/>
  <c r="X109" i="1"/>
  <c r="Y108" i="1"/>
  <c r="X108" i="1"/>
  <c r="X107" i="1"/>
  <c r="Y106" i="1"/>
  <c r="X106" i="1"/>
  <c r="X105" i="1"/>
  <c r="Y104" i="1"/>
  <c r="X104" i="1"/>
  <c r="X103" i="1"/>
  <c r="Y102" i="1"/>
  <c r="X102" i="1"/>
  <c r="X101" i="1"/>
  <c r="Y100" i="1"/>
  <c r="X100" i="1"/>
  <c r="X99" i="1"/>
  <c r="Y98" i="1"/>
  <c r="X98" i="1"/>
  <c r="X97" i="1"/>
  <c r="Y96" i="1"/>
  <c r="X96" i="1"/>
  <c r="X95" i="1"/>
  <c r="Y94" i="1"/>
  <c r="X94" i="1"/>
  <c r="X93" i="1"/>
  <c r="Y92" i="1"/>
  <c r="X92" i="1"/>
  <c r="X91" i="1"/>
  <c r="Y90" i="1"/>
  <c r="X90" i="1"/>
  <c r="X89" i="1"/>
  <c r="Y88" i="1"/>
  <c r="X88" i="1"/>
  <c r="X87" i="1"/>
  <c r="Y86" i="1"/>
  <c r="X86" i="1"/>
  <c r="X85" i="1"/>
  <c r="Y84" i="1"/>
  <c r="X84" i="1"/>
  <c r="X83" i="1"/>
  <c r="Y82" i="1"/>
  <c r="X82" i="1"/>
  <c r="X81" i="1"/>
  <c r="Y80" i="1"/>
  <c r="X80" i="1"/>
  <c r="X79" i="1"/>
  <c r="Y78" i="1"/>
  <c r="X78" i="1"/>
  <c r="X77" i="1"/>
  <c r="Y76" i="1"/>
  <c r="X76" i="1"/>
  <c r="X75" i="1"/>
  <c r="Y74" i="1"/>
  <c r="X74" i="1"/>
  <c r="X73" i="1"/>
  <c r="Y72" i="1"/>
  <c r="X72" i="1"/>
  <c r="X71" i="1"/>
  <c r="Y70" i="1"/>
  <c r="X70" i="1"/>
  <c r="X69" i="1"/>
  <c r="Y68" i="1"/>
  <c r="X68" i="1"/>
  <c r="X67" i="1"/>
  <c r="Y66" i="1"/>
  <c r="X66" i="1"/>
  <c r="X65" i="1"/>
  <c r="Y64" i="1"/>
  <c r="X64" i="1"/>
  <c r="X63" i="1"/>
  <c r="Y62" i="1"/>
  <c r="X62" i="1"/>
  <c r="X61" i="1"/>
  <c r="Y60" i="1"/>
  <c r="X60" i="1"/>
  <c r="X59" i="1"/>
  <c r="Y58" i="1"/>
  <c r="X58" i="1"/>
  <c r="X57" i="1"/>
  <c r="Y56" i="1"/>
  <c r="X56" i="1"/>
  <c r="X55" i="1"/>
  <c r="Y54" i="1"/>
  <c r="X54" i="1"/>
  <c r="X53" i="1"/>
  <c r="Y52" i="1"/>
  <c r="X52" i="1"/>
  <c r="X51" i="1"/>
  <c r="Y50" i="1"/>
  <c r="X50" i="1"/>
  <c r="X49" i="1"/>
  <c r="Y48" i="1"/>
  <c r="X48" i="1"/>
  <c r="X47" i="1"/>
  <c r="Y46" i="1"/>
  <c r="X46" i="1"/>
  <c r="X45" i="1"/>
  <c r="Y44" i="1"/>
  <c r="X44" i="1"/>
  <c r="X43" i="1"/>
  <c r="Y42" i="1"/>
  <c r="X42" i="1"/>
  <c r="X41" i="1"/>
  <c r="Y40" i="1"/>
  <c r="X40" i="1"/>
  <c r="X39" i="1"/>
  <c r="Y38" i="1"/>
  <c r="X38" i="1"/>
  <c r="X37" i="1"/>
  <c r="Y36" i="1"/>
  <c r="X36" i="1"/>
  <c r="X35" i="1"/>
  <c r="Y34" i="1"/>
  <c r="X34" i="1"/>
  <c r="X33" i="1"/>
  <c r="Y32" i="1"/>
  <c r="X32" i="1"/>
  <c r="X31" i="1"/>
  <c r="Y30" i="1"/>
  <c r="X30" i="1"/>
  <c r="X29" i="1"/>
  <c r="Y28" i="1"/>
  <c r="X28" i="1"/>
  <c r="X27" i="1"/>
  <c r="Y26" i="1"/>
  <c r="X26" i="1"/>
  <c r="X25" i="1"/>
  <c r="Y24" i="1"/>
  <c r="X24" i="1"/>
  <c r="X23" i="1"/>
  <c r="Y22" i="1"/>
  <c r="X22" i="1"/>
  <c r="X21" i="1"/>
  <c r="Y20" i="1"/>
  <c r="X20" i="1"/>
  <c r="X19" i="1"/>
  <c r="Y18" i="1"/>
  <c r="X18" i="1"/>
  <c r="X17" i="1"/>
  <c r="Y16" i="1"/>
  <c r="X16" i="1"/>
  <c r="X15" i="1"/>
  <c r="Y14" i="1"/>
  <c r="X14" i="1"/>
  <c r="X13" i="1"/>
  <c r="Y12" i="1"/>
  <c r="X12" i="1"/>
  <c r="X11" i="1"/>
  <c r="Y10" i="1"/>
  <c r="X10" i="1"/>
  <c r="X9" i="1"/>
  <c r="Y8" i="1"/>
  <c r="X8" i="1"/>
  <c r="X7" i="1"/>
  <c r="Y6" i="1"/>
  <c r="X6" i="1"/>
  <c r="X5" i="1"/>
  <c r="Y4" i="1"/>
  <c r="X4" i="1"/>
  <c r="X3" i="1"/>
  <c r="Y2" i="1"/>
  <c r="S2" i="1"/>
  <c r="R2" i="1"/>
  <c r="Q2" i="1"/>
  <c r="P2" i="1"/>
  <c r="U81" i="1" l="1"/>
  <c r="U69" i="1"/>
  <c r="U59" i="1"/>
  <c r="U77" i="1"/>
  <c r="T122" i="1"/>
  <c r="T98" i="1"/>
  <c r="U64" i="1"/>
  <c r="U120" i="1"/>
  <c r="U96" i="1"/>
  <c r="U105" i="1"/>
  <c r="U93" i="1"/>
  <c r="T27" i="1"/>
  <c r="U45" i="1"/>
  <c r="U5" i="1"/>
  <c r="U49" i="1"/>
  <c r="U44" i="1"/>
  <c r="T34" i="1"/>
  <c r="T80" i="1"/>
  <c r="U43" i="1"/>
  <c r="T33" i="1"/>
  <c r="U42" i="1"/>
  <c r="U32" i="1"/>
  <c r="U121" i="1"/>
  <c r="T97" i="1"/>
  <c r="U41" i="1"/>
  <c r="U51" i="1"/>
  <c r="U21" i="1"/>
  <c r="U107" i="1"/>
  <c r="T68" i="1"/>
  <c r="U85" i="1"/>
  <c r="T84" i="1"/>
  <c r="U29" i="1"/>
  <c r="U19" i="1"/>
  <c r="U8" i="1"/>
  <c r="T52" i="1"/>
  <c r="U73" i="1"/>
  <c r="T65" i="1"/>
  <c r="U16" i="1"/>
  <c r="T92" i="1"/>
  <c r="T5" i="1"/>
  <c r="U124" i="1"/>
  <c r="T113" i="1"/>
  <c r="U26" i="1"/>
  <c r="U6" i="1"/>
  <c r="U65" i="1"/>
  <c r="U89" i="1"/>
  <c r="U113" i="1"/>
  <c r="W113" i="1" s="1"/>
  <c r="U27" i="1"/>
  <c r="T8" i="1"/>
  <c r="W8" i="1" s="1"/>
  <c r="T106" i="1"/>
  <c r="T104" i="1"/>
  <c r="U11" i="1"/>
  <c r="T11" i="1"/>
  <c r="U106" i="1"/>
  <c r="U53" i="1"/>
  <c r="T86" i="1"/>
  <c r="U61" i="1"/>
  <c r="T77" i="1"/>
  <c r="U94" i="1"/>
  <c r="U25" i="1"/>
  <c r="U125" i="1"/>
  <c r="U104" i="1"/>
  <c r="T20" i="1"/>
  <c r="U35" i="1"/>
  <c r="T4" i="1"/>
  <c r="T94" i="1"/>
  <c r="U126" i="1"/>
  <c r="U40" i="1"/>
  <c r="U83" i="1"/>
  <c r="U74" i="1"/>
  <c r="T66" i="1"/>
  <c r="U24" i="1"/>
  <c r="T82" i="1"/>
  <c r="U58" i="1"/>
  <c r="U48" i="1"/>
  <c r="T87" i="1"/>
  <c r="W87" i="1" s="1"/>
  <c r="T76" i="1"/>
  <c r="U15" i="1"/>
  <c r="T41" i="1"/>
  <c r="T71" i="1"/>
  <c r="U112" i="1"/>
  <c r="T111" i="1"/>
  <c r="T90" i="1"/>
  <c r="U72" i="1"/>
  <c r="U57" i="1"/>
  <c r="U71" i="1"/>
  <c r="U99" i="1"/>
  <c r="U37" i="1"/>
  <c r="T10" i="1"/>
  <c r="U10" i="1"/>
  <c r="T67" i="1"/>
  <c r="U67" i="1"/>
  <c r="T9" i="1"/>
  <c r="U9" i="1"/>
  <c r="T115" i="1"/>
  <c r="U115" i="1"/>
  <c r="U75" i="1"/>
  <c r="T75" i="1"/>
  <c r="U17" i="1"/>
  <c r="T17" i="1"/>
  <c r="U123" i="1"/>
  <c r="T123" i="1"/>
  <c r="T114" i="1"/>
  <c r="U114" i="1"/>
  <c r="T18" i="1"/>
  <c r="U18" i="1"/>
  <c r="T91" i="1"/>
  <c r="U91" i="1"/>
  <c r="T56" i="1"/>
  <c r="U56" i="1"/>
  <c r="T45" i="1"/>
  <c r="T69" i="1"/>
  <c r="W69" i="1" s="1"/>
  <c r="T118" i="1"/>
  <c r="U4" i="1"/>
  <c r="T116" i="1"/>
  <c r="T31" i="1"/>
  <c r="U55" i="1"/>
  <c r="T46" i="1"/>
  <c r="U54" i="1"/>
  <c r="U66" i="1"/>
  <c r="W66" i="1" s="1"/>
  <c r="U82" i="1"/>
  <c r="W82" i="1" s="1"/>
  <c r="T22" i="1"/>
  <c r="U46" i="1"/>
  <c r="T64" i="1"/>
  <c r="T70" i="1"/>
  <c r="U92" i="1"/>
  <c r="T125" i="1"/>
  <c r="T29" i="1"/>
  <c r="W29" i="1" s="1"/>
  <c r="U22" i="1"/>
  <c r="U34" i="1"/>
  <c r="U68" i="1"/>
  <c r="T16" i="1"/>
  <c r="U20" i="1"/>
  <c r="T32" i="1"/>
  <c r="T40" i="1"/>
  <c r="U80" i="1"/>
  <c r="T101" i="1"/>
  <c r="U111" i="1"/>
  <c r="U101" i="1"/>
  <c r="T53" i="1"/>
  <c r="U47" i="1"/>
  <c r="U33" i="1"/>
  <c r="U70" i="1"/>
  <c r="T63" i="1"/>
  <c r="T55" i="1"/>
  <c r="T89" i="1"/>
  <c r="T107" i="1"/>
  <c r="T99" i="1"/>
  <c r="T105" i="1"/>
  <c r="U117" i="1"/>
  <c r="T72" i="1"/>
  <c r="T126" i="1"/>
  <c r="T15" i="1"/>
  <c r="T23" i="1"/>
  <c r="T21" i="1"/>
  <c r="U23" i="1"/>
  <c r="T39" i="1"/>
  <c r="U63" i="1"/>
  <c r="U39" i="1"/>
  <c r="T57" i="1"/>
  <c r="U116" i="1"/>
  <c r="U3" i="1"/>
  <c r="T3" i="1"/>
  <c r="W2" i="1"/>
  <c r="U97" i="1"/>
  <c r="T19" i="1"/>
  <c r="U31" i="1"/>
  <c r="W27" i="1"/>
  <c r="T48" i="1"/>
  <c r="T78" i="1"/>
  <c r="T83" i="1"/>
  <c r="T95" i="1"/>
  <c r="T7" i="1"/>
  <c r="T43" i="1"/>
  <c r="U103" i="1"/>
  <c r="W103" i="1" s="1"/>
  <c r="U7" i="1"/>
  <c r="U88" i="1"/>
  <c r="W88" i="1" s="1"/>
  <c r="T24" i="1"/>
  <c r="U30" i="1"/>
  <c r="T79" i="1"/>
  <c r="U102" i="1"/>
  <c r="T6" i="1"/>
  <c r="U13" i="1"/>
  <c r="U79" i="1"/>
  <c r="T112" i="1"/>
  <c r="T121" i="1"/>
  <c r="T37" i="1"/>
  <c r="U50" i="1"/>
  <c r="T60" i="1"/>
  <c r="T96" i="1"/>
  <c r="T109" i="1"/>
  <c r="T12" i="1"/>
  <c r="T47" i="1"/>
  <c r="U60" i="1"/>
  <c r="U90" i="1"/>
  <c r="T93" i="1"/>
  <c r="U109" i="1"/>
  <c r="T117" i="1"/>
  <c r="T120" i="1"/>
  <c r="U122" i="1"/>
  <c r="W122" i="1" s="1"/>
  <c r="T26" i="1"/>
  <c r="U98" i="1"/>
  <c r="U14" i="1"/>
  <c r="U52" i="1"/>
  <c r="U62" i="1"/>
  <c r="T81" i="1"/>
  <c r="W81" i="1" s="1"/>
  <c r="U95" i="1"/>
  <c r="T14" i="1"/>
  <c r="T62" i="1"/>
  <c r="T74" i="1"/>
  <c r="T49" i="1"/>
  <c r="T54" i="1"/>
  <c r="U76" i="1"/>
  <c r="U84" i="1"/>
  <c r="U119" i="1"/>
  <c r="W119" i="1" s="1"/>
  <c r="T100" i="1"/>
  <c r="T108" i="1"/>
  <c r="T50" i="1"/>
  <c r="U12" i="1"/>
  <c r="U36" i="1"/>
  <c r="W36" i="1" s="1"/>
  <c r="T73" i="1"/>
  <c r="T25" i="1"/>
  <c r="T30" i="1"/>
  <c r="T38" i="1"/>
  <c r="T59" i="1"/>
  <c r="U78" i="1"/>
  <c r="U100" i="1"/>
  <c r="T102" i="1"/>
  <c r="U108" i="1"/>
  <c r="T110" i="1"/>
  <c r="T85" i="1"/>
  <c r="U38" i="1"/>
  <c r="U86" i="1"/>
  <c r="U110" i="1"/>
  <c r="T13" i="1"/>
  <c r="T61" i="1"/>
  <c r="U118" i="1"/>
  <c r="T124" i="1"/>
  <c r="T35" i="1"/>
  <c r="T51" i="1"/>
  <c r="T42" i="1"/>
  <c r="T58" i="1"/>
  <c r="T28" i="1"/>
  <c r="W28" i="1" s="1"/>
  <c r="T44" i="1"/>
  <c r="W44" i="1" s="1"/>
  <c r="W55" i="1" l="1"/>
  <c r="W65" i="1"/>
  <c r="W98" i="1"/>
  <c r="W31" i="1"/>
  <c r="W96" i="1"/>
  <c r="W19" i="1"/>
  <c r="W33" i="1"/>
  <c r="W18" i="1"/>
  <c r="W9" i="1"/>
  <c r="W77" i="1"/>
  <c r="W59" i="1"/>
  <c r="W120" i="1"/>
  <c r="W64" i="1"/>
  <c r="W5" i="1"/>
  <c r="W105" i="1"/>
  <c r="W93" i="1"/>
  <c r="W85" i="1"/>
  <c r="W45" i="1"/>
  <c r="W49" i="1"/>
  <c r="W92" i="1"/>
  <c r="W104" i="1"/>
  <c r="W107" i="1"/>
  <c r="W124" i="1"/>
  <c r="W21" i="1"/>
  <c r="W68" i="1"/>
  <c r="W84" i="1"/>
  <c r="W34" i="1"/>
  <c r="W26" i="1"/>
  <c r="W54" i="1"/>
  <c r="W43" i="1"/>
  <c r="W86" i="1"/>
  <c r="W11" i="1"/>
  <c r="W89" i="1"/>
  <c r="W32" i="1"/>
  <c r="W22" i="1"/>
  <c r="W106" i="1"/>
  <c r="W121" i="1"/>
  <c r="W112" i="1"/>
  <c r="W25" i="1"/>
  <c r="W125" i="1"/>
  <c r="W73" i="1"/>
  <c r="W42" i="1"/>
  <c r="W67" i="1"/>
  <c r="W41" i="1"/>
  <c r="W53" i="1"/>
  <c r="W91" i="1"/>
  <c r="W74" i="1"/>
  <c r="W114" i="1"/>
  <c r="W51" i="1"/>
  <c r="W47" i="1"/>
  <c r="W83" i="1"/>
  <c r="W80" i="1"/>
  <c r="W17" i="1"/>
  <c r="W16" i="1"/>
  <c r="W97" i="1"/>
  <c r="W52" i="1"/>
  <c r="W6" i="1"/>
  <c r="W40" i="1"/>
  <c r="W101" i="1"/>
  <c r="W75" i="1"/>
  <c r="W4" i="1"/>
  <c r="W10" i="1"/>
  <c r="W56" i="1"/>
  <c r="W115" i="1"/>
  <c r="W94" i="1"/>
  <c r="W111" i="1"/>
  <c r="W35" i="1"/>
  <c r="W15" i="1"/>
  <c r="W126" i="1"/>
  <c r="W123" i="1"/>
  <c r="W116" i="1"/>
  <c r="W76" i="1"/>
  <c r="W20" i="1"/>
  <c r="W70" i="1"/>
  <c r="W72" i="1"/>
  <c r="W37" i="1"/>
  <c r="W57" i="1"/>
  <c r="W46" i="1"/>
  <c r="W24" i="1"/>
  <c r="W58" i="1"/>
  <c r="W48" i="1"/>
  <c r="W63" i="1"/>
  <c r="W71" i="1"/>
  <c r="W118" i="1"/>
  <c r="W90" i="1"/>
  <c r="W99" i="1"/>
  <c r="W61" i="1"/>
  <c r="W39" i="1"/>
  <c r="W110" i="1"/>
  <c r="W78" i="1"/>
  <c r="W14" i="1"/>
  <c r="W117" i="1"/>
  <c r="W109" i="1"/>
  <c r="W30" i="1"/>
  <c r="W95" i="1"/>
  <c r="W23" i="1"/>
  <c r="W3" i="1"/>
  <c r="W102" i="1"/>
  <c r="W50" i="1"/>
  <c r="W79" i="1"/>
  <c r="W7" i="1"/>
  <c r="W13" i="1"/>
  <c r="W62" i="1"/>
  <c r="W12" i="1"/>
  <c r="W38" i="1"/>
  <c r="W108" i="1"/>
  <c r="W100" i="1"/>
  <c r="W6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<sst xmlns="http://schemas.openxmlformats.org/spreadsheetml/2006/main" count="525" uniqueCount="29">
  <si>
    <t>Electrode</t>
  </si>
  <si>
    <t>Inlet flow rate</t>
  </si>
  <si>
    <t>Flow rate (ml min-1)</t>
  </si>
  <si>
    <t>Catholyte</t>
  </si>
  <si>
    <t>Anolyte</t>
  </si>
  <si>
    <t>Membrane</t>
  </si>
  <si>
    <t>Applied current / A</t>
  </si>
  <si>
    <t>Duration / h</t>
  </si>
  <si>
    <t>area(H2)</t>
  </si>
  <si>
    <t>area(CO)</t>
  </si>
  <si>
    <t>area(CO2)</t>
  </si>
  <si>
    <t>area(CH4)</t>
  </si>
  <si>
    <t>area(O2)</t>
  </si>
  <si>
    <t>area(N2)</t>
  </si>
  <si>
    <t>c(H2)</t>
  </si>
  <si>
    <t>c(CO)</t>
  </si>
  <si>
    <t>c(CO2)</t>
  </si>
  <si>
    <t>c(O2)</t>
  </si>
  <si>
    <t>FE(H2)</t>
  </si>
  <si>
    <t>FE(CO)</t>
  </si>
  <si>
    <t>FE(CH4)</t>
  </si>
  <si>
    <t>Total FE</t>
  </si>
  <si>
    <t>Carbon efficiency</t>
  </si>
  <si>
    <t>Ag60 GDE in PTFE holder</t>
  </si>
  <si>
    <t>CCM-CEM</t>
  </si>
  <si>
    <t>Time</t>
  </si>
  <si>
    <t>Deionized wated</t>
  </si>
  <si>
    <r>
      <t>0.3 M K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/>
    </r>
  </si>
  <si>
    <t>0.9Mk2so4pH2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</si>
</sst>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409]m/d/yy\ h:mm\ AM/PM;@"/>
    <numFmt numFmtId="165" formatCode="0.0"/>
    <numFmt numFmtId="166" formatCode="m/d/yy\ h:mm;@"/>
    <numFmt numFmtId="167" formatCode="d/mm/yy\ h:mm;@"/>
    <numFmt numFmtId="168" formatCode="yyyy\-mm\-dd\ hh:mm:ss"/>
    <numFmt numFmtId="170" formatCode="0.0000"/>
  </numFmts>
  <fonts count="8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indexed="72"/>
      <name val="SansSerif"/>
    </font>
    <font>
      <sz val="9"/>
      <color rgb="FF000000"/>
      <name val="SansSerif"/>
    </font>
    <font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10" fontId="3" fillId="5" borderId="0" xfId="0" applyNumberFormat="1" applyFont="1" applyFill="1" applyAlignment="1">
      <alignment horizontal="center"/>
    </xf>
    <xf numFmtId="10" fontId="2" fillId="6" borderId="0" xfId="0" applyNumberFormat="1" applyFont="1" applyFill="1" applyAlignment="1">
      <alignment horizontal="center" vertical="center"/>
    </xf>
    <xf numFmtId="22" fontId="4" fillId="2" borderId="0" xfId="0" applyNumberFormat="1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164" fontId="6" fillId="4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7" fillId="0" borderId="0" xfId="0" applyFont="1"/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6" borderId="0" xfId="0" applyFill="1"/>
    <xf numFmtId="164" fontId="0" fillId="0" borderId="0" xfId="0" applyNumberFormat="1"/>
    <xf numFmtId="166" fontId="0" fillId="0" borderId="0" xfId="0" applyNumberFormat="1"/>
    <xf numFmtId="165" fontId="0" fillId="0" borderId="0" xfId="0" applyNumberFormat="1"/>
    <xf numFmtId="22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8" fontId="0" fillId="0" borderId="0" xfId="0" applyNumberFormat="1"/>
    <xf numFmtId="170" fontId="0" fillId="7" borderId="1" xfId="0" applyNumberFormat="1" applyFill="1" applyBorder="1" applyAlignment="1">
      <alignment horizontal="center" vertical="center"/>
    </xf>
    <xf numFmtId="170" fontId="0" fillId="7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7EDDA-4846-4EA0-B855-5F628FF13338}">
  <dimension ref="A1:Y127"/>
  <sheetViews>
    <sheetView tabSelected="1" topLeftCell="F1" zoomScale="70" zoomScaleNormal="70" workbookViewId="0">
      <selection activeCell="L18" sqref="L18"/>
    </sheetView>
  </sheetViews>
  <sheetFormatPr defaultRowHeight="14.4" x14ac:dyDescent="0.3"/>
  <cols>
    <col min="1" max="1" width="25.6640625" customWidth="1"/>
    <col min="2" max="2" width="6.5546875" customWidth="1"/>
    <col min="3" max="3" width="18.88671875" customWidth="1"/>
    <col min="4" max="4" width="13.77734375" customWidth="1"/>
    <col min="5" max="5" width="15.77734375" customWidth="1"/>
    <col min="6" max="6" width="13.5546875" customWidth="1"/>
    <col min="7" max="7" width="14.88671875" customWidth="1"/>
    <col min="8" max="8" width="23.5546875" bestFit="1" customWidth="1"/>
    <col min="9" max="9" width="15.109375" customWidth="1"/>
    <col min="12" max="12" width="9.33203125" bestFit="1" customWidth="1"/>
    <col min="23" max="23" width="9.6640625" bestFit="1" customWidth="1"/>
  </cols>
  <sheetData>
    <row r="1" spans="1:25" s="11" customFormat="1" ht="34.200000000000003" x14ac:dyDescent="0.25">
      <c r="A1" s="6" t="s">
        <v>0</v>
      </c>
      <c r="B1" s="7" t="s">
        <v>1</v>
      </c>
      <c r="C1" s="8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9" t="s">
        <v>25</v>
      </c>
      <c r="I1" s="7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10" t="s">
        <v>13</v>
      </c>
      <c r="P1" s="10" t="s">
        <v>14</v>
      </c>
      <c r="Q1" s="10" t="s">
        <v>15</v>
      </c>
      <c r="R1" s="10" t="s">
        <v>16</v>
      </c>
      <c r="S1" s="10" t="s">
        <v>17</v>
      </c>
      <c r="T1" s="10" t="s">
        <v>18</v>
      </c>
      <c r="U1" s="10" t="s">
        <v>19</v>
      </c>
      <c r="V1" s="10" t="s">
        <v>20</v>
      </c>
      <c r="W1" s="7" t="s">
        <v>21</v>
      </c>
      <c r="X1" s="7" t="s">
        <v>22</v>
      </c>
      <c r="Y1" s="7"/>
    </row>
    <row r="2" spans="1:25" ht="15.6" x14ac:dyDescent="0.3">
      <c r="A2" s="1" t="s">
        <v>23</v>
      </c>
      <c r="B2" s="1">
        <v>60</v>
      </c>
      <c r="C2" s="12">
        <f>+'Flow rate'!E1</f>
        <v>55.154546000000003</v>
      </c>
      <c r="D2" s="1" t="s">
        <v>27</v>
      </c>
      <c r="E2" s="1" t="s">
        <v>26</v>
      </c>
      <c r="F2" s="1" t="s">
        <v>24</v>
      </c>
      <c r="G2" s="1">
        <v>0</v>
      </c>
      <c r="H2" s="15">
        <v>45450.703799537034</v>
      </c>
      <c r="I2" s="2">
        <v>0</v>
      </c>
      <c r="J2" s="13">
        <v>0</v>
      </c>
      <c r="K2" s="13">
        <v>0</v>
      </c>
      <c r="L2">
        <v>0</v>
      </c>
      <c r="N2">
        <v>0</v>
      </c>
      <c r="O2">
        <v>0</v>
      </c>
      <c r="P2" s="3">
        <f t="shared" ref="P2:R2" si="0">+J2/100</f>
        <v>0</v>
      </c>
      <c r="Q2" s="3">
        <f t="shared" si="0"/>
        <v>0</v>
      </c>
      <c r="R2" s="3">
        <f t="shared" si="0"/>
        <v>0</v>
      </c>
      <c r="S2" s="3">
        <f>+N2/100</f>
        <v>0</v>
      </c>
      <c r="T2" s="4">
        <v>0</v>
      </c>
      <c r="U2" s="5">
        <v>0</v>
      </c>
      <c r="V2" s="14"/>
      <c r="W2" s="3">
        <f t="shared" ref="W2:W65" si="1">+T2+U2</f>
        <v>0</v>
      </c>
      <c r="X2" s="3">
        <v>0</v>
      </c>
      <c r="Y2">
        <f t="shared" ref="Y2" si="2">+SUM(K2:L2)</f>
        <v>0</v>
      </c>
    </row>
    <row r="3" spans="1:25" ht="15.6" x14ac:dyDescent="0.3">
      <c r="A3" s="1" t="s">
        <v>23</v>
      </c>
      <c r="B3" s="1">
        <v>60</v>
      </c>
      <c r="C3" s="12">
        <f>+'Flow rate'!E2</f>
        <v>58.892861000000003</v>
      </c>
      <c r="D3" s="1" t="s">
        <v>27</v>
      </c>
      <c r="E3" s="1" t="s">
        <v>26</v>
      </c>
      <c r="F3" s="1" t="s">
        <v>24</v>
      </c>
      <c r="G3" s="1">
        <v>-0.125</v>
      </c>
      <c r="H3" s="15">
        <v>45450.722037037034</v>
      </c>
      <c r="I3" s="2">
        <f>+(H3-H$2)*24</f>
        <v>0.43770000000949949</v>
      </c>
      <c r="J3" s="21">
        <v>0.85028866043943396</v>
      </c>
      <c r="K3" s="21">
        <v>0.71062037387990118</v>
      </c>
      <c r="L3" s="21">
        <v>106.16155381097096</v>
      </c>
      <c r="N3" s="21">
        <v>7.6597227033371185E-2</v>
      </c>
      <c r="O3" s="21">
        <v>0.18162892172715939</v>
      </c>
      <c r="P3" s="3">
        <f>+J3/SUM($J3:$O3)</f>
        <v>7.8744511482630054E-3</v>
      </c>
      <c r="Q3" s="3">
        <f t="shared" ref="Q3:R3" si="3">+K3/SUM($J3:$O3)</f>
        <v>6.5809949954945433E-3</v>
      </c>
      <c r="R3" s="3">
        <f t="shared" si="3"/>
        <v>0.98315314339974169</v>
      </c>
      <c r="S3" s="3">
        <f>+N3/SUM($J3:$O3)</f>
        <v>7.0936042126561443E-4</v>
      </c>
      <c r="T3" s="4">
        <f t="shared" ref="T3:T65" si="4">+P3*C3/1000/60/24.3*2*96485/-1/G3</f>
        <v>0.49102681052400188</v>
      </c>
      <c r="U3" s="5">
        <f t="shared" ref="U3:U65" si="5">+Q3*C3/1000/60/24.3*2*96485/-1/G3</f>
        <v>0.4103708210095271</v>
      </c>
      <c r="V3" s="14"/>
      <c r="W3" s="3">
        <f t="shared" si="1"/>
        <v>0.90139763153352903</v>
      </c>
      <c r="X3" s="3">
        <f t="shared" ref="X3:X66" si="6">+K3/(K3+L3)</f>
        <v>6.6492553304921126E-3</v>
      </c>
    </row>
    <row r="4" spans="1:25" ht="15.6" x14ac:dyDescent="0.3">
      <c r="A4" s="1" t="s">
        <v>23</v>
      </c>
      <c r="B4" s="1">
        <v>60</v>
      </c>
      <c r="C4" s="12">
        <f>+'Flow rate'!E3</f>
        <v>59.457115999999999</v>
      </c>
      <c r="D4" s="1" t="s">
        <v>27</v>
      </c>
      <c r="E4" s="1" t="s">
        <v>26</v>
      </c>
      <c r="F4" s="1" t="s">
        <v>24</v>
      </c>
      <c r="G4" s="1">
        <v>-0.125</v>
      </c>
      <c r="H4" s="15">
        <v>45450.737685185188</v>
      </c>
      <c r="I4" s="2">
        <f t="shared" ref="I4:I67" si="7">+(H4-H$2)*24</f>
        <v>0.8132555556949228</v>
      </c>
      <c r="J4" s="21">
        <v>1.006436529507815</v>
      </c>
      <c r="K4" s="21">
        <v>0.62873092976277645</v>
      </c>
      <c r="L4" s="21">
        <v>106.10406211519796</v>
      </c>
      <c r="N4" s="21">
        <v>4.1615871633108717E-2</v>
      </c>
      <c r="O4" s="21">
        <v>0.10341053279593015</v>
      </c>
      <c r="P4" s="3">
        <f t="shared" ref="P4:P67" si="8">+J4/SUM($J4:$O4)</f>
        <v>9.3288545244699685E-3</v>
      </c>
      <c r="Q4" s="3">
        <f t="shared" ref="Q4:Q67" si="9">+K4/SUM($J4:$O4)</f>
        <v>5.8278283893968517E-3</v>
      </c>
      <c r="R4" s="3">
        <f t="shared" ref="R4:R67" si="10">+L4/SUM($J4:$O4)</f>
        <v>0.98349903934038485</v>
      </c>
      <c r="S4" s="3">
        <f t="shared" ref="S4:S67" si="11">+N4/SUM($J4:$O4)</f>
        <v>3.8574554976074425E-4</v>
      </c>
      <c r="T4" s="4">
        <f t="shared" si="4"/>
        <v>0.58729245332718327</v>
      </c>
      <c r="U4" s="5">
        <f t="shared" si="5"/>
        <v>0.3668874483358015</v>
      </c>
      <c r="V4" s="14"/>
      <c r="W4" s="3">
        <f t="shared" si="1"/>
        <v>0.95417990166298483</v>
      </c>
      <c r="X4" s="3">
        <f t="shared" si="6"/>
        <v>5.890700616238218E-3</v>
      </c>
      <c r="Y4">
        <f t="shared" ref="Y4" si="12">+SUM(K4:L4)</f>
        <v>106.73279304496074</v>
      </c>
    </row>
    <row r="5" spans="1:25" ht="15.6" x14ac:dyDescent="0.3">
      <c r="A5" s="1" t="s">
        <v>23</v>
      </c>
      <c r="B5" s="1">
        <v>60</v>
      </c>
      <c r="C5" s="12">
        <f>+'Flow rate'!E4</f>
        <v>61.152324999999998</v>
      </c>
      <c r="D5" s="1" t="s">
        <v>27</v>
      </c>
      <c r="E5" s="1" t="s">
        <v>26</v>
      </c>
      <c r="F5" s="1" t="s">
        <v>24</v>
      </c>
      <c r="G5" s="1">
        <v>-0.125</v>
      </c>
      <c r="H5" s="15">
        <v>45450.753321759257</v>
      </c>
      <c r="I5" s="2">
        <f t="shared" si="7"/>
        <v>1.1885333333630115</v>
      </c>
      <c r="J5" s="21">
        <v>1.0631028729702761</v>
      </c>
      <c r="K5" s="21">
        <v>0.57326857065221171</v>
      </c>
      <c r="L5" s="21">
        <v>105.91112708778046</v>
      </c>
      <c r="N5" s="21">
        <v>2.9751930238804757E-2</v>
      </c>
      <c r="O5" s="21">
        <v>8.6601144648403849E-2</v>
      </c>
      <c r="P5" s="3">
        <f t="shared" si="8"/>
        <v>9.874278665581061E-3</v>
      </c>
      <c r="Q5" s="3">
        <f t="shared" si="9"/>
        <v>5.3246151061784892E-3</v>
      </c>
      <c r="R5" s="3">
        <f t="shared" si="10"/>
        <v>0.98372039925787591</v>
      </c>
      <c r="S5" s="3">
        <f t="shared" si="11"/>
        <v>2.7634094261835352E-4</v>
      </c>
      <c r="T5" s="4">
        <f t="shared" si="4"/>
        <v>0.63935286079564158</v>
      </c>
      <c r="U5" s="5">
        <f t="shared" si="5"/>
        <v>0.34476522448544611</v>
      </c>
      <c r="V5" s="14"/>
      <c r="W5" s="3">
        <f t="shared" si="1"/>
        <v>0.98411808528108768</v>
      </c>
      <c r="X5" s="3">
        <f t="shared" si="6"/>
        <v>5.3835922823008819E-3</v>
      </c>
    </row>
    <row r="6" spans="1:25" ht="15.6" x14ac:dyDescent="0.3">
      <c r="A6" s="1" t="s">
        <v>23</v>
      </c>
      <c r="B6" s="1">
        <v>60</v>
      </c>
      <c r="C6" s="12">
        <f>+'Flow rate'!E5</f>
        <v>61.049442999999997</v>
      </c>
      <c r="D6" s="1" t="s">
        <v>27</v>
      </c>
      <c r="E6" s="1" t="s">
        <v>26</v>
      </c>
      <c r="F6" s="1" t="s">
        <v>24</v>
      </c>
      <c r="G6" s="1">
        <v>-0.125</v>
      </c>
      <c r="H6" s="15">
        <v>45450.768946759257</v>
      </c>
      <c r="I6" s="2">
        <f t="shared" si="7"/>
        <v>1.5635333333630115</v>
      </c>
      <c r="J6" s="21">
        <v>1.1380597288834675</v>
      </c>
      <c r="K6" s="21">
        <v>0.46986559607563377</v>
      </c>
      <c r="L6" s="21">
        <v>105.50561842360405</v>
      </c>
      <c r="N6" s="21">
        <v>1.5783840033435741E-2</v>
      </c>
      <c r="O6" s="21">
        <v>5.1206086679936903E-2</v>
      </c>
      <c r="P6" s="3">
        <f t="shared" si="8"/>
        <v>1.0618156953122033E-2</v>
      </c>
      <c r="Q6" s="3">
        <f t="shared" si="9"/>
        <v>4.383870652288218E-3</v>
      </c>
      <c r="R6" s="3">
        <f t="shared" si="10"/>
        <v>0.98437295286523818</v>
      </c>
      <c r="S6" s="3">
        <f t="shared" si="11"/>
        <v>1.4726405525518129E-4</v>
      </c>
      <c r="T6" s="4">
        <f t="shared" si="4"/>
        <v>0.68636180293104232</v>
      </c>
      <c r="U6" s="5">
        <f t="shared" si="5"/>
        <v>0.28337510718715825</v>
      </c>
      <c r="V6" s="14"/>
      <c r="W6" s="3">
        <f t="shared" si="1"/>
        <v>0.96973691011820051</v>
      </c>
      <c r="X6" s="3">
        <f t="shared" si="6"/>
        <v>4.433719745864804E-3</v>
      </c>
      <c r="Y6">
        <f t="shared" ref="Y6" si="13">+SUM(K6:L6)</f>
        <v>105.97548401967968</v>
      </c>
    </row>
    <row r="7" spans="1:25" ht="15.6" x14ac:dyDescent="0.3">
      <c r="A7" s="1" t="s">
        <v>23</v>
      </c>
      <c r="B7" s="1">
        <v>60</v>
      </c>
      <c r="C7" s="12">
        <f>+'Flow rate'!E6</f>
        <v>62.190801999999998</v>
      </c>
      <c r="D7" s="1" t="s">
        <v>27</v>
      </c>
      <c r="E7" s="1" t="s">
        <v>26</v>
      </c>
      <c r="F7" s="1" t="s">
        <v>24</v>
      </c>
      <c r="G7" s="1">
        <v>-0.27</v>
      </c>
      <c r="H7" s="15">
        <v>45450.791863425926</v>
      </c>
      <c r="I7" s="2">
        <f t="shared" si="7"/>
        <v>2.1135333334095776</v>
      </c>
      <c r="J7" s="21">
        <v>1.0565951166787855</v>
      </c>
      <c r="K7" s="21">
        <v>1.2028430885313617</v>
      </c>
      <c r="L7" s="21">
        <v>104.75542830642287</v>
      </c>
      <c r="N7" s="21">
        <v>5.1317052611046382E-3</v>
      </c>
      <c r="O7" s="21">
        <v>2.5350353541583954E-2</v>
      </c>
      <c r="P7" s="3">
        <f t="shared" si="8"/>
        <v>9.8705374011047956E-3</v>
      </c>
      <c r="Q7" s="3">
        <f t="shared" si="9"/>
        <v>1.123676184528366E-2</v>
      </c>
      <c r="R7" s="3">
        <f t="shared" si="10"/>
        <v>0.9786079423852212</v>
      </c>
      <c r="S7" s="3">
        <f t="shared" si="11"/>
        <v>4.7939544591496027E-5</v>
      </c>
      <c r="T7" s="4">
        <f t="shared" si="4"/>
        <v>0.30090919897883017</v>
      </c>
      <c r="U7" s="5">
        <f t="shared" si="5"/>
        <v>0.34255936314082852</v>
      </c>
      <c r="V7" s="14"/>
      <c r="W7" s="3">
        <f t="shared" si="1"/>
        <v>0.64346856211965875</v>
      </c>
      <c r="X7" s="3">
        <f t="shared" si="6"/>
        <v>1.1352045222102796E-2</v>
      </c>
    </row>
    <row r="8" spans="1:25" ht="15.6" x14ac:dyDescent="0.3">
      <c r="A8" s="1" t="s">
        <v>23</v>
      </c>
      <c r="B8" s="1">
        <v>60</v>
      </c>
      <c r="C8" s="12">
        <f>+'Flow rate'!E7</f>
        <v>61.101233999999998</v>
      </c>
      <c r="D8" s="1" t="s">
        <v>27</v>
      </c>
      <c r="E8" s="1" t="s">
        <v>26</v>
      </c>
      <c r="F8" s="1" t="s">
        <v>24</v>
      </c>
      <c r="G8" s="1">
        <v>-0.27</v>
      </c>
      <c r="H8" s="15">
        <v>45450.807488425926</v>
      </c>
      <c r="I8" s="2">
        <f t="shared" si="7"/>
        <v>2.4885333334095776</v>
      </c>
      <c r="J8" s="21">
        <v>0.75111996646850288</v>
      </c>
      <c r="K8" s="21">
        <v>2.5680199046166554</v>
      </c>
      <c r="L8" s="21">
        <v>103.46163263201254</v>
      </c>
      <c r="N8" s="21">
        <v>8.1407348637269061E-4</v>
      </c>
      <c r="O8" s="21">
        <v>1.389226898600791E-2</v>
      </c>
      <c r="P8" s="3">
        <f t="shared" si="8"/>
        <v>7.0332562257120279E-3</v>
      </c>
      <c r="Q8" s="3">
        <f t="shared" si="9"/>
        <v>2.404614813638413E-2</v>
      </c>
      <c r="R8" s="3">
        <f t="shared" si="10"/>
        <v>0.96878288997253914</v>
      </c>
      <c r="S8" s="3">
        <f t="shared" si="11"/>
        <v>7.6227336135630683E-6</v>
      </c>
      <c r="T8" s="4">
        <f t="shared" si="4"/>
        <v>0.21065653159020548</v>
      </c>
      <c r="U8" s="5">
        <f t="shared" si="5"/>
        <v>0.72021806144310463</v>
      </c>
      <c r="V8" s="14"/>
      <c r="W8" s="3">
        <f t="shared" si="1"/>
        <v>0.9308745930333101</v>
      </c>
      <c r="X8" s="3">
        <f t="shared" si="6"/>
        <v>2.4219827597091317E-2</v>
      </c>
      <c r="Y8">
        <f t="shared" ref="Y8" si="14">+SUM(K8:L8)</f>
        <v>106.0296525366292</v>
      </c>
    </row>
    <row r="9" spans="1:25" ht="15.6" x14ac:dyDescent="0.3">
      <c r="A9" s="1" t="s">
        <v>23</v>
      </c>
      <c r="B9" s="1">
        <v>60</v>
      </c>
      <c r="C9" s="12">
        <f>+'Flow rate'!E8</f>
        <v>61.113486999999999</v>
      </c>
      <c r="D9" s="1" t="s">
        <v>27</v>
      </c>
      <c r="E9" s="1" t="s">
        <v>26</v>
      </c>
      <c r="F9" s="1" t="s">
        <v>24</v>
      </c>
      <c r="G9" s="1">
        <v>-0.27</v>
      </c>
      <c r="H9" s="15">
        <v>45450.823125000003</v>
      </c>
      <c r="I9" s="2">
        <f t="shared" si="7"/>
        <v>2.8638111112522893</v>
      </c>
      <c r="J9" s="21">
        <v>0.79190893594787082</v>
      </c>
      <c r="K9" s="21">
        <v>2.649741853607861</v>
      </c>
      <c r="L9" s="21">
        <v>103.27195496950149</v>
      </c>
      <c r="N9" s="21">
        <v>0</v>
      </c>
      <c r="O9" s="21">
        <v>7.8407153075913932E-3</v>
      </c>
      <c r="P9" s="3">
        <f t="shared" si="8"/>
        <v>7.4203354818479939E-3</v>
      </c>
      <c r="Q9" s="3">
        <f t="shared" si="9"/>
        <v>2.4828578895286488E-2</v>
      </c>
      <c r="R9" s="3">
        <f t="shared" si="10"/>
        <v>0.96767761664763496</v>
      </c>
      <c r="S9" s="3">
        <f t="shared" si="11"/>
        <v>0</v>
      </c>
      <c r="T9" s="4">
        <f t="shared" si="4"/>
        <v>0.22229470276835889</v>
      </c>
      <c r="U9" s="5">
        <f t="shared" si="5"/>
        <v>0.74380216085781559</v>
      </c>
      <c r="V9" s="14"/>
      <c r="W9" s="3">
        <f t="shared" si="1"/>
        <v>0.96609686362617442</v>
      </c>
      <c r="X9" s="3">
        <f t="shared" si="6"/>
        <v>2.501604423910396E-2</v>
      </c>
    </row>
    <row r="10" spans="1:25" ht="15.6" x14ac:dyDescent="0.3">
      <c r="A10" s="1" t="s">
        <v>23</v>
      </c>
      <c r="B10" s="1">
        <v>60</v>
      </c>
      <c r="C10" s="12">
        <f>+'Flow rate'!E9</f>
        <v>61.575926000000003</v>
      </c>
      <c r="D10" s="1" t="s">
        <v>27</v>
      </c>
      <c r="E10" s="1" t="s">
        <v>26</v>
      </c>
      <c r="F10" s="1" t="s">
        <v>24</v>
      </c>
      <c r="G10" s="1">
        <v>-0.27</v>
      </c>
      <c r="H10" s="15">
        <v>45450.838750000003</v>
      </c>
      <c r="I10" s="2">
        <f t="shared" si="7"/>
        <v>3.2388111112522893</v>
      </c>
      <c r="J10" s="21">
        <v>0.85130154044815443</v>
      </c>
      <c r="K10" s="21">
        <v>2.576503914288923</v>
      </c>
      <c r="L10" s="21">
        <v>103.39180527615258</v>
      </c>
      <c r="N10" s="21">
        <v>9.473615422577325E-4</v>
      </c>
      <c r="O10" s="21">
        <v>1.6536975525084451E-2</v>
      </c>
      <c r="P10" s="3">
        <f t="shared" si="8"/>
        <v>7.9682205876775106E-3</v>
      </c>
      <c r="Q10" s="3">
        <f t="shared" si="9"/>
        <v>2.4116192158257943E-2</v>
      </c>
      <c r="R10" s="3">
        <f t="shared" si="10"/>
        <v>0.96775193307518381</v>
      </c>
      <c r="S10" s="3">
        <f t="shared" si="11"/>
        <v>8.8673465115757228E-6</v>
      </c>
      <c r="T10" s="4">
        <f t="shared" si="4"/>
        <v>0.24051424784345393</v>
      </c>
      <c r="U10" s="5">
        <f t="shared" si="5"/>
        <v>0.72792761620599367</v>
      </c>
      <c r="V10" s="14"/>
      <c r="W10" s="3">
        <f t="shared" si="1"/>
        <v>0.96844186404944765</v>
      </c>
      <c r="X10" s="3">
        <f t="shared" si="6"/>
        <v>2.4313909828065156E-2</v>
      </c>
      <c r="Y10">
        <f t="shared" ref="Y10" si="15">+SUM(K10:L10)</f>
        <v>105.9683091904415</v>
      </c>
    </row>
    <row r="11" spans="1:25" ht="15.6" x14ac:dyDescent="0.3">
      <c r="A11" s="1" t="s">
        <v>23</v>
      </c>
      <c r="B11" s="1">
        <v>60</v>
      </c>
      <c r="C11" s="12">
        <f>+'Flow rate'!E10</f>
        <v>61.737121999999999</v>
      </c>
      <c r="D11" s="1" t="s">
        <v>27</v>
      </c>
      <c r="E11" s="1" t="s">
        <v>26</v>
      </c>
      <c r="F11" s="1" t="s">
        <v>24</v>
      </c>
      <c r="G11" s="1">
        <v>-0.27</v>
      </c>
      <c r="H11" s="15">
        <v>45450.854386574072</v>
      </c>
      <c r="I11" s="2">
        <f t="shared" si="7"/>
        <v>3.6140888889203779</v>
      </c>
      <c r="J11" s="21">
        <v>0.9070475008109985</v>
      </c>
      <c r="K11" s="21">
        <v>2.5245545627843833</v>
      </c>
      <c r="L11" s="21">
        <v>103.31006293927747</v>
      </c>
      <c r="N11" s="21">
        <v>0</v>
      </c>
      <c r="O11" s="21">
        <v>4.8523838737389215E-3</v>
      </c>
      <c r="P11" s="3">
        <f t="shared" si="8"/>
        <v>8.4972093049624445E-3</v>
      </c>
      <c r="Q11" s="3">
        <f t="shared" si="9"/>
        <v>2.3649994628282142E-2</v>
      </c>
      <c r="R11" s="3">
        <f t="shared" si="10"/>
        <v>0.96780733899712423</v>
      </c>
      <c r="S11" s="3">
        <f t="shared" si="11"/>
        <v>0</v>
      </c>
      <c r="T11" s="4">
        <f t="shared" si="4"/>
        <v>0.25715276882064403</v>
      </c>
      <c r="U11" s="5">
        <f t="shared" si="5"/>
        <v>0.71572458474152978</v>
      </c>
      <c r="V11" s="14"/>
      <c r="W11" s="3">
        <f t="shared" si="1"/>
        <v>0.97287735356217375</v>
      </c>
      <c r="X11" s="3">
        <f t="shared" si="6"/>
        <v>2.385376942223276E-2</v>
      </c>
    </row>
    <row r="12" spans="1:25" ht="15.6" x14ac:dyDescent="0.3">
      <c r="A12" s="1" t="s">
        <v>23</v>
      </c>
      <c r="B12" s="1">
        <v>60</v>
      </c>
      <c r="C12" s="12">
        <f>+'Flow rate'!E11</f>
        <v>60.619860000000003</v>
      </c>
      <c r="D12" s="1" t="s">
        <v>27</v>
      </c>
      <c r="E12" s="1" t="s">
        <v>26</v>
      </c>
      <c r="F12" s="1" t="s">
        <v>24</v>
      </c>
      <c r="G12" s="1">
        <v>-0.27</v>
      </c>
      <c r="H12" s="15">
        <v>45450.870011574072</v>
      </c>
      <c r="I12" s="2">
        <f t="shared" si="7"/>
        <v>3.9890888889203779</v>
      </c>
      <c r="J12" s="21">
        <v>0.95582561024595147</v>
      </c>
      <c r="K12" s="21">
        <v>2.4776563236670421</v>
      </c>
      <c r="L12" s="21">
        <v>103.36467003465275</v>
      </c>
      <c r="N12" s="21">
        <v>0</v>
      </c>
      <c r="O12" s="21">
        <v>0</v>
      </c>
      <c r="P12" s="3">
        <f t="shared" si="8"/>
        <v>8.9498328634682999E-3</v>
      </c>
      <c r="Q12" s="3">
        <f t="shared" si="9"/>
        <v>2.3199430682998137E-2</v>
      </c>
      <c r="R12" s="3">
        <f t="shared" si="10"/>
        <v>0.96785073645353348</v>
      </c>
      <c r="S12" s="3">
        <f t="shared" si="11"/>
        <v>0</v>
      </c>
      <c r="T12" s="4">
        <f t="shared" si="4"/>
        <v>0.26594900067689214</v>
      </c>
      <c r="U12" s="5">
        <f t="shared" si="5"/>
        <v>0.68938331034097056</v>
      </c>
      <c r="V12" s="14"/>
      <c r="W12" s="3">
        <f t="shared" si="1"/>
        <v>0.95533231101786265</v>
      </c>
      <c r="X12" s="3">
        <f t="shared" si="6"/>
        <v>2.3408936754462074E-2</v>
      </c>
      <c r="Y12">
        <f t="shared" ref="Y12" si="16">+SUM(K12:L12)</f>
        <v>105.8423263583198</v>
      </c>
    </row>
    <row r="13" spans="1:25" ht="15.6" x14ac:dyDescent="0.3">
      <c r="A13" s="1" t="s">
        <v>23</v>
      </c>
      <c r="B13" s="1">
        <v>60</v>
      </c>
      <c r="C13" s="12">
        <f>+'Flow rate'!E12</f>
        <v>61.402141</v>
      </c>
      <c r="D13" s="1" t="s">
        <v>27</v>
      </c>
      <c r="E13" s="1" t="s">
        <v>26</v>
      </c>
      <c r="F13" s="1" t="s">
        <v>24</v>
      </c>
      <c r="G13" s="1">
        <v>-0.52</v>
      </c>
      <c r="H13" s="15">
        <v>45450.885648148149</v>
      </c>
      <c r="I13" s="2">
        <f t="shared" si="7"/>
        <v>4.3643666667630896</v>
      </c>
      <c r="J13" s="21">
        <v>0.85698597473119376</v>
      </c>
      <c r="K13" s="21">
        <v>5.0466499917937151</v>
      </c>
      <c r="L13" s="21">
        <v>100.14570996704012</v>
      </c>
      <c r="N13" s="21">
        <v>0</v>
      </c>
      <c r="O13" s="21">
        <v>2.6210207152090356E-3</v>
      </c>
      <c r="P13" s="3">
        <f t="shared" si="8"/>
        <v>8.0808116939561012E-3</v>
      </c>
      <c r="Q13" s="3">
        <f t="shared" si="9"/>
        <v>4.7586576060106099E-2</v>
      </c>
      <c r="R13" s="3">
        <f t="shared" si="10"/>
        <v>0.94430789775180368</v>
      </c>
      <c r="S13" s="3">
        <f t="shared" si="11"/>
        <v>0</v>
      </c>
      <c r="T13" s="4">
        <f t="shared" si="4"/>
        <v>0.12628955426030164</v>
      </c>
      <c r="U13" s="5">
        <f t="shared" si="5"/>
        <v>0.74369849304861024</v>
      </c>
      <c r="V13" s="14"/>
      <c r="W13" s="3">
        <f t="shared" si="1"/>
        <v>0.86998804730891188</v>
      </c>
      <c r="X13" s="3">
        <f t="shared" si="6"/>
        <v>4.7975442263760222E-2</v>
      </c>
    </row>
    <row r="14" spans="1:25" ht="15.6" x14ac:dyDescent="0.3">
      <c r="A14" s="1" t="s">
        <v>23</v>
      </c>
      <c r="B14" s="1">
        <v>60</v>
      </c>
      <c r="C14" s="12">
        <f>+'Flow rate'!E13</f>
        <v>61.034666999999999</v>
      </c>
      <c r="D14" s="1" t="s">
        <v>27</v>
      </c>
      <c r="E14" s="1" t="s">
        <v>26</v>
      </c>
      <c r="F14" s="1" t="s">
        <v>24</v>
      </c>
      <c r="G14" s="1">
        <v>-0.52</v>
      </c>
      <c r="H14" s="15">
        <v>45450.901273148149</v>
      </c>
      <c r="I14" s="2">
        <f t="shared" si="7"/>
        <v>4.7393666667630896</v>
      </c>
      <c r="J14" s="21">
        <v>0.92809835132392915</v>
      </c>
      <c r="K14" s="21">
        <v>5.3264392057135499</v>
      </c>
      <c r="L14" s="21">
        <v>99.778133450065539</v>
      </c>
      <c r="N14" s="21">
        <v>0</v>
      </c>
      <c r="O14" s="21">
        <v>3.9574593879672234E-3</v>
      </c>
      <c r="P14" s="3">
        <f t="shared" si="8"/>
        <v>8.7526203421039641E-3</v>
      </c>
      <c r="Q14" s="3">
        <f t="shared" si="9"/>
        <v>5.023206869875891E-2</v>
      </c>
      <c r="R14" s="3">
        <f t="shared" si="10"/>
        <v>0.94097798933315568</v>
      </c>
      <c r="S14" s="3">
        <f t="shared" si="11"/>
        <v>0</v>
      </c>
      <c r="T14" s="4">
        <f t="shared" si="4"/>
        <v>0.13597015711433652</v>
      </c>
      <c r="U14" s="5">
        <f t="shared" si="5"/>
        <v>0.78034485744717874</v>
      </c>
      <c r="V14" s="14"/>
      <c r="W14" s="3">
        <f t="shared" si="1"/>
        <v>0.91631501456151532</v>
      </c>
      <c r="X14" s="3">
        <f t="shared" si="6"/>
        <v>5.0677521168920138E-2</v>
      </c>
      <c r="Y14">
        <f t="shared" ref="Y14" si="17">+SUM(K14:L14)</f>
        <v>105.10457265577909</v>
      </c>
    </row>
    <row r="15" spans="1:25" ht="15.6" x14ac:dyDescent="0.3">
      <c r="A15" s="1" t="s">
        <v>23</v>
      </c>
      <c r="B15" s="1">
        <v>60</v>
      </c>
      <c r="C15" s="12">
        <f>+'Flow rate'!E14</f>
        <v>61.564082999999997</v>
      </c>
      <c r="D15" s="1" t="s">
        <v>27</v>
      </c>
      <c r="E15" s="1" t="s">
        <v>26</v>
      </c>
      <c r="F15" s="1" t="s">
        <v>24</v>
      </c>
      <c r="G15" s="1">
        <v>-0.52</v>
      </c>
      <c r="H15" s="15">
        <v>45450.916909722226</v>
      </c>
      <c r="I15" s="2">
        <f t="shared" si="7"/>
        <v>5.1146444446058013</v>
      </c>
      <c r="J15" s="21">
        <v>1.0125552469323755</v>
      </c>
      <c r="K15" s="21">
        <v>5.2925321557301883</v>
      </c>
      <c r="L15" s="21">
        <v>99.687954691475667</v>
      </c>
      <c r="N15" s="21">
        <v>0</v>
      </c>
      <c r="O15" s="21">
        <v>0</v>
      </c>
      <c r="P15" s="3">
        <f t="shared" si="8"/>
        <v>9.5530350570848764E-3</v>
      </c>
      <c r="Q15" s="3">
        <f t="shared" si="9"/>
        <v>4.9932826260704929E-2</v>
      </c>
      <c r="R15" s="3">
        <f t="shared" si="10"/>
        <v>0.94051413868221023</v>
      </c>
      <c r="S15" s="3">
        <f t="shared" si="11"/>
        <v>0</v>
      </c>
      <c r="T15" s="4">
        <f t="shared" si="4"/>
        <v>0.14969169834054544</v>
      </c>
      <c r="U15" s="5">
        <f t="shared" si="5"/>
        <v>0.78242459294283928</v>
      </c>
      <c r="V15" s="14"/>
      <c r="W15" s="3">
        <f t="shared" si="1"/>
        <v>0.93211629128338469</v>
      </c>
      <c r="X15" s="3">
        <f t="shared" si="6"/>
        <v>5.0414437146145255E-2</v>
      </c>
    </row>
    <row r="16" spans="1:25" ht="15.6" x14ac:dyDescent="0.3">
      <c r="A16" s="1" t="s">
        <v>23</v>
      </c>
      <c r="B16" s="1">
        <v>60</v>
      </c>
      <c r="C16" s="12">
        <f>+'Flow rate'!E15</f>
        <v>61.477576999999997</v>
      </c>
      <c r="D16" s="1" t="s">
        <v>27</v>
      </c>
      <c r="E16" s="1" t="s">
        <v>26</v>
      </c>
      <c r="F16" s="1" t="s">
        <v>24</v>
      </c>
      <c r="G16" s="1">
        <v>-0.52</v>
      </c>
      <c r="H16" s="15">
        <v>45450.939872685187</v>
      </c>
      <c r="I16" s="2">
        <f t="shared" si="7"/>
        <v>5.665755555673968</v>
      </c>
      <c r="J16" s="21">
        <v>1.1260719813250868</v>
      </c>
      <c r="K16" s="21">
        <v>5.2262325673978163</v>
      </c>
      <c r="L16" s="21">
        <v>99.61422546281409</v>
      </c>
      <c r="N16" s="21">
        <v>0</v>
      </c>
      <c r="O16" s="21">
        <v>2.1970652958061081E-3</v>
      </c>
      <c r="P16" s="3">
        <f t="shared" si="8"/>
        <v>1.0626455676009268E-2</v>
      </c>
      <c r="Q16" s="3">
        <f t="shared" si="9"/>
        <v>4.9318631180768339E-2</v>
      </c>
      <c r="R16" s="3">
        <f t="shared" si="10"/>
        <v>0.9400341799952795</v>
      </c>
      <c r="S16" s="3">
        <f t="shared" si="11"/>
        <v>0</v>
      </c>
      <c r="T16" s="4">
        <f t="shared" si="4"/>
        <v>0.16627773757513581</v>
      </c>
      <c r="U16" s="5">
        <f t="shared" si="5"/>
        <v>0.77171454557089103</v>
      </c>
      <c r="V16" s="14"/>
      <c r="W16" s="3">
        <f t="shared" si="1"/>
        <v>0.93799228314602678</v>
      </c>
      <c r="X16" s="3">
        <f t="shared" si="6"/>
        <v>4.9849387017097652E-2</v>
      </c>
      <c r="Y16">
        <f t="shared" ref="Y16" si="18">+SUM(K16:L16)</f>
        <v>104.84045803021191</v>
      </c>
    </row>
    <row r="17" spans="1:25" ht="15.6" x14ac:dyDescent="0.3">
      <c r="A17" s="1" t="s">
        <v>23</v>
      </c>
      <c r="B17" s="1">
        <v>60</v>
      </c>
      <c r="C17" s="12">
        <f>+'Flow rate'!E16</f>
        <v>62.515248</v>
      </c>
      <c r="D17" s="1" t="s">
        <v>27</v>
      </c>
      <c r="E17" s="1" t="s">
        <v>26</v>
      </c>
      <c r="F17" s="1" t="s">
        <v>24</v>
      </c>
      <c r="G17" s="1">
        <v>-0.77</v>
      </c>
      <c r="H17" s="15">
        <v>45450.955520833333</v>
      </c>
      <c r="I17" s="2">
        <f t="shared" si="7"/>
        <v>6.0413111111847684</v>
      </c>
      <c r="J17" s="21">
        <v>1.2278372643235342</v>
      </c>
      <c r="K17" s="21">
        <v>5.2583945269649295</v>
      </c>
      <c r="L17" s="21">
        <v>99.067906708738221</v>
      </c>
      <c r="N17" s="21">
        <v>0</v>
      </c>
      <c r="O17" s="21">
        <v>0</v>
      </c>
      <c r="P17" s="3">
        <f t="shared" si="8"/>
        <v>1.1632298664663194E-2</v>
      </c>
      <c r="Q17" s="3">
        <f t="shared" si="9"/>
        <v>4.9817037983438235E-2</v>
      </c>
      <c r="R17" s="3">
        <f t="shared" si="10"/>
        <v>0.93855066335189863</v>
      </c>
      <c r="S17" s="3">
        <f t="shared" si="11"/>
        <v>0</v>
      </c>
      <c r="T17" s="4">
        <f t="shared" si="4"/>
        <v>0.12499511787576142</v>
      </c>
      <c r="U17" s="5">
        <f t="shared" si="5"/>
        <v>0.53531006333918285</v>
      </c>
      <c r="V17" s="14"/>
      <c r="W17" s="3">
        <f t="shared" si="1"/>
        <v>0.6603051812149443</v>
      </c>
      <c r="X17" s="3">
        <f t="shared" si="6"/>
        <v>5.0403344743188985E-2</v>
      </c>
    </row>
    <row r="18" spans="1:25" ht="15.6" x14ac:dyDescent="0.3">
      <c r="A18" s="1" t="s">
        <v>23</v>
      </c>
      <c r="B18" s="1">
        <v>60</v>
      </c>
      <c r="C18" s="12">
        <f>+'Flow rate'!E17</f>
        <v>61.860207000000003</v>
      </c>
      <c r="D18" s="1" t="s">
        <v>27</v>
      </c>
      <c r="E18" s="1" t="s">
        <v>26</v>
      </c>
      <c r="F18" s="1" t="s">
        <v>24</v>
      </c>
      <c r="G18" s="1">
        <v>-0.77</v>
      </c>
      <c r="H18" s="15">
        <v>45450.971168981479</v>
      </c>
      <c r="I18" s="2">
        <f t="shared" si="7"/>
        <v>6.4168666666955687</v>
      </c>
      <c r="J18" s="21">
        <v>1.7697398078128315</v>
      </c>
      <c r="K18" s="21">
        <v>7.0212727744728225</v>
      </c>
      <c r="L18" s="21">
        <v>96.456059215353548</v>
      </c>
      <c r="N18" s="21">
        <v>0</v>
      </c>
      <c r="O18" s="21">
        <v>0</v>
      </c>
      <c r="P18" s="3">
        <f t="shared" si="8"/>
        <v>1.6815097822536554E-2</v>
      </c>
      <c r="Q18" s="3">
        <f t="shared" si="9"/>
        <v>6.6712286190467832E-2</v>
      </c>
      <c r="R18" s="3">
        <f t="shared" si="10"/>
        <v>0.91647261598699559</v>
      </c>
      <c r="S18" s="3">
        <f t="shared" si="11"/>
        <v>0</v>
      </c>
      <c r="T18" s="4">
        <f t="shared" si="4"/>
        <v>0.17879374237820864</v>
      </c>
      <c r="U18" s="5">
        <f t="shared" si="5"/>
        <v>0.70934700686745911</v>
      </c>
      <c r="V18" s="14"/>
      <c r="W18" s="3">
        <f t="shared" si="1"/>
        <v>0.88814074924566777</v>
      </c>
      <c r="X18" s="3">
        <f t="shared" si="6"/>
        <v>6.7853245145160265E-2</v>
      </c>
      <c r="Y18">
        <f t="shared" ref="Y18" si="19">+SUM(K18:L18)</f>
        <v>103.47733198982637</v>
      </c>
    </row>
    <row r="19" spans="1:25" ht="15.6" x14ac:dyDescent="0.3">
      <c r="A19" s="1" t="s">
        <v>23</v>
      </c>
      <c r="B19" s="1">
        <v>60</v>
      </c>
      <c r="C19" s="12">
        <f>+'Flow rate'!E18</f>
        <v>62.275471000000003</v>
      </c>
      <c r="D19" s="1" t="s">
        <v>27</v>
      </c>
      <c r="E19" s="1" t="s">
        <v>26</v>
      </c>
      <c r="F19" s="1" t="s">
        <v>24</v>
      </c>
      <c r="G19" s="1">
        <v>-0.77</v>
      </c>
      <c r="H19" s="15">
        <v>45450.986793981479</v>
      </c>
      <c r="I19" s="2">
        <f t="shared" si="7"/>
        <v>6.7918666666955687</v>
      </c>
      <c r="J19" s="21">
        <v>1.8784783188395708</v>
      </c>
      <c r="K19" s="21">
        <v>7.1349497523542231</v>
      </c>
      <c r="L19" s="21">
        <v>96.175648428262804</v>
      </c>
      <c r="N19" s="21">
        <v>0</v>
      </c>
      <c r="O19" s="21">
        <v>1.9312667649495479E-4</v>
      </c>
      <c r="P19" s="3">
        <f t="shared" si="8"/>
        <v>1.7858079303298861E-2</v>
      </c>
      <c r="Q19" s="3">
        <f t="shared" si="9"/>
        <v>6.7829634883039669E-2</v>
      </c>
      <c r="R19" s="3">
        <f t="shared" si="10"/>
        <v>0.91431044982148102</v>
      </c>
      <c r="S19" s="3">
        <f t="shared" si="11"/>
        <v>0</v>
      </c>
      <c r="T19" s="4">
        <f t="shared" si="4"/>
        <v>0.19115836873700551</v>
      </c>
      <c r="U19" s="5">
        <f t="shared" si="5"/>
        <v>0.72606925616425877</v>
      </c>
      <c r="V19" s="14"/>
      <c r="W19" s="3">
        <f t="shared" si="1"/>
        <v>0.9172276249012643</v>
      </c>
      <c r="X19" s="3">
        <f t="shared" si="6"/>
        <v>6.906309592632745E-2</v>
      </c>
    </row>
    <row r="20" spans="1:25" ht="15.6" x14ac:dyDescent="0.3">
      <c r="A20" s="1" t="s">
        <v>23</v>
      </c>
      <c r="B20" s="1">
        <v>60</v>
      </c>
      <c r="C20" s="12">
        <f>+'Flow rate'!E19</f>
        <v>62.665090999999997</v>
      </c>
      <c r="D20" s="1" t="s">
        <v>27</v>
      </c>
      <c r="E20" s="1" t="s">
        <v>26</v>
      </c>
      <c r="F20" s="1" t="s">
        <v>24</v>
      </c>
      <c r="G20" s="1">
        <v>-0.77</v>
      </c>
      <c r="H20" s="15">
        <v>45451.002430555556</v>
      </c>
      <c r="I20" s="2">
        <f t="shared" si="7"/>
        <v>7.1671444445382804</v>
      </c>
      <c r="J20" s="21">
        <v>1.9744218927237644</v>
      </c>
      <c r="K20" s="21">
        <v>7.1104867619352339</v>
      </c>
      <c r="L20" s="21">
        <v>96.040976026079392</v>
      </c>
      <c r="N20" s="21">
        <v>0</v>
      </c>
      <c r="O20" s="21">
        <v>0</v>
      </c>
      <c r="P20" s="3">
        <f t="shared" si="8"/>
        <v>1.8781500852239928E-2</v>
      </c>
      <c r="Q20" s="3">
        <f t="shared" si="9"/>
        <v>6.7637830430910484E-2</v>
      </c>
      <c r="R20" s="3">
        <f t="shared" si="10"/>
        <v>0.91358066871684951</v>
      </c>
      <c r="S20" s="3">
        <f t="shared" si="11"/>
        <v>0</v>
      </c>
      <c r="T20" s="4">
        <f t="shared" si="4"/>
        <v>0.20230076109461675</v>
      </c>
      <c r="U20" s="5">
        <f t="shared" si="5"/>
        <v>0.72854585384905135</v>
      </c>
      <c r="V20" s="14"/>
      <c r="W20" s="3">
        <f t="shared" si="1"/>
        <v>0.93084661494366805</v>
      </c>
      <c r="X20" s="3">
        <f t="shared" si="6"/>
        <v>6.8932485974996904E-2</v>
      </c>
      <c r="Y20">
        <f t="shared" ref="Y20" si="20">+SUM(K20:L20)</f>
        <v>103.15146278801463</v>
      </c>
    </row>
    <row r="21" spans="1:25" ht="15.6" x14ac:dyDescent="0.3">
      <c r="A21" s="1" t="s">
        <v>23</v>
      </c>
      <c r="B21" s="1">
        <v>60</v>
      </c>
      <c r="C21" s="12">
        <f>+'Flow rate'!E20</f>
        <v>62.350099999999998</v>
      </c>
      <c r="D21" s="1" t="s">
        <v>27</v>
      </c>
      <c r="E21" s="1" t="s">
        <v>26</v>
      </c>
      <c r="F21" s="1" t="s">
        <v>24</v>
      </c>
      <c r="G21" s="1">
        <v>-0.77</v>
      </c>
      <c r="H21" s="15">
        <v>45451.018067129633</v>
      </c>
      <c r="I21" s="2">
        <f t="shared" si="7"/>
        <v>7.542422222380992</v>
      </c>
      <c r="J21" s="21">
        <v>2.044372515112812</v>
      </c>
      <c r="K21" s="21">
        <v>7.0512096614370545</v>
      </c>
      <c r="L21" s="21">
        <v>95.975047558241741</v>
      </c>
      <c r="N21" s="21">
        <v>0</v>
      </c>
      <c r="O21" s="21">
        <v>0</v>
      </c>
      <c r="P21" s="3">
        <f t="shared" si="8"/>
        <v>1.9457126318486957E-2</v>
      </c>
      <c r="Q21" s="3">
        <f t="shared" si="9"/>
        <v>6.7109235751560511E-2</v>
      </c>
      <c r="R21" s="3">
        <f t="shared" si="10"/>
        <v>0.91343363792995247</v>
      </c>
      <c r="S21" s="3">
        <f t="shared" si="11"/>
        <v>0</v>
      </c>
      <c r="T21" s="4">
        <f t="shared" si="4"/>
        <v>0.20852464977750748</v>
      </c>
      <c r="U21" s="5">
        <f t="shared" si="5"/>
        <v>0.71921874036630862</v>
      </c>
      <c r="V21" s="14"/>
      <c r="W21" s="3">
        <f t="shared" si="1"/>
        <v>0.92774339014381613</v>
      </c>
      <c r="X21" s="3">
        <f t="shared" si="6"/>
        <v>6.8440898968134309E-2</v>
      </c>
    </row>
    <row r="22" spans="1:25" ht="15.6" x14ac:dyDescent="0.3">
      <c r="A22" s="1" t="s">
        <v>23</v>
      </c>
      <c r="B22" s="1">
        <v>60</v>
      </c>
      <c r="C22" s="12">
        <f>+'Flow rate'!E21</f>
        <v>62.803992999999998</v>
      </c>
      <c r="D22" s="1" t="s">
        <v>27</v>
      </c>
      <c r="E22" s="1" t="s">
        <v>26</v>
      </c>
      <c r="F22" s="1" t="s">
        <v>24</v>
      </c>
      <c r="G22" s="1">
        <v>-0.77</v>
      </c>
      <c r="H22" s="15">
        <v>45451.033692129633</v>
      </c>
      <c r="I22" s="2">
        <f t="shared" si="7"/>
        <v>7.917422222380992</v>
      </c>
      <c r="J22" s="21">
        <v>2.1064790866284229</v>
      </c>
      <c r="K22" s="21">
        <v>6.9901003933051244</v>
      </c>
      <c r="L22" s="21">
        <v>96.013253426431831</v>
      </c>
      <c r="N22" s="21">
        <v>0</v>
      </c>
      <c r="O22" s="21">
        <v>0</v>
      </c>
      <c r="P22" s="3">
        <f t="shared" si="8"/>
        <v>2.0040742415649449E-2</v>
      </c>
      <c r="Q22" s="3">
        <f t="shared" si="9"/>
        <v>6.6502820906699484E-2</v>
      </c>
      <c r="R22" s="3">
        <f t="shared" si="10"/>
        <v>0.91345643667765097</v>
      </c>
      <c r="S22" s="3">
        <f t="shared" si="11"/>
        <v>0</v>
      </c>
      <c r="T22" s="4">
        <f t="shared" si="4"/>
        <v>0.21634288172140079</v>
      </c>
      <c r="U22" s="5">
        <f t="shared" si="5"/>
        <v>0.71790813030572764</v>
      </c>
      <c r="V22" s="14"/>
      <c r="W22" s="3">
        <f t="shared" si="1"/>
        <v>0.93425101202712846</v>
      </c>
      <c r="X22" s="3">
        <f t="shared" si="6"/>
        <v>6.7862842655961347E-2</v>
      </c>
      <c r="Y22">
        <f t="shared" ref="Y22" si="21">+SUM(K22:L22)</f>
        <v>103.00335381973696</v>
      </c>
    </row>
    <row r="23" spans="1:25" ht="15.6" x14ac:dyDescent="0.3">
      <c r="A23" s="1" t="s">
        <v>23</v>
      </c>
      <c r="B23" s="1">
        <v>60</v>
      </c>
      <c r="C23" s="12">
        <f>+'Flow rate'!E22</f>
        <v>63.229970000000002</v>
      </c>
      <c r="D23" s="1" t="s">
        <v>27</v>
      </c>
      <c r="E23" s="1" t="s">
        <v>26</v>
      </c>
      <c r="F23" s="1" t="s">
        <v>24</v>
      </c>
      <c r="G23" s="1">
        <v>-1.1000000000000001</v>
      </c>
      <c r="H23" s="15">
        <v>45451.049340277779</v>
      </c>
      <c r="I23" s="2">
        <f t="shared" si="7"/>
        <v>8.2929777778917924</v>
      </c>
      <c r="J23" s="21">
        <v>3.0723645630314294</v>
      </c>
      <c r="K23" s="21">
        <v>8.0266431999614216</v>
      </c>
      <c r="L23" s="21">
        <v>93.520058705122963</v>
      </c>
      <c r="N23" s="21">
        <v>0</v>
      </c>
      <c r="O23" s="21">
        <v>0</v>
      </c>
      <c r="P23" s="3">
        <f t="shared" si="8"/>
        <v>2.936715712300661E-2</v>
      </c>
      <c r="Q23" s="3">
        <f t="shared" si="9"/>
        <v>7.6722565694157266E-2</v>
      </c>
      <c r="R23" s="3">
        <f t="shared" si="10"/>
        <v>0.89391027718283611</v>
      </c>
      <c r="S23" s="3">
        <f t="shared" si="11"/>
        <v>0</v>
      </c>
      <c r="T23" s="4">
        <f t="shared" si="4"/>
        <v>0.22342124641075675</v>
      </c>
      <c r="U23" s="5">
        <f t="shared" si="5"/>
        <v>0.58369460766738446</v>
      </c>
      <c r="V23" s="14"/>
      <c r="W23" s="3">
        <f t="shared" si="1"/>
        <v>0.80711585407814124</v>
      </c>
      <c r="X23" s="3">
        <f t="shared" si="6"/>
        <v>7.9043859124680566E-2</v>
      </c>
    </row>
    <row r="24" spans="1:25" ht="15.6" x14ac:dyDescent="0.3">
      <c r="A24" s="1" t="s">
        <v>23</v>
      </c>
      <c r="B24" s="1">
        <v>60</v>
      </c>
      <c r="C24" s="12">
        <f>+'Flow rate'!E23</f>
        <v>63.497439999999997</v>
      </c>
      <c r="D24" s="1" t="s">
        <v>27</v>
      </c>
      <c r="E24" s="1" t="s">
        <v>26</v>
      </c>
      <c r="F24" s="1" t="s">
        <v>24</v>
      </c>
      <c r="G24" s="1">
        <v>-1.1000000000000001</v>
      </c>
      <c r="H24" s="15">
        <v>45451.064988425926</v>
      </c>
      <c r="I24" s="2">
        <f t="shared" si="7"/>
        <v>8.6685333334025927</v>
      </c>
      <c r="J24" s="21">
        <v>3.3417614353036145</v>
      </c>
      <c r="K24" s="21">
        <v>8.2467606072966344</v>
      </c>
      <c r="L24" s="21">
        <v>92.885848958801304</v>
      </c>
      <c r="N24" s="21">
        <v>0</v>
      </c>
      <c r="O24" s="21">
        <v>1.5325021686417822E-3</v>
      </c>
      <c r="P24" s="3">
        <f t="shared" si="8"/>
        <v>3.1985953920842795E-2</v>
      </c>
      <c r="Q24" s="3">
        <f t="shared" si="9"/>
        <v>7.8934570850730398E-2</v>
      </c>
      <c r="R24" s="3">
        <f t="shared" si="10"/>
        <v>0.88906480675352251</v>
      </c>
      <c r="S24" s="3">
        <f t="shared" si="11"/>
        <v>0</v>
      </c>
      <c r="T24" s="4">
        <f t="shared" si="4"/>
        <v>0.24437406401738226</v>
      </c>
      <c r="U24" s="5">
        <f t="shared" si="5"/>
        <v>0.60306351712998163</v>
      </c>
      <c r="V24" s="14"/>
      <c r="W24" s="3">
        <f t="shared" si="1"/>
        <v>0.84743758114736389</v>
      </c>
      <c r="X24" s="3">
        <f t="shared" si="6"/>
        <v>8.1544030582012636E-2</v>
      </c>
      <c r="Y24">
        <f t="shared" ref="Y24" si="22">+SUM(K24:L24)</f>
        <v>101.13260956609794</v>
      </c>
    </row>
    <row r="25" spans="1:25" ht="15.6" x14ac:dyDescent="0.3">
      <c r="A25" s="1" t="s">
        <v>23</v>
      </c>
      <c r="B25" s="1">
        <v>60</v>
      </c>
      <c r="C25" s="12">
        <f>+'Flow rate'!E24</f>
        <v>63.887307999999997</v>
      </c>
      <c r="D25" s="1" t="s">
        <v>27</v>
      </c>
      <c r="E25" s="1" t="s">
        <v>26</v>
      </c>
      <c r="F25" s="1" t="s">
        <v>24</v>
      </c>
      <c r="G25" s="1">
        <v>-1.1000000000000001</v>
      </c>
      <c r="H25" s="15">
        <v>45451.087893518517</v>
      </c>
      <c r="I25" s="2">
        <f t="shared" si="7"/>
        <v>9.2182555556064472</v>
      </c>
      <c r="J25" s="21">
        <v>3.4357017509318468</v>
      </c>
      <c r="K25" s="21">
        <v>8.2406219314475617</v>
      </c>
      <c r="L25" s="21">
        <v>92.799926984999018</v>
      </c>
      <c r="N25" s="21">
        <v>0</v>
      </c>
      <c r="O25" s="21">
        <v>2.0610594528943925E-4</v>
      </c>
      <c r="P25" s="3">
        <f t="shared" si="8"/>
        <v>3.2884937497316566E-2</v>
      </c>
      <c r="Q25" s="3">
        <f t="shared" si="9"/>
        <v>7.8875396294561778E-2</v>
      </c>
      <c r="R25" s="3">
        <f t="shared" si="10"/>
        <v>0.88823769345797621</v>
      </c>
      <c r="S25" s="3">
        <f t="shared" si="11"/>
        <v>0</v>
      </c>
      <c r="T25" s="4">
        <f t="shared" si="4"/>
        <v>0.25278494031256155</v>
      </c>
      <c r="U25" s="5">
        <f t="shared" si="5"/>
        <v>0.60631139548546908</v>
      </c>
      <c r="V25" s="14"/>
      <c r="W25" s="3">
        <f t="shared" si="1"/>
        <v>0.85909633579803057</v>
      </c>
      <c r="X25" s="3">
        <f t="shared" si="6"/>
        <v>8.1557572873658626E-2</v>
      </c>
    </row>
    <row r="26" spans="1:25" ht="15.6" x14ac:dyDescent="0.3">
      <c r="A26" s="1" t="s">
        <v>23</v>
      </c>
      <c r="B26" s="1">
        <v>60</v>
      </c>
      <c r="C26" s="12">
        <f>+'Flow rate'!E25</f>
        <v>63.919117</v>
      </c>
      <c r="D26" s="1" t="s">
        <v>27</v>
      </c>
      <c r="E26" s="1" t="s">
        <v>26</v>
      </c>
      <c r="F26" s="1" t="s">
        <v>24</v>
      </c>
      <c r="G26" s="1">
        <v>-1.1000000000000001</v>
      </c>
      <c r="H26" s="15">
        <v>45451.103530092594</v>
      </c>
      <c r="I26" s="2">
        <f t="shared" si="7"/>
        <v>9.5935333334491588</v>
      </c>
      <c r="J26" s="21">
        <v>3.488421741461941</v>
      </c>
      <c r="K26" s="21">
        <v>8.2001942840900082</v>
      </c>
      <c r="L26" s="21">
        <v>92.689735503519159</v>
      </c>
      <c r="N26" s="21">
        <v>0</v>
      </c>
      <c r="O26" s="21">
        <v>0</v>
      </c>
      <c r="P26" s="3">
        <f t="shared" si="8"/>
        <v>3.342093154719307E-2</v>
      </c>
      <c r="Q26" s="3">
        <f t="shared" si="9"/>
        <v>7.8562212987298596E-2</v>
      </c>
      <c r="R26" s="3">
        <f t="shared" si="10"/>
        <v>0.88801685546550835</v>
      </c>
      <c r="S26" s="3">
        <f t="shared" si="11"/>
        <v>0</v>
      </c>
      <c r="T26" s="4">
        <f t="shared" si="4"/>
        <v>0.25703301199220119</v>
      </c>
      <c r="U26" s="5">
        <f t="shared" si="5"/>
        <v>0.60420464954377218</v>
      </c>
      <c r="V26" s="14"/>
      <c r="W26" s="3">
        <f t="shared" si="1"/>
        <v>0.86123766153597336</v>
      </c>
      <c r="X26" s="3">
        <f t="shared" si="6"/>
        <v>8.1278620188881517E-2</v>
      </c>
      <c r="Y26">
        <f t="shared" ref="Y26" si="23">+SUM(K26:L26)</f>
        <v>100.88992978760916</v>
      </c>
    </row>
    <row r="27" spans="1:25" ht="15.6" x14ac:dyDescent="0.3">
      <c r="A27" s="1" t="s">
        <v>23</v>
      </c>
      <c r="B27" s="1">
        <v>60</v>
      </c>
      <c r="C27" s="12">
        <f>+'Flow rate'!E26</f>
        <v>63.362752999999998</v>
      </c>
      <c r="D27" s="1" t="s">
        <v>27</v>
      </c>
      <c r="E27" s="1" t="s">
        <v>26</v>
      </c>
      <c r="F27" s="1" t="s">
        <v>24</v>
      </c>
      <c r="G27" s="1">
        <v>-1.1000000000000001</v>
      </c>
      <c r="H27" s="15">
        <v>45451.119155092594</v>
      </c>
      <c r="I27" s="2">
        <f t="shared" si="7"/>
        <v>9.9685333334491588</v>
      </c>
      <c r="J27" s="21">
        <v>3.5519974032705028</v>
      </c>
      <c r="K27" s="21">
        <v>8.1778961574739011</v>
      </c>
      <c r="L27" s="21">
        <v>92.72947929192992</v>
      </c>
      <c r="N27" s="21">
        <v>0</v>
      </c>
      <c r="O27" s="21">
        <v>0</v>
      </c>
      <c r="P27" s="3">
        <f t="shared" si="8"/>
        <v>3.4003625584466318E-2</v>
      </c>
      <c r="Q27" s="3">
        <f t="shared" si="9"/>
        <v>7.8287815962744742E-2</v>
      </c>
      <c r="R27" s="3">
        <f t="shared" si="10"/>
        <v>0.88770855845278895</v>
      </c>
      <c r="S27" s="3">
        <f t="shared" si="11"/>
        <v>0</v>
      </c>
      <c r="T27" s="4">
        <f t="shared" si="4"/>
        <v>0.25923811298144556</v>
      </c>
      <c r="U27" s="5">
        <f t="shared" si="5"/>
        <v>0.59685358048678117</v>
      </c>
      <c r="V27" s="14"/>
      <c r="W27" s="3">
        <f t="shared" si="1"/>
        <v>0.85609169346822678</v>
      </c>
      <c r="X27" s="3">
        <f t="shared" si="6"/>
        <v>8.1043591918356833E-2</v>
      </c>
    </row>
    <row r="28" spans="1:25" ht="15.6" x14ac:dyDescent="0.3">
      <c r="A28" s="1" t="s">
        <v>23</v>
      </c>
      <c r="B28" s="1">
        <v>60</v>
      </c>
      <c r="C28" s="12">
        <f>+'Flow rate'!E27</f>
        <v>66.982322999999994</v>
      </c>
      <c r="D28" s="1" t="s">
        <v>27</v>
      </c>
      <c r="E28" s="1" t="s">
        <v>26</v>
      </c>
      <c r="F28" s="1" t="s">
        <v>24</v>
      </c>
      <c r="G28" s="1">
        <v>-1.52</v>
      </c>
      <c r="H28" s="15">
        <v>45451.134768518517</v>
      </c>
      <c r="I28" s="2">
        <f t="shared" si="7"/>
        <v>10.343255555606447</v>
      </c>
      <c r="J28" s="21">
        <v>6.3621696931019907</v>
      </c>
      <c r="K28" s="21">
        <v>9.7069607065480916</v>
      </c>
      <c r="L28" s="21">
        <v>87.597373666893063</v>
      </c>
      <c r="N28" s="21">
        <v>0</v>
      </c>
      <c r="O28" s="21">
        <v>0</v>
      </c>
      <c r="P28" s="3">
        <f t="shared" si="8"/>
        <v>6.1371508091158718E-2</v>
      </c>
      <c r="Q28" s="3">
        <f t="shared" si="9"/>
        <v>9.3636423779827962E-2</v>
      </c>
      <c r="R28" s="3">
        <f t="shared" si="10"/>
        <v>0.8449920681290134</v>
      </c>
      <c r="S28" s="3">
        <f t="shared" si="11"/>
        <v>0</v>
      </c>
      <c r="T28" s="4">
        <f t="shared" si="4"/>
        <v>0.35794449324993172</v>
      </c>
      <c r="U28" s="5">
        <f t="shared" si="5"/>
        <v>0.54612707593598853</v>
      </c>
      <c r="V28" s="14"/>
      <c r="W28" s="3">
        <f t="shared" si="1"/>
        <v>0.90407156918592024</v>
      </c>
      <c r="X28" s="3">
        <f t="shared" si="6"/>
        <v>9.975876993612702E-2</v>
      </c>
      <c r="Y28">
        <f t="shared" ref="Y28" si="24">+SUM(K28:L28)</f>
        <v>97.304334373441151</v>
      </c>
    </row>
    <row r="29" spans="1:25" ht="15.6" x14ac:dyDescent="0.3">
      <c r="A29" s="1" t="s">
        <v>23</v>
      </c>
      <c r="B29" s="1">
        <v>60</v>
      </c>
      <c r="C29" s="12">
        <f>+'Flow rate'!E28</f>
        <v>65.652154999999993</v>
      </c>
      <c r="D29" s="1" t="s">
        <v>27</v>
      </c>
      <c r="E29" s="1" t="s">
        <v>26</v>
      </c>
      <c r="F29" s="1" t="s">
        <v>24</v>
      </c>
      <c r="G29" s="1">
        <v>-1.52</v>
      </c>
      <c r="H29" s="15">
        <v>45451.150405092594</v>
      </c>
      <c r="I29" s="2">
        <f t="shared" si="7"/>
        <v>10.718533333449159</v>
      </c>
      <c r="J29" s="21">
        <v>6.8646790794722472</v>
      </c>
      <c r="K29" s="21">
        <v>9.9460780873498731</v>
      </c>
      <c r="L29" s="21">
        <v>86.941892117323505</v>
      </c>
      <c r="N29" s="21">
        <v>0</v>
      </c>
      <c r="O29" s="21">
        <v>0</v>
      </c>
      <c r="P29" s="3">
        <f t="shared" si="8"/>
        <v>6.61638919761178E-2</v>
      </c>
      <c r="Q29" s="3">
        <f t="shared" si="9"/>
        <v>9.5863364993319031E-2</v>
      </c>
      <c r="R29" s="3">
        <f t="shared" si="10"/>
        <v>0.83797274303056313</v>
      </c>
      <c r="S29" s="3">
        <f t="shared" si="11"/>
        <v>0</v>
      </c>
      <c r="T29" s="4">
        <f t="shared" si="4"/>
        <v>0.37823238826672728</v>
      </c>
      <c r="U29" s="5">
        <f t="shared" si="5"/>
        <v>0.54801234337598781</v>
      </c>
      <c r="V29" s="14"/>
      <c r="W29" s="3">
        <f t="shared" si="1"/>
        <v>0.92624473164271515</v>
      </c>
      <c r="X29" s="3">
        <f t="shared" si="6"/>
        <v>0.10265544903396195</v>
      </c>
    </row>
    <row r="30" spans="1:25" ht="15.6" x14ac:dyDescent="0.3">
      <c r="A30" s="1" t="s">
        <v>23</v>
      </c>
      <c r="B30" s="1">
        <v>60</v>
      </c>
      <c r="C30" s="12">
        <f>+'Flow rate'!E29</f>
        <v>66.669768000000005</v>
      </c>
      <c r="D30" s="1" t="s">
        <v>27</v>
      </c>
      <c r="E30" s="1" t="s">
        <v>26</v>
      </c>
      <c r="F30" s="1" t="s">
        <v>24</v>
      </c>
      <c r="G30" s="1">
        <v>-1.52</v>
      </c>
      <c r="H30" s="15">
        <v>45451.166041666664</v>
      </c>
      <c r="I30" s="2">
        <f t="shared" si="7"/>
        <v>11.093811111117247</v>
      </c>
      <c r="J30" s="21">
        <v>6.9425541981042072</v>
      </c>
      <c r="K30" s="21">
        <v>10.013097263099937</v>
      </c>
      <c r="L30" s="21">
        <v>86.756965122035936</v>
      </c>
      <c r="N30" s="21">
        <v>0</v>
      </c>
      <c r="O30" s="21">
        <v>0</v>
      </c>
      <c r="P30" s="3">
        <f t="shared" si="8"/>
        <v>6.6940305112561604E-2</v>
      </c>
      <c r="Q30" s="3">
        <f t="shared" si="9"/>
        <v>9.6546568710503919E-2</v>
      </c>
      <c r="R30" s="3">
        <f t="shared" si="10"/>
        <v>0.83651312617693452</v>
      </c>
      <c r="S30" s="3">
        <f t="shared" si="11"/>
        <v>0</v>
      </c>
      <c r="T30" s="4">
        <f t="shared" si="4"/>
        <v>0.3886022549005767</v>
      </c>
      <c r="U30" s="5">
        <f t="shared" si="5"/>
        <v>0.56047271133179899</v>
      </c>
      <c r="V30" s="14"/>
      <c r="W30" s="3">
        <f t="shared" si="1"/>
        <v>0.94907496623237564</v>
      </c>
      <c r="X30" s="3">
        <f t="shared" si="6"/>
        <v>0.10347308884899482</v>
      </c>
      <c r="Y30">
        <f t="shared" ref="Y30" si="25">+SUM(K30:L30)</f>
        <v>96.770062385135873</v>
      </c>
    </row>
    <row r="31" spans="1:25" ht="15.6" x14ac:dyDescent="0.3">
      <c r="A31" s="1" t="s">
        <v>23</v>
      </c>
      <c r="B31" s="1">
        <v>60</v>
      </c>
      <c r="C31" s="12">
        <f>+'Flow rate'!E30</f>
        <v>66.510446000000002</v>
      </c>
      <c r="D31" s="1" t="s">
        <v>27</v>
      </c>
      <c r="E31" s="1" t="s">
        <v>26</v>
      </c>
      <c r="F31" s="1" t="s">
        <v>24</v>
      </c>
      <c r="G31" s="1">
        <v>-1.52</v>
      </c>
      <c r="H31" s="15">
        <v>45451.181666666664</v>
      </c>
      <c r="I31" s="2">
        <f t="shared" si="7"/>
        <v>11.468811111117247</v>
      </c>
      <c r="J31" s="21">
        <v>7.0536596672002663</v>
      </c>
      <c r="K31" s="21">
        <v>9.9943272974099155</v>
      </c>
      <c r="L31" s="21">
        <v>86.653911477608247</v>
      </c>
      <c r="N31" s="21">
        <v>0</v>
      </c>
      <c r="O31" s="21">
        <v>0</v>
      </c>
      <c r="P31" s="3">
        <f t="shared" si="8"/>
        <v>6.8018616564965662E-2</v>
      </c>
      <c r="Q31" s="3">
        <f t="shared" si="9"/>
        <v>9.6375548061722757E-2</v>
      </c>
      <c r="R31" s="3">
        <f t="shared" si="10"/>
        <v>0.83560583537331146</v>
      </c>
      <c r="S31" s="3">
        <f t="shared" si="11"/>
        <v>0</v>
      </c>
      <c r="T31" s="4">
        <f t="shared" si="4"/>
        <v>0.39391846558180704</v>
      </c>
      <c r="U31" s="5">
        <f t="shared" si="5"/>
        <v>0.55814290159546864</v>
      </c>
      <c r="V31" s="14"/>
      <c r="W31" s="3">
        <f t="shared" si="1"/>
        <v>0.95206136717727574</v>
      </c>
      <c r="X31" s="3">
        <f t="shared" si="6"/>
        <v>0.10340930599547843</v>
      </c>
    </row>
    <row r="32" spans="1:25" ht="15.6" x14ac:dyDescent="0.3">
      <c r="A32" s="1" t="s">
        <v>23</v>
      </c>
      <c r="B32" s="1">
        <v>60</v>
      </c>
      <c r="C32" s="12">
        <f>+'Flow rate'!E31</f>
        <v>66.259631999999996</v>
      </c>
      <c r="D32" s="1" t="s">
        <v>27</v>
      </c>
      <c r="E32" s="1" t="s">
        <v>26</v>
      </c>
      <c r="F32" s="1" t="s">
        <v>24</v>
      </c>
      <c r="G32" s="1">
        <v>-1.52</v>
      </c>
      <c r="H32" s="15">
        <v>45451.197291666664</v>
      </c>
      <c r="I32" s="2">
        <f t="shared" si="7"/>
        <v>11.843811111117247</v>
      </c>
      <c r="J32" s="21">
        <v>7.1593696979815888</v>
      </c>
      <c r="K32" s="21">
        <v>9.9691238419505748</v>
      </c>
      <c r="L32" s="21">
        <v>86.513202627913245</v>
      </c>
      <c r="N32" s="21">
        <v>0</v>
      </c>
      <c r="O32" s="21">
        <v>0</v>
      </c>
      <c r="P32" s="3">
        <f t="shared" si="8"/>
        <v>6.9078083075629612E-2</v>
      </c>
      <c r="Q32" s="3">
        <f t="shared" si="9"/>
        <v>9.6188350929782174E-2</v>
      </c>
      <c r="R32" s="3">
        <f t="shared" si="10"/>
        <v>0.83473356599458814</v>
      </c>
      <c r="S32" s="3">
        <f t="shared" si="11"/>
        <v>0</v>
      </c>
      <c r="T32" s="4">
        <f t="shared" si="4"/>
        <v>0.39854556601211866</v>
      </c>
      <c r="U32" s="5">
        <f t="shared" si="5"/>
        <v>0.55495808595486185</v>
      </c>
      <c r="V32" s="14"/>
      <c r="W32" s="3">
        <f t="shared" si="1"/>
        <v>0.9535036519669805</v>
      </c>
      <c r="X32" s="3">
        <f t="shared" si="6"/>
        <v>0.1033259064815816</v>
      </c>
      <c r="Y32">
        <f t="shared" ref="Y32" si="26">+SUM(K32:L32)</f>
        <v>96.482326469863821</v>
      </c>
    </row>
    <row r="33" spans="1:25" ht="15.6" x14ac:dyDescent="0.3">
      <c r="A33" s="1" t="s">
        <v>23</v>
      </c>
      <c r="B33" s="1">
        <v>60</v>
      </c>
      <c r="C33" s="12">
        <f>+'Flow rate'!E32</f>
        <v>70.249458000000004</v>
      </c>
      <c r="D33" s="1" t="s">
        <v>27</v>
      </c>
      <c r="E33" s="1" t="s">
        <v>26</v>
      </c>
      <c r="F33" s="1" t="s">
        <v>24</v>
      </c>
      <c r="G33" s="1">
        <v>-2.1</v>
      </c>
      <c r="H33" s="15">
        <v>45451.212939814817</v>
      </c>
      <c r="I33" s="2">
        <f t="shared" si="7"/>
        <v>12.219366666802671</v>
      </c>
      <c r="J33" s="21">
        <v>10.086306683214071</v>
      </c>
      <c r="K33" s="21">
        <v>10.145886149217368</v>
      </c>
      <c r="L33" s="21">
        <v>82.864370236668279</v>
      </c>
      <c r="N33" s="21">
        <v>3.4509507464904589E-2</v>
      </c>
      <c r="O33" s="21">
        <v>0</v>
      </c>
      <c r="P33" s="3">
        <f t="shared" si="8"/>
        <v>9.7800851200553415E-2</v>
      </c>
      <c r="Q33" s="3">
        <f t="shared" si="9"/>
        <v>9.8378557458374649E-2</v>
      </c>
      <c r="R33" s="3">
        <f t="shared" si="10"/>
        <v>0.80348597339710282</v>
      </c>
      <c r="S33" s="3">
        <f t="shared" si="11"/>
        <v>3.3461794396916303E-4</v>
      </c>
      <c r="T33" s="4">
        <f t="shared" si="4"/>
        <v>0.43301066252870835</v>
      </c>
      <c r="U33" s="5">
        <f t="shared" si="5"/>
        <v>0.43556844159070435</v>
      </c>
      <c r="V33" s="14"/>
      <c r="W33" s="3">
        <f t="shared" si="1"/>
        <v>0.86857910411941264</v>
      </c>
      <c r="X33" s="3">
        <f t="shared" si="6"/>
        <v>0.10908351985531149</v>
      </c>
    </row>
    <row r="34" spans="1:25" ht="15.6" x14ac:dyDescent="0.3">
      <c r="A34" s="1" t="s">
        <v>23</v>
      </c>
      <c r="B34" s="1">
        <v>60</v>
      </c>
      <c r="C34" s="12">
        <f>+'Flow rate'!E33</f>
        <v>69.459522000000007</v>
      </c>
      <c r="D34" s="1" t="s">
        <v>27</v>
      </c>
      <c r="E34" s="1" t="s">
        <v>26</v>
      </c>
      <c r="F34" s="1" t="s">
        <v>24</v>
      </c>
      <c r="G34" s="1">
        <v>-2.1</v>
      </c>
      <c r="H34" s="15">
        <v>45451.235856481479</v>
      </c>
      <c r="I34" s="2">
        <f t="shared" si="7"/>
        <v>12.769366666674614</v>
      </c>
      <c r="J34" s="21">
        <v>11.486303615224257</v>
      </c>
      <c r="K34" s="21">
        <v>10.104627834216085</v>
      </c>
      <c r="L34" s="21">
        <v>81.352186155259417</v>
      </c>
      <c r="N34" s="21">
        <v>5.1613187326616822E-2</v>
      </c>
      <c r="O34" s="21">
        <v>0</v>
      </c>
      <c r="P34" s="3">
        <f t="shared" si="8"/>
        <v>0.11152321606061716</v>
      </c>
      <c r="Q34" s="3">
        <f t="shared" si="9"/>
        <v>9.8108201812964618E-2</v>
      </c>
      <c r="R34" s="3">
        <f t="shared" si="10"/>
        <v>0.78986745758412646</v>
      </c>
      <c r="S34" s="3">
        <f t="shared" si="11"/>
        <v>5.0112454229175581E-4</v>
      </c>
      <c r="T34" s="4">
        <f t="shared" si="4"/>
        <v>0.4882138024887131</v>
      </c>
      <c r="U34" s="5">
        <f t="shared" si="5"/>
        <v>0.42948706067087622</v>
      </c>
      <c r="V34" s="14"/>
      <c r="W34" s="3">
        <f t="shared" si="1"/>
        <v>0.91770086315958932</v>
      </c>
      <c r="X34" s="3">
        <f t="shared" si="6"/>
        <v>0.11048523771426026</v>
      </c>
      <c r="Y34">
        <f t="shared" ref="Y34" si="27">+SUM(K34:L34)</f>
        <v>91.456813989475506</v>
      </c>
    </row>
    <row r="35" spans="1:25" ht="15.6" x14ac:dyDescent="0.3">
      <c r="A35" s="1" t="s">
        <v>23</v>
      </c>
      <c r="B35" s="1">
        <v>60</v>
      </c>
      <c r="C35" s="12">
        <f>+'Flow rate'!E34</f>
        <v>70.175048000000004</v>
      </c>
      <c r="D35" s="1" t="s">
        <v>27</v>
      </c>
      <c r="E35" s="1" t="s">
        <v>26</v>
      </c>
      <c r="F35" s="1" t="s">
        <v>24</v>
      </c>
      <c r="G35" s="1">
        <v>-2.1</v>
      </c>
      <c r="H35" s="15">
        <v>45451.251481481479</v>
      </c>
      <c r="I35" s="2">
        <f t="shared" si="7"/>
        <v>13.144366666674614</v>
      </c>
      <c r="J35" s="21">
        <v>11.586428658304174</v>
      </c>
      <c r="K35" s="21">
        <v>10.115871191061858</v>
      </c>
      <c r="L35" s="21">
        <v>81.146775219567587</v>
      </c>
      <c r="N35" s="21">
        <v>5.3872443590615694E-2</v>
      </c>
      <c r="O35" s="21">
        <v>0</v>
      </c>
      <c r="P35" s="3">
        <f t="shared" si="8"/>
        <v>0.11259569272196016</v>
      </c>
      <c r="Q35" s="3">
        <f t="shared" si="9"/>
        <v>9.830497022284676E-2</v>
      </c>
      <c r="R35" s="3">
        <f t="shared" si="10"/>
        <v>0.78857581032546498</v>
      </c>
      <c r="S35" s="3">
        <f t="shared" si="11"/>
        <v>5.2352672972811513E-4</v>
      </c>
      <c r="T35" s="4">
        <f t="shared" si="4"/>
        <v>0.49798639004429501</v>
      </c>
      <c r="U35" s="5">
        <f t="shared" si="5"/>
        <v>0.43478161607455085</v>
      </c>
      <c r="V35" s="14"/>
      <c r="W35" s="3">
        <f t="shared" si="1"/>
        <v>0.93276800611884592</v>
      </c>
      <c r="X35" s="3">
        <f t="shared" si="6"/>
        <v>0.11084350047823786</v>
      </c>
    </row>
    <row r="36" spans="1:25" ht="15.6" x14ac:dyDescent="0.3">
      <c r="A36" s="1" t="s">
        <v>23</v>
      </c>
      <c r="B36" s="1">
        <v>60</v>
      </c>
      <c r="C36" s="12">
        <f>+'Flow rate'!E35</f>
        <v>69.936409999999995</v>
      </c>
      <c r="D36" s="1" t="s">
        <v>27</v>
      </c>
      <c r="E36" s="1" t="s">
        <v>26</v>
      </c>
      <c r="F36" s="1" t="s">
        <v>24</v>
      </c>
      <c r="G36" s="1">
        <v>-2.1</v>
      </c>
      <c r="H36" s="15">
        <v>45451.267118055555</v>
      </c>
      <c r="I36" s="2">
        <f t="shared" si="7"/>
        <v>13.519644444517326</v>
      </c>
      <c r="J36" s="21">
        <v>11.701145910334617</v>
      </c>
      <c r="K36" s="21">
        <v>10.098831069722149</v>
      </c>
      <c r="L36" s="21">
        <v>81.013934124602883</v>
      </c>
      <c r="N36" s="21">
        <v>5.9667272262294631E-2</v>
      </c>
      <c r="O36" s="21">
        <v>0</v>
      </c>
      <c r="P36" s="3">
        <f t="shared" si="8"/>
        <v>0.11374296583193011</v>
      </c>
      <c r="Q36" s="3">
        <f t="shared" si="9"/>
        <v>9.8167393698707597E-2</v>
      </c>
      <c r="R36" s="3">
        <f t="shared" si="10"/>
        <v>0.78750963466803137</v>
      </c>
      <c r="S36" s="3">
        <f t="shared" si="11"/>
        <v>5.8000580133100565E-4</v>
      </c>
      <c r="T36" s="4">
        <f t="shared" si="4"/>
        <v>0.50134981792263211</v>
      </c>
      <c r="U36" s="5">
        <f t="shared" si="5"/>
        <v>0.43269669114756226</v>
      </c>
      <c r="V36" s="14"/>
      <c r="W36" s="3">
        <f t="shared" si="1"/>
        <v>0.93404650907019438</v>
      </c>
      <c r="X36" s="3">
        <f t="shared" si="6"/>
        <v>0.11083881658276304</v>
      </c>
      <c r="Y36">
        <f t="shared" ref="Y36" si="28">+SUM(K36:L36)</f>
        <v>91.112765194325036</v>
      </c>
    </row>
    <row r="37" spans="1:25" ht="15.6" x14ac:dyDescent="0.3">
      <c r="A37" s="1" t="s">
        <v>23</v>
      </c>
      <c r="B37" s="1">
        <v>60</v>
      </c>
      <c r="C37" s="12">
        <f>+'Flow rate'!E36</f>
        <v>69.231514000000004</v>
      </c>
      <c r="D37" s="1" t="s">
        <v>27</v>
      </c>
      <c r="E37" s="1" t="s">
        <v>26</v>
      </c>
      <c r="F37" s="1" t="s">
        <v>24</v>
      </c>
      <c r="G37" s="1">
        <v>-2.1</v>
      </c>
      <c r="H37" s="15">
        <v>45451.282743055555</v>
      </c>
      <c r="I37" s="2">
        <f t="shared" si="7"/>
        <v>13.894644444517326</v>
      </c>
      <c r="J37" s="21">
        <v>11.793134291297724</v>
      </c>
      <c r="K37" s="21">
        <v>10.022166753324624</v>
      </c>
      <c r="L37" s="21">
        <v>80.918105731246769</v>
      </c>
      <c r="N37" s="21">
        <v>6.1819684630961734E-2</v>
      </c>
      <c r="O37" s="21">
        <v>0</v>
      </c>
      <c r="P37" s="3">
        <f t="shared" si="8"/>
        <v>0.11472453242592286</v>
      </c>
      <c r="Q37" s="3">
        <f t="shared" si="9"/>
        <v>9.7496421754328502E-2</v>
      </c>
      <c r="R37" s="3">
        <f t="shared" si="10"/>
        <v>0.78717765909431825</v>
      </c>
      <c r="S37" s="3">
        <f t="shared" si="11"/>
        <v>6.013867254304505E-4</v>
      </c>
      <c r="T37" s="4">
        <f t="shared" si="4"/>
        <v>0.50057955008689059</v>
      </c>
      <c r="U37" s="5">
        <f t="shared" si="5"/>
        <v>0.42540783479223582</v>
      </c>
      <c r="V37" s="14"/>
      <c r="W37" s="3">
        <f t="shared" si="1"/>
        <v>0.92598738487912646</v>
      </c>
      <c r="X37" s="3">
        <f t="shared" si="6"/>
        <v>0.11020603391115801</v>
      </c>
    </row>
    <row r="38" spans="1:25" ht="15.6" x14ac:dyDescent="0.3">
      <c r="A38" s="1" t="s">
        <v>23</v>
      </c>
      <c r="B38" s="1">
        <v>60</v>
      </c>
      <c r="C38" s="12">
        <f>+'Flow rate'!E37</f>
        <v>80.137281000000002</v>
      </c>
      <c r="D38" s="1" t="s">
        <v>27</v>
      </c>
      <c r="E38" s="1" t="s">
        <v>26</v>
      </c>
      <c r="F38" s="1" t="s">
        <v>24</v>
      </c>
      <c r="G38" s="1">
        <v>-3.1</v>
      </c>
      <c r="H38" s="15">
        <v>45451.298379629632</v>
      </c>
      <c r="I38" s="2">
        <f t="shared" si="7"/>
        <v>14.269922222360037</v>
      </c>
      <c r="J38" s="21">
        <v>18.589291390452676</v>
      </c>
      <c r="K38" s="21">
        <v>9.7050158390038224</v>
      </c>
      <c r="L38" s="21">
        <v>73.229362237797758</v>
      </c>
      <c r="N38" s="21">
        <v>0.39777697283809504</v>
      </c>
      <c r="O38" s="21">
        <v>0</v>
      </c>
      <c r="P38" s="3">
        <f t="shared" si="8"/>
        <v>0.18238841813709086</v>
      </c>
      <c r="Q38" s="3">
        <f t="shared" si="9"/>
        <v>9.5220546587398175E-2</v>
      </c>
      <c r="R38" s="3">
        <f t="shared" si="10"/>
        <v>0.71848825537263838</v>
      </c>
      <c r="S38" s="3">
        <f t="shared" si="11"/>
        <v>3.9027799028725657E-3</v>
      </c>
      <c r="T38" s="4">
        <f t="shared" si="4"/>
        <v>0.6240256463370647</v>
      </c>
      <c r="U38" s="5">
        <f t="shared" si="5"/>
        <v>0.32578857657566324</v>
      </c>
      <c r="V38" s="14"/>
      <c r="W38" s="3">
        <f t="shared" si="1"/>
        <v>0.94981422291272799</v>
      </c>
      <c r="X38" s="3">
        <f t="shared" si="6"/>
        <v>0.11702042101306251</v>
      </c>
      <c r="Y38">
        <f t="shared" ref="Y38" si="29">+SUM(K38:L38)</f>
        <v>82.934378076801579</v>
      </c>
    </row>
    <row r="39" spans="1:25" ht="15.6" x14ac:dyDescent="0.3">
      <c r="A39" s="1" t="s">
        <v>23</v>
      </c>
      <c r="B39" s="1">
        <v>60</v>
      </c>
      <c r="C39" s="12">
        <f>+'Flow rate'!E38</f>
        <v>79.949128999999999</v>
      </c>
      <c r="D39" s="1" t="s">
        <v>27</v>
      </c>
      <c r="E39" s="1" t="s">
        <v>26</v>
      </c>
      <c r="F39" s="1" t="s">
        <v>24</v>
      </c>
      <c r="G39" s="1">
        <v>-3.1</v>
      </c>
      <c r="H39" s="15">
        <v>45451.314016203702</v>
      </c>
      <c r="I39" s="2">
        <f t="shared" si="7"/>
        <v>14.645200000028126</v>
      </c>
      <c r="J39" s="21">
        <v>19.837770902991537</v>
      </c>
      <c r="K39" s="21">
        <v>9.5870608921294291</v>
      </c>
      <c r="L39" s="21">
        <v>71.739253425731533</v>
      </c>
      <c r="N39" s="21">
        <v>0.43929892967112627</v>
      </c>
      <c r="O39" s="21">
        <v>0</v>
      </c>
      <c r="P39" s="3">
        <f t="shared" si="8"/>
        <v>0.19524714721708705</v>
      </c>
      <c r="Q39" s="3">
        <f t="shared" si="9"/>
        <v>9.4357692632819859E-2</v>
      </c>
      <c r="R39" s="3">
        <f t="shared" si="10"/>
        <v>0.70607149580225692</v>
      </c>
      <c r="S39" s="3">
        <f t="shared" si="11"/>
        <v>4.3236643478362161E-3</v>
      </c>
      <c r="T39" s="4">
        <f t="shared" si="4"/>
        <v>0.66645221055117432</v>
      </c>
      <c r="U39" s="5">
        <f t="shared" si="5"/>
        <v>0.32207842078087834</v>
      </c>
      <c r="V39" s="14"/>
      <c r="W39" s="3">
        <f t="shared" si="1"/>
        <v>0.98853063133205266</v>
      </c>
      <c r="X39" s="3">
        <f t="shared" si="6"/>
        <v>0.11788387279741644</v>
      </c>
    </row>
    <row r="40" spans="1:25" ht="15.6" x14ac:dyDescent="0.3">
      <c r="A40" s="1" t="s">
        <v>23</v>
      </c>
      <c r="B40" s="1">
        <v>60</v>
      </c>
      <c r="C40" s="12">
        <f>+'Flow rate'!E39</f>
        <v>79.927308999999994</v>
      </c>
      <c r="D40" s="1" t="s">
        <v>27</v>
      </c>
      <c r="E40" s="1" t="s">
        <v>26</v>
      </c>
      <c r="F40" s="1" t="s">
        <v>24</v>
      </c>
      <c r="G40" s="1">
        <v>-3.1</v>
      </c>
      <c r="H40" s="15">
        <v>45451.329641203702</v>
      </c>
      <c r="I40" s="2">
        <f t="shared" si="7"/>
        <v>15.020200000028126</v>
      </c>
      <c r="J40" s="21">
        <v>20.042033914712256</v>
      </c>
      <c r="K40" s="21">
        <v>9.7761794014984993</v>
      </c>
      <c r="L40" s="21">
        <v>71.374925144461457</v>
      </c>
      <c r="N40" s="21">
        <v>0.44285727014529197</v>
      </c>
      <c r="O40" s="21">
        <v>0</v>
      </c>
      <c r="P40" s="3">
        <f t="shared" si="8"/>
        <v>0.19719424964156887</v>
      </c>
      <c r="Q40" s="3">
        <f t="shared" si="9"/>
        <v>9.618815982666877E-2</v>
      </c>
      <c r="R40" s="3">
        <f t="shared" si="10"/>
        <v>0.70226030287042818</v>
      </c>
      <c r="S40" s="3">
        <f t="shared" si="11"/>
        <v>4.3572876613340566E-3</v>
      </c>
      <c r="T40" s="4">
        <f t="shared" si="4"/>
        <v>0.6729147016647562</v>
      </c>
      <c r="U40" s="5">
        <f t="shared" si="5"/>
        <v>0.32823688820082231</v>
      </c>
      <c r="V40" s="14"/>
      <c r="W40" s="3">
        <f t="shared" si="1"/>
        <v>1.0011515898655785</v>
      </c>
      <c r="X40" s="3">
        <f t="shared" si="6"/>
        <v>0.12046883965654166</v>
      </c>
      <c r="Y40">
        <f t="shared" ref="Y40" si="30">+SUM(K40:L40)</f>
        <v>81.151104545959953</v>
      </c>
    </row>
    <row r="41" spans="1:25" ht="15.6" x14ac:dyDescent="0.3">
      <c r="A41" s="1" t="s">
        <v>23</v>
      </c>
      <c r="B41" s="1">
        <v>60</v>
      </c>
      <c r="C41" s="12">
        <f>+'Flow rate'!E40</f>
        <v>79.997320000000002</v>
      </c>
      <c r="D41" s="1" t="s">
        <v>27</v>
      </c>
      <c r="E41" s="1" t="s">
        <v>26</v>
      </c>
      <c r="F41" s="1" t="s">
        <v>24</v>
      </c>
      <c r="G41" s="1">
        <v>-3.1</v>
      </c>
      <c r="H41" s="15">
        <v>45451.345266203702</v>
      </c>
      <c r="I41" s="2">
        <f t="shared" si="7"/>
        <v>15.395200000028126</v>
      </c>
      <c r="J41" s="21">
        <v>20.258905763500213</v>
      </c>
      <c r="K41" s="21">
        <v>9.5320676931236914</v>
      </c>
      <c r="L41" s="21">
        <v>71.237136895154421</v>
      </c>
      <c r="N41" s="21">
        <v>0.43947123175760416</v>
      </c>
      <c r="O41" s="21">
        <v>0</v>
      </c>
      <c r="P41" s="3">
        <f t="shared" si="8"/>
        <v>0.19965890038308956</v>
      </c>
      <c r="Q41" s="3">
        <f t="shared" si="9"/>
        <v>9.3942001419203613E-2</v>
      </c>
      <c r="R41" s="3">
        <f t="shared" si="10"/>
        <v>0.7020679490277052</v>
      </c>
      <c r="S41" s="3">
        <f t="shared" si="11"/>
        <v>4.3311491700016285E-3</v>
      </c>
      <c r="T41" s="4">
        <f t="shared" si="4"/>
        <v>0.68192198438800944</v>
      </c>
      <c r="U41" s="5">
        <f t="shared" si="5"/>
        <v>0.32085279395132987</v>
      </c>
      <c r="V41" s="14"/>
      <c r="W41" s="3">
        <f t="shared" si="1"/>
        <v>1.0027747783393393</v>
      </c>
      <c r="X41" s="3">
        <f t="shared" si="6"/>
        <v>0.11801611445492757</v>
      </c>
    </row>
    <row r="42" spans="1:25" ht="15.6" x14ac:dyDescent="0.3">
      <c r="A42" s="1" t="s">
        <v>23</v>
      </c>
      <c r="B42" s="1">
        <v>60</v>
      </c>
      <c r="C42" s="12">
        <f>+'Flow rate'!E41</f>
        <v>80.162018000000003</v>
      </c>
      <c r="D42" s="1" t="s">
        <v>27</v>
      </c>
      <c r="E42" s="1" t="s">
        <v>26</v>
      </c>
      <c r="F42" s="1" t="s">
        <v>24</v>
      </c>
      <c r="G42" s="1">
        <v>-3.1</v>
      </c>
      <c r="H42" s="15">
        <v>45451.360902777778</v>
      </c>
      <c r="I42" s="2">
        <f t="shared" si="7"/>
        <v>15.770477777870838</v>
      </c>
      <c r="J42" s="21">
        <v>20.491491127510098</v>
      </c>
      <c r="K42" s="21">
        <v>9.3253550095580433</v>
      </c>
      <c r="L42" s="21">
        <v>71.07739566859874</v>
      </c>
      <c r="N42" s="21">
        <v>0.43246696813754598</v>
      </c>
      <c r="O42" s="21">
        <v>0</v>
      </c>
      <c r="P42" s="3">
        <f t="shared" si="8"/>
        <v>0.20223188313807819</v>
      </c>
      <c r="Q42" s="3">
        <f t="shared" si="9"/>
        <v>9.2032546229991519E-2</v>
      </c>
      <c r="R42" s="3">
        <f t="shared" si="10"/>
        <v>0.70146752548005475</v>
      </c>
      <c r="S42" s="3">
        <f t="shared" si="11"/>
        <v>4.2680451518755918E-3</v>
      </c>
      <c r="T42" s="4">
        <f t="shared" si="4"/>
        <v>0.69213186884109834</v>
      </c>
      <c r="U42" s="5">
        <f t="shared" si="5"/>
        <v>0.31497831710777852</v>
      </c>
      <c r="V42" s="14"/>
      <c r="W42" s="3">
        <f t="shared" si="1"/>
        <v>1.0071101859488769</v>
      </c>
      <c r="X42" s="3">
        <f t="shared" si="6"/>
        <v>0.11598303454674576</v>
      </c>
      <c r="Y42">
        <f t="shared" ref="Y42" si="31">+SUM(K42:L42)</f>
        <v>80.402750678156778</v>
      </c>
    </row>
    <row r="43" spans="1:25" ht="15.6" x14ac:dyDescent="0.3">
      <c r="A43" s="1" t="s">
        <v>23</v>
      </c>
      <c r="B43" s="1">
        <v>60</v>
      </c>
      <c r="C43" s="12">
        <f>+'Flow rate'!E42</f>
        <v>65.565786000000003</v>
      </c>
      <c r="D43" s="1" t="s">
        <v>27</v>
      </c>
      <c r="E43" s="1" t="s">
        <v>26</v>
      </c>
      <c r="F43" s="1" t="s">
        <v>24</v>
      </c>
      <c r="G43" s="1">
        <v>-0.5</v>
      </c>
      <c r="H43" s="15">
        <v>45451.383831018517</v>
      </c>
      <c r="I43" s="2">
        <f t="shared" si="7"/>
        <v>16.320755555585492</v>
      </c>
      <c r="J43" s="21">
        <v>10.611607700543402</v>
      </c>
      <c r="K43" s="21">
        <v>8.6945246729886296</v>
      </c>
      <c r="L43" s="21">
        <v>83.572922650203083</v>
      </c>
      <c r="N43" s="21">
        <v>5.6927633512180782E-2</v>
      </c>
      <c r="O43" s="21">
        <v>4.654747728248693E-3</v>
      </c>
      <c r="P43" s="3">
        <f t="shared" si="8"/>
        <v>0.10308472890833781</v>
      </c>
      <c r="Q43" s="3">
        <f t="shared" si="9"/>
        <v>8.4461539117771073E-2</v>
      </c>
      <c r="R43" s="3">
        <f t="shared" si="10"/>
        <v>0.81185549999483164</v>
      </c>
      <c r="S43" s="3">
        <f t="shared" si="11"/>
        <v>5.5301419291026502E-4</v>
      </c>
      <c r="T43" s="4">
        <f t="shared" si="4"/>
        <v>1.7890969426993817</v>
      </c>
      <c r="U43" s="5">
        <f t="shared" si="5"/>
        <v>1.4658803783211605</v>
      </c>
      <c r="V43" s="14"/>
      <c r="W43" s="3">
        <f t="shared" si="1"/>
        <v>3.2549773210205419</v>
      </c>
      <c r="X43" s="3">
        <f t="shared" si="6"/>
        <v>9.4231767814424328E-2</v>
      </c>
    </row>
    <row r="44" spans="1:25" ht="15.6" x14ac:dyDescent="0.3">
      <c r="A44" s="1" t="s">
        <v>23</v>
      </c>
      <c r="B44" s="1">
        <v>60</v>
      </c>
      <c r="C44" s="12">
        <f>+'Flow rate'!E43</f>
        <v>67.327571000000006</v>
      </c>
      <c r="D44" s="1" t="s">
        <v>27</v>
      </c>
      <c r="E44" s="1" t="s">
        <v>26</v>
      </c>
      <c r="F44" s="1" t="s">
        <v>24</v>
      </c>
      <c r="G44" s="1">
        <v>-0.5</v>
      </c>
      <c r="H44" s="15">
        <v>45451.399467592593</v>
      </c>
      <c r="I44" s="2">
        <f t="shared" si="7"/>
        <v>16.696033333428204</v>
      </c>
      <c r="J44" s="21">
        <v>9.2564062473465309</v>
      </c>
      <c r="K44" s="21">
        <v>8.3574042705120934</v>
      </c>
      <c r="L44" s="21">
        <v>85.554823608857205</v>
      </c>
      <c r="N44" s="21">
        <v>9.4758997800696507E-3</v>
      </c>
      <c r="O44" s="21">
        <v>2.1574728778563437E-3</v>
      </c>
      <c r="P44" s="3">
        <f t="shared" si="8"/>
        <v>8.9711012305746463E-2</v>
      </c>
      <c r="Q44" s="3">
        <f t="shared" si="9"/>
        <v>8.0998086873178707E-2</v>
      </c>
      <c r="R44" s="3">
        <f t="shared" si="10"/>
        <v>0.8291781527836849</v>
      </c>
      <c r="S44" s="3">
        <f t="shared" si="11"/>
        <v>9.1838294372779798E-5</v>
      </c>
      <c r="T44" s="4">
        <f t="shared" si="4"/>
        <v>1.5988251543338956</v>
      </c>
      <c r="U44" s="5">
        <f t="shared" si="5"/>
        <v>1.4435438350021266</v>
      </c>
      <c r="V44" s="14"/>
      <c r="W44" s="3">
        <f t="shared" si="1"/>
        <v>3.0423689893360222</v>
      </c>
      <c r="X44" s="3">
        <f t="shared" si="6"/>
        <v>8.8991651664863267E-2</v>
      </c>
      <c r="Y44">
        <f t="shared" ref="Y44" si="32">+SUM(K44:L44)</f>
        <v>93.912227879369297</v>
      </c>
    </row>
    <row r="45" spans="1:25" ht="15.6" x14ac:dyDescent="0.3">
      <c r="A45" s="1" t="s">
        <v>23</v>
      </c>
      <c r="B45" s="1">
        <v>60</v>
      </c>
      <c r="C45" s="12">
        <f>+'Flow rate'!E44</f>
        <v>68.667036999999993</v>
      </c>
      <c r="D45" s="1" t="s">
        <v>27</v>
      </c>
      <c r="E45" s="1" t="s">
        <v>26</v>
      </c>
      <c r="F45" s="1" t="s">
        <v>24</v>
      </c>
      <c r="G45" s="1">
        <v>-0.5</v>
      </c>
      <c r="H45" s="15">
        <v>45451.415092592593</v>
      </c>
      <c r="I45" s="2">
        <f t="shared" si="7"/>
        <v>17.071033333428204</v>
      </c>
      <c r="J45" s="21">
        <v>9.1541590362381609</v>
      </c>
      <c r="K45" s="21">
        <v>8.2331508309064159</v>
      </c>
      <c r="L45" s="21">
        <v>85.852542200482361</v>
      </c>
      <c r="N45" s="21">
        <v>6.7758679789472753E-3</v>
      </c>
      <c r="O45" s="21">
        <v>5.543649693733031E-4</v>
      </c>
      <c r="P45" s="3">
        <f t="shared" si="8"/>
        <v>8.8662555551282649E-2</v>
      </c>
      <c r="Q45" s="3">
        <f t="shared" si="9"/>
        <v>7.9742135789603458E-2</v>
      </c>
      <c r="R45" s="3">
        <f t="shared" si="10"/>
        <v>0.83152431172936736</v>
      </c>
      <c r="S45" s="3">
        <f t="shared" si="11"/>
        <v>6.5627630972254846E-5</v>
      </c>
      <c r="T45" s="4">
        <f t="shared" si="4"/>
        <v>1.6115761121859231</v>
      </c>
      <c r="U45" s="5">
        <f t="shared" si="5"/>
        <v>1.4494339845514637</v>
      </c>
      <c r="V45" s="14"/>
      <c r="W45" s="3">
        <f t="shared" si="1"/>
        <v>3.0610100967373866</v>
      </c>
      <c r="X45" s="3">
        <f t="shared" si="6"/>
        <v>8.750693719351868E-2</v>
      </c>
    </row>
    <row r="46" spans="1:25" ht="15.6" x14ac:dyDescent="0.3">
      <c r="A46" s="1" t="s">
        <v>23</v>
      </c>
      <c r="B46" s="1">
        <v>60</v>
      </c>
      <c r="C46" s="12">
        <f>+'Flow rate'!E45</f>
        <v>69.375398000000004</v>
      </c>
      <c r="D46" s="1" t="s">
        <v>27</v>
      </c>
      <c r="E46" s="1" t="s">
        <v>26</v>
      </c>
      <c r="F46" s="1" t="s">
        <v>24</v>
      </c>
      <c r="G46" s="1">
        <v>-0.5</v>
      </c>
      <c r="H46" s="15">
        <v>45451.430717592593</v>
      </c>
      <c r="I46" s="2">
        <f t="shared" si="7"/>
        <v>17.446033333428204</v>
      </c>
      <c r="J46" s="21">
        <v>9.1697124806015182</v>
      </c>
      <c r="K46" s="21">
        <v>8.2344433052383987</v>
      </c>
      <c r="L46" s="21">
        <v>86.135737397177849</v>
      </c>
      <c r="N46" s="21">
        <v>5.8322976402616841E-3</v>
      </c>
      <c r="O46" s="21">
        <v>4.0326089726554727E-3</v>
      </c>
      <c r="P46" s="3">
        <f t="shared" si="8"/>
        <v>8.8553683270456221E-2</v>
      </c>
      <c r="Q46" s="3">
        <f t="shared" si="9"/>
        <v>7.9521608327764726E-2</v>
      </c>
      <c r="R46" s="3">
        <f t="shared" si="10"/>
        <v>0.83182944109459345</v>
      </c>
      <c r="S46" s="3">
        <f t="shared" si="11"/>
        <v>5.6323624003190417E-5</v>
      </c>
      <c r="T46" s="4">
        <f t="shared" si="4"/>
        <v>1.6262016072583729</v>
      </c>
      <c r="U46" s="5">
        <f t="shared" si="5"/>
        <v>1.4603364027154553</v>
      </c>
      <c r="V46" s="14"/>
      <c r="W46" s="3">
        <f t="shared" si="1"/>
        <v>3.086538009973828</v>
      </c>
      <c r="X46" s="3">
        <f t="shared" si="6"/>
        <v>8.7256835198870869E-2</v>
      </c>
      <c r="Y46">
        <f t="shared" ref="Y46" si="33">+SUM(K46:L46)</f>
        <v>94.370180702416249</v>
      </c>
    </row>
    <row r="47" spans="1:25" ht="15.6" x14ac:dyDescent="0.3">
      <c r="A47" s="1" t="s">
        <v>23</v>
      </c>
      <c r="B47" s="1">
        <v>60</v>
      </c>
      <c r="C47" s="12">
        <f>+'Flow rate'!E46</f>
        <v>69.968148999999997</v>
      </c>
      <c r="D47" s="1" t="s">
        <v>27</v>
      </c>
      <c r="E47" s="1" t="s">
        <v>26</v>
      </c>
      <c r="F47" s="1" t="s">
        <v>24</v>
      </c>
      <c r="G47" s="1">
        <v>-0.5</v>
      </c>
      <c r="H47" s="15">
        <v>45451.44635416667</v>
      </c>
      <c r="I47" s="2">
        <f t="shared" si="7"/>
        <v>17.821311111270916</v>
      </c>
      <c r="J47" s="21">
        <v>9.1912312407935453</v>
      </c>
      <c r="K47" s="21">
        <v>8.1528532290713436</v>
      </c>
      <c r="L47" s="21">
        <v>86.41443508848198</v>
      </c>
      <c r="N47" s="21">
        <v>4.9828827431891709E-3</v>
      </c>
      <c r="O47" s="21">
        <v>2.1513649569767403E-3</v>
      </c>
      <c r="P47" s="3">
        <f t="shared" si="8"/>
        <v>8.8576816158969909E-2</v>
      </c>
      <c r="Q47" s="3">
        <f t="shared" si="9"/>
        <v>7.856986324502134E-2</v>
      </c>
      <c r="R47" s="3">
        <f t="shared" si="10"/>
        <v>0.83278456713628013</v>
      </c>
      <c r="S47" s="3">
        <f t="shared" si="11"/>
        <v>4.802054013462775E-5</v>
      </c>
      <c r="T47" s="4">
        <f t="shared" si="4"/>
        <v>1.6405244944011785</v>
      </c>
      <c r="U47" s="5">
        <f t="shared" si="5"/>
        <v>1.455186478410756</v>
      </c>
      <c r="V47" s="14"/>
      <c r="W47" s="3">
        <f t="shared" si="1"/>
        <v>3.0957109728119345</v>
      </c>
      <c r="X47" s="3">
        <f t="shared" si="6"/>
        <v>8.6212192123923184E-2</v>
      </c>
    </row>
    <row r="48" spans="1:25" ht="15.6" x14ac:dyDescent="0.3">
      <c r="A48" s="1" t="s">
        <v>23</v>
      </c>
      <c r="B48" s="1">
        <v>60</v>
      </c>
      <c r="C48" s="12">
        <f>+'Flow rate'!E47</f>
        <v>69.330899000000002</v>
      </c>
      <c r="D48" s="1" t="s">
        <v>27</v>
      </c>
      <c r="E48" s="1" t="s">
        <v>26</v>
      </c>
      <c r="F48" s="1" t="s">
        <v>24</v>
      </c>
      <c r="G48" s="1">
        <v>-0.5</v>
      </c>
      <c r="H48" s="15">
        <v>45451.461967592593</v>
      </c>
      <c r="I48" s="2">
        <f t="shared" si="7"/>
        <v>18.196033333428204</v>
      </c>
      <c r="J48" s="21">
        <v>9.2320452645256559</v>
      </c>
      <c r="K48" s="21">
        <v>8.0597652998624039</v>
      </c>
      <c r="L48" s="21">
        <v>86.406021653889965</v>
      </c>
      <c r="N48" s="21">
        <v>3.0982323230895129E-3</v>
      </c>
      <c r="O48" s="21">
        <v>0</v>
      </c>
      <c r="P48" s="3">
        <f t="shared" si="8"/>
        <v>8.9025674354227952E-2</v>
      </c>
      <c r="Q48" s="3">
        <f t="shared" si="9"/>
        <v>7.7721243819521446E-2</v>
      </c>
      <c r="R48" s="3">
        <f t="shared" si="10"/>
        <v>0.83322320521560089</v>
      </c>
      <c r="S48" s="3">
        <f t="shared" si="11"/>
        <v>2.9876610649750963E-5</v>
      </c>
      <c r="T48" s="4">
        <f t="shared" si="4"/>
        <v>1.6338206176288654</v>
      </c>
      <c r="U48" s="5">
        <f t="shared" si="5"/>
        <v>1.4263589857779446</v>
      </c>
      <c r="V48" s="14"/>
      <c r="W48" s="3">
        <f t="shared" si="1"/>
        <v>3.0601796034068101</v>
      </c>
      <c r="X48" s="3">
        <f t="shared" si="6"/>
        <v>8.5319410971595719E-2</v>
      </c>
      <c r="Y48">
        <f t="shared" ref="Y48" si="34">+SUM(K48:L48)</f>
        <v>94.465786953752371</v>
      </c>
    </row>
    <row r="49" spans="1:25" ht="15.6" x14ac:dyDescent="0.3">
      <c r="A49" s="1" t="s">
        <v>23</v>
      </c>
      <c r="B49" s="1">
        <v>60</v>
      </c>
      <c r="C49" s="12">
        <f>+'Flow rate'!E48</f>
        <v>69.865042000000003</v>
      </c>
      <c r="D49" s="1" t="s">
        <v>27</v>
      </c>
      <c r="E49" s="1" t="s">
        <v>26</v>
      </c>
      <c r="F49" s="1" t="s">
        <v>24</v>
      </c>
      <c r="G49" s="1">
        <v>-0.5</v>
      </c>
      <c r="H49" s="15">
        <v>45451.47760416667</v>
      </c>
      <c r="I49" s="2">
        <f t="shared" si="7"/>
        <v>18.571311111270916</v>
      </c>
      <c r="J49" s="21">
        <v>9.2675665135422705</v>
      </c>
      <c r="K49" s="21">
        <v>7.9960234909261816</v>
      </c>
      <c r="L49" s="21">
        <v>86.288939744148678</v>
      </c>
      <c r="N49" s="21">
        <v>1.7125820268042435E-3</v>
      </c>
      <c r="O49" s="21">
        <v>0</v>
      </c>
      <c r="P49" s="3">
        <f t="shared" si="8"/>
        <v>8.9494802964724104E-2</v>
      </c>
      <c r="Q49" s="3">
        <f t="shared" si="9"/>
        <v>7.7215798319447373E-2</v>
      </c>
      <c r="R49" s="3">
        <f t="shared" si="10"/>
        <v>0.83327286069683237</v>
      </c>
      <c r="S49" s="3">
        <f t="shared" si="11"/>
        <v>1.6538018996228547E-5</v>
      </c>
      <c r="T49" s="4">
        <f t="shared" si="4"/>
        <v>1.6550838815665465</v>
      </c>
      <c r="U49" s="5">
        <f t="shared" si="5"/>
        <v>1.4280004979862861</v>
      </c>
      <c r="V49" s="14"/>
      <c r="W49" s="3">
        <f t="shared" si="1"/>
        <v>3.0830843795528327</v>
      </c>
      <c r="X49" s="3">
        <f t="shared" si="6"/>
        <v>8.4806985298283372E-2</v>
      </c>
    </row>
    <row r="50" spans="1:25" ht="15.6" x14ac:dyDescent="0.3">
      <c r="A50" s="1" t="s">
        <v>23</v>
      </c>
      <c r="B50" s="1">
        <v>60</v>
      </c>
      <c r="C50" s="12">
        <f>+'Flow rate'!E49</f>
        <v>69.612482999999997</v>
      </c>
      <c r="D50" s="1" t="s">
        <v>27</v>
      </c>
      <c r="E50" s="1" t="s">
        <v>26</v>
      </c>
      <c r="F50" s="1" t="s">
        <v>24</v>
      </c>
      <c r="G50" s="1">
        <v>-0.5</v>
      </c>
      <c r="H50" s="15">
        <v>45451.49324074074</v>
      </c>
      <c r="I50" s="2">
        <f t="shared" si="7"/>
        <v>18.946588888939004</v>
      </c>
      <c r="J50" s="21">
        <v>9.2895734203017977</v>
      </c>
      <c r="K50" s="21">
        <v>7.9908582667029817</v>
      </c>
      <c r="L50" s="21">
        <v>86.231013523631702</v>
      </c>
      <c r="N50" s="21">
        <v>2.274075749774937E-3</v>
      </c>
      <c r="O50" s="21">
        <v>0</v>
      </c>
      <c r="P50" s="3">
        <f t="shared" si="8"/>
        <v>8.9742436889943031E-2</v>
      </c>
      <c r="Q50" s="3">
        <f t="shared" si="9"/>
        <v>7.7196127448527579E-2</v>
      </c>
      <c r="R50" s="3">
        <f t="shared" si="10"/>
        <v>0.83303946682720043</v>
      </c>
      <c r="S50" s="3">
        <f t="shared" si="11"/>
        <v>2.1968834328939189E-5</v>
      </c>
      <c r="T50" s="4">
        <f t="shared" si="4"/>
        <v>1.6536639226658667</v>
      </c>
      <c r="U50" s="5">
        <f t="shared" si="5"/>
        <v>1.4224758693336985</v>
      </c>
      <c r="V50" s="14"/>
      <c r="W50" s="3">
        <f t="shared" si="1"/>
        <v>3.076139791999565</v>
      </c>
      <c r="X50" s="3">
        <f t="shared" si="6"/>
        <v>8.4808952686532033E-2</v>
      </c>
      <c r="Y50">
        <f t="shared" ref="Y50" si="35">+SUM(K50:L50)</f>
        <v>94.221871790334689</v>
      </c>
    </row>
    <row r="51" spans="1:25" ht="15.6" x14ac:dyDescent="0.3">
      <c r="A51" s="1" t="s">
        <v>23</v>
      </c>
      <c r="B51" s="1">
        <v>60</v>
      </c>
      <c r="C51" s="12">
        <f>+'Flow rate'!E50</f>
        <v>69.016347999999994</v>
      </c>
      <c r="D51" s="1" t="s">
        <v>27</v>
      </c>
      <c r="E51" s="1" t="s">
        <v>26</v>
      </c>
      <c r="F51" s="1" t="s">
        <v>24</v>
      </c>
      <c r="G51" s="1">
        <v>-0.5</v>
      </c>
      <c r="H51" s="15">
        <v>45451.50886574074</v>
      </c>
      <c r="I51" s="2">
        <f t="shared" si="7"/>
        <v>19.321588888939004</v>
      </c>
      <c r="J51" s="21">
        <v>9.3063421099190027</v>
      </c>
      <c r="K51" s="21">
        <v>7.8439870780240524</v>
      </c>
      <c r="L51" s="21">
        <v>86.294003116654821</v>
      </c>
      <c r="N51" s="21">
        <v>9.282695698395807E-4</v>
      </c>
      <c r="O51" s="21">
        <v>0</v>
      </c>
      <c r="P51" s="3">
        <f t="shared" si="8"/>
        <v>8.9963929311643848E-2</v>
      </c>
      <c r="Q51" s="3">
        <f t="shared" si="9"/>
        <v>7.5827418622046061E-2</v>
      </c>
      <c r="R51" s="3">
        <f t="shared" si="10"/>
        <v>0.83419967853224297</v>
      </c>
      <c r="S51" s="3">
        <f t="shared" si="11"/>
        <v>8.973534067073418E-6</v>
      </c>
      <c r="T51" s="4">
        <f t="shared" si="4"/>
        <v>1.6435490097923717</v>
      </c>
      <c r="U51" s="5">
        <f t="shared" si="5"/>
        <v>1.3852894126006716</v>
      </c>
      <c r="V51" s="14"/>
      <c r="W51" s="3">
        <f t="shared" si="1"/>
        <v>3.0288384223930436</v>
      </c>
      <c r="X51" s="3">
        <f t="shared" si="6"/>
        <v>8.3324352493637913E-2</v>
      </c>
    </row>
    <row r="52" spans="1:25" ht="15.6" x14ac:dyDescent="0.3">
      <c r="A52" s="1" t="s">
        <v>23</v>
      </c>
      <c r="B52" s="1">
        <v>60</v>
      </c>
      <c r="C52" s="12">
        <f>+'Flow rate'!E51</f>
        <v>68.687903000000006</v>
      </c>
      <c r="D52" s="1" t="s">
        <v>27</v>
      </c>
      <c r="E52" s="1" t="s">
        <v>26</v>
      </c>
      <c r="F52" s="1" t="s">
        <v>24</v>
      </c>
      <c r="G52" s="1">
        <v>-0.5</v>
      </c>
      <c r="H52" s="15">
        <v>45451.524502314816</v>
      </c>
      <c r="I52" s="2">
        <f t="shared" si="7"/>
        <v>19.696866666781716</v>
      </c>
      <c r="J52" s="21">
        <v>9.3505853466180096</v>
      </c>
      <c r="K52" s="21">
        <v>7.8043106828038233</v>
      </c>
      <c r="L52" s="21">
        <v>86.489448763442795</v>
      </c>
      <c r="N52" s="21">
        <v>6.7959959368991962E-4</v>
      </c>
      <c r="O52" s="21">
        <v>0</v>
      </c>
      <c r="P52" s="3">
        <f t="shared" si="8"/>
        <v>9.0217406975673403E-2</v>
      </c>
      <c r="Q52" s="3">
        <f t="shared" si="9"/>
        <v>7.5298459608174884E-2</v>
      </c>
      <c r="R52" s="3">
        <f t="shared" si="10"/>
        <v>0.83447757642417186</v>
      </c>
      <c r="S52" s="3">
        <f t="shared" si="11"/>
        <v>6.5569919798231075E-6</v>
      </c>
      <c r="T52" s="4">
        <f t="shared" si="4"/>
        <v>1.6403361907017036</v>
      </c>
      <c r="U52" s="5">
        <f t="shared" si="5"/>
        <v>1.3690793444405327</v>
      </c>
      <c r="V52" s="14"/>
      <c r="W52" s="3">
        <f t="shared" si="1"/>
        <v>3.009415535142236</v>
      </c>
      <c r="X52" s="3">
        <f t="shared" si="6"/>
        <v>8.2765929883756223E-2</v>
      </c>
      <c r="Y52">
        <f t="shared" ref="Y52" si="36">+SUM(K52:L52)</f>
        <v>94.293759446246611</v>
      </c>
    </row>
    <row r="53" spans="1:25" ht="15.6" x14ac:dyDescent="0.3">
      <c r="A53" s="1" t="s">
        <v>23</v>
      </c>
      <c r="B53" s="1">
        <v>60</v>
      </c>
      <c r="C53" s="12">
        <f>+'Flow rate'!E52</f>
        <v>68.494116000000005</v>
      </c>
      <c r="D53" s="1" t="s">
        <v>27</v>
      </c>
      <c r="E53" s="1" t="s">
        <v>26</v>
      </c>
      <c r="F53" s="1" t="s">
        <v>24</v>
      </c>
      <c r="G53" s="1">
        <v>-0.5</v>
      </c>
      <c r="H53" s="15">
        <v>45451.540138888886</v>
      </c>
      <c r="I53" s="2">
        <f t="shared" si="7"/>
        <v>20.072144444449805</v>
      </c>
      <c r="J53" s="21">
        <v>9.3887832752910327</v>
      </c>
      <c r="K53" s="21">
        <v>7.8008992940501196</v>
      </c>
      <c r="L53" s="21">
        <v>86.523727344145229</v>
      </c>
      <c r="N53" s="21">
        <v>0</v>
      </c>
      <c r="O53" s="21">
        <v>0</v>
      </c>
      <c r="P53" s="3">
        <f t="shared" si="8"/>
        <v>9.0526223013232182E-2</v>
      </c>
      <c r="Q53" s="3">
        <f t="shared" si="9"/>
        <v>7.5215917599829388E-2</v>
      </c>
      <c r="R53" s="3">
        <f t="shared" si="10"/>
        <v>0.83425785938693853</v>
      </c>
      <c r="S53" s="3">
        <f t="shared" si="11"/>
        <v>0</v>
      </c>
      <c r="T53" s="4">
        <f t="shared" si="4"/>
        <v>1.6413074256140801</v>
      </c>
      <c r="U53" s="5">
        <f t="shared" si="5"/>
        <v>1.3637202566479742</v>
      </c>
      <c r="V53" s="14"/>
      <c r="W53" s="3">
        <f t="shared" si="1"/>
        <v>3.0050276822620541</v>
      </c>
      <c r="X53" s="3">
        <f t="shared" si="6"/>
        <v>8.2702678739162497E-2</v>
      </c>
    </row>
    <row r="54" spans="1:25" ht="15.6" x14ac:dyDescent="0.3">
      <c r="A54" s="1" t="s">
        <v>23</v>
      </c>
      <c r="B54" s="1">
        <v>60</v>
      </c>
      <c r="C54" s="12">
        <f>+'Flow rate'!E53</f>
        <v>68.632547000000002</v>
      </c>
      <c r="D54" s="1" t="s">
        <v>27</v>
      </c>
      <c r="E54" s="1" t="s">
        <v>26</v>
      </c>
      <c r="F54" s="1" t="s">
        <v>24</v>
      </c>
      <c r="G54" s="1">
        <v>-0.5</v>
      </c>
      <c r="H54" s="15">
        <v>45451.555763888886</v>
      </c>
      <c r="I54" s="2">
        <f t="shared" si="7"/>
        <v>20.447144444449805</v>
      </c>
      <c r="J54" s="21">
        <v>9.4378487438848584</v>
      </c>
      <c r="K54" s="21">
        <v>7.6676119136016796</v>
      </c>
      <c r="L54" s="21">
        <v>86.517357338829541</v>
      </c>
      <c r="N54" s="21">
        <v>5.9291492389217104E-4</v>
      </c>
      <c r="O54" s="21">
        <v>0</v>
      </c>
      <c r="P54" s="3">
        <f t="shared" si="8"/>
        <v>9.1078344757141563E-2</v>
      </c>
      <c r="Q54" s="3">
        <f t="shared" si="9"/>
        <v>7.3994977063334424E-2</v>
      </c>
      <c r="R54" s="3">
        <f t="shared" si="10"/>
        <v>0.8349209563554818</v>
      </c>
      <c r="S54" s="3">
        <f t="shared" si="11"/>
        <v>5.7218240422527713E-6</v>
      </c>
      <c r="T54" s="4">
        <f t="shared" si="4"/>
        <v>1.6546552206329772</v>
      </c>
      <c r="U54" s="5">
        <f t="shared" si="5"/>
        <v>1.3442951277269819</v>
      </c>
      <c r="V54" s="14"/>
      <c r="W54" s="3">
        <f t="shared" si="1"/>
        <v>2.9989503483599593</v>
      </c>
      <c r="X54" s="3">
        <f t="shared" si="6"/>
        <v>8.1410144043804034E-2</v>
      </c>
      <c r="Y54">
        <f t="shared" ref="Y54" si="37">+SUM(K54:L54)</f>
        <v>94.184969252431216</v>
      </c>
    </row>
    <row r="55" spans="1:25" ht="15.6" x14ac:dyDescent="0.3">
      <c r="A55" s="1" t="s">
        <v>23</v>
      </c>
      <c r="B55" s="1">
        <v>60</v>
      </c>
      <c r="C55" s="12">
        <f>+'Flow rate'!E54</f>
        <v>68.254369999999994</v>
      </c>
      <c r="D55" s="1" t="s">
        <v>27</v>
      </c>
      <c r="E55" s="1" t="s">
        <v>26</v>
      </c>
      <c r="F55" s="1" t="s">
        <v>24</v>
      </c>
      <c r="G55" s="1">
        <v>-0.5</v>
      </c>
      <c r="H55" s="15">
        <v>45451.571388888886</v>
      </c>
      <c r="I55" s="2">
        <f t="shared" si="7"/>
        <v>20.822144444449805</v>
      </c>
      <c r="J55" s="21">
        <v>9.479938015636586</v>
      </c>
      <c r="K55" s="21">
        <v>7.5931532371812942</v>
      </c>
      <c r="L55" s="21">
        <v>86.538086296441122</v>
      </c>
      <c r="N55" s="21">
        <v>7.4467076621599626E-5</v>
      </c>
      <c r="O55" s="21">
        <v>0</v>
      </c>
      <c r="P55" s="3">
        <f t="shared" si="8"/>
        <v>9.1495255883424276E-2</v>
      </c>
      <c r="Q55" s="3">
        <f t="shared" si="9"/>
        <v>7.3285025413882057E-2</v>
      </c>
      <c r="R55" s="3">
        <f t="shared" si="10"/>
        <v>0.83521899998657778</v>
      </c>
      <c r="S55" s="3">
        <f t="shared" si="11"/>
        <v>7.1871611598573248E-7</v>
      </c>
      <c r="T55" s="4">
        <f t="shared" si="4"/>
        <v>1.6530702383988347</v>
      </c>
      <c r="U55" s="5">
        <f t="shared" si="5"/>
        <v>1.3240609391414133</v>
      </c>
      <c r="V55" s="14"/>
      <c r="W55" s="3">
        <f t="shared" si="1"/>
        <v>2.9771311775402483</v>
      </c>
      <c r="X55" s="3">
        <f t="shared" si="6"/>
        <v>8.066560341499722E-2</v>
      </c>
    </row>
    <row r="56" spans="1:25" ht="15.6" x14ac:dyDescent="0.3">
      <c r="A56" s="1" t="s">
        <v>23</v>
      </c>
      <c r="B56" s="1">
        <v>60</v>
      </c>
      <c r="C56" s="12">
        <f>+'Flow rate'!E55</f>
        <v>68.707367000000005</v>
      </c>
      <c r="D56" s="1" t="s">
        <v>27</v>
      </c>
      <c r="E56" s="1" t="s">
        <v>26</v>
      </c>
      <c r="F56" s="1" t="s">
        <v>24</v>
      </c>
      <c r="G56" s="1">
        <v>-0.5</v>
      </c>
      <c r="H56" s="15">
        <v>45451.587025462963</v>
      </c>
      <c r="I56" s="2">
        <f t="shared" si="7"/>
        <v>21.197422222292516</v>
      </c>
      <c r="J56" s="21">
        <v>9.5106218760110028</v>
      </c>
      <c r="K56" s="21">
        <v>7.5993392391780255</v>
      </c>
      <c r="L56" s="21">
        <v>86.485212280137389</v>
      </c>
      <c r="N56" s="21">
        <v>6.3216612184439913E-4</v>
      </c>
      <c r="O56" s="21">
        <v>0</v>
      </c>
      <c r="P56" s="3">
        <f t="shared" si="8"/>
        <v>9.1805086359116536E-2</v>
      </c>
      <c r="Q56" s="3">
        <f t="shared" si="9"/>
        <v>7.3355665299310285E-2</v>
      </c>
      <c r="R56" s="3">
        <f t="shared" si="10"/>
        <v>0.83483314610491977</v>
      </c>
      <c r="S56" s="3">
        <f t="shared" si="11"/>
        <v>6.1022366534852352E-6</v>
      </c>
      <c r="T56" s="4">
        <f t="shared" si="4"/>
        <v>1.6696764352387885</v>
      </c>
      <c r="U56" s="5">
        <f t="shared" si="5"/>
        <v>1.334133331811407</v>
      </c>
      <c r="V56" s="14"/>
      <c r="W56" s="3">
        <f t="shared" si="1"/>
        <v>3.0038097670501953</v>
      </c>
      <c r="X56" s="3">
        <f t="shared" si="6"/>
        <v>8.0771381873653222E-2</v>
      </c>
      <c r="Y56">
        <f t="shared" ref="Y56" si="38">+SUM(K56:L56)</f>
        <v>94.084551519315411</v>
      </c>
    </row>
    <row r="57" spans="1:25" ht="15.6" x14ac:dyDescent="0.3">
      <c r="A57" s="1" t="s">
        <v>23</v>
      </c>
      <c r="B57" s="1">
        <v>60</v>
      </c>
      <c r="C57" s="12">
        <f>+'Flow rate'!E56</f>
        <v>68.411311999999995</v>
      </c>
      <c r="D57" s="1" t="s">
        <v>27</v>
      </c>
      <c r="E57" s="1" t="s">
        <v>26</v>
      </c>
      <c r="F57" s="1" t="s">
        <v>24</v>
      </c>
      <c r="G57" s="1">
        <v>-0.5</v>
      </c>
      <c r="H57" s="15">
        <v>45451.602662037039</v>
      </c>
      <c r="I57" s="2">
        <f t="shared" si="7"/>
        <v>21.572700000135228</v>
      </c>
      <c r="J57" s="21">
        <v>9.562774627448265</v>
      </c>
      <c r="K57" s="21">
        <v>7.4985760237981918</v>
      </c>
      <c r="L57" s="21">
        <v>86.485281748318855</v>
      </c>
      <c r="N57" s="21">
        <v>0</v>
      </c>
      <c r="O57" s="21">
        <v>0</v>
      </c>
      <c r="P57" s="3">
        <f t="shared" si="8"/>
        <v>9.2352347979289859E-2</v>
      </c>
      <c r="Q57" s="3">
        <f t="shared" si="9"/>
        <v>7.2417381908305017E-2</v>
      </c>
      <c r="R57" s="3">
        <f t="shared" si="10"/>
        <v>0.83523027011240514</v>
      </c>
      <c r="S57" s="3">
        <f t="shared" si="11"/>
        <v>0</v>
      </c>
      <c r="T57" s="4">
        <f t="shared" si="4"/>
        <v>1.672392185060632</v>
      </c>
      <c r="U57" s="5">
        <f t="shared" si="5"/>
        <v>1.3113934427867462</v>
      </c>
      <c r="V57" s="14"/>
      <c r="W57" s="3">
        <f t="shared" si="1"/>
        <v>2.9837856278473782</v>
      </c>
      <c r="X57" s="3">
        <f t="shared" si="6"/>
        <v>7.9785786639871847E-2</v>
      </c>
    </row>
    <row r="58" spans="1:25" ht="15.6" x14ac:dyDescent="0.3">
      <c r="A58" s="1" t="s">
        <v>23</v>
      </c>
      <c r="B58" s="1">
        <v>60</v>
      </c>
      <c r="C58" s="12">
        <f>+'Flow rate'!E57</f>
        <v>68.496651999999997</v>
      </c>
      <c r="D58" s="1" t="s">
        <v>27</v>
      </c>
      <c r="E58" s="1" t="s">
        <v>26</v>
      </c>
      <c r="F58" s="1" t="s">
        <v>24</v>
      </c>
      <c r="G58" s="1">
        <v>-0.5</v>
      </c>
      <c r="H58" s="15">
        <v>45451.618287037039</v>
      </c>
      <c r="I58" s="2">
        <f t="shared" si="7"/>
        <v>21.947700000135228</v>
      </c>
      <c r="J58" s="21">
        <v>9.6067545317881926</v>
      </c>
      <c r="K58" s="21">
        <v>7.3869381977594877</v>
      </c>
      <c r="L58" s="21">
        <v>86.510845106748121</v>
      </c>
      <c r="N58" s="21">
        <v>3.8408906409274912E-4</v>
      </c>
      <c r="O58" s="21">
        <v>0</v>
      </c>
      <c r="P58" s="3">
        <f t="shared" si="8"/>
        <v>9.2814470588324996E-2</v>
      </c>
      <c r="Q58" s="3">
        <f t="shared" si="9"/>
        <v>7.1367989660302347E-2</v>
      </c>
      <c r="R58" s="3">
        <f t="shared" si="10"/>
        <v>0.8358138289223902</v>
      </c>
      <c r="S58" s="3">
        <f t="shared" si="11"/>
        <v>3.710828982313766E-6</v>
      </c>
      <c r="T58" s="4">
        <f t="shared" si="4"/>
        <v>1.6828573534000053</v>
      </c>
      <c r="U58" s="5">
        <f t="shared" si="5"/>
        <v>1.2940023838515846</v>
      </c>
      <c r="V58" s="14"/>
      <c r="W58" s="3">
        <f t="shared" si="1"/>
        <v>2.9768597372515897</v>
      </c>
      <c r="X58" s="3">
        <f t="shared" si="6"/>
        <v>7.8669995582365079E-2</v>
      </c>
      <c r="Y58">
        <f t="shared" ref="Y58" si="39">+SUM(K58:L58)</f>
        <v>93.897783304507612</v>
      </c>
    </row>
    <row r="59" spans="1:25" ht="15.6" x14ac:dyDescent="0.3">
      <c r="A59" s="1" t="s">
        <v>23</v>
      </c>
      <c r="B59" s="1">
        <v>60</v>
      </c>
      <c r="C59" s="12">
        <f>+'Flow rate'!E58</f>
        <v>68.688975999999997</v>
      </c>
      <c r="D59" s="1" t="s">
        <v>27</v>
      </c>
      <c r="E59" s="1" t="s">
        <v>26</v>
      </c>
      <c r="F59" s="1" t="s">
        <v>24</v>
      </c>
      <c r="G59" s="1">
        <v>-0.5</v>
      </c>
      <c r="H59" s="15">
        <v>45451.633923611109</v>
      </c>
      <c r="I59" s="2">
        <f t="shared" si="7"/>
        <v>22.322977777803317</v>
      </c>
      <c r="J59" s="21">
        <v>9.6414878786759477</v>
      </c>
      <c r="K59" s="21">
        <v>7.3628126702025272</v>
      </c>
      <c r="L59" s="21">
        <v>86.590756329674647</v>
      </c>
      <c r="N59" s="21">
        <v>0</v>
      </c>
      <c r="O59" s="21">
        <v>0</v>
      </c>
      <c r="P59" s="3">
        <f t="shared" si="8"/>
        <v>9.3068995463546939E-2</v>
      </c>
      <c r="Q59" s="3">
        <f t="shared" si="9"/>
        <v>7.1073011512838125E-2</v>
      </c>
      <c r="R59" s="3">
        <f t="shared" si="10"/>
        <v>0.83585799302361496</v>
      </c>
      <c r="S59" s="3">
        <f t="shared" si="11"/>
        <v>0</v>
      </c>
      <c r="T59" s="4">
        <f t="shared" si="4"/>
        <v>1.6922103110533424</v>
      </c>
      <c r="U59" s="5">
        <f t="shared" si="5"/>
        <v>1.2922722795127288</v>
      </c>
      <c r="V59" s="14"/>
      <c r="W59" s="3">
        <f t="shared" si="1"/>
        <v>2.9844825905660715</v>
      </c>
      <c r="X59" s="3">
        <f t="shared" si="6"/>
        <v>7.8366503248132616E-2</v>
      </c>
    </row>
    <row r="60" spans="1:25" ht="15.6" x14ac:dyDescent="0.3">
      <c r="A60" s="1" t="s">
        <v>23</v>
      </c>
      <c r="B60" s="1">
        <v>60</v>
      </c>
      <c r="C60" s="12">
        <f>+'Flow rate'!E59</f>
        <v>68.742295999999996</v>
      </c>
      <c r="D60" s="1" t="s">
        <v>27</v>
      </c>
      <c r="E60" s="1" t="s">
        <v>26</v>
      </c>
      <c r="F60" s="1" t="s">
        <v>24</v>
      </c>
      <c r="G60" s="1">
        <v>-0.5</v>
      </c>
      <c r="H60" s="15">
        <v>45451.649560185186</v>
      </c>
      <c r="I60" s="2">
        <f t="shared" si="7"/>
        <v>22.698255555646028</v>
      </c>
      <c r="J60" s="21">
        <v>9.7049458837371407</v>
      </c>
      <c r="K60" s="21">
        <v>7.311219867730034</v>
      </c>
      <c r="L60" s="21">
        <v>86.521507326814728</v>
      </c>
      <c r="N60" s="21">
        <v>0</v>
      </c>
      <c r="O60" s="21">
        <v>0</v>
      </c>
      <c r="P60" s="3">
        <f t="shared" si="8"/>
        <v>9.3733474929453997E-2</v>
      </c>
      <c r="Q60" s="3">
        <f t="shared" si="9"/>
        <v>7.0614102580828023E-2</v>
      </c>
      <c r="R60" s="3">
        <f t="shared" si="10"/>
        <v>0.83565242248971805</v>
      </c>
      <c r="S60" s="3">
        <f t="shared" si="11"/>
        <v>0</v>
      </c>
      <c r="T60" s="4">
        <f t="shared" si="4"/>
        <v>1.7056150509773609</v>
      </c>
      <c r="U60" s="5">
        <f t="shared" si="5"/>
        <v>1.2849249029097223</v>
      </c>
      <c r="V60" s="14"/>
      <c r="W60" s="3">
        <f t="shared" si="1"/>
        <v>2.9905399538870832</v>
      </c>
      <c r="X60" s="3">
        <f t="shared" si="6"/>
        <v>7.7917588951364219E-2</v>
      </c>
      <c r="Y60">
        <f t="shared" ref="Y60" si="40">+SUM(K60:L60)</f>
        <v>93.832727194544759</v>
      </c>
    </row>
    <row r="61" spans="1:25" ht="15.6" x14ac:dyDescent="0.3">
      <c r="A61" s="1" t="s">
        <v>23</v>
      </c>
      <c r="B61" s="1">
        <v>60</v>
      </c>
      <c r="C61" s="12">
        <f>+'Flow rate'!E60</f>
        <v>68.83578</v>
      </c>
      <c r="D61" s="1" t="s">
        <v>27</v>
      </c>
      <c r="E61" s="1" t="s">
        <v>26</v>
      </c>
      <c r="F61" s="1" t="s">
        <v>24</v>
      </c>
      <c r="G61" s="1">
        <v>-0.5</v>
      </c>
      <c r="H61" s="15">
        <v>45451.665173611109</v>
      </c>
      <c r="I61" s="2">
        <f t="shared" si="7"/>
        <v>23.072977777803317</v>
      </c>
      <c r="J61" s="21">
        <v>9.7367656924414785</v>
      </c>
      <c r="K61" s="21">
        <v>7.2819621101899816</v>
      </c>
      <c r="L61" s="21">
        <v>86.590241655652051</v>
      </c>
      <c r="N61" s="21">
        <v>1.3861211568278187E-3</v>
      </c>
      <c r="O61" s="21">
        <v>0</v>
      </c>
      <c r="P61" s="3">
        <f t="shared" si="8"/>
        <v>9.3974831357239053E-2</v>
      </c>
      <c r="Q61" s="3">
        <f t="shared" si="9"/>
        <v>7.0282184338289824E-2</v>
      </c>
      <c r="R61" s="3">
        <f t="shared" si="10"/>
        <v>0.83572960609387548</v>
      </c>
      <c r="S61" s="3">
        <f t="shared" si="11"/>
        <v>1.3378210595610293E-5</v>
      </c>
      <c r="T61" s="4">
        <f t="shared" si="4"/>
        <v>1.712332349418914</v>
      </c>
      <c r="U61" s="5">
        <f t="shared" si="5"/>
        <v>1.2806243553956271</v>
      </c>
      <c r="V61" s="14"/>
      <c r="W61" s="3">
        <f t="shared" si="1"/>
        <v>2.9929567048145413</v>
      </c>
      <c r="X61" s="3">
        <f t="shared" si="6"/>
        <v>7.7573145383423109E-2</v>
      </c>
    </row>
    <row r="62" spans="1:25" ht="15.6" x14ac:dyDescent="0.3">
      <c r="A62" s="1" t="s">
        <v>23</v>
      </c>
      <c r="B62" s="1">
        <v>60</v>
      </c>
      <c r="C62" s="12">
        <f>+'Flow rate'!E61</f>
        <v>67.641441</v>
      </c>
      <c r="D62" s="1" t="s">
        <v>27</v>
      </c>
      <c r="E62" s="1" t="s">
        <v>26</v>
      </c>
      <c r="F62" s="1" t="s">
        <v>24</v>
      </c>
      <c r="G62" s="1">
        <v>-0.5</v>
      </c>
      <c r="H62" s="15">
        <v>45451.680810185186</v>
      </c>
      <c r="I62" s="2">
        <f t="shared" si="7"/>
        <v>23.448255555646028</v>
      </c>
      <c r="J62" s="21">
        <v>9.7906167207626993</v>
      </c>
      <c r="K62" s="21">
        <v>7.2936817400524108</v>
      </c>
      <c r="L62" s="21">
        <v>86.571277012544016</v>
      </c>
      <c r="N62" s="21">
        <v>0</v>
      </c>
      <c r="O62" s="21">
        <v>0</v>
      </c>
      <c r="P62" s="3">
        <f t="shared" si="8"/>
        <v>9.4453353580377541E-2</v>
      </c>
      <c r="Q62" s="3">
        <f t="shared" si="9"/>
        <v>7.0364586822702899E-2</v>
      </c>
      <c r="R62" s="3">
        <f t="shared" si="10"/>
        <v>0.8351820595969196</v>
      </c>
      <c r="S62" s="3">
        <f t="shared" si="11"/>
        <v>0</v>
      </c>
      <c r="T62" s="4">
        <f t="shared" si="4"/>
        <v>1.6911903885587525</v>
      </c>
      <c r="U62" s="5">
        <f t="shared" si="5"/>
        <v>1.2598802310200339</v>
      </c>
      <c r="V62" s="14"/>
      <c r="W62" s="3">
        <f t="shared" si="1"/>
        <v>2.9510706195787861</v>
      </c>
      <c r="X62" s="3">
        <f t="shared" si="6"/>
        <v>7.7703989188091543E-2</v>
      </c>
      <c r="Y62">
        <f t="shared" ref="Y62" si="41">+SUM(K62:L62)</f>
        <v>93.864958752596422</v>
      </c>
    </row>
    <row r="63" spans="1:25" ht="15.6" x14ac:dyDescent="0.3">
      <c r="A63" s="1" t="s">
        <v>23</v>
      </c>
      <c r="B63" s="1">
        <v>60</v>
      </c>
      <c r="C63" s="12">
        <f>+'Flow rate'!E62</f>
        <v>68.249516999999997</v>
      </c>
      <c r="D63" s="1" t="s">
        <v>27</v>
      </c>
      <c r="E63" s="1" t="s">
        <v>26</v>
      </c>
      <c r="F63" s="1" t="s">
        <v>24</v>
      </c>
      <c r="G63" s="1">
        <v>-0.5</v>
      </c>
      <c r="H63" s="15">
        <v>45451.696435185186</v>
      </c>
      <c r="I63" s="2">
        <f t="shared" si="7"/>
        <v>23.823255555646028</v>
      </c>
      <c r="J63" s="21">
        <v>9.8331772001526137</v>
      </c>
      <c r="K63" s="21">
        <v>7.2211745665317473</v>
      </c>
      <c r="L63" s="21">
        <v>86.579658371812556</v>
      </c>
      <c r="N63" s="21">
        <v>0</v>
      </c>
      <c r="O63" s="21">
        <v>0</v>
      </c>
      <c r="P63" s="3">
        <f t="shared" si="8"/>
        <v>9.4883689119156109E-2</v>
      </c>
      <c r="Q63" s="3">
        <f t="shared" si="9"/>
        <v>6.9679582570252183E-2</v>
      </c>
      <c r="R63" s="3">
        <f t="shared" si="10"/>
        <v>0.83543672831059168</v>
      </c>
      <c r="S63" s="3">
        <f t="shared" si="11"/>
        <v>0</v>
      </c>
      <c r="T63" s="4">
        <f t="shared" si="4"/>
        <v>1.7141681153066954</v>
      </c>
      <c r="U63" s="5">
        <f t="shared" si="5"/>
        <v>1.2588308890457356</v>
      </c>
      <c r="V63" s="14"/>
      <c r="W63" s="3">
        <f t="shared" si="1"/>
        <v>2.972999004352431</v>
      </c>
      <c r="X63" s="3">
        <f t="shared" si="6"/>
        <v>7.6984119866806061E-2</v>
      </c>
    </row>
    <row r="64" spans="1:25" ht="15.6" x14ac:dyDescent="0.3">
      <c r="A64" s="1" t="s">
        <v>23</v>
      </c>
      <c r="B64" s="1">
        <v>60</v>
      </c>
      <c r="C64" s="12">
        <f>+'Flow rate'!E63</f>
        <v>69.028374999999997</v>
      </c>
      <c r="D64" s="1" t="s">
        <v>27</v>
      </c>
      <c r="E64" s="1" t="s">
        <v>26</v>
      </c>
      <c r="F64" s="1" t="s">
        <v>24</v>
      </c>
      <c r="G64" s="1">
        <v>-0.5</v>
      </c>
      <c r="H64" s="15">
        <v>45451.712083333332</v>
      </c>
      <c r="I64" s="2">
        <f t="shared" si="7"/>
        <v>24.198811111156829</v>
      </c>
      <c r="J64" s="21">
        <v>9.8711049746472703</v>
      </c>
      <c r="K64" s="21">
        <v>7.2076016966372851</v>
      </c>
      <c r="L64" s="21">
        <v>86.638880894637822</v>
      </c>
      <c r="N64" s="21">
        <v>0</v>
      </c>
      <c r="O64" s="21">
        <v>0</v>
      </c>
      <c r="P64" s="3">
        <f t="shared" si="8"/>
        <v>9.5172913353516311E-2</v>
      </c>
      <c r="Q64" s="3">
        <f t="shared" si="9"/>
        <v>6.9492569831092241E-2</v>
      </c>
      <c r="R64" s="3">
        <f t="shared" si="10"/>
        <v>0.8353345168153915</v>
      </c>
      <c r="S64" s="3">
        <f t="shared" si="11"/>
        <v>0</v>
      </c>
      <c r="T64" s="4">
        <f t="shared" si="4"/>
        <v>1.7390148158375287</v>
      </c>
      <c r="U64" s="5">
        <f t="shared" si="5"/>
        <v>1.2697794390091408</v>
      </c>
      <c r="V64" s="14"/>
      <c r="W64" s="3">
        <f t="shared" si="1"/>
        <v>3.0087942548466695</v>
      </c>
      <c r="X64" s="3">
        <f t="shared" si="6"/>
        <v>7.6802044121655491E-2</v>
      </c>
      <c r="Y64">
        <f t="shared" ref="Y64" si="42">+SUM(K64:L64)</f>
        <v>93.846482591275105</v>
      </c>
    </row>
    <row r="65" spans="1:25" ht="15.6" x14ac:dyDescent="0.3">
      <c r="A65" s="1" t="s">
        <v>23</v>
      </c>
      <c r="B65" s="1">
        <v>60</v>
      </c>
      <c r="C65" s="12">
        <f>+'Flow rate'!E64</f>
        <v>68.283220999999998</v>
      </c>
      <c r="D65" s="1" t="s">
        <v>27</v>
      </c>
      <c r="E65" s="1" t="s">
        <v>26</v>
      </c>
      <c r="F65" s="1" t="s">
        <v>24</v>
      </c>
      <c r="G65" s="1">
        <v>-0.5</v>
      </c>
      <c r="H65" s="15">
        <v>45451.727708333332</v>
      </c>
      <c r="I65" s="2">
        <f t="shared" si="7"/>
        <v>24.573811111156829</v>
      </c>
      <c r="J65" s="21">
        <v>9.954988226565856</v>
      </c>
      <c r="K65" s="21">
        <v>7.2154982415412006</v>
      </c>
      <c r="L65" s="21">
        <v>86.766923733651012</v>
      </c>
      <c r="N65" s="21">
        <v>0</v>
      </c>
      <c r="O65" s="21">
        <v>0</v>
      </c>
      <c r="P65" s="3">
        <f t="shared" si="8"/>
        <v>9.5778682644119512E-2</v>
      </c>
      <c r="Q65" s="3">
        <f t="shared" si="9"/>
        <v>6.9421570419494177E-2</v>
      </c>
      <c r="R65" s="3">
        <f t="shared" si="10"/>
        <v>0.83479974693638626</v>
      </c>
      <c r="S65" s="3">
        <f t="shared" si="11"/>
        <v>0</v>
      </c>
      <c r="T65" s="4">
        <f t="shared" si="4"/>
        <v>1.7311915635504691</v>
      </c>
      <c r="U65" s="5">
        <f t="shared" si="5"/>
        <v>1.2547889960567535</v>
      </c>
      <c r="V65" s="14"/>
      <c r="W65" s="3">
        <f t="shared" si="1"/>
        <v>2.9859805596072224</v>
      </c>
      <c r="X65" s="3">
        <f t="shared" si="6"/>
        <v>7.6774976531737163E-2</v>
      </c>
    </row>
    <row r="66" spans="1:25" ht="15.6" x14ac:dyDescent="0.3">
      <c r="A66" s="1" t="s">
        <v>23</v>
      </c>
      <c r="B66" s="1">
        <v>60</v>
      </c>
      <c r="C66" s="12">
        <f>+'Flow rate'!E65</f>
        <v>68.171576000000002</v>
      </c>
      <c r="D66" s="1" t="s">
        <v>27</v>
      </c>
      <c r="E66" s="1" t="s">
        <v>26</v>
      </c>
      <c r="F66" s="1" t="s">
        <v>24</v>
      </c>
      <c r="G66" s="1">
        <v>-0.5</v>
      </c>
      <c r="H66" s="15">
        <v>45451.743344907409</v>
      </c>
      <c r="I66" s="2">
        <f t="shared" si="7"/>
        <v>24.94908888899954</v>
      </c>
      <c r="J66" s="21">
        <v>9.9753497127328963</v>
      </c>
      <c r="K66" s="21">
        <v>7.1748942098498363</v>
      </c>
      <c r="L66" s="21">
        <v>86.933621613392901</v>
      </c>
      <c r="N66" s="21">
        <v>0</v>
      </c>
      <c r="O66" s="21">
        <v>0</v>
      </c>
      <c r="P66" s="3">
        <f t="shared" si="8"/>
        <v>9.5839539215470518E-2</v>
      </c>
      <c r="Q66" s="3">
        <f t="shared" si="9"/>
        <v>6.893377924525583E-2</v>
      </c>
      <c r="R66" s="3">
        <f t="shared" si="10"/>
        <v>0.83522668153927371</v>
      </c>
      <c r="S66" s="3">
        <f t="shared" si="11"/>
        <v>0</v>
      </c>
      <c r="T66" s="4">
        <f t="shared" ref="T66:T126" si="43">+P66*C66/1000/60/24.3*2*96485/-1/G66</f>
        <v>1.729459195190008</v>
      </c>
      <c r="U66" s="5">
        <f t="shared" ref="U66:U126" si="44">+Q66*C66/1000/60/24.3*2*96485/-1/G66</f>
        <v>1.2439350121130537</v>
      </c>
      <c r="V66" s="14"/>
      <c r="W66" s="3">
        <f t="shared" ref="W66:W126" si="45">+T66+U66</f>
        <v>2.9733942073030617</v>
      </c>
      <c r="X66" s="3">
        <f t="shared" si="6"/>
        <v>7.6240647799885874E-2</v>
      </c>
      <c r="Y66">
        <f t="shared" ref="Y66" si="46">+SUM(K66:L66)</f>
        <v>94.10851582324274</v>
      </c>
    </row>
    <row r="67" spans="1:25" ht="15.6" x14ac:dyDescent="0.3">
      <c r="A67" s="1" t="s">
        <v>23</v>
      </c>
      <c r="B67" s="1">
        <v>60</v>
      </c>
      <c r="C67" s="12">
        <f>+'Flow rate'!E66</f>
        <v>67.879250999999996</v>
      </c>
      <c r="D67" s="1" t="s">
        <v>27</v>
      </c>
      <c r="E67" s="1" t="s">
        <v>26</v>
      </c>
      <c r="F67" s="1" t="s">
        <v>24</v>
      </c>
      <c r="G67" s="1">
        <v>-0.5</v>
      </c>
      <c r="H67" s="15">
        <v>45451.758969907409</v>
      </c>
      <c r="I67" s="2">
        <f t="shared" si="7"/>
        <v>25.32408888899954</v>
      </c>
      <c r="J67" s="21">
        <v>10.02721349691706</v>
      </c>
      <c r="K67" s="21">
        <v>7.0512260861691036</v>
      </c>
      <c r="L67" s="21">
        <v>87.032994646837693</v>
      </c>
      <c r="N67" s="21">
        <v>0</v>
      </c>
      <c r="O67" s="21">
        <v>0</v>
      </c>
      <c r="P67" s="3">
        <f t="shared" si="8"/>
        <v>9.6312317384587759E-2</v>
      </c>
      <c r="Q67" s="3">
        <f t="shared" si="9"/>
        <v>6.7727681770254872E-2</v>
      </c>
      <c r="R67" s="3">
        <f t="shared" si="10"/>
        <v>0.83596000084515731</v>
      </c>
      <c r="S67" s="3">
        <f t="shared" si="11"/>
        <v>0</v>
      </c>
      <c r="T67" s="4">
        <f t="shared" si="43"/>
        <v>1.7305380099122831</v>
      </c>
      <c r="U67" s="5">
        <f t="shared" si="44"/>
        <v>1.2169297843665514</v>
      </c>
      <c r="V67" s="14"/>
      <c r="W67" s="3">
        <f t="shared" si="45"/>
        <v>2.9474677942788343</v>
      </c>
      <c r="X67" s="3">
        <f t="shared" ref="X67:X126" si="47">+K67/(K67+L67)</f>
        <v>7.4945894553127543E-2</v>
      </c>
    </row>
    <row r="68" spans="1:25" ht="15.6" x14ac:dyDescent="0.3">
      <c r="A68" s="1" t="s">
        <v>23</v>
      </c>
      <c r="B68" s="1">
        <v>60</v>
      </c>
      <c r="C68" s="12">
        <f>+'Flow rate'!E67</f>
        <v>68.189458000000002</v>
      </c>
      <c r="D68" s="1" t="s">
        <v>27</v>
      </c>
      <c r="E68" s="1" t="s">
        <v>26</v>
      </c>
      <c r="F68" s="1" t="s">
        <v>24</v>
      </c>
      <c r="G68" s="1">
        <v>-0.5</v>
      </c>
      <c r="H68" s="15">
        <v>45451.774606481478</v>
      </c>
      <c r="I68" s="2">
        <f t="shared" ref="I68:I126" si="48">+(H68-H$2)*24</f>
        <v>25.699366666667629</v>
      </c>
      <c r="J68" s="21">
        <v>10.064286874196021</v>
      </c>
      <c r="K68" s="21">
        <v>7.0464765617573946</v>
      </c>
      <c r="L68" s="21">
        <v>86.951802905857917</v>
      </c>
      <c r="N68" s="21">
        <v>0</v>
      </c>
      <c r="O68" s="21">
        <v>0</v>
      </c>
      <c r="P68" s="3">
        <f t="shared" ref="P68:P126" si="49">+J68/SUM($J68:$O68)</f>
        <v>9.6713806203261851E-2</v>
      </c>
      <c r="Q68" s="3">
        <f t="shared" ref="Q68:Q126" si="50">+K68/SUM($J68:$O68)</f>
        <v>6.7713845712895779E-2</v>
      </c>
      <c r="R68" s="3">
        <f t="shared" ref="R68:R126" si="51">+L68/SUM($J68:$O68)</f>
        <v>0.8355723480838424</v>
      </c>
      <c r="S68" s="3">
        <f t="shared" ref="S68:S126" si="52">+N68/SUM($J68:$O68)</f>
        <v>0</v>
      </c>
      <c r="T68" s="4">
        <f t="shared" si="43"/>
        <v>1.7456934501781713</v>
      </c>
      <c r="U68" s="5">
        <f t="shared" si="44"/>
        <v>1.2222413902203617</v>
      </c>
      <c r="V68" s="14"/>
      <c r="W68" s="3">
        <f t="shared" si="45"/>
        <v>2.9679348403985331</v>
      </c>
      <c r="X68" s="3">
        <f t="shared" si="47"/>
        <v>7.4963888718676791E-2</v>
      </c>
      <c r="Y68">
        <f t="shared" ref="Y68" si="53">+SUM(K68:L68)</f>
        <v>93.998279467615305</v>
      </c>
    </row>
    <row r="69" spans="1:25" ht="15.6" x14ac:dyDescent="0.3">
      <c r="A69" s="1" t="s">
        <v>23</v>
      </c>
      <c r="B69" s="1">
        <v>60</v>
      </c>
      <c r="C69" s="12">
        <f>+'Flow rate'!E68</f>
        <v>68.306028999999995</v>
      </c>
      <c r="D69" s="1" t="s">
        <v>27</v>
      </c>
      <c r="E69" s="1" t="s">
        <v>26</v>
      </c>
      <c r="F69" s="1" t="s">
        <v>24</v>
      </c>
      <c r="G69" s="1">
        <v>-0.5</v>
      </c>
      <c r="H69" s="15">
        <v>45451.790231481478</v>
      </c>
      <c r="I69" s="2">
        <f t="shared" si="48"/>
        <v>26.074366666667629</v>
      </c>
      <c r="J69" s="21">
        <v>10.104206010072607</v>
      </c>
      <c r="K69" s="21">
        <v>7.0242087438298872</v>
      </c>
      <c r="L69" s="21">
        <v>86.974109340159089</v>
      </c>
      <c r="N69" s="21">
        <v>0</v>
      </c>
      <c r="O69" s="21">
        <v>0</v>
      </c>
      <c r="P69" s="3">
        <f t="shared" si="49"/>
        <v>9.7060144295281231E-2</v>
      </c>
      <c r="Q69" s="3">
        <f t="shared" si="50"/>
        <v>6.7473952288449615E-2</v>
      </c>
      <c r="R69" s="3">
        <f t="shared" si="51"/>
        <v>0.83546590341626925</v>
      </c>
      <c r="S69" s="3">
        <f t="shared" si="52"/>
        <v>0</v>
      </c>
      <c r="T69" s="4">
        <f t="shared" si="43"/>
        <v>1.7549398644550889</v>
      </c>
      <c r="U69" s="5">
        <f t="shared" si="44"/>
        <v>1.2199933303529795</v>
      </c>
      <c r="V69" s="14"/>
      <c r="W69" s="3">
        <f t="shared" si="45"/>
        <v>2.9749331948080684</v>
      </c>
      <c r="X69" s="3">
        <f t="shared" si="47"/>
        <v>7.4726962003231229E-2</v>
      </c>
    </row>
    <row r="70" spans="1:25" ht="15.6" x14ac:dyDescent="0.3">
      <c r="A70" s="1" t="s">
        <v>23</v>
      </c>
      <c r="B70" s="1">
        <v>60</v>
      </c>
      <c r="C70" s="12">
        <f>+'Flow rate'!E69</f>
        <v>68.833800999999994</v>
      </c>
      <c r="D70" s="1" t="s">
        <v>27</v>
      </c>
      <c r="E70" s="1" t="s">
        <v>26</v>
      </c>
      <c r="F70" s="1" t="s">
        <v>24</v>
      </c>
      <c r="G70" s="1">
        <v>-0.5</v>
      </c>
      <c r="H70" s="15">
        <v>45451.805868055555</v>
      </c>
      <c r="I70" s="2">
        <f t="shared" si="48"/>
        <v>26.449644444510341</v>
      </c>
      <c r="J70" s="21">
        <v>10.131764517532982</v>
      </c>
      <c r="K70" s="21">
        <v>6.995090288414179</v>
      </c>
      <c r="L70" s="21">
        <v>86.936811320138403</v>
      </c>
      <c r="N70" s="21">
        <v>0</v>
      </c>
      <c r="O70" s="21">
        <v>0</v>
      </c>
      <c r="P70" s="3">
        <f t="shared" si="49"/>
        <v>9.7361210638659795E-2</v>
      </c>
      <c r="Q70" s="3">
        <f t="shared" si="50"/>
        <v>6.7219333594674552E-2</v>
      </c>
      <c r="R70" s="3">
        <f t="shared" si="51"/>
        <v>0.83541945576666565</v>
      </c>
      <c r="S70" s="3">
        <f t="shared" si="52"/>
        <v>0</v>
      </c>
      <c r="T70" s="4">
        <f t="shared" si="43"/>
        <v>1.7739851741983914</v>
      </c>
      <c r="U70" s="5">
        <f t="shared" si="44"/>
        <v>1.2247803867087366</v>
      </c>
      <c r="V70" s="14"/>
      <c r="W70" s="3">
        <f t="shared" si="45"/>
        <v>2.998765560907128</v>
      </c>
      <c r="X70" s="3">
        <f t="shared" si="47"/>
        <v>7.4469803853915273E-2</v>
      </c>
      <c r="Y70">
        <f t="shared" ref="Y70" si="54">+SUM(K70:L70)</f>
        <v>93.931901608552579</v>
      </c>
    </row>
    <row r="71" spans="1:25" ht="15.6" x14ac:dyDescent="0.3">
      <c r="A71" s="1" t="s">
        <v>23</v>
      </c>
      <c r="B71" s="1">
        <v>60</v>
      </c>
      <c r="C71" s="12">
        <f>+'Flow rate'!E70</f>
        <v>68.025075999999999</v>
      </c>
      <c r="D71" s="1" t="s">
        <v>27</v>
      </c>
      <c r="E71" s="1" t="s">
        <v>26</v>
      </c>
      <c r="F71" s="1" t="s">
        <v>24</v>
      </c>
      <c r="G71" s="1">
        <v>-0.5</v>
      </c>
      <c r="H71" s="15">
        <v>45451.821493055555</v>
      </c>
      <c r="I71" s="2">
        <f t="shared" si="48"/>
        <v>26.824644444510341</v>
      </c>
      <c r="J71" s="21">
        <v>10.176960835385964</v>
      </c>
      <c r="K71" s="21">
        <v>6.8588976969631625</v>
      </c>
      <c r="L71" s="21">
        <v>87.081319211132111</v>
      </c>
      <c r="N71" s="21">
        <v>0</v>
      </c>
      <c r="O71" s="21">
        <v>0</v>
      </c>
      <c r="P71" s="3">
        <f t="shared" si="49"/>
        <v>9.7745262174311509E-2</v>
      </c>
      <c r="Q71" s="3">
        <f t="shared" si="50"/>
        <v>6.5876715500892427E-2</v>
      </c>
      <c r="R71" s="3">
        <f t="shared" si="51"/>
        <v>0.83637802232479608</v>
      </c>
      <c r="S71" s="3">
        <f t="shared" si="52"/>
        <v>0</v>
      </c>
      <c r="T71" s="4">
        <f t="shared" si="43"/>
        <v>1.7600581639595603</v>
      </c>
      <c r="U71" s="5">
        <f t="shared" si="44"/>
        <v>1.1862145371856101</v>
      </c>
      <c r="V71" s="14"/>
      <c r="W71" s="3">
        <f t="shared" si="45"/>
        <v>2.9462727011451704</v>
      </c>
      <c r="X71" s="3">
        <f t="shared" si="47"/>
        <v>7.3013432613993665E-2</v>
      </c>
    </row>
    <row r="72" spans="1:25" ht="15.6" x14ac:dyDescent="0.3">
      <c r="A72" s="1" t="s">
        <v>23</v>
      </c>
      <c r="B72" s="1">
        <v>60</v>
      </c>
      <c r="C72" s="12">
        <f>+'Flow rate'!E71</f>
        <v>68.133105999999998</v>
      </c>
      <c r="D72" s="1" t="s">
        <v>27</v>
      </c>
      <c r="E72" s="1" t="s">
        <v>26</v>
      </c>
      <c r="F72" s="1" t="s">
        <v>24</v>
      </c>
      <c r="G72" s="1">
        <v>-0.5</v>
      </c>
      <c r="H72" s="15">
        <v>45451.837129629632</v>
      </c>
      <c r="I72" s="2">
        <f t="shared" si="48"/>
        <v>27.199922222353052</v>
      </c>
      <c r="J72" s="21">
        <v>10.211579186133473</v>
      </c>
      <c r="K72" s="21">
        <v>6.8356274137179938</v>
      </c>
      <c r="L72" s="21">
        <v>87.030168751705901</v>
      </c>
      <c r="N72" s="21">
        <v>0</v>
      </c>
      <c r="O72" s="21">
        <v>0</v>
      </c>
      <c r="P72" s="3">
        <f t="shared" si="49"/>
        <v>9.8115264260271076E-2</v>
      </c>
      <c r="Q72" s="3">
        <f t="shared" si="50"/>
        <v>6.5678322407999784E-2</v>
      </c>
      <c r="R72" s="3">
        <f t="shared" si="51"/>
        <v>0.83620641333172918</v>
      </c>
      <c r="S72" s="3">
        <f t="shared" si="52"/>
        <v>0</v>
      </c>
      <c r="T72" s="4">
        <f t="shared" si="43"/>
        <v>1.7695263500427552</v>
      </c>
      <c r="U72" s="5">
        <f t="shared" si="44"/>
        <v>1.1845202986893335</v>
      </c>
      <c r="V72" s="14"/>
      <c r="W72" s="3">
        <f t="shared" si="45"/>
        <v>2.9540466487320884</v>
      </c>
      <c r="X72" s="3">
        <f t="shared" si="47"/>
        <v>7.2823410581541986E-2</v>
      </c>
      <c r="Y72">
        <f t="shared" ref="Y72" si="55">+SUM(K72:L72)</f>
        <v>93.865796165423887</v>
      </c>
    </row>
    <row r="73" spans="1:25" ht="15.6" x14ac:dyDescent="0.3">
      <c r="A73" s="1" t="s">
        <v>23</v>
      </c>
      <c r="B73" s="1">
        <v>60</v>
      </c>
      <c r="C73" s="12">
        <f>+'Flow rate'!E72</f>
        <v>69.173879999999997</v>
      </c>
      <c r="D73" s="1" t="s">
        <v>27</v>
      </c>
      <c r="E73" s="1" t="s">
        <v>26</v>
      </c>
      <c r="F73" s="1" t="s">
        <v>24</v>
      </c>
      <c r="G73" s="1">
        <v>-0.5</v>
      </c>
      <c r="H73" s="15">
        <v>45451.948483796295</v>
      </c>
      <c r="I73" s="2">
        <f t="shared" si="48"/>
        <v>29.872422222280875</v>
      </c>
      <c r="J73" s="21">
        <v>10.504313680041594</v>
      </c>
      <c r="K73" s="21">
        <v>6.5173806891913264</v>
      </c>
      <c r="L73" s="21">
        <v>88.32241907267138</v>
      </c>
      <c r="N73" s="21">
        <v>0</v>
      </c>
      <c r="O73" s="21">
        <v>0</v>
      </c>
      <c r="P73" s="3">
        <f t="shared" si="49"/>
        <v>9.9714291922296791E-2</v>
      </c>
      <c r="Q73" s="3">
        <f t="shared" si="50"/>
        <v>6.186753560544761E-2</v>
      </c>
      <c r="R73" s="3">
        <f t="shared" si="51"/>
        <v>0.83841817247225559</v>
      </c>
      <c r="S73" s="3">
        <f t="shared" si="52"/>
        <v>0</v>
      </c>
      <c r="T73" s="4">
        <f t="shared" si="43"/>
        <v>1.8258362040653615</v>
      </c>
      <c r="U73" s="5">
        <f t="shared" si="44"/>
        <v>1.1328364689462376</v>
      </c>
      <c r="V73" s="14"/>
      <c r="W73" s="3">
        <f t="shared" si="45"/>
        <v>2.9586726730115993</v>
      </c>
      <c r="X73" s="3">
        <f t="shared" si="47"/>
        <v>6.871989086392101E-2</v>
      </c>
    </row>
    <row r="74" spans="1:25" ht="15.6" x14ac:dyDescent="0.3">
      <c r="A74" s="1" t="s">
        <v>23</v>
      </c>
      <c r="B74" s="1">
        <v>60</v>
      </c>
      <c r="C74" s="12">
        <f>+'Flow rate'!E73</f>
        <v>68.288871</v>
      </c>
      <c r="D74" s="1" t="s">
        <v>27</v>
      </c>
      <c r="E74" s="1" t="s">
        <v>26</v>
      </c>
      <c r="F74" s="1" t="s">
        <v>24</v>
      </c>
      <c r="G74" s="1">
        <v>-0.5</v>
      </c>
      <c r="H74" s="15">
        <v>45451.964108796295</v>
      </c>
      <c r="I74" s="2">
        <f t="shared" si="48"/>
        <v>30.247422222280875</v>
      </c>
      <c r="J74" s="21">
        <v>10.531589338939646</v>
      </c>
      <c r="K74" s="21">
        <v>6.6077877128396612</v>
      </c>
      <c r="L74" s="21">
        <v>87.793112499002916</v>
      </c>
      <c r="N74" s="21">
        <v>0</v>
      </c>
      <c r="O74" s="21">
        <v>0</v>
      </c>
      <c r="P74" s="3">
        <f t="shared" si="49"/>
        <v>0.10036538143739428</v>
      </c>
      <c r="Q74" s="3">
        <f t="shared" si="50"/>
        <v>6.2971799688806715E-2</v>
      </c>
      <c r="R74" s="3">
        <f t="shared" si="51"/>
        <v>0.83666281887379901</v>
      </c>
      <c r="S74" s="3">
        <f t="shared" si="52"/>
        <v>0</v>
      </c>
      <c r="T74" s="4">
        <f t="shared" si="43"/>
        <v>1.8142458599592857</v>
      </c>
      <c r="U74" s="5">
        <f t="shared" si="44"/>
        <v>1.1383041168519581</v>
      </c>
      <c r="V74" s="14"/>
      <c r="W74" s="3">
        <f t="shared" si="45"/>
        <v>2.9525499768112438</v>
      </c>
      <c r="X74" s="3">
        <f t="shared" si="47"/>
        <v>6.9997083693177697E-2</v>
      </c>
      <c r="Y74">
        <f t="shared" ref="Y74" si="56">+SUM(K74:L74)</f>
        <v>94.400900211842583</v>
      </c>
    </row>
    <row r="75" spans="1:25" ht="15.6" x14ac:dyDescent="0.3">
      <c r="A75" s="1" t="s">
        <v>23</v>
      </c>
      <c r="B75" s="1">
        <v>60</v>
      </c>
      <c r="C75" s="12">
        <f>+'Flow rate'!E74</f>
        <v>68.569998999999996</v>
      </c>
      <c r="D75" s="1" t="s">
        <v>27</v>
      </c>
      <c r="E75" s="1" t="s">
        <v>26</v>
      </c>
      <c r="F75" s="1" t="s">
        <v>24</v>
      </c>
      <c r="G75" s="1">
        <v>-0.5</v>
      </c>
      <c r="H75" s="15">
        <v>45451.979733796295</v>
      </c>
      <c r="I75" s="2">
        <f t="shared" si="48"/>
        <v>30.622422222280875</v>
      </c>
      <c r="J75" s="21">
        <v>10.552194375825659</v>
      </c>
      <c r="K75" s="21">
        <v>6.5493399420791221</v>
      </c>
      <c r="L75" s="21">
        <v>87.617180811523326</v>
      </c>
      <c r="N75" s="21">
        <v>0</v>
      </c>
      <c r="O75" s="21">
        <v>0</v>
      </c>
      <c r="P75" s="3">
        <f t="shared" si="49"/>
        <v>0.10076703445781943</v>
      </c>
      <c r="Q75" s="3">
        <f t="shared" si="50"/>
        <v>6.2542210663914299E-2</v>
      </c>
      <c r="R75" s="3">
        <f t="shared" si="51"/>
        <v>0.83669075487826627</v>
      </c>
      <c r="S75" s="3">
        <f t="shared" si="52"/>
        <v>0</v>
      </c>
      <c r="T75" s="4">
        <f t="shared" si="43"/>
        <v>1.829004985423222</v>
      </c>
      <c r="U75" s="5">
        <f t="shared" si="44"/>
        <v>1.1351928308614834</v>
      </c>
      <c r="V75" s="14"/>
      <c r="W75" s="3">
        <f t="shared" si="45"/>
        <v>2.9641978162847051</v>
      </c>
      <c r="X75" s="3">
        <f t="shared" si="47"/>
        <v>6.9550620429273638E-2</v>
      </c>
    </row>
    <row r="76" spans="1:25" ht="15.6" x14ac:dyDescent="0.3">
      <c r="A76" s="1" t="s">
        <v>23</v>
      </c>
      <c r="B76" s="1">
        <v>60</v>
      </c>
      <c r="C76" s="12">
        <f>+'Flow rate'!E75</f>
        <v>68.764696999999998</v>
      </c>
      <c r="D76" s="1" t="s">
        <v>27</v>
      </c>
      <c r="E76" s="1" t="s">
        <v>26</v>
      </c>
      <c r="F76" s="1" t="s">
        <v>24</v>
      </c>
      <c r="G76" s="1">
        <v>-0.5</v>
      </c>
      <c r="H76" s="15">
        <v>45451.995381944442</v>
      </c>
      <c r="I76" s="2">
        <f t="shared" si="48"/>
        <v>30.997977777791675</v>
      </c>
      <c r="J76" s="21">
        <v>10.566532864484673</v>
      </c>
      <c r="K76" s="21">
        <v>6.3588707665950297</v>
      </c>
      <c r="L76" s="21">
        <v>87.457702888762938</v>
      </c>
      <c r="N76" s="21">
        <v>0</v>
      </c>
      <c r="O76" s="21">
        <v>0</v>
      </c>
      <c r="P76" s="3">
        <f t="shared" si="49"/>
        <v>0.10122838088245663</v>
      </c>
      <c r="Q76" s="3">
        <f t="shared" si="50"/>
        <v>6.0918581354792736E-2</v>
      </c>
      <c r="R76" s="3">
        <f t="shared" si="51"/>
        <v>0.83785303776275066</v>
      </c>
      <c r="S76" s="3">
        <f t="shared" si="52"/>
        <v>0</v>
      </c>
      <c r="T76" s="4">
        <f t="shared" si="43"/>
        <v>1.8425958670700822</v>
      </c>
      <c r="U76" s="5">
        <f t="shared" si="44"/>
        <v>1.1088622109095378</v>
      </c>
      <c r="V76" s="14"/>
      <c r="W76" s="3">
        <f t="shared" si="45"/>
        <v>2.9514580779796198</v>
      </c>
      <c r="X76" s="3">
        <f t="shared" si="47"/>
        <v>6.7779823104122366E-2</v>
      </c>
      <c r="Y76">
        <f t="shared" ref="Y76" si="57">+SUM(K76:L76)</f>
        <v>93.816573655357971</v>
      </c>
    </row>
    <row r="77" spans="1:25" ht="15.6" x14ac:dyDescent="0.3">
      <c r="A77" s="1" t="s">
        <v>23</v>
      </c>
      <c r="B77" s="1">
        <v>60</v>
      </c>
      <c r="C77" s="12">
        <f>+'Flow rate'!E76</f>
        <v>68.899268000000006</v>
      </c>
      <c r="D77" s="1" t="s">
        <v>27</v>
      </c>
      <c r="E77" s="1" t="s">
        <v>26</v>
      </c>
      <c r="F77" s="1" t="s">
        <v>24</v>
      </c>
      <c r="G77" s="1">
        <v>-0.5</v>
      </c>
      <c r="H77" s="15">
        <v>45452.011018518519</v>
      </c>
      <c r="I77" s="2">
        <f t="shared" si="48"/>
        <v>31.373255555634387</v>
      </c>
      <c r="J77" s="21">
        <v>10.599599499899565</v>
      </c>
      <c r="K77" s="21">
        <v>6.3344254677223271</v>
      </c>
      <c r="L77" s="21">
        <v>87.463044459234681</v>
      </c>
      <c r="N77" s="21">
        <v>0</v>
      </c>
      <c r="O77" s="21">
        <v>0</v>
      </c>
      <c r="P77" s="3">
        <f t="shared" si="49"/>
        <v>0.10153158089677922</v>
      </c>
      <c r="Q77" s="3">
        <f t="shared" si="50"/>
        <v>6.0676276666562924E-2</v>
      </c>
      <c r="R77" s="3">
        <f t="shared" si="51"/>
        <v>0.83779214243665778</v>
      </c>
      <c r="S77" s="3">
        <f t="shared" si="52"/>
        <v>0</v>
      </c>
      <c r="T77" s="4">
        <f t="shared" si="43"/>
        <v>1.8517315442625488</v>
      </c>
      <c r="U77" s="5">
        <f t="shared" si="44"/>
        <v>1.1066130803784264</v>
      </c>
      <c r="V77" s="14"/>
      <c r="W77" s="3">
        <f t="shared" si="45"/>
        <v>2.9583446246409753</v>
      </c>
      <c r="X77" s="3">
        <f t="shared" si="47"/>
        <v>6.7533009927188234E-2</v>
      </c>
    </row>
    <row r="78" spans="1:25" ht="15.6" x14ac:dyDescent="0.3">
      <c r="A78" s="1" t="s">
        <v>23</v>
      </c>
      <c r="B78" s="1">
        <v>60</v>
      </c>
      <c r="C78" s="12">
        <f>+'Flow rate'!E77</f>
        <v>68.378101000000001</v>
      </c>
      <c r="D78" s="1" t="s">
        <v>27</v>
      </c>
      <c r="E78" s="1" t="s">
        <v>26</v>
      </c>
      <c r="F78" s="1" t="s">
        <v>24</v>
      </c>
      <c r="G78" s="1">
        <v>-0.5</v>
      </c>
      <c r="H78" s="15">
        <v>45452.026655092595</v>
      </c>
      <c r="I78" s="2">
        <f t="shared" si="48"/>
        <v>31.748533333477098</v>
      </c>
      <c r="J78" s="21">
        <v>10.618387491039426</v>
      </c>
      <c r="K78" s="21">
        <v>6.3810860290568661</v>
      </c>
      <c r="L78" s="21">
        <v>87.415547869041873</v>
      </c>
      <c r="N78" s="21">
        <v>0</v>
      </c>
      <c r="O78" s="21">
        <v>0</v>
      </c>
      <c r="P78" s="3">
        <f t="shared" si="49"/>
        <v>0.10169406039257883</v>
      </c>
      <c r="Q78" s="3">
        <f t="shared" si="50"/>
        <v>6.111272060440015E-2</v>
      </c>
      <c r="R78" s="3">
        <f t="shared" si="51"/>
        <v>0.83719321900302102</v>
      </c>
      <c r="S78" s="3">
        <f t="shared" si="52"/>
        <v>0</v>
      </c>
      <c r="T78" s="4">
        <f t="shared" si="43"/>
        <v>1.8406655829827505</v>
      </c>
      <c r="U78" s="5">
        <f t="shared" si="44"/>
        <v>1.106142099791396</v>
      </c>
      <c r="V78" s="14"/>
      <c r="W78" s="3">
        <f t="shared" si="45"/>
        <v>2.9468076827741463</v>
      </c>
      <c r="X78" s="3">
        <f t="shared" si="47"/>
        <v>6.8031077063909554E-2</v>
      </c>
      <c r="Y78">
        <f t="shared" ref="Y78" si="58">+SUM(K78:L78)</f>
        <v>93.796633898098733</v>
      </c>
    </row>
    <row r="79" spans="1:25" ht="15.6" x14ac:dyDescent="0.3">
      <c r="A79" s="1" t="s">
        <v>23</v>
      </c>
      <c r="B79" s="1">
        <v>60</v>
      </c>
      <c r="C79" s="12">
        <f>+'Flow rate'!E78</f>
        <v>68.654694000000006</v>
      </c>
      <c r="D79" s="1" t="s">
        <v>27</v>
      </c>
      <c r="E79" s="1" t="s">
        <v>26</v>
      </c>
      <c r="F79" s="1" t="s">
        <v>24</v>
      </c>
      <c r="G79" s="1">
        <v>-0.5</v>
      </c>
      <c r="H79" s="15">
        <v>45452.042291666665</v>
      </c>
      <c r="I79" s="2">
        <f t="shared" si="48"/>
        <v>32.123811111145187</v>
      </c>
      <c r="J79" s="21">
        <v>10.638964883093308</v>
      </c>
      <c r="K79" s="21">
        <v>6.4308534471375358</v>
      </c>
      <c r="L79" s="21">
        <v>87.370885896989634</v>
      </c>
      <c r="N79" s="21">
        <v>0</v>
      </c>
      <c r="O79" s="21">
        <v>0</v>
      </c>
      <c r="P79" s="3">
        <f t="shared" si="49"/>
        <v>0.10186607761612991</v>
      </c>
      <c r="Q79" s="3">
        <f t="shared" si="50"/>
        <v>6.1574206098291097E-2</v>
      </c>
      <c r="R79" s="3">
        <f t="shared" si="51"/>
        <v>0.83655971628557901</v>
      </c>
      <c r="S79" s="3">
        <f t="shared" si="52"/>
        <v>0</v>
      </c>
      <c r="T79" s="4">
        <f t="shared" si="43"/>
        <v>1.8512372829869532</v>
      </c>
      <c r="U79" s="5">
        <f t="shared" si="44"/>
        <v>1.1190031919068382</v>
      </c>
      <c r="V79" s="14"/>
      <c r="W79" s="3">
        <f t="shared" si="45"/>
        <v>2.9702404748937914</v>
      </c>
      <c r="X79" s="3">
        <f t="shared" si="47"/>
        <v>6.855793391575489E-2</v>
      </c>
    </row>
    <row r="80" spans="1:25" ht="15.6" x14ac:dyDescent="0.3">
      <c r="A80" s="1" t="s">
        <v>23</v>
      </c>
      <c r="B80" s="1">
        <v>60</v>
      </c>
      <c r="C80" s="12">
        <f>+'Flow rate'!E79</f>
        <v>68.664900000000003</v>
      </c>
      <c r="D80" s="1" t="s">
        <v>27</v>
      </c>
      <c r="E80" s="1" t="s">
        <v>26</v>
      </c>
      <c r="F80" s="1" t="s">
        <v>24</v>
      </c>
      <c r="G80" s="1">
        <v>-0.5</v>
      </c>
      <c r="H80" s="15">
        <v>45452.057928240742</v>
      </c>
      <c r="I80" s="2">
        <f t="shared" si="48"/>
        <v>32.499088888987899</v>
      </c>
      <c r="J80" s="21">
        <v>10.669785410826876</v>
      </c>
      <c r="K80" s="21">
        <v>6.3868418115069678</v>
      </c>
      <c r="L80" s="21">
        <v>87.321638227949592</v>
      </c>
      <c r="N80" s="21">
        <v>0</v>
      </c>
      <c r="O80" s="21">
        <v>0</v>
      </c>
      <c r="P80" s="3">
        <f t="shared" si="49"/>
        <v>0.10222229086484501</v>
      </c>
      <c r="Q80" s="3">
        <f t="shared" si="50"/>
        <v>6.1189384437022418E-2</v>
      </c>
      <c r="R80" s="3">
        <f t="shared" si="51"/>
        <v>0.8365883246981326</v>
      </c>
      <c r="S80" s="3">
        <f t="shared" si="52"/>
        <v>0</v>
      </c>
      <c r="T80" s="4">
        <f t="shared" si="43"/>
        <v>1.8579869956648292</v>
      </c>
      <c r="U80" s="5">
        <f t="shared" si="44"/>
        <v>1.112175041225006</v>
      </c>
      <c r="V80" s="14"/>
      <c r="W80" s="3">
        <f t="shared" si="45"/>
        <v>2.9701620368898354</v>
      </c>
      <c r="X80" s="3">
        <f t="shared" si="47"/>
        <v>6.8156497777124833E-2</v>
      </c>
      <c r="Y80">
        <f t="shared" ref="Y80" si="59">+SUM(K80:L80)</f>
        <v>93.70848003945656</v>
      </c>
    </row>
    <row r="81" spans="1:25" ht="15.6" x14ac:dyDescent="0.3">
      <c r="A81" s="1" t="s">
        <v>23</v>
      </c>
      <c r="B81" s="1">
        <v>60</v>
      </c>
      <c r="C81" s="12">
        <f>+'Flow rate'!E80</f>
        <v>69.118381999999997</v>
      </c>
      <c r="D81" s="1" t="s">
        <v>27</v>
      </c>
      <c r="E81" s="1" t="s">
        <v>26</v>
      </c>
      <c r="F81" s="1" t="s">
        <v>24</v>
      </c>
      <c r="G81" s="1">
        <v>-0.5</v>
      </c>
      <c r="H81" s="15">
        <v>45452.073553240742</v>
      </c>
      <c r="I81" s="2">
        <f t="shared" si="48"/>
        <v>32.874088888987899</v>
      </c>
      <c r="J81" s="21">
        <v>10.686284586018422</v>
      </c>
      <c r="K81" s="21">
        <v>6.3507309179728662</v>
      </c>
      <c r="L81" s="21">
        <v>87.336453701332175</v>
      </c>
      <c r="N81" s="21">
        <v>1.0887132883573153E-3</v>
      </c>
      <c r="O81" s="21">
        <v>0</v>
      </c>
      <c r="P81" s="3">
        <f t="shared" si="49"/>
        <v>0.10238399854446588</v>
      </c>
      <c r="Q81" s="3">
        <f t="shared" si="50"/>
        <v>6.0845583872316644E-2</v>
      </c>
      <c r="R81" s="3">
        <f t="shared" si="51"/>
        <v>0.83675998675304142</v>
      </c>
      <c r="S81" s="3">
        <f t="shared" si="52"/>
        <v>1.0430830176126462E-5</v>
      </c>
      <c r="T81" s="4">
        <f t="shared" si="43"/>
        <v>1.8732162574382962</v>
      </c>
      <c r="U81" s="5">
        <f t="shared" si="44"/>
        <v>1.1132299824512928</v>
      </c>
      <c r="V81" s="14"/>
      <c r="W81" s="3">
        <f t="shared" si="45"/>
        <v>2.986446239889589</v>
      </c>
      <c r="X81" s="3">
        <f t="shared" si="47"/>
        <v>6.7786548862353621E-2</v>
      </c>
    </row>
    <row r="82" spans="1:25" ht="15.6" x14ac:dyDescent="0.3">
      <c r="A82" s="1" t="s">
        <v>23</v>
      </c>
      <c r="B82" s="1">
        <v>60</v>
      </c>
      <c r="C82" s="12">
        <f>+'Flow rate'!E81</f>
        <v>69.176462999999998</v>
      </c>
      <c r="D82" s="1" t="s">
        <v>27</v>
      </c>
      <c r="E82" s="1" t="s">
        <v>26</v>
      </c>
      <c r="F82" s="1" t="s">
        <v>24</v>
      </c>
      <c r="G82" s="1">
        <v>-0.5</v>
      </c>
      <c r="H82" s="15">
        <v>45452.089178240742</v>
      </c>
      <c r="I82" s="2">
        <f t="shared" si="48"/>
        <v>33.249088888987899</v>
      </c>
      <c r="J82" s="21">
        <v>10.715186583881216</v>
      </c>
      <c r="K82" s="21">
        <v>6.334304015760007</v>
      </c>
      <c r="L82" s="21">
        <v>87.300369372501322</v>
      </c>
      <c r="N82" s="21">
        <v>6.9074645957371839E-4</v>
      </c>
      <c r="O82" s="21">
        <v>0</v>
      </c>
      <c r="P82" s="3">
        <f t="shared" si="49"/>
        <v>0.10268452356113025</v>
      </c>
      <c r="Q82" s="3">
        <f t="shared" si="50"/>
        <v>6.070216182031915E-2</v>
      </c>
      <c r="R82" s="3">
        <f t="shared" si="51"/>
        <v>0.83660669513782127</v>
      </c>
      <c r="S82" s="3">
        <f t="shared" si="52"/>
        <v>6.6194807293008566E-6</v>
      </c>
      <c r="T82" s="4">
        <f t="shared" si="43"/>
        <v>1.8802933654072602</v>
      </c>
      <c r="U82" s="5">
        <f t="shared" si="44"/>
        <v>1.1115391899215985</v>
      </c>
      <c r="V82" s="14"/>
      <c r="W82" s="3">
        <f t="shared" si="45"/>
        <v>2.9918325553288589</v>
      </c>
      <c r="X82" s="3">
        <f t="shared" si="47"/>
        <v>6.7649128111917117E-2</v>
      </c>
      <c r="Y82">
        <f t="shared" ref="Y82" si="60">+SUM(K82:L82)</f>
        <v>93.634673388261334</v>
      </c>
    </row>
    <row r="83" spans="1:25" ht="15.6" x14ac:dyDescent="0.3">
      <c r="A83" s="1" t="s">
        <v>23</v>
      </c>
      <c r="B83" s="1">
        <v>60</v>
      </c>
      <c r="C83" s="12">
        <f>+'Flow rate'!E82</f>
        <v>68.982275000000001</v>
      </c>
      <c r="D83" s="1" t="s">
        <v>27</v>
      </c>
      <c r="E83" s="1" t="s">
        <v>26</v>
      </c>
      <c r="F83" s="1" t="s">
        <v>24</v>
      </c>
      <c r="G83" s="1">
        <v>-0.5</v>
      </c>
      <c r="H83" s="15">
        <v>45452.104814814818</v>
      </c>
      <c r="I83" s="2">
        <f t="shared" si="48"/>
        <v>33.62436666683061</v>
      </c>
      <c r="J83" s="21">
        <v>10.724751861689255</v>
      </c>
      <c r="K83" s="21">
        <v>6.3183195600088764</v>
      </c>
      <c r="L83" s="21">
        <v>87.283862083001537</v>
      </c>
      <c r="N83" s="21">
        <v>0</v>
      </c>
      <c r="O83" s="21">
        <v>0</v>
      </c>
      <c r="P83" s="3">
        <f t="shared" si="49"/>
        <v>0.10279945457426995</v>
      </c>
      <c r="Q83" s="3">
        <f t="shared" si="50"/>
        <v>6.0562688346669863E-2</v>
      </c>
      <c r="R83" s="3">
        <f t="shared" si="51"/>
        <v>0.83663785707906024</v>
      </c>
      <c r="S83" s="3">
        <f t="shared" si="52"/>
        <v>0</v>
      </c>
      <c r="T83" s="4">
        <f t="shared" si="43"/>
        <v>1.87711375464205</v>
      </c>
      <c r="U83" s="5">
        <f t="shared" si="44"/>
        <v>1.1058721642486997</v>
      </c>
      <c r="V83" s="14"/>
      <c r="W83" s="3">
        <f t="shared" si="45"/>
        <v>2.9829859188907495</v>
      </c>
      <c r="X83" s="3">
        <f t="shared" si="47"/>
        <v>6.750184075950634E-2</v>
      </c>
    </row>
    <row r="84" spans="1:25" ht="15.6" x14ac:dyDescent="0.3">
      <c r="A84" s="1" t="s">
        <v>23</v>
      </c>
      <c r="B84" s="1">
        <v>60</v>
      </c>
      <c r="C84" s="12">
        <f>+'Flow rate'!E83</f>
        <v>68.815753999999998</v>
      </c>
      <c r="D84" s="1" t="s">
        <v>27</v>
      </c>
      <c r="E84" s="1" t="s">
        <v>26</v>
      </c>
      <c r="F84" s="1" t="s">
        <v>24</v>
      </c>
      <c r="G84" s="1">
        <v>-0.5</v>
      </c>
      <c r="H84" s="15">
        <v>45452.120462962965</v>
      </c>
      <c r="I84" s="2">
        <f t="shared" si="48"/>
        <v>33.999922222341411</v>
      </c>
      <c r="J84" s="21">
        <v>10.767194112963422</v>
      </c>
      <c r="K84" s="21">
        <v>6.2668840681297588</v>
      </c>
      <c r="L84" s="21">
        <v>87.110626494830697</v>
      </c>
      <c r="N84" s="21">
        <v>0</v>
      </c>
      <c r="O84" s="21">
        <v>0</v>
      </c>
      <c r="P84" s="3">
        <f t="shared" si="49"/>
        <v>0.10338686106479091</v>
      </c>
      <c r="Q84" s="3">
        <f t="shared" si="50"/>
        <v>6.0174774009211188E-2</v>
      </c>
      <c r="R84" s="3">
        <f t="shared" si="51"/>
        <v>0.83643836492599788</v>
      </c>
      <c r="S84" s="3">
        <f t="shared" si="52"/>
        <v>0</v>
      </c>
      <c r="T84" s="4">
        <f t="shared" si="43"/>
        <v>1.8832825879895225</v>
      </c>
      <c r="U84" s="5">
        <f t="shared" si="44"/>
        <v>1.0961364235319249</v>
      </c>
      <c r="V84" s="14"/>
      <c r="W84" s="3">
        <f t="shared" si="45"/>
        <v>2.9794190115214474</v>
      </c>
      <c r="X84" s="3">
        <f t="shared" si="47"/>
        <v>6.7113419819692752E-2</v>
      </c>
      <c r="Y84">
        <f t="shared" ref="Y84" si="61">+SUM(K84:L84)</f>
        <v>93.377510562960452</v>
      </c>
    </row>
    <row r="85" spans="1:25" ht="15.6" x14ac:dyDescent="0.3">
      <c r="A85" s="1" t="s">
        <v>23</v>
      </c>
      <c r="B85" s="1">
        <v>60</v>
      </c>
      <c r="C85" s="12">
        <f>+'Flow rate'!E84</f>
        <v>68.486920999999995</v>
      </c>
      <c r="D85" s="1" t="s">
        <v>27</v>
      </c>
      <c r="E85" s="1" t="s">
        <v>26</v>
      </c>
      <c r="F85" s="1" t="s">
        <v>24</v>
      </c>
      <c r="G85" s="1">
        <v>-0.5</v>
      </c>
      <c r="H85" s="15">
        <v>45452.136087962965</v>
      </c>
      <c r="I85" s="2">
        <f t="shared" si="48"/>
        <v>34.374922222341411</v>
      </c>
      <c r="J85" s="21">
        <v>10.790962044646575</v>
      </c>
      <c r="K85" s="21">
        <v>6.2309176105565358</v>
      </c>
      <c r="L85" s="21">
        <v>87.159627571344359</v>
      </c>
      <c r="N85" s="21">
        <v>0</v>
      </c>
      <c r="O85" s="21">
        <v>0</v>
      </c>
      <c r="P85" s="3">
        <f t="shared" si="49"/>
        <v>0.10357847886747437</v>
      </c>
      <c r="Q85" s="3">
        <f t="shared" si="50"/>
        <v>5.9808288211910005E-2</v>
      </c>
      <c r="R85" s="3">
        <f t="shared" si="51"/>
        <v>0.83661323292061562</v>
      </c>
      <c r="S85" s="3">
        <f t="shared" si="52"/>
        <v>0</v>
      </c>
      <c r="T85" s="4">
        <f t="shared" si="43"/>
        <v>1.8777572140876737</v>
      </c>
      <c r="U85" s="5">
        <f t="shared" si="44"/>
        <v>1.0842546239343822</v>
      </c>
      <c r="V85" s="14"/>
      <c r="W85" s="3">
        <f t="shared" si="45"/>
        <v>2.9620118380220557</v>
      </c>
      <c r="X85" s="3">
        <f t="shared" si="47"/>
        <v>6.6718933896577029E-2</v>
      </c>
    </row>
    <row r="86" spans="1:25" ht="15.6" x14ac:dyDescent="0.3">
      <c r="A86" s="1" t="s">
        <v>23</v>
      </c>
      <c r="B86" s="1">
        <v>60</v>
      </c>
      <c r="C86" s="12">
        <f>+'Flow rate'!E85</f>
        <v>68.761014000000003</v>
      </c>
      <c r="D86" s="1" t="s">
        <v>27</v>
      </c>
      <c r="E86" s="1" t="s">
        <v>26</v>
      </c>
      <c r="F86" s="1" t="s">
        <v>24</v>
      </c>
      <c r="G86" s="1">
        <v>-0.5</v>
      </c>
      <c r="H86" s="15">
        <v>45452.151736111111</v>
      </c>
      <c r="I86" s="2">
        <f t="shared" si="48"/>
        <v>34.750477777852211</v>
      </c>
      <c r="J86" s="21">
        <v>10.812444588204514</v>
      </c>
      <c r="K86" s="21">
        <v>6.2641879556875359</v>
      </c>
      <c r="L86" s="21">
        <v>87.19117452241494</v>
      </c>
      <c r="N86" s="21">
        <v>0</v>
      </c>
      <c r="O86" s="21">
        <v>0</v>
      </c>
      <c r="P86" s="3">
        <f t="shared" si="49"/>
        <v>0.1036987819387873</v>
      </c>
      <c r="Q86" s="3">
        <f t="shared" si="50"/>
        <v>6.0077871894859677E-2</v>
      </c>
      <c r="R86" s="3">
        <f t="shared" si="51"/>
        <v>0.83622334616635308</v>
      </c>
      <c r="S86" s="3">
        <f t="shared" si="52"/>
        <v>0</v>
      </c>
      <c r="T86" s="4">
        <f t="shared" si="43"/>
        <v>1.8874619102284615</v>
      </c>
      <c r="U86" s="5">
        <f t="shared" si="44"/>
        <v>1.0935007405975974</v>
      </c>
      <c r="V86" s="14"/>
      <c r="W86" s="3">
        <f t="shared" si="45"/>
        <v>2.9809626508260587</v>
      </c>
      <c r="X86" s="3">
        <f t="shared" si="47"/>
        <v>6.7028662557007346E-2</v>
      </c>
      <c r="Y86">
        <f t="shared" ref="Y86" si="62">+SUM(K86:L86)</f>
        <v>93.455362478102472</v>
      </c>
    </row>
    <row r="87" spans="1:25" ht="15.6" x14ac:dyDescent="0.3">
      <c r="A87" s="1" t="s">
        <v>23</v>
      </c>
      <c r="B87" s="1">
        <v>60</v>
      </c>
      <c r="C87" s="12">
        <f>+'Flow rate'!E86</f>
        <v>68.819603000000001</v>
      </c>
      <c r="D87" s="1" t="s">
        <v>27</v>
      </c>
      <c r="E87" s="1" t="s">
        <v>26</v>
      </c>
      <c r="F87" s="1" t="s">
        <v>24</v>
      </c>
      <c r="G87" s="1">
        <v>-0.5</v>
      </c>
      <c r="H87" s="15">
        <v>45452.167372685188</v>
      </c>
      <c r="I87" s="2">
        <f t="shared" si="48"/>
        <v>35.125755555694923</v>
      </c>
      <c r="J87" s="21">
        <v>10.821030110964378</v>
      </c>
      <c r="K87" s="21">
        <v>6.2251842448895971</v>
      </c>
      <c r="L87" s="21">
        <v>86.981528169305847</v>
      </c>
      <c r="N87" s="21">
        <v>7.5181705457463138E-4</v>
      </c>
      <c r="O87" s="21">
        <v>0</v>
      </c>
      <c r="P87" s="3">
        <f t="shared" si="49"/>
        <v>0.10401986666621629</v>
      </c>
      <c r="Q87" s="3">
        <f t="shared" si="50"/>
        <v>5.9841145296317517E-2</v>
      </c>
      <c r="R87" s="3">
        <f t="shared" si="51"/>
        <v>0.83613176100741704</v>
      </c>
      <c r="S87" s="3">
        <f t="shared" si="52"/>
        <v>7.2270300491078684E-6</v>
      </c>
      <c r="T87" s="4">
        <f t="shared" si="43"/>
        <v>1.8949193222797964</v>
      </c>
      <c r="U87" s="5">
        <f t="shared" si="44"/>
        <v>1.0901200522897143</v>
      </c>
      <c r="V87" s="14"/>
      <c r="W87" s="3">
        <f t="shared" si="45"/>
        <v>2.985039374569511</v>
      </c>
      <c r="X87" s="3">
        <f t="shared" si="47"/>
        <v>6.678901211777423E-2</v>
      </c>
    </row>
    <row r="88" spans="1:25" ht="15.6" x14ac:dyDescent="0.3">
      <c r="A88" s="1" t="s">
        <v>23</v>
      </c>
      <c r="B88" s="1">
        <v>60</v>
      </c>
      <c r="C88" s="12">
        <f>+'Flow rate'!E87</f>
        <v>68.907041000000007</v>
      </c>
      <c r="D88" s="1" t="s">
        <v>27</v>
      </c>
      <c r="E88" s="1" t="s">
        <v>26</v>
      </c>
      <c r="F88" s="1" t="s">
        <v>24</v>
      </c>
      <c r="G88" s="1">
        <v>-0.5</v>
      </c>
      <c r="H88" s="15">
        <v>45452.183009259257</v>
      </c>
      <c r="I88" s="2">
        <f t="shared" si="48"/>
        <v>35.501033333363011</v>
      </c>
      <c r="J88" s="21">
        <v>10.84133508082809</v>
      </c>
      <c r="K88" s="21">
        <v>6.1772215767030962</v>
      </c>
      <c r="L88" s="21">
        <v>86.904011312043409</v>
      </c>
      <c r="N88" s="21">
        <v>0</v>
      </c>
      <c r="O88" s="21">
        <v>0</v>
      </c>
      <c r="P88" s="3">
        <f t="shared" si="49"/>
        <v>0.10432127778060783</v>
      </c>
      <c r="Q88" s="3">
        <f t="shared" si="50"/>
        <v>5.9440617157493651E-2</v>
      </c>
      <c r="R88" s="3">
        <f t="shared" si="51"/>
        <v>0.83623810506189844</v>
      </c>
      <c r="S88" s="3">
        <f t="shared" si="52"/>
        <v>0</v>
      </c>
      <c r="T88" s="4">
        <f t="shared" si="43"/>
        <v>1.9028246433014895</v>
      </c>
      <c r="U88" s="5">
        <f t="shared" si="44"/>
        <v>1.0841994418261738</v>
      </c>
      <c r="V88" s="14"/>
      <c r="W88" s="3">
        <f t="shared" si="45"/>
        <v>2.987024085127663</v>
      </c>
      <c r="X88" s="3">
        <f t="shared" si="47"/>
        <v>6.6363770493739566E-2</v>
      </c>
      <c r="Y88">
        <f t="shared" ref="Y88" si="63">+SUM(K88:L88)</f>
        <v>93.081232888746499</v>
      </c>
    </row>
    <row r="89" spans="1:25" ht="15.6" x14ac:dyDescent="0.3">
      <c r="A89" s="1" t="s">
        <v>23</v>
      </c>
      <c r="B89" s="1">
        <v>60</v>
      </c>
      <c r="C89" s="12">
        <f>+'Flow rate'!E88</f>
        <v>69.007797999999994</v>
      </c>
      <c r="D89" s="1" t="s">
        <v>27</v>
      </c>
      <c r="E89" s="1" t="s">
        <v>26</v>
      </c>
      <c r="F89" s="1" t="s">
        <v>24</v>
      </c>
      <c r="G89" s="1">
        <v>-0.5</v>
      </c>
      <c r="H89" s="15">
        <v>45452.198634259257</v>
      </c>
      <c r="I89" s="2">
        <f t="shared" si="48"/>
        <v>35.876033333363011</v>
      </c>
      <c r="J89" s="21">
        <v>10.861382820555257</v>
      </c>
      <c r="K89" s="21">
        <v>6.1588586893022983</v>
      </c>
      <c r="L89" s="21">
        <v>87.139318282206816</v>
      </c>
      <c r="N89" s="21">
        <v>1.1253243777779864E-4</v>
      </c>
      <c r="O89" s="21">
        <v>0</v>
      </c>
      <c r="P89" s="3">
        <f t="shared" si="49"/>
        <v>0.10427627677934105</v>
      </c>
      <c r="Q89" s="3">
        <f t="shared" si="50"/>
        <v>5.9129013675415627E-2</v>
      </c>
      <c r="R89" s="3">
        <f t="shared" si="51"/>
        <v>0.83659362916129754</v>
      </c>
      <c r="S89" s="3">
        <f t="shared" si="52"/>
        <v>1.0803839457867314E-6</v>
      </c>
      <c r="T89" s="4">
        <f t="shared" si="43"/>
        <v>1.9047849641146501</v>
      </c>
      <c r="U89" s="5">
        <f t="shared" si="44"/>
        <v>1.0800928041398461</v>
      </c>
      <c r="V89" s="14"/>
      <c r="W89" s="3">
        <f t="shared" si="45"/>
        <v>2.9848777682544965</v>
      </c>
      <c r="X89" s="3">
        <f t="shared" si="47"/>
        <v>6.6012637001289509E-2</v>
      </c>
    </row>
    <row r="90" spans="1:25" ht="15.6" x14ac:dyDescent="0.3">
      <c r="A90" s="1" t="s">
        <v>23</v>
      </c>
      <c r="B90" s="1">
        <v>60</v>
      </c>
      <c r="C90" s="12">
        <f>+'Flow rate'!E89</f>
        <v>69.018001999999996</v>
      </c>
      <c r="D90" s="1" t="s">
        <v>27</v>
      </c>
      <c r="E90" s="1" t="s">
        <v>26</v>
      </c>
      <c r="F90" s="1" t="s">
        <v>24</v>
      </c>
      <c r="G90" s="1">
        <v>-0.5</v>
      </c>
      <c r="H90" s="15">
        <v>45452.214259259257</v>
      </c>
      <c r="I90" s="2">
        <f t="shared" si="48"/>
        <v>36.251033333363011</v>
      </c>
      <c r="J90" s="21">
        <v>10.905215812662343</v>
      </c>
      <c r="K90" s="21">
        <v>6.1178285907375933</v>
      </c>
      <c r="L90" s="21">
        <v>87.079798089024649</v>
      </c>
      <c r="N90" s="21">
        <v>0</v>
      </c>
      <c r="O90" s="21">
        <v>0</v>
      </c>
      <c r="P90" s="3">
        <f t="shared" si="49"/>
        <v>0.10475425599887822</v>
      </c>
      <c r="Q90" s="3">
        <f t="shared" si="50"/>
        <v>5.8767161820608108E-2</v>
      </c>
      <c r="R90" s="3">
        <f t="shared" si="51"/>
        <v>0.83647858218051363</v>
      </c>
      <c r="S90" s="3">
        <f t="shared" si="52"/>
        <v>0</v>
      </c>
      <c r="T90" s="4">
        <f t="shared" si="43"/>
        <v>1.9137990205405253</v>
      </c>
      <c r="U90" s="5">
        <f t="shared" si="44"/>
        <v>1.0736416927387726</v>
      </c>
      <c r="V90" s="14"/>
      <c r="W90" s="3">
        <f t="shared" si="45"/>
        <v>2.9874407132792982</v>
      </c>
      <c r="X90" s="3">
        <f t="shared" si="47"/>
        <v>6.5643609270857897E-2</v>
      </c>
      <c r="Y90">
        <f t="shared" ref="Y90" si="64">+SUM(K90:L90)</f>
        <v>93.197626679762237</v>
      </c>
    </row>
    <row r="91" spans="1:25" ht="15.6" x14ac:dyDescent="0.3">
      <c r="A91" s="1" t="s">
        <v>23</v>
      </c>
      <c r="B91" s="1">
        <v>60</v>
      </c>
      <c r="C91" s="12">
        <f>+'Flow rate'!E90</f>
        <v>68.994652000000002</v>
      </c>
      <c r="D91" s="1" t="s">
        <v>27</v>
      </c>
      <c r="E91" s="1" t="s">
        <v>26</v>
      </c>
      <c r="F91" s="1" t="s">
        <v>24</v>
      </c>
      <c r="G91" s="1">
        <v>-0.5</v>
      </c>
      <c r="H91" s="15">
        <v>45452.229895833334</v>
      </c>
      <c r="I91" s="2">
        <f t="shared" si="48"/>
        <v>36.626311111205723</v>
      </c>
      <c r="J91" s="21">
        <v>10.949988813234224</v>
      </c>
      <c r="K91" s="21">
        <v>5.9823134739897936</v>
      </c>
      <c r="L91" s="21">
        <v>87.07225289164451</v>
      </c>
      <c r="N91" s="21">
        <v>3.1302499165853787E-3</v>
      </c>
      <c r="O91" s="21">
        <v>4.1146300158027239E-3</v>
      </c>
      <c r="P91" s="3">
        <f t="shared" si="49"/>
        <v>0.1052764090905443</v>
      </c>
      <c r="Q91" s="3">
        <f t="shared" si="50"/>
        <v>5.7515719087717132E-2</v>
      </c>
      <c r="R91" s="3">
        <f t="shared" si="51"/>
        <v>0.83713821741783156</v>
      </c>
      <c r="S91" s="3">
        <f t="shared" si="52"/>
        <v>3.0095142232090559E-5</v>
      </c>
      <c r="T91" s="4">
        <f t="shared" si="43"/>
        <v>1.9226877531728332</v>
      </c>
      <c r="U91" s="5">
        <f t="shared" si="44"/>
        <v>1.0504230687596199</v>
      </c>
      <c r="V91" s="14"/>
      <c r="W91" s="3">
        <f t="shared" si="45"/>
        <v>2.9731108219324529</v>
      </c>
      <c r="X91" s="3">
        <f t="shared" si="47"/>
        <v>6.4288231170556542E-2</v>
      </c>
    </row>
    <row r="92" spans="1:25" ht="15.6" x14ac:dyDescent="0.3">
      <c r="A92" s="1" t="s">
        <v>23</v>
      </c>
      <c r="B92" s="1">
        <v>60</v>
      </c>
      <c r="C92" s="12">
        <f>+'Flow rate'!E91</f>
        <v>68.693393</v>
      </c>
      <c r="D92" s="1" t="s">
        <v>27</v>
      </c>
      <c r="E92" s="1" t="s">
        <v>26</v>
      </c>
      <c r="F92" s="1" t="s">
        <v>24</v>
      </c>
      <c r="G92" s="1">
        <v>-0.5</v>
      </c>
      <c r="H92" s="15">
        <v>45452.24554398148</v>
      </c>
      <c r="I92" s="2">
        <f t="shared" si="48"/>
        <v>37.001866666716523</v>
      </c>
      <c r="J92" s="21">
        <v>10.961406897875147</v>
      </c>
      <c r="K92" s="21">
        <v>6.0905679566325963</v>
      </c>
      <c r="L92" s="21">
        <v>87.014607065333806</v>
      </c>
      <c r="N92" s="21">
        <v>2.2439554951530147E-3</v>
      </c>
      <c r="O92" s="21">
        <v>0</v>
      </c>
      <c r="P92" s="3">
        <f t="shared" si="49"/>
        <v>0.10532843822996271</v>
      </c>
      <c r="Q92" s="3">
        <f t="shared" si="50"/>
        <v>5.8524422711643195E-2</v>
      </c>
      <c r="R92" s="3">
        <f t="shared" si="51"/>
        <v>0.8361255768328546</v>
      </c>
      <c r="S92" s="3">
        <f t="shared" si="52"/>
        <v>2.1562225539481274E-5</v>
      </c>
      <c r="T92" s="4">
        <f t="shared" si="43"/>
        <v>1.9152385797496834</v>
      </c>
      <c r="U92" s="5">
        <f t="shared" si="44"/>
        <v>1.0641782420640884</v>
      </c>
      <c r="V92" s="14"/>
      <c r="W92" s="3">
        <f t="shared" si="45"/>
        <v>2.9794168218137718</v>
      </c>
      <c r="X92" s="3">
        <f t="shared" si="47"/>
        <v>6.5415998146135718E-2</v>
      </c>
      <c r="Y92">
        <f t="shared" ref="Y92" si="65">+SUM(K92:L92)</f>
        <v>93.105175021966403</v>
      </c>
    </row>
    <row r="93" spans="1:25" ht="15.6" x14ac:dyDescent="0.3">
      <c r="A93" s="1" t="s">
        <v>23</v>
      </c>
      <c r="B93" s="1">
        <v>60</v>
      </c>
      <c r="C93" s="12">
        <f>+'Flow rate'!E92</f>
        <v>68.360506000000001</v>
      </c>
      <c r="D93" s="1" t="s">
        <v>27</v>
      </c>
      <c r="E93" s="1" t="s">
        <v>26</v>
      </c>
      <c r="F93" s="1" t="s">
        <v>24</v>
      </c>
      <c r="G93" s="1">
        <v>-0.5</v>
      </c>
      <c r="H93" s="15">
        <v>45452.261192129627</v>
      </c>
      <c r="I93" s="2">
        <f t="shared" si="48"/>
        <v>37.377422222227324</v>
      </c>
      <c r="J93" s="21">
        <v>10.96956692256337</v>
      </c>
      <c r="K93" s="21">
        <v>5.8558578972730757</v>
      </c>
      <c r="L93" s="21">
        <v>87.045347374380157</v>
      </c>
      <c r="N93" s="21">
        <v>2.7439042884041184E-3</v>
      </c>
      <c r="O93" s="21">
        <v>0</v>
      </c>
      <c r="P93" s="3">
        <f t="shared" si="49"/>
        <v>0.10560504096309539</v>
      </c>
      <c r="Q93" s="3">
        <f t="shared" si="50"/>
        <v>5.6374888587769255E-2</v>
      </c>
      <c r="R93" s="3">
        <f t="shared" si="51"/>
        <v>0.83799365462736031</v>
      </c>
      <c r="S93" s="3">
        <f t="shared" si="52"/>
        <v>2.6415821775032893E-5</v>
      </c>
      <c r="T93" s="4">
        <f t="shared" si="43"/>
        <v>1.9109625961615617</v>
      </c>
      <c r="U93" s="5">
        <f t="shared" si="44"/>
        <v>1.0201246310926542</v>
      </c>
      <c r="V93" s="14"/>
      <c r="W93" s="3">
        <f t="shared" si="45"/>
        <v>2.9310872272542161</v>
      </c>
      <c r="X93" s="3">
        <f t="shared" si="47"/>
        <v>6.3033174652039337E-2</v>
      </c>
    </row>
    <row r="94" spans="1:25" ht="15.6" x14ac:dyDescent="0.3">
      <c r="A94" s="1" t="s">
        <v>23</v>
      </c>
      <c r="B94" s="1">
        <v>60</v>
      </c>
      <c r="C94" s="12">
        <f>+'Flow rate'!E93</f>
        <v>68.594869000000003</v>
      </c>
      <c r="D94" s="1" t="s">
        <v>27</v>
      </c>
      <c r="E94" s="1" t="s">
        <v>26</v>
      </c>
      <c r="F94" s="1" t="s">
        <v>24</v>
      </c>
      <c r="G94" s="1">
        <v>-0.5</v>
      </c>
      <c r="H94" s="15">
        <v>45452.276828703703</v>
      </c>
      <c r="I94" s="2">
        <f t="shared" si="48"/>
        <v>37.752700000070035</v>
      </c>
      <c r="J94" s="21">
        <v>10.986081900423992</v>
      </c>
      <c r="K94" s="21">
        <v>5.8500936932365155</v>
      </c>
      <c r="L94" s="21">
        <v>86.899133840514224</v>
      </c>
      <c r="N94" s="21">
        <v>6.9145796165139689E-4</v>
      </c>
      <c r="O94" s="21">
        <v>0</v>
      </c>
      <c r="P94" s="3">
        <f t="shared" si="49"/>
        <v>0.10590423580958366</v>
      </c>
      <c r="Q94" s="3">
        <f t="shared" si="50"/>
        <v>5.6394054551219715E-2</v>
      </c>
      <c r="R94" s="3">
        <f t="shared" si="51"/>
        <v>0.8376950440847537</v>
      </c>
      <c r="S94" s="3">
        <f t="shared" si="52"/>
        <v>6.6655544430555766E-6</v>
      </c>
      <c r="T94" s="4">
        <f t="shared" si="43"/>
        <v>1.9229466275609308</v>
      </c>
      <c r="U94" s="5">
        <f t="shared" si="44"/>
        <v>1.0239699685736434</v>
      </c>
      <c r="V94" s="14"/>
      <c r="W94" s="3">
        <f t="shared" si="45"/>
        <v>2.9469165961345745</v>
      </c>
      <c r="X94" s="3">
        <f t="shared" si="47"/>
        <v>6.3074311762949295E-2</v>
      </c>
      <c r="Y94">
        <f t="shared" ref="Y94" si="66">+SUM(K94:L94)</f>
        <v>92.749227533750741</v>
      </c>
    </row>
    <row r="95" spans="1:25" ht="15.6" x14ac:dyDescent="0.3">
      <c r="A95" s="1" t="s">
        <v>23</v>
      </c>
      <c r="B95" s="1">
        <v>60</v>
      </c>
      <c r="C95" s="12">
        <f>+'Flow rate'!E94</f>
        <v>69.552661000000001</v>
      </c>
      <c r="D95" s="1" t="s">
        <v>27</v>
      </c>
      <c r="E95" s="1" t="s">
        <v>26</v>
      </c>
      <c r="F95" s="1" t="s">
        <v>24</v>
      </c>
      <c r="G95" s="1">
        <v>-0.5</v>
      </c>
      <c r="H95" s="15">
        <v>45452.292442129627</v>
      </c>
      <c r="I95" s="2">
        <f t="shared" si="48"/>
        <v>38.127422222227324</v>
      </c>
      <c r="J95" s="21">
        <v>10.998350671767763</v>
      </c>
      <c r="K95" s="21">
        <v>5.9712886026966636</v>
      </c>
      <c r="L95" s="21">
        <v>86.896701021064956</v>
      </c>
      <c r="N95" s="21">
        <v>3.7602537387928375E-4</v>
      </c>
      <c r="O95" s="21">
        <v>0</v>
      </c>
      <c r="P95" s="3">
        <f t="shared" si="49"/>
        <v>0.10588907651405492</v>
      </c>
      <c r="Q95" s="3">
        <f t="shared" si="50"/>
        <v>5.7489914134263784E-2</v>
      </c>
      <c r="R95" s="3">
        <f t="shared" si="51"/>
        <v>0.83661738908344518</v>
      </c>
      <c r="S95" s="3">
        <f t="shared" si="52"/>
        <v>3.620268236049052E-6</v>
      </c>
      <c r="T95" s="4">
        <f t="shared" si="43"/>
        <v>1.9495176861029593</v>
      </c>
      <c r="U95" s="5">
        <f t="shared" si="44"/>
        <v>1.0584434964111846</v>
      </c>
      <c r="V95" s="14"/>
      <c r="W95" s="3">
        <f t="shared" si="45"/>
        <v>3.0079611825141441</v>
      </c>
      <c r="X95" s="3">
        <f t="shared" si="47"/>
        <v>6.4298674138293432E-2</v>
      </c>
    </row>
    <row r="96" spans="1:25" ht="15.6" x14ac:dyDescent="0.3">
      <c r="A96" s="1" t="s">
        <v>23</v>
      </c>
      <c r="B96" s="1">
        <v>60</v>
      </c>
      <c r="C96" s="12">
        <f>+'Flow rate'!E95</f>
        <v>69.331479000000002</v>
      </c>
      <c r="D96" s="1" t="s">
        <v>27</v>
      </c>
      <c r="E96" s="1" t="s">
        <v>26</v>
      </c>
      <c r="F96" s="1" t="s">
        <v>24</v>
      </c>
      <c r="G96" s="1">
        <v>-0.5</v>
      </c>
      <c r="H96" s="15">
        <v>45452.308067129627</v>
      </c>
      <c r="I96" s="2">
        <f t="shared" si="48"/>
        <v>38.502422222227324</v>
      </c>
      <c r="J96" s="21">
        <v>11.003952996484605</v>
      </c>
      <c r="K96" s="21">
        <v>5.9878674830901124</v>
      </c>
      <c r="L96" s="21">
        <v>86.876784965027198</v>
      </c>
      <c r="N96" s="21">
        <v>3.9028225892677459E-3</v>
      </c>
      <c r="O96" s="21">
        <v>6.1326254788364118E-4</v>
      </c>
      <c r="P96" s="3">
        <f t="shared" si="49"/>
        <v>0.10593648129977641</v>
      </c>
      <c r="Q96" s="3">
        <f t="shared" si="50"/>
        <v>5.7645976118815057E-2</v>
      </c>
      <c r="R96" s="3">
        <f t="shared" si="51"/>
        <v>0.83637406564463568</v>
      </c>
      <c r="S96" s="3">
        <f t="shared" si="52"/>
        <v>3.7572978762849257E-5</v>
      </c>
      <c r="T96" s="4">
        <f t="shared" si="43"/>
        <v>1.9441880839863179</v>
      </c>
      <c r="U96" s="5">
        <f t="shared" si="44"/>
        <v>1.0579416881217163</v>
      </c>
      <c r="V96" s="14"/>
      <c r="W96" s="3">
        <f t="shared" si="45"/>
        <v>3.0021297721080344</v>
      </c>
      <c r="X96" s="3">
        <f t="shared" si="47"/>
        <v>6.447951212045383E-2</v>
      </c>
      <c r="Y96">
        <f t="shared" ref="Y96" si="67">+SUM(K96:L96)</f>
        <v>92.864652448117312</v>
      </c>
    </row>
    <row r="97" spans="1:25" ht="15.6" x14ac:dyDescent="0.3">
      <c r="A97" s="1" t="s">
        <v>23</v>
      </c>
      <c r="B97" s="1">
        <v>60</v>
      </c>
      <c r="C97" s="12">
        <f>+'Flow rate'!E96</f>
        <v>69.350002000000003</v>
      </c>
      <c r="D97" s="1" t="s">
        <v>27</v>
      </c>
      <c r="E97" s="1" t="s">
        <v>26</v>
      </c>
      <c r="F97" s="1" t="s">
        <v>24</v>
      </c>
      <c r="G97" s="1">
        <v>-0.5</v>
      </c>
      <c r="H97" s="15">
        <v>45452.323703703703</v>
      </c>
      <c r="I97" s="2">
        <f t="shared" si="48"/>
        <v>38.877700000070035</v>
      </c>
      <c r="J97" s="21">
        <v>10.96519441422387</v>
      </c>
      <c r="K97" s="21">
        <v>5.8474074184567497</v>
      </c>
      <c r="L97" s="21">
        <v>86.878439586632439</v>
      </c>
      <c r="N97" s="21">
        <v>3.3793942274531127E-3</v>
      </c>
      <c r="O97" s="21">
        <v>0</v>
      </c>
      <c r="P97" s="3">
        <f t="shared" si="49"/>
        <v>0.10574526891799781</v>
      </c>
      <c r="Q97" s="3">
        <f t="shared" si="50"/>
        <v>5.639076213146841E-2</v>
      </c>
      <c r="R97" s="3">
        <f t="shared" si="51"/>
        <v>0.83783137901752747</v>
      </c>
      <c r="S97" s="3">
        <f t="shared" si="52"/>
        <v>3.258993300642293E-5</v>
      </c>
      <c r="T97" s="4">
        <f t="shared" si="43"/>
        <v>1.9411973619694554</v>
      </c>
      <c r="U97" s="5">
        <f t="shared" si="44"/>
        <v>1.035181997351964</v>
      </c>
      <c r="V97" s="14"/>
      <c r="W97" s="3">
        <f t="shared" si="45"/>
        <v>2.9763793593214194</v>
      </c>
      <c r="X97" s="3">
        <f t="shared" si="47"/>
        <v>6.3061245675499936E-2</v>
      </c>
    </row>
    <row r="98" spans="1:25" ht="15.6" x14ac:dyDescent="0.3">
      <c r="A98" s="1" t="s">
        <v>23</v>
      </c>
      <c r="B98" s="1">
        <v>60</v>
      </c>
      <c r="C98" s="12">
        <f>+'Flow rate'!E97</f>
        <v>69.530362999999994</v>
      </c>
      <c r="D98" s="1" t="s">
        <v>27</v>
      </c>
      <c r="E98" s="1" t="s">
        <v>26</v>
      </c>
      <c r="F98" s="1" t="s">
        <v>24</v>
      </c>
      <c r="G98" s="1">
        <v>-0.5</v>
      </c>
      <c r="H98" s="15">
        <v>45452.339328703703</v>
      </c>
      <c r="I98" s="2">
        <f t="shared" si="48"/>
        <v>39.252700000070035</v>
      </c>
      <c r="J98" s="21">
        <v>10.939816644940048</v>
      </c>
      <c r="K98" s="21">
        <v>5.7231794685039228</v>
      </c>
      <c r="L98" s="21">
        <v>86.981094947581781</v>
      </c>
      <c r="N98" s="21">
        <v>1.5433631159949765E-3</v>
      </c>
      <c r="O98" s="21">
        <v>0</v>
      </c>
      <c r="P98" s="3">
        <f t="shared" si="49"/>
        <v>0.10555019230401741</v>
      </c>
      <c r="Q98" s="3">
        <f t="shared" si="50"/>
        <v>5.5218721949092012E-2</v>
      </c>
      <c r="R98" s="3">
        <f t="shared" si="51"/>
        <v>0.8392161949787017</v>
      </c>
      <c r="S98" s="3">
        <f t="shared" si="52"/>
        <v>1.4890768188838327E-5</v>
      </c>
      <c r="T98" s="4">
        <f t="shared" si="43"/>
        <v>1.9426555096416072</v>
      </c>
      <c r="U98" s="5">
        <f t="shared" si="44"/>
        <v>1.0163027853212983</v>
      </c>
      <c r="V98" s="14"/>
      <c r="W98" s="3">
        <f t="shared" si="45"/>
        <v>2.9589582949629056</v>
      </c>
      <c r="X98" s="3">
        <f t="shared" si="47"/>
        <v>6.1735874689191866E-2</v>
      </c>
      <c r="Y98">
        <f t="shared" ref="Y98" si="68">+SUM(K98:L98)</f>
        <v>92.70427441608571</v>
      </c>
    </row>
    <row r="99" spans="1:25" ht="15.6" x14ac:dyDescent="0.3">
      <c r="A99" s="1" t="s">
        <v>23</v>
      </c>
      <c r="B99" s="1">
        <v>60</v>
      </c>
      <c r="C99" s="12">
        <f>+'Flow rate'!E98</f>
        <v>69.714513999999994</v>
      </c>
      <c r="D99" s="1" t="s">
        <v>27</v>
      </c>
      <c r="E99" s="1" t="s">
        <v>26</v>
      </c>
      <c r="F99" s="1" t="s">
        <v>24</v>
      </c>
      <c r="G99" s="1">
        <v>-0.5</v>
      </c>
      <c r="H99" s="15">
        <v>45452.354953703703</v>
      </c>
      <c r="I99" s="2">
        <f t="shared" si="48"/>
        <v>39.627700000070035</v>
      </c>
      <c r="J99" s="21">
        <v>10.968622601548288</v>
      </c>
      <c r="K99" s="21">
        <v>5.6822919865281643</v>
      </c>
      <c r="L99" s="21">
        <v>86.825887864989909</v>
      </c>
      <c r="N99" s="21">
        <v>2.4836131116518501E-3</v>
      </c>
      <c r="O99" s="21">
        <v>0</v>
      </c>
      <c r="P99" s="3">
        <f t="shared" si="49"/>
        <v>0.10599824388557856</v>
      </c>
      <c r="Q99" s="3">
        <f t="shared" si="50"/>
        <v>5.4912361715504808E-2</v>
      </c>
      <c r="R99" s="3">
        <f t="shared" si="51"/>
        <v>0.83906539333352403</v>
      </c>
      <c r="S99" s="3">
        <f t="shared" si="52"/>
        <v>2.4001065392580185E-5</v>
      </c>
      <c r="T99" s="4">
        <f t="shared" si="43"/>
        <v>1.9560688759728941</v>
      </c>
      <c r="U99" s="5">
        <f t="shared" si="44"/>
        <v>1.0133409547219709</v>
      </c>
      <c r="V99" s="14"/>
      <c r="W99" s="3">
        <f t="shared" si="45"/>
        <v>2.9694098306948651</v>
      </c>
      <c r="X99" s="3">
        <f t="shared" si="47"/>
        <v>6.1424751796529016E-2</v>
      </c>
    </row>
    <row r="100" spans="1:25" ht="15.6" x14ac:dyDescent="0.3">
      <c r="A100" s="1" t="s">
        <v>23</v>
      </c>
      <c r="B100" s="1">
        <v>60</v>
      </c>
      <c r="C100" s="12">
        <f>+'Flow rate'!E99</f>
        <v>70.119152999999997</v>
      </c>
      <c r="D100" s="1" t="s">
        <v>27</v>
      </c>
      <c r="E100" s="1" t="s">
        <v>26</v>
      </c>
      <c r="F100" s="1" t="s">
        <v>24</v>
      </c>
      <c r="G100" s="1">
        <v>-0.5</v>
      </c>
      <c r="H100" s="15">
        <v>45452.370578703703</v>
      </c>
      <c r="I100" s="2">
        <f t="shared" si="48"/>
        <v>40.002700000070035</v>
      </c>
      <c r="J100" s="21">
        <v>10.926437501267309</v>
      </c>
      <c r="K100" s="21">
        <v>5.6798559591884121</v>
      </c>
      <c r="L100" s="21">
        <v>86.682985915019742</v>
      </c>
      <c r="N100" s="21">
        <v>5.7865243399298286E-3</v>
      </c>
      <c r="O100" s="21">
        <v>4.9069192510660473E-3</v>
      </c>
      <c r="P100" s="3">
        <f t="shared" si="49"/>
        <v>0.10577386617908748</v>
      </c>
      <c r="Q100" s="3">
        <f t="shared" si="50"/>
        <v>5.4984099261447823E-2</v>
      </c>
      <c r="R100" s="3">
        <f t="shared" si="51"/>
        <v>0.83913851620123903</v>
      </c>
      <c r="S100" s="3">
        <f t="shared" si="52"/>
        <v>5.6016707284765024E-5</v>
      </c>
      <c r="T100" s="4">
        <f t="shared" si="43"/>
        <v>1.9632576963557213</v>
      </c>
      <c r="U100" s="5">
        <f t="shared" si="44"/>
        <v>1.0205541307288126</v>
      </c>
      <c r="V100" s="14"/>
      <c r="W100" s="3">
        <f t="shared" si="45"/>
        <v>2.983811827084534</v>
      </c>
      <c r="X100" s="3">
        <f t="shared" si="47"/>
        <v>6.1495032460391223E-2</v>
      </c>
      <c r="Y100">
        <f t="shared" ref="Y100" si="69">+SUM(K100:L100)</f>
        <v>92.362841874208158</v>
      </c>
    </row>
    <row r="101" spans="1:25" ht="15.6" x14ac:dyDescent="0.3">
      <c r="A101" s="1" t="s">
        <v>23</v>
      </c>
      <c r="B101" s="1">
        <v>60</v>
      </c>
      <c r="C101" s="12">
        <f>+'Flow rate'!E100</f>
        <v>71.970871000000002</v>
      </c>
      <c r="D101" s="1" t="s">
        <v>27</v>
      </c>
      <c r="E101" s="1" t="s">
        <v>26</v>
      </c>
      <c r="F101" s="1" t="s">
        <v>24</v>
      </c>
      <c r="G101" s="1">
        <v>-0.5</v>
      </c>
      <c r="H101" s="15">
        <v>45452.386192129627</v>
      </c>
      <c r="I101" s="2">
        <f t="shared" si="48"/>
        <v>40.377422222227324</v>
      </c>
      <c r="J101" s="21">
        <v>10.953071569088719</v>
      </c>
      <c r="K101" s="21">
        <v>5.7279754662026718</v>
      </c>
      <c r="L101" s="21">
        <v>86.830100536364782</v>
      </c>
      <c r="N101" s="21">
        <v>5.4359909829914885E-3</v>
      </c>
      <c r="O101" s="21">
        <v>0</v>
      </c>
      <c r="P101" s="3">
        <f t="shared" si="49"/>
        <v>0.10580982478484599</v>
      </c>
      <c r="Q101" s="3">
        <f t="shared" si="50"/>
        <v>5.5333892107602284E-2</v>
      </c>
      <c r="R101" s="3">
        <f t="shared" si="51"/>
        <v>0.83880376986961525</v>
      </c>
      <c r="S101" s="3">
        <f t="shared" si="52"/>
        <v>5.2513237936432693E-5</v>
      </c>
      <c r="T101" s="4">
        <f t="shared" si="43"/>
        <v>2.0157887743706278</v>
      </c>
      <c r="U101" s="5">
        <f t="shared" si="44"/>
        <v>1.0541690129394776</v>
      </c>
      <c r="V101" s="14"/>
      <c r="W101" s="3">
        <f t="shared" si="45"/>
        <v>3.0699577873101056</v>
      </c>
      <c r="X101" s="3">
        <f t="shared" si="47"/>
        <v>6.1885204550316979E-2</v>
      </c>
    </row>
    <row r="102" spans="1:25" ht="15.6" x14ac:dyDescent="0.3">
      <c r="A102" s="1" t="s">
        <v>23</v>
      </c>
      <c r="B102" s="1">
        <v>60</v>
      </c>
      <c r="C102" s="12">
        <f>+'Flow rate'!E101</f>
        <v>72.093170999999998</v>
      </c>
      <c r="D102" s="1" t="s">
        <v>27</v>
      </c>
      <c r="E102" s="1" t="s">
        <v>26</v>
      </c>
      <c r="F102" s="1" t="s">
        <v>24</v>
      </c>
      <c r="G102" s="1">
        <v>-0.5</v>
      </c>
      <c r="H102" s="15">
        <v>45452.40184027778</v>
      </c>
      <c r="I102" s="2">
        <f t="shared" si="48"/>
        <v>40.752977777912747</v>
      </c>
      <c r="J102" s="21">
        <v>10.966499521383493</v>
      </c>
      <c r="K102" s="21">
        <v>5.6898947019808768</v>
      </c>
      <c r="L102" s="21">
        <v>86.711569673617916</v>
      </c>
      <c r="N102" s="21">
        <v>4.4828153662579556E-3</v>
      </c>
      <c r="O102" s="21">
        <v>0</v>
      </c>
      <c r="P102" s="3">
        <f t="shared" si="49"/>
        <v>0.10608725893757402</v>
      </c>
      <c r="Q102" s="3">
        <f t="shared" si="50"/>
        <v>5.5042662556048214E-2</v>
      </c>
      <c r="R102" s="3">
        <f t="shared" si="51"/>
        <v>0.83882671283681265</v>
      </c>
      <c r="S102" s="3">
        <f t="shared" si="52"/>
        <v>4.3365669565045249E-5</v>
      </c>
      <c r="T102" s="4">
        <f t="shared" si="43"/>
        <v>2.0245085961564069</v>
      </c>
      <c r="U102" s="5">
        <f t="shared" si="44"/>
        <v>1.0504027026056766</v>
      </c>
      <c r="V102" s="14"/>
      <c r="W102" s="3">
        <f t="shared" si="45"/>
        <v>3.0749112987620837</v>
      </c>
      <c r="X102" s="3">
        <f t="shared" si="47"/>
        <v>6.1577971089854869E-2</v>
      </c>
      <c r="Y102">
        <f t="shared" ref="Y102" si="70">+SUM(K102:L102)</f>
        <v>92.401464375598792</v>
      </c>
    </row>
    <row r="103" spans="1:25" ht="15.6" x14ac:dyDescent="0.3">
      <c r="A103" s="1" t="s">
        <v>23</v>
      </c>
      <c r="B103" s="1">
        <v>60</v>
      </c>
      <c r="C103" s="12">
        <f>+'Flow rate'!E102</f>
        <v>71.995649999999998</v>
      </c>
      <c r="D103" s="1" t="s">
        <v>27</v>
      </c>
      <c r="E103" s="1" t="s">
        <v>26</v>
      </c>
      <c r="F103" s="1" t="s">
        <v>24</v>
      </c>
      <c r="G103" s="1">
        <v>-0.5</v>
      </c>
      <c r="H103" s="15">
        <v>45452.417488425926</v>
      </c>
      <c r="I103" s="2">
        <f t="shared" si="48"/>
        <v>41.128533333423547</v>
      </c>
      <c r="J103" s="21">
        <v>11.011146683858533</v>
      </c>
      <c r="K103" s="21">
        <v>5.7214030256659418</v>
      </c>
      <c r="L103" s="21">
        <v>86.468519124066873</v>
      </c>
      <c r="N103" s="21">
        <v>5.4710917521577154E-3</v>
      </c>
      <c r="O103" s="21">
        <v>0</v>
      </c>
      <c r="P103" s="3">
        <f t="shared" si="49"/>
        <v>0.10669039667276574</v>
      </c>
      <c r="Q103" s="3">
        <f t="shared" si="50"/>
        <v>5.5436438716040981E-2</v>
      </c>
      <c r="R103" s="3">
        <f t="shared" si="51"/>
        <v>0.83782015351561623</v>
      </c>
      <c r="S103" s="3">
        <f t="shared" si="52"/>
        <v>5.3011095577037446E-5</v>
      </c>
      <c r="T103" s="4">
        <f t="shared" si="43"/>
        <v>2.033264393564485</v>
      </c>
      <c r="U103" s="5">
        <f t="shared" si="44"/>
        <v>1.0564862486458297</v>
      </c>
      <c r="V103" s="14"/>
      <c r="W103" s="3">
        <f t="shared" si="45"/>
        <v>3.0897506422103147</v>
      </c>
      <c r="X103" s="3">
        <f t="shared" si="47"/>
        <v>6.2061046286310637E-2</v>
      </c>
    </row>
    <row r="104" spans="1:25" ht="15.6" x14ac:dyDescent="0.3">
      <c r="A104" s="1" t="s">
        <v>23</v>
      </c>
      <c r="B104" s="1">
        <v>60</v>
      </c>
      <c r="C104" s="12">
        <f>+'Flow rate'!E103</f>
        <v>70.391023000000004</v>
      </c>
      <c r="D104" s="1" t="s">
        <v>27</v>
      </c>
      <c r="E104" s="1" t="s">
        <v>26</v>
      </c>
      <c r="F104" s="1" t="s">
        <v>24</v>
      </c>
      <c r="G104" s="1">
        <v>-0.5</v>
      </c>
      <c r="H104" s="15">
        <v>45452.433113425926</v>
      </c>
      <c r="I104" s="2">
        <f t="shared" si="48"/>
        <v>41.503533333423547</v>
      </c>
      <c r="J104" s="21">
        <v>11.073458601243711</v>
      </c>
      <c r="K104" s="21">
        <v>5.7606976928457376</v>
      </c>
      <c r="L104" s="21">
        <v>86.652832648199393</v>
      </c>
      <c r="N104" s="21">
        <v>4.784255079835667E-3</v>
      </c>
      <c r="O104" s="21">
        <v>0</v>
      </c>
      <c r="P104" s="3">
        <f t="shared" si="49"/>
        <v>0.10699844305619896</v>
      </c>
      <c r="Q104" s="3">
        <f t="shared" si="50"/>
        <v>5.5663339363792107E-2</v>
      </c>
      <c r="R104" s="3">
        <f t="shared" si="51"/>
        <v>0.83729198921873893</v>
      </c>
      <c r="S104" s="3">
        <f t="shared" si="52"/>
        <v>4.6228361269949799E-5</v>
      </c>
      <c r="T104" s="4">
        <f t="shared" si="43"/>
        <v>1.9936871224522668</v>
      </c>
      <c r="U104" s="5">
        <f t="shared" si="44"/>
        <v>1.0371672681629114</v>
      </c>
      <c r="V104" s="14"/>
      <c r="W104" s="3">
        <f t="shared" si="45"/>
        <v>3.0308543906151781</v>
      </c>
      <c r="X104" s="3">
        <f t="shared" si="47"/>
        <v>6.2336085112064427E-2</v>
      </c>
      <c r="Y104">
        <f t="shared" ref="Y104" si="71">+SUM(K104:L104)</f>
        <v>92.413530341045131</v>
      </c>
    </row>
    <row r="105" spans="1:25" ht="15.6" x14ac:dyDescent="0.3">
      <c r="A105" s="1" t="s">
        <v>23</v>
      </c>
      <c r="B105" s="1">
        <v>60</v>
      </c>
      <c r="C105" s="12">
        <f>+'Flow rate'!E104</f>
        <v>65.115953000000005</v>
      </c>
      <c r="D105" s="1" t="s">
        <v>27</v>
      </c>
      <c r="E105" s="1" t="s">
        <v>26</v>
      </c>
      <c r="F105" s="1" t="s">
        <v>24</v>
      </c>
      <c r="G105" s="1">
        <v>-0.5</v>
      </c>
      <c r="H105" s="15">
        <v>45452.448750000003</v>
      </c>
      <c r="I105" s="2">
        <f t="shared" si="48"/>
        <v>41.878811111266259</v>
      </c>
      <c r="J105" s="21">
        <v>11.117704633616693</v>
      </c>
      <c r="K105" s="21">
        <v>5.7646745266176573</v>
      </c>
      <c r="L105" s="21">
        <v>86.635973122095507</v>
      </c>
      <c r="N105" s="21">
        <v>7.7362772001373509E-3</v>
      </c>
      <c r="O105" s="21">
        <v>0</v>
      </c>
      <c r="P105" s="3">
        <f t="shared" si="49"/>
        <v>0.10739036689504351</v>
      </c>
      <c r="Q105" s="3">
        <f t="shared" si="50"/>
        <v>5.5683302700099892E-2</v>
      </c>
      <c r="R105" s="3">
        <f t="shared" si="51"/>
        <v>0.83685160260138425</v>
      </c>
      <c r="S105" s="3">
        <f t="shared" si="52"/>
        <v>7.4727803472347023E-5</v>
      </c>
      <c r="T105" s="4">
        <f t="shared" si="43"/>
        <v>1.8510365559833297</v>
      </c>
      <c r="U105" s="5">
        <f t="shared" si="44"/>
        <v>0.95978654171566402</v>
      </c>
      <c r="V105" s="14"/>
      <c r="W105" s="3">
        <f t="shared" si="45"/>
        <v>2.8108230976989939</v>
      </c>
      <c r="X105" s="3">
        <f t="shared" si="47"/>
        <v>6.2387815164820878E-2</v>
      </c>
    </row>
    <row r="106" spans="1:25" ht="15.6" x14ac:dyDescent="0.3">
      <c r="A106" s="1" t="s">
        <v>23</v>
      </c>
      <c r="B106" s="1">
        <v>60</v>
      </c>
      <c r="C106" s="12">
        <f>+'Flow rate'!E105</f>
        <v>59.636226000000001</v>
      </c>
      <c r="D106" s="1" t="s">
        <v>27</v>
      </c>
      <c r="E106" s="1" t="s">
        <v>26</v>
      </c>
      <c r="F106" s="1" t="s">
        <v>24</v>
      </c>
      <c r="G106" s="1">
        <v>-0.5</v>
      </c>
      <c r="H106" s="15">
        <v>45452.464375000003</v>
      </c>
      <c r="I106" s="2">
        <f t="shared" si="48"/>
        <v>42.253811111266259</v>
      </c>
      <c r="J106" s="21">
        <v>0.96981482788602125</v>
      </c>
      <c r="K106" s="21">
        <v>0.49479620360353399</v>
      </c>
      <c r="L106" s="21">
        <v>104.42514459610018</v>
      </c>
      <c r="N106" s="21">
        <v>0</v>
      </c>
      <c r="O106" s="21">
        <v>5.063981179080977E-3</v>
      </c>
      <c r="P106" s="3">
        <f t="shared" si="49"/>
        <v>9.15828396015053E-3</v>
      </c>
      <c r="Q106" s="3">
        <f t="shared" si="50"/>
        <v>4.67252510964721E-3</v>
      </c>
      <c r="R106" s="3">
        <f t="shared" si="51"/>
        <v>0.98612137007175249</v>
      </c>
      <c r="S106" s="3">
        <f t="shared" si="52"/>
        <v>0</v>
      </c>
      <c r="T106" s="4">
        <f t="shared" si="43"/>
        <v>0.14457277777097918</v>
      </c>
      <c r="U106" s="5">
        <f t="shared" si="44"/>
        <v>7.3760536061740878E-2</v>
      </c>
      <c r="V106" s="14"/>
      <c r="W106" s="3">
        <f t="shared" si="45"/>
        <v>0.21833331383272006</v>
      </c>
      <c r="X106" s="3">
        <f t="shared" si="47"/>
        <v>4.7159405526935949E-3</v>
      </c>
      <c r="Y106">
        <f t="shared" ref="Y106" si="72">+SUM(K106:L106)</f>
        <v>104.91994079970371</v>
      </c>
    </row>
    <row r="107" spans="1:25" ht="15.6" x14ac:dyDescent="0.3">
      <c r="A107" s="1" t="s">
        <v>23</v>
      </c>
      <c r="B107" s="1">
        <v>60</v>
      </c>
      <c r="C107" s="12">
        <f>+'Flow rate'!E106</f>
        <v>59.841330999999997</v>
      </c>
      <c r="D107" s="1" t="s">
        <v>27</v>
      </c>
      <c r="E107" s="1" t="s">
        <v>26</v>
      </c>
      <c r="F107" s="1" t="s">
        <v>24</v>
      </c>
      <c r="G107" s="1">
        <v>-0.5</v>
      </c>
      <c r="H107" s="15">
        <v>45452.480011574073</v>
      </c>
      <c r="I107" s="2">
        <f t="shared" si="48"/>
        <v>42.629088888934348</v>
      </c>
      <c r="J107" s="21">
        <v>5.2991425169708626E-3</v>
      </c>
      <c r="K107" s="21">
        <v>3.8710906709638886E-2</v>
      </c>
      <c r="L107" s="21">
        <v>107.20814468462488</v>
      </c>
      <c r="N107" s="21">
        <v>0</v>
      </c>
      <c r="O107" s="21">
        <v>0</v>
      </c>
      <c r="P107" s="3">
        <f t="shared" si="49"/>
        <v>4.9408261588038E-5</v>
      </c>
      <c r="Q107" s="3">
        <f t="shared" si="50"/>
        <v>3.6093360367165419E-4</v>
      </c>
      <c r="R107" s="3">
        <f t="shared" si="51"/>
        <v>0.99958965813474032</v>
      </c>
      <c r="S107" s="3">
        <f t="shared" si="52"/>
        <v>0</v>
      </c>
      <c r="T107" s="4">
        <f t="shared" si="43"/>
        <v>7.8264188550072444E-4</v>
      </c>
      <c r="U107" s="5">
        <f t="shared" si="44"/>
        <v>5.7172980193770876E-3</v>
      </c>
      <c r="V107" s="14"/>
      <c r="W107" s="3">
        <f t="shared" si="45"/>
        <v>6.4999399048778122E-3</v>
      </c>
      <c r="X107" s="3">
        <f t="shared" si="47"/>
        <v>3.609514376547064E-4</v>
      </c>
    </row>
    <row r="108" spans="1:25" ht="15.6" x14ac:dyDescent="0.3">
      <c r="A108" s="1" t="s">
        <v>23</v>
      </c>
      <c r="B108" s="1">
        <v>60</v>
      </c>
      <c r="C108" s="12">
        <f>+'Flow rate'!E107</f>
        <v>60.378075000000003</v>
      </c>
      <c r="D108" s="1" t="s">
        <v>27</v>
      </c>
      <c r="E108" s="1" t="s">
        <v>26</v>
      </c>
      <c r="F108" s="1" t="s">
        <v>24</v>
      </c>
      <c r="G108" s="1">
        <v>-0.5</v>
      </c>
      <c r="H108" s="15">
        <v>45452.495648148149</v>
      </c>
      <c r="I108" s="2">
        <f t="shared" si="48"/>
        <v>43.004366666777059</v>
      </c>
      <c r="J108" s="21">
        <v>2.5146218398476067E-3</v>
      </c>
      <c r="K108" s="21">
        <v>1.0488069457839021E-2</v>
      </c>
      <c r="L108" s="21">
        <v>107.36342608864884</v>
      </c>
      <c r="N108" s="21">
        <v>0</v>
      </c>
      <c r="O108" s="21">
        <v>3.4767859613851508E-3</v>
      </c>
      <c r="P108" s="3">
        <f t="shared" si="49"/>
        <v>2.3417992655098544E-5</v>
      </c>
      <c r="Q108" s="3">
        <f t="shared" si="50"/>
        <v>9.7672552444196626E-5</v>
      </c>
      <c r="R108" s="3">
        <f t="shared" si="51"/>
        <v>0.99984653108817501</v>
      </c>
      <c r="S108" s="3">
        <f t="shared" si="52"/>
        <v>0</v>
      </c>
      <c r="T108" s="4">
        <f t="shared" si="43"/>
        <v>3.742753253198059E-4</v>
      </c>
      <c r="U108" s="5">
        <f t="shared" si="44"/>
        <v>1.5610401318026062E-3</v>
      </c>
      <c r="V108" s="14"/>
      <c r="W108" s="3">
        <f t="shared" si="45"/>
        <v>1.9353154571224121E-3</v>
      </c>
      <c r="X108" s="3">
        <f t="shared" si="47"/>
        <v>9.767800252112889E-5</v>
      </c>
      <c r="Y108">
        <f t="shared" ref="Y108" si="73">+SUM(K108:L108)</f>
        <v>107.37391415810667</v>
      </c>
    </row>
    <row r="109" spans="1:25" ht="15.6" x14ac:dyDescent="0.3">
      <c r="A109" s="1" t="s">
        <v>23</v>
      </c>
      <c r="B109" s="1">
        <v>60</v>
      </c>
      <c r="C109" s="12">
        <f>+'Flow rate'!E108</f>
        <v>60.774973000000003</v>
      </c>
      <c r="D109" s="1" t="s">
        <v>27</v>
      </c>
      <c r="E109" s="1" t="s">
        <v>26</v>
      </c>
      <c r="F109" s="1" t="s">
        <v>24</v>
      </c>
      <c r="G109" s="1">
        <v>-0.5</v>
      </c>
      <c r="H109" s="15">
        <v>45452.511273148149</v>
      </c>
      <c r="I109" s="2">
        <f t="shared" si="48"/>
        <v>43.379366666777059</v>
      </c>
      <c r="J109" s="21">
        <v>6.3894140118668577E-3</v>
      </c>
      <c r="K109" s="21">
        <v>1.2232833282747329E-2</v>
      </c>
      <c r="L109" s="21">
        <v>107.28841632954439</v>
      </c>
      <c r="N109" s="21">
        <v>0</v>
      </c>
      <c r="O109" s="21">
        <v>2.1459114562684535E-3</v>
      </c>
      <c r="P109" s="3">
        <f t="shared" si="49"/>
        <v>5.954209830532988E-5</v>
      </c>
      <c r="Q109" s="3">
        <f t="shared" si="50"/>
        <v>1.1399614432892855E-4</v>
      </c>
      <c r="R109" s="3">
        <f t="shared" si="51"/>
        <v>0.99980646429427344</v>
      </c>
      <c r="S109" s="3">
        <f t="shared" si="52"/>
        <v>0</v>
      </c>
      <c r="T109" s="4">
        <f t="shared" si="43"/>
        <v>9.5788016100597985E-4</v>
      </c>
      <c r="U109" s="5">
        <f t="shared" si="44"/>
        <v>1.8339065668110742E-3</v>
      </c>
      <c r="V109" s="14"/>
      <c r="W109" s="3">
        <f t="shared" si="45"/>
        <v>2.7917867278170541E-3</v>
      </c>
      <c r="X109" s="3">
        <f t="shared" si="47"/>
        <v>1.1400521225350824E-4</v>
      </c>
    </row>
    <row r="110" spans="1:25" ht="15.6" x14ac:dyDescent="0.3">
      <c r="A110" s="1" t="s">
        <v>23</v>
      </c>
      <c r="B110" s="1">
        <v>60</v>
      </c>
      <c r="C110" s="12">
        <f>+'Flow rate'!E109</f>
        <v>61.310768000000003</v>
      </c>
      <c r="D110" s="1" t="s">
        <v>27</v>
      </c>
      <c r="E110" s="1" t="s">
        <v>26</v>
      </c>
      <c r="F110" s="1" t="s">
        <v>24</v>
      </c>
      <c r="G110" s="1">
        <v>-0.5</v>
      </c>
      <c r="H110" s="15">
        <v>45452.526886574073</v>
      </c>
      <c r="I110" s="2">
        <f t="shared" si="48"/>
        <v>43.754088888934348</v>
      </c>
      <c r="J110" s="21">
        <v>6.5858908678487612E-3</v>
      </c>
      <c r="K110" s="21">
        <v>7.5602368989306076E-3</v>
      </c>
      <c r="L110" s="21">
        <v>107.43179536681374</v>
      </c>
      <c r="N110" s="21">
        <v>0</v>
      </c>
      <c r="O110" s="21">
        <v>1.3784955740583703E-3</v>
      </c>
      <c r="P110" s="3">
        <f t="shared" si="49"/>
        <v>6.1294138080430742E-5</v>
      </c>
      <c r="Q110" s="3">
        <f t="shared" si="50"/>
        <v>7.0362265895727814E-5</v>
      </c>
      <c r="R110" s="3">
        <f t="shared" si="51"/>
        <v>0.99985551409432771</v>
      </c>
      <c r="S110" s="3">
        <f t="shared" si="52"/>
        <v>0</v>
      </c>
      <c r="T110" s="4">
        <f t="shared" si="43"/>
        <v>9.9475920637064172E-4</v>
      </c>
      <c r="U110" s="5">
        <f t="shared" si="44"/>
        <v>1.1419283144014217E-3</v>
      </c>
      <c r="V110" s="14"/>
      <c r="W110" s="3">
        <f t="shared" si="45"/>
        <v>2.1366875207720635E-3</v>
      </c>
      <c r="X110" s="3">
        <f t="shared" si="47"/>
        <v>7.0367481789599981E-5</v>
      </c>
      <c r="Y110">
        <f t="shared" ref="Y110" si="74">+SUM(K110:L110)</f>
        <v>107.43935560371267</v>
      </c>
    </row>
    <row r="111" spans="1:25" ht="15.6" x14ac:dyDescent="0.3">
      <c r="A111" s="1" t="s">
        <v>23</v>
      </c>
      <c r="B111" s="1">
        <v>60</v>
      </c>
      <c r="C111" s="12">
        <f>+'Flow rate'!E110</f>
        <v>61.168937</v>
      </c>
      <c r="D111" s="1" t="s">
        <v>27</v>
      </c>
      <c r="E111" s="1" t="s">
        <v>26</v>
      </c>
      <c r="F111" s="1" t="s">
        <v>24</v>
      </c>
      <c r="G111" s="1">
        <v>-0.5</v>
      </c>
      <c r="H111" s="15">
        <v>45452.542523148149</v>
      </c>
      <c r="I111" s="2">
        <f t="shared" si="48"/>
        <v>44.129366666777059</v>
      </c>
      <c r="J111" s="21">
        <v>6.5349130782492125E-3</v>
      </c>
      <c r="K111" s="21">
        <v>2.5905299025975807E-3</v>
      </c>
      <c r="L111" s="21">
        <v>107.57716420870383</v>
      </c>
      <c r="N111" s="21">
        <v>0</v>
      </c>
      <c r="O111" s="21">
        <v>0</v>
      </c>
      <c r="P111" s="3">
        <f t="shared" si="49"/>
        <v>6.0741132530978433E-5</v>
      </c>
      <c r="Q111" s="3">
        <f t="shared" si="50"/>
        <v>2.4078624804187733E-5</v>
      </c>
      <c r="R111" s="3">
        <f t="shared" si="51"/>
        <v>0.99991518024266479</v>
      </c>
      <c r="S111" s="3">
        <f t="shared" si="52"/>
        <v>0</v>
      </c>
      <c r="T111" s="4">
        <f t="shared" si="43"/>
        <v>9.8350390142698052E-4</v>
      </c>
      <c r="U111" s="5">
        <f t="shared" si="44"/>
        <v>3.8987454545463726E-4</v>
      </c>
      <c r="V111" s="14"/>
      <c r="W111" s="3">
        <f t="shared" si="45"/>
        <v>1.3733784468816178E-3</v>
      </c>
      <c r="X111" s="3">
        <f t="shared" si="47"/>
        <v>2.4080087455971254E-5</v>
      </c>
    </row>
    <row r="112" spans="1:25" ht="15.6" x14ac:dyDescent="0.3">
      <c r="A112" s="1" t="s">
        <v>23</v>
      </c>
      <c r="B112" s="1">
        <v>60</v>
      </c>
      <c r="C112" s="12">
        <f>+'Flow rate'!E111</f>
        <v>61.307223999999998</v>
      </c>
      <c r="D112" s="1" t="s">
        <v>27</v>
      </c>
      <c r="E112" s="1" t="s">
        <v>26</v>
      </c>
      <c r="F112" s="1" t="s">
        <v>24</v>
      </c>
      <c r="G112" s="1">
        <v>-0.5</v>
      </c>
      <c r="H112" s="15">
        <v>45452.558171296296</v>
      </c>
      <c r="I112" s="2">
        <f t="shared" si="48"/>
        <v>44.50492222228786</v>
      </c>
      <c r="J112" s="21">
        <v>6.9367271914472957E-3</v>
      </c>
      <c r="K112" s="21">
        <v>4.458340776767199E-3</v>
      </c>
      <c r="L112" s="21">
        <v>107.38068591711007</v>
      </c>
      <c r="N112" s="21">
        <v>0</v>
      </c>
      <c r="O112" s="21">
        <v>0</v>
      </c>
      <c r="P112" s="3">
        <f t="shared" si="49"/>
        <v>6.4592539112927024E-5</v>
      </c>
      <c r="Q112" s="3">
        <f t="shared" si="50"/>
        <v>4.151461388839898E-5</v>
      </c>
      <c r="R112" s="3">
        <f t="shared" si="51"/>
        <v>0.9998938928469987</v>
      </c>
      <c r="S112" s="3">
        <f t="shared" si="52"/>
        <v>0</v>
      </c>
      <c r="T112" s="4">
        <f t="shared" si="43"/>
        <v>1.0482292569248244E-3</v>
      </c>
      <c r="U112" s="5">
        <f t="shared" si="44"/>
        <v>6.7371299325572347E-4</v>
      </c>
      <c r="V112" s="14"/>
      <c r="W112" s="3">
        <f t="shared" si="45"/>
        <v>1.7219422501805479E-3</v>
      </c>
      <c r="X112" s="3">
        <f t="shared" si="47"/>
        <v>4.1517295595938625E-5</v>
      </c>
      <c r="Y112">
        <f t="shared" ref="Y112" si="75">+SUM(K112:L112)</f>
        <v>107.38514425788684</v>
      </c>
    </row>
    <row r="113" spans="1:25" ht="15.6" x14ac:dyDescent="0.3">
      <c r="A113" s="1" t="s">
        <v>23</v>
      </c>
      <c r="B113" s="1">
        <v>60</v>
      </c>
      <c r="C113" s="12">
        <f>+'Flow rate'!E112</f>
        <v>61.767829999999996</v>
      </c>
      <c r="D113" s="1" t="s">
        <v>27</v>
      </c>
      <c r="E113" s="1" t="s">
        <v>26</v>
      </c>
      <c r="F113" s="1" t="s">
        <v>24</v>
      </c>
      <c r="G113" s="1">
        <v>-0.5</v>
      </c>
      <c r="H113" s="15">
        <v>45452.573807870373</v>
      </c>
      <c r="I113" s="2">
        <f t="shared" si="48"/>
        <v>44.880200000130571</v>
      </c>
      <c r="J113" s="21">
        <v>6.8421366806523561E-3</v>
      </c>
      <c r="K113" s="21">
        <v>0</v>
      </c>
      <c r="L113" s="21">
        <v>107.61866337604089</v>
      </c>
      <c r="N113" s="21">
        <v>0</v>
      </c>
      <c r="O113" s="21">
        <v>0</v>
      </c>
      <c r="P113" s="3">
        <f t="shared" si="49"/>
        <v>6.3573561378939153E-5</v>
      </c>
      <c r="Q113" s="3">
        <f t="shared" si="50"/>
        <v>0</v>
      </c>
      <c r="R113" s="3">
        <f t="shared" si="51"/>
        <v>0.99993642643862113</v>
      </c>
      <c r="S113" s="3">
        <f t="shared" si="52"/>
        <v>0</v>
      </c>
      <c r="T113" s="4">
        <f t="shared" si="43"/>
        <v>1.0394441368992884E-3</v>
      </c>
      <c r="U113" s="5">
        <f t="shared" si="44"/>
        <v>0</v>
      </c>
      <c r="V113" s="14"/>
      <c r="W113" s="3">
        <f t="shared" si="45"/>
        <v>1.0394441368992884E-3</v>
      </c>
      <c r="X113" s="3">
        <f t="shared" si="47"/>
        <v>0</v>
      </c>
    </row>
    <row r="114" spans="1:25" ht="15.6" x14ac:dyDescent="0.3">
      <c r="A114" s="1" t="s">
        <v>23</v>
      </c>
      <c r="B114" s="1">
        <v>60</v>
      </c>
      <c r="C114" s="12">
        <f>+'Flow rate'!E113</f>
        <v>60.738759999999999</v>
      </c>
      <c r="D114" s="1" t="s">
        <v>27</v>
      </c>
      <c r="E114" s="1" t="s">
        <v>26</v>
      </c>
      <c r="F114" s="1" t="s">
        <v>24</v>
      </c>
      <c r="G114" s="1">
        <v>-0.5</v>
      </c>
      <c r="H114" s="15">
        <v>45452.589444444442</v>
      </c>
      <c r="I114" s="2">
        <f t="shared" si="48"/>
        <v>45.25547777779866</v>
      </c>
      <c r="J114" s="21">
        <v>6.6524618428675077E-3</v>
      </c>
      <c r="K114" s="21">
        <v>0</v>
      </c>
      <c r="L114" s="21">
        <v>107.58993480895406</v>
      </c>
      <c r="N114" s="21">
        <v>0</v>
      </c>
      <c r="O114" s="21">
        <v>0</v>
      </c>
      <c r="P114" s="3">
        <f t="shared" si="49"/>
        <v>6.1827814539551574E-5</v>
      </c>
      <c r="Q114" s="3">
        <f t="shared" si="50"/>
        <v>0</v>
      </c>
      <c r="R114" s="3">
        <f t="shared" si="51"/>
        <v>0.99993817218546055</v>
      </c>
      <c r="S114" s="3">
        <f t="shared" si="52"/>
        <v>0</v>
      </c>
      <c r="T114" s="4">
        <f t="shared" si="43"/>
        <v>9.9405882560262156E-4</v>
      </c>
      <c r="U114" s="5">
        <f t="shared" si="44"/>
        <v>0</v>
      </c>
      <c r="V114" s="14"/>
      <c r="W114" s="3">
        <f t="shared" si="45"/>
        <v>9.9405882560262156E-4</v>
      </c>
      <c r="X114" s="3">
        <f t="shared" si="47"/>
        <v>0</v>
      </c>
      <c r="Y114">
        <f t="shared" ref="Y114" si="76">+SUM(K114:L114)</f>
        <v>107.58993480895406</v>
      </c>
    </row>
    <row r="115" spans="1:25" ht="15.6" x14ac:dyDescent="0.3">
      <c r="A115" s="1" t="s">
        <v>23</v>
      </c>
      <c r="B115" s="1">
        <v>60</v>
      </c>
      <c r="C115" s="12">
        <f>+'Flow rate'!E114</f>
        <v>61.510688000000002</v>
      </c>
      <c r="D115" s="1" t="s">
        <v>27</v>
      </c>
      <c r="E115" s="1" t="s">
        <v>26</v>
      </c>
      <c r="F115" s="1" t="s">
        <v>24</v>
      </c>
      <c r="G115" s="1">
        <v>-0.5</v>
      </c>
      <c r="H115" s="15">
        <v>45452.605081018519</v>
      </c>
      <c r="I115" s="2">
        <f t="shared" si="48"/>
        <v>45.630755555641372</v>
      </c>
      <c r="J115" s="21">
        <v>0</v>
      </c>
      <c r="K115" s="21">
        <v>0</v>
      </c>
      <c r="L115" s="21">
        <v>107.65000437914838</v>
      </c>
      <c r="N115" s="21">
        <v>0</v>
      </c>
      <c r="O115" s="21">
        <v>0</v>
      </c>
      <c r="P115" s="3">
        <f t="shared" si="49"/>
        <v>0</v>
      </c>
      <c r="Q115" s="3">
        <f t="shared" si="50"/>
        <v>0</v>
      </c>
      <c r="R115" s="3">
        <f t="shared" si="51"/>
        <v>1</v>
      </c>
      <c r="S115" s="3">
        <f t="shared" si="52"/>
        <v>0</v>
      </c>
      <c r="T115" s="4">
        <f t="shared" si="43"/>
        <v>0</v>
      </c>
      <c r="U115" s="5">
        <f t="shared" si="44"/>
        <v>0</v>
      </c>
      <c r="V115" s="14"/>
      <c r="W115" s="3">
        <f t="shared" si="45"/>
        <v>0</v>
      </c>
      <c r="X115" s="3">
        <f t="shared" si="47"/>
        <v>0</v>
      </c>
    </row>
    <row r="116" spans="1:25" ht="15.6" x14ac:dyDescent="0.3">
      <c r="A116" s="1" t="s">
        <v>23</v>
      </c>
      <c r="B116" s="1">
        <v>60</v>
      </c>
      <c r="C116" s="12">
        <f>+'Flow rate'!E115</f>
        <v>61.109530999999997</v>
      </c>
      <c r="D116" s="1" t="s">
        <v>27</v>
      </c>
      <c r="E116" s="1" t="s">
        <v>26</v>
      </c>
      <c r="F116" s="1" t="s">
        <v>24</v>
      </c>
      <c r="G116" s="1">
        <v>-0.5</v>
      </c>
      <c r="H116" s="15">
        <v>45452.620717592596</v>
      </c>
      <c r="I116" s="2">
        <f t="shared" si="48"/>
        <v>46.006033333484083</v>
      </c>
      <c r="J116" s="21">
        <v>6.5351738602518715E-3</v>
      </c>
      <c r="K116" s="21">
        <v>0</v>
      </c>
      <c r="L116" s="21">
        <v>107.60479126700143</v>
      </c>
      <c r="N116" s="21">
        <v>0</v>
      </c>
      <c r="O116" s="21">
        <v>0</v>
      </c>
      <c r="P116" s="3">
        <f t="shared" si="49"/>
        <v>6.0729423903563789E-5</v>
      </c>
      <c r="Q116" s="3">
        <f t="shared" si="50"/>
        <v>0</v>
      </c>
      <c r="R116" s="3">
        <f t="shared" si="51"/>
        <v>0.99993927057609644</v>
      </c>
      <c r="S116" s="3">
        <f t="shared" si="52"/>
        <v>0</v>
      </c>
      <c r="T116" s="4">
        <f t="shared" si="43"/>
        <v>9.8235934409120185E-4</v>
      </c>
      <c r="U116" s="5">
        <f t="shared" si="44"/>
        <v>0</v>
      </c>
      <c r="V116" s="14"/>
      <c r="W116" s="3">
        <f t="shared" si="45"/>
        <v>9.8235934409120185E-4</v>
      </c>
      <c r="X116" s="3">
        <f t="shared" si="47"/>
        <v>0</v>
      </c>
      <c r="Y116">
        <f t="shared" ref="Y116" si="77">+SUM(K116:L116)</f>
        <v>107.60479126700143</v>
      </c>
    </row>
    <row r="117" spans="1:25" ht="15.6" x14ac:dyDescent="0.3">
      <c r="A117" s="1" t="s">
        <v>23</v>
      </c>
      <c r="B117" s="1">
        <v>60</v>
      </c>
      <c r="C117" s="12">
        <f>+'Flow rate'!E116</f>
        <v>61.606180999999999</v>
      </c>
      <c r="D117" s="1" t="s">
        <v>27</v>
      </c>
      <c r="E117" s="1" t="s">
        <v>26</v>
      </c>
      <c r="F117" s="1" t="s">
        <v>24</v>
      </c>
      <c r="G117" s="1">
        <v>-0.5</v>
      </c>
      <c r="H117" s="15">
        <v>45452.636342592596</v>
      </c>
      <c r="I117" s="2">
        <f t="shared" si="48"/>
        <v>46.381033333484083</v>
      </c>
      <c r="J117" s="21">
        <v>0</v>
      </c>
      <c r="K117" s="21">
        <v>0</v>
      </c>
      <c r="L117" s="21">
        <v>107.10064704009878</v>
      </c>
      <c r="N117" s="21">
        <v>0</v>
      </c>
      <c r="O117" s="21">
        <v>6.9959569812646808E-3</v>
      </c>
      <c r="P117" s="3">
        <f t="shared" si="49"/>
        <v>0</v>
      </c>
      <c r="Q117" s="3">
        <f t="shared" si="50"/>
        <v>0</v>
      </c>
      <c r="R117" s="3">
        <f t="shared" si="51"/>
        <v>0.99993468293405108</v>
      </c>
      <c r="S117" s="3">
        <f t="shared" si="52"/>
        <v>0</v>
      </c>
      <c r="T117" s="4">
        <f t="shared" si="43"/>
        <v>0</v>
      </c>
      <c r="U117" s="5">
        <f t="shared" si="44"/>
        <v>0</v>
      </c>
      <c r="V117" s="14"/>
      <c r="W117" s="3">
        <f t="shared" si="45"/>
        <v>0</v>
      </c>
      <c r="X117" s="3">
        <f t="shared" si="47"/>
        <v>0</v>
      </c>
    </row>
    <row r="118" spans="1:25" ht="15.6" x14ac:dyDescent="0.3">
      <c r="A118" s="1" t="s">
        <v>23</v>
      </c>
      <c r="B118" s="1">
        <v>60</v>
      </c>
      <c r="C118" s="12">
        <f>+'Flow rate'!E117</f>
        <v>61.281350000000003</v>
      </c>
      <c r="D118" s="1" t="s">
        <v>27</v>
      </c>
      <c r="E118" s="1" t="s">
        <v>26</v>
      </c>
      <c r="F118" s="1" t="s">
        <v>24</v>
      </c>
      <c r="G118" s="1">
        <v>-0.5</v>
      </c>
      <c r="H118" s="15">
        <v>45452.651979166665</v>
      </c>
      <c r="I118" s="2">
        <f t="shared" si="48"/>
        <v>46.756311111152172</v>
      </c>
      <c r="J118" s="21">
        <v>6.8224233974436997E-3</v>
      </c>
      <c r="K118" s="21">
        <v>0</v>
      </c>
      <c r="L118" s="21">
        <v>107.53825348281877</v>
      </c>
      <c r="N118" s="21">
        <v>0</v>
      </c>
      <c r="O118" s="21">
        <v>0</v>
      </c>
      <c r="P118" s="3">
        <f t="shared" si="49"/>
        <v>6.3437803543819492E-5</v>
      </c>
      <c r="Q118" s="3">
        <f t="shared" si="50"/>
        <v>0</v>
      </c>
      <c r="R118" s="3">
        <f t="shared" si="51"/>
        <v>0.99993656219645621</v>
      </c>
      <c r="S118" s="3">
        <f t="shared" si="52"/>
        <v>0</v>
      </c>
      <c r="T118" s="4">
        <f t="shared" si="43"/>
        <v>1.0290553389812648E-3</v>
      </c>
      <c r="U118" s="5">
        <f t="shared" si="44"/>
        <v>0</v>
      </c>
      <c r="V118" s="14"/>
      <c r="W118" s="3">
        <f t="shared" si="45"/>
        <v>1.0290553389812648E-3</v>
      </c>
      <c r="X118" s="3">
        <f t="shared" si="47"/>
        <v>0</v>
      </c>
      <c r="Y118">
        <f t="shared" ref="Y118" si="78">+SUM(K118:L118)</f>
        <v>107.53825348281877</v>
      </c>
    </row>
    <row r="119" spans="1:25" ht="15.6" x14ac:dyDescent="0.3">
      <c r="A119" s="1" t="s">
        <v>23</v>
      </c>
      <c r="B119" s="1">
        <v>60</v>
      </c>
      <c r="C119" s="12">
        <f>+'Flow rate'!E118</f>
        <v>60.615457999999997</v>
      </c>
      <c r="D119" s="1" t="s">
        <v>27</v>
      </c>
      <c r="E119" s="1" t="s">
        <v>26</v>
      </c>
      <c r="F119" s="1" t="s">
        <v>24</v>
      </c>
      <c r="G119" s="1">
        <v>-0.5</v>
      </c>
      <c r="H119" s="15">
        <v>45452.667615740742</v>
      </c>
      <c r="I119" s="2">
        <f t="shared" si="48"/>
        <v>47.131588888994884</v>
      </c>
      <c r="J119" s="21">
        <v>0</v>
      </c>
      <c r="K119" s="21">
        <v>0</v>
      </c>
      <c r="L119" s="21">
        <v>107.5513033423731</v>
      </c>
      <c r="N119" s="21">
        <v>0</v>
      </c>
      <c r="O119" s="21">
        <v>0</v>
      </c>
      <c r="P119" s="3">
        <f t="shared" si="49"/>
        <v>0</v>
      </c>
      <c r="Q119" s="3">
        <f t="shared" si="50"/>
        <v>0</v>
      </c>
      <c r="R119" s="3">
        <f t="shared" si="51"/>
        <v>1</v>
      </c>
      <c r="S119" s="3">
        <f t="shared" si="52"/>
        <v>0</v>
      </c>
      <c r="T119" s="4">
        <f t="shared" si="43"/>
        <v>0</v>
      </c>
      <c r="U119" s="5">
        <f t="shared" si="44"/>
        <v>0</v>
      </c>
      <c r="V119" s="14"/>
      <c r="W119" s="3">
        <f t="shared" si="45"/>
        <v>0</v>
      </c>
      <c r="X119" s="3">
        <f t="shared" si="47"/>
        <v>0</v>
      </c>
    </row>
    <row r="120" spans="1:25" ht="15.6" x14ac:dyDescent="0.3">
      <c r="A120" s="1" t="s">
        <v>23</v>
      </c>
      <c r="B120" s="1">
        <v>60</v>
      </c>
      <c r="C120" s="12">
        <f>+'Flow rate'!E119</f>
        <v>61.422204000000001</v>
      </c>
      <c r="D120" s="1" t="s">
        <v>27</v>
      </c>
      <c r="E120" s="1" t="s">
        <v>26</v>
      </c>
      <c r="F120" s="1" t="s">
        <v>24</v>
      </c>
      <c r="G120" s="1">
        <v>-0.5</v>
      </c>
      <c r="H120" s="15">
        <v>45452.683252314811</v>
      </c>
      <c r="I120" s="2">
        <f t="shared" si="48"/>
        <v>47.506866666662972</v>
      </c>
      <c r="J120" s="21">
        <v>6.963590965765677E-3</v>
      </c>
      <c r="K120" s="21">
        <v>0</v>
      </c>
      <c r="L120" s="21">
        <v>107.49677425046153</v>
      </c>
      <c r="N120" s="21">
        <v>0</v>
      </c>
      <c r="O120" s="21">
        <v>0</v>
      </c>
      <c r="P120" s="3">
        <f t="shared" si="49"/>
        <v>6.4775338100683317E-5</v>
      </c>
      <c r="Q120" s="3">
        <f t="shared" si="50"/>
        <v>0</v>
      </c>
      <c r="R120" s="3">
        <f t="shared" si="51"/>
        <v>0.99993522466189932</v>
      </c>
      <c r="S120" s="3">
        <f t="shared" si="52"/>
        <v>0</v>
      </c>
      <c r="T120" s="4">
        <f t="shared" si="43"/>
        <v>1.0531672683950274E-3</v>
      </c>
      <c r="U120" s="5">
        <f t="shared" si="44"/>
        <v>0</v>
      </c>
      <c r="V120" s="14"/>
      <c r="W120" s="3">
        <f t="shared" si="45"/>
        <v>1.0531672683950274E-3</v>
      </c>
      <c r="X120" s="3">
        <f t="shared" si="47"/>
        <v>0</v>
      </c>
      <c r="Y120">
        <f t="shared" ref="Y120" si="79">+SUM(K120:L120)</f>
        <v>107.49677425046153</v>
      </c>
    </row>
    <row r="121" spans="1:25" ht="15.6" x14ac:dyDescent="0.3">
      <c r="A121" s="1" t="s">
        <v>23</v>
      </c>
      <c r="B121" s="1">
        <v>60</v>
      </c>
      <c r="C121" s="12">
        <f>+'Flow rate'!E120</f>
        <v>62.018445999999997</v>
      </c>
      <c r="D121" s="1" t="s">
        <v>27</v>
      </c>
      <c r="E121" s="1" t="s">
        <v>26</v>
      </c>
      <c r="F121" s="1" t="s">
        <v>24</v>
      </c>
      <c r="G121" s="1">
        <v>-0.5</v>
      </c>
      <c r="H121" s="15">
        <v>45452.698888888888</v>
      </c>
      <c r="I121" s="2">
        <f t="shared" si="48"/>
        <v>47.882144444505684</v>
      </c>
      <c r="J121" s="21">
        <v>0</v>
      </c>
      <c r="K121" s="21">
        <v>0</v>
      </c>
      <c r="L121" s="21">
        <v>107.50586528752683</v>
      </c>
      <c r="N121" s="21">
        <v>0</v>
      </c>
      <c r="O121" s="21">
        <v>0</v>
      </c>
      <c r="P121" s="3">
        <f t="shared" si="49"/>
        <v>0</v>
      </c>
      <c r="Q121" s="3">
        <f t="shared" si="50"/>
        <v>0</v>
      </c>
      <c r="R121" s="3">
        <f t="shared" si="51"/>
        <v>1</v>
      </c>
      <c r="S121" s="3">
        <f t="shared" si="52"/>
        <v>0</v>
      </c>
      <c r="T121" s="4">
        <f t="shared" si="43"/>
        <v>0</v>
      </c>
      <c r="U121" s="5">
        <f t="shared" si="44"/>
        <v>0</v>
      </c>
      <c r="V121" s="14"/>
      <c r="W121" s="3">
        <f t="shared" si="45"/>
        <v>0</v>
      </c>
      <c r="X121" s="3">
        <f t="shared" si="47"/>
        <v>0</v>
      </c>
    </row>
    <row r="122" spans="1:25" ht="15.6" x14ac:dyDescent="0.3">
      <c r="A122" s="1" t="s">
        <v>23</v>
      </c>
      <c r="B122" s="1">
        <v>60</v>
      </c>
      <c r="C122" s="12">
        <f>+'Flow rate'!E121</f>
        <v>60.993544</v>
      </c>
      <c r="D122" s="1" t="s">
        <v>27</v>
      </c>
      <c r="E122" s="1" t="s">
        <v>26</v>
      </c>
      <c r="F122" s="1" t="s">
        <v>24</v>
      </c>
      <c r="G122" s="1">
        <v>-0.5</v>
      </c>
      <c r="H122" s="15">
        <v>45452.714537037034</v>
      </c>
      <c r="I122" s="2">
        <f t="shared" si="48"/>
        <v>48.257700000016484</v>
      </c>
      <c r="J122" s="21">
        <v>6.8952321551778691E-3</v>
      </c>
      <c r="K122" s="21">
        <v>0</v>
      </c>
      <c r="L122" s="21">
        <v>106.87815292820481</v>
      </c>
      <c r="N122" s="21">
        <v>0</v>
      </c>
      <c r="O122" s="21">
        <v>0</v>
      </c>
      <c r="P122" s="3">
        <f t="shared" si="49"/>
        <v>6.4510726933788992E-5</v>
      </c>
      <c r="Q122" s="3">
        <f t="shared" si="50"/>
        <v>0</v>
      </c>
      <c r="R122" s="3">
        <f t="shared" si="51"/>
        <v>0.9999354892730663</v>
      </c>
      <c r="S122" s="3">
        <f t="shared" si="52"/>
        <v>0</v>
      </c>
      <c r="T122" s="4">
        <f t="shared" si="43"/>
        <v>1.0415450825429374E-3</v>
      </c>
      <c r="U122" s="5">
        <f t="shared" si="44"/>
        <v>0</v>
      </c>
      <c r="V122" s="14"/>
      <c r="W122" s="3">
        <f t="shared" si="45"/>
        <v>1.0415450825429374E-3</v>
      </c>
      <c r="X122" s="3">
        <f t="shared" si="47"/>
        <v>0</v>
      </c>
      <c r="Y122">
        <f t="shared" ref="Y122" si="80">+SUM(K122:L122)</f>
        <v>106.87815292820481</v>
      </c>
    </row>
    <row r="123" spans="1:25" ht="15.6" x14ac:dyDescent="0.3">
      <c r="A123" s="1" t="s">
        <v>23</v>
      </c>
      <c r="B123" s="1">
        <v>60</v>
      </c>
      <c r="C123" s="12">
        <f>+'Flow rate'!E122</f>
        <v>61.287802999999997</v>
      </c>
      <c r="D123" s="1" t="s">
        <v>27</v>
      </c>
      <c r="E123" s="1" t="s">
        <v>26</v>
      </c>
      <c r="F123" s="1" t="s">
        <v>24</v>
      </c>
      <c r="G123" s="1">
        <v>-0.5</v>
      </c>
      <c r="H123" s="15">
        <v>45452.730173611111</v>
      </c>
      <c r="I123" s="2">
        <f t="shared" si="48"/>
        <v>48.632977777859196</v>
      </c>
      <c r="J123" s="21">
        <v>0</v>
      </c>
      <c r="K123" s="21">
        <v>0</v>
      </c>
      <c r="L123" s="21">
        <v>106.90262019090461</v>
      </c>
      <c r="N123" s="21">
        <v>0</v>
      </c>
      <c r="O123" s="21">
        <v>0</v>
      </c>
      <c r="P123" s="3">
        <f t="shared" si="49"/>
        <v>0</v>
      </c>
      <c r="Q123" s="3">
        <f t="shared" si="50"/>
        <v>0</v>
      </c>
      <c r="R123" s="3">
        <f t="shared" si="51"/>
        <v>1</v>
      </c>
      <c r="S123" s="3">
        <f t="shared" si="52"/>
        <v>0</v>
      </c>
      <c r="T123" s="4">
        <f t="shared" si="43"/>
        <v>0</v>
      </c>
      <c r="U123" s="5">
        <f t="shared" si="44"/>
        <v>0</v>
      </c>
      <c r="V123" s="14"/>
      <c r="W123" s="3">
        <f t="shared" si="45"/>
        <v>0</v>
      </c>
      <c r="X123" s="3">
        <f t="shared" si="47"/>
        <v>0</v>
      </c>
    </row>
    <row r="124" spans="1:25" ht="15.6" x14ac:dyDescent="0.3">
      <c r="A124" s="1" t="s">
        <v>23</v>
      </c>
      <c r="B124" s="1">
        <v>60</v>
      </c>
      <c r="C124" s="12">
        <f>+'Flow rate'!E123</f>
        <v>60.809296000000003</v>
      </c>
      <c r="D124" s="1" t="s">
        <v>27</v>
      </c>
      <c r="E124" s="1" t="s">
        <v>26</v>
      </c>
      <c r="F124" s="1" t="s">
        <v>24</v>
      </c>
      <c r="G124" s="1">
        <v>-0.5</v>
      </c>
      <c r="H124" s="15">
        <v>45452.745798611111</v>
      </c>
      <c r="I124" s="2">
        <f t="shared" si="48"/>
        <v>49.007977777859196</v>
      </c>
      <c r="J124" s="21">
        <v>0</v>
      </c>
      <c r="K124" s="21">
        <v>0</v>
      </c>
      <c r="L124" s="21">
        <v>107.39382786684509</v>
      </c>
      <c r="N124" s="21">
        <v>0</v>
      </c>
      <c r="O124" s="21">
        <v>0</v>
      </c>
      <c r="P124" s="3">
        <f t="shared" si="49"/>
        <v>0</v>
      </c>
      <c r="Q124" s="3">
        <f t="shared" si="50"/>
        <v>0</v>
      </c>
      <c r="R124" s="3">
        <f t="shared" si="51"/>
        <v>1</v>
      </c>
      <c r="S124" s="3">
        <f t="shared" si="52"/>
        <v>0</v>
      </c>
      <c r="T124" s="4">
        <f t="shared" si="43"/>
        <v>0</v>
      </c>
      <c r="U124" s="5">
        <f t="shared" si="44"/>
        <v>0</v>
      </c>
      <c r="V124" s="14"/>
      <c r="W124" s="3">
        <f t="shared" si="45"/>
        <v>0</v>
      </c>
      <c r="X124" s="3">
        <f t="shared" si="47"/>
        <v>0</v>
      </c>
      <c r="Y124">
        <f t="shared" ref="Y124" si="81">+SUM(K124:L124)</f>
        <v>107.39382786684509</v>
      </c>
    </row>
    <row r="125" spans="1:25" ht="15.6" x14ac:dyDescent="0.3">
      <c r="A125" s="1" t="s">
        <v>23</v>
      </c>
      <c r="B125" s="1">
        <v>60</v>
      </c>
      <c r="C125" s="12">
        <f>+'Flow rate'!E124</f>
        <v>61.497422999999998</v>
      </c>
      <c r="D125" s="1" t="s">
        <v>27</v>
      </c>
      <c r="E125" s="1" t="s">
        <v>26</v>
      </c>
      <c r="F125" s="1" t="s">
        <v>24</v>
      </c>
      <c r="G125" s="1">
        <v>-0.5</v>
      </c>
      <c r="H125" s="15">
        <v>45452.761435185188</v>
      </c>
      <c r="I125" s="2">
        <f t="shared" si="48"/>
        <v>49.383255555701908</v>
      </c>
      <c r="J125" s="21">
        <v>0</v>
      </c>
      <c r="K125" s="21">
        <v>0</v>
      </c>
      <c r="L125" s="21">
        <v>107.18564652502033</v>
      </c>
      <c r="N125" s="21">
        <v>0</v>
      </c>
      <c r="O125" s="21">
        <v>0</v>
      </c>
      <c r="P125" s="3">
        <f t="shared" si="49"/>
        <v>0</v>
      </c>
      <c r="Q125" s="3">
        <f t="shared" si="50"/>
        <v>0</v>
      </c>
      <c r="R125" s="3">
        <f t="shared" si="51"/>
        <v>1</v>
      </c>
      <c r="S125" s="3">
        <f t="shared" si="52"/>
        <v>0</v>
      </c>
      <c r="T125" s="4">
        <f t="shared" si="43"/>
        <v>0</v>
      </c>
      <c r="U125" s="5">
        <f t="shared" si="44"/>
        <v>0</v>
      </c>
      <c r="V125" s="14"/>
      <c r="W125" s="3">
        <f t="shared" si="45"/>
        <v>0</v>
      </c>
      <c r="X125" s="3">
        <f t="shared" si="47"/>
        <v>0</v>
      </c>
    </row>
    <row r="126" spans="1:25" ht="15.6" x14ac:dyDescent="0.3">
      <c r="A126" s="1" t="s">
        <v>23</v>
      </c>
      <c r="B126" s="1">
        <v>60</v>
      </c>
      <c r="C126" s="12">
        <f>+'Flow rate'!E125</f>
        <v>61.683065999999997</v>
      </c>
      <c r="D126" s="1" t="s">
        <v>27</v>
      </c>
      <c r="E126" s="1" t="s">
        <v>26</v>
      </c>
      <c r="F126" s="1" t="s">
        <v>24</v>
      </c>
      <c r="G126" s="1">
        <v>-0.5</v>
      </c>
      <c r="H126" s="15">
        <v>45452.777060185188</v>
      </c>
      <c r="I126" s="2">
        <f t="shared" si="48"/>
        <v>49.758255555701908</v>
      </c>
      <c r="J126" s="22">
        <v>8.9778496626680086E-3</v>
      </c>
      <c r="K126" s="22">
        <v>0</v>
      </c>
      <c r="L126" s="22">
        <v>107.52232513783079</v>
      </c>
      <c r="N126" s="22">
        <v>0</v>
      </c>
      <c r="O126" s="22">
        <v>2.4174958813081657E-3</v>
      </c>
      <c r="P126" s="3">
        <f t="shared" si="49"/>
        <v>8.3488691940645986E-5</v>
      </c>
      <c r="Q126" s="3">
        <f t="shared" si="50"/>
        <v>0</v>
      </c>
      <c r="R126" s="3">
        <f t="shared" si="51"/>
        <v>0.99989403002618382</v>
      </c>
      <c r="S126" s="3">
        <f t="shared" si="52"/>
        <v>0</v>
      </c>
      <c r="T126" s="4">
        <f t="shared" si="43"/>
        <v>1.3631883874132373E-3</v>
      </c>
      <c r="U126" s="5">
        <f t="shared" si="44"/>
        <v>0</v>
      </c>
      <c r="V126" s="14"/>
      <c r="W126" s="3">
        <f t="shared" si="45"/>
        <v>1.3631883874132373E-3</v>
      </c>
      <c r="X126" s="3">
        <f t="shared" si="47"/>
        <v>0</v>
      </c>
      <c r="Y126">
        <f t="shared" ref="Y126" si="82">+SUM(K126:L126)</f>
        <v>107.52232513783079</v>
      </c>
    </row>
    <row r="127" spans="1:25" x14ac:dyDescent="0.3">
      <c r="A127" s="1"/>
      <c r="B127" s="1"/>
      <c r="C127" s="12"/>
      <c r="D127" s="1"/>
      <c r="E127" s="1"/>
      <c r="F127" s="1"/>
      <c r="G127" s="1"/>
      <c r="H127" s="15"/>
      <c r="I127" s="2"/>
      <c r="J127" s="13"/>
      <c r="K127" s="13"/>
      <c r="P127" s="3"/>
      <c r="Q127" s="3"/>
      <c r="R127" s="3"/>
      <c r="S127" s="3"/>
      <c r="T127" s="3"/>
      <c r="U127" s="3"/>
      <c r="V127" s="3"/>
      <c r="W127" s="3"/>
      <c r="X127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EE770-7105-4F2E-894F-8E03AE598512}">
  <dimension ref="A1:E4158"/>
  <sheetViews>
    <sheetView topLeftCell="A113" workbookViewId="0">
      <selection activeCell="C126" sqref="C126:E4158"/>
    </sheetView>
  </sheetViews>
  <sheetFormatPr defaultRowHeight="14.4" x14ac:dyDescent="0.3"/>
  <cols>
    <col min="1" max="1" width="18.109375" bestFit="1" customWidth="1"/>
    <col min="3" max="4" width="13.44140625" bestFit="1" customWidth="1"/>
  </cols>
  <sheetData>
    <row r="1" spans="1:5" x14ac:dyDescent="0.3">
      <c r="A1" s="16"/>
      <c r="B1" s="17" t="s">
        <v>28</v>
      </c>
      <c r="C1" s="18">
        <f>+Sheet1!H2</f>
        <v>45450.703799537034</v>
      </c>
      <c r="D1" s="19">
        <f t="shared" ref="D1:D2" si="0">+C1-2/24</f>
        <v>45450.620466203698</v>
      </c>
      <c r="E1" cm="1">
        <f t="array" ref="E1">INDEX(B$1:B$224233, MATCH(D1,A$1:A$224233,1) +0)</f>
        <v>55.154546000000003</v>
      </c>
    </row>
    <row r="2" spans="1:5" x14ac:dyDescent="0.3">
      <c r="A2" s="20">
        <v>45450.568055999996</v>
      </c>
      <c r="B2" s="17">
        <v>0</v>
      </c>
      <c r="C2" s="18">
        <f>+Sheet1!H3</f>
        <v>45450.722037037034</v>
      </c>
      <c r="D2" s="19">
        <f t="shared" si="0"/>
        <v>45450.638703703698</v>
      </c>
      <c r="E2" cm="1">
        <f t="array" ref="E2">INDEX(B$1:B$224233, MATCH(D2,A$1:A$224233,1) +0)</f>
        <v>58.892861000000003</v>
      </c>
    </row>
    <row r="3" spans="1:5" x14ac:dyDescent="0.3">
      <c r="A3" s="20">
        <v>45450.568749999999</v>
      </c>
      <c r="B3" s="17">
        <v>0</v>
      </c>
      <c r="C3" s="18">
        <f>+Sheet1!H4</f>
        <v>45450.737685185188</v>
      </c>
      <c r="D3" s="19">
        <f t="shared" ref="D3:D66" si="1">+C3-2/24</f>
        <v>45450.654351851852</v>
      </c>
      <c r="E3" cm="1">
        <f t="array" ref="E3">INDEX(B$1:B$224233, MATCH(D3,A$1:A$224233,1) +0)</f>
        <v>59.457115999999999</v>
      </c>
    </row>
    <row r="4" spans="1:5" x14ac:dyDescent="0.3">
      <c r="A4" s="20">
        <v>45450.569444000001</v>
      </c>
      <c r="B4" s="17">
        <v>0</v>
      </c>
      <c r="C4" s="18">
        <f>+Sheet1!H5</f>
        <v>45450.753321759257</v>
      </c>
      <c r="D4" s="19">
        <f t="shared" si="1"/>
        <v>45450.669988425921</v>
      </c>
      <c r="E4" cm="1">
        <f t="array" ref="E4">INDEX(B$1:B$224233, MATCH(D4,A$1:A$224233,1) +0)</f>
        <v>61.152324999999998</v>
      </c>
    </row>
    <row r="5" spans="1:5" x14ac:dyDescent="0.3">
      <c r="A5" s="20">
        <v>45450.570139000003</v>
      </c>
      <c r="B5" s="17">
        <v>0</v>
      </c>
      <c r="C5" s="18">
        <f>+Sheet1!H6</f>
        <v>45450.768946759257</v>
      </c>
      <c r="D5" s="19">
        <f t="shared" si="1"/>
        <v>45450.685613425921</v>
      </c>
      <c r="E5" cm="1">
        <f t="array" ref="E5">INDEX(B$1:B$224233, MATCH(D5,A$1:A$224233,1) +0)</f>
        <v>61.049442999999997</v>
      </c>
    </row>
    <row r="6" spans="1:5" x14ac:dyDescent="0.3">
      <c r="A6" s="20">
        <v>45450.570832999998</v>
      </c>
      <c r="B6" s="17">
        <v>47.575082999999999</v>
      </c>
      <c r="C6" s="18">
        <f>+Sheet1!H7</f>
        <v>45450.791863425926</v>
      </c>
      <c r="D6" s="19">
        <f t="shared" si="1"/>
        <v>45450.70853009259</v>
      </c>
      <c r="E6" cm="1">
        <f t="array" ref="E6">INDEX(B$1:B$224233, MATCH(D6,A$1:A$224233,1) +0)</f>
        <v>62.190801999999998</v>
      </c>
    </row>
    <row r="7" spans="1:5" x14ac:dyDescent="0.3">
      <c r="A7" s="20">
        <v>45450.571528</v>
      </c>
      <c r="B7" s="17">
        <v>39.603901</v>
      </c>
      <c r="C7" s="18">
        <f>+Sheet1!H8</f>
        <v>45450.807488425926</v>
      </c>
      <c r="D7" s="19">
        <f t="shared" si="1"/>
        <v>45450.72415509259</v>
      </c>
      <c r="E7" cm="1">
        <f t="array" ref="E7">INDEX(B$1:B$224233, MATCH(D7,A$1:A$224233,1) +0)</f>
        <v>61.101233999999998</v>
      </c>
    </row>
    <row r="8" spans="1:5" x14ac:dyDescent="0.3">
      <c r="A8" s="20">
        <v>45450.572222000003</v>
      </c>
      <c r="B8" s="17">
        <v>39.051993000000003</v>
      </c>
      <c r="C8" s="18">
        <f>+Sheet1!H9</f>
        <v>45450.823125000003</v>
      </c>
      <c r="D8" s="19">
        <f t="shared" si="1"/>
        <v>45450.739791666667</v>
      </c>
      <c r="E8" cm="1">
        <f t="array" ref="E8">INDEX(B$1:B$224233, MATCH(D8,A$1:A$224233,1) +0)</f>
        <v>61.113486999999999</v>
      </c>
    </row>
    <row r="9" spans="1:5" x14ac:dyDescent="0.3">
      <c r="A9" s="20">
        <v>45450.572916999998</v>
      </c>
      <c r="B9" s="17">
        <v>39.362383999999999</v>
      </c>
      <c r="C9" s="18">
        <f>+Sheet1!H10</f>
        <v>45450.838750000003</v>
      </c>
      <c r="D9" s="19">
        <f t="shared" si="1"/>
        <v>45450.755416666667</v>
      </c>
      <c r="E9" cm="1">
        <f t="array" ref="E9">INDEX(B$1:B$224233, MATCH(D9,A$1:A$224233,1) +0)</f>
        <v>61.575926000000003</v>
      </c>
    </row>
    <row r="10" spans="1:5" x14ac:dyDescent="0.3">
      <c r="A10" s="20">
        <v>45450.573611</v>
      </c>
      <c r="B10" s="17">
        <v>39.791570999999998</v>
      </c>
      <c r="C10" s="18">
        <f>+Sheet1!H11</f>
        <v>45450.854386574072</v>
      </c>
      <c r="D10" s="19">
        <f t="shared" si="1"/>
        <v>45450.771053240736</v>
      </c>
      <c r="E10" cm="1">
        <f t="array" ref="E10">INDEX(B$1:B$224233, MATCH(D10,A$1:A$224233,1) +0)</f>
        <v>61.737121999999999</v>
      </c>
    </row>
    <row r="11" spans="1:5" x14ac:dyDescent="0.3">
      <c r="A11" s="20">
        <v>45450.574306000002</v>
      </c>
      <c r="B11" s="17">
        <v>39.356786999999997</v>
      </c>
      <c r="C11" s="18">
        <f>+Sheet1!H12</f>
        <v>45450.870011574072</v>
      </c>
      <c r="D11" s="19">
        <f t="shared" si="1"/>
        <v>45450.786678240736</v>
      </c>
      <c r="E11" cm="1">
        <f t="array" ref="E11">INDEX(B$1:B$224233, MATCH(D11,A$1:A$224233,1) +0)</f>
        <v>60.619860000000003</v>
      </c>
    </row>
    <row r="12" spans="1:5" x14ac:dyDescent="0.3">
      <c r="A12" s="20">
        <v>45450.574999999997</v>
      </c>
      <c r="B12" s="17">
        <v>39.263553999999999</v>
      </c>
      <c r="C12" s="18">
        <f>+Sheet1!H13</f>
        <v>45450.885648148149</v>
      </c>
      <c r="D12" s="19">
        <f t="shared" si="1"/>
        <v>45450.802314814813</v>
      </c>
      <c r="E12" cm="1">
        <f t="array" ref="E12">INDEX(B$1:B$224233, MATCH(D12,A$1:A$224233,1) +0)</f>
        <v>61.402141</v>
      </c>
    </row>
    <row r="13" spans="1:5" x14ac:dyDescent="0.3">
      <c r="A13" s="20">
        <v>45450.575693999999</v>
      </c>
      <c r="B13" s="17">
        <v>40.656598000000002</v>
      </c>
      <c r="C13" s="18">
        <f>+Sheet1!H14</f>
        <v>45450.901273148149</v>
      </c>
      <c r="D13" s="19">
        <f t="shared" si="1"/>
        <v>45450.817939814813</v>
      </c>
      <c r="E13" cm="1">
        <f t="array" ref="E13">INDEX(B$1:B$224233, MATCH(D13,A$1:A$224233,1) +0)</f>
        <v>61.034666999999999</v>
      </c>
    </row>
    <row r="14" spans="1:5" x14ac:dyDescent="0.3">
      <c r="A14" s="20">
        <v>45450.576389000002</v>
      </c>
      <c r="B14" s="17">
        <v>39.445990999999999</v>
      </c>
      <c r="C14" s="18">
        <f>+Sheet1!H15</f>
        <v>45450.916909722226</v>
      </c>
      <c r="D14" s="19">
        <f t="shared" si="1"/>
        <v>45450.83357638889</v>
      </c>
      <c r="E14" cm="1">
        <f t="array" ref="E14">INDEX(B$1:B$224233, MATCH(D14,A$1:A$224233,1) +0)</f>
        <v>61.564082999999997</v>
      </c>
    </row>
    <row r="15" spans="1:5" x14ac:dyDescent="0.3">
      <c r="A15" s="20">
        <v>45450.577082999996</v>
      </c>
      <c r="B15" s="17">
        <v>40.075938999999998</v>
      </c>
      <c r="C15" s="18">
        <f>+Sheet1!H16</f>
        <v>45450.939872685187</v>
      </c>
      <c r="D15" s="19">
        <f t="shared" si="1"/>
        <v>45450.856539351851</v>
      </c>
      <c r="E15" cm="1">
        <f t="array" ref="E15">INDEX(B$1:B$224233, MATCH(D15,A$1:A$224233,1) +0)</f>
        <v>61.477576999999997</v>
      </c>
    </row>
    <row r="16" spans="1:5" x14ac:dyDescent="0.3">
      <c r="A16" s="20">
        <v>45450.577777999999</v>
      </c>
      <c r="B16" s="17">
        <v>41.108071000000002</v>
      </c>
      <c r="C16" s="18">
        <f>+Sheet1!H17</f>
        <v>45450.955520833333</v>
      </c>
      <c r="D16" s="19">
        <f t="shared" si="1"/>
        <v>45450.872187499997</v>
      </c>
      <c r="E16" cm="1">
        <f t="array" ref="E16">INDEX(B$1:B$224233, MATCH(D16,A$1:A$224233,1) +0)</f>
        <v>62.515248</v>
      </c>
    </row>
    <row r="17" spans="1:5" x14ac:dyDescent="0.3">
      <c r="A17" s="20">
        <v>45450.578472000001</v>
      </c>
      <c r="B17" s="17">
        <v>40.847375999999997</v>
      </c>
      <c r="C17" s="18">
        <f>+Sheet1!H18</f>
        <v>45450.971168981479</v>
      </c>
      <c r="D17" s="19">
        <f t="shared" si="1"/>
        <v>45450.887835648144</v>
      </c>
      <c r="E17" cm="1">
        <f t="array" ref="E17">INDEX(B$1:B$224233, MATCH(D17,A$1:A$224233,1) +0)</f>
        <v>61.860207000000003</v>
      </c>
    </row>
    <row r="18" spans="1:5" x14ac:dyDescent="0.3">
      <c r="A18" s="20">
        <v>45450.579167000004</v>
      </c>
      <c r="B18" s="17">
        <v>40.686359000000003</v>
      </c>
      <c r="C18" s="18">
        <f>+Sheet1!H19</f>
        <v>45450.986793981479</v>
      </c>
      <c r="D18" s="19">
        <f t="shared" si="1"/>
        <v>45450.903460648144</v>
      </c>
      <c r="E18" cm="1">
        <f t="array" ref="E18">INDEX(B$1:B$224233, MATCH(D18,A$1:A$224233,1) +0)</f>
        <v>62.275471000000003</v>
      </c>
    </row>
    <row r="19" spans="1:5" x14ac:dyDescent="0.3">
      <c r="A19" s="20">
        <v>45450.579860999998</v>
      </c>
      <c r="B19" s="17">
        <v>40.799559000000002</v>
      </c>
      <c r="C19" s="18">
        <f>+Sheet1!H20</f>
        <v>45451.002430555556</v>
      </c>
      <c r="D19" s="19">
        <f t="shared" si="1"/>
        <v>45450.91909722222</v>
      </c>
      <c r="E19" cm="1">
        <f t="array" ref="E19">INDEX(B$1:B$224233, MATCH(D19,A$1:A$224233,1) +0)</f>
        <v>62.665090999999997</v>
      </c>
    </row>
    <row r="20" spans="1:5" x14ac:dyDescent="0.3">
      <c r="A20" s="20">
        <v>45450.580556000001</v>
      </c>
      <c r="B20" s="17">
        <v>40.894167000000003</v>
      </c>
      <c r="C20" s="18">
        <f>+Sheet1!H21</f>
        <v>45451.018067129633</v>
      </c>
      <c r="D20" s="19">
        <f t="shared" si="1"/>
        <v>45450.934733796297</v>
      </c>
      <c r="E20" cm="1">
        <f t="array" ref="E20">INDEX(B$1:B$224233, MATCH(D20,A$1:A$224233,1) +0)</f>
        <v>62.350099999999998</v>
      </c>
    </row>
    <row r="21" spans="1:5" x14ac:dyDescent="0.3">
      <c r="A21" s="20">
        <v>45450.581250000003</v>
      </c>
      <c r="B21" s="17">
        <v>41.766952000000003</v>
      </c>
      <c r="C21" s="18">
        <f>+Sheet1!H22</f>
        <v>45451.033692129633</v>
      </c>
      <c r="D21" s="19">
        <f t="shared" si="1"/>
        <v>45450.950358796297</v>
      </c>
      <c r="E21" cm="1">
        <f t="array" ref="E21">INDEX(B$1:B$224233, MATCH(D21,A$1:A$224233,1) +0)</f>
        <v>62.803992999999998</v>
      </c>
    </row>
    <row r="22" spans="1:5" x14ac:dyDescent="0.3">
      <c r="A22" s="20">
        <v>45450.581943999998</v>
      </c>
      <c r="B22" s="17">
        <v>40.829343000000001</v>
      </c>
      <c r="C22" s="18">
        <f>+Sheet1!H23</f>
        <v>45451.049340277779</v>
      </c>
      <c r="D22" s="19">
        <f t="shared" si="1"/>
        <v>45450.966006944444</v>
      </c>
      <c r="E22" cm="1">
        <f t="array" ref="E22">INDEX(B$1:B$224233, MATCH(D22,A$1:A$224233,1) +0)</f>
        <v>63.229970000000002</v>
      </c>
    </row>
    <row r="23" spans="1:5" x14ac:dyDescent="0.3">
      <c r="A23" s="20">
        <v>45450.582639</v>
      </c>
      <c r="B23" s="17">
        <v>41.625959000000002</v>
      </c>
      <c r="C23" s="18">
        <f>+Sheet1!H24</f>
        <v>45451.064988425926</v>
      </c>
      <c r="D23" s="19">
        <f t="shared" si="1"/>
        <v>45450.98165509259</v>
      </c>
      <c r="E23" cm="1">
        <f t="array" ref="E23">INDEX(B$1:B$224233, MATCH(D23,A$1:A$224233,1) +0)</f>
        <v>63.497439999999997</v>
      </c>
    </row>
    <row r="24" spans="1:5" x14ac:dyDescent="0.3">
      <c r="A24" s="20">
        <v>45450.583333000002</v>
      </c>
      <c r="B24" s="17">
        <v>42.323045999999998</v>
      </c>
      <c r="C24" s="18">
        <f>+Sheet1!H25</f>
        <v>45451.087893518517</v>
      </c>
      <c r="D24" s="19">
        <f t="shared" si="1"/>
        <v>45451.004560185182</v>
      </c>
      <c r="E24" cm="1">
        <f t="array" ref="E24">INDEX(B$1:B$224233, MATCH(D24,A$1:A$224233,1) +0)</f>
        <v>63.887307999999997</v>
      </c>
    </row>
    <row r="25" spans="1:5" x14ac:dyDescent="0.3">
      <c r="A25" s="20">
        <v>45450.584027999997</v>
      </c>
      <c r="B25" s="17">
        <v>42.065244999999997</v>
      </c>
      <c r="C25" s="18">
        <f>+Sheet1!H26</f>
        <v>45451.103530092594</v>
      </c>
      <c r="D25" s="19">
        <f t="shared" si="1"/>
        <v>45451.020196759258</v>
      </c>
      <c r="E25" cm="1">
        <f t="array" ref="E25">INDEX(B$1:B$224233, MATCH(D25,A$1:A$224233,1) +0)</f>
        <v>63.919117</v>
      </c>
    </row>
    <row r="26" spans="1:5" x14ac:dyDescent="0.3">
      <c r="A26" s="20">
        <v>45450.584722</v>
      </c>
      <c r="B26" s="17">
        <v>43.241554999999998</v>
      </c>
      <c r="C26" s="18">
        <f>+Sheet1!H27</f>
        <v>45451.119155092594</v>
      </c>
      <c r="D26" s="19">
        <f t="shared" si="1"/>
        <v>45451.035821759258</v>
      </c>
      <c r="E26" cm="1">
        <f t="array" ref="E26">INDEX(B$1:B$224233, MATCH(D26,A$1:A$224233,1) +0)</f>
        <v>63.362752999999998</v>
      </c>
    </row>
    <row r="27" spans="1:5" x14ac:dyDescent="0.3">
      <c r="A27" s="20">
        <v>45450.585417000002</v>
      </c>
      <c r="B27" s="17">
        <v>43.428210999999997</v>
      </c>
      <c r="C27" s="18">
        <f>+Sheet1!H28</f>
        <v>45451.134768518517</v>
      </c>
      <c r="D27" s="19">
        <f t="shared" si="1"/>
        <v>45451.051435185182</v>
      </c>
      <c r="E27" cm="1">
        <f t="array" ref="E27">INDEX(B$1:B$224233, MATCH(D27,A$1:A$224233,1) +0)</f>
        <v>66.982322999999994</v>
      </c>
    </row>
    <row r="28" spans="1:5" x14ac:dyDescent="0.3">
      <c r="A28" s="20">
        <v>45450.586110999997</v>
      </c>
      <c r="B28" s="17">
        <v>43.84796</v>
      </c>
      <c r="C28" s="18">
        <f>+Sheet1!H29</f>
        <v>45451.150405092594</v>
      </c>
      <c r="D28" s="19">
        <f t="shared" si="1"/>
        <v>45451.067071759258</v>
      </c>
      <c r="E28" cm="1">
        <f t="array" ref="E28">INDEX(B$1:B$224233, MATCH(D28,A$1:A$224233,1) +0)</f>
        <v>65.652154999999993</v>
      </c>
    </row>
    <row r="29" spans="1:5" x14ac:dyDescent="0.3">
      <c r="A29" s="20">
        <v>45450.586805999999</v>
      </c>
      <c r="B29" s="17">
        <v>43.985452000000002</v>
      </c>
      <c r="C29" s="18">
        <f>+Sheet1!H30</f>
        <v>45451.166041666664</v>
      </c>
      <c r="D29" s="19">
        <f t="shared" si="1"/>
        <v>45451.082708333328</v>
      </c>
      <c r="E29" cm="1">
        <f t="array" ref="E29">INDEX(B$1:B$224233, MATCH(D29,A$1:A$224233,1) +0)</f>
        <v>66.669768000000005</v>
      </c>
    </row>
    <row r="30" spans="1:5" x14ac:dyDescent="0.3">
      <c r="A30" s="20">
        <v>45450.587500000001</v>
      </c>
      <c r="B30" s="17">
        <v>44.096304000000003</v>
      </c>
      <c r="C30" s="18">
        <f>+Sheet1!H31</f>
        <v>45451.181666666664</v>
      </c>
      <c r="D30" s="19">
        <f t="shared" si="1"/>
        <v>45451.098333333328</v>
      </c>
      <c r="E30" cm="1">
        <f t="array" ref="E30">INDEX(B$1:B$224233, MATCH(D30,A$1:A$224233,1) +0)</f>
        <v>66.510446000000002</v>
      </c>
    </row>
    <row r="31" spans="1:5" x14ac:dyDescent="0.3">
      <c r="A31" s="20">
        <v>45450.588194000004</v>
      </c>
      <c r="B31" s="17">
        <v>45.006709999999998</v>
      </c>
      <c r="C31" s="18">
        <f>+Sheet1!H32</f>
        <v>45451.197291666664</v>
      </c>
      <c r="D31" s="19">
        <f t="shared" si="1"/>
        <v>45451.113958333328</v>
      </c>
      <c r="E31" cm="1">
        <f t="array" ref="E31">INDEX(B$1:B$224233, MATCH(D31,A$1:A$224233,1) +0)</f>
        <v>66.259631999999996</v>
      </c>
    </row>
    <row r="32" spans="1:5" x14ac:dyDescent="0.3">
      <c r="A32" s="20">
        <v>45450.588888999999</v>
      </c>
      <c r="B32" s="17">
        <v>45.192171000000002</v>
      </c>
      <c r="C32" s="18">
        <f>+Sheet1!H33</f>
        <v>45451.212939814817</v>
      </c>
      <c r="D32" s="19">
        <f t="shared" si="1"/>
        <v>45451.129606481481</v>
      </c>
      <c r="E32" cm="1">
        <f t="array" ref="E32">INDEX(B$1:B$224233, MATCH(D32,A$1:A$224233,1) +0)</f>
        <v>70.249458000000004</v>
      </c>
    </row>
    <row r="33" spans="1:5" x14ac:dyDescent="0.3">
      <c r="A33" s="20">
        <v>45450.589583000001</v>
      </c>
      <c r="B33" s="17">
        <v>44.760120000000001</v>
      </c>
      <c r="C33" s="18">
        <f>+Sheet1!H34</f>
        <v>45451.235856481479</v>
      </c>
      <c r="D33" s="19">
        <f t="shared" si="1"/>
        <v>45451.152523148143</v>
      </c>
      <c r="E33" cm="1">
        <f t="array" ref="E33">INDEX(B$1:B$224233, MATCH(D33,A$1:A$224233,1) +0)</f>
        <v>69.459522000000007</v>
      </c>
    </row>
    <row r="34" spans="1:5" x14ac:dyDescent="0.3">
      <c r="A34" s="20">
        <v>45450.590278000003</v>
      </c>
      <c r="B34" s="17">
        <v>45.285434000000002</v>
      </c>
      <c r="C34" s="18">
        <f>+Sheet1!H35</f>
        <v>45451.251481481479</v>
      </c>
      <c r="D34" s="19">
        <f t="shared" si="1"/>
        <v>45451.168148148143</v>
      </c>
      <c r="E34" cm="1">
        <f t="array" ref="E34">INDEX(B$1:B$224233, MATCH(D34,A$1:A$224233,1) +0)</f>
        <v>70.175048000000004</v>
      </c>
    </row>
    <row r="35" spans="1:5" x14ac:dyDescent="0.3">
      <c r="A35" s="20">
        <v>45450.590971999998</v>
      </c>
      <c r="B35" s="17">
        <v>45.238653999999997</v>
      </c>
      <c r="C35" s="18">
        <f>+Sheet1!H36</f>
        <v>45451.267118055555</v>
      </c>
      <c r="D35" s="19">
        <f t="shared" si="1"/>
        <v>45451.18378472222</v>
      </c>
      <c r="E35" cm="1">
        <f t="array" ref="E35">INDEX(B$1:B$224233, MATCH(D35,A$1:A$224233,1) +0)</f>
        <v>69.936409999999995</v>
      </c>
    </row>
    <row r="36" spans="1:5" x14ac:dyDescent="0.3">
      <c r="A36" s="20">
        <v>45450.591667000001</v>
      </c>
      <c r="B36" s="17">
        <v>46.005758</v>
      </c>
      <c r="C36" s="18">
        <f>+Sheet1!H37</f>
        <v>45451.282743055555</v>
      </c>
      <c r="D36" s="19">
        <f t="shared" si="1"/>
        <v>45451.19940972222</v>
      </c>
      <c r="E36" cm="1">
        <f t="array" ref="E36">INDEX(B$1:B$224233, MATCH(D36,A$1:A$224233,1) +0)</f>
        <v>69.231514000000004</v>
      </c>
    </row>
    <row r="37" spans="1:5" x14ac:dyDescent="0.3">
      <c r="A37" s="20">
        <v>45450.592361000003</v>
      </c>
      <c r="B37" s="17">
        <v>46.675941000000002</v>
      </c>
      <c r="C37" s="18">
        <f>+Sheet1!H38</f>
        <v>45451.298379629632</v>
      </c>
      <c r="D37" s="19">
        <f t="shared" si="1"/>
        <v>45451.215046296296</v>
      </c>
      <c r="E37" cm="1">
        <f t="array" ref="E37">INDEX(B$1:B$224233, MATCH(D37,A$1:A$224233,1) +0)</f>
        <v>80.137281000000002</v>
      </c>
    </row>
    <row r="38" spans="1:5" x14ac:dyDescent="0.3">
      <c r="A38" s="20">
        <v>45450.593055999998</v>
      </c>
      <c r="B38" s="17">
        <v>46.937759</v>
      </c>
      <c r="C38" s="18">
        <f>+Sheet1!H39</f>
        <v>45451.314016203702</v>
      </c>
      <c r="D38" s="19">
        <f t="shared" si="1"/>
        <v>45451.230682870366</v>
      </c>
      <c r="E38" cm="1">
        <f t="array" ref="E38">INDEX(B$1:B$224233, MATCH(D38,A$1:A$224233,1) +0)</f>
        <v>79.949128999999999</v>
      </c>
    </row>
    <row r="39" spans="1:5" x14ac:dyDescent="0.3">
      <c r="A39" s="20">
        <v>45450.59375</v>
      </c>
      <c r="B39" s="17">
        <v>47.201300000000003</v>
      </c>
      <c r="C39" s="18">
        <f>+Sheet1!H40</f>
        <v>45451.329641203702</v>
      </c>
      <c r="D39" s="19">
        <f t="shared" si="1"/>
        <v>45451.246307870366</v>
      </c>
      <c r="E39" cm="1">
        <f t="array" ref="E39">INDEX(B$1:B$224233, MATCH(D39,A$1:A$224233,1) +0)</f>
        <v>79.927308999999994</v>
      </c>
    </row>
    <row r="40" spans="1:5" x14ac:dyDescent="0.3">
      <c r="A40" s="20">
        <v>45450.594444000002</v>
      </c>
      <c r="B40" s="17">
        <v>46.743509000000003</v>
      </c>
      <c r="C40" s="18">
        <f>+Sheet1!H41</f>
        <v>45451.345266203702</v>
      </c>
      <c r="D40" s="19">
        <f t="shared" si="1"/>
        <v>45451.261932870366</v>
      </c>
      <c r="E40" cm="1">
        <f t="array" ref="E40">INDEX(B$1:B$224233, MATCH(D40,A$1:A$224233,1) +0)</f>
        <v>79.997320000000002</v>
      </c>
    </row>
    <row r="41" spans="1:5" x14ac:dyDescent="0.3">
      <c r="A41" s="20">
        <v>45450.595138999997</v>
      </c>
      <c r="B41" s="17">
        <v>47.173302999999997</v>
      </c>
      <c r="C41" s="18">
        <f>+Sheet1!H42</f>
        <v>45451.360902777778</v>
      </c>
      <c r="D41" s="19">
        <f t="shared" si="1"/>
        <v>45451.277569444443</v>
      </c>
      <c r="E41" cm="1">
        <f t="array" ref="E41">INDEX(B$1:B$224233, MATCH(D41,A$1:A$224233,1) +0)</f>
        <v>80.162018000000003</v>
      </c>
    </row>
    <row r="42" spans="1:5" x14ac:dyDescent="0.3">
      <c r="A42" s="20">
        <v>45450.595832999999</v>
      </c>
      <c r="B42" s="17">
        <v>47.569488999999997</v>
      </c>
      <c r="C42" s="18">
        <f>+Sheet1!H43</f>
        <v>45451.383831018517</v>
      </c>
      <c r="D42" s="19">
        <f t="shared" si="1"/>
        <v>45451.300497685181</v>
      </c>
      <c r="E42" cm="1">
        <f t="array" ref="E42">INDEX(B$1:B$224233, MATCH(D42,A$1:A$224233,1) +0)</f>
        <v>65.565786000000003</v>
      </c>
    </row>
    <row r="43" spans="1:5" x14ac:dyDescent="0.3">
      <c r="A43" s="20">
        <v>45450.596528000002</v>
      </c>
      <c r="B43" s="17">
        <v>48.211281999999997</v>
      </c>
      <c r="C43" s="18">
        <f>+Sheet1!H44</f>
        <v>45451.399467592593</v>
      </c>
      <c r="D43" s="19">
        <f t="shared" si="1"/>
        <v>45451.316134259258</v>
      </c>
      <c r="E43" cm="1">
        <f t="array" ref="E43">INDEX(B$1:B$224233, MATCH(D43,A$1:A$224233,1) +0)</f>
        <v>67.327571000000006</v>
      </c>
    </row>
    <row r="44" spans="1:5" x14ac:dyDescent="0.3">
      <c r="A44" s="20">
        <v>45450.597221999997</v>
      </c>
      <c r="B44" s="17">
        <v>47.837125999999998</v>
      </c>
      <c r="C44" s="18">
        <f>+Sheet1!H45</f>
        <v>45451.415092592593</v>
      </c>
      <c r="D44" s="19">
        <f t="shared" si="1"/>
        <v>45451.331759259258</v>
      </c>
      <c r="E44" cm="1">
        <f t="array" ref="E44">INDEX(B$1:B$224233, MATCH(D44,A$1:A$224233,1) +0)</f>
        <v>68.667036999999993</v>
      </c>
    </row>
    <row r="45" spans="1:5" x14ac:dyDescent="0.3">
      <c r="A45" s="20">
        <v>45450.597916999999</v>
      </c>
      <c r="B45" s="17">
        <v>48.570908000000003</v>
      </c>
      <c r="C45" s="18">
        <f>+Sheet1!H46</f>
        <v>45451.430717592593</v>
      </c>
      <c r="D45" s="19">
        <f t="shared" si="1"/>
        <v>45451.347384259258</v>
      </c>
      <c r="E45" cm="1">
        <f t="array" ref="E45">INDEX(B$1:B$224233, MATCH(D45,A$1:A$224233,1) +0)</f>
        <v>69.375398000000004</v>
      </c>
    </row>
    <row r="46" spans="1:5" x14ac:dyDescent="0.3">
      <c r="A46" s="20">
        <v>45450.598611000001</v>
      </c>
      <c r="B46" s="17">
        <v>48.721918000000002</v>
      </c>
      <c r="C46" s="18">
        <f>+Sheet1!H47</f>
        <v>45451.44635416667</v>
      </c>
      <c r="D46" s="19">
        <f t="shared" si="1"/>
        <v>45451.363020833334</v>
      </c>
      <c r="E46" cm="1">
        <f t="array" ref="E46">INDEX(B$1:B$224233, MATCH(D46,A$1:A$224233,1) +0)</f>
        <v>69.968148999999997</v>
      </c>
    </row>
    <row r="47" spans="1:5" x14ac:dyDescent="0.3">
      <c r="A47" s="20">
        <v>45450.599305999996</v>
      </c>
      <c r="B47" s="17">
        <v>49.591227000000003</v>
      </c>
      <c r="C47" s="18">
        <f>+Sheet1!H48</f>
        <v>45451.461967592593</v>
      </c>
      <c r="D47" s="19">
        <f t="shared" si="1"/>
        <v>45451.378634259258</v>
      </c>
      <c r="E47" cm="1">
        <f t="array" ref="E47">INDEX(B$1:B$224233, MATCH(D47,A$1:A$224233,1) +0)</f>
        <v>69.330899000000002</v>
      </c>
    </row>
    <row r="48" spans="1:5" x14ac:dyDescent="0.3">
      <c r="A48" s="20">
        <v>45450.6</v>
      </c>
      <c r="B48" s="17">
        <v>50.080433999999997</v>
      </c>
      <c r="C48" s="18">
        <f>+Sheet1!H49</f>
        <v>45451.47760416667</v>
      </c>
      <c r="D48" s="19">
        <f t="shared" si="1"/>
        <v>45451.394270833334</v>
      </c>
      <c r="E48" cm="1">
        <f t="array" ref="E48">INDEX(B$1:B$224233, MATCH(D48,A$1:A$224233,1) +0)</f>
        <v>69.865042000000003</v>
      </c>
    </row>
    <row r="49" spans="1:5" x14ac:dyDescent="0.3">
      <c r="A49" s="20">
        <v>45450.600694000001</v>
      </c>
      <c r="B49" s="17">
        <v>50.003253000000001</v>
      </c>
      <c r="C49" s="18">
        <f>+Sheet1!H50</f>
        <v>45451.49324074074</v>
      </c>
      <c r="D49" s="19">
        <f t="shared" si="1"/>
        <v>45451.409907407404</v>
      </c>
      <c r="E49" cm="1">
        <f t="array" ref="E49">INDEX(B$1:B$224233, MATCH(D49,A$1:A$224233,1) +0)</f>
        <v>69.612482999999997</v>
      </c>
    </row>
    <row r="50" spans="1:5" x14ac:dyDescent="0.3">
      <c r="A50" s="20">
        <v>45450.601389000003</v>
      </c>
      <c r="B50" s="17">
        <v>49.637661999999999</v>
      </c>
      <c r="C50" s="18">
        <f>+Sheet1!H51</f>
        <v>45451.50886574074</v>
      </c>
      <c r="D50" s="19">
        <f t="shared" si="1"/>
        <v>45451.425532407404</v>
      </c>
      <c r="E50" cm="1">
        <f t="array" ref="E50">INDEX(B$1:B$224233, MATCH(D50,A$1:A$224233,1) +0)</f>
        <v>69.016347999999994</v>
      </c>
    </row>
    <row r="51" spans="1:5" x14ac:dyDescent="0.3">
      <c r="A51" s="20">
        <v>45450.602082999998</v>
      </c>
      <c r="B51" s="17">
        <v>50.195422000000001</v>
      </c>
      <c r="C51" s="18">
        <f>+Sheet1!H52</f>
        <v>45451.524502314816</v>
      </c>
      <c r="D51" s="19">
        <f t="shared" si="1"/>
        <v>45451.441168981481</v>
      </c>
      <c r="E51" cm="1">
        <f t="array" ref="E51">INDEX(B$1:B$224233, MATCH(D51,A$1:A$224233,1) +0)</f>
        <v>68.687903000000006</v>
      </c>
    </row>
    <row r="52" spans="1:5" x14ac:dyDescent="0.3">
      <c r="A52" s="20">
        <v>45450.602778</v>
      </c>
      <c r="B52" s="17">
        <v>50.711837000000003</v>
      </c>
      <c r="C52" s="18">
        <f>+Sheet1!H53</f>
        <v>45451.540138888886</v>
      </c>
      <c r="D52" s="19">
        <f t="shared" si="1"/>
        <v>45451.45680555555</v>
      </c>
      <c r="E52" cm="1">
        <f t="array" ref="E52">INDEX(B$1:B$224233, MATCH(D52,A$1:A$224233,1) +0)</f>
        <v>68.494116000000005</v>
      </c>
    </row>
    <row r="53" spans="1:5" x14ac:dyDescent="0.3">
      <c r="A53" s="20">
        <v>45450.603472000003</v>
      </c>
      <c r="B53" s="17">
        <v>50.132306999999997</v>
      </c>
      <c r="C53" s="18">
        <f>+Sheet1!H54</f>
        <v>45451.555763888886</v>
      </c>
      <c r="D53" s="19">
        <f t="shared" si="1"/>
        <v>45451.47243055555</v>
      </c>
      <c r="E53" cm="1">
        <f t="array" ref="E53">INDEX(B$1:B$224233, MATCH(D53,A$1:A$224233,1) +0)</f>
        <v>68.632547000000002</v>
      </c>
    </row>
    <row r="54" spans="1:5" x14ac:dyDescent="0.3">
      <c r="A54" s="20">
        <v>45450.604166999998</v>
      </c>
      <c r="B54" s="17">
        <v>51.314157000000002</v>
      </c>
      <c r="C54" s="18">
        <f>+Sheet1!H55</f>
        <v>45451.571388888886</v>
      </c>
      <c r="D54" s="19">
        <f t="shared" si="1"/>
        <v>45451.48805555555</v>
      </c>
      <c r="E54" cm="1">
        <f t="array" ref="E54">INDEX(B$1:B$224233, MATCH(D54,A$1:A$224233,1) +0)</f>
        <v>68.254369999999994</v>
      </c>
    </row>
    <row r="55" spans="1:5" x14ac:dyDescent="0.3">
      <c r="A55" s="20">
        <v>45450.604861</v>
      </c>
      <c r="B55" s="17">
        <v>50.984318999999999</v>
      </c>
      <c r="C55" s="18">
        <f>+Sheet1!H56</f>
        <v>45451.587025462963</v>
      </c>
      <c r="D55" s="19">
        <f t="shared" si="1"/>
        <v>45451.503692129627</v>
      </c>
      <c r="E55" cm="1">
        <f t="array" ref="E55">INDEX(B$1:B$224233, MATCH(D55,A$1:A$224233,1) +0)</f>
        <v>68.707367000000005</v>
      </c>
    </row>
    <row r="56" spans="1:5" x14ac:dyDescent="0.3">
      <c r="A56" s="20">
        <v>45450.605556000002</v>
      </c>
      <c r="B56" s="17">
        <v>50.767425000000003</v>
      </c>
      <c r="C56" s="18">
        <f>+Sheet1!H57</f>
        <v>45451.602662037039</v>
      </c>
      <c r="D56" s="19">
        <f t="shared" si="1"/>
        <v>45451.519328703704</v>
      </c>
      <c r="E56" cm="1">
        <f t="array" ref="E56">INDEX(B$1:B$224233, MATCH(D56,A$1:A$224233,1) +0)</f>
        <v>68.411311999999995</v>
      </c>
    </row>
    <row r="57" spans="1:5" x14ac:dyDescent="0.3">
      <c r="A57" s="20">
        <v>45450.606249999997</v>
      </c>
      <c r="B57" s="17">
        <v>51.425240000000002</v>
      </c>
      <c r="C57" s="18">
        <f>+Sheet1!H58</f>
        <v>45451.618287037039</v>
      </c>
      <c r="D57" s="19">
        <f t="shared" si="1"/>
        <v>45451.534953703704</v>
      </c>
      <c r="E57" cm="1">
        <f t="array" ref="E57">INDEX(B$1:B$224233, MATCH(D57,A$1:A$224233,1) +0)</f>
        <v>68.496651999999997</v>
      </c>
    </row>
    <row r="58" spans="1:5" x14ac:dyDescent="0.3">
      <c r="A58" s="20">
        <v>45450.606943999999</v>
      </c>
      <c r="B58" s="17">
        <v>52.088006</v>
      </c>
      <c r="C58" s="18">
        <f>+Sheet1!H59</f>
        <v>45451.633923611109</v>
      </c>
      <c r="D58" s="19">
        <f t="shared" si="1"/>
        <v>45451.550590277773</v>
      </c>
      <c r="E58" cm="1">
        <f t="array" ref="E58">INDEX(B$1:B$224233, MATCH(D58,A$1:A$224233,1) +0)</f>
        <v>68.688975999999997</v>
      </c>
    </row>
    <row r="59" spans="1:5" x14ac:dyDescent="0.3">
      <c r="A59" s="20">
        <v>45450.607639000002</v>
      </c>
      <c r="B59" s="17">
        <v>51.599227999999997</v>
      </c>
      <c r="C59" s="18">
        <f>+Sheet1!H60</f>
        <v>45451.649560185186</v>
      </c>
      <c r="D59" s="19">
        <f t="shared" si="1"/>
        <v>45451.56622685185</v>
      </c>
      <c r="E59" cm="1">
        <f t="array" ref="E59">INDEX(B$1:B$224233, MATCH(D59,A$1:A$224233,1) +0)</f>
        <v>68.742295999999996</v>
      </c>
    </row>
    <row r="60" spans="1:5" x14ac:dyDescent="0.3">
      <c r="A60" s="20">
        <v>45450.608332999996</v>
      </c>
      <c r="B60" s="17">
        <v>52.301597999999998</v>
      </c>
      <c r="C60" s="18">
        <f>+Sheet1!H61</f>
        <v>45451.665173611109</v>
      </c>
      <c r="D60" s="19">
        <f t="shared" si="1"/>
        <v>45451.581840277773</v>
      </c>
      <c r="E60" cm="1">
        <f t="array" ref="E60">INDEX(B$1:B$224233, MATCH(D60,A$1:A$224233,1) +0)</f>
        <v>68.83578</v>
      </c>
    </row>
    <row r="61" spans="1:5" x14ac:dyDescent="0.3">
      <c r="A61" s="20">
        <v>45450.609027999999</v>
      </c>
      <c r="B61" s="17">
        <v>51.922226000000002</v>
      </c>
      <c r="C61" s="18">
        <f>+Sheet1!H62</f>
        <v>45451.680810185186</v>
      </c>
      <c r="D61" s="19">
        <f t="shared" si="1"/>
        <v>45451.59747685185</v>
      </c>
      <c r="E61" cm="1">
        <f t="array" ref="E61">INDEX(B$1:B$224233, MATCH(D61,A$1:A$224233,1) +0)</f>
        <v>67.641441</v>
      </c>
    </row>
    <row r="62" spans="1:5" x14ac:dyDescent="0.3">
      <c r="A62" s="20">
        <v>45450.609722000001</v>
      </c>
      <c r="B62" s="17">
        <v>52.178503999999997</v>
      </c>
      <c r="C62" s="18">
        <f>+Sheet1!H63</f>
        <v>45451.696435185186</v>
      </c>
      <c r="D62" s="19">
        <f t="shared" si="1"/>
        <v>45451.61310185185</v>
      </c>
      <c r="E62" cm="1">
        <f t="array" ref="E62">INDEX(B$1:B$224233, MATCH(D62,A$1:A$224233,1) +0)</f>
        <v>68.249516999999997</v>
      </c>
    </row>
    <row r="63" spans="1:5" x14ac:dyDescent="0.3">
      <c r="A63" s="20">
        <v>45450.610417000004</v>
      </c>
      <c r="B63" s="17">
        <v>52.679139999999997</v>
      </c>
      <c r="C63" s="18">
        <f>+Sheet1!H64</f>
        <v>45451.712083333332</v>
      </c>
      <c r="D63" s="19">
        <f t="shared" si="1"/>
        <v>45451.628749999996</v>
      </c>
      <c r="E63" cm="1">
        <f t="array" ref="E63">INDEX(B$1:B$224233, MATCH(D63,A$1:A$224233,1) +0)</f>
        <v>69.028374999999997</v>
      </c>
    </row>
    <row r="64" spans="1:5" x14ac:dyDescent="0.3">
      <c r="A64" s="20">
        <v>45450.611110999998</v>
      </c>
      <c r="B64" s="17">
        <v>51.831370999999997</v>
      </c>
      <c r="C64" s="18">
        <f>+Sheet1!H65</f>
        <v>45451.727708333332</v>
      </c>
      <c r="D64" s="19">
        <f t="shared" si="1"/>
        <v>45451.644374999996</v>
      </c>
      <c r="E64" cm="1">
        <f t="array" ref="E64">INDEX(B$1:B$224233, MATCH(D64,A$1:A$224233,1) +0)</f>
        <v>68.283220999999998</v>
      </c>
    </row>
    <row r="65" spans="1:5" x14ac:dyDescent="0.3">
      <c r="A65" s="20">
        <v>45450.611806000001</v>
      </c>
      <c r="B65" s="17">
        <v>53.217032000000003</v>
      </c>
      <c r="C65" s="18">
        <f>+Sheet1!H66</f>
        <v>45451.743344907409</v>
      </c>
      <c r="D65" s="19">
        <f t="shared" si="1"/>
        <v>45451.660011574073</v>
      </c>
      <c r="E65" cm="1">
        <f t="array" ref="E65">INDEX(B$1:B$224233, MATCH(D65,A$1:A$224233,1) +0)</f>
        <v>68.171576000000002</v>
      </c>
    </row>
    <row r="66" spans="1:5" x14ac:dyDescent="0.3">
      <c r="A66" s="20">
        <v>45450.612500000003</v>
      </c>
      <c r="B66" s="17">
        <v>52.480646999999998</v>
      </c>
      <c r="C66" s="18">
        <f>+Sheet1!H67</f>
        <v>45451.758969907409</v>
      </c>
      <c r="D66" s="19">
        <f t="shared" si="1"/>
        <v>45451.675636574073</v>
      </c>
      <c r="E66" cm="1">
        <f t="array" ref="E66">INDEX(B$1:B$224233, MATCH(D66,A$1:A$224233,1) +0)</f>
        <v>67.879250999999996</v>
      </c>
    </row>
    <row r="67" spans="1:5" x14ac:dyDescent="0.3">
      <c r="A67" s="20">
        <v>45450.613193999998</v>
      </c>
      <c r="B67" s="17">
        <v>53.307951000000003</v>
      </c>
      <c r="C67" s="18">
        <f>+Sheet1!H68</f>
        <v>45451.774606481478</v>
      </c>
      <c r="D67" s="19">
        <f t="shared" ref="D67:D125" si="2">+C67-2/24</f>
        <v>45451.691273148142</v>
      </c>
      <c r="E67" cm="1">
        <f t="array" ref="E67">INDEX(B$1:B$224233, MATCH(D67,A$1:A$224233,1) +0)</f>
        <v>68.189458000000002</v>
      </c>
    </row>
    <row r="68" spans="1:5" x14ac:dyDescent="0.3">
      <c r="A68" s="20">
        <v>45450.613889</v>
      </c>
      <c r="B68" s="17">
        <v>54.175609999999999</v>
      </c>
      <c r="C68" s="18">
        <f>+Sheet1!H69</f>
        <v>45451.790231481478</v>
      </c>
      <c r="D68" s="19">
        <f t="shared" si="2"/>
        <v>45451.706898148142</v>
      </c>
      <c r="E68" cm="1">
        <f t="array" ref="E68">INDEX(B$1:B$224233, MATCH(D68,A$1:A$224233,1) +0)</f>
        <v>68.306028999999995</v>
      </c>
    </row>
    <row r="69" spans="1:5" x14ac:dyDescent="0.3">
      <c r="A69" s="20">
        <v>45450.614583000002</v>
      </c>
      <c r="B69" s="17">
        <v>53.687662000000003</v>
      </c>
      <c r="C69" s="18">
        <f>+Sheet1!H70</f>
        <v>45451.805868055555</v>
      </c>
      <c r="D69" s="19">
        <f t="shared" si="2"/>
        <v>45451.722534722219</v>
      </c>
      <c r="E69" cm="1">
        <f t="array" ref="E69">INDEX(B$1:B$224233, MATCH(D69,A$1:A$224233,1) +0)</f>
        <v>68.833800999999994</v>
      </c>
    </row>
    <row r="70" spans="1:5" x14ac:dyDescent="0.3">
      <c r="A70" s="20">
        <v>45450.615277999997</v>
      </c>
      <c r="B70" s="17">
        <v>53.928429000000001</v>
      </c>
      <c r="C70" s="18">
        <f>+Sheet1!H71</f>
        <v>45451.821493055555</v>
      </c>
      <c r="D70" s="19">
        <f t="shared" si="2"/>
        <v>45451.738159722219</v>
      </c>
      <c r="E70" cm="1">
        <f t="array" ref="E70">INDEX(B$1:B$224233, MATCH(D70,A$1:A$224233,1) +0)</f>
        <v>68.025075999999999</v>
      </c>
    </row>
    <row r="71" spans="1:5" x14ac:dyDescent="0.3">
      <c r="A71" s="20">
        <v>45450.615972</v>
      </c>
      <c r="B71" s="17">
        <v>53.274279</v>
      </c>
      <c r="C71" s="18">
        <f>+Sheet1!H72</f>
        <v>45451.837129629632</v>
      </c>
      <c r="D71" s="19">
        <f t="shared" si="2"/>
        <v>45451.753796296296</v>
      </c>
      <c r="E71" cm="1">
        <f t="array" ref="E71">INDEX(B$1:B$224233, MATCH(D71,A$1:A$224233,1) +0)</f>
        <v>68.133105999999998</v>
      </c>
    </row>
    <row r="72" spans="1:5" x14ac:dyDescent="0.3">
      <c r="A72" s="20">
        <v>45450.616667000002</v>
      </c>
      <c r="B72" s="17">
        <v>54.215364000000001</v>
      </c>
      <c r="C72" s="18">
        <f>+Sheet1!H73</f>
        <v>45451.948483796295</v>
      </c>
      <c r="D72" s="19">
        <f t="shared" si="2"/>
        <v>45451.86515046296</v>
      </c>
      <c r="E72" cm="1">
        <f t="array" ref="E72">INDEX(B$1:B$224233, MATCH(D72,A$1:A$224233,1) +0)</f>
        <v>69.173879999999997</v>
      </c>
    </row>
    <row r="73" spans="1:5" x14ac:dyDescent="0.3">
      <c r="A73" s="20">
        <v>45450.617360999997</v>
      </c>
      <c r="B73" s="17">
        <v>53.686160999999998</v>
      </c>
      <c r="C73" s="18">
        <f>+Sheet1!H74</f>
        <v>45451.964108796295</v>
      </c>
      <c r="D73" s="19">
        <f t="shared" si="2"/>
        <v>45451.88077546296</v>
      </c>
      <c r="E73" cm="1">
        <f t="array" ref="E73">INDEX(B$1:B$224233, MATCH(D73,A$1:A$224233,1) +0)</f>
        <v>68.288871</v>
      </c>
    </row>
    <row r="74" spans="1:5" x14ac:dyDescent="0.3">
      <c r="A74" s="20">
        <v>45450.618055999999</v>
      </c>
      <c r="B74" s="17">
        <v>54.187103999999998</v>
      </c>
      <c r="C74" s="18">
        <f>+Sheet1!H75</f>
        <v>45451.979733796295</v>
      </c>
      <c r="D74" s="19">
        <f t="shared" si="2"/>
        <v>45451.89640046296</v>
      </c>
      <c r="E74" cm="1">
        <f t="array" ref="E74">INDEX(B$1:B$224233, MATCH(D74,A$1:A$224233,1) +0)</f>
        <v>68.569998999999996</v>
      </c>
    </row>
    <row r="75" spans="1:5" x14ac:dyDescent="0.3">
      <c r="A75" s="20">
        <v>45450.618750000001</v>
      </c>
      <c r="B75" s="17">
        <v>54.008774000000003</v>
      </c>
      <c r="C75" s="18">
        <f>+Sheet1!H76</f>
        <v>45451.995381944442</v>
      </c>
      <c r="D75" s="19">
        <f t="shared" si="2"/>
        <v>45451.912048611106</v>
      </c>
      <c r="E75" cm="1">
        <f t="array" ref="E75">INDEX(B$1:B$224233, MATCH(D75,A$1:A$224233,1) +0)</f>
        <v>68.764696999999998</v>
      </c>
    </row>
    <row r="76" spans="1:5" x14ac:dyDescent="0.3">
      <c r="A76" s="20">
        <v>45450.619444000004</v>
      </c>
      <c r="B76" s="17">
        <v>54.230217000000003</v>
      </c>
      <c r="C76" s="18">
        <f>+Sheet1!H77</f>
        <v>45452.011018518519</v>
      </c>
      <c r="D76" s="19">
        <f t="shared" si="2"/>
        <v>45451.927685185183</v>
      </c>
      <c r="E76" cm="1">
        <f t="array" ref="E76">INDEX(B$1:B$224233, MATCH(D76,A$1:A$224233,1) +0)</f>
        <v>68.899268000000006</v>
      </c>
    </row>
    <row r="77" spans="1:5" x14ac:dyDescent="0.3">
      <c r="A77" s="20">
        <v>45450.620138999999</v>
      </c>
      <c r="B77" s="17">
        <v>55.154546000000003</v>
      </c>
      <c r="C77" s="18">
        <f>+Sheet1!H78</f>
        <v>45452.026655092595</v>
      </c>
      <c r="D77" s="19">
        <f t="shared" si="2"/>
        <v>45451.94332175926</v>
      </c>
      <c r="E77" cm="1">
        <f t="array" ref="E77">INDEX(B$1:B$224233, MATCH(D77,A$1:A$224233,1) +0)</f>
        <v>68.378101000000001</v>
      </c>
    </row>
    <row r="78" spans="1:5" x14ac:dyDescent="0.3">
      <c r="A78" s="20">
        <v>45450.620833000001</v>
      </c>
      <c r="B78" s="17">
        <v>55.851416999999998</v>
      </c>
      <c r="C78" s="18">
        <f>+Sheet1!H79</f>
        <v>45452.042291666665</v>
      </c>
      <c r="D78" s="19">
        <f t="shared" si="2"/>
        <v>45451.958958333329</v>
      </c>
      <c r="E78" cm="1">
        <f t="array" ref="E78">INDEX(B$1:B$224233, MATCH(D78,A$1:A$224233,1) +0)</f>
        <v>68.654694000000006</v>
      </c>
    </row>
    <row r="79" spans="1:5" x14ac:dyDescent="0.3">
      <c r="A79" s="20">
        <v>45450.621528000003</v>
      </c>
      <c r="B79" s="17">
        <v>55.672528</v>
      </c>
      <c r="C79" s="18">
        <f>+Sheet1!H80</f>
        <v>45452.057928240742</v>
      </c>
      <c r="D79" s="19">
        <f t="shared" si="2"/>
        <v>45451.974594907406</v>
      </c>
      <c r="E79" cm="1">
        <f t="array" ref="E79">INDEX(B$1:B$224233, MATCH(D79,A$1:A$224233,1) +0)</f>
        <v>68.664900000000003</v>
      </c>
    </row>
    <row r="80" spans="1:5" x14ac:dyDescent="0.3">
      <c r="A80" s="20">
        <v>45450.622221999998</v>
      </c>
      <c r="B80" s="17">
        <v>57.135599999999997</v>
      </c>
      <c r="C80" s="18">
        <f>+Sheet1!H81</f>
        <v>45452.073553240742</v>
      </c>
      <c r="D80" s="19">
        <f t="shared" si="2"/>
        <v>45451.990219907406</v>
      </c>
      <c r="E80" cm="1">
        <f t="array" ref="E80">INDEX(B$1:B$224233, MATCH(D80,A$1:A$224233,1) +0)</f>
        <v>69.118381999999997</v>
      </c>
    </row>
    <row r="81" spans="1:5" x14ac:dyDescent="0.3">
      <c r="A81" s="20">
        <v>45450.622917000001</v>
      </c>
      <c r="B81" s="17">
        <v>56.652900000000002</v>
      </c>
      <c r="C81" s="18">
        <f>+Sheet1!H82</f>
        <v>45452.089178240742</v>
      </c>
      <c r="D81" s="19">
        <f t="shared" si="2"/>
        <v>45452.005844907406</v>
      </c>
      <c r="E81" cm="1">
        <f t="array" ref="E81">INDEX(B$1:B$224233, MATCH(D81,A$1:A$224233,1) +0)</f>
        <v>69.176462999999998</v>
      </c>
    </row>
    <row r="82" spans="1:5" x14ac:dyDescent="0.3">
      <c r="A82" s="20">
        <v>45450.623611000003</v>
      </c>
      <c r="B82" s="17">
        <v>56.676436000000002</v>
      </c>
      <c r="C82" s="18">
        <f>+Sheet1!H83</f>
        <v>45452.104814814818</v>
      </c>
      <c r="D82" s="19">
        <f t="shared" si="2"/>
        <v>45452.021481481483</v>
      </c>
      <c r="E82" cm="1">
        <f t="array" ref="E82">INDEX(B$1:B$224233, MATCH(D82,A$1:A$224233,1) +0)</f>
        <v>68.982275000000001</v>
      </c>
    </row>
    <row r="83" spans="1:5" x14ac:dyDescent="0.3">
      <c r="A83" s="20">
        <v>45450.624305999998</v>
      </c>
      <c r="B83" s="17">
        <v>56.447566999999999</v>
      </c>
      <c r="C83" s="18">
        <f>+Sheet1!H84</f>
        <v>45452.120462962965</v>
      </c>
      <c r="D83" s="19">
        <f t="shared" si="2"/>
        <v>45452.037129629629</v>
      </c>
      <c r="E83" cm="1">
        <f t="array" ref="E83">INDEX(B$1:B$224233, MATCH(D83,A$1:A$224233,1) +0)</f>
        <v>68.815753999999998</v>
      </c>
    </row>
    <row r="84" spans="1:5" x14ac:dyDescent="0.3">
      <c r="A84" s="20">
        <v>45450.625</v>
      </c>
      <c r="B84" s="17">
        <v>56.972985000000001</v>
      </c>
      <c r="C84" s="18">
        <f>+Sheet1!H85</f>
        <v>45452.136087962965</v>
      </c>
      <c r="D84" s="19">
        <f t="shared" si="2"/>
        <v>45452.052754629629</v>
      </c>
      <c r="E84" cm="1">
        <f t="array" ref="E84">INDEX(B$1:B$224233, MATCH(D84,A$1:A$224233,1) +0)</f>
        <v>68.486920999999995</v>
      </c>
    </row>
    <row r="85" spans="1:5" x14ac:dyDescent="0.3">
      <c r="A85" s="20">
        <v>45450.625694000002</v>
      </c>
      <c r="B85" s="17">
        <v>55.859983999999997</v>
      </c>
      <c r="C85" s="18">
        <f>+Sheet1!H86</f>
        <v>45452.151736111111</v>
      </c>
      <c r="D85" s="19">
        <f t="shared" si="2"/>
        <v>45452.068402777775</v>
      </c>
      <c r="E85" cm="1">
        <f t="array" ref="E85">INDEX(B$1:B$224233, MATCH(D85,A$1:A$224233,1) +0)</f>
        <v>68.761014000000003</v>
      </c>
    </row>
    <row r="86" spans="1:5" x14ac:dyDescent="0.3">
      <c r="A86" s="20">
        <v>45450.626388999997</v>
      </c>
      <c r="B86" s="17">
        <v>56.713920000000002</v>
      </c>
      <c r="C86" s="18">
        <f>+Sheet1!H87</f>
        <v>45452.167372685188</v>
      </c>
      <c r="D86" s="19">
        <f t="shared" si="2"/>
        <v>45452.084039351852</v>
      </c>
      <c r="E86" cm="1">
        <f t="array" ref="E86">INDEX(B$1:B$224233, MATCH(D86,A$1:A$224233,1) +0)</f>
        <v>68.819603000000001</v>
      </c>
    </row>
    <row r="87" spans="1:5" x14ac:dyDescent="0.3">
      <c r="A87" s="20">
        <v>45450.627082999999</v>
      </c>
      <c r="B87" s="17">
        <v>57.058132999999998</v>
      </c>
      <c r="C87" s="18">
        <f>+Sheet1!H88</f>
        <v>45452.183009259257</v>
      </c>
      <c r="D87" s="19">
        <f t="shared" si="2"/>
        <v>45452.099675925921</v>
      </c>
      <c r="E87" cm="1">
        <f t="array" ref="E87">INDEX(B$1:B$224233, MATCH(D87,A$1:A$224233,1) +0)</f>
        <v>68.907041000000007</v>
      </c>
    </row>
    <row r="88" spans="1:5" x14ac:dyDescent="0.3">
      <c r="A88" s="20">
        <v>45450.627778000002</v>
      </c>
      <c r="B88" s="17">
        <v>56.874079000000002</v>
      </c>
      <c r="C88" s="18">
        <f>+Sheet1!H89</f>
        <v>45452.198634259257</v>
      </c>
      <c r="D88" s="19">
        <f t="shared" si="2"/>
        <v>45452.115300925921</v>
      </c>
      <c r="E88" cm="1">
        <f t="array" ref="E88">INDEX(B$1:B$224233, MATCH(D88,A$1:A$224233,1) +0)</f>
        <v>69.007797999999994</v>
      </c>
    </row>
    <row r="89" spans="1:5" x14ac:dyDescent="0.3">
      <c r="A89" s="20">
        <v>45450.628471999997</v>
      </c>
      <c r="B89" s="17">
        <v>57.475560999999999</v>
      </c>
      <c r="C89" s="18">
        <f>+Sheet1!H90</f>
        <v>45452.214259259257</v>
      </c>
      <c r="D89" s="19">
        <f t="shared" si="2"/>
        <v>45452.130925925921</v>
      </c>
      <c r="E89" cm="1">
        <f t="array" ref="E89">INDEX(B$1:B$224233, MATCH(D89,A$1:A$224233,1) +0)</f>
        <v>69.018001999999996</v>
      </c>
    </row>
    <row r="90" spans="1:5" x14ac:dyDescent="0.3">
      <c r="A90" s="20">
        <v>45450.629166999999</v>
      </c>
      <c r="B90" s="17">
        <v>57.618195</v>
      </c>
      <c r="C90" s="18">
        <f>+Sheet1!H91</f>
        <v>45452.229895833334</v>
      </c>
      <c r="D90" s="19">
        <f t="shared" si="2"/>
        <v>45452.146562499998</v>
      </c>
      <c r="E90" cm="1">
        <f t="array" ref="E90">INDEX(B$1:B$224233, MATCH(D90,A$1:A$224233,1) +0)</f>
        <v>68.994652000000002</v>
      </c>
    </row>
    <row r="91" spans="1:5" x14ac:dyDescent="0.3">
      <c r="A91" s="20">
        <v>45450.629861000001</v>
      </c>
      <c r="B91" s="17">
        <v>57.123266999999998</v>
      </c>
      <c r="C91" s="18">
        <f>+Sheet1!H92</f>
        <v>45452.24554398148</v>
      </c>
      <c r="D91" s="19">
        <f t="shared" si="2"/>
        <v>45452.162210648145</v>
      </c>
      <c r="E91" cm="1">
        <f t="array" ref="E91">INDEX(B$1:B$224233, MATCH(D91,A$1:A$224233,1) +0)</f>
        <v>68.693393</v>
      </c>
    </row>
    <row r="92" spans="1:5" x14ac:dyDescent="0.3">
      <c r="A92" s="20">
        <v>45450.630555999996</v>
      </c>
      <c r="B92" s="17">
        <v>57.535488999999998</v>
      </c>
      <c r="C92" s="18">
        <f>+Sheet1!H93</f>
        <v>45452.261192129627</v>
      </c>
      <c r="D92" s="19">
        <f t="shared" si="2"/>
        <v>45452.177858796291</v>
      </c>
      <c r="E92" cm="1">
        <f t="array" ref="E92">INDEX(B$1:B$224233, MATCH(D92,A$1:A$224233,1) +0)</f>
        <v>68.360506000000001</v>
      </c>
    </row>
    <row r="93" spans="1:5" x14ac:dyDescent="0.3">
      <c r="A93" s="20">
        <v>45450.631249999999</v>
      </c>
      <c r="B93" s="17">
        <v>57.558357000000001</v>
      </c>
      <c r="C93" s="18">
        <f>+Sheet1!H94</f>
        <v>45452.276828703703</v>
      </c>
      <c r="D93" s="19">
        <f t="shared" si="2"/>
        <v>45452.193495370368</v>
      </c>
      <c r="E93" cm="1">
        <f t="array" ref="E93">INDEX(B$1:B$224233, MATCH(D93,A$1:A$224233,1) +0)</f>
        <v>68.594869000000003</v>
      </c>
    </row>
    <row r="94" spans="1:5" x14ac:dyDescent="0.3">
      <c r="A94" s="20">
        <v>45450.631944000001</v>
      </c>
      <c r="B94" s="17">
        <v>58.136211000000003</v>
      </c>
      <c r="C94" s="18">
        <f>+Sheet1!H95</f>
        <v>45452.292442129627</v>
      </c>
      <c r="D94" s="19">
        <f t="shared" si="2"/>
        <v>45452.209108796291</v>
      </c>
      <c r="E94" cm="1">
        <f t="array" ref="E94">INDEX(B$1:B$224233, MATCH(D94,A$1:A$224233,1) +0)</f>
        <v>69.552661000000001</v>
      </c>
    </row>
    <row r="95" spans="1:5" x14ac:dyDescent="0.3">
      <c r="A95" s="20">
        <v>45450.632639000003</v>
      </c>
      <c r="B95" s="17">
        <v>58.814801000000003</v>
      </c>
      <c r="C95" s="18">
        <f>+Sheet1!H96</f>
        <v>45452.308067129627</v>
      </c>
      <c r="D95" s="19">
        <f t="shared" si="2"/>
        <v>45452.224733796291</v>
      </c>
      <c r="E95" cm="1">
        <f t="array" ref="E95">INDEX(B$1:B$224233, MATCH(D95,A$1:A$224233,1) +0)</f>
        <v>69.331479000000002</v>
      </c>
    </row>
    <row r="96" spans="1:5" x14ac:dyDescent="0.3">
      <c r="A96" s="20">
        <v>45450.633332999998</v>
      </c>
      <c r="B96" s="17">
        <v>58.153975000000003</v>
      </c>
      <c r="C96" s="18">
        <f>+Sheet1!H97</f>
        <v>45452.323703703703</v>
      </c>
      <c r="D96" s="19">
        <f t="shared" si="2"/>
        <v>45452.240370370368</v>
      </c>
      <c r="E96" cm="1">
        <f t="array" ref="E96">INDEX(B$1:B$224233, MATCH(D96,A$1:A$224233,1) +0)</f>
        <v>69.350002000000003</v>
      </c>
    </row>
    <row r="97" spans="1:5" x14ac:dyDescent="0.3">
      <c r="A97" s="20">
        <v>45450.634028</v>
      </c>
      <c r="B97" s="17">
        <v>58.133688999999997</v>
      </c>
      <c r="C97" s="18">
        <f>+Sheet1!H98</f>
        <v>45452.339328703703</v>
      </c>
      <c r="D97" s="19">
        <f t="shared" si="2"/>
        <v>45452.255995370368</v>
      </c>
      <c r="E97" cm="1">
        <f t="array" ref="E97">INDEX(B$1:B$224233, MATCH(D97,A$1:A$224233,1) +0)</f>
        <v>69.530362999999994</v>
      </c>
    </row>
    <row r="98" spans="1:5" x14ac:dyDescent="0.3">
      <c r="A98" s="20">
        <v>45450.634722000003</v>
      </c>
      <c r="B98" s="17">
        <v>57.697584999999997</v>
      </c>
      <c r="C98" s="18">
        <f>+Sheet1!H99</f>
        <v>45452.354953703703</v>
      </c>
      <c r="D98" s="19">
        <f t="shared" si="2"/>
        <v>45452.271620370368</v>
      </c>
      <c r="E98" cm="1">
        <f t="array" ref="E98">INDEX(B$1:B$224233, MATCH(D98,A$1:A$224233,1) +0)</f>
        <v>69.714513999999994</v>
      </c>
    </row>
    <row r="99" spans="1:5" x14ac:dyDescent="0.3">
      <c r="A99" s="20">
        <v>45450.635416999998</v>
      </c>
      <c r="B99" s="17">
        <v>57.621546000000002</v>
      </c>
      <c r="C99" s="18">
        <f>+Sheet1!H100</f>
        <v>45452.370578703703</v>
      </c>
      <c r="D99" s="19">
        <f t="shared" si="2"/>
        <v>45452.287245370368</v>
      </c>
      <c r="E99" cm="1">
        <f t="array" ref="E99">INDEX(B$1:B$224233, MATCH(D99,A$1:A$224233,1) +0)</f>
        <v>70.119152999999997</v>
      </c>
    </row>
    <row r="100" spans="1:5" x14ac:dyDescent="0.3">
      <c r="A100" s="20">
        <v>45450.636111</v>
      </c>
      <c r="B100" s="17">
        <v>58.129488000000002</v>
      </c>
      <c r="C100" s="18">
        <f>+Sheet1!H101</f>
        <v>45452.386192129627</v>
      </c>
      <c r="D100" s="19">
        <f t="shared" si="2"/>
        <v>45452.302858796291</v>
      </c>
      <c r="E100" cm="1">
        <f t="array" ref="E100">INDEX(B$1:B$224233, MATCH(D100,A$1:A$224233,1) +0)</f>
        <v>71.970871000000002</v>
      </c>
    </row>
    <row r="101" spans="1:5" x14ac:dyDescent="0.3">
      <c r="A101" s="20">
        <v>45450.636806000002</v>
      </c>
      <c r="B101" s="17">
        <v>58.164527</v>
      </c>
      <c r="C101" s="18">
        <f>+Sheet1!H102</f>
        <v>45452.40184027778</v>
      </c>
      <c r="D101" s="19">
        <f t="shared" si="2"/>
        <v>45452.318506944444</v>
      </c>
      <c r="E101" cm="1">
        <f t="array" ref="E101">INDEX(B$1:B$224233, MATCH(D101,A$1:A$224233,1) +0)</f>
        <v>72.093170999999998</v>
      </c>
    </row>
    <row r="102" spans="1:5" x14ac:dyDescent="0.3">
      <c r="A102" s="20">
        <v>45450.637499999997</v>
      </c>
      <c r="B102" s="17">
        <v>59.187907000000003</v>
      </c>
      <c r="C102" s="18">
        <f>+Sheet1!H103</f>
        <v>45452.417488425926</v>
      </c>
      <c r="D102" s="19">
        <f t="shared" si="2"/>
        <v>45452.334155092591</v>
      </c>
      <c r="E102" cm="1">
        <f t="array" ref="E102">INDEX(B$1:B$224233, MATCH(D102,A$1:A$224233,1) +0)</f>
        <v>71.995649999999998</v>
      </c>
    </row>
    <row r="103" spans="1:5" x14ac:dyDescent="0.3">
      <c r="A103" s="20">
        <v>45450.638193999999</v>
      </c>
      <c r="B103" s="17">
        <v>58.892861000000003</v>
      </c>
      <c r="C103" s="18">
        <f>+Sheet1!H104</f>
        <v>45452.433113425926</v>
      </c>
      <c r="D103" s="19">
        <f t="shared" si="2"/>
        <v>45452.349780092591</v>
      </c>
      <c r="E103" cm="1">
        <f t="array" ref="E103">INDEX(B$1:B$224233, MATCH(D103,A$1:A$224233,1) +0)</f>
        <v>70.391023000000004</v>
      </c>
    </row>
    <row r="104" spans="1:5" x14ac:dyDescent="0.3">
      <c r="A104" s="20">
        <v>45450.638889000002</v>
      </c>
      <c r="B104" s="17">
        <v>58.463059999999999</v>
      </c>
      <c r="C104" s="18">
        <f>+Sheet1!H105</f>
        <v>45452.448750000003</v>
      </c>
      <c r="D104" s="19">
        <f t="shared" si="2"/>
        <v>45452.365416666667</v>
      </c>
      <c r="E104" cm="1">
        <f t="array" ref="E104">INDEX(B$1:B$224233, MATCH(D104,A$1:A$224233,1) +0)</f>
        <v>65.115953000000005</v>
      </c>
    </row>
    <row r="105" spans="1:5" x14ac:dyDescent="0.3">
      <c r="A105" s="20">
        <v>45450.639582999996</v>
      </c>
      <c r="B105" s="17">
        <v>58.380189000000001</v>
      </c>
      <c r="C105" s="18">
        <f>+Sheet1!H106</f>
        <v>45452.464375000003</v>
      </c>
      <c r="D105" s="19">
        <f t="shared" si="2"/>
        <v>45452.381041666667</v>
      </c>
      <c r="E105" cm="1">
        <f t="array" ref="E105">INDEX(B$1:B$224233, MATCH(D105,A$1:A$224233,1) +0)</f>
        <v>59.636226000000001</v>
      </c>
    </row>
    <row r="106" spans="1:5" x14ac:dyDescent="0.3">
      <c r="A106" s="20">
        <v>45450.640277999999</v>
      </c>
      <c r="B106" s="17">
        <v>58.373798999999998</v>
      </c>
      <c r="C106" s="18">
        <f>+Sheet1!H107</f>
        <v>45452.480011574073</v>
      </c>
      <c r="D106" s="19">
        <f t="shared" si="2"/>
        <v>45452.396678240737</v>
      </c>
      <c r="E106" cm="1">
        <f t="array" ref="E106">INDEX(B$1:B$224233, MATCH(D106,A$1:A$224233,1) +0)</f>
        <v>59.841330999999997</v>
      </c>
    </row>
    <row r="107" spans="1:5" x14ac:dyDescent="0.3">
      <c r="A107" s="20">
        <v>45450.640972000001</v>
      </c>
      <c r="B107" s="17">
        <v>58.273097999999997</v>
      </c>
      <c r="C107" s="18">
        <f>+Sheet1!H108</f>
        <v>45452.495648148149</v>
      </c>
      <c r="D107" s="19">
        <f t="shared" si="2"/>
        <v>45452.412314814814</v>
      </c>
      <c r="E107" cm="1">
        <f t="array" ref="E107">INDEX(B$1:B$224233, MATCH(D107,A$1:A$224233,1) +0)</f>
        <v>60.378075000000003</v>
      </c>
    </row>
    <row r="108" spans="1:5" x14ac:dyDescent="0.3">
      <c r="A108" s="20">
        <v>45450.641667000004</v>
      </c>
      <c r="B108" s="17">
        <v>58.385264999999997</v>
      </c>
      <c r="C108" s="18">
        <f>+Sheet1!H109</f>
        <v>45452.511273148149</v>
      </c>
      <c r="D108" s="19">
        <f t="shared" si="2"/>
        <v>45452.427939814814</v>
      </c>
      <c r="E108" cm="1">
        <f t="array" ref="E108">INDEX(B$1:B$224233, MATCH(D108,A$1:A$224233,1) +0)</f>
        <v>60.774973000000003</v>
      </c>
    </row>
    <row r="109" spans="1:5" x14ac:dyDescent="0.3">
      <c r="A109" s="20">
        <v>45450.642360999998</v>
      </c>
      <c r="B109" s="17">
        <v>58.833862000000003</v>
      </c>
      <c r="C109" s="18">
        <f>+Sheet1!H110</f>
        <v>45452.526886574073</v>
      </c>
      <c r="D109" s="19">
        <f t="shared" si="2"/>
        <v>45452.443553240737</v>
      </c>
      <c r="E109" cm="1">
        <f t="array" ref="E109">INDEX(B$1:B$224233, MATCH(D109,A$1:A$224233,1) +0)</f>
        <v>61.310768000000003</v>
      </c>
    </row>
    <row r="110" spans="1:5" x14ac:dyDescent="0.3">
      <c r="A110" s="20">
        <v>45450.643056000001</v>
      </c>
      <c r="B110" s="17">
        <v>59.604562000000001</v>
      </c>
      <c r="C110" s="18">
        <f>+Sheet1!H111</f>
        <v>45452.542523148149</v>
      </c>
      <c r="D110" s="19">
        <f t="shared" si="2"/>
        <v>45452.459189814814</v>
      </c>
      <c r="E110" cm="1">
        <f t="array" ref="E110">INDEX(B$1:B$224233, MATCH(D110,A$1:A$224233,1) +0)</f>
        <v>61.168937</v>
      </c>
    </row>
    <row r="111" spans="1:5" x14ac:dyDescent="0.3">
      <c r="A111" s="20">
        <v>45450.643750000003</v>
      </c>
      <c r="B111" s="17">
        <v>59.719982000000002</v>
      </c>
      <c r="C111" s="18">
        <f>+Sheet1!H112</f>
        <v>45452.558171296296</v>
      </c>
      <c r="D111" s="19">
        <f t="shared" si="2"/>
        <v>45452.47483796296</v>
      </c>
      <c r="E111" cm="1">
        <f t="array" ref="E111">INDEX(B$1:B$224233, MATCH(D111,A$1:A$224233,1) +0)</f>
        <v>61.307223999999998</v>
      </c>
    </row>
    <row r="112" spans="1:5" x14ac:dyDescent="0.3">
      <c r="A112" s="20">
        <v>45450.644443999998</v>
      </c>
      <c r="B112" s="17">
        <v>59.320022999999999</v>
      </c>
      <c r="C112" s="18">
        <f>+Sheet1!H113</f>
        <v>45452.573807870373</v>
      </c>
      <c r="D112" s="19">
        <f t="shared" si="2"/>
        <v>45452.490474537037</v>
      </c>
      <c r="E112" cm="1">
        <f t="array" ref="E112">INDEX(B$1:B$224233, MATCH(D112,A$1:A$224233,1) +0)</f>
        <v>61.767829999999996</v>
      </c>
    </row>
    <row r="113" spans="1:5" x14ac:dyDescent="0.3">
      <c r="A113" s="20">
        <v>45450.645139</v>
      </c>
      <c r="B113" s="17">
        <v>59.002349000000002</v>
      </c>
      <c r="C113" s="18">
        <f>+Sheet1!H114</f>
        <v>45452.589444444442</v>
      </c>
      <c r="D113" s="19">
        <f t="shared" si="2"/>
        <v>45452.506111111106</v>
      </c>
      <c r="E113" cm="1">
        <f t="array" ref="E113">INDEX(B$1:B$224233, MATCH(D113,A$1:A$224233,1) +0)</f>
        <v>60.738759999999999</v>
      </c>
    </row>
    <row r="114" spans="1:5" x14ac:dyDescent="0.3">
      <c r="A114" s="20">
        <v>45450.645833000002</v>
      </c>
      <c r="B114" s="17">
        <v>59.095137000000001</v>
      </c>
      <c r="C114" s="18">
        <f>+Sheet1!H115</f>
        <v>45452.605081018519</v>
      </c>
      <c r="D114" s="19">
        <f t="shared" si="2"/>
        <v>45452.521747685183</v>
      </c>
      <c r="E114" cm="1">
        <f t="array" ref="E114">INDEX(B$1:B$224233, MATCH(D114,A$1:A$224233,1) +0)</f>
        <v>61.510688000000002</v>
      </c>
    </row>
    <row r="115" spans="1:5" x14ac:dyDescent="0.3">
      <c r="A115" s="20">
        <v>45450.646527999997</v>
      </c>
      <c r="B115" s="17">
        <v>58.817082999999997</v>
      </c>
      <c r="C115" s="18">
        <f>+Sheet1!H116</f>
        <v>45452.620717592596</v>
      </c>
      <c r="D115" s="19">
        <f t="shared" si="2"/>
        <v>45452.53738425926</v>
      </c>
      <c r="E115" cm="1">
        <f t="array" ref="E115">INDEX(B$1:B$224233, MATCH(D115,A$1:A$224233,1) +0)</f>
        <v>61.109530999999997</v>
      </c>
    </row>
    <row r="116" spans="1:5" x14ac:dyDescent="0.3">
      <c r="A116" s="20">
        <v>45450.647222</v>
      </c>
      <c r="B116" s="17">
        <v>59.662726999999997</v>
      </c>
      <c r="C116" s="18">
        <f>+Sheet1!H117</f>
        <v>45452.636342592596</v>
      </c>
      <c r="D116" s="19">
        <f t="shared" si="2"/>
        <v>45452.55300925926</v>
      </c>
      <c r="E116" cm="1">
        <f t="array" ref="E116">INDEX(B$1:B$224233, MATCH(D116,A$1:A$224233,1) +0)</f>
        <v>61.606180999999999</v>
      </c>
    </row>
    <row r="117" spans="1:5" x14ac:dyDescent="0.3">
      <c r="A117" s="20">
        <v>45450.647917000002</v>
      </c>
      <c r="B117" s="17">
        <v>58.806626000000001</v>
      </c>
      <c r="C117" s="18">
        <f>+Sheet1!H118</f>
        <v>45452.651979166665</v>
      </c>
      <c r="D117" s="19">
        <f t="shared" si="2"/>
        <v>45452.568645833329</v>
      </c>
      <c r="E117" cm="1">
        <f t="array" ref="E117">INDEX(B$1:B$224233, MATCH(D117,A$1:A$224233,1) +0)</f>
        <v>61.281350000000003</v>
      </c>
    </row>
    <row r="118" spans="1:5" x14ac:dyDescent="0.3">
      <c r="A118" s="20">
        <v>45450.648610999997</v>
      </c>
      <c r="B118" s="17">
        <v>59.718614000000002</v>
      </c>
      <c r="C118" s="18">
        <f>+Sheet1!H119</f>
        <v>45452.667615740742</v>
      </c>
      <c r="D118" s="19">
        <f t="shared" si="2"/>
        <v>45452.584282407406</v>
      </c>
      <c r="E118" cm="1">
        <f t="array" ref="E118">INDEX(B$1:B$224233, MATCH(D118,A$1:A$224233,1) +0)</f>
        <v>60.615457999999997</v>
      </c>
    </row>
    <row r="119" spans="1:5" x14ac:dyDescent="0.3">
      <c r="A119" s="20">
        <v>45450.649305999999</v>
      </c>
      <c r="B119" s="17">
        <v>59.861145</v>
      </c>
      <c r="C119" s="18">
        <f>+Sheet1!H120</f>
        <v>45452.683252314811</v>
      </c>
      <c r="D119" s="19">
        <f t="shared" si="2"/>
        <v>45452.599918981476</v>
      </c>
      <c r="E119" cm="1">
        <f t="array" ref="E119">INDEX(B$1:B$224233, MATCH(D119,A$1:A$224233,1) +0)</f>
        <v>61.422204000000001</v>
      </c>
    </row>
    <row r="120" spans="1:5" x14ac:dyDescent="0.3">
      <c r="A120" s="20">
        <v>45450.65</v>
      </c>
      <c r="B120" s="17">
        <v>59.621384999999997</v>
      </c>
      <c r="C120" s="18">
        <f>+Sheet1!H121</f>
        <v>45452.698888888888</v>
      </c>
      <c r="D120" s="19">
        <f t="shared" si="2"/>
        <v>45452.615555555552</v>
      </c>
      <c r="E120" cm="1">
        <f t="array" ref="E120">INDEX(B$1:B$224233, MATCH(D120,A$1:A$224233,1) +0)</f>
        <v>62.018445999999997</v>
      </c>
    </row>
    <row r="121" spans="1:5" x14ac:dyDescent="0.3">
      <c r="A121" s="20">
        <v>45450.650694000004</v>
      </c>
      <c r="B121" s="17">
        <v>59.306894</v>
      </c>
      <c r="C121" s="18">
        <f>+Sheet1!H122</f>
        <v>45452.714537037034</v>
      </c>
      <c r="D121" s="19">
        <f t="shared" si="2"/>
        <v>45452.631203703699</v>
      </c>
      <c r="E121" cm="1">
        <f t="array" ref="E121">INDEX(B$1:B$224233, MATCH(D121,A$1:A$224233,1) +0)</f>
        <v>60.993544</v>
      </c>
    </row>
    <row r="122" spans="1:5" x14ac:dyDescent="0.3">
      <c r="A122" s="20">
        <v>45450.651388999999</v>
      </c>
      <c r="B122" s="17">
        <v>60.167095000000003</v>
      </c>
      <c r="C122" s="18">
        <f>+Sheet1!H123</f>
        <v>45452.730173611111</v>
      </c>
      <c r="D122" s="19">
        <f t="shared" si="2"/>
        <v>45452.646840277775</v>
      </c>
      <c r="E122" cm="1">
        <f t="array" ref="E122">INDEX(B$1:B$224233, MATCH(D122,A$1:A$224233,1) +0)</f>
        <v>61.287802999999997</v>
      </c>
    </row>
    <row r="123" spans="1:5" x14ac:dyDescent="0.3">
      <c r="A123" s="20">
        <v>45450.652083000001</v>
      </c>
      <c r="B123" s="17">
        <v>58.993380999999999</v>
      </c>
      <c r="C123" s="18">
        <f>+Sheet1!H124</f>
        <v>45452.745798611111</v>
      </c>
      <c r="D123" s="19">
        <f t="shared" si="2"/>
        <v>45452.662465277775</v>
      </c>
      <c r="E123" cm="1">
        <f t="array" ref="E123">INDEX(B$1:B$224233, MATCH(D123,A$1:A$224233,1) +0)</f>
        <v>60.809296000000003</v>
      </c>
    </row>
    <row r="124" spans="1:5" x14ac:dyDescent="0.3">
      <c r="A124" s="20">
        <v>45450.652778000003</v>
      </c>
      <c r="B124" s="17">
        <v>59.097228000000001</v>
      </c>
      <c r="C124" s="18">
        <f>+Sheet1!H125</f>
        <v>45452.761435185188</v>
      </c>
      <c r="D124" s="19">
        <f t="shared" si="2"/>
        <v>45452.678101851852</v>
      </c>
      <c r="E124" cm="1">
        <f t="array" ref="E124">INDEX(B$1:B$224233, MATCH(D124,A$1:A$224233,1) +0)</f>
        <v>61.497422999999998</v>
      </c>
    </row>
    <row r="125" spans="1:5" x14ac:dyDescent="0.3">
      <c r="A125" s="20">
        <v>45450.653471999998</v>
      </c>
      <c r="B125" s="17">
        <v>59.994464999999998</v>
      </c>
      <c r="C125" s="18">
        <f>+Sheet1!H126</f>
        <v>45452.777060185188</v>
      </c>
      <c r="D125" s="19">
        <f t="shared" si="2"/>
        <v>45452.693726851852</v>
      </c>
      <c r="E125" cm="1">
        <f t="array" ref="E125">INDEX(B$1:B$224233, MATCH(D125,A$1:A$224233,1) +0)</f>
        <v>61.683065999999997</v>
      </c>
    </row>
    <row r="126" spans="1:5" x14ac:dyDescent="0.3">
      <c r="A126" s="20">
        <v>45450.654167000001</v>
      </c>
      <c r="B126" s="17">
        <v>59.457115999999999</v>
      </c>
      <c r="C126" s="18"/>
      <c r="D126" s="19"/>
    </row>
    <row r="127" spans="1:5" x14ac:dyDescent="0.3">
      <c r="A127" s="20">
        <v>45450.654861000003</v>
      </c>
      <c r="B127" s="17">
        <v>59.279252999999997</v>
      </c>
      <c r="C127" s="18"/>
      <c r="D127" s="19"/>
    </row>
    <row r="128" spans="1:5" x14ac:dyDescent="0.3">
      <c r="A128" s="20">
        <v>45450.655555999998</v>
      </c>
      <c r="B128" s="17">
        <v>59.210597999999997</v>
      </c>
      <c r="C128" s="18"/>
      <c r="D128" s="19"/>
    </row>
    <row r="129" spans="1:4" x14ac:dyDescent="0.3">
      <c r="A129" s="20">
        <v>45450.65625</v>
      </c>
      <c r="B129" s="17">
        <v>58.942127999999997</v>
      </c>
      <c r="C129" s="18"/>
      <c r="D129" s="19"/>
    </row>
    <row r="130" spans="1:4" x14ac:dyDescent="0.3">
      <c r="A130" s="20">
        <v>45450.656944000002</v>
      </c>
      <c r="B130" s="17">
        <v>59.949289999999998</v>
      </c>
      <c r="C130" s="18"/>
      <c r="D130" s="19"/>
    </row>
    <row r="131" spans="1:4" x14ac:dyDescent="0.3">
      <c r="A131" s="20">
        <v>45450.657638999997</v>
      </c>
      <c r="B131" s="17">
        <v>59.828482000000001</v>
      </c>
      <c r="C131" s="18"/>
      <c r="D131" s="19"/>
    </row>
    <row r="132" spans="1:4" x14ac:dyDescent="0.3">
      <c r="A132" s="20">
        <v>45450.658332999999</v>
      </c>
      <c r="B132" s="17">
        <v>59.739671999999999</v>
      </c>
      <c r="C132" s="18"/>
      <c r="D132" s="19"/>
    </row>
    <row r="133" spans="1:4" x14ac:dyDescent="0.3">
      <c r="A133" s="20">
        <v>45450.659028000002</v>
      </c>
      <c r="B133" s="17">
        <v>60.373927000000002</v>
      </c>
      <c r="C133" s="18"/>
      <c r="D133" s="19"/>
    </row>
    <row r="134" spans="1:4" x14ac:dyDescent="0.3">
      <c r="A134" s="20">
        <v>45450.659721999997</v>
      </c>
      <c r="B134" s="17">
        <v>60.112223999999998</v>
      </c>
      <c r="C134" s="18"/>
      <c r="D134" s="19"/>
    </row>
    <row r="135" spans="1:4" x14ac:dyDescent="0.3">
      <c r="A135" s="20">
        <v>45450.660416999999</v>
      </c>
      <c r="B135" s="17">
        <v>60.696931999999997</v>
      </c>
      <c r="C135" s="18"/>
      <c r="D135" s="19"/>
    </row>
    <row r="136" spans="1:4" x14ac:dyDescent="0.3">
      <c r="A136" s="20">
        <v>45450.661111000001</v>
      </c>
      <c r="B136" s="17">
        <v>60.098112</v>
      </c>
      <c r="C136" s="18"/>
      <c r="D136" s="19"/>
    </row>
    <row r="137" spans="1:4" x14ac:dyDescent="0.3">
      <c r="A137" s="20">
        <v>45450.661805999996</v>
      </c>
      <c r="B137" s="17">
        <v>59.824800000000003</v>
      </c>
      <c r="C137" s="18"/>
      <c r="D137" s="19"/>
    </row>
    <row r="138" spans="1:4" x14ac:dyDescent="0.3">
      <c r="A138" s="20">
        <v>45450.662499999999</v>
      </c>
      <c r="B138" s="17">
        <v>61.053370000000001</v>
      </c>
      <c r="C138" s="18"/>
      <c r="D138" s="19"/>
    </row>
    <row r="139" spans="1:4" x14ac:dyDescent="0.3">
      <c r="A139" s="20">
        <v>45450.663194000001</v>
      </c>
      <c r="B139" s="17">
        <v>59.294452999999997</v>
      </c>
      <c r="C139" s="18"/>
      <c r="D139" s="19"/>
    </row>
    <row r="140" spans="1:4" x14ac:dyDescent="0.3">
      <c r="A140" s="20">
        <v>45450.663889000003</v>
      </c>
      <c r="B140" s="17">
        <v>60.129280999999999</v>
      </c>
      <c r="C140" s="18"/>
      <c r="D140" s="19"/>
    </row>
    <row r="141" spans="1:4" x14ac:dyDescent="0.3">
      <c r="A141" s="20">
        <v>45450.664582999998</v>
      </c>
      <c r="B141" s="17">
        <v>60.584918000000002</v>
      </c>
      <c r="C141" s="18"/>
      <c r="D141" s="19"/>
    </row>
    <row r="142" spans="1:4" x14ac:dyDescent="0.3">
      <c r="A142" s="20">
        <v>45450.665278</v>
      </c>
      <c r="B142" s="17">
        <v>60.408124000000001</v>
      </c>
      <c r="C142" s="18"/>
      <c r="D142" s="19"/>
    </row>
    <row r="143" spans="1:4" x14ac:dyDescent="0.3">
      <c r="A143" s="20">
        <v>45450.665972000003</v>
      </c>
      <c r="B143" s="17">
        <v>60.560918999999998</v>
      </c>
      <c r="C143" s="18"/>
      <c r="D143" s="19"/>
    </row>
    <row r="144" spans="1:4" x14ac:dyDescent="0.3">
      <c r="A144" s="20">
        <v>45450.666666999998</v>
      </c>
      <c r="B144" s="17">
        <v>59.291694999999997</v>
      </c>
      <c r="C144" s="18"/>
      <c r="D144" s="19"/>
    </row>
    <row r="145" spans="1:4" x14ac:dyDescent="0.3">
      <c r="A145" s="20">
        <v>45450.667361</v>
      </c>
      <c r="B145" s="17">
        <v>60.418474000000003</v>
      </c>
      <c r="C145" s="18"/>
      <c r="D145" s="19"/>
    </row>
    <row r="146" spans="1:4" x14ac:dyDescent="0.3">
      <c r="A146" s="20">
        <v>45450.668056000002</v>
      </c>
      <c r="B146" s="17">
        <v>60.929614999999998</v>
      </c>
      <c r="C146" s="18"/>
      <c r="D146" s="19"/>
    </row>
    <row r="147" spans="1:4" x14ac:dyDescent="0.3">
      <c r="A147" s="20">
        <v>45450.668749999997</v>
      </c>
      <c r="B147" s="17">
        <v>59.251736000000001</v>
      </c>
      <c r="C147" s="18"/>
      <c r="D147" s="19"/>
    </row>
    <row r="148" spans="1:4" x14ac:dyDescent="0.3">
      <c r="A148" s="20">
        <v>45450.669443999999</v>
      </c>
      <c r="B148" s="17">
        <v>61.152324999999998</v>
      </c>
      <c r="C148" s="18"/>
      <c r="D148" s="19"/>
    </row>
    <row r="149" spans="1:4" x14ac:dyDescent="0.3">
      <c r="A149" s="20">
        <v>45450.670139000002</v>
      </c>
      <c r="B149" s="17">
        <v>60.701355999999997</v>
      </c>
      <c r="C149" s="18"/>
      <c r="D149" s="19"/>
    </row>
    <row r="150" spans="1:4" x14ac:dyDescent="0.3">
      <c r="A150" s="20">
        <v>45450.670832999996</v>
      </c>
      <c r="B150" s="17">
        <v>60.259554000000001</v>
      </c>
      <c r="C150" s="18"/>
      <c r="D150" s="19"/>
    </row>
    <row r="151" spans="1:4" x14ac:dyDescent="0.3">
      <c r="A151" s="20">
        <v>45450.671527999999</v>
      </c>
      <c r="B151" s="17">
        <v>60.471519000000001</v>
      </c>
      <c r="C151" s="18"/>
      <c r="D151" s="19"/>
    </row>
    <row r="152" spans="1:4" x14ac:dyDescent="0.3">
      <c r="A152" s="20">
        <v>45450.672222000001</v>
      </c>
      <c r="B152" s="17">
        <v>60.777213000000003</v>
      </c>
      <c r="C152" s="18"/>
      <c r="D152" s="19"/>
    </row>
    <row r="153" spans="1:4" x14ac:dyDescent="0.3">
      <c r="A153" s="20">
        <v>45450.672917000004</v>
      </c>
      <c r="B153" s="17">
        <v>60.146796999999999</v>
      </c>
      <c r="C153" s="18"/>
      <c r="D153" s="19"/>
    </row>
    <row r="154" spans="1:4" x14ac:dyDescent="0.3">
      <c r="A154" s="20">
        <v>45450.673610999998</v>
      </c>
      <c r="B154" s="17">
        <v>61.548960999999998</v>
      </c>
      <c r="C154" s="18"/>
      <c r="D154" s="19"/>
    </row>
    <row r="155" spans="1:4" x14ac:dyDescent="0.3">
      <c r="A155" s="20">
        <v>45450.674306000001</v>
      </c>
      <c r="B155" s="17">
        <v>60.804808999999999</v>
      </c>
      <c r="C155" s="18"/>
      <c r="D155" s="19"/>
    </row>
    <row r="156" spans="1:4" x14ac:dyDescent="0.3">
      <c r="A156" s="20">
        <v>45450.675000000003</v>
      </c>
      <c r="B156" s="17">
        <v>60.396377000000001</v>
      </c>
      <c r="C156" s="18"/>
      <c r="D156" s="19"/>
    </row>
    <row r="157" spans="1:4" x14ac:dyDescent="0.3">
      <c r="A157" s="20">
        <v>45450.675693999998</v>
      </c>
      <c r="B157" s="17">
        <v>60.237265000000001</v>
      </c>
      <c r="C157" s="18"/>
      <c r="D157" s="19"/>
    </row>
    <row r="158" spans="1:4" x14ac:dyDescent="0.3">
      <c r="A158" s="20">
        <v>45450.676389</v>
      </c>
      <c r="B158" s="17">
        <v>60.801479</v>
      </c>
      <c r="C158" s="18"/>
      <c r="D158" s="19"/>
    </row>
    <row r="159" spans="1:4" x14ac:dyDescent="0.3">
      <c r="A159" s="20">
        <v>45450.677083000002</v>
      </c>
      <c r="B159" s="17">
        <v>60.553258999999997</v>
      </c>
      <c r="C159" s="18"/>
      <c r="D159" s="19"/>
    </row>
    <row r="160" spans="1:4" x14ac:dyDescent="0.3">
      <c r="A160" s="20">
        <v>45450.677777999997</v>
      </c>
      <c r="B160" s="17">
        <v>59.910066</v>
      </c>
      <c r="C160" s="18"/>
      <c r="D160" s="19"/>
    </row>
    <row r="161" spans="1:4" x14ac:dyDescent="0.3">
      <c r="A161" s="20">
        <v>45450.678472</v>
      </c>
      <c r="B161" s="17">
        <v>60.773190999999997</v>
      </c>
      <c r="C161" s="18"/>
      <c r="D161" s="19"/>
    </row>
    <row r="162" spans="1:4" x14ac:dyDescent="0.3">
      <c r="A162" s="20">
        <v>45450.679167000002</v>
      </c>
      <c r="B162" s="17">
        <v>60.597200000000001</v>
      </c>
      <c r="C162" s="18"/>
      <c r="D162" s="19"/>
    </row>
    <row r="163" spans="1:4" x14ac:dyDescent="0.3">
      <c r="A163" s="20">
        <v>45450.679860999997</v>
      </c>
      <c r="B163" s="17">
        <v>61.371327999999998</v>
      </c>
      <c r="C163" s="18"/>
      <c r="D163" s="19"/>
    </row>
    <row r="164" spans="1:4" x14ac:dyDescent="0.3">
      <c r="A164" s="20">
        <v>45450.680555999999</v>
      </c>
      <c r="B164" s="17">
        <v>60.513632999999999</v>
      </c>
      <c r="C164" s="18"/>
      <c r="D164" s="19"/>
    </row>
    <row r="165" spans="1:4" x14ac:dyDescent="0.3">
      <c r="A165" s="20">
        <v>45450.681250000001</v>
      </c>
      <c r="B165" s="17">
        <v>61.036772999999997</v>
      </c>
      <c r="C165" s="18"/>
      <c r="D165" s="19"/>
    </row>
    <row r="166" spans="1:4" x14ac:dyDescent="0.3">
      <c r="A166" s="20">
        <v>45450.681944000004</v>
      </c>
      <c r="B166" s="17">
        <v>61.055376000000003</v>
      </c>
      <c r="C166" s="18"/>
      <c r="D166" s="19"/>
    </row>
    <row r="167" spans="1:4" x14ac:dyDescent="0.3">
      <c r="A167" s="20">
        <v>45450.682638999999</v>
      </c>
      <c r="B167" s="17">
        <v>60.900081999999998</v>
      </c>
      <c r="C167" s="18"/>
      <c r="D167" s="19"/>
    </row>
    <row r="168" spans="1:4" x14ac:dyDescent="0.3">
      <c r="A168" s="20">
        <v>45450.683333000001</v>
      </c>
      <c r="B168" s="17">
        <v>61.811011000000001</v>
      </c>
      <c r="C168" s="18"/>
      <c r="D168" s="19"/>
    </row>
    <row r="169" spans="1:4" x14ac:dyDescent="0.3">
      <c r="A169" s="20">
        <v>45450.684028000003</v>
      </c>
      <c r="B169" s="17">
        <v>60.985577999999997</v>
      </c>
      <c r="C169" s="18"/>
      <c r="D169" s="19"/>
    </row>
    <row r="170" spans="1:4" x14ac:dyDescent="0.3">
      <c r="A170" s="20">
        <v>45450.684721999998</v>
      </c>
      <c r="B170" s="17">
        <v>60.473703</v>
      </c>
      <c r="C170" s="18"/>
      <c r="D170" s="19"/>
    </row>
    <row r="171" spans="1:4" x14ac:dyDescent="0.3">
      <c r="A171" s="20">
        <v>45450.685417000001</v>
      </c>
      <c r="B171" s="17">
        <v>61.049442999999997</v>
      </c>
      <c r="C171" s="18"/>
      <c r="D171" s="19"/>
    </row>
    <row r="172" spans="1:4" x14ac:dyDescent="0.3">
      <c r="A172" s="20">
        <v>45450.686111000003</v>
      </c>
      <c r="B172" s="17">
        <v>61.851222</v>
      </c>
      <c r="C172" s="18"/>
      <c r="D172" s="19"/>
    </row>
    <row r="173" spans="1:4" x14ac:dyDescent="0.3">
      <c r="A173" s="20">
        <v>45450.686805999998</v>
      </c>
      <c r="B173" s="17">
        <v>61.604486999999999</v>
      </c>
      <c r="C173" s="18"/>
      <c r="D173" s="19"/>
    </row>
    <row r="174" spans="1:4" x14ac:dyDescent="0.3">
      <c r="A174" s="20">
        <v>45450.6875</v>
      </c>
      <c r="B174" s="17">
        <v>60.659395000000004</v>
      </c>
      <c r="C174" s="18"/>
      <c r="D174" s="19"/>
    </row>
    <row r="175" spans="1:4" x14ac:dyDescent="0.3">
      <c r="A175" s="20">
        <v>45450.688194000002</v>
      </c>
      <c r="B175" s="17">
        <v>61.336829000000002</v>
      </c>
      <c r="C175" s="18"/>
      <c r="D175" s="19"/>
    </row>
    <row r="176" spans="1:4" x14ac:dyDescent="0.3">
      <c r="A176" s="20">
        <v>45450.688888999997</v>
      </c>
      <c r="B176" s="17">
        <v>61.062956999999997</v>
      </c>
      <c r="C176" s="18"/>
      <c r="D176" s="19"/>
    </row>
    <row r="177" spans="1:4" x14ac:dyDescent="0.3">
      <c r="A177" s="20">
        <v>45450.689582999999</v>
      </c>
      <c r="B177" s="17">
        <v>61.029698000000003</v>
      </c>
      <c r="C177" s="18"/>
      <c r="D177" s="19"/>
    </row>
    <row r="178" spans="1:4" x14ac:dyDescent="0.3">
      <c r="A178" s="20">
        <v>45450.690278000002</v>
      </c>
      <c r="B178" s="17">
        <v>60.414408000000002</v>
      </c>
      <c r="C178" s="18"/>
      <c r="D178" s="19"/>
    </row>
    <row r="179" spans="1:4" x14ac:dyDescent="0.3">
      <c r="A179" s="20">
        <v>45450.690971999997</v>
      </c>
      <c r="B179" s="17">
        <v>61.526778</v>
      </c>
      <c r="C179" s="18"/>
      <c r="D179" s="19"/>
    </row>
    <row r="180" spans="1:4" x14ac:dyDescent="0.3">
      <c r="A180" s="20">
        <v>45450.691666999999</v>
      </c>
      <c r="B180" s="17">
        <v>60.888648000000003</v>
      </c>
      <c r="C180" s="18"/>
      <c r="D180" s="19"/>
    </row>
    <row r="181" spans="1:4" x14ac:dyDescent="0.3">
      <c r="A181" s="20">
        <v>45450.692361000001</v>
      </c>
      <c r="B181" s="17">
        <v>60.502453000000003</v>
      </c>
      <c r="C181" s="18"/>
      <c r="D181" s="19"/>
    </row>
    <row r="182" spans="1:4" x14ac:dyDescent="0.3">
      <c r="A182" s="20">
        <v>45450.693055999996</v>
      </c>
      <c r="B182" s="17">
        <v>61.172863999999997</v>
      </c>
      <c r="C182" s="18"/>
      <c r="D182" s="19"/>
    </row>
    <row r="183" spans="1:4" x14ac:dyDescent="0.3">
      <c r="A183" s="20">
        <v>45450.693749999999</v>
      </c>
      <c r="B183" s="17">
        <v>61.151105999999999</v>
      </c>
      <c r="C183" s="18"/>
      <c r="D183" s="19"/>
    </row>
    <row r="184" spans="1:4" x14ac:dyDescent="0.3">
      <c r="A184" s="20">
        <v>45450.694444000001</v>
      </c>
      <c r="B184" s="17">
        <v>61.247883999999999</v>
      </c>
      <c r="C184" s="18"/>
      <c r="D184" s="19"/>
    </row>
    <row r="185" spans="1:4" x14ac:dyDescent="0.3">
      <c r="A185" s="20">
        <v>45450.695139000003</v>
      </c>
      <c r="B185" s="17">
        <v>61.370739999999998</v>
      </c>
      <c r="C185" s="18"/>
      <c r="D185" s="19"/>
    </row>
    <row r="186" spans="1:4" x14ac:dyDescent="0.3">
      <c r="A186" s="20">
        <v>45450.695832999998</v>
      </c>
      <c r="B186" s="17">
        <v>61.257105000000003</v>
      </c>
      <c r="C186" s="18"/>
      <c r="D186" s="19"/>
    </row>
    <row r="187" spans="1:4" x14ac:dyDescent="0.3">
      <c r="A187" s="20">
        <v>45450.696528</v>
      </c>
      <c r="B187" s="17">
        <v>60.979098</v>
      </c>
      <c r="C187" s="18"/>
      <c r="D187" s="19"/>
    </row>
    <row r="188" spans="1:4" x14ac:dyDescent="0.3">
      <c r="A188" s="20">
        <v>45450.697222000003</v>
      </c>
      <c r="B188" s="17">
        <v>61.951318999999998</v>
      </c>
      <c r="C188" s="18"/>
      <c r="D188" s="19"/>
    </row>
    <row r="189" spans="1:4" x14ac:dyDescent="0.3">
      <c r="A189" s="20">
        <v>45450.697916999998</v>
      </c>
      <c r="B189" s="17">
        <v>61.337376999999996</v>
      </c>
      <c r="C189" s="18"/>
      <c r="D189" s="19"/>
    </row>
    <row r="190" spans="1:4" x14ac:dyDescent="0.3">
      <c r="A190" s="20">
        <v>45450.698611</v>
      </c>
      <c r="B190" s="17">
        <v>61.486117999999998</v>
      </c>
      <c r="C190" s="18"/>
      <c r="D190" s="19"/>
    </row>
    <row r="191" spans="1:4" x14ac:dyDescent="0.3">
      <c r="A191" s="20">
        <v>45450.699306000002</v>
      </c>
      <c r="B191" s="17">
        <v>61.480215000000001</v>
      </c>
      <c r="C191" s="18"/>
      <c r="D191" s="19"/>
    </row>
    <row r="192" spans="1:4" x14ac:dyDescent="0.3">
      <c r="A192" s="20">
        <v>45450.7</v>
      </c>
      <c r="B192" s="17">
        <v>61.398116000000002</v>
      </c>
      <c r="C192" s="18"/>
      <c r="D192" s="19"/>
    </row>
    <row r="193" spans="1:4" x14ac:dyDescent="0.3">
      <c r="A193" s="20">
        <v>45450.700693999999</v>
      </c>
      <c r="B193" s="17">
        <v>61.552475000000001</v>
      </c>
      <c r="C193" s="18"/>
      <c r="D193" s="19"/>
    </row>
    <row r="194" spans="1:4" x14ac:dyDescent="0.3">
      <c r="A194" s="20">
        <v>45450.701389000002</v>
      </c>
      <c r="B194" s="17">
        <v>60.754967000000001</v>
      </c>
      <c r="C194" s="18"/>
      <c r="D194" s="19"/>
    </row>
    <row r="195" spans="1:4" x14ac:dyDescent="0.3">
      <c r="A195" s="20">
        <v>45450.702082999996</v>
      </c>
      <c r="B195" s="17">
        <v>61.213966999999997</v>
      </c>
      <c r="C195" s="18"/>
      <c r="D195" s="19"/>
    </row>
    <row r="196" spans="1:4" x14ac:dyDescent="0.3">
      <c r="A196" s="20">
        <v>45450.702777999999</v>
      </c>
      <c r="B196" s="17">
        <v>61.433408999999997</v>
      </c>
      <c r="C196" s="18"/>
      <c r="D196" s="19"/>
    </row>
    <row r="197" spans="1:4" x14ac:dyDescent="0.3">
      <c r="A197" s="20">
        <v>45450.703472000001</v>
      </c>
      <c r="B197" s="17">
        <v>62.031567000000003</v>
      </c>
      <c r="C197" s="18"/>
      <c r="D197" s="19"/>
    </row>
    <row r="198" spans="1:4" x14ac:dyDescent="0.3">
      <c r="A198" s="20">
        <v>45450.704167000004</v>
      </c>
      <c r="B198" s="17">
        <v>60.832709999999999</v>
      </c>
      <c r="C198" s="18"/>
      <c r="D198" s="19"/>
    </row>
    <row r="199" spans="1:4" x14ac:dyDescent="0.3">
      <c r="A199" s="20">
        <v>45450.704860999998</v>
      </c>
      <c r="B199" s="17">
        <v>61.147005</v>
      </c>
      <c r="C199" s="18"/>
      <c r="D199" s="19"/>
    </row>
    <row r="200" spans="1:4" x14ac:dyDescent="0.3">
      <c r="A200" s="20">
        <v>45450.705556000001</v>
      </c>
      <c r="B200" s="17">
        <v>60.621285</v>
      </c>
      <c r="C200" s="18"/>
      <c r="D200" s="19"/>
    </row>
    <row r="201" spans="1:4" x14ac:dyDescent="0.3">
      <c r="A201" s="20">
        <v>45450.706250000003</v>
      </c>
      <c r="B201" s="17">
        <v>61.061315999999998</v>
      </c>
      <c r="C201" s="18"/>
      <c r="D201" s="19"/>
    </row>
    <row r="202" spans="1:4" x14ac:dyDescent="0.3">
      <c r="A202" s="20">
        <v>45450.706943999998</v>
      </c>
      <c r="B202" s="17">
        <v>60.910004999999998</v>
      </c>
      <c r="C202" s="18"/>
      <c r="D202" s="19"/>
    </row>
    <row r="203" spans="1:4" x14ac:dyDescent="0.3">
      <c r="A203" s="20">
        <v>45450.707639</v>
      </c>
      <c r="B203" s="17">
        <v>61.752352999999999</v>
      </c>
      <c r="C203" s="18"/>
      <c r="D203" s="19"/>
    </row>
    <row r="204" spans="1:4" x14ac:dyDescent="0.3">
      <c r="A204" s="20">
        <v>45450.708333000002</v>
      </c>
      <c r="B204" s="17">
        <v>62.190801999999998</v>
      </c>
      <c r="C204" s="18"/>
      <c r="D204" s="19"/>
    </row>
    <row r="205" spans="1:4" x14ac:dyDescent="0.3">
      <c r="A205" s="20">
        <v>45450.709027999997</v>
      </c>
      <c r="B205" s="17">
        <v>61.457928000000003</v>
      </c>
      <c r="C205" s="18"/>
      <c r="D205" s="19"/>
    </row>
    <row r="206" spans="1:4" x14ac:dyDescent="0.3">
      <c r="A206" s="20">
        <v>45450.709722</v>
      </c>
      <c r="B206" s="17">
        <v>60.846356</v>
      </c>
      <c r="C206" s="18"/>
      <c r="D206" s="19"/>
    </row>
    <row r="207" spans="1:4" x14ac:dyDescent="0.3">
      <c r="A207" s="20">
        <v>45450.710417000002</v>
      </c>
      <c r="B207" s="17">
        <v>60.882358000000004</v>
      </c>
      <c r="C207" s="18"/>
      <c r="D207" s="19"/>
    </row>
    <row r="208" spans="1:4" x14ac:dyDescent="0.3">
      <c r="A208" s="20">
        <v>45450.711110999997</v>
      </c>
      <c r="B208" s="17">
        <v>61.478731000000003</v>
      </c>
      <c r="C208" s="18"/>
      <c r="D208" s="19"/>
    </row>
    <row r="209" spans="1:4" x14ac:dyDescent="0.3">
      <c r="A209" s="20">
        <v>45450.711805999999</v>
      </c>
      <c r="B209" s="17">
        <v>61.045583999999998</v>
      </c>
      <c r="C209" s="18"/>
      <c r="D209" s="19"/>
    </row>
    <row r="210" spans="1:4" x14ac:dyDescent="0.3">
      <c r="A210" s="20">
        <v>45450.712500000001</v>
      </c>
      <c r="B210" s="17">
        <v>61.854073</v>
      </c>
      <c r="C210" s="18"/>
      <c r="D210" s="19"/>
    </row>
    <row r="211" spans="1:4" x14ac:dyDescent="0.3">
      <c r="A211" s="20">
        <v>45450.713194000004</v>
      </c>
      <c r="B211" s="17">
        <v>61.565007999999999</v>
      </c>
      <c r="C211" s="18"/>
      <c r="D211" s="19"/>
    </row>
    <row r="212" spans="1:4" x14ac:dyDescent="0.3">
      <c r="A212" s="20">
        <v>45450.713888999999</v>
      </c>
      <c r="B212" s="17">
        <v>61.639983000000001</v>
      </c>
      <c r="C212" s="18"/>
      <c r="D212" s="19"/>
    </row>
    <row r="213" spans="1:4" x14ac:dyDescent="0.3">
      <c r="A213" s="20">
        <v>45450.714583000001</v>
      </c>
      <c r="B213" s="17">
        <v>60.548169999999999</v>
      </c>
      <c r="C213" s="18"/>
      <c r="D213" s="19"/>
    </row>
    <row r="214" spans="1:4" x14ac:dyDescent="0.3">
      <c r="A214" s="20">
        <v>45450.715278000003</v>
      </c>
      <c r="B214" s="17">
        <v>61.257717999999997</v>
      </c>
      <c r="C214" s="18"/>
      <c r="D214" s="19"/>
    </row>
    <row r="215" spans="1:4" x14ac:dyDescent="0.3">
      <c r="A215" s="20">
        <v>45450.715971999998</v>
      </c>
      <c r="B215" s="17">
        <v>61.037475000000001</v>
      </c>
      <c r="C215" s="18"/>
      <c r="D215" s="19"/>
    </row>
    <row r="216" spans="1:4" x14ac:dyDescent="0.3">
      <c r="A216" s="20">
        <v>45450.716667000001</v>
      </c>
      <c r="B216" s="17">
        <v>60.961781000000002</v>
      </c>
      <c r="C216" s="18"/>
      <c r="D216" s="19"/>
    </row>
    <row r="217" spans="1:4" x14ac:dyDescent="0.3">
      <c r="A217" s="20">
        <v>45450.717361000003</v>
      </c>
      <c r="B217" s="17">
        <v>62.044277999999998</v>
      </c>
      <c r="C217" s="18"/>
      <c r="D217" s="19"/>
    </row>
    <row r="218" spans="1:4" x14ac:dyDescent="0.3">
      <c r="A218" s="20">
        <v>45450.718055999998</v>
      </c>
      <c r="B218" s="17">
        <v>61.247827000000001</v>
      </c>
      <c r="C218" s="18"/>
      <c r="D218" s="19"/>
    </row>
    <row r="219" spans="1:4" x14ac:dyDescent="0.3">
      <c r="A219" s="20">
        <v>45450.71875</v>
      </c>
      <c r="B219" s="17">
        <v>62.089635000000001</v>
      </c>
      <c r="C219" s="18"/>
      <c r="D219" s="19"/>
    </row>
    <row r="220" spans="1:4" x14ac:dyDescent="0.3">
      <c r="A220" s="20">
        <v>45450.719444000002</v>
      </c>
      <c r="B220" s="17">
        <v>61.348542000000002</v>
      </c>
      <c r="C220" s="18"/>
      <c r="D220" s="19"/>
    </row>
    <row r="221" spans="1:4" x14ac:dyDescent="0.3">
      <c r="A221" s="20">
        <v>45450.720138999997</v>
      </c>
      <c r="B221" s="17">
        <v>61.405414</v>
      </c>
      <c r="C221" s="18"/>
      <c r="D221" s="19"/>
    </row>
    <row r="222" spans="1:4" x14ac:dyDescent="0.3">
      <c r="A222" s="20">
        <v>45450.720832999999</v>
      </c>
      <c r="B222" s="17">
        <v>61.054318000000002</v>
      </c>
      <c r="C222" s="18"/>
      <c r="D222" s="19"/>
    </row>
    <row r="223" spans="1:4" x14ac:dyDescent="0.3">
      <c r="A223" s="20">
        <v>45450.721528000002</v>
      </c>
      <c r="B223" s="17">
        <v>61.068852</v>
      </c>
      <c r="C223" s="18"/>
      <c r="D223" s="19"/>
    </row>
    <row r="224" spans="1:4" x14ac:dyDescent="0.3">
      <c r="A224" s="20">
        <v>45450.722221999997</v>
      </c>
      <c r="B224" s="17">
        <v>61.657926000000003</v>
      </c>
      <c r="C224" s="18"/>
      <c r="D224" s="19"/>
    </row>
    <row r="225" spans="1:4" x14ac:dyDescent="0.3">
      <c r="A225" s="20">
        <v>45450.722916999999</v>
      </c>
      <c r="B225" s="17">
        <v>61.482247000000001</v>
      </c>
      <c r="C225" s="18"/>
      <c r="D225" s="19"/>
    </row>
    <row r="226" spans="1:4" x14ac:dyDescent="0.3">
      <c r="A226" s="20">
        <v>45450.723611000001</v>
      </c>
      <c r="B226" s="17">
        <v>61.101233999999998</v>
      </c>
      <c r="C226" s="18"/>
      <c r="D226" s="19"/>
    </row>
    <row r="227" spans="1:4" x14ac:dyDescent="0.3">
      <c r="A227" s="20">
        <v>45450.724305999996</v>
      </c>
      <c r="B227" s="17">
        <v>61.299531000000002</v>
      </c>
      <c r="C227" s="18"/>
      <c r="D227" s="19"/>
    </row>
    <row r="228" spans="1:4" x14ac:dyDescent="0.3">
      <c r="A228" s="20">
        <v>45450.724999999999</v>
      </c>
      <c r="B228" s="17">
        <v>61.035696999999999</v>
      </c>
      <c r="C228" s="18"/>
      <c r="D228" s="19"/>
    </row>
    <row r="229" spans="1:4" x14ac:dyDescent="0.3">
      <c r="A229" s="20">
        <v>45450.725694000001</v>
      </c>
      <c r="B229" s="17">
        <v>61.278981000000002</v>
      </c>
      <c r="C229" s="18"/>
      <c r="D229" s="19"/>
    </row>
    <row r="230" spans="1:4" x14ac:dyDescent="0.3">
      <c r="A230" s="20">
        <v>45450.726389000003</v>
      </c>
      <c r="B230" s="17">
        <v>61.297148</v>
      </c>
      <c r="C230" s="18"/>
      <c r="D230" s="19"/>
    </row>
    <row r="231" spans="1:4" x14ac:dyDescent="0.3">
      <c r="A231" s="20">
        <v>45450.727082999998</v>
      </c>
      <c r="B231" s="17">
        <v>61.413142000000001</v>
      </c>
      <c r="C231" s="18"/>
      <c r="D231" s="19"/>
    </row>
    <row r="232" spans="1:4" x14ac:dyDescent="0.3">
      <c r="A232" s="20">
        <v>45450.727778</v>
      </c>
      <c r="B232" s="17">
        <v>60.805525000000003</v>
      </c>
      <c r="C232" s="18"/>
      <c r="D232" s="19"/>
    </row>
    <row r="233" spans="1:4" x14ac:dyDescent="0.3">
      <c r="A233" s="20">
        <v>45450.728472000003</v>
      </c>
      <c r="B233" s="17">
        <v>62.452067999999997</v>
      </c>
      <c r="C233" s="18"/>
      <c r="D233" s="19"/>
    </row>
    <row r="234" spans="1:4" x14ac:dyDescent="0.3">
      <c r="A234" s="20">
        <v>45450.729166999998</v>
      </c>
      <c r="B234" s="17">
        <v>61.479379000000002</v>
      </c>
      <c r="C234" s="18"/>
      <c r="D234" s="19"/>
    </row>
    <row r="235" spans="1:4" x14ac:dyDescent="0.3">
      <c r="A235" s="20">
        <v>45450.729861</v>
      </c>
      <c r="B235" s="17">
        <v>60.717683999999998</v>
      </c>
      <c r="C235" s="18"/>
      <c r="D235" s="19"/>
    </row>
    <row r="236" spans="1:4" x14ac:dyDescent="0.3">
      <c r="A236" s="20">
        <v>45450.730556000002</v>
      </c>
      <c r="B236" s="17">
        <v>61.453691999999997</v>
      </c>
      <c r="C236" s="18"/>
      <c r="D236" s="19"/>
    </row>
    <row r="237" spans="1:4" x14ac:dyDescent="0.3">
      <c r="A237" s="20">
        <v>45450.731249999997</v>
      </c>
      <c r="B237" s="17">
        <v>61.632871000000002</v>
      </c>
      <c r="C237" s="18"/>
      <c r="D237" s="19"/>
    </row>
    <row r="238" spans="1:4" x14ac:dyDescent="0.3">
      <c r="A238" s="20">
        <v>45450.731943999999</v>
      </c>
      <c r="B238" s="17">
        <v>61.612484000000002</v>
      </c>
      <c r="C238" s="18"/>
      <c r="D238" s="19"/>
    </row>
    <row r="239" spans="1:4" x14ac:dyDescent="0.3">
      <c r="A239" s="20">
        <v>45450.732639000002</v>
      </c>
      <c r="B239" s="17">
        <v>61.142741000000001</v>
      </c>
      <c r="C239" s="18"/>
      <c r="D239" s="19"/>
    </row>
    <row r="240" spans="1:4" x14ac:dyDescent="0.3">
      <c r="A240" s="20">
        <v>45450.733332999996</v>
      </c>
      <c r="B240" s="17">
        <v>61.485084000000001</v>
      </c>
      <c r="C240" s="18"/>
      <c r="D240" s="19"/>
    </row>
    <row r="241" spans="1:4" x14ac:dyDescent="0.3">
      <c r="A241" s="20">
        <v>45450.734027999999</v>
      </c>
      <c r="B241" s="17">
        <v>61.525880000000001</v>
      </c>
      <c r="C241" s="18"/>
      <c r="D241" s="19"/>
    </row>
    <row r="242" spans="1:4" x14ac:dyDescent="0.3">
      <c r="A242" s="20">
        <v>45450.734722000001</v>
      </c>
      <c r="B242" s="17">
        <v>61.688048000000002</v>
      </c>
      <c r="C242" s="18"/>
      <c r="D242" s="19"/>
    </row>
    <row r="243" spans="1:4" x14ac:dyDescent="0.3">
      <c r="A243" s="20">
        <v>45450.735417000004</v>
      </c>
      <c r="B243" s="17">
        <v>61.617640999999999</v>
      </c>
      <c r="C243" s="18"/>
      <c r="D243" s="19"/>
    </row>
    <row r="244" spans="1:4" x14ac:dyDescent="0.3">
      <c r="A244" s="20">
        <v>45450.736110999998</v>
      </c>
      <c r="B244" s="17">
        <v>61.199072999999999</v>
      </c>
      <c r="C244" s="18"/>
      <c r="D244" s="19"/>
    </row>
    <row r="245" spans="1:4" x14ac:dyDescent="0.3">
      <c r="A245" s="20">
        <v>45450.736806000001</v>
      </c>
      <c r="B245" s="17">
        <v>60.924641000000001</v>
      </c>
      <c r="C245" s="18"/>
      <c r="D245" s="19"/>
    </row>
    <row r="246" spans="1:4" x14ac:dyDescent="0.3">
      <c r="A246" s="20">
        <v>45450.737500000003</v>
      </c>
      <c r="B246" s="17">
        <v>60.623294000000001</v>
      </c>
      <c r="C246" s="18"/>
      <c r="D246" s="19"/>
    </row>
    <row r="247" spans="1:4" x14ac:dyDescent="0.3">
      <c r="A247" s="20">
        <v>45450.738193999998</v>
      </c>
      <c r="B247" s="17">
        <v>61.78942</v>
      </c>
      <c r="C247" s="18"/>
      <c r="D247" s="19"/>
    </row>
    <row r="248" spans="1:4" x14ac:dyDescent="0.3">
      <c r="A248" s="20">
        <v>45450.738889</v>
      </c>
      <c r="B248" s="17">
        <v>61.533701000000001</v>
      </c>
      <c r="C248" s="18"/>
      <c r="D248" s="19"/>
    </row>
    <row r="249" spans="1:4" x14ac:dyDescent="0.3">
      <c r="A249" s="20">
        <v>45450.739583000002</v>
      </c>
      <c r="B249" s="17">
        <v>61.113486999999999</v>
      </c>
      <c r="C249" s="18"/>
      <c r="D249" s="19"/>
    </row>
    <row r="250" spans="1:4" x14ac:dyDescent="0.3">
      <c r="A250" s="20">
        <v>45450.740277999997</v>
      </c>
      <c r="B250" s="17">
        <v>61.202432000000002</v>
      </c>
      <c r="C250" s="18"/>
      <c r="D250" s="19"/>
    </row>
    <row r="251" spans="1:4" x14ac:dyDescent="0.3">
      <c r="A251" s="20">
        <v>45450.740972</v>
      </c>
      <c r="B251" s="17">
        <v>61.476083000000003</v>
      </c>
      <c r="C251" s="18"/>
      <c r="D251" s="19"/>
    </row>
    <row r="252" spans="1:4" x14ac:dyDescent="0.3">
      <c r="A252" s="20">
        <v>45450.741667000002</v>
      </c>
      <c r="B252" s="17">
        <v>61.718958000000001</v>
      </c>
      <c r="C252" s="18"/>
      <c r="D252" s="19"/>
    </row>
    <row r="253" spans="1:4" x14ac:dyDescent="0.3">
      <c r="A253" s="20">
        <v>45450.742360999997</v>
      </c>
      <c r="B253" s="17">
        <v>61.330157</v>
      </c>
      <c r="C253" s="18"/>
      <c r="D253" s="19"/>
    </row>
    <row r="254" spans="1:4" x14ac:dyDescent="0.3">
      <c r="A254" s="20">
        <v>45450.743055999999</v>
      </c>
      <c r="B254" s="17">
        <v>61.708421000000001</v>
      </c>
      <c r="C254" s="18"/>
      <c r="D254" s="19"/>
    </row>
    <row r="255" spans="1:4" x14ac:dyDescent="0.3">
      <c r="A255" s="20">
        <v>45450.743750000001</v>
      </c>
      <c r="B255" s="17">
        <v>61.643123000000003</v>
      </c>
      <c r="C255" s="18"/>
      <c r="D255" s="19"/>
    </row>
    <row r="256" spans="1:4" x14ac:dyDescent="0.3">
      <c r="A256" s="20">
        <v>45450.744444000004</v>
      </c>
      <c r="B256" s="17">
        <v>62.096884000000003</v>
      </c>
      <c r="C256" s="18"/>
      <c r="D256" s="19"/>
    </row>
    <row r="257" spans="1:4" x14ac:dyDescent="0.3">
      <c r="A257" s="20">
        <v>45450.745138999999</v>
      </c>
      <c r="B257" s="17">
        <v>61.155634999999997</v>
      </c>
      <c r="C257" s="18"/>
      <c r="D257" s="19"/>
    </row>
    <row r="258" spans="1:4" x14ac:dyDescent="0.3">
      <c r="A258" s="20">
        <v>45450.745833000001</v>
      </c>
      <c r="B258" s="17">
        <v>61.695081999999999</v>
      </c>
      <c r="C258" s="18"/>
      <c r="D258" s="19"/>
    </row>
    <row r="259" spans="1:4" x14ac:dyDescent="0.3">
      <c r="A259" s="20">
        <v>45450.746528000003</v>
      </c>
      <c r="B259" s="17">
        <v>61.241104</v>
      </c>
      <c r="C259" s="18"/>
      <c r="D259" s="19"/>
    </row>
    <row r="260" spans="1:4" x14ac:dyDescent="0.3">
      <c r="A260" s="20">
        <v>45450.747221999998</v>
      </c>
      <c r="B260" s="17">
        <v>61.878928999999999</v>
      </c>
      <c r="C260" s="18"/>
      <c r="D260" s="19"/>
    </row>
    <row r="261" spans="1:4" x14ac:dyDescent="0.3">
      <c r="A261" s="20">
        <v>45450.747917000001</v>
      </c>
      <c r="B261" s="17">
        <v>61.810200000000002</v>
      </c>
      <c r="C261" s="18"/>
      <c r="D261" s="19"/>
    </row>
    <row r="262" spans="1:4" x14ac:dyDescent="0.3">
      <c r="A262" s="20">
        <v>45450.748611000003</v>
      </c>
      <c r="B262" s="17">
        <v>61.767535000000002</v>
      </c>
      <c r="C262" s="18"/>
      <c r="D262" s="19"/>
    </row>
    <row r="263" spans="1:4" x14ac:dyDescent="0.3">
      <c r="A263" s="20">
        <v>45450.749305999998</v>
      </c>
      <c r="B263" s="17">
        <v>61.361333999999999</v>
      </c>
      <c r="C263" s="18"/>
      <c r="D263" s="19"/>
    </row>
    <row r="264" spans="1:4" x14ac:dyDescent="0.3">
      <c r="A264" s="20">
        <v>45450.75</v>
      </c>
      <c r="B264" s="17">
        <v>61.849646</v>
      </c>
      <c r="C264" s="18"/>
      <c r="D264" s="19"/>
    </row>
    <row r="265" spans="1:4" x14ac:dyDescent="0.3">
      <c r="A265" s="20">
        <v>45450.750694000002</v>
      </c>
      <c r="B265" s="17">
        <v>61.587659000000002</v>
      </c>
      <c r="C265" s="18"/>
      <c r="D265" s="19"/>
    </row>
    <row r="266" spans="1:4" x14ac:dyDescent="0.3">
      <c r="A266" s="20">
        <v>45450.751388999997</v>
      </c>
      <c r="B266" s="17">
        <v>61.478813000000002</v>
      </c>
      <c r="C266" s="18"/>
      <c r="D266" s="19"/>
    </row>
    <row r="267" spans="1:4" x14ac:dyDescent="0.3">
      <c r="A267" s="20">
        <v>45450.752082999999</v>
      </c>
      <c r="B267" s="17">
        <v>62.014024999999997</v>
      </c>
      <c r="C267" s="18"/>
      <c r="D267" s="19"/>
    </row>
    <row r="268" spans="1:4" x14ac:dyDescent="0.3">
      <c r="A268" s="20">
        <v>45450.752778000002</v>
      </c>
      <c r="B268" s="17">
        <v>61.569448999999999</v>
      </c>
      <c r="C268" s="18"/>
      <c r="D268" s="19"/>
    </row>
    <row r="269" spans="1:4" x14ac:dyDescent="0.3">
      <c r="A269" s="20">
        <v>45450.753471999997</v>
      </c>
      <c r="B269" s="17">
        <v>61.057555000000001</v>
      </c>
      <c r="C269" s="18"/>
      <c r="D269" s="19"/>
    </row>
    <row r="270" spans="1:4" x14ac:dyDescent="0.3">
      <c r="A270" s="20">
        <v>45450.754166999999</v>
      </c>
      <c r="B270" s="17">
        <v>61.29954</v>
      </c>
      <c r="C270" s="18"/>
      <c r="D270" s="19"/>
    </row>
    <row r="271" spans="1:4" x14ac:dyDescent="0.3">
      <c r="A271" s="20">
        <v>45450.754861000001</v>
      </c>
      <c r="B271" s="17">
        <v>61.575926000000003</v>
      </c>
      <c r="C271" s="18"/>
      <c r="D271" s="19"/>
    </row>
    <row r="272" spans="1:4" x14ac:dyDescent="0.3">
      <c r="A272" s="20">
        <v>45450.755555999996</v>
      </c>
      <c r="B272" s="17">
        <v>61.424295000000001</v>
      </c>
      <c r="C272" s="18"/>
      <c r="D272" s="19"/>
    </row>
    <row r="273" spans="1:4" x14ac:dyDescent="0.3">
      <c r="A273" s="20">
        <v>45450.756249999999</v>
      </c>
      <c r="B273" s="17">
        <v>61.800409999999999</v>
      </c>
      <c r="C273" s="18"/>
      <c r="D273" s="19"/>
    </row>
    <row r="274" spans="1:4" x14ac:dyDescent="0.3">
      <c r="A274" s="20">
        <v>45450.756944000001</v>
      </c>
      <c r="B274" s="17">
        <v>61.807228000000002</v>
      </c>
      <c r="C274" s="18"/>
      <c r="D274" s="19"/>
    </row>
    <row r="275" spans="1:4" x14ac:dyDescent="0.3">
      <c r="A275" s="20">
        <v>45450.757639000003</v>
      </c>
      <c r="B275" s="17">
        <v>61.702978999999999</v>
      </c>
      <c r="C275" s="18"/>
      <c r="D275" s="19"/>
    </row>
    <row r="276" spans="1:4" x14ac:dyDescent="0.3">
      <c r="A276" s="20">
        <v>45450.758332999998</v>
      </c>
      <c r="B276" s="17">
        <v>61.630569999999999</v>
      </c>
      <c r="C276" s="18"/>
      <c r="D276" s="19"/>
    </row>
    <row r="277" spans="1:4" x14ac:dyDescent="0.3">
      <c r="A277" s="20">
        <v>45450.759028</v>
      </c>
      <c r="B277" s="17">
        <v>62.413693000000002</v>
      </c>
      <c r="C277" s="18"/>
      <c r="D277" s="19"/>
    </row>
    <row r="278" spans="1:4" x14ac:dyDescent="0.3">
      <c r="A278" s="20">
        <v>45450.759722000003</v>
      </c>
      <c r="B278" s="17">
        <v>61.177779999999998</v>
      </c>
      <c r="C278" s="18"/>
      <c r="D278" s="19"/>
    </row>
    <row r="279" spans="1:4" x14ac:dyDescent="0.3">
      <c r="A279" s="20">
        <v>45450.760416999998</v>
      </c>
      <c r="B279" s="17">
        <v>61.274662999999997</v>
      </c>
      <c r="C279" s="18"/>
      <c r="D279" s="19"/>
    </row>
    <row r="280" spans="1:4" x14ac:dyDescent="0.3">
      <c r="A280" s="20">
        <v>45450.761111</v>
      </c>
      <c r="B280" s="17">
        <v>61.153019</v>
      </c>
      <c r="C280" s="18"/>
      <c r="D280" s="19"/>
    </row>
    <row r="281" spans="1:4" x14ac:dyDescent="0.3">
      <c r="A281" s="20">
        <v>45450.761806000002</v>
      </c>
      <c r="B281" s="17">
        <v>61.107804999999999</v>
      </c>
      <c r="C281" s="18"/>
      <c r="D281" s="19"/>
    </row>
    <row r="282" spans="1:4" x14ac:dyDescent="0.3">
      <c r="A282" s="20">
        <v>45450.762499999997</v>
      </c>
      <c r="B282" s="17">
        <v>61.288777000000003</v>
      </c>
      <c r="C282" s="18"/>
      <c r="D282" s="19"/>
    </row>
    <row r="283" spans="1:4" x14ac:dyDescent="0.3">
      <c r="A283" s="20">
        <v>45450.763193999999</v>
      </c>
      <c r="B283" s="17">
        <v>61.276868</v>
      </c>
      <c r="C283" s="18"/>
      <c r="D283" s="19"/>
    </row>
    <row r="284" spans="1:4" x14ac:dyDescent="0.3">
      <c r="A284" s="20">
        <v>45450.763889000002</v>
      </c>
      <c r="B284" s="17">
        <v>61.487530999999997</v>
      </c>
      <c r="C284" s="18"/>
      <c r="D284" s="19"/>
    </row>
    <row r="285" spans="1:4" x14ac:dyDescent="0.3">
      <c r="A285" s="20">
        <v>45450.764582999996</v>
      </c>
      <c r="B285" s="17">
        <v>61.770398</v>
      </c>
      <c r="C285" s="18"/>
      <c r="D285" s="19"/>
    </row>
    <row r="286" spans="1:4" x14ac:dyDescent="0.3">
      <c r="A286" s="20">
        <v>45450.765277999999</v>
      </c>
      <c r="B286" s="17">
        <v>61.396312999999999</v>
      </c>
      <c r="C286" s="18"/>
      <c r="D286" s="19"/>
    </row>
    <row r="287" spans="1:4" x14ac:dyDescent="0.3">
      <c r="A287" s="20">
        <v>45450.765972000001</v>
      </c>
      <c r="B287" s="17">
        <v>61.289676999999998</v>
      </c>
      <c r="C287" s="18"/>
      <c r="D287" s="19"/>
    </row>
    <row r="288" spans="1:4" x14ac:dyDescent="0.3">
      <c r="A288" s="20">
        <v>45450.766667000004</v>
      </c>
      <c r="B288" s="17">
        <v>61.552124999999997</v>
      </c>
      <c r="C288" s="18"/>
      <c r="D288" s="19"/>
    </row>
    <row r="289" spans="1:4" x14ac:dyDescent="0.3">
      <c r="A289" s="20">
        <v>45450.767360999998</v>
      </c>
      <c r="B289" s="17">
        <v>61.774386999999997</v>
      </c>
      <c r="C289" s="18"/>
      <c r="D289" s="19"/>
    </row>
    <row r="290" spans="1:4" x14ac:dyDescent="0.3">
      <c r="A290" s="20">
        <v>45450.768056000001</v>
      </c>
      <c r="B290" s="17">
        <v>61.726528000000002</v>
      </c>
      <c r="C290" s="18"/>
      <c r="D290" s="19"/>
    </row>
    <row r="291" spans="1:4" x14ac:dyDescent="0.3">
      <c r="A291" s="20">
        <v>45450.768750000003</v>
      </c>
      <c r="B291" s="17">
        <v>62.526575999999999</v>
      </c>
      <c r="C291" s="18"/>
      <c r="D291" s="19"/>
    </row>
    <row r="292" spans="1:4" x14ac:dyDescent="0.3">
      <c r="A292" s="20">
        <v>45450.769443999998</v>
      </c>
      <c r="B292" s="17">
        <v>60.586092000000001</v>
      </c>
      <c r="C292" s="18"/>
      <c r="D292" s="19"/>
    </row>
    <row r="293" spans="1:4" x14ac:dyDescent="0.3">
      <c r="A293" s="20">
        <v>45450.770139</v>
      </c>
      <c r="B293" s="17">
        <v>61.813971000000002</v>
      </c>
      <c r="C293" s="18"/>
      <c r="D293" s="19"/>
    </row>
    <row r="294" spans="1:4" x14ac:dyDescent="0.3">
      <c r="A294" s="20">
        <v>45450.770833000002</v>
      </c>
      <c r="B294" s="17">
        <v>61.737121999999999</v>
      </c>
      <c r="C294" s="18"/>
      <c r="D294" s="19"/>
    </row>
    <row r="295" spans="1:4" x14ac:dyDescent="0.3">
      <c r="A295" s="20">
        <v>45450.771527999997</v>
      </c>
      <c r="B295" s="17">
        <v>62.021890999999997</v>
      </c>
      <c r="C295" s="18"/>
      <c r="D295" s="19"/>
    </row>
    <row r="296" spans="1:4" x14ac:dyDescent="0.3">
      <c r="A296" s="20">
        <v>45450.772222</v>
      </c>
      <c r="B296" s="17">
        <v>61.127052999999997</v>
      </c>
      <c r="C296" s="18"/>
      <c r="D296" s="19"/>
    </row>
    <row r="297" spans="1:4" x14ac:dyDescent="0.3">
      <c r="A297" s="20">
        <v>45450.772917000002</v>
      </c>
      <c r="B297" s="17">
        <v>61.651662999999999</v>
      </c>
      <c r="C297" s="18"/>
      <c r="D297" s="19"/>
    </row>
    <row r="298" spans="1:4" x14ac:dyDescent="0.3">
      <c r="A298" s="20">
        <v>45450.773610999997</v>
      </c>
      <c r="B298" s="17">
        <v>61.848497999999999</v>
      </c>
      <c r="C298" s="18"/>
      <c r="D298" s="19"/>
    </row>
    <row r="299" spans="1:4" x14ac:dyDescent="0.3">
      <c r="A299" s="20">
        <v>45450.774305999999</v>
      </c>
      <c r="B299" s="17">
        <v>61.634051999999997</v>
      </c>
      <c r="C299" s="18"/>
      <c r="D299" s="19"/>
    </row>
    <row r="300" spans="1:4" x14ac:dyDescent="0.3">
      <c r="A300" s="20">
        <v>45450.775000000001</v>
      </c>
      <c r="B300" s="17">
        <v>61.890183999999998</v>
      </c>
      <c r="C300" s="18"/>
      <c r="D300" s="19"/>
    </row>
    <row r="301" spans="1:4" x14ac:dyDescent="0.3">
      <c r="A301" s="20">
        <v>45450.775694000004</v>
      </c>
      <c r="B301" s="17">
        <v>61.767049</v>
      </c>
      <c r="C301" s="18"/>
      <c r="D301" s="19"/>
    </row>
    <row r="302" spans="1:4" x14ac:dyDescent="0.3">
      <c r="A302" s="20">
        <v>45450.776388999999</v>
      </c>
      <c r="B302" s="17">
        <v>61.318022999999997</v>
      </c>
      <c r="C302" s="18"/>
      <c r="D302" s="19"/>
    </row>
    <row r="303" spans="1:4" x14ac:dyDescent="0.3">
      <c r="A303" s="20">
        <v>45450.777083000001</v>
      </c>
      <c r="B303" s="17">
        <v>61.990015</v>
      </c>
      <c r="C303" s="18"/>
      <c r="D303" s="19"/>
    </row>
    <row r="304" spans="1:4" x14ac:dyDescent="0.3">
      <c r="A304" s="20">
        <v>45450.777778000003</v>
      </c>
      <c r="B304" s="17">
        <v>61.164338000000001</v>
      </c>
      <c r="C304" s="18"/>
      <c r="D304" s="19"/>
    </row>
    <row r="305" spans="1:4" x14ac:dyDescent="0.3">
      <c r="A305" s="20">
        <v>45450.778471999998</v>
      </c>
      <c r="B305" s="17">
        <v>61.383015999999998</v>
      </c>
      <c r="C305" s="18"/>
      <c r="D305" s="19"/>
    </row>
    <row r="306" spans="1:4" x14ac:dyDescent="0.3">
      <c r="A306" s="20">
        <v>45450.779167000001</v>
      </c>
      <c r="B306" s="17">
        <v>61.915208999999997</v>
      </c>
      <c r="C306" s="18"/>
      <c r="D306" s="19"/>
    </row>
    <row r="307" spans="1:4" x14ac:dyDescent="0.3">
      <c r="A307" s="20">
        <v>45450.779861000003</v>
      </c>
      <c r="B307" s="17">
        <v>61.428393</v>
      </c>
      <c r="C307" s="18"/>
      <c r="D307" s="19"/>
    </row>
    <row r="308" spans="1:4" x14ac:dyDescent="0.3">
      <c r="A308" s="20">
        <v>45450.780555999998</v>
      </c>
      <c r="B308" s="17">
        <v>61.813025000000003</v>
      </c>
      <c r="C308" s="18"/>
      <c r="D308" s="19"/>
    </row>
    <row r="309" spans="1:4" x14ac:dyDescent="0.3">
      <c r="A309" s="20">
        <v>45450.78125</v>
      </c>
      <c r="B309" s="17">
        <v>61.927661999999998</v>
      </c>
      <c r="C309" s="18"/>
      <c r="D309" s="19"/>
    </row>
    <row r="310" spans="1:4" x14ac:dyDescent="0.3">
      <c r="A310" s="20">
        <v>45450.781944000002</v>
      </c>
      <c r="B310" s="17">
        <v>61.220925000000001</v>
      </c>
      <c r="C310" s="18"/>
      <c r="D310" s="19"/>
    </row>
    <row r="311" spans="1:4" x14ac:dyDescent="0.3">
      <c r="A311" s="20">
        <v>45450.782638999997</v>
      </c>
      <c r="B311" s="17">
        <v>62.523508999999997</v>
      </c>
      <c r="C311" s="18"/>
      <c r="D311" s="19"/>
    </row>
    <row r="312" spans="1:4" x14ac:dyDescent="0.3">
      <c r="A312" s="20">
        <v>45450.783332999999</v>
      </c>
      <c r="B312" s="17">
        <v>61.269342000000002</v>
      </c>
      <c r="C312" s="18"/>
      <c r="D312" s="19"/>
    </row>
    <row r="313" spans="1:4" x14ac:dyDescent="0.3">
      <c r="A313" s="20">
        <v>45450.784028000002</v>
      </c>
      <c r="B313" s="17">
        <v>61.755443</v>
      </c>
      <c r="C313" s="18"/>
      <c r="D313" s="19"/>
    </row>
    <row r="314" spans="1:4" x14ac:dyDescent="0.3">
      <c r="A314" s="20">
        <v>45450.784721999997</v>
      </c>
      <c r="B314" s="17">
        <v>61.182841000000003</v>
      </c>
      <c r="C314" s="18"/>
      <c r="D314" s="19"/>
    </row>
    <row r="315" spans="1:4" x14ac:dyDescent="0.3">
      <c r="A315" s="20">
        <v>45450.785416999999</v>
      </c>
      <c r="B315" s="17">
        <v>61.342751999999997</v>
      </c>
      <c r="C315" s="18"/>
      <c r="D315" s="19"/>
    </row>
    <row r="316" spans="1:4" x14ac:dyDescent="0.3">
      <c r="A316" s="20">
        <v>45450.786111000001</v>
      </c>
      <c r="B316" s="17">
        <v>60.619860000000003</v>
      </c>
      <c r="C316" s="18"/>
      <c r="D316" s="19"/>
    </row>
    <row r="317" spans="1:4" x14ac:dyDescent="0.3">
      <c r="A317" s="20">
        <v>45450.786805999996</v>
      </c>
      <c r="B317" s="17">
        <v>61.303745999999997</v>
      </c>
      <c r="C317" s="18"/>
      <c r="D317" s="19"/>
    </row>
    <row r="318" spans="1:4" x14ac:dyDescent="0.3">
      <c r="A318" s="20">
        <v>45450.787499999999</v>
      </c>
      <c r="B318" s="17">
        <v>61.729129</v>
      </c>
      <c r="C318" s="18"/>
      <c r="D318" s="19"/>
    </row>
    <row r="319" spans="1:4" x14ac:dyDescent="0.3">
      <c r="A319" s="20">
        <v>45450.788194000001</v>
      </c>
      <c r="B319" s="17">
        <v>62.226996999999997</v>
      </c>
      <c r="C319" s="18"/>
      <c r="D319" s="19"/>
    </row>
    <row r="320" spans="1:4" x14ac:dyDescent="0.3">
      <c r="A320" s="20">
        <v>45450.788889000003</v>
      </c>
      <c r="B320" s="17">
        <v>61.457794999999997</v>
      </c>
      <c r="C320" s="18"/>
      <c r="D320" s="19"/>
    </row>
    <row r="321" spans="1:4" x14ac:dyDescent="0.3">
      <c r="A321" s="20">
        <v>45450.789582999998</v>
      </c>
      <c r="B321" s="17">
        <v>62.202885999999999</v>
      </c>
      <c r="C321" s="18"/>
      <c r="D321" s="19"/>
    </row>
    <row r="322" spans="1:4" x14ac:dyDescent="0.3">
      <c r="A322" s="20">
        <v>45450.790278</v>
      </c>
      <c r="B322" s="17">
        <v>61.465884000000003</v>
      </c>
      <c r="C322" s="18"/>
      <c r="D322" s="19"/>
    </row>
    <row r="323" spans="1:4" x14ac:dyDescent="0.3">
      <c r="A323" s="20">
        <v>45450.790972000003</v>
      </c>
      <c r="B323" s="17">
        <v>62.041867000000003</v>
      </c>
      <c r="C323" s="18"/>
      <c r="D323" s="19"/>
    </row>
    <row r="324" spans="1:4" x14ac:dyDescent="0.3">
      <c r="A324" s="20">
        <v>45450.791666999998</v>
      </c>
      <c r="B324" s="17">
        <v>61.111044999999997</v>
      </c>
      <c r="C324" s="18"/>
      <c r="D324" s="19"/>
    </row>
    <row r="325" spans="1:4" x14ac:dyDescent="0.3">
      <c r="A325" s="20">
        <v>45450.792361</v>
      </c>
      <c r="B325" s="17">
        <v>62.562801</v>
      </c>
      <c r="C325" s="18"/>
      <c r="D325" s="19"/>
    </row>
    <row r="326" spans="1:4" x14ac:dyDescent="0.3">
      <c r="A326" s="20">
        <v>45450.793056000002</v>
      </c>
      <c r="B326" s="17">
        <v>61.622402000000001</v>
      </c>
      <c r="C326" s="18"/>
      <c r="D326" s="19"/>
    </row>
    <row r="327" spans="1:4" x14ac:dyDescent="0.3">
      <c r="A327" s="20">
        <v>45450.793749999997</v>
      </c>
      <c r="B327" s="17">
        <v>61.953553999999997</v>
      </c>
      <c r="C327" s="18"/>
      <c r="D327" s="19"/>
    </row>
    <row r="328" spans="1:4" x14ac:dyDescent="0.3">
      <c r="A328" s="20">
        <v>45450.794443999999</v>
      </c>
      <c r="B328" s="17">
        <v>61.721603999999999</v>
      </c>
      <c r="C328" s="18"/>
      <c r="D328" s="19"/>
    </row>
    <row r="329" spans="1:4" x14ac:dyDescent="0.3">
      <c r="A329" s="20">
        <v>45450.795139000002</v>
      </c>
      <c r="B329" s="17">
        <v>61.798676</v>
      </c>
      <c r="C329" s="18"/>
      <c r="D329" s="19"/>
    </row>
    <row r="330" spans="1:4" x14ac:dyDescent="0.3">
      <c r="A330" s="20">
        <v>45450.795832999996</v>
      </c>
      <c r="B330" s="17">
        <v>62.514465000000001</v>
      </c>
      <c r="C330" s="18"/>
      <c r="D330" s="19"/>
    </row>
    <row r="331" spans="1:4" x14ac:dyDescent="0.3">
      <c r="A331" s="20">
        <v>45450.796527999999</v>
      </c>
      <c r="B331" s="17">
        <v>62.589115</v>
      </c>
      <c r="C331" s="18"/>
      <c r="D331" s="19"/>
    </row>
    <row r="332" spans="1:4" x14ac:dyDescent="0.3">
      <c r="A332" s="20">
        <v>45450.797222000001</v>
      </c>
      <c r="B332" s="17">
        <v>61.929234000000001</v>
      </c>
      <c r="C332" s="18"/>
      <c r="D332" s="19"/>
    </row>
    <row r="333" spans="1:4" x14ac:dyDescent="0.3">
      <c r="A333" s="20">
        <v>45450.797917000004</v>
      </c>
      <c r="B333" s="17">
        <v>61.671264999999998</v>
      </c>
      <c r="C333" s="18"/>
      <c r="D333" s="19"/>
    </row>
    <row r="334" spans="1:4" x14ac:dyDescent="0.3">
      <c r="A334" s="20">
        <v>45450.798610999998</v>
      </c>
      <c r="B334" s="17">
        <v>61.856554000000003</v>
      </c>
      <c r="C334" s="18"/>
      <c r="D334" s="19"/>
    </row>
    <row r="335" spans="1:4" x14ac:dyDescent="0.3">
      <c r="A335" s="20">
        <v>45450.799306000001</v>
      </c>
      <c r="B335" s="17">
        <v>61.862957999999999</v>
      </c>
      <c r="C335" s="18"/>
      <c r="D335" s="19"/>
    </row>
    <row r="336" spans="1:4" x14ac:dyDescent="0.3">
      <c r="A336" s="20">
        <v>45450.8</v>
      </c>
      <c r="B336" s="17">
        <v>61.656950999999999</v>
      </c>
      <c r="C336" s="18"/>
      <c r="D336" s="19"/>
    </row>
    <row r="337" spans="1:4" x14ac:dyDescent="0.3">
      <c r="A337" s="20">
        <v>45450.800693999998</v>
      </c>
      <c r="B337" s="17">
        <v>61.894382</v>
      </c>
      <c r="C337" s="18"/>
      <c r="D337" s="19"/>
    </row>
    <row r="338" spans="1:4" x14ac:dyDescent="0.3">
      <c r="A338" s="20">
        <v>45450.801389</v>
      </c>
      <c r="B338" s="17">
        <v>62.581676999999999</v>
      </c>
      <c r="C338" s="18"/>
      <c r="D338" s="19"/>
    </row>
    <row r="339" spans="1:4" x14ac:dyDescent="0.3">
      <c r="A339" s="20">
        <v>45450.802083000002</v>
      </c>
      <c r="B339" s="17">
        <v>61.402141</v>
      </c>
      <c r="C339" s="18"/>
      <c r="D339" s="19"/>
    </row>
    <row r="340" spans="1:4" x14ac:dyDescent="0.3">
      <c r="A340" s="20">
        <v>45450.802777999997</v>
      </c>
      <c r="B340" s="17">
        <v>62.530934000000002</v>
      </c>
      <c r="C340" s="18"/>
      <c r="D340" s="19"/>
    </row>
    <row r="341" spans="1:4" x14ac:dyDescent="0.3">
      <c r="A341" s="20">
        <v>45450.803472</v>
      </c>
      <c r="B341" s="17">
        <v>61.379300999999998</v>
      </c>
      <c r="C341" s="18"/>
      <c r="D341" s="19"/>
    </row>
    <row r="342" spans="1:4" x14ac:dyDescent="0.3">
      <c r="A342" s="20">
        <v>45450.804167000002</v>
      </c>
      <c r="B342" s="17">
        <v>61.478191000000002</v>
      </c>
      <c r="C342" s="18"/>
      <c r="D342" s="19"/>
    </row>
    <row r="343" spans="1:4" x14ac:dyDescent="0.3">
      <c r="A343" s="20">
        <v>45450.804860999997</v>
      </c>
      <c r="B343" s="17">
        <v>61.055579000000002</v>
      </c>
      <c r="C343" s="18"/>
      <c r="D343" s="19"/>
    </row>
    <row r="344" spans="1:4" x14ac:dyDescent="0.3">
      <c r="A344" s="20">
        <v>45450.805555999999</v>
      </c>
      <c r="B344" s="17">
        <v>62.039372</v>
      </c>
      <c r="C344" s="18"/>
      <c r="D344" s="19"/>
    </row>
    <row r="345" spans="1:4" x14ac:dyDescent="0.3">
      <c r="A345" s="20">
        <v>45450.806250000001</v>
      </c>
      <c r="B345" s="17">
        <v>61.607393999999999</v>
      </c>
      <c r="C345" s="18"/>
      <c r="D345" s="19"/>
    </row>
    <row r="346" spans="1:4" x14ac:dyDescent="0.3">
      <c r="A346" s="20">
        <v>45450.806944000004</v>
      </c>
      <c r="B346" s="17">
        <v>61.736648000000002</v>
      </c>
      <c r="C346" s="18"/>
      <c r="D346" s="19"/>
    </row>
    <row r="347" spans="1:4" x14ac:dyDescent="0.3">
      <c r="A347" s="20">
        <v>45450.807638999999</v>
      </c>
      <c r="B347" s="17">
        <v>62.141969000000003</v>
      </c>
      <c r="C347" s="18"/>
      <c r="D347" s="19"/>
    </row>
    <row r="348" spans="1:4" x14ac:dyDescent="0.3">
      <c r="A348" s="20">
        <v>45450.808333000001</v>
      </c>
      <c r="B348" s="17">
        <v>61.598520000000001</v>
      </c>
      <c r="C348" s="18"/>
      <c r="D348" s="19"/>
    </row>
    <row r="349" spans="1:4" x14ac:dyDescent="0.3">
      <c r="A349" s="20">
        <v>45450.809028000003</v>
      </c>
      <c r="B349" s="17">
        <v>61.337738999999999</v>
      </c>
      <c r="C349" s="18"/>
      <c r="D349" s="19"/>
    </row>
    <row r="350" spans="1:4" x14ac:dyDescent="0.3">
      <c r="A350" s="20">
        <v>45450.809721999998</v>
      </c>
      <c r="B350" s="17">
        <v>61.769640000000003</v>
      </c>
      <c r="C350" s="18"/>
      <c r="D350" s="19"/>
    </row>
    <row r="351" spans="1:4" x14ac:dyDescent="0.3">
      <c r="A351" s="20">
        <v>45450.810417000001</v>
      </c>
      <c r="B351" s="17">
        <v>62.231419000000002</v>
      </c>
      <c r="C351" s="18"/>
      <c r="D351" s="19"/>
    </row>
    <row r="352" spans="1:4" x14ac:dyDescent="0.3">
      <c r="A352" s="20">
        <v>45450.811111000003</v>
      </c>
      <c r="B352" s="17">
        <v>62.161938999999997</v>
      </c>
      <c r="C352" s="18"/>
      <c r="D352" s="19"/>
    </row>
    <row r="353" spans="1:4" x14ac:dyDescent="0.3">
      <c r="A353" s="20">
        <v>45450.811805999998</v>
      </c>
      <c r="B353" s="17">
        <v>62.057678000000003</v>
      </c>
      <c r="C353" s="18"/>
      <c r="D353" s="19"/>
    </row>
    <row r="354" spans="1:4" x14ac:dyDescent="0.3">
      <c r="A354" s="20">
        <v>45450.8125</v>
      </c>
      <c r="B354" s="17">
        <v>61.657079000000003</v>
      </c>
      <c r="C354" s="18"/>
      <c r="D354" s="19"/>
    </row>
    <row r="355" spans="1:4" x14ac:dyDescent="0.3">
      <c r="A355" s="20">
        <v>45450.813194000002</v>
      </c>
      <c r="B355" s="17">
        <v>61.706843999999997</v>
      </c>
      <c r="C355" s="18"/>
      <c r="D355" s="19"/>
    </row>
    <row r="356" spans="1:4" x14ac:dyDescent="0.3">
      <c r="A356" s="20">
        <v>45450.813888999997</v>
      </c>
      <c r="B356" s="17">
        <v>60.748089999999998</v>
      </c>
      <c r="C356" s="18"/>
      <c r="D356" s="19"/>
    </row>
    <row r="357" spans="1:4" x14ac:dyDescent="0.3">
      <c r="A357" s="20">
        <v>45450.814582999999</v>
      </c>
      <c r="B357" s="17">
        <v>62.244017999999997</v>
      </c>
      <c r="C357" s="18"/>
      <c r="D357" s="19"/>
    </row>
    <row r="358" spans="1:4" x14ac:dyDescent="0.3">
      <c r="A358" s="20">
        <v>45450.815278000002</v>
      </c>
      <c r="B358" s="17">
        <v>61.881143999999999</v>
      </c>
      <c r="C358" s="18"/>
      <c r="D358" s="19"/>
    </row>
    <row r="359" spans="1:4" x14ac:dyDescent="0.3">
      <c r="A359" s="20">
        <v>45450.815971999997</v>
      </c>
      <c r="B359" s="17">
        <v>61.975561999999996</v>
      </c>
      <c r="C359" s="18"/>
      <c r="D359" s="19"/>
    </row>
    <row r="360" spans="1:4" x14ac:dyDescent="0.3">
      <c r="A360" s="20">
        <v>45450.816666999999</v>
      </c>
      <c r="B360" s="17">
        <v>61.159097000000003</v>
      </c>
      <c r="C360" s="18"/>
      <c r="D360" s="19"/>
    </row>
    <row r="361" spans="1:4" x14ac:dyDescent="0.3">
      <c r="A361" s="20">
        <v>45450.817361000001</v>
      </c>
      <c r="B361" s="17">
        <v>61.034666999999999</v>
      </c>
      <c r="C361" s="18"/>
      <c r="D361" s="19"/>
    </row>
    <row r="362" spans="1:4" x14ac:dyDescent="0.3">
      <c r="A362" s="20">
        <v>45450.818055999996</v>
      </c>
      <c r="B362" s="17">
        <v>62.120443999999999</v>
      </c>
      <c r="C362" s="18"/>
      <c r="D362" s="19"/>
    </row>
    <row r="363" spans="1:4" x14ac:dyDescent="0.3">
      <c r="A363" s="20">
        <v>45450.818749999999</v>
      </c>
      <c r="B363" s="17">
        <v>61.742113000000003</v>
      </c>
      <c r="C363" s="18"/>
      <c r="D363" s="19"/>
    </row>
    <row r="364" spans="1:4" x14ac:dyDescent="0.3">
      <c r="A364" s="20">
        <v>45450.819444000001</v>
      </c>
      <c r="B364" s="17">
        <v>61.525331999999999</v>
      </c>
      <c r="C364" s="18"/>
      <c r="D364" s="19"/>
    </row>
    <row r="365" spans="1:4" x14ac:dyDescent="0.3">
      <c r="A365" s="20">
        <v>45450.820139000003</v>
      </c>
      <c r="B365" s="17">
        <v>61.923982000000002</v>
      </c>
      <c r="C365" s="18"/>
      <c r="D365" s="19"/>
    </row>
    <row r="366" spans="1:4" x14ac:dyDescent="0.3">
      <c r="A366" s="20">
        <v>45450.820832999998</v>
      </c>
      <c r="B366" s="17">
        <v>61.844149999999999</v>
      </c>
      <c r="C366" s="18"/>
      <c r="D366" s="19"/>
    </row>
    <row r="367" spans="1:4" x14ac:dyDescent="0.3">
      <c r="A367" s="20">
        <v>45450.821528</v>
      </c>
      <c r="B367" s="17">
        <v>60.960853999999998</v>
      </c>
      <c r="C367" s="18"/>
      <c r="D367" s="19"/>
    </row>
    <row r="368" spans="1:4" x14ac:dyDescent="0.3">
      <c r="A368" s="20">
        <v>45450.822222000003</v>
      </c>
      <c r="B368" s="17">
        <v>61.374209</v>
      </c>
      <c r="C368" s="18"/>
      <c r="D368" s="19"/>
    </row>
    <row r="369" spans="1:4" x14ac:dyDescent="0.3">
      <c r="A369" s="20">
        <v>45450.822916999998</v>
      </c>
      <c r="B369" s="17">
        <v>61.683869000000001</v>
      </c>
      <c r="C369" s="18"/>
      <c r="D369" s="19"/>
    </row>
    <row r="370" spans="1:4" x14ac:dyDescent="0.3">
      <c r="A370" s="20">
        <v>45450.823611</v>
      </c>
      <c r="B370" s="17">
        <v>61.574939000000001</v>
      </c>
      <c r="C370" s="18"/>
      <c r="D370" s="19"/>
    </row>
    <row r="371" spans="1:4" x14ac:dyDescent="0.3">
      <c r="A371" s="20">
        <v>45450.824306000002</v>
      </c>
      <c r="B371" s="17">
        <v>61.794806999999999</v>
      </c>
      <c r="C371" s="18"/>
      <c r="D371" s="19"/>
    </row>
    <row r="372" spans="1:4" x14ac:dyDescent="0.3">
      <c r="A372" s="20">
        <v>45450.824999999997</v>
      </c>
      <c r="B372" s="17">
        <v>61.611713000000002</v>
      </c>
      <c r="C372" s="18"/>
      <c r="D372" s="19"/>
    </row>
    <row r="373" spans="1:4" x14ac:dyDescent="0.3">
      <c r="A373" s="20">
        <v>45450.825693999999</v>
      </c>
      <c r="B373" s="17">
        <v>61.470294000000003</v>
      </c>
      <c r="C373" s="18"/>
      <c r="D373" s="19"/>
    </row>
    <row r="374" spans="1:4" x14ac:dyDescent="0.3">
      <c r="A374" s="20">
        <v>45450.826389000002</v>
      </c>
      <c r="B374" s="17">
        <v>61.513545000000001</v>
      </c>
      <c r="C374" s="18"/>
      <c r="D374" s="19"/>
    </row>
    <row r="375" spans="1:4" x14ac:dyDescent="0.3">
      <c r="A375" s="20">
        <v>45450.827082999996</v>
      </c>
      <c r="B375" s="17">
        <v>61.632351</v>
      </c>
      <c r="C375" s="18"/>
      <c r="D375" s="19"/>
    </row>
    <row r="376" spans="1:4" x14ac:dyDescent="0.3">
      <c r="A376" s="20">
        <v>45450.827777999999</v>
      </c>
      <c r="B376" s="17">
        <v>61.162663999999999</v>
      </c>
      <c r="C376" s="18"/>
      <c r="D376" s="19"/>
    </row>
    <row r="377" spans="1:4" x14ac:dyDescent="0.3">
      <c r="A377" s="20">
        <v>45450.828472000001</v>
      </c>
      <c r="B377" s="17">
        <v>61.830756000000001</v>
      </c>
      <c r="C377" s="18"/>
      <c r="D377" s="19"/>
    </row>
    <row r="378" spans="1:4" x14ac:dyDescent="0.3">
      <c r="A378" s="20">
        <v>45450.829167000004</v>
      </c>
      <c r="B378" s="17">
        <v>61.927926999999997</v>
      </c>
      <c r="C378" s="18"/>
      <c r="D378" s="19"/>
    </row>
    <row r="379" spans="1:4" x14ac:dyDescent="0.3">
      <c r="A379" s="20">
        <v>45450.829860999998</v>
      </c>
      <c r="B379" s="17">
        <v>61.612265999999998</v>
      </c>
      <c r="C379" s="18"/>
      <c r="D379" s="19"/>
    </row>
    <row r="380" spans="1:4" x14ac:dyDescent="0.3">
      <c r="A380" s="20">
        <v>45450.830556000001</v>
      </c>
      <c r="B380" s="17">
        <v>61.470511999999999</v>
      </c>
      <c r="C380" s="18"/>
      <c r="D380" s="19"/>
    </row>
    <row r="381" spans="1:4" x14ac:dyDescent="0.3">
      <c r="A381" s="20">
        <v>45450.831250000003</v>
      </c>
      <c r="B381" s="17">
        <v>61.081077999999998</v>
      </c>
      <c r="C381" s="18"/>
      <c r="D381" s="19"/>
    </row>
    <row r="382" spans="1:4" x14ac:dyDescent="0.3">
      <c r="A382" s="20">
        <v>45450.831943999998</v>
      </c>
      <c r="B382" s="17">
        <v>61.640636999999998</v>
      </c>
      <c r="C382" s="18"/>
      <c r="D382" s="19"/>
    </row>
    <row r="383" spans="1:4" x14ac:dyDescent="0.3">
      <c r="A383" s="20">
        <v>45450.832639</v>
      </c>
      <c r="B383" s="17">
        <v>61.325955999999998</v>
      </c>
      <c r="C383" s="18"/>
      <c r="D383" s="19"/>
    </row>
    <row r="384" spans="1:4" x14ac:dyDescent="0.3">
      <c r="A384" s="20">
        <v>45450.833333000002</v>
      </c>
      <c r="B384" s="17">
        <v>61.564082999999997</v>
      </c>
      <c r="C384" s="18"/>
      <c r="D384" s="19"/>
    </row>
    <row r="385" spans="1:4" x14ac:dyDescent="0.3">
      <c r="A385" s="20">
        <v>45450.834027999997</v>
      </c>
      <c r="B385" s="17">
        <v>61.072366000000002</v>
      </c>
      <c r="C385" s="18"/>
      <c r="D385" s="19"/>
    </row>
    <row r="386" spans="1:4" x14ac:dyDescent="0.3">
      <c r="A386" s="20">
        <v>45450.834722</v>
      </c>
      <c r="B386" s="17">
        <v>60.678826000000001</v>
      </c>
      <c r="C386" s="18"/>
      <c r="D386" s="19"/>
    </row>
    <row r="387" spans="1:4" x14ac:dyDescent="0.3">
      <c r="A387" s="20">
        <v>45450.835417000002</v>
      </c>
      <c r="B387" s="17">
        <v>61.333942999999998</v>
      </c>
      <c r="C387" s="18"/>
      <c r="D387" s="19"/>
    </row>
    <row r="388" spans="1:4" x14ac:dyDescent="0.3">
      <c r="A388" s="20">
        <v>45450.836110999997</v>
      </c>
      <c r="B388" s="17">
        <v>61.117626999999999</v>
      </c>
      <c r="C388" s="18"/>
      <c r="D388" s="19"/>
    </row>
    <row r="389" spans="1:4" x14ac:dyDescent="0.3">
      <c r="A389" s="20">
        <v>45450.836805999999</v>
      </c>
      <c r="B389" s="17">
        <v>61.343581</v>
      </c>
      <c r="C389" s="18"/>
      <c r="D389" s="19"/>
    </row>
    <row r="390" spans="1:4" x14ac:dyDescent="0.3">
      <c r="A390" s="20">
        <v>45450.837500000001</v>
      </c>
      <c r="B390" s="17">
        <v>61.459753999999997</v>
      </c>
      <c r="C390" s="18"/>
      <c r="D390" s="19"/>
    </row>
    <row r="391" spans="1:4" x14ac:dyDescent="0.3">
      <c r="A391" s="20">
        <v>45450.838194000004</v>
      </c>
      <c r="B391" s="17">
        <v>62.302345000000003</v>
      </c>
      <c r="C391" s="18"/>
      <c r="D391" s="19"/>
    </row>
    <row r="392" spans="1:4" x14ac:dyDescent="0.3">
      <c r="A392" s="20">
        <v>45450.838888999999</v>
      </c>
      <c r="B392" s="17">
        <v>61.312721000000003</v>
      </c>
      <c r="C392" s="18"/>
      <c r="D392" s="19"/>
    </row>
    <row r="393" spans="1:4" x14ac:dyDescent="0.3">
      <c r="A393" s="20">
        <v>45450.839583000001</v>
      </c>
      <c r="B393" s="17">
        <v>61.668424999999999</v>
      </c>
      <c r="C393" s="18"/>
      <c r="D393" s="19"/>
    </row>
    <row r="394" spans="1:4" x14ac:dyDescent="0.3">
      <c r="A394" s="20">
        <v>45450.840278000003</v>
      </c>
      <c r="B394" s="17">
        <v>61.884231</v>
      </c>
      <c r="C394" s="18"/>
      <c r="D394" s="19"/>
    </row>
    <row r="395" spans="1:4" x14ac:dyDescent="0.3">
      <c r="A395" s="20">
        <v>45450.840971999998</v>
      </c>
      <c r="B395" s="17">
        <v>61.899549</v>
      </c>
      <c r="C395" s="18"/>
      <c r="D395" s="19"/>
    </row>
    <row r="396" spans="1:4" x14ac:dyDescent="0.3">
      <c r="A396" s="20">
        <v>45450.841667000001</v>
      </c>
      <c r="B396" s="17">
        <v>61.245792999999999</v>
      </c>
      <c r="C396" s="18"/>
      <c r="D396" s="19"/>
    </row>
    <row r="397" spans="1:4" x14ac:dyDescent="0.3">
      <c r="A397" s="20">
        <v>45450.842361000003</v>
      </c>
      <c r="B397" s="17">
        <v>61.160083</v>
      </c>
      <c r="C397" s="18"/>
      <c r="D397" s="19"/>
    </row>
    <row r="398" spans="1:4" x14ac:dyDescent="0.3">
      <c r="A398" s="20">
        <v>45450.843055999998</v>
      </c>
      <c r="B398" s="17">
        <v>62.587032000000001</v>
      </c>
      <c r="C398" s="18"/>
      <c r="D398" s="19"/>
    </row>
    <row r="399" spans="1:4" x14ac:dyDescent="0.3">
      <c r="A399" s="20">
        <v>45450.84375</v>
      </c>
      <c r="B399" s="17">
        <v>61.526623000000001</v>
      </c>
      <c r="C399" s="18"/>
      <c r="D399" s="19"/>
    </row>
    <row r="400" spans="1:4" x14ac:dyDescent="0.3">
      <c r="A400" s="20">
        <v>45450.844444000002</v>
      </c>
      <c r="B400" s="17">
        <v>61.729419</v>
      </c>
      <c r="C400" s="18"/>
      <c r="D400" s="19"/>
    </row>
    <row r="401" spans="1:4" x14ac:dyDescent="0.3">
      <c r="A401" s="20">
        <v>45450.845138999997</v>
      </c>
      <c r="B401" s="17">
        <v>61.689709999999998</v>
      </c>
      <c r="C401" s="18"/>
      <c r="D401" s="19"/>
    </row>
    <row r="402" spans="1:4" x14ac:dyDescent="0.3">
      <c r="A402" s="20">
        <v>45450.845832999999</v>
      </c>
      <c r="B402" s="17">
        <v>61.922324000000003</v>
      </c>
      <c r="C402" s="18"/>
      <c r="D402" s="19"/>
    </row>
    <row r="403" spans="1:4" x14ac:dyDescent="0.3">
      <c r="A403" s="20">
        <v>45450.846528000002</v>
      </c>
      <c r="B403" s="17">
        <v>62.264879999999998</v>
      </c>
      <c r="C403" s="18"/>
      <c r="D403" s="19"/>
    </row>
    <row r="404" spans="1:4" x14ac:dyDescent="0.3">
      <c r="A404" s="20">
        <v>45450.847221999997</v>
      </c>
      <c r="B404" s="17">
        <v>61.717936000000002</v>
      </c>
      <c r="C404" s="18"/>
      <c r="D404" s="19"/>
    </row>
    <row r="405" spans="1:4" x14ac:dyDescent="0.3">
      <c r="A405" s="20">
        <v>45450.847916999999</v>
      </c>
      <c r="B405" s="17">
        <v>61.881807999999999</v>
      </c>
      <c r="C405" s="18"/>
      <c r="D405" s="19"/>
    </row>
    <row r="406" spans="1:4" x14ac:dyDescent="0.3">
      <c r="A406" s="20">
        <v>45450.848611000001</v>
      </c>
      <c r="B406" s="17">
        <v>61.560833000000002</v>
      </c>
      <c r="C406" s="18"/>
      <c r="D406" s="19"/>
    </row>
    <row r="407" spans="1:4" x14ac:dyDescent="0.3">
      <c r="A407" s="20">
        <v>45450.849305999996</v>
      </c>
      <c r="B407" s="17">
        <v>61.892142999999997</v>
      </c>
      <c r="C407" s="18"/>
      <c r="D407" s="19"/>
    </row>
    <row r="408" spans="1:4" x14ac:dyDescent="0.3">
      <c r="A408" s="20">
        <v>45450.85</v>
      </c>
      <c r="B408" s="17">
        <v>61.653492</v>
      </c>
      <c r="C408" s="18"/>
      <c r="D408" s="19"/>
    </row>
    <row r="409" spans="1:4" x14ac:dyDescent="0.3">
      <c r="A409" s="20">
        <v>45450.850694000001</v>
      </c>
      <c r="B409" s="17">
        <v>61.749215</v>
      </c>
      <c r="C409" s="18"/>
      <c r="D409" s="19"/>
    </row>
    <row r="410" spans="1:4" x14ac:dyDescent="0.3">
      <c r="A410" s="20">
        <v>45450.851389000003</v>
      </c>
      <c r="B410" s="17">
        <v>62.171897000000001</v>
      </c>
      <c r="C410" s="18"/>
      <c r="D410" s="19"/>
    </row>
    <row r="411" spans="1:4" x14ac:dyDescent="0.3">
      <c r="A411" s="20">
        <v>45450.852082999998</v>
      </c>
      <c r="B411" s="17">
        <v>61.653626000000003</v>
      </c>
      <c r="C411" s="18"/>
      <c r="D411" s="19"/>
    </row>
    <row r="412" spans="1:4" x14ac:dyDescent="0.3">
      <c r="A412" s="20">
        <v>45450.852778</v>
      </c>
      <c r="B412" s="17">
        <v>62.108977000000003</v>
      </c>
      <c r="C412" s="18"/>
      <c r="D412" s="19"/>
    </row>
    <row r="413" spans="1:4" x14ac:dyDescent="0.3">
      <c r="A413" s="20">
        <v>45450.853472000003</v>
      </c>
      <c r="B413" s="17">
        <v>62.129899999999999</v>
      </c>
      <c r="C413" s="18"/>
      <c r="D413" s="19"/>
    </row>
    <row r="414" spans="1:4" x14ac:dyDescent="0.3">
      <c r="A414" s="20">
        <v>45450.854166999998</v>
      </c>
      <c r="B414" s="17">
        <v>61.351962999999998</v>
      </c>
      <c r="C414" s="18"/>
      <c r="D414" s="19"/>
    </row>
    <row r="415" spans="1:4" x14ac:dyDescent="0.3">
      <c r="A415" s="20">
        <v>45450.854861</v>
      </c>
      <c r="B415" s="17">
        <v>61.704149999999998</v>
      </c>
      <c r="C415" s="18"/>
      <c r="D415" s="19"/>
    </row>
    <row r="416" spans="1:4" x14ac:dyDescent="0.3">
      <c r="A416" s="20">
        <v>45450.855556000002</v>
      </c>
      <c r="B416" s="17">
        <v>62.197313000000001</v>
      </c>
      <c r="C416" s="18"/>
      <c r="D416" s="19"/>
    </row>
    <row r="417" spans="1:4" x14ac:dyDescent="0.3">
      <c r="A417" s="20">
        <v>45450.856249999997</v>
      </c>
      <c r="B417" s="17">
        <v>61.477576999999997</v>
      </c>
      <c r="C417" s="18"/>
      <c r="D417" s="19"/>
    </row>
    <row r="418" spans="1:4" x14ac:dyDescent="0.3">
      <c r="A418" s="20">
        <v>45450.856943999999</v>
      </c>
      <c r="B418" s="17">
        <v>61.642687000000002</v>
      </c>
      <c r="C418" s="18"/>
      <c r="D418" s="19"/>
    </row>
    <row r="419" spans="1:4" x14ac:dyDescent="0.3">
      <c r="A419" s="20">
        <v>45450.857639000002</v>
      </c>
      <c r="B419" s="17">
        <v>61.887746</v>
      </c>
      <c r="C419" s="18"/>
      <c r="D419" s="19"/>
    </row>
    <row r="420" spans="1:4" x14ac:dyDescent="0.3">
      <c r="A420" s="20">
        <v>45450.858332999996</v>
      </c>
      <c r="B420" s="17">
        <v>61.480978999999998</v>
      </c>
      <c r="C420" s="18"/>
      <c r="D420" s="19"/>
    </row>
    <row r="421" spans="1:4" x14ac:dyDescent="0.3">
      <c r="A421" s="20">
        <v>45450.859027999999</v>
      </c>
      <c r="B421" s="17">
        <v>62.340577000000003</v>
      </c>
      <c r="C421" s="18"/>
      <c r="D421" s="19"/>
    </row>
    <row r="422" spans="1:4" x14ac:dyDescent="0.3">
      <c r="A422" s="20">
        <v>45450.859722000001</v>
      </c>
      <c r="B422" s="17">
        <v>61.670461000000003</v>
      </c>
      <c r="C422" s="18"/>
      <c r="D422" s="19"/>
    </row>
    <row r="423" spans="1:4" x14ac:dyDescent="0.3">
      <c r="A423" s="20">
        <v>45450.860417000004</v>
      </c>
      <c r="B423" s="17">
        <v>61.922206000000003</v>
      </c>
      <c r="C423" s="18"/>
      <c r="D423" s="19"/>
    </row>
    <row r="424" spans="1:4" x14ac:dyDescent="0.3">
      <c r="A424" s="20">
        <v>45450.861110999998</v>
      </c>
      <c r="B424" s="17">
        <v>61.667144999999998</v>
      </c>
      <c r="C424" s="18"/>
      <c r="D424" s="19"/>
    </row>
    <row r="425" spans="1:4" x14ac:dyDescent="0.3">
      <c r="A425" s="20">
        <v>45450.861806000001</v>
      </c>
      <c r="B425" s="17">
        <v>61.047229000000002</v>
      </c>
      <c r="C425" s="18"/>
      <c r="D425" s="19"/>
    </row>
    <row r="426" spans="1:4" x14ac:dyDescent="0.3">
      <c r="A426" s="20">
        <v>45450.862500000003</v>
      </c>
      <c r="B426" s="17">
        <v>62.174244999999999</v>
      </c>
      <c r="C426" s="18"/>
      <c r="D426" s="19"/>
    </row>
    <row r="427" spans="1:4" x14ac:dyDescent="0.3">
      <c r="A427" s="20">
        <v>45450.863193999998</v>
      </c>
      <c r="B427" s="17">
        <v>61.627181999999998</v>
      </c>
      <c r="C427" s="18"/>
      <c r="D427" s="19"/>
    </row>
    <row r="428" spans="1:4" x14ac:dyDescent="0.3">
      <c r="A428" s="20">
        <v>45450.863889</v>
      </c>
      <c r="B428" s="17">
        <v>61.192537999999999</v>
      </c>
      <c r="C428" s="18"/>
      <c r="D428" s="19"/>
    </row>
    <row r="429" spans="1:4" x14ac:dyDescent="0.3">
      <c r="A429" s="20">
        <v>45450.864583000002</v>
      </c>
      <c r="B429" s="17">
        <v>61.566491999999997</v>
      </c>
      <c r="C429" s="18"/>
      <c r="D429" s="19"/>
    </row>
    <row r="430" spans="1:4" x14ac:dyDescent="0.3">
      <c r="A430" s="20">
        <v>45450.865277999997</v>
      </c>
      <c r="B430" s="17">
        <v>61.743268</v>
      </c>
      <c r="C430" s="18"/>
      <c r="D430" s="19"/>
    </row>
    <row r="431" spans="1:4" x14ac:dyDescent="0.3">
      <c r="A431" s="20">
        <v>45450.865972</v>
      </c>
      <c r="B431" s="17">
        <v>62.285845000000002</v>
      </c>
      <c r="C431" s="18"/>
      <c r="D431" s="19"/>
    </row>
    <row r="432" spans="1:4" x14ac:dyDescent="0.3">
      <c r="A432" s="20">
        <v>45450.866667000002</v>
      </c>
      <c r="B432" s="17">
        <v>62.001417000000004</v>
      </c>
      <c r="C432" s="18"/>
      <c r="D432" s="19"/>
    </row>
    <row r="433" spans="1:4" x14ac:dyDescent="0.3">
      <c r="A433" s="20">
        <v>45450.867360999997</v>
      </c>
      <c r="B433" s="17">
        <v>62.091363999999999</v>
      </c>
      <c r="C433" s="18"/>
      <c r="D433" s="19"/>
    </row>
    <row r="434" spans="1:4" x14ac:dyDescent="0.3">
      <c r="A434" s="20">
        <v>45450.868055999999</v>
      </c>
      <c r="B434" s="17">
        <v>61.739051000000003</v>
      </c>
      <c r="C434" s="18"/>
      <c r="D434" s="19"/>
    </row>
    <row r="435" spans="1:4" x14ac:dyDescent="0.3">
      <c r="A435" s="20">
        <v>45450.868750000001</v>
      </c>
      <c r="B435" s="17">
        <v>61.532367999999998</v>
      </c>
      <c r="C435" s="18"/>
      <c r="D435" s="19"/>
    </row>
    <row r="436" spans="1:4" x14ac:dyDescent="0.3">
      <c r="A436" s="20">
        <v>45450.869444000004</v>
      </c>
      <c r="B436" s="17">
        <v>61.506008999999999</v>
      </c>
      <c r="C436" s="18"/>
      <c r="D436" s="19"/>
    </row>
    <row r="437" spans="1:4" x14ac:dyDescent="0.3">
      <c r="A437" s="20">
        <v>45450.870138999999</v>
      </c>
      <c r="B437" s="17">
        <v>62.136757000000003</v>
      </c>
      <c r="C437" s="18"/>
      <c r="D437" s="19"/>
    </row>
    <row r="438" spans="1:4" x14ac:dyDescent="0.3">
      <c r="A438" s="20">
        <v>45450.870833000001</v>
      </c>
      <c r="B438" s="17">
        <v>62.344011000000002</v>
      </c>
      <c r="C438" s="18"/>
      <c r="D438" s="19"/>
    </row>
    <row r="439" spans="1:4" x14ac:dyDescent="0.3">
      <c r="A439" s="20">
        <v>45450.871528000003</v>
      </c>
      <c r="B439" s="17">
        <v>62.515248</v>
      </c>
      <c r="C439" s="18"/>
      <c r="D439" s="19"/>
    </row>
    <row r="440" spans="1:4" x14ac:dyDescent="0.3">
      <c r="A440" s="20">
        <v>45450.872221999998</v>
      </c>
      <c r="B440" s="17">
        <v>62.805121999999997</v>
      </c>
      <c r="C440" s="18"/>
      <c r="D440" s="19"/>
    </row>
    <row r="441" spans="1:4" x14ac:dyDescent="0.3">
      <c r="A441" s="20">
        <v>45450.872917000001</v>
      </c>
      <c r="B441" s="17">
        <v>63.056569000000003</v>
      </c>
      <c r="C441" s="18"/>
      <c r="D441" s="19"/>
    </row>
    <row r="442" spans="1:4" x14ac:dyDescent="0.3">
      <c r="A442" s="20">
        <v>45450.873611000003</v>
      </c>
      <c r="B442" s="17">
        <v>63.525554</v>
      </c>
      <c r="C442" s="18"/>
      <c r="D442" s="19"/>
    </row>
    <row r="443" spans="1:4" x14ac:dyDescent="0.3">
      <c r="A443" s="20">
        <v>45450.874305999998</v>
      </c>
      <c r="B443" s="17">
        <v>62.538212000000001</v>
      </c>
      <c r="C443" s="18"/>
      <c r="D443" s="19"/>
    </row>
    <row r="444" spans="1:4" x14ac:dyDescent="0.3">
      <c r="A444" s="20">
        <v>45450.875</v>
      </c>
      <c r="B444" s="17">
        <v>62.953601999999997</v>
      </c>
      <c r="C444" s="18"/>
      <c r="D444" s="19"/>
    </row>
    <row r="445" spans="1:4" x14ac:dyDescent="0.3">
      <c r="A445" s="20">
        <v>45450.875694000002</v>
      </c>
      <c r="B445" s="17">
        <v>62.872684</v>
      </c>
      <c r="C445" s="18"/>
      <c r="D445" s="19"/>
    </row>
    <row r="446" spans="1:4" x14ac:dyDescent="0.3">
      <c r="A446" s="20">
        <v>45450.876388999997</v>
      </c>
      <c r="B446" s="17">
        <v>62.778421000000002</v>
      </c>
      <c r="C446" s="18"/>
      <c r="D446" s="19"/>
    </row>
    <row r="447" spans="1:4" x14ac:dyDescent="0.3">
      <c r="A447" s="20">
        <v>45450.877082999999</v>
      </c>
      <c r="B447" s="17">
        <v>62.281939999999999</v>
      </c>
      <c r="C447" s="18"/>
      <c r="D447" s="19"/>
    </row>
    <row r="448" spans="1:4" x14ac:dyDescent="0.3">
      <c r="A448" s="20">
        <v>45450.877778000002</v>
      </c>
      <c r="B448" s="17">
        <v>62.645744000000001</v>
      </c>
      <c r="C448" s="18"/>
      <c r="D448" s="19"/>
    </row>
    <row r="449" spans="1:4" x14ac:dyDescent="0.3">
      <c r="A449" s="20">
        <v>45450.878471999997</v>
      </c>
      <c r="B449" s="17">
        <v>63.033814</v>
      </c>
      <c r="C449" s="18"/>
      <c r="D449" s="19"/>
    </row>
    <row r="450" spans="1:4" x14ac:dyDescent="0.3">
      <c r="A450" s="20">
        <v>45450.879166999999</v>
      </c>
      <c r="B450" s="17">
        <v>63.079224000000004</v>
      </c>
      <c r="C450" s="18"/>
      <c r="D450" s="19"/>
    </row>
    <row r="451" spans="1:4" x14ac:dyDescent="0.3">
      <c r="A451" s="20">
        <v>45450.879861000001</v>
      </c>
      <c r="B451" s="17">
        <v>62.543523999999998</v>
      </c>
      <c r="C451" s="18"/>
      <c r="D451" s="19"/>
    </row>
    <row r="452" spans="1:4" x14ac:dyDescent="0.3">
      <c r="A452" s="20">
        <v>45450.880555999996</v>
      </c>
      <c r="B452" s="17">
        <v>63.723407999999999</v>
      </c>
      <c r="C452" s="18"/>
      <c r="D452" s="19"/>
    </row>
    <row r="453" spans="1:4" x14ac:dyDescent="0.3">
      <c r="A453" s="20">
        <v>45450.881249999999</v>
      </c>
      <c r="B453" s="17">
        <v>62.373685999999999</v>
      </c>
      <c r="C453" s="18"/>
      <c r="D453" s="19"/>
    </row>
    <row r="454" spans="1:4" x14ac:dyDescent="0.3">
      <c r="A454" s="20">
        <v>45450.881944000001</v>
      </c>
      <c r="B454" s="17">
        <v>63.487560999999999</v>
      </c>
      <c r="C454" s="18"/>
      <c r="D454" s="19"/>
    </row>
    <row r="455" spans="1:4" x14ac:dyDescent="0.3">
      <c r="A455" s="20">
        <v>45450.882639000003</v>
      </c>
      <c r="B455" s="17">
        <v>62.685333</v>
      </c>
      <c r="C455" s="18"/>
      <c r="D455" s="19"/>
    </row>
    <row r="456" spans="1:4" x14ac:dyDescent="0.3">
      <c r="A456" s="20">
        <v>45450.883332999998</v>
      </c>
      <c r="B456" s="17">
        <v>62.845250999999998</v>
      </c>
      <c r="C456" s="18"/>
      <c r="D456" s="19"/>
    </row>
    <row r="457" spans="1:4" x14ac:dyDescent="0.3">
      <c r="A457" s="20">
        <v>45450.884028</v>
      </c>
      <c r="B457" s="17">
        <v>63.061275000000002</v>
      </c>
      <c r="C457" s="18"/>
      <c r="D457" s="19"/>
    </row>
    <row r="458" spans="1:4" x14ac:dyDescent="0.3">
      <c r="A458" s="20">
        <v>45450.884722000003</v>
      </c>
      <c r="B458" s="17">
        <v>62.499220999999999</v>
      </c>
      <c r="C458" s="18"/>
      <c r="D458" s="19"/>
    </row>
    <row r="459" spans="1:4" x14ac:dyDescent="0.3">
      <c r="A459" s="20">
        <v>45450.885416999998</v>
      </c>
      <c r="B459" s="17">
        <v>62.755395999999998</v>
      </c>
      <c r="C459" s="18"/>
      <c r="D459" s="19"/>
    </row>
    <row r="460" spans="1:4" x14ac:dyDescent="0.3">
      <c r="A460" s="20">
        <v>45450.886111</v>
      </c>
      <c r="B460" s="17">
        <v>62.450969000000001</v>
      </c>
      <c r="C460" s="18"/>
      <c r="D460" s="19"/>
    </row>
    <row r="461" spans="1:4" x14ac:dyDescent="0.3">
      <c r="A461" s="20">
        <v>45450.886806000002</v>
      </c>
      <c r="B461" s="17">
        <v>62.663787999999997</v>
      </c>
      <c r="C461" s="18"/>
      <c r="D461" s="19"/>
    </row>
    <row r="462" spans="1:4" x14ac:dyDescent="0.3">
      <c r="A462" s="20">
        <v>45450.887499999997</v>
      </c>
      <c r="B462" s="17">
        <v>61.860207000000003</v>
      </c>
      <c r="C462" s="18"/>
      <c r="D462" s="19"/>
    </row>
    <row r="463" spans="1:4" x14ac:dyDescent="0.3">
      <c r="A463" s="20">
        <v>45450.888193999999</v>
      </c>
      <c r="B463" s="17">
        <v>63.45805</v>
      </c>
      <c r="C463" s="18"/>
      <c r="D463" s="19"/>
    </row>
    <row r="464" spans="1:4" x14ac:dyDescent="0.3">
      <c r="A464" s="20">
        <v>45450.888889000002</v>
      </c>
      <c r="B464" s="17">
        <v>63.052177999999998</v>
      </c>
      <c r="C464" s="18"/>
      <c r="D464" s="19"/>
    </row>
    <row r="465" spans="1:4" x14ac:dyDescent="0.3">
      <c r="A465" s="20">
        <v>45450.889582999996</v>
      </c>
      <c r="B465" s="17">
        <v>62.718152000000003</v>
      </c>
      <c r="C465" s="18"/>
      <c r="D465" s="19"/>
    </row>
    <row r="466" spans="1:4" x14ac:dyDescent="0.3">
      <c r="A466" s="20">
        <v>45450.890277999999</v>
      </c>
      <c r="B466" s="17">
        <v>63.153303000000001</v>
      </c>
      <c r="C466" s="18"/>
      <c r="D466" s="19"/>
    </row>
    <row r="467" spans="1:4" x14ac:dyDescent="0.3">
      <c r="A467" s="20">
        <v>45450.890972000001</v>
      </c>
      <c r="B467" s="17">
        <v>62.973216000000001</v>
      </c>
      <c r="C467" s="18"/>
      <c r="D467" s="19"/>
    </row>
    <row r="468" spans="1:4" x14ac:dyDescent="0.3">
      <c r="A468" s="20">
        <v>45450.891667000004</v>
      </c>
      <c r="B468" s="17">
        <v>62.790421000000002</v>
      </c>
      <c r="C468" s="18"/>
      <c r="D468" s="19"/>
    </row>
    <row r="469" spans="1:4" x14ac:dyDescent="0.3">
      <c r="A469" s="20">
        <v>45450.892360999998</v>
      </c>
      <c r="B469" s="17">
        <v>62.689461999999999</v>
      </c>
      <c r="C469" s="18"/>
      <c r="D469" s="19"/>
    </row>
    <row r="470" spans="1:4" x14ac:dyDescent="0.3">
      <c r="A470" s="20">
        <v>45450.893056000001</v>
      </c>
      <c r="B470" s="17">
        <v>62.188008000000004</v>
      </c>
      <c r="C470" s="18"/>
      <c r="D470" s="19"/>
    </row>
    <row r="471" spans="1:4" x14ac:dyDescent="0.3">
      <c r="A471" s="20">
        <v>45450.893750000003</v>
      </c>
      <c r="B471" s="17">
        <v>62.134996000000001</v>
      </c>
      <c r="C471" s="18"/>
      <c r="D471" s="19"/>
    </row>
    <row r="472" spans="1:4" x14ac:dyDescent="0.3">
      <c r="A472" s="20">
        <v>45450.894443999998</v>
      </c>
      <c r="B472" s="17">
        <v>62.637061000000003</v>
      </c>
      <c r="C472" s="18"/>
      <c r="D472" s="19"/>
    </row>
    <row r="473" spans="1:4" x14ac:dyDescent="0.3">
      <c r="A473" s="20">
        <v>45450.895139</v>
      </c>
      <c r="B473" s="17">
        <v>62.699449999999999</v>
      </c>
      <c r="C473" s="18"/>
      <c r="D473" s="19"/>
    </row>
    <row r="474" spans="1:4" x14ac:dyDescent="0.3">
      <c r="A474" s="20">
        <v>45450.895833000002</v>
      </c>
      <c r="B474" s="17">
        <v>62.834240000000001</v>
      </c>
      <c r="C474" s="18"/>
      <c r="D474" s="19"/>
    </row>
    <row r="475" spans="1:4" x14ac:dyDescent="0.3">
      <c r="A475" s="20">
        <v>45450.896527999997</v>
      </c>
      <c r="B475" s="17">
        <v>62.773493000000002</v>
      </c>
      <c r="C475" s="18"/>
      <c r="D475" s="19"/>
    </row>
    <row r="476" spans="1:4" x14ac:dyDescent="0.3">
      <c r="A476" s="20">
        <v>45450.897222</v>
      </c>
      <c r="B476" s="17">
        <v>63.060679999999998</v>
      </c>
      <c r="C476" s="18"/>
      <c r="D476" s="19"/>
    </row>
    <row r="477" spans="1:4" x14ac:dyDescent="0.3">
      <c r="A477" s="20">
        <v>45450.897917000002</v>
      </c>
      <c r="B477" s="17">
        <v>61.903503999999998</v>
      </c>
      <c r="C477" s="18"/>
      <c r="D477" s="19"/>
    </row>
    <row r="478" spans="1:4" x14ac:dyDescent="0.3">
      <c r="A478" s="20">
        <v>45450.898610999997</v>
      </c>
      <c r="B478" s="17">
        <v>62.844346999999999</v>
      </c>
      <c r="C478" s="18"/>
      <c r="D478" s="19"/>
    </row>
    <row r="479" spans="1:4" x14ac:dyDescent="0.3">
      <c r="A479" s="20">
        <v>45450.899305999999</v>
      </c>
      <c r="B479" s="17">
        <v>62.789102</v>
      </c>
      <c r="C479" s="18"/>
      <c r="D479" s="19"/>
    </row>
    <row r="480" spans="1:4" x14ac:dyDescent="0.3">
      <c r="A480" s="20">
        <v>45450.9</v>
      </c>
      <c r="B480" s="17">
        <v>62.182436000000003</v>
      </c>
      <c r="C480" s="18"/>
      <c r="D480" s="19"/>
    </row>
    <row r="481" spans="1:4" x14ac:dyDescent="0.3">
      <c r="A481" s="20">
        <v>45450.900694000004</v>
      </c>
      <c r="B481" s="17">
        <v>62.780996000000002</v>
      </c>
      <c r="C481" s="18"/>
      <c r="D481" s="19"/>
    </row>
    <row r="482" spans="1:4" x14ac:dyDescent="0.3">
      <c r="A482" s="20">
        <v>45450.901388999999</v>
      </c>
      <c r="B482" s="17">
        <v>63.123806000000002</v>
      </c>
      <c r="C482" s="18"/>
      <c r="D482" s="19"/>
    </row>
    <row r="483" spans="1:4" x14ac:dyDescent="0.3">
      <c r="A483" s="20">
        <v>45450.902083000001</v>
      </c>
      <c r="B483" s="17">
        <v>62.367722999999998</v>
      </c>
      <c r="C483" s="18"/>
      <c r="D483" s="19"/>
    </row>
    <row r="484" spans="1:4" x14ac:dyDescent="0.3">
      <c r="A484" s="20">
        <v>45450.902778000003</v>
      </c>
      <c r="B484" s="17">
        <v>62.275471000000003</v>
      </c>
      <c r="C484" s="18"/>
      <c r="D484" s="19"/>
    </row>
    <row r="485" spans="1:4" x14ac:dyDescent="0.3">
      <c r="A485" s="20">
        <v>45450.903471999998</v>
      </c>
      <c r="B485" s="17">
        <v>63.463594000000001</v>
      </c>
      <c r="C485" s="18"/>
      <c r="D485" s="19"/>
    </row>
    <row r="486" spans="1:4" x14ac:dyDescent="0.3">
      <c r="A486" s="20">
        <v>45450.904167000001</v>
      </c>
      <c r="B486" s="17">
        <v>63.214779</v>
      </c>
      <c r="C486" s="18"/>
      <c r="D486" s="19"/>
    </row>
    <row r="487" spans="1:4" x14ac:dyDescent="0.3">
      <c r="A487" s="20">
        <v>45450.904861000003</v>
      </c>
      <c r="B487" s="17">
        <v>62.750737000000001</v>
      </c>
      <c r="C487" s="18"/>
      <c r="D487" s="19"/>
    </row>
    <row r="488" spans="1:4" x14ac:dyDescent="0.3">
      <c r="A488" s="20">
        <v>45450.905555999998</v>
      </c>
      <c r="B488" s="17">
        <v>62.695760999999997</v>
      </c>
      <c r="C488" s="18"/>
      <c r="D488" s="19"/>
    </row>
    <row r="489" spans="1:4" x14ac:dyDescent="0.3">
      <c r="A489" s="20">
        <v>45450.90625</v>
      </c>
      <c r="B489" s="17">
        <v>62.250929999999997</v>
      </c>
      <c r="C489" s="18"/>
      <c r="D489" s="19"/>
    </row>
    <row r="490" spans="1:4" x14ac:dyDescent="0.3">
      <c r="A490" s="20">
        <v>45450.906944000002</v>
      </c>
      <c r="B490" s="17">
        <v>62.889972</v>
      </c>
      <c r="C490" s="18"/>
      <c r="D490" s="19"/>
    </row>
    <row r="491" spans="1:4" x14ac:dyDescent="0.3">
      <c r="A491" s="20">
        <v>45450.907638999997</v>
      </c>
      <c r="B491" s="17">
        <v>63.068818999999998</v>
      </c>
      <c r="C491" s="18"/>
      <c r="D491" s="19"/>
    </row>
    <row r="492" spans="1:4" x14ac:dyDescent="0.3">
      <c r="A492" s="20">
        <v>45450.908332999999</v>
      </c>
      <c r="B492" s="17">
        <v>62.155313999999997</v>
      </c>
      <c r="C492" s="18"/>
      <c r="D492" s="19"/>
    </row>
    <row r="493" spans="1:4" x14ac:dyDescent="0.3">
      <c r="A493" s="20">
        <v>45450.909028000002</v>
      </c>
      <c r="B493" s="17">
        <v>62.651494999999997</v>
      </c>
      <c r="C493" s="18"/>
      <c r="D493" s="19"/>
    </row>
    <row r="494" spans="1:4" x14ac:dyDescent="0.3">
      <c r="A494" s="20">
        <v>45450.909721999997</v>
      </c>
      <c r="B494" s="17">
        <v>63.108708</v>
      </c>
      <c r="C494" s="18"/>
      <c r="D494" s="19"/>
    </row>
    <row r="495" spans="1:4" x14ac:dyDescent="0.3">
      <c r="A495" s="20">
        <v>45450.910416999999</v>
      </c>
      <c r="B495" s="17">
        <v>63.095103000000002</v>
      </c>
      <c r="C495" s="18"/>
      <c r="D495" s="19"/>
    </row>
    <row r="496" spans="1:4" x14ac:dyDescent="0.3">
      <c r="A496" s="20">
        <v>45450.911111000001</v>
      </c>
      <c r="B496" s="17">
        <v>62.401741000000001</v>
      </c>
      <c r="C496" s="18"/>
      <c r="D496" s="19"/>
    </row>
    <row r="497" spans="1:4" x14ac:dyDescent="0.3">
      <c r="A497" s="20">
        <v>45450.911805999996</v>
      </c>
      <c r="B497" s="17">
        <v>62.827924000000003</v>
      </c>
      <c r="C497" s="18"/>
      <c r="D497" s="19"/>
    </row>
    <row r="498" spans="1:4" x14ac:dyDescent="0.3">
      <c r="A498" s="20">
        <v>45450.912499999999</v>
      </c>
      <c r="B498" s="17">
        <v>63.569825999999999</v>
      </c>
      <c r="C498" s="18"/>
      <c r="D498" s="19"/>
    </row>
    <row r="499" spans="1:4" x14ac:dyDescent="0.3">
      <c r="A499" s="20">
        <v>45450.913194000001</v>
      </c>
      <c r="B499" s="17">
        <v>63.021265</v>
      </c>
      <c r="C499" s="18"/>
      <c r="D499" s="19"/>
    </row>
    <row r="500" spans="1:4" x14ac:dyDescent="0.3">
      <c r="A500" s="20">
        <v>45450.913889000003</v>
      </c>
      <c r="B500" s="17">
        <v>61.912547000000004</v>
      </c>
      <c r="C500" s="18"/>
      <c r="D500" s="19"/>
    </row>
    <row r="501" spans="1:4" x14ac:dyDescent="0.3">
      <c r="A501" s="20">
        <v>45450.914582999998</v>
      </c>
      <c r="B501" s="17">
        <v>62.749254000000001</v>
      </c>
      <c r="C501" s="18"/>
      <c r="D501" s="19"/>
    </row>
    <row r="502" spans="1:4" x14ac:dyDescent="0.3">
      <c r="A502" s="20">
        <v>45450.915278</v>
      </c>
      <c r="B502" s="17">
        <v>63.032316000000002</v>
      </c>
      <c r="C502" s="18"/>
      <c r="D502" s="19"/>
    </row>
    <row r="503" spans="1:4" x14ac:dyDescent="0.3">
      <c r="A503" s="20">
        <v>45450.915972000003</v>
      </c>
      <c r="B503" s="17">
        <v>62.237848999999997</v>
      </c>
      <c r="C503" s="18"/>
      <c r="D503" s="19"/>
    </row>
    <row r="504" spans="1:4" x14ac:dyDescent="0.3">
      <c r="A504" s="20">
        <v>45450.916666999998</v>
      </c>
      <c r="B504" s="17">
        <v>62.576971999999998</v>
      </c>
      <c r="C504" s="18"/>
      <c r="D504" s="19"/>
    </row>
    <row r="505" spans="1:4" x14ac:dyDescent="0.3">
      <c r="A505" s="20">
        <v>45450.917361</v>
      </c>
      <c r="B505" s="17">
        <v>62.220104999999997</v>
      </c>
      <c r="C505" s="18"/>
      <c r="D505" s="19"/>
    </row>
    <row r="506" spans="1:4" x14ac:dyDescent="0.3">
      <c r="A506" s="20">
        <v>45450.918056000002</v>
      </c>
      <c r="B506" s="17">
        <v>62.242113000000003</v>
      </c>
      <c r="C506" s="18"/>
      <c r="D506" s="19"/>
    </row>
    <row r="507" spans="1:4" x14ac:dyDescent="0.3">
      <c r="A507" s="20">
        <v>45450.918749999997</v>
      </c>
      <c r="B507" s="17">
        <v>62.665090999999997</v>
      </c>
      <c r="C507" s="18"/>
      <c r="D507" s="19"/>
    </row>
    <row r="508" spans="1:4" x14ac:dyDescent="0.3">
      <c r="A508" s="20">
        <v>45450.919443999999</v>
      </c>
      <c r="B508" s="17">
        <v>62.884630999999999</v>
      </c>
      <c r="C508" s="18"/>
      <c r="D508" s="19"/>
    </row>
    <row r="509" spans="1:4" x14ac:dyDescent="0.3">
      <c r="A509" s="20">
        <v>45450.920139000002</v>
      </c>
      <c r="B509" s="17">
        <v>62.391077000000003</v>
      </c>
      <c r="C509" s="18"/>
      <c r="D509" s="19"/>
    </row>
    <row r="510" spans="1:4" x14ac:dyDescent="0.3">
      <c r="A510" s="20">
        <v>45450.920832999996</v>
      </c>
      <c r="B510" s="17">
        <v>62.673577000000002</v>
      </c>
      <c r="C510" s="18"/>
      <c r="D510" s="19"/>
    </row>
    <row r="511" spans="1:4" x14ac:dyDescent="0.3">
      <c r="A511" s="20">
        <v>45450.921527999999</v>
      </c>
      <c r="B511" s="17">
        <v>62.643999999999998</v>
      </c>
      <c r="C511" s="18"/>
      <c r="D511" s="19"/>
    </row>
    <row r="512" spans="1:4" x14ac:dyDescent="0.3">
      <c r="A512" s="20">
        <v>45450.922222000001</v>
      </c>
      <c r="B512" s="17">
        <v>62.817720000000001</v>
      </c>
      <c r="C512" s="18"/>
      <c r="D512" s="19"/>
    </row>
    <row r="513" spans="1:4" x14ac:dyDescent="0.3">
      <c r="A513" s="20">
        <v>45450.922917000004</v>
      </c>
      <c r="B513" s="17">
        <v>61.989358000000003</v>
      </c>
      <c r="C513" s="18"/>
      <c r="D513" s="19"/>
    </row>
    <row r="514" spans="1:4" x14ac:dyDescent="0.3">
      <c r="A514" s="20">
        <v>45450.923610999998</v>
      </c>
      <c r="B514" s="17">
        <v>62.113382999999999</v>
      </c>
      <c r="C514" s="18"/>
      <c r="D514" s="19"/>
    </row>
    <row r="515" spans="1:4" x14ac:dyDescent="0.3">
      <c r="A515" s="20">
        <v>45450.924306000001</v>
      </c>
      <c r="B515" s="17">
        <v>62.381388000000001</v>
      </c>
      <c r="C515" s="18"/>
      <c r="D515" s="19"/>
    </row>
    <row r="516" spans="1:4" x14ac:dyDescent="0.3">
      <c r="A516" s="20">
        <v>45450.925000000003</v>
      </c>
      <c r="B516" s="17">
        <v>62.716343999999999</v>
      </c>
      <c r="C516" s="18"/>
      <c r="D516" s="19"/>
    </row>
    <row r="517" spans="1:4" x14ac:dyDescent="0.3">
      <c r="A517" s="20">
        <v>45450.925693999998</v>
      </c>
      <c r="B517" s="17">
        <v>62.171810000000001</v>
      </c>
      <c r="C517" s="18"/>
      <c r="D517" s="19"/>
    </row>
    <row r="518" spans="1:4" x14ac:dyDescent="0.3">
      <c r="A518" s="20">
        <v>45450.926389</v>
      </c>
      <c r="B518" s="17">
        <v>62.625484</v>
      </c>
      <c r="C518" s="18"/>
      <c r="D518" s="19"/>
    </row>
    <row r="519" spans="1:4" x14ac:dyDescent="0.3">
      <c r="A519" s="20">
        <v>45450.927083000002</v>
      </c>
      <c r="B519" s="17">
        <v>61.941087000000003</v>
      </c>
      <c r="C519" s="18"/>
      <c r="D519" s="19"/>
    </row>
    <row r="520" spans="1:4" x14ac:dyDescent="0.3">
      <c r="A520" s="20">
        <v>45450.927777999997</v>
      </c>
      <c r="B520" s="17">
        <v>62.502217000000002</v>
      </c>
      <c r="C520" s="18"/>
      <c r="D520" s="19"/>
    </row>
    <row r="521" spans="1:4" x14ac:dyDescent="0.3">
      <c r="A521" s="20">
        <v>45450.928472</v>
      </c>
      <c r="B521" s="17">
        <v>62.095143</v>
      </c>
      <c r="C521" s="18"/>
      <c r="D521" s="19"/>
    </row>
    <row r="522" spans="1:4" x14ac:dyDescent="0.3">
      <c r="A522" s="20">
        <v>45450.929167000002</v>
      </c>
      <c r="B522" s="17">
        <v>62.448594999999997</v>
      </c>
      <c r="C522" s="18"/>
      <c r="D522" s="19"/>
    </row>
    <row r="523" spans="1:4" x14ac:dyDescent="0.3">
      <c r="A523" s="20">
        <v>45450.929860999997</v>
      </c>
      <c r="B523" s="17">
        <v>62.608660999999998</v>
      </c>
      <c r="C523" s="18"/>
      <c r="D523" s="19"/>
    </row>
    <row r="524" spans="1:4" x14ac:dyDescent="0.3">
      <c r="A524" s="20">
        <v>45450.930555999999</v>
      </c>
      <c r="B524" s="17">
        <v>61.915399000000001</v>
      </c>
      <c r="C524" s="18"/>
      <c r="D524" s="19"/>
    </row>
    <row r="525" spans="1:4" x14ac:dyDescent="0.3">
      <c r="A525" s="20">
        <v>45450.931250000001</v>
      </c>
      <c r="B525" s="17">
        <v>62.349907000000002</v>
      </c>
      <c r="C525" s="18"/>
      <c r="D525" s="19"/>
    </row>
    <row r="526" spans="1:4" x14ac:dyDescent="0.3">
      <c r="A526" s="20">
        <v>45450.931944000004</v>
      </c>
      <c r="B526" s="17">
        <v>62.553542</v>
      </c>
      <c r="C526" s="18"/>
      <c r="D526" s="19"/>
    </row>
    <row r="527" spans="1:4" x14ac:dyDescent="0.3">
      <c r="A527" s="20">
        <v>45450.932638999999</v>
      </c>
      <c r="B527" s="17">
        <v>62.276195000000001</v>
      </c>
      <c r="C527" s="18"/>
      <c r="D527" s="19"/>
    </row>
    <row r="528" spans="1:4" x14ac:dyDescent="0.3">
      <c r="A528" s="20">
        <v>45450.933333000001</v>
      </c>
      <c r="B528" s="17">
        <v>62.395235</v>
      </c>
      <c r="C528" s="18"/>
      <c r="D528" s="19"/>
    </row>
    <row r="529" spans="1:4" x14ac:dyDescent="0.3">
      <c r="A529" s="20">
        <v>45450.934028000003</v>
      </c>
      <c r="B529" s="17">
        <v>62.620575000000002</v>
      </c>
      <c r="C529" s="18"/>
      <c r="D529" s="19"/>
    </row>
    <row r="530" spans="1:4" x14ac:dyDescent="0.3">
      <c r="A530" s="20">
        <v>45450.934721999998</v>
      </c>
      <c r="B530" s="17">
        <v>62.350099999999998</v>
      </c>
      <c r="C530" s="18"/>
      <c r="D530" s="19"/>
    </row>
    <row r="531" spans="1:4" x14ac:dyDescent="0.3">
      <c r="A531" s="20">
        <v>45450.935417000001</v>
      </c>
      <c r="B531" s="17">
        <v>62.582931000000002</v>
      </c>
      <c r="C531" s="18"/>
      <c r="D531" s="19"/>
    </row>
    <row r="532" spans="1:4" x14ac:dyDescent="0.3">
      <c r="A532" s="20">
        <v>45450.936111000003</v>
      </c>
      <c r="B532" s="17">
        <v>61.912019999999998</v>
      </c>
      <c r="C532" s="18"/>
      <c r="D532" s="19"/>
    </row>
    <row r="533" spans="1:4" x14ac:dyDescent="0.3">
      <c r="A533" s="20">
        <v>45450.936805999998</v>
      </c>
      <c r="B533" s="17">
        <v>61.918354999999998</v>
      </c>
      <c r="C533" s="18"/>
      <c r="D533" s="19"/>
    </row>
    <row r="534" spans="1:4" x14ac:dyDescent="0.3">
      <c r="A534" s="20">
        <v>45450.9375</v>
      </c>
      <c r="B534" s="17">
        <v>63.056837999999999</v>
      </c>
      <c r="C534" s="18"/>
      <c r="D534" s="19"/>
    </row>
    <row r="535" spans="1:4" x14ac:dyDescent="0.3">
      <c r="A535" s="20">
        <v>45450.938194000002</v>
      </c>
      <c r="B535" s="17">
        <v>62.438685999999997</v>
      </c>
      <c r="C535" s="18"/>
      <c r="D535" s="19"/>
    </row>
    <row r="536" spans="1:4" x14ac:dyDescent="0.3">
      <c r="A536" s="20">
        <v>45450.938888999997</v>
      </c>
      <c r="B536" s="17">
        <v>62.975470000000001</v>
      </c>
      <c r="C536" s="18"/>
      <c r="D536" s="19"/>
    </row>
    <row r="537" spans="1:4" x14ac:dyDescent="0.3">
      <c r="A537" s="20">
        <v>45450.939582999999</v>
      </c>
      <c r="B537" s="17">
        <v>62.502937000000003</v>
      </c>
      <c r="C537" s="18"/>
      <c r="D537" s="19"/>
    </row>
    <row r="538" spans="1:4" x14ac:dyDescent="0.3">
      <c r="A538" s="20">
        <v>45450.940278000002</v>
      </c>
      <c r="B538" s="17">
        <v>62.345001000000003</v>
      </c>
      <c r="C538" s="18"/>
      <c r="D538" s="19"/>
    </row>
    <row r="539" spans="1:4" x14ac:dyDescent="0.3">
      <c r="A539" s="20">
        <v>45450.940971999997</v>
      </c>
      <c r="B539" s="17">
        <v>62.280248999999998</v>
      </c>
      <c r="C539" s="18"/>
      <c r="D539" s="19"/>
    </row>
    <row r="540" spans="1:4" x14ac:dyDescent="0.3">
      <c r="A540" s="20">
        <v>45450.941666999999</v>
      </c>
      <c r="B540" s="17">
        <v>62.060312000000003</v>
      </c>
      <c r="C540" s="18"/>
      <c r="D540" s="19"/>
    </row>
    <row r="541" spans="1:4" x14ac:dyDescent="0.3">
      <c r="A541" s="20">
        <v>45450.942361000001</v>
      </c>
      <c r="B541" s="17">
        <v>63.066744</v>
      </c>
      <c r="C541" s="18"/>
      <c r="D541" s="19"/>
    </row>
    <row r="542" spans="1:4" x14ac:dyDescent="0.3">
      <c r="A542" s="20">
        <v>45450.943055999996</v>
      </c>
      <c r="B542" s="17">
        <v>62.426470999999999</v>
      </c>
      <c r="C542" s="18"/>
      <c r="D542" s="19"/>
    </row>
    <row r="543" spans="1:4" x14ac:dyDescent="0.3">
      <c r="A543" s="20">
        <v>45450.943749999999</v>
      </c>
      <c r="B543" s="17">
        <v>62.237641000000004</v>
      </c>
      <c r="C543" s="18"/>
      <c r="D543" s="19"/>
    </row>
    <row r="544" spans="1:4" x14ac:dyDescent="0.3">
      <c r="A544" s="20">
        <v>45450.944444000001</v>
      </c>
      <c r="B544" s="17">
        <v>62.690806000000002</v>
      </c>
      <c r="C544" s="18"/>
      <c r="D544" s="19"/>
    </row>
    <row r="545" spans="1:4" x14ac:dyDescent="0.3">
      <c r="A545" s="20">
        <v>45450.945139000003</v>
      </c>
      <c r="B545" s="17">
        <v>62.635641</v>
      </c>
      <c r="C545" s="18"/>
      <c r="D545" s="19"/>
    </row>
    <row r="546" spans="1:4" x14ac:dyDescent="0.3">
      <c r="A546" s="20">
        <v>45450.945832999998</v>
      </c>
      <c r="B546" s="17">
        <v>62.557603</v>
      </c>
      <c r="C546" s="18"/>
      <c r="D546" s="19"/>
    </row>
    <row r="547" spans="1:4" x14ac:dyDescent="0.3">
      <c r="A547" s="20">
        <v>45450.946528</v>
      </c>
      <c r="B547" s="17">
        <v>62.712100999999997</v>
      </c>
      <c r="C547" s="18"/>
      <c r="D547" s="19"/>
    </row>
    <row r="548" spans="1:4" x14ac:dyDescent="0.3">
      <c r="A548" s="20">
        <v>45450.947222000003</v>
      </c>
      <c r="B548" s="17">
        <v>62.370533000000002</v>
      </c>
      <c r="C548" s="18"/>
      <c r="D548" s="19"/>
    </row>
    <row r="549" spans="1:4" x14ac:dyDescent="0.3">
      <c r="A549" s="20">
        <v>45450.947916999998</v>
      </c>
      <c r="B549" s="17">
        <v>62.373857000000001</v>
      </c>
      <c r="C549" s="18"/>
      <c r="D549" s="19"/>
    </row>
    <row r="550" spans="1:4" x14ac:dyDescent="0.3">
      <c r="A550" s="20">
        <v>45450.948611</v>
      </c>
      <c r="B550" s="17">
        <v>62.330674000000002</v>
      </c>
      <c r="C550" s="18"/>
      <c r="D550" s="19"/>
    </row>
    <row r="551" spans="1:4" x14ac:dyDescent="0.3">
      <c r="A551" s="20">
        <v>45450.949306000002</v>
      </c>
      <c r="B551" s="17">
        <v>62.234236000000003</v>
      </c>
      <c r="C551" s="18"/>
      <c r="D551" s="19"/>
    </row>
    <row r="552" spans="1:4" x14ac:dyDescent="0.3">
      <c r="A552" s="20">
        <v>45450.95</v>
      </c>
      <c r="B552" s="17">
        <v>62.803992999999998</v>
      </c>
      <c r="C552" s="18"/>
      <c r="D552" s="19"/>
    </row>
    <row r="553" spans="1:4" x14ac:dyDescent="0.3">
      <c r="A553" s="20">
        <v>45450.950693999999</v>
      </c>
      <c r="B553" s="17">
        <v>62.331966000000001</v>
      </c>
      <c r="C553" s="18"/>
      <c r="D553" s="19"/>
    </row>
    <row r="554" spans="1:4" x14ac:dyDescent="0.3">
      <c r="A554" s="20">
        <v>45450.951389000002</v>
      </c>
      <c r="B554" s="17">
        <v>62.916131999999998</v>
      </c>
      <c r="C554" s="18"/>
      <c r="D554" s="19"/>
    </row>
    <row r="555" spans="1:4" x14ac:dyDescent="0.3">
      <c r="A555" s="20">
        <v>45450.952082999996</v>
      </c>
      <c r="B555" s="17">
        <v>62.176917000000003</v>
      </c>
      <c r="C555" s="18"/>
      <c r="D555" s="19"/>
    </row>
    <row r="556" spans="1:4" x14ac:dyDescent="0.3">
      <c r="A556" s="20">
        <v>45450.952777999999</v>
      </c>
      <c r="B556" s="17">
        <v>62.102589000000002</v>
      </c>
      <c r="C556" s="18"/>
      <c r="D556" s="19"/>
    </row>
    <row r="557" spans="1:4" x14ac:dyDescent="0.3">
      <c r="A557" s="20">
        <v>45450.953472000001</v>
      </c>
      <c r="B557" s="17">
        <v>63.070231</v>
      </c>
      <c r="C557" s="18"/>
      <c r="D557" s="19"/>
    </row>
    <row r="558" spans="1:4" x14ac:dyDescent="0.3">
      <c r="A558" s="20">
        <v>45450.954167000004</v>
      </c>
      <c r="B558" s="17">
        <v>63.669488999999999</v>
      </c>
      <c r="C558" s="18"/>
      <c r="D558" s="19"/>
    </row>
    <row r="559" spans="1:4" x14ac:dyDescent="0.3">
      <c r="A559" s="20">
        <v>45450.954860999998</v>
      </c>
      <c r="B559" s="17">
        <v>64.040773999999999</v>
      </c>
      <c r="C559" s="18"/>
      <c r="D559" s="19"/>
    </row>
    <row r="560" spans="1:4" x14ac:dyDescent="0.3">
      <c r="A560" s="20">
        <v>45450.955556000001</v>
      </c>
      <c r="B560" s="17">
        <v>64.196217000000004</v>
      </c>
      <c r="C560" s="18"/>
      <c r="D560" s="19"/>
    </row>
    <row r="561" spans="1:4" x14ac:dyDescent="0.3">
      <c r="A561" s="20">
        <v>45450.956250000003</v>
      </c>
      <c r="B561" s="17">
        <v>64.138025999999996</v>
      </c>
      <c r="C561" s="18"/>
      <c r="D561" s="19"/>
    </row>
    <row r="562" spans="1:4" x14ac:dyDescent="0.3">
      <c r="A562" s="20">
        <v>45450.956943999998</v>
      </c>
      <c r="B562" s="17">
        <v>64.542370000000005</v>
      </c>
      <c r="C562" s="18"/>
      <c r="D562" s="19"/>
    </row>
    <row r="563" spans="1:4" x14ac:dyDescent="0.3">
      <c r="A563" s="20">
        <v>45450.957639</v>
      </c>
      <c r="B563" s="17">
        <v>64.782662999999999</v>
      </c>
      <c r="C563" s="18"/>
      <c r="D563" s="19"/>
    </row>
    <row r="564" spans="1:4" x14ac:dyDescent="0.3">
      <c r="A564" s="20">
        <v>45450.958333000002</v>
      </c>
      <c r="B564" s="17">
        <v>64.584871000000007</v>
      </c>
      <c r="C564" s="18"/>
      <c r="D564" s="19"/>
    </row>
    <row r="565" spans="1:4" x14ac:dyDescent="0.3">
      <c r="A565" s="20">
        <v>45450.959027999997</v>
      </c>
      <c r="B565" s="17">
        <v>63.947907999999998</v>
      </c>
      <c r="C565" s="18"/>
      <c r="D565" s="19"/>
    </row>
    <row r="566" spans="1:4" x14ac:dyDescent="0.3">
      <c r="A566" s="20">
        <v>45450.959722</v>
      </c>
      <c r="B566" s="17">
        <v>63.784416999999998</v>
      </c>
      <c r="C566" s="18"/>
      <c r="D566" s="19"/>
    </row>
    <row r="567" spans="1:4" x14ac:dyDescent="0.3">
      <c r="A567" s="20">
        <v>45450.960417000002</v>
      </c>
      <c r="B567" s="17">
        <v>64.002345000000005</v>
      </c>
      <c r="C567" s="18"/>
      <c r="D567" s="19"/>
    </row>
    <row r="568" spans="1:4" x14ac:dyDescent="0.3">
      <c r="A568" s="20">
        <v>45450.961110999997</v>
      </c>
      <c r="B568" s="17">
        <v>63.439779000000001</v>
      </c>
      <c r="C568" s="18"/>
      <c r="D568" s="19"/>
    </row>
    <row r="569" spans="1:4" x14ac:dyDescent="0.3">
      <c r="A569" s="20">
        <v>45450.961805999999</v>
      </c>
      <c r="B569" s="17">
        <v>63.962921999999999</v>
      </c>
      <c r="C569" s="18"/>
      <c r="D569" s="19"/>
    </row>
    <row r="570" spans="1:4" x14ac:dyDescent="0.3">
      <c r="A570" s="20">
        <v>45450.962500000001</v>
      </c>
      <c r="B570" s="17">
        <v>64.307472000000004</v>
      </c>
      <c r="C570" s="18"/>
      <c r="D570" s="19"/>
    </row>
    <row r="571" spans="1:4" x14ac:dyDescent="0.3">
      <c r="A571" s="20">
        <v>45450.963194000004</v>
      </c>
      <c r="B571" s="17">
        <v>64.057430999999994</v>
      </c>
      <c r="C571" s="18"/>
      <c r="D571" s="19"/>
    </row>
    <row r="572" spans="1:4" x14ac:dyDescent="0.3">
      <c r="A572" s="20">
        <v>45450.963888999999</v>
      </c>
      <c r="B572" s="17">
        <v>64.227509999999995</v>
      </c>
      <c r="C572" s="18"/>
      <c r="D572" s="19"/>
    </row>
    <row r="573" spans="1:4" x14ac:dyDescent="0.3">
      <c r="A573" s="20">
        <v>45450.964583000001</v>
      </c>
      <c r="B573" s="17">
        <v>63.900475999999998</v>
      </c>
      <c r="C573" s="18"/>
      <c r="D573" s="19"/>
    </row>
    <row r="574" spans="1:4" x14ac:dyDescent="0.3">
      <c r="A574" s="20">
        <v>45450.965278000003</v>
      </c>
      <c r="B574" s="17">
        <v>63.367632999999998</v>
      </c>
      <c r="C574" s="18"/>
      <c r="D574" s="19"/>
    </row>
    <row r="575" spans="1:4" x14ac:dyDescent="0.3">
      <c r="A575" s="20">
        <v>45450.965971999998</v>
      </c>
      <c r="B575" s="17">
        <v>63.229970000000002</v>
      </c>
      <c r="C575" s="18"/>
      <c r="D575" s="19"/>
    </row>
    <row r="576" spans="1:4" x14ac:dyDescent="0.3">
      <c r="A576" s="20">
        <v>45450.966667000001</v>
      </c>
      <c r="B576" s="17">
        <v>63.763916999999999</v>
      </c>
      <c r="C576" s="18"/>
      <c r="D576" s="19"/>
    </row>
    <row r="577" spans="1:4" x14ac:dyDescent="0.3">
      <c r="A577" s="20">
        <v>45450.967361000003</v>
      </c>
      <c r="B577" s="17">
        <v>63.811326999999999</v>
      </c>
      <c r="C577" s="18"/>
      <c r="D577" s="19"/>
    </row>
    <row r="578" spans="1:4" x14ac:dyDescent="0.3">
      <c r="A578" s="20">
        <v>45450.968055999998</v>
      </c>
      <c r="B578" s="17">
        <v>64.449748999999997</v>
      </c>
      <c r="C578" s="18"/>
      <c r="D578" s="19"/>
    </row>
    <row r="579" spans="1:4" x14ac:dyDescent="0.3">
      <c r="A579" s="20">
        <v>45450.96875</v>
      </c>
      <c r="B579" s="17">
        <v>63.945973000000002</v>
      </c>
      <c r="C579" s="18"/>
      <c r="D579" s="19"/>
    </row>
    <row r="580" spans="1:4" x14ac:dyDescent="0.3">
      <c r="A580" s="20">
        <v>45450.969444000002</v>
      </c>
      <c r="B580" s="17">
        <v>63.510131000000001</v>
      </c>
      <c r="C580" s="18"/>
      <c r="D580" s="19"/>
    </row>
    <row r="581" spans="1:4" x14ac:dyDescent="0.3">
      <c r="A581" s="20">
        <v>45450.970138999997</v>
      </c>
      <c r="B581" s="17">
        <v>63.285262000000003</v>
      </c>
      <c r="C581" s="18"/>
      <c r="D581" s="19"/>
    </row>
    <row r="582" spans="1:4" x14ac:dyDescent="0.3">
      <c r="A582" s="20">
        <v>45450.970832999999</v>
      </c>
      <c r="B582" s="17">
        <v>64.240441000000004</v>
      </c>
      <c r="C582" s="18"/>
      <c r="D582" s="19"/>
    </row>
    <row r="583" spans="1:4" x14ac:dyDescent="0.3">
      <c r="A583" s="20">
        <v>45450.971528000002</v>
      </c>
      <c r="B583" s="17">
        <v>63.878328000000003</v>
      </c>
      <c r="C583" s="18"/>
      <c r="D583" s="19"/>
    </row>
    <row r="584" spans="1:4" x14ac:dyDescent="0.3">
      <c r="A584" s="20">
        <v>45450.972221999997</v>
      </c>
      <c r="B584" s="17">
        <v>63.519101999999997</v>
      </c>
      <c r="C584" s="18"/>
      <c r="D584" s="19"/>
    </row>
    <row r="585" spans="1:4" x14ac:dyDescent="0.3">
      <c r="A585" s="20">
        <v>45450.972916999999</v>
      </c>
      <c r="B585" s="17">
        <v>63.974685000000001</v>
      </c>
      <c r="C585" s="18"/>
      <c r="D585" s="19"/>
    </row>
    <row r="586" spans="1:4" x14ac:dyDescent="0.3">
      <c r="A586" s="20">
        <v>45450.973611000001</v>
      </c>
      <c r="B586" s="17">
        <v>64.072694999999996</v>
      </c>
      <c r="C586" s="18"/>
      <c r="D586" s="19"/>
    </row>
    <row r="587" spans="1:4" x14ac:dyDescent="0.3">
      <c r="A587" s="20">
        <v>45450.974305999996</v>
      </c>
      <c r="B587" s="17">
        <v>64.197906000000003</v>
      </c>
      <c r="C587" s="18"/>
      <c r="D587" s="19"/>
    </row>
    <row r="588" spans="1:4" x14ac:dyDescent="0.3">
      <c r="A588" s="20">
        <v>45450.974999999999</v>
      </c>
      <c r="B588" s="17">
        <v>63.629480000000001</v>
      </c>
      <c r="C588" s="18"/>
      <c r="D588" s="19"/>
    </row>
    <row r="589" spans="1:4" x14ac:dyDescent="0.3">
      <c r="A589" s="20">
        <v>45450.975694000001</v>
      </c>
      <c r="B589" s="17">
        <v>63.86645</v>
      </c>
      <c r="C589" s="18"/>
      <c r="D589" s="19"/>
    </row>
    <row r="590" spans="1:4" x14ac:dyDescent="0.3">
      <c r="A590" s="20">
        <v>45450.976389000003</v>
      </c>
      <c r="B590" s="17">
        <v>63.414791999999998</v>
      </c>
      <c r="C590" s="18"/>
      <c r="D590" s="19"/>
    </row>
    <row r="591" spans="1:4" x14ac:dyDescent="0.3">
      <c r="A591" s="20">
        <v>45450.977082999998</v>
      </c>
      <c r="B591" s="17">
        <v>63.858395000000002</v>
      </c>
      <c r="C591" s="18"/>
      <c r="D591" s="19"/>
    </row>
    <row r="592" spans="1:4" x14ac:dyDescent="0.3">
      <c r="A592" s="20">
        <v>45450.977778</v>
      </c>
      <c r="B592" s="17">
        <v>63.385821999999997</v>
      </c>
      <c r="C592" s="18"/>
      <c r="D592" s="19"/>
    </row>
    <row r="593" spans="1:4" x14ac:dyDescent="0.3">
      <c r="A593" s="20">
        <v>45450.978472000003</v>
      </c>
      <c r="B593" s="17">
        <v>63.806641999999997</v>
      </c>
      <c r="C593" s="18"/>
      <c r="D593" s="19"/>
    </row>
    <row r="594" spans="1:4" x14ac:dyDescent="0.3">
      <c r="A594" s="20">
        <v>45450.979166999998</v>
      </c>
      <c r="B594" s="17">
        <v>63.766264999999997</v>
      </c>
      <c r="C594" s="18"/>
      <c r="D594" s="19"/>
    </row>
    <row r="595" spans="1:4" x14ac:dyDescent="0.3">
      <c r="A595" s="20">
        <v>45450.979861</v>
      </c>
      <c r="B595" s="17">
        <v>63.754041999999998</v>
      </c>
      <c r="C595" s="18"/>
      <c r="D595" s="19"/>
    </row>
    <row r="596" spans="1:4" x14ac:dyDescent="0.3">
      <c r="A596" s="20">
        <v>45450.980556000002</v>
      </c>
      <c r="B596" s="17">
        <v>63.369908000000002</v>
      </c>
      <c r="C596" s="18"/>
      <c r="D596" s="19"/>
    </row>
    <row r="597" spans="1:4" x14ac:dyDescent="0.3">
      <c r="A597" s="20">
        <v>45450.981249999997</v>
      </c>
      <c r="B597" s="17">
        <v>63.497439999999997</v>
      </c>
      <c r="C597" s="18"/>
      <c r="D597" s="19"/>
    </row>
    <row r="598" spans="1:4" x14ac:dyDescent="0.3">
      <c r="A598" s="20">
        <v>45450.981943999999</v>
      </c>
      <c r="B598" s="17">
        <v>63.397587000000001</v>
      </c>
      <c r="C598" s="18"/>
      <c r="D598" s="19"/>
    </row>
    <row r="599" spans="1:4" x14ac:dyDescent="0.3">
      <c r="A599" s="20">
        <v>45450.982639000002</v>
      </c>
      <c r="B599" s="17">
        <v>64.337654999999998</v>
      </c>
      <c r="C599" s="18"/>
      <c r="D599" s="19"/>
    </row>
    <row r="600" spans="1:4" x14ac:dyDescent="0.3">
      <c r="A600" s="20">
        <v>45450.983332999996</v>
      </c>
      <c r="B600" s="17">
        <v>62.890618000000003</v>
      </c>
      <c r="C600" s="18"/>
      <c r="D600" s="19"/>
    </row>
    <row r="601" spans="1:4" x14ac:dyDescent="0.3">
      <c r="A601" s="20">
        <v>45450.984027999999</v>
      </c>
      <c r="B601" s="17">
        <v>63.510123</v>
      </c>
      <c r="C601" s="18"/>
      <c r="D601" s="19"/>
    </row>
    <row r="602" spans="1:4" x14ac:dyDescent="0.3">
      <c r="A602" s="20">
        <v>45450.984722000001</v>
      </c>
      <c r="B602" s="17">
        <v>64.479488000000003</v>
      </c>
      <c r="C602" s="18"/>
      <c r="D602" s="19"/>
    </row>
    <row r="603" spans="1:4" x14ac:dyDescent="0.3">
      <c r="A603" s="20">
        <v>45450.985417000004</v>
      </c>
      <c r="B603" s="17">
        <v>63.320239000000001</v>
      </c>
      <c r="C603" s="18"/>
      <c r="D603" s="19"/>
    </row>
    <row r="604" spans="1:4" x14ac:dyDescent="0.3">
      <c r="A604" s="20">
        <v>45450.986110999998</v>
      </c>
      <c r="B604" s="17">
        <v>63.566752999999999</v>
      </c>
      <c r="C604" s="18"/>
      <c r="D604" s="19"/>
    </row>
    <row r="605" spans="1:4" x14ac:dyDescent="0.3">
      <c r="A605" s="20">
        <v>45450.986806000001</v>
      </c>
      <c r="B605" s="17">
        <v>63.526404999999997</v>
      </c>
      <c r="C605" s="18"/>
      <c r="D605" s="19"/>
    </row>
    <row r="606" spans="1:4" x14ac:dyDescent="0.3">
      <c r="A606" s="20">
        <v>45450.987500000003</v>
      </c>
      <c r="B606" s="17">
        <v>63.298901000000001</v>
      </c>
      <c r="C606" s="18"/>
      <c r="D606" s="19"/>
    </row>
    <row r="607" spans="1:4" x14ac:dyDescent="0.3">
      <c r="A607" s="20">
        <v>45450.988193999998</v>
      </c>
      <c r="B607" s="17">
        <v>63.988115999999998</v>
      </c>
      <c r="C607" s="18"/>
      <c r="D607" s="19"/>
    </row>
    <row r="608" spans="1:4" x14ac:dyDescent="0.3">
      <c r="A608" s="20">
        <v>45450.988889</v>
      </c>
      <c r="B608" s="17">
        <v>64.404999000000004</v>
      </c>
      <c r="C608" s="18"/>
      <c r="D608" s="19"/>
    </row>
    <row r="609" spans="1:4" x14ac:dyDescent="0.3">
      <c r="A609" s="20">
        <v>45450.989583000002</v>
      </c>
      <c r="B609" s="17">
        <v>63.932222000000003</v>
      </c>
      <c r="C609" s="18"/>
      <c r="D609" s="19"/>
    </row>
    <row r="610" spans="1:4" x14ac:dyDescent="0.3">
      <c r="A610" s="20">
        <v>45450.990277999997</v>
      </c>
      <c r="B610" s="17">
        <v>63.093060000000001</v>
      </c>
      <c r="C610" s="18"/>
      <c r="D610" s="19"/>
    </row>
    <row r="611" spans="1:4" x14ac:dyDescent="0.3">
      <c r="A611" s="20">
        <v>45450.990972</v>
      </c>
      <c r="B611" s="17">
        <v>63.675851999999999</v>
      </c>
      <c r="C611" s="18"/>
      <c r="D611" s="19"/>
    </row>
    <row r="612" spans="1:4" x14ac:dyDescent="0.3">
      <c r="A612" s="20">
        <v>45450.991667000002</v>
      </c>
      <c r="B612" s="17">
        <v>63.068117999999998</v>
      </c>
      <c r="C612" s="18"/>
      <c r="D612" s="19"/>
    </row>
    <row r="613" spans="1:4" x14ac:dyDescent="0.3">
      <c r="A613" s="20">
        <v>45450.992360999997</v>
      </c>
      <c r="B613" s="17">
        <v>63.814405000000001</v>
      </c>
      <c r="C613" s="18"/>
      <c r="D613" s="19"/>
    </row>
    <row r="614" spans="1:4" x14ac:dyDescent="0.3">
      <c r="A614" s="20">
        <v>45450.993055999999</v>
      </c>
      <c r="B614" s="17">
        <v>63.68535</v>
      </c>
      <c r="C614" s="18"/>
      <c r="D614" s="19"/>
    </row>
    <row r="615" spans="1:4" x14ac:dyDescent="0.3">
      <c r="A615" s="20">
        <v>45450.993750000001</v>
      </c>
      <c r="B615" s="17">
        <v>63.549183999999997</v>
      </c>
      <c r="C615" s="18"/>
      <c r="D615" s="19"/>
    </row>
    <row r="616" spans="1:4" x14ac:dyDescent="0.3">
      <c r="A616" s="20">
        <v>45450.994444000004</v>
      </c>
      <c r="B616" s="17">
        <v>63.20496</v>
      </c>
      <c r="C616" s="18"/>
      <c r="D616" s="19"/>
    </row>
    <row r="617" spans="1:4" x14ac:dyDescent="0.3">
      <c r="A617" s="20">
        <v>45450.995138999999</v>
      </c>
      <c r="B617" s="17">
        <v>63.382818</v>
      </c>
      <c r="C617" s="18"/>
      <c r="D617" s="19"/>
    </row>
    <row r="618" spans="1:4" x14ac:dyDescent="0.3">
      <c r="A618" s="20">
        <v>45450.995833000001</v>
      </c>
      <c r="B618" s="17">
        <v>63.720930000000003</v>
      </c>
      <c r="C618" s="18"/>
      <c r="D618" s="19"/>
    </row>
    <row r="619" spans="1:4" x14ac:dyDescent="0.3">
      <c r="A619" s="20">
        <v>45450.996528000003</v>
      </c>
      <c r="B619" s="17">
        <v>64.232968999999997</v>
      </c>
      <c r="C619" s="18"/>
      <c r="D619" s="19"/>
    </row>
    <row r="620" spans="1:4" x14ac:dyDescent="0.3">
      <c r="A620" s="20">
        <v>45450.997221999998</v>
      </c>
      <c r="B620" s="17">
        <v>63.592517000000001</v>
      </c>
      <c r="C620" s="18"/>
      <c r="D620" s="19"/>
    </row>
    <row r="621" spans="1:4" x14ac:dyDescent="0.3">
      <c r="A621" s="20">
        <v>45450.997917000001</v>
      </c>
      <c r="B621" s="17">
        <v>63.426920000000003</v>
      </c>
      <c r="C621" s="18"/>
      <c r="D621" s="19"/>
    </row>
    <row r="622" spans="1:4" x14ac:dyDescent="0.3">
      <c r="A622" s="20">
        <v>45450.998611000003</v>
      </c>
      <c r="B622" s="17">
        <v>63.630786000000001</v>
      </c>
      <c r="C622" s="18"/>
      <c r="D622" s="19"/>
    </row>
    <row r="623" spans="1:4" x14ac:dyDescent="0.3">
      <c r="A623" s="20">
        <v>45450.999305999998</v>
      </c>
      <c r="B623" s="17">
        <v>63.676478000000003</v>
      </c>
      <c r="C623" s="18"/>
      <c r="D623" s="19"/>
    </row>
    <row r="624" spans="1:4" x14ac:dyDescent="0.3">
      <c r="A624" s="20">
        <v>45451</v>
      </c>
      <c r="B624" s="17">
        <v>63.342874999999999</v>
      </c>
      <c r="C624" s="18"/>
      <c r="D624" s="19"/>
    </row>
    <row r="625" spans="1:4" x14ac:dyDescent="0.3">
      <c r="A625" s="20">
        <v>45451.000694000002</v>
      </c>
      <c r="B625" s="17">
        <v>63.618481000000003</v>
      </c>
      <c r="C625" s="18"/>
      <c r="D625" s="19"/>
    </row>
    <row r="626" spans="1:4" x14ac:dyDescent="0.3">
      <c r="A626" s="20">
        <v>45451.001388999997</v>
      </c>
      <c r="B626" s="17">
        <v>63.282803000000001</v>
      </c>
      <c r="C626" s="18"/>
      <c r="D626" s="19"/>
    </row>
    <row r="627" spans="1:4" x14ac:dyDescent="0.3">
      <c r="A627" s="20">
        <v>45451.002082999999</v>
      </c>
      <c r="B627" s="17">
        <v>63.805098000000001</v>
      </c>
      <c r="C627" s="18"/>
      <c r="D627" s="19"/>
    </row>
    <row r="628" spans="1:4" x14ac:dyDescent="0.3">
      <c r="A628" s="20">
        <v>45451.002778000002</v>
      </c>
      <c r="B628" s="17">
        <v>63.511229999999998</v>
      </c>
      <c r="C628" s="18"/>
      <c r="D628" s="19"/>
    </row>
    <row r="629" spans="1:4" x14ac:dyDescent="0.3">
      <c r="A629" s="20">
        <v>45451.003471999997</v>
      </c>
      <c r="B629" s="17">
        <v>63.561779999999999</v>
      </c>
      <c r="C629" s="18"/>
      <c r="D629" s="19"/>
    </row>
    <row r="630" spans="1:4" x14ac:dyDescent="0.3">
      <c r="A630" s="20">
        <v>45451.004166999999</v>
      </c>
      <c r="B630" s="17">
        <v>63.887307999999997</v>
      </c>
      <c r="C630" s="18"/>
      <c r="D630" s="19"/>
    </row>
    <row r="631" spans="1:4" x14ac:dyDescent="0.3">
      <c r="A631" s="20">
        <v>45451.004861000001</v>
      </c>
      <c r="B631" s="17">
        <v>63.702007999999999</v>
      </c>
      <c r="C631" s="18"/>
      <c r="D631" s="19"/>
    </row>
    <row r="632" spans="1:4" x14ac:dyDescent="0.3">
      <c r="A632" s="20">
        <v>45451.005555999996</v>
      </c>
      <c r="B632" s="17">
        <v>63.862685999999997</v>
      </c>
      <c r="C632" s="18"/>
      <c r="D632" s="19"/>
    </row>
    <row r="633" spans="1:4" x14ac:dyDescent="0.3">
      <c r="A633" s="20">
        <v>45451.006249999999</v>
      </c>
      <c r="B633" s="17">
        <v>63.857433</v>
      </c>
      <c r="C633" s="18"/>
      <c r="D633" s="19"/>
    </row>
    <row r="634" spans="1:4" x14ac:dyDescent="0.3">
      <c r="A634" s="20">
        <v>45451.006944000001</v>
      </c>
      <c r="B634" s="17">
        <v>63.473382000000001</v>
      </c>
      <c r="C634" s="18"/>
      <c r="D634" s="19"/>
    </row>
    <row r="635" spans="1:4" x14ac:dyDescent="0.3">
      <c r="A635" s="20">
        <v>45451.007639000003</v>
      </c>
      <c r="B635" s="17">
        <v>62.856406</v>
      </c>
      <c r="C635" s="18"/>
      <c r="D635" s="19"/>
    </row>
    <row r="636" spans="1:4" x14ac:dyDescent="0.3">
      <c r="A636" s="20">
        <v>45451.008332999998</v>
      </c>
      <c r="B636" s="17">
        <v>63.44012</v>
      </c>
      <c r="C636" s="18"/>
      <c r="D636" s="19"/>
    </row>
    <row r="637" spans="1:4" x14ac:dyDescent="0.3">
      <c r="A637" s="20">
        <v>45451.009028</v>
      </c>
      <c r="B637" s="17">
        <v>63.625027000000003</v>
      </c>
      <c r="C637" s="18"/>
      <c r="D637" s="19"/>
    </row>
    <row r="638" spans="1:4" x14ac:dyDescent="0.3">
      <c r="A638" s="20">
        <v>45451.009722000003</v>
      </c>
      <c r="B638" s="17">
        <v>63.314652000000002</v>
      </c>
      <c r="C638" s="18"/>
      <c r="D638" s="19"/>
    </row>
    <row r="639" spans="1:4" x14ac:dyDescent="0.3">
      <c r="A639" s="20">
        <v>45451.010416999998</v>
      </c>
      <c r="B639" s="17">
        <v>63.339844999999997</v>
      </c>
      <c r="C639" s="18"/>
      <c r="D639" s="19"/>
    </row>
    <row r="640" spans="1:4" x14ac:dyDescent="0.3">
      <c r="A640" s="20">
        <v>45451.011111</v>
      </c>
      <c r="B640" s="17">
        <v>63.718490000000003</v>
      </c>
      <c r="C640" s="18"/>
      <c r="D640" s="19"/>
    </row>
    <row r="641" spans="1:4" x14ac:dyDescent="0.3">
      <c r="A641" s="20">
        <v>45451.011806000002</v>
      </c>
      <c r="B641" s="17">
        <v>63.724961999999998</v>
      </c>
      <c r="C641" s="18"/>
      <c r="D641" s="19"/>
    </row>
    <row r="642" spans="1:4" x14ac:dyDescent="0.3">
      <c r="A642" s="20">
        <v>45451.012499999997</v>
      </c>
      <c r="B642" s="17">
        <v>63.455483999999998</v>
      </c>
      <c r="C642" s="18"/>
      <c r="D642" s="19"/>
    </row>
    <row r="643" spans="1:4" x14ac:dyDescent="0.3">
      <c r="A643" s="20">
        <v>45451.013193999999</v>
      </c>
      <c r="B643" s="17">
        <v>63.481715000000001</v>
      </c>
      <c r="C643" s="18"/>
      <c r="D643" s="19"/>
    </row>
    <row r="644" spans="1:4" x14ac:dyDescent="0.3">
      <c r="A644" s="20">
        <v>45451.013889000002</v>
      </c>
      <c r="B644" s="17">
        <v>62.855266</v>
      </c>
      <c r="C644" s="18"/>
      <c r="D644" s="19"/>
    </row>
    <row r="645" spans="1:4" x14ac:dyDescent="0.3">
      <c r="A645" s="20">
        <v>45451.014582999996</v>
      </c>
      <c r="B645" s="17">
        <v>63.495682000000002</v>
      </c>
      <c r="C645" s="18"/>
      <c r="D645" s="19"/>
    </row>
    <row r="646" spans="1:4" x14ac:dyDescent="0.3">
      <c r="A646" s="20">
        <v>45451.015277999999</v>
      </c>
      <c r="B646" s="17">
        <v>63.277853999999998</v>
      </c>
      <c r="C646" s="18"/>
      <c r="D646" s="19"/>
    </row>
    <row r="647" spans="1:4" x14ac:dyDescent="0.3">
      <c r="A647" s="20">
        <v>45451.015972000001</v>
      </c>
      <c r="B647" s="17">
        <v>63.063982000000003</v>
      </c>
      <c r="C647" s="18"/>
      <c r="D647" s="19"/>
    </row>
    <row r="648" spans="1:4" x14ac:dyDescent="0.3">
      <c r="A648" s="20">
        <v>45451.016667000004</v>
      </c>
      <c r="B648" s="17">
        <v>62.955759</v>
      </c>
      <c r="C648" s="18"/>
      <c r="D648" s="19"/>
    </row>
    <row r="649" spans="1:4" x14ac:dyDescent="0.3">
      <c r="A649" s="20">
        <v>45451.017360999998</v>
      </c>
      <c r="B649" s="17">
        <v>63.603634</v>
      </c>
      <c r="C649" s="18"/>
      <c r="D649" s="19"/>
    </row>
    <row r="650" spans="1:4" x14ac:dyDescent="0.3">
      <c r="A650" s="20">
        <v>45451.018056000001</v>
      </c>
      <c r="B650" s="17">
        <v>63.215372000000002</v>
      </c>
      <c r="C650" s="18"/>
      <c r="D650" s="19"/>
    </row>
    <row r="651" spans="1:4" x14ac:dyDescent="0.3">
      <c r="A651" s="20">
        <v>45451.018750000003</v>
      </c>
      <c r="B651" s="17">
        <v>63.532563000000003</v>
      </c>
      <c r="C651" s="18"/>
      <c r="D651" s="19"/>
    </row>
    <row r="652" spans="1:4" x14ac:dyDescent="0.3">
      <c r="A652" s="20">
        <v>45451.019443999998</v>
      </c>
      <c r="B652" s="17">
        <v>63.868659999999998</v>
      </c>
      <c r="C652" s="18"/>
      <c r="D652" s="19"/>
    </row>
    <row r="653" spans="1:4" x14ac:dyDescent="0.3">
      <c r="A653" s="20">
        <v>45451.020139</v>
      </c>
      <c r="B653" s="17">
        <v>63.919117</v>
      </c>
      <c r="C653" s="18"/>
      <c r="D653" s="19"/>
    </row>
    <row r="654" spans="1:4" x14ac:dyDescent="0.3">
      <c r="A654" s="20">
        <v>45451.020833000002</v>
      </c>
      <c r="B654" s="17">
        <v>63.507134000000001</v>
      </c>
      <c r="C654" s="18"/>
      <c r="D654" s="19"/>
    </row>
    <row r="655" spans="1:4" x14ac:dyDescent="0.3">
      <c r="A655" s="20">
        <v>45451.021527999997</v>
      </c>
      <c r="B655" s="17">
        <v>63.199983000000003</v>
      </c>
      <c r="C655" s="18"/>
      <c r="D655" s="19"/>
    </row>
    <row r="656" spans="1:4" x14ac:dyDescent="0.3">
      <c r="A656" s="20">
        <v>45451.022222</v>
      </c>
      <c r="B656" s="17">
        <v>63.604855000000001</v>
      </c>
      <c r="C656" s="18"/>
      <c r="D656" s="19"/>
    </row>
    <row r="657" spans="1:4" x14ac:dyDescent="0.3">
      <c r="A657" s="20">
        <v>45451.022917000002</v>
      </c>
      <c r="B657" s="17">
        <v>63.587406000000001</v>
      </c>
      <c r="C657" s="18"/>
      <c r="D657" s="19"/>
    </row>
    <row r="658" spans="1:4" x14ac:dyDescent="0.3">
      <c r="A658" s="20">
        <v>45451.023610999997</v>
      </c>
      <c r="B658" s="17">
        <v>63.534605999999997</v>
      </c>
      <c r="C658" s="18"/>
      <c r="D658" s="19"/>
    </row>
    <row r="659" spans="1:4" x14ac:dyDescent="0.3">
      <c r="A659" s="20">
        <v>45451.024305999999</v>
      </c>
      <c r="B659" s="17">
        <v>63.811346</v>
      </c>
      <c r="C659" s="18"/>
      <c r="D659" s="19"/>
    </row>
    <row r="660" spans="1:4" x14ac:dyDescent="0.3">
      <c r="A660" s="20">
        <v>45451.025000000001</v>
      </c>
      <c r="B660" s="17">
        <v>63.494110999999997</v>
      </c>
      <c r="C660" s="18"/>
      <c r="D660" s="19"/>
    </row>
    <row r="661" spans="1:4" x14ac:dyDescent="0.3">
      <c r="A661" s="20">
        <v>45451.025694000004</v>
      </c>
      <c r="B661" s="17">
        <v>63.474639000000003</v>
      </c>
      <c r="C661" s="18"/>
      <c r="D661" s="19"/>
    </row>
    <row r="662" spans="1:4" x14ac:dyDescent="0.3">
      <c r="A662" s="20">
        <v>45451.026388999999</v>
      </c>
      <c r="B662" s="17">
        <v>63.578373999999997</v>
      </c>
      <c r="C662" s="18"/>
      <c r="D662" s="19"/>
    </row>
    <row r="663" spans="1:4" x14ac:dyDescent="0.3">
      <c r="A663" s="20">
        <v>45451.027083000001</v>
      </c>
      <c r="B663" s="17">
        <v>63.662703999999998</v>
      </c>
      <c r="C663" s="18"/>
      <c r="D663" s="19"/>
    </row>
    <row r="664" spans="1:4" x14ac:dyDescent="0.3">
      <c r="A664" s="20">
        <v>45451.027778000003</v>
      </c>
      <c r="B664" s="17">
        <v>63.802897999999999</v>
      </c>
      <c r="C664" s="18"/>
      <c r="D664" s="19"/>
    </row>
    <row r="665" spans="1:4" x14ac:dyDescent="0.3">
      <c r="A665" s="20">
        <v>45451.028471999998</v>
      </c>
      <c r="B665" s="17">
        <v>63.700986</v>
      </c>
      <c r="C665" s="18"/>
      <c r="D665" s="19"/>
    </row>
    <row r="666" spans="1:4" x14ac:dyDescent="0.3">
      <c r="A666" s="20">
        <v>45451.029167000001</v>
      </c>
      <c r="B666" s="17">
        <v>63.602398000000001</v>
      </c>
      <c r="C666" s="18"/>
      <c r="D666" s="19"/>
    </row>
    <row r="667" spans="1:4" x14ac:dyDescent="0.3">
      <c r="A667" s="20">
        <v>45451.029861000003</v>
      </c>
      <c r="B667" s="17">
        <v>63.675122999999999</v>
      </c>
      <c r="C667" s="18"/>
      <c r="D667" s="19"/>
    </row>
    <row r="668" spans="1:4" x14ac:dyDescent="0.3">
      <c r="A668" s="20">
        <v>45451.030555999998</v>
      </c>
      <c r="B668" s="17">
        <v>63.670701999999999</v>
      </c>
      <c r="C668" s="18"/>
      <c r="D668" s="19"/>
    </row>
    <row r="669" spans="1:4" x14ac:dyDescent="0.3">
      <c r="A669" s="20">
        <v>45451.03125</v>
      </c>
      <c r="B669" s="17">
        <v>63.824446000000002</v>
      </c>
      <c r="C669" s="18"/>
      <c r="D669" s="19"/>
    </row>
    <row r="670" spans="1:4" x14ac:dyDescent="0.3">
      <c r="A670" s="20">
        <v>45451.031944000002</v>
      </c>
      <c r="B670" s="17">
        <v>63.879178000000003</v>
      </c>
      <c r="C670" s="18"/>
      <c r="D670" s="19"/>
    </row>
    <row r="671" spans="1:4" x14ac:dyDescent="0.3">
      <c r="A671" s="20">
        <v>45451.032638999997</v>
      </c>
      <c r="B671" s="17">
        <v>63.086767000000002</v>
      </c>
      <c r="C671" s="18"/>
      <c r="D671" s="19"/>
    </row>
    <row r="672" spans="1:4" x14ac:dyDescent="0.3">
      <c r="A672" s="20">
        <v>45451.033332999999</v>
      </c>
      <c r="B672" s="17">
        <v>63.560569999999998</v>
      </c>
      <c r="C672" s="18"/>
      <c r="D672" s="19"/>
    </row>
    <row r="673" spans="1:4" x14ac:dyDescent="0.3">
      <c r="A673" s="20">
        <v>45451.034028000002</v>
      </c>
      <c r="B673" s="17">
        <v>63.771303000000003</v>
      </c>
      <c r="C673" s="18"/>
      <c r="D673" s="19"/>
    </row>
    <row r="674" spans="1:4" x14ac:dyDescent="0.3">
      <c r="A674" s="20">
        <v>45451.034721999997</v>
      </c>
      <c r="B674" s="17">
        <v>63.636743000000003</v>
      </c>
      <c r="C674" s="18"/>
      <c r="D674" s="19"/>
    </row>
    <row r="675" spans="1:4" x14ac:dyDescent="0.3">
      <c r="A675" s="20">
        <v>45451.035416999999</v>
      </c>
      <c r="B675" s="17">
        <v>63.362752999999998</v>
      </c>
      <c r="C675" s="18"/>
      <c r="D675" s="19"/>
    </row>
    <row r="676" spans="1:4" x14ac:dyDescent="0.3">
      <c r="A676" s="20">
        <v>45451.036111000001</v>
      </c>
      <c r="B676" s="17">
        <v>63.959462000000002</v>
      </c>
      <c r="C676" s="18"/>
      <c r="D676" s="19"/>
    </row>
    <row r="677" spans="1:4" x14ac:dyDescent="0.3">
      <c r="A677" s="20">
        <v>45451.036805999996</v>
      </c>
      <c r="B677" s="17">
        <v>63.204287000000001</v>
      </c>
      <c r="C677" s="18"/>
      <c r="D677" s="19"/>
    </row>
    <row r="678" spans="1:4" x14ac:dyDescent="0.3">
      <c r="A678" s="20">
        <v>45451.037499999999</v>
      </c>
      <c r="B678" s="17">
        <v>66.125279000000006</v>
      </c>
      <c r="C678" s="18"/>
      <c r="D678" s="19"/>
    </row>
    <row r="679" spans="1:4" x14ac:dyDescent="0.3">
      <c r="A679" s="20">
        <v>45451.038194000001</v>
      </c>
      <c r="B679" s="17">
        <v>67.590794000000002</v>
      </c>
      <c r="C679" s="18"/>
      <c r="D679" s="19"/>
    </row>
    <row r="680" spans="1:4" x14ac:dyDescent="0.3">
      <c r="A680" s="20">
        <v>45451.038889000003</v>
      </c>
      <c r="B680" s="17">
        <v>67.759065000000007</v>
      </c>
      <c r="C680" s="18"/>
      <c r="D680" s="19"/>
    </row>
    <row r="681" spans="1:4" x14ac:dyDescent="0.3">
      <c r="A681" s="20">
        <v>45451.039582999998</v>
      </c>
      <c r="B681" s="17">
        <v>67.673467000000002</v>
      </c>
      <c r="C681" s="18"/>
      <c r="D681" s="19"/>
    </row>
    <row r="682" spans="1:4" x14ac:dyDescent="0.3">
      <c r="A682" s="20">
        <v>45451.040278</v>
      </c>
      <c r="B682" s="17">
        <v>67.361939000000007</v>
      </c>
      <c r="C682" s="18"/>
      <c r="D682" s="19"/>
    </row>
    <row r="683" spans="1:4" x14ac:dyDescent="0.3">
      <c r="A683" s="20">
        <v>45451.040972000003</v>
      </c>
      <c r="B683" s="17">
        <v>67.170447999999993</v>
      </c>
      <c r="C683" s="18"/>
      <c r="D683" s="19"/>
    </row>
    <row r="684" spans="1:4" x14ac:dyDescent="0.3">
      <c r="A684" s="20">
        <v>45451.041666999998</v>
      </c>
      <c r="B684" s="17">
        <v>66.998371000000006</v>
      </c>
      <c r="C684" s="18"/>
      <c r="D684" s="19"/>
    </row>
    <row r="685" spans="1:4" x14ac:dyDescent="0.3">
      <c r="A685" s="20">
        <v>45451.042361</v>
      </c>
      <c r="B685" s="17">
        <v>67.713111999999995</v>
      </c>
      <c r="C685" s="18"/>
      <c r="D685" s="19"/>
    </row>
    <row r="686" spans="1:4" x14ac:dyDescent="0.3">
      <c r="A686" s="20">
        <v>45451.043056000002</v>
      </c>
      <c r="B686" s="17">
        <v>67.901340000000005</v>
      </c>
      <c r="C686" s="18"/>
      <c r="D686" s="19"/>
    </row>
    <row r="687" spans="1:4" x14ac:dyDescent="0.3">
      <c r="A687" s="20">
        <v>45451.043749999997</v>
      </c>
      <c r="B687" s="17">
        <v>66.838926000000001</v>
      </c>
      <c r="C687" s="18"/>
      <c r="D687" s="19"/>
    </row>
    <row r="688" spans="1:4" x14ac:dyDescent="0.3">
      <c r="A688" s="20">
        <v>45451.044443999999</v>
      </c>
      <c r="B688" s="17">
        <v>66.846065999999993</v>
      </c>
      <c r="C688" s="18"/>
      <c r="D688" s="19"/>
    </row>
    <row r="689" spans="1:4" x14ac:dyDescent="0.3">
      <c r="A689" s="20">
        <v>45451.045139000002</v>
      </c>
      <c r="B689" s="17">
        <v>67.37209</v>
      </c>
      <c r="C689" s="18"/>
      <c r="D689" s="19"/>
    </row>
    <row r="690" spans="1:4" x14ac:dyDescent="0.3">
      <c r="A690" s="20">
        <v>45451.045832999996</v>
      </c>
      <c r="B690" s="17">
        <v>67.201890000000006</v>
      </c>
      <c r="C690" s="18"/>
      <c r="D690" s="19"/>
    </row>
    <row r="691" spans="1:4" x14ac:dyDescent="0.3">
      <c r="A691" s="20">
        <v>45451.046527999999</v>
      </c>
      <c r="B691" s="17">
        <v>66.646647000000002</v>
      </c>
      <c r="C691" s="18"/>
      <c r="D691" s="19"/>
    </row>
    <row r="692" spans="1:4" x14ac:dyDescent="0.3">
      <c r="A692" s="20">
        <v>45451.047222000001</v>
      </c>
      <c r="B692" s="17">
        <v>67.148081000000005</v>
      </c>
      <c r="C692" s="18"/>
      <c r="D692" s="19"/>
    </row>
    <row r="693" spans="1:4" x14ac:dyDescent="0.3">
      <c r="A693" s="20">
        <v>45451.047917000004</v>
      </c>
      <c r="B693" s="17">
        <v>66.877754999999993</v>
      </c>
      <c r="C693" s="18"/>
      <c r="D693" s="19"/>
    </row>
    <row r="694" spans="1:4" x14ac:dyDescent="0.3">
      <c r="A694" s="20">
        <v>45451.048610999998</v>
      </c>
      <c r="B694" s="17">
        <v>66.856380999999999</v>
      </c>
      <c r="C694" s="18"/>
      <c r="D694" s="19"/>
    </row>
    <row r="695" spans="1:4" x14ac:dyDescent="0.3">
      <c r="A695" s="20">
        <v>45451.049306000001</v>
      </c>
      <c r="B695" s="17">
        <v>67.395118999999994</v>
      </c>
      <c r="C695" s="18"/>
      <c r="D695" s="19"/>
    </row>
    <row r="696" spans="1:4" x14ac:dyDescent="0.3">
      <c r="A696" s="20">
        <v>45451.05</v>
      </c>
      <c r="B696" s="17">
        <v>66.975727000000006</v>
      </c>
      <c r="C696" s="18"/>
      <c r="D696" s="19"/>
    </row>
    <row r="697" spans="1:4" x14ac:dyDescent="0.3">
      <c r="A697" s="20">
        <v>45451.050693999998</v>
      </c>
      <c r="B697" s="17">
        <v>67.050512999999995</v>
      </c>
      <c r="C697" s="18"/>
      <c r="D697" s="19"/>
    </row>
    <row r="698" spans="1:4" x14ac:dyDescent="0.3">
      <c r="A698" s="20">
        <v>45451.051389</v>
      </c>
      <c r="B698" s="17">
        <v>66.982322999999994</v>
      </c>
      <c r="C698" s="18"/>
      <c r="D698" s="19"/>
    </row>
    <row r="699" spans="1:4" x14ac:dyDescent="0.3">
      <c r="A699" s="20">
        <v>45451.052083000002</v>
      </c>
      <c r="B699" s="17">
        <v>65.947506000000004</v>
      </c>
      <c r="C699" s="18"/>
      <c r="D699" s="19"/>
    </row>
    <row r="700" spans="1:4" x14ac:dyDescent="0.3">
      <c r="A700" s="20">
        <v>45451.052777999997</v>
      </c>
      <c r="B700" s="17">
        <v>67.553503000000006</v>
      </c>
      <c r="C700" s="18"/>
      <c r="D700" s="19"/>
    </row>
    <row r="701" spans="1:4" x14ac:dyDescent="0.3">
      <c r="A701" s="20">
        <v>45451.053472</v>
      </c>
      <c r="B701" s="17">
        <v>66.630319</v>
      </c>
      <c r="C701" s="18"/>
      <c r="D701" s="19"/>
    </row>
    <row r="702" spans="1:4" x14ac:dyDescent="0.3">
      <c r="A702" s="20">
        <v>45451.054167000002</v>
      </c>
      <c r="B702" s="17">
        <v>67.404109000000005</v>
      </c>
      <c r="C702" s="18"/>
      <c r="D702" s="19"/>
    </row>
    <row r="703" spans="1:4" x14ac:dyDescent="0.3">
      <c r="A703" s="20">
        <v>45451.054860999997</v>
      </c>
      <c r="B703" s="17">
        <v>67.497226999999995</v>
      </c>
      <c r="C703" s="18"/>
      <c r="D703" s="19"/>
    </row>
    <row r="704" spans="1:4" x14ac:dyDescent="0.3">
      <c r="A704" s="20">
        <v>45451.055555999999</v>
      </c>
      <c r="B704" s="17">
        <v>67.328732000000002</v>
      </c>
      <c r="C704" s="18"/>
      <c r="D704" s="19"/>
    </row>
    <row r="705" spans="1:4" x14ac:dyDescent="0.3">
      <c r="A705" s="20">
        <v>45451.056250000001</v>
      </c>
      <c r="B705" s="17">
        <v>67.007796999999997</v>
      </c>
      <c r="C705" s="18"/>
      <c r="D705" s="19"/>
    </row>
    <row r="706" spans="1:4" x14ac:dyDescent="0.3">
      <c r="A706" s="20">
        <v>45451.056944000004</v>
      </c>
      <c r="B706" s="17">
        <v>67.045733999999996</v>
      </c>
      <c r="C706" s="18"/>
      <c r="D706" s="19"/>
    </row>
    <row r="707" spans="1:4" x14ac:dyDescent="0.3">
      <c r="A707" s="20">
        <v>45451.057638999999</v>
      </c>
      <c r="B707" s="17">
        <v>66.465410000000006</v>
      </c>
      <c r="C707" s="18"/>
      <c r="D707" s="19"/>
    </row>
    <row r="708" spans="1:4" x14ac:dyDescent="0.3">
      <c r="A708" s="20">
        <v>45451.058333000001</v>
      </c>
      <c r="B708" s="17">
        <v>66.889358999999999</v>
      </c>
      <c r="C708" s="18"/>
      <c r="D708" s="19"/>
    </row>
    <row r="709" spans="1:4" x14ac:dyDescent="0.3">
      <c r="A709" s="20">
        <v>45451.059028000003</v>
      </c>
      <c r="B709" s="17">
        <v>67.062599000000006</v>
      </c>
      <c r="C709" s="18"/>
      <c r="D709" s="19"/>
    </row>
    <row r="710" spans="1:4" x14ac:dyDescent="0.3">
      <c r="A710" s="20">
        <v>45451.059721999998</v>
      </c>
      <c r="B710" s="17">
        <v>67.797053000000005</v>
      </c>
      <c r="C710" s="18"/>
      <c r="D710" s="19"/>
    </row>
    <row r="711" spans="1:4" x14ac:dyDescent="0.3">
      <c r="A711" s="20">
        <v>45451.060417000001</v>
      </c>
      <c r="B711" s="17">
        <v>67.286855000000003</v>
      </c>
      <c r="C711" s="18"/>
      <c r="D711" s="19"/>
    </row>
    <row r="712" spans="1:4" x14ac:dyDescent="0.3">
      <c r="A712" s="20">
        <v>45451.061111000003</v>
      </c>
      <c r="B712" s="17">
        <v>66.417370000000005</v>
      </c>
      <c r="C712" s="18"/>
      <c r="D712" s="19"/>
    </row>
    <row r="713" spans="1:4" x14ac:dyDescent="0.3">
      <c r="A713" s="20">
        <v>45451.061805999998</v>
      </c>
      <c r="B713" s="17">
        <v>66.569151000000005</v>
      </c>
      <c r="C713" s="18"/>
      <c r="D713" s="19"/>
    </row>
    <row r="714" spans="1:4" x14ac:dyDescent="0.3">
      <c r="A714" s="20">
        <v>45451.0625</v>
      </c>
      <c r="B714" s="17">
        <v>66.432824999999994</v>
      </c>
      <c r="C714" s="18"/>
      <c r="D714" s="19"/>
    </row>
    <row r="715" spans="1:4" x14ac:dyDescent="0.3">
      <c r="A715" s="20">
        <v>45451.063194000002</v>
      </c>
      <c r="B715" s="17">
        <v>66.783198999999996</v>
      </c>
      <c r="C715" s="18"/>
      <c r="D715" s="19"/>
    </row>
    <row r="716" spans="1:4" x14ac:dyDescent="0.3">
      <c r="A716" s="20">
        <v>45451.063888999997</v>
      </c>
      <c r="B716" s="17">
        <v>67.567466999999994</v>
      </c>
      <c r="C716" s="18"/>
      <c r="D716" s="19"/>
    </row>
    <row r="717" spans="1:4" x14ac:dyDescent="0.3">
      <c r="A717" s="20">
        <v>45451.064582999999</v>
      </c>
      <c r="B717" s="17">
        <v>66.885816000000005</v>
      </c>
      <c r="C717" s="18"/>
      <c r="D717" s="19"/>
    </row>
    <row r="718" spans="1:4" x14ac:dyDescent="0.3">
      <c r="A718" s="20">
        <v>45451.065278000002</v>
      </c>
      <c r="B718" s="17">
        <v>65.98254</v>
      </c>
      <c r="C718" s="18"/>
      <c r="D718" s="19"/>
    </row>
    <row r="719" spans="1:4" x14ac:dyDescent="0.3">
      <c r="A719" s="20">
        <v>45451.065971999997</v>
      </c>
      <c r="B719" s="17">
        <v>66.158957999999998</v>
      </c>
      <c r="C719" s="18"/>
      <c r="D719" s="19"/>
    </row>
    <row r="720" spans="1:4" x14ac:dyDescent="0.3">
      <c r="A720" s="20">
        <v>45451.066666999999</v>
      </c>
      <c r="B720" s="17">
        <v>65.652154999999993</v>
      </c>
      <c r="C720" s="18"/>
      <c r="D720" s="19"/>
    </row>
    <row r="721" spans="1:4" x14ac:dyDescent="0.3">
      <c r="A721" s="20">
        <v>45451.067361000001</v>
      </c>
      <c r="B721" s="17">
        <v>67.121583000000001</v>
      </c>
      <c r="C721" s="18"/>
      <c r="D721" s="19"/>
    </row>
    <row r="722" spans="1:4" x14ac:dyDescent="0.3">
      <c r="A722" s="20">
        <v>45451.068055999996</v>
      </c>
      <c r="B722" s="17">
        <v>66.179913999999997</v>
      </c>
      <c r="C722" s="18"/>
      <c r="D722" s="19"/>
    </row>
    <row r="723" spans="1:4" x14ac:dyDescent="0.3">
      <c r="A723" s="20">
        <v>45451.068749999999</v>
      </c>
      <c r="B723" s="17">
        <v>66.393642</v>
      </c>
      <c r="C723" s="18"/>
      <c r="D723" s="19"/>
    </row>
    <row r="724" spans="1:4" x14ac:dyDescent="0.3">
      <c r="A724" s="20">
        <v>45451.069444000001</v>
      </c>
      <c r="B724" s="17">
        <v>66.359391000000002</v>
      </c>
      <c r="C724" s="18"/>
      <c r="D724" s="19"/>
    </row>
    <row r="725" spans="1:4" x14ac:dyDescent="0.3">
      <c r="A725" s="20">
        <v>45451.070139000003</v>
      </c>
      <c r="B725" s="17">
        <v>66.353031999999999</v>
      </c>
      <c r="C725" s="18"/>
      <c r="D725" s="19"/>
    </row>
    <row r="726" spans="1:4" x14ac:dyDescent="0.3">
      <c r="A726" s="20">
        <v>45451.070832999998</v>
      </c>
      <c r="B726" s="17">
        <v>66.471975</v>
      </c>
      <c r="C726" s="18"/>
      <c r="D726" s="19"/>
    </row>
    <row r="727" spans="1:4" x14ac:dyDescent="0.3">
      <c r="A727" s="20">
        <v>45451.071528</v>
      </c>
      <c r="B727" s="17">
        <v>65.609960999999998</v>
      </c>
      <c r="C727" s="18"/>
      <c r="D727" s="19"/>
    </row>
    <row r="728" spans="1:4" x14ac:dyDescent="0.3">
      <c r="A728" s="20">
        <v>45451.072222000003</v>
      </c>
      <c r="B728" s="17">
        <v>65.988450999999998</v>
      </c>
      <c r="C728" s="18"/>
      <c r="D728" s="19"/>
    </row>
    <row r="729" spans="1:4" x14ac:dyDescent="0.3">
      <c r="A729" s="20">
        <v>45451.072916999998</v>
      </c>
      <c r="B729" s="17">
        <v>66.541786000000002</v>
      </c>
      <c r="C729" s="18"/>
      <c r="D729" s="19"/>
    </row>
    <row r="730" spans="1:4" x14ac:dyDescent="0.3">
      <c r="A730" s="20">
        <v>45451.073611</v>
      </c>
      <c r="B730" s="17">
        <v>66.201521</v>
      </c>
      <c r="C730" s="18"/>
      <c r="D730" s="19"/>
    </row>
    <row r="731" spans="1:4" x14ac:dyDescent="0.3">
      <c r="A731" s="20">
        <v>45451.074306000002</v>
      </c>
      <c r="B731" s="17">
        <v>65.873866000000007</v>
      </c>
      <c r="C731" s="18"/>
      <c r="D731" s="19"/>
    </row>
    <row r="732" spans="1:4" x14ac:dyDescent="0.3">
      <c r="A732" s="20">
        <v>45451.074999999997</v>
      </c>
      <c r="B732" s="17">
        <v>66.285678000000004</v>
      </c>
      <c r="C732" s="18"/>
      <c r="D732" s="19"/>
    </row>
    <row r="733" spans="1:4" x14ac:dyDescent="0.3">
      <c r="A733" s="20">
        <v>45451.075693999999</v>
      </c>
      <c r="B733" s="17">
        <v>65.937717000000006</v>
      </c>
      <c r="C733" s="18"/>
      <c r="D733" s="19"/>
    </row>
    <row r="734" spans="1:4" x14ac:dyDescent="0.3">
      <c r="A734" s="20">
        <v>45451.076389000002</v>
      </c>
      <c r="B734" s="17">
        <v>65.983953</v>
      </c>
      <c r="C734" s="18"/>
      <c r="D734" s="19"/>
    </row>
    <row r="735" spans="1:4" x14ac:dyDescent="0.3">
      <c r="A735" s="20">
        <v>45451.077082999996</v>
      </c>
      <c r="B735" s="17">
        <v>66.470796000000007</v>
      </c>
      <c r="C735" s="18"/>
      <c r="D735" s="19"/>
    </row>
    <row r="736" spans="1:4" x14ac:dyDescent="0.3">
      <c r="A736" s="20">
        <v>45451.077777999999</v>
      </c>
      <c r="B736" s="17">
        <v>66.210179999999994</v>
      </c>
      <c r="C736" s="18"/>
      <c r="D736" s="19"/>
    </row>
    <row r="737" spans="1:4" x14ac:dyDescent="0.3">
      <c r="A737" s="20">
        <v>45451.078472000001</v>
      </c>
      <c r="B737" s="17">
        <v>66.075031999999993</v>
      </c>
      <c r="C737" s="18"/>
      <c r="D737" s="19"/>
    </row>
    <row r="738" spans="1:4" x14ac:dyDescent="0.3">
      <c r="A738" s="20">
        <v>45451.079167000004</v>
      </c>
      <c r="B738" s="17">
        <v>65.758258999999995</v>
      </c>
      <c r="C738" s="18"/>
      <c r="D738" s="19"/>
    </row>
    <row r="739" spans="1:4" x14ac:dyDescent="0.3">
      <c r="A739" s="20">
        <v>45451.079860999998</v>
      </c>
      <c r="B739" s="17">
        <v>65.836823999999993</v>
      </c>
      <c r="C739" s="18"/>
      <c r="D739" s="19"/>
    </row>
    <row r="740" spans="1:4" x14ac:dyDescent="0.3">
      <c r="A740" s="20">
        <v>45451.080556000001</v>
      </c>
      <c r="B740" s="17">
        <v>65.923794000000001</v>
      </c>
      <c r="C740" s="18"/>
      <c r="D740" s="19"/>
    </row>
    <row r="741" spans="1:4" x14ac:dyDescent="0.3">
      <c r="A741" s="20">
        <v>45451.081250000003</v>
      </c>
      <c r="B741" s="17">
        <v>66.366635000000002</v>
      </c>
      <c r="C741" s="18"/>
      <c r="D741" s="19"/>
    </row>
    <row r="742" spans="1:4" x14ac:dyDescent="0.3">
      <c r="A742" s="20">
        <v>45451.081943999998</v>
      </c>
      <c r="B742" s="17">
        <v>66.241657000000004</v>
      </c>
      <c r="C742" s="18"/>
      <c r="D742" s="19"/>
    </row>
    <row r="743" spans="1:4" x14ac:dyDescent="0.3">
      <c r="A743" s="20">
        <v>45451.082639</v>
      </c>
      <c r="B743" s="17">
        <v>66.669768000000005</v>
      </c>
      <c r="C743" s="18"/>
      <c r="D743" s="19"/>
    </row>
    <row r="744" spans="1:4" x14ac:dyDescent="0.3">
      <c r="A744" s="20">
        <v>45451.083333000002</v>
      </c>
      <c r="B744" s="17">
        <v>65.612274999999997</v>
      </c>
      <c r="C744" s="18"/>
      <c r="D744" s="19"/>
    </row>
    <row r="745" spans="1:4" x14ac:dyDescent="0.3">
      <c r="A745" s="20">
        <v>45451.084027999997</v>
      </c>
      <c r="B745" s="17">
        <v>66.196484999999996</v>
      </c>
      <c r="C745" s="18"/>
      <c r="D745" s="19"/>
    </row>
    <row r="746" spans="1:4" x14ac:dyDescent="0.3">
      <c r="A746" s="20">
        <v>45451.084722</v>
      </c>
      <c r="B746" s="17">
        <v>66.668655000000001</v>
      </c>
      <c r="C746" s="18"/>
      <c r="D746" s="19"/>
    </row>
    <row r="747" spans="1:4" x14ac:dyDescent="0.3">
      <c r="A747" s="20">
        <v>45451.085417000002</v>
      </c>
      <c r="B747" s="17">
        <v>66.157568999999995</v>
      </c>
      <c r="C747" s="18"/>
      <c r="D747" s="19"/>
    </row>
    <row r="748" spans="1:4" x14ac:dyDescent="0.3">
      <c r="A748" s="20">
        <v>45451.086110999997</v>
      </c>
      <c r="B748" s="17">
        <v>66.665496000000005</v>
      </c>
      <c r="C748" s="18"/>
      <c r="D748" s="19"/>
    </row>
    <row r="749" spans="1:4" x14ac:dyDescent="0.3">
      <c r="A749" s="20">
        <v>45451.086805999999</v>
      </c>
      <c r="B749" s="17">
        <v>65.734984999999995</v>
      </c>
      <c r="C749" s="18"/>
      <c r="D749" s="19"/>
    </row>
    <row r="750" spans="1:4" x14ac:dyDescent="0.3">
      <c r="A750" s="20">
        <v>45451.087500000001</v>
      </c>
      <c r="B750" s="17">
        <v>65.971158000000003</v>
      </c>
      <c r="C750" s="18"/>
      <c r="D750" s="19"/>
    </row>
    <row r="751" spans="1:4" x14ac:dyDescent="0.3">
      <c r="A751" s="20">
        <v>45451.088194000004</v>
      </c>
      <c r="B751" s="17">
        <v>66.253050000000002</v>
      </c>
      <c r="C751" s="18"/>
      <c r="D751" s="19"/>
    </row>
    <row r="752" spans="1:4" x14ac:dyDescent="0.3">
      <c r="A752" s="20">
        <v>45451.088888999999</v>
      </c>
      <c r="B752" s="17">
        <v>65.794432999999998</v>
      </c>
      <c r="C752" s="18"/>
      <c r="D752" s="19"/>
    </row>
    <row r="753" spans="1:4" x14ac:dyDescent="0.3">
      <c r="A753" s="20">
        <v>45451.089583000001</v>
      </c>
      <c r="B753" s="17">
        <v>66.246159000000006</v>
      </c>
      <c r="C753" s="18"/>
      <c r="D753" s="19"/>
    </row>
    <row r="754" spans="1:4" x14ac:dyDescent="0.3">
      <c r="A754" s="20">
        <v>45451.090278000003</v>
      </c>
      <c r="B754" s="17">
        <v>66.742403999999993</v>
      </c>
      <c r="C754" s="18"/>
      <c r="D754" s="19"/>
    </row>
    <row r="755" spans="1:4" x14ac:dyDescent="0.3">
      <c r="A755" s="20">
        <v>45451.090971999998</v>
      </c>
      <c r="B755" s="17">
        <v>66.462157000000005</v>
      </c>
      <c r="C755" s="18"/>
      <c r="D755" s="19"/>
    </row>
    <row r="756" spans="1:4" x14ac:dyDescent="0.3">
      <c r="A756" s="20">
        <v>45451.091667000001</v>
      </c>
      <c r="B756" s="17">
        <v>66.483442999999994</v>
      </c>
      <c r="C756" s="18"/>
      <c r="D756" s="19"/>
    </row>
    <row r="757" spans="1:4" x14ac:dyDescent="0.3">
      <c r="A757" s="20">
        <v>45451.092361000003</v>
      </c>
      <c r="B757" s="17">
        <v>66.092900999999998</v>
      </c>
      <c r="C757" s="18"/>
      <c r="D757" s="19"/>
    </row>
    <row r="758" spans="1:4" x14ac:dyDescent="0.3">
      <c r="A758" s="20">
        <v>45451.093055999998</v>
      </c>
      <c r="B758" s="17">
        <v>66.396805000000001</v>
      </c>
      <c r="C758" s="18"/>
      <c r="D758" s="19"/>
    </row>
    <row r="759" spans="1:4" x14ac:dyDescent="0.3">
      <c r="A759" s="20">
        <v>45451.09375</v>
      </c>
      <c r="B759" s="17">
        <v>66.607118999999997</v>
      </c>
      <c r="C759" s="18"/>
      <c r="D759" s="19"/>
    </row>
    <row r="760" spans="1:4" x14ac:dyDescent="0.3">
      <c r="A760" s="20">
        <v>45451.094444000002</v>
      </c>
      <c r="B760" s="17">
        <v>66.006817999999996</v>
      </c>
      <c r="C760" s="18"/>
      <c r="D760" s="19"/>
    </row>
    <row r="761" spans="1:4" x14ac:dyDescent="0.3">
      <c r="A761" s="20">
        <v>45451.095138999997</v>
      </c>
      <c r="B761" s="17">
        <v>64.881309000000002</v>
      </c>
      <c r="C761" s="18"/>
      <c r="D761" s="19"/>
    </row>
    <row r="762" spans="1:4" x14ac:dyDescent="0.3">
      <c r="A762" s="20">
        <v>45451.095832999999</v>
      </c>
      <c r="B762" s="17">
        <v>65.824387999999999</v>
      </c>
      <c r="C762" s="18"/>
      <c r="D762" s="19"/>
    </row>
    <row r="763" spans="1:4" x14ac:dyDescent="0.3">
      <c r="A763" s="20">
        <v>45451.096528000002</v>
      </c>
      <c r="B763" s="17">
        <v>65.869573000000003</v>
      </c>
      <c r="C763" s="18"/>
      <c r="D763" s="19"/>
    </row>
    <row r="764" spans="1:4" x14ac:dyDescent="0.3">
      <c r="A764" s="20">
        <v>45451.097221999997</v>
      </c>
      <c r="B764" s="17">
        <v>66.427267999999998</v>
      </c>
      <c r="C764" s="18"/>
      <c r="D764" s="19"/>
    </row>
    <row r="765" spans="1:4" x14ac:dyDescent="0.3">
      <c r="A765" s="20">
        <v>45451.097916999999</v>
      </c>
      <c r="B765" s="17">
        <v>66.510446000000002</v>
      </c>
      <c r="C765" s="18"/>
      <c r="D765" s="19"/>
    </row>
    <row r="766" spans="1:4" x14ac:dyDescent="0.3">
      <c r="A766" s="20">
        <v>45451.098611000001</v>
      </c>
      <c r="B766" s="17">
        <v>66.570735999999997</v>
      </c>
      <c r="C766" s="18"/>
      <c r="D766" s="19"/>
    </row>
    <row r="767" spans="1:4" x14ac:dyDescent="0.3">
      <c r="A767" s="20">
        <v>45451.099305999996</v>
      </c>
      <c r="B767" s="17">
        <v>66.436942999999999</v>
      </c>
      <c r="C767" s="18"/>
      <c r="D767" s="19"/>
    </row>
    <row r="768" spans="1:4" x14ac:dyDescent="0.3">
      <c r="A768" s="20">
        <v>45451.1</v>
      </c>
      <c r="B768" s="17">
        <v>65.733250999999996</v>
      </c>
      <c r="C768" s="18"/>
      <c r="D768" s="19"/>
    </row>
    <row r="769" spans="1:4" x14ac:dyDescent="0.3">
      <c r="A769" s="20">
        <v>45451.100694000001</v>
      </c>
      <c r="B769" s="17">
        <v>66.897069000000002</v>
      </c>
      <c r="C769" s="18"/>
      <c r="D769" s="19"/>
    </row>
    <row r="770" spans="1:4" x14ac:dyDescent="0.3">
      <c r="A770" s="20">
        <v>45451.101389000003</v>
      </c>
      <c r="B770" s="17">
        <v>66.478960999999998</v>
      </c>
      <c r="C770" s="18"/>
      <c r="D770" s="19"/>
    </row>
    <row r="771" spans="1:4" x14ac:dyDescent="0.3">
      <c r="A771" s="20">
        <v>45451.102082999998</v>
      </c>
      <c r="B771" s="17">
        <v>65.780767999999995</v>
      </c>
      <c r="C771" s="18"/>
      <c r="D771" s="19"/>
    </row>
    <row r="772" spans="1:4" x14ac:dyDescent="0.3">
      <c r="A772" s="20">
        <v>45451.102778</v>
      </c>
      <c r="B772" s="17">
        <v>65.749708999999996</v>
      </c>
      <c r="C772" s="18"/>
      <c r="D772" s="19"/>
    </row>
    <row r="773" spans="1:4" x14ac:dyDescent="0.3">
      <c r="A773" s="20">
        <v>45451.103472000003</v>
      </c>
      <c r="B773" s="17">
        <v>66.505720999999994</v>
      </c>
      <c r="C773" s="18"/>
      <c r="D773" s="19"/>
    </row>
    <row r="774" spans="1:4" x14ac:dyDescent="0.3">
      <c r="A774" s="20">
        <v>45451.104166999998</v>
      </c>
      <c r="B774" s="17">
        <v>66.329584999999994</v>
      </c>
      <c r="C774" s="18"/>
      <c r="D774" s="19"/>
    </row>
    <row r="775" spans="1:4" x14ac:dyDescent="0.3">
      <c r="A775" s="20">
        <v>45451.104861</v>
      </c>
      <c r="B775" s="17">
        <v>66.479155000000006</v>
      </c>
      <c r="C775" s="18"/>
      <c r="D775" s="19"/>
    </row>
    <row r="776" spans="1:4" x14ac:dyDescent="0.3">
      <c r="A776" s="20">
        <v>45451.105556000002</v>
      </c>
      <c r="B776" s="17">
        <v>66.237561999999997</v>
      </c>
      <c r="C776" s="18"/>
      <c r="D776" s="19"/>
    </row>
    <row r="777" spans="1:4" x14ac:dyDescent="0.3">
      <c r="A777" s="20">
        <v>45451.106249999997</v>
      </c>
      <c r="B777" s="17">
        <v>66.626034000000004</v>
      </c>
      <c r="C777" s="18"/>
      <c r="D777" s="19"/>
    </row>
    <row r="778" spans="1:4" x14ac:dyDescent="0.3">
      <c r="A778" s="20">
        <v>45451.106943999999</v>
      </c>
      <c r="B778" s="17">
        <v>65.026212000000001</v>
      </c>
      <c r="C778" s="18"/>
      <c r="D778" s="19"/>
    </row>
    <row r="779" spans="1:4" x14ac:dyDescent="0.3">
      <c r="A779" s="20">
        <v>45451.107639000002</v>
      </c>
      <c r="B779" s="17">
        <v>65.208377999999996</v>
      </c>
      <c r="C779" s="18"/>
      <c r="D779" s="19"/>
    </row>
    <row r="780" spans="1:4" x14ac:dyDescent="0.3">
      <c r="A780" s="20">
        <v>45451.108332999996</v>
      </c>
      <c r="B780" s="17">
        <v>67.215385999999995</v>
      </c>
      <c r="C780" s="18"/>
      <c r="D780" s="19"/>
    </row>
    <row r="781" spans="1:4" x14ac:dyDescent="0.3">
      <c r="A781" s="20">
        <v>45451.109027999999</v>
      </c>
      <c r="B781" s="17">
        <v>66.499577000000002</v>
      </c>
      <c r="C781" s="18"/>
      <c r="D781" s="19"/>
    </row>
    <row r="782" spans="1:4" x14ac:dyDescent="0.3">
      <c r="A782" s="20">
        <v>45451.109722000001</v>
      </c>
      <c r="B782" s="17">
        <v>65.996553000000006</v>
      </c>
      <c r="C782" s="18"/>
      <c r="D782" s="19"/>
    </row>
    <row r="783" spans="1:4" x14ac:dyDescent="0.3">
      <c r="A783" s="20">
        <v>45451.110417000004</v>
      </c>
      <c r="B783" s="17">
        <v>66.084630000000004</v>
      </c>
      <c r="C783" s="18"/>
      <c r="D783" s="19"/>
    </row>
    <row r="784" spans="1:4" x14ac:dyDescent="0.3">
      <c r="A784" s="20">
        <v>45451.111110999998</v>
      </c>
      <c r="B784" s="17">
        <v>66.354916000000003</v>
      </c>
      <c r="C784" s="18"/>
      <c r="D784" s="19"/>
    </row>
    <row r="785" spans="1:4" x14ac:dyDescent="0.3">
      <c r="A785" s="20">
        <v>45451.111806000001</v>
      </c>
      <c r="B785" s="17">
        <v>66.354191999999998</v>
      </c>
      <c r="C785" s="18"/>
      <c r="D785" s="19"/>
    </row>
    <row r="786" spans="1:4" x14ac:dyDescent="0.3">
      <c r="A786" s="20">
        <v>45451.112500000003</v>
      </c>
      <c r="B786" s="17">
        <v>66.020446000000007</v>
      </c>
      <c r="C786" s="18"/>
      <c r="D786" s="19"/>
    </row>
    <row r="787" spans="1:4" x14ac:dyDescent="0.3">
      <c r="A787" s="20">
        <v>45451.113193999998</v>
      </c>
      <c r="B787" s="17">
        <v>65.774916000000005</v>
      </c>
      <c r="C787" s="18"/>
      <c r="D787" s="19"/>
    </row>
    <row r="788" spans="1:4" x14ac:dyDescent="0.3">
      <c r="A788" s="20">
        <v>45451.113889</v>
      </c>
      <c r="B788" s="17">
        <v>66.259631999999996</v>
      </c>
      <c r="C788" s="18"/>
      <c r="D788" s="19"/>
    </row>
    <row r="789" spans="1:4" x14ac:dyDescent="0.3">
      <c r="A789" s="20">
        <v>45451.114583000002</v>
      </c>
      <c r="B789" s="17">
        <v>66.582250999999999</v>
      </c>
      <c r="C789" s="18"/>
      <c r="D789" s="19"/>
    </row>
    <row r="790" spans="1:4" x14ac:dyDescent="0.3">
      <c r="A790" s="20">
        <v>45451.115277999997</v>
      </c>
      <c r="B790" s="17">
        <v>66.568284000000006</v>
      </c>
      <c r="C790" s="18"/>
      <c r="D790" s="19"/>
    </row>
    <row r="791" spans="1:4" x14ac:dyDescent="0.3">
      <c r="A791" s="20">
        <v>45451.115972</v>
      </c>
      <c r="B791" s="17">
        <v>65.72278</v>
      </c>
      <c r="C791" s="18"/>
      <c r="D791" s="19"/>
    </row>
    <row r="792" spans="1:4" x14ac:dyDescent="0.3">
      <c r="A792" s="20">
        <v>45451.116667000002</v>
      </c>
      <c r="B792" s="17">
        <v>66.155396999999994</v>
      </c>
      <c r="C792" s="18"/>
      <c r="D792" s="19"/>
    </row>
    <row r="793" spans="1:4" x14ac:dyDescent="0.3">
      <c r="A793" s="20">
        <v>45451.117360999997</v>
      </c>
      <c r="B793" s="17">
        <v>65.870934000000005</v>
      </c>
      <c r="C793" s="18"/>
      <c r="D793" s="19"/>
    </row>
    <row r="794" spans="1:4" x14ac:dyDescent="0.3">
      <c r="A794" s="20">
        <v>45451.118055999999</v>
      </c>
      <c r="B794" s="17">
        <v>66.468609999999998</v>
      </c>
      <c r="C794" s="18"/>
      <c r="D794" s="19"/>
    </row>
    <row r="795" spans="1:4" x14ac:dyDescent="0.3">
      <c r="A795" s="20">
        <v>45451.118750000001</v>
      </c>
      <c r="B795" s="17">
        <v>65.757153000000002</v>
      </c>
      <c r="C795" s="18"/>
      <c r="D795" s="19"/>
    </row>
    <row r="796" spans="1:4" x14ac:dyDescent="0.3">
      <c r="A796" s="20">
        <v>45451.119444000004</v>
      </c>
      <c r="B796" s="17">
        <v>66.570188000000002</v>
      </c>
      <c r="C796" s="18"/>
      <c r="D796" s="19"/>
    </row>
    <row r="797" spans="1:4" x14ac:dyDescent="0.3">
      <c r="A797" s="20">
        <v>45451.120138999999</v>
      </c>
      <c r="B797" s="17">
        <v>65.673423</v>
      </c>
      <c r="C797" s="18"/>
      <c r="D797" s="19"/>
    </row>
    <row r="798" spans="1:4" x14ac:dyDescent="0.3">
      <c r="A798" s="20">
        <v>45451.120833000001</v>
      </c>
      <c r="B798" s="17">
        <v>70.003214</v>
      </c>
      <c r="C798" s="18"/>
      <c r="D798" s="19"/>
    </row>
    <row r="799" spans="1:4" x14ac:dyDescent="0.3">
      <c r="A799" s="20">
        <v>45451.121528000003</v>
      </c>
      <c r="B799" s="17">
        <v>70.183323000000001</v>
      </c>
      <c r="C799" s="18"/>
      <c r="D799" s="19"/>
    </row>
    <row r="800" spans="1:4" x14ac:dyDescent="0.3">
      <c r="A800" s="20">
        <v>45451.122221999998</v>
      </c>
      <c r="B800" s="17">
        <v>71.005857000000006</v>
      </c>
      <c r="C800" s="18"/>
      <c r="D800" s="19"/>
    </row>
    <row r="801" spans="1:4" x14ac:dyDescent="0.3">
      <c r="A801" s="20">
        <v>45451.122917000001</v>
      </c>
      <c r="B801" s="17">
        <v>70.070470999999998</v>
      </c>
      <c r="C801" s="18"/>
      <c r="D801" s="19"/>
    </row>
    <row r="802" spans="1:4" x14ac:dyDescent="0.3">
      <c r="A802" s="20">
        <v>45451.123611000003</v>
      </c>
      <c r="B802" s="17">
        <v>70.943679000000003</v>
      </c>
      <c r="C802" s="18"/>
      <c r="D802" s="19"/>
    </row>
    <row r="803" spans="1:4" x14ac:dyDescent="0.3">
      <c r="A803" s="20">
        <v>45451.124305999998</v>
      </c>
      <c r="B803" s="17">
        <v>71.095928999999998</v>
      </c>
      <c r="C803" s="18"/>
      <c r="D803" s="19"/>
    </row>
    <row r="804" spans="1:4" x14ac:dyDescent="0.3">
      <c r="A804" s="20">
        <v>45451.125</v>
      </c>
      <c r="B804" s="17">
        <v>71.457285999999996</v>
      </c>
      <c r="C804" s="18"/>
      <c r="D804" s="19"/>
    </row>
    <row r="805" spans="1:4" x14ac:dyDescent="0.3">
      <c r="A805" s="20">
        <v>45451.125694000002</v>
      </c>
      <c r="B805" s="17">
        <v>70.720308000000003</v>
      </c>
      <c r="C805" s="18"/>
      <c r="D805" s="19"/>
    </row>
    <row r="806" spans="1:4" x14ac:dyDescent="0.3">
      <c r="A806" s="20">
        <v>45451.126388999997</v>
      </c>
      <c r="B806" s="17">
        <v>71.071702000000002</v>
      </c>
      <c r="C806" s="18"/>
      <c r="D806" s="19"/>
    </row>
    <row r="807" spans="1:4" x14ac:dyDescent="0.3">
      <c r="A807" s="20">
        <v>45451.127082999999</v>
      </c>
      <c r="B807" s="17">
        <v>70.903029000000004</v>
      </c>
      <c r="C807" s="18"/>
      <c r="D807" s="19"/>
    </row>
    <row r="808" spans="1:4" x14ac:dyDescent="0.3">
      <c r="A808" s="20">
        <v>45451.127778000002</v>
      </c>
      <c r="B808" s="17">
        <v>70.699065000000004</v>
      </c>
      <c r="C808" s="18"/>
      <c r="D808" s="19"/>
    </row>
    <row r="809" spans="1:4" x14ac:dyDescent="0.3">
      <c r="A809" s="20">
        <v>45451.128471999997</v>
      </c>
      <c r="B809" s="17">
        <v>70.742159000000001</v>
      </c>
      <c r="C809" s="18"/>
      <c r="D809" s="19"/>
    </row>
    <row r="810" spans="1:4" x14ac:dyDescent="0.3">
      <c r="A810" s="20">
        <v>45451.129166999999</v>
      </c>
      <c r="B810" s="17">
        <v>70.249458000000004</v>
      </c>
      <c r="C810" s="18"/>
      <c r="D810" s="19"/>
    </row>
    <row r="811" spans="1:4" x14ac:dyDescent="0.3">
      <c r="A811" s="20">
        <v>45451.129861000001</v>
      </c>
      <c r="B811" s="17">
        <v>70.498075999999998</v>
      </c>
      <c r="C811" s="18"/>
      <c r="D811" s="19"/>
    </row>
    <row r="812" spans="1:4" x14ac:dyDescent="0.3">
      <c r="A812" s="20">
        <v>45451.130555999996</v>
      </c>
      <c r="B812" s="17">
        <v>70.807913999999997</v>
      </c>
      <c r="C812" s="18"/>
      <c r="D812" s="19"/>
    </row>
    <row r="813" spans="1:4" x14ac:dyDescent="0.3">
      <c r="A813" s="20">
        <v>45451.131249999999</v>
      </c>
      <c r="B813" s="17">
        <v>70.414045000000002</v>
      </c>
      <c r="C813" s="18"/>
      <c r="D813" s="19"/>
    </row>
    <row r="814" spans="1:4" x14ac:dyDescent="0.3">
      <c r="A814" s="20">
        <v>45451.131944000001</v>
      </c>
      <c r="B814" s="17">
        <v>70.913760999999994</v>
      </c>
      <c r="C814" s="18"/>
      <c r="D814" s="19"/>
    </row>
    <row r="815" spans="1:4" x14ac:dyDescent="0.3">
      <c r="A815" s="20">
        <v>45451.132639000003</v>
      </c>
      <c r="B815" s="17">
        <v>70.499461999999994</v>
      </c>
      <c r="C815" s="18"/>
      <c r="D815" s="19"/>
    </row>
    <row r="816" spans="1:4" x14ac:dyDescent="0.3">
      <c r="A816" s="20">
        <v>45451.133332999998</v>
      </c>
      <c r="B816" s="17">
        <v>69.787763999999996</v>
      </c>
      <c r="C816" s="18"/>
      <c r="D816" s="19"/>
    </row>
    <row r="817" spans="1:4" x14ac:dyDescent="0.3">
      <c r="A817" s="20">
        <v>45451.134028</v>
      </c>
      <c r="B817" s="17">
        <v>70.619939000000002</v>
      </c>
      <c r="C817" s="18"/>
      <c r="D817" s="19"/>
    </row>
    <row r="818" spans="1:4" x14ac:dyDescent="0.3">
      <c r="A818" s="20">
        <v>45451.134722000003</v>
      </c>
      <c r="B818" s="17">
        <v>71.125596000000002</v>
      </c>
      <c r="C818" s="18"/>
      <c r="D818" s="19"/>
    </row>
    <row r="819" spans="1:4" x14ac:dyDescent="0.3">
      <c r="A819" s="20">
        <v>45451.135416999998</v>
      </c>
      <c r="B819" s="17">
        <v>70.473668000000004</v>
      </c>
      <c r="C819" s="18"/>
      <c r="D819" s="19"/>
    </row>
    <row r="820" spans="1:4" x14ac:dyDescent="0.3">
      <c r="A820" s="20">
        <v>45451.136111</v>
      </c>
      <c r="B820" s="17">
        <v>69.982719000000003</v>
      </c>
      <c r="C820" s="18"/>
      <c r="D820" s="19"/>
    </row>
    <row r="821" spans="1:4" x14ac:dyDescent="0.3">
      <c r="A821" s="20">
        <v>45451.136806000002</v>
      </c>
      <c r="B821" s="17">
        <v>71.016907000000003</v>
      </c>
      <c r="C821" s="18"/>
      <c r="D821" s="19"/>
    </row>
    <row r="822" spans="1:4" x14ac:dyDescent="0.3">
      <c r="A822" s="20">
        <v>45451.137499999997</v>
      </c>
      <c r="B822" s="17">
        <v>70.541588000000004</v>
      </c>
      <c r="C822" s="18"/>
      <c r="D822" s="19"/>
    </row>
    <row r="823" spans="1:4" x14ac:dyDescent="0.3">
      <c r="A823" s="20">
        <v>45451.138193999999</v>
      </c>
      <c r="B823" s="17">
        <v>70.519705000000002</v>
      </c>
      <c r="C823" s="18"/>
      <c r="D823" s="19"/>
    </row>
    <row r="824" spans="1:4" x14ac:dyDescent="0.3">
      <c r="A824" s="20">
        <v>45451.138889000002</v>
      </c>
      <c r="B824" s="17">
        <v>71.430526</v>
      </c>
      <c r="C824" s="18"/>
      <c r="D824" s="19"/>
    </row>
    <row r="825" spans="1:4" x14ac:dyDescent="0.3">
      <c r="A825" s="20">
        <v>45451.139582999996</v>
      </c>
      <c r="B825" s="17">
        <v>70.853200000000001</v>
      </c>
      <c r="C825" s="18"/>
      <c r="D825" s="19"/>
    </row>
    <row r="826" spans="1:4" x14ac:dyDescent="0.3">
      <c r="A826" s="20">
        <v>45451.140277999999</v>
      </c>
      <c r="B826" s="17">
        <v>70.573205000000002</v>
      </c>
      <c r="C826" s="18"/>
      <c r="D826" s="19"/>
    </row>
    <row r="827" spans="1:4" x14ac:dyDescent="0.3">
      <c r="A827" s="20">
        <v>45451.140972000001</v>
      </c>
      <c r="B827" s="17">
        <v>70.607032000000004</v>
      </c>
      <c r="C827" s="18"/>
      <c r="D827" s="19"/>
    </row>
    <row r="828" spans="1:4" x14ac:dyDescent="0.3">
      <c r="A828" s="20">
        <v>45451.141667000004</v>
      </c>
      <c r="B828" s="17">
        <v>69.944689999999994</v>
      </c>
      <c r="C828" s="18"/>
      <c r="D828" s="19"/>
    </row>
    <row r="829" spans="1:4" x14ac:dyDescent="0.3">
      <c r="A829" s="20">
        <v>45451.142360999998</v>
      </c>
      <c r="B829" s="17">
        <v>70.613293999999996</v>
      </c>
      <c r="C829" s="18"/>
      <c r="D829" s="19"/>
    </row>
    <row r="830" spans="1:4" x14ac:dyDescent="0.3">
      <c r="A830" s="20">
        <v>45451.143056000001</v>
      </c>
      <c r="B830" s="17">
        <v>70.496594999999999</v>
      </c>
      <c r="C830" s="18"/>
      <c r="D830" s="19"/>
    </row>
    <row r="831" spans="1:4" x14ac:dyDescent="0.3">
      <c r="A831" s="20">
        <v>45451.143750000003</v>
      </c>
      <c r="B831" s="17">
        <v>70.575022000000004</v>
      </c>
      <c r="C831" s="18"/>
      <c r="D831" s="19"/>
    </row>
    <row r="832" spans="1:4" x14ac:dyDescent="0.3">
      <c r="A832" s="20">
        <v>45451.144443999998</v>
      </c>
      <c r="B832" s="17">
        <v>70.298505000000006</v>
      </c>
      <c r="C832" s="18"/>
      <c r="D832" s="19"/>
    </row>
    <row r="833" spans="1:4" x14ac:dyDescent="0.3">
      <c r="A833" s="20">
        <v>45451.145139</v>
      </c>
      <c r="B833" s="17">
        <v>70.726427999999999</v>
      </c>
      <c r="C833" s="18"/>
      <c r="D833" s="19"/>
    </row>
    <row r="834" spans="1:4" x14ac:dyDescent="0.3">
      <c r="A834" s="20">
        <v>45451.145833000002</v>
      </c>
      <c r="B834" s="17">
        <v>69.945352999999997</v>
      </c>
      <c r="C834" s="18"/>
      <c r="D834" s="19"/>
    </row>
    <row r="835" spans="1:4" x14ac:dyDescent="0.3">
      <c r="A835" s="20">
        <v>45451.146527999997</v>
      </c>
      <c r="B835" s="17">
        <v>70.095203999999995</v>
      </c>
      <c r="C835" s="18"/>
      <c r="D835" s="19"/>
    </row>
    <row r="836" spans="1:4" x14ac:dyDescent="0.3">
      <c r="A836" s="20">
        <v>45451.147222</v>
      </c>
      <c r="B836" s="17">
        <v>70.238097999999994</v>
      </c>
      <c r="C836" s="18"/>
      <c r="D836" s="19"/>
    </row>
    <row r="837" spans="1:4" x14ac:dyDescent="0.3">
      <c r="A837" s="20">
        <v>45451.147917000002</v>
      </c>
      <c r="B837" s="17">
        <v>70.360770000000002</v>
      </c>
      <c r="C837" s="18"/>
      <c r="D837" s="19"/>
    </row>
    <row r="838" spans="1:4" x14ac:dyDescent="0.3">
      <c r="A838" s="20">
        <v>45451.148610999997</v>
      </c>
      <c r="B838" s="17">
        <v>69.683036999999999</v>
      </c>
      <c r="C838" s="18"/>
      <c r="D838" s="19"/>
    </row>
    <row r="839" spans="1:4" x14ac:dyDescent="0.3">
      <c r="A839" s="20">
        <v>45451.149305999999</v>
      </c>
      <c r="B839" s="17">
        <v>70.463873000000007</v>
      </c>
      <c r="C839" s="18"/>
      <c r="D839" s="19"/>
    </row>
    <row r="840" spans="1:4" x14ac:dyDescent="0.3">
      <c r="A840" s="20">
        <v>45451.15</v>
      </c>
      <c r="B840" s="17">
        <v>70.155844000000002</v>
      </c>
      <c r="C840" s="18"/>
      <c r="D840" s="19"/>
    </row>
    <row r="841" spans="1:4" x14ac:dyDescent="0.3">
      <c r="A841" s="20">
        <v>45451.150694000004</v>
      </c>
      <c r="B841" s="17">
        <v>70.715114</v>
      </c>
      <c r="C841" s="18"/>
      <c r="D841" s="19"/>
    </row>
    <row r="842" spans="1:4" x14ac:dyDescent="0.3">
      <c r="A842" s="20">
        <v>45451.151388999999</v>
      </c>
      <c r="B842" s="17">
        <v>70.581315000000004</v>
      </c>
      <c r="C842" s="18"/>
      <c r="D842" s="19"/>
    </row>
    <row r="843" spans="1:4" x14ac:dyDescent="0.3">
      <c r="A843" s="20">
        <v>45451.152083000001</v>
      </c>
      <c r="B843" s="17">
        <v>69.459522000000007</v>
      </c>
      <c r="C843" s="18"/>
      <c r="D843" s="19"/>
    </row>
    <row r="844" spans="1:4" x14ac:dyDescent="0.3">
      <c r="A844" s="20">
        <v>45451.152778000003</v>
      </c>
      <c r="B844" s="17">
        <v>69.545136999999997</v>
      </c>
      <c r="C844" s="18"/>
      <c r="D844" s="19"/>
    </row>
    <row r="845" spans="1:4" x14ac:dyDescent="0.3">
      <c r="A845" s="20">
        <v>45451.153471999998</v>
      </c>
      <c r="B845" s="17">
        <v>70.019817000000003</v>
      </c>
      <c r="C845" s="18"/>
      <c r="D845" s="19"/>
    </row>
    <row r="846" spans="1:4" x14ac:dyDescent="0.3">
      <c r="A846" s="20">
        <v>45451.154167000001</v>
      </c>
      <c r="B846" s="17">
        <v>70.134681999999998</v>
      </c>
      <c r="C846" s="18"/>
      <c r="D846" s="19"/>
    </row>
    <row r="847" spans="1:4" x14ac:dyDescent="0.3">
      <c r="A847" s="20">
        <v>45451.154861000003</v>
      </c>
      <c r="B847" s="17">
        <v>69.738342000000003</v>
      </c>
      <c r="C847" s="18"/>
      <c r="D847" s="19"/>
    </row>
    <row r="848" spans="1:4" x14ac:dyDescent="0.3">
      <c r="A848" s="20">
        <v>45451.155555999998</v>
      </c>
      <c r="B848" s="17">
        <v>69.436487999999997</v>
      </c>
      <c r="C848" s="18"/>
      <c r="D848" s="19"/>
    </row>
    <row r="849" spans="1:4" x14ac:dyDescent="0.3">
      <c r="A849" s="20">
        <v>45451.15625</v>
      </c>
      <c r="B849" s="17">
        <v>70.114208000000005</v>
      </c>
      <c r="C849" s="18"/>
      <c r="D849" s="19"/>
    </row>
    <row r="850" spans="1:4" x14ac:dyDescent="0.3">
      <c r="A850" s="20">
        <v>45451.156944000002</v>
      </c>
      <c r="B850" s="17">
        <v>70.342101</v>
      </c>
      <c r="C850" s="18"/>
      <c r="D850" s="19"/>
    </row>
    <row r="851" spans="1:4" x14ac:dyDescent="0.3">
      <c r="A851" s="20">
        <v>45451.157638999997</v>
      </c>
      <c r="B851" s="17">
        <v>69.323652999999993</v>
      </c>
      <c r="C851" s="18"/>
      <c r="D851" s="19"/>
    </row>
    <row r="852" spans="1:4" x14ac:dyDescent="0.3">
      <c r="A852" s="20">
        <v>45451.158332999999</v>
      </c>
      <c r="B852" s="17">
        <v>70.024530999999996</v>
      </c>
      <c r="C852" s="18"/>
      <c r="D852" s="19"/>
    </row>
    <row r="853" spans="1:4" x14ac:dyDescent="0.3">
      <c r="A853" s="20">
        <v>45451.159028000002</v>
      </c>
      <c r="B853" s="17">
        <v>69.997117000000003</v>
      </c>
      <c r="C853" s="18"/>
      <c r="D853" s="19"/>
    </row>
    <row r="854" spans="1:4" x14ac:dyDescent="0.3">
      <c r="A854" s="20">
        <v>45451.159721999997</v>
      </c>
      <c r="B854" s="17">
        <v>69.494249999999994</v>
      </c>
      <c r="C854" s="18"/>
      <c r="D854" s="19"/>
    </row>
    <row r="855" spans="1:4" x14ac:dyDescent="0.3">
      <c r="A855" s="20">
        <v>45451.160416999999</v>
      </c>
      <c r="B855" s="17">
        <v>69.892852000000005</v>
      </c>
      <c r="C855" s="18"/>
      <c r="D855" s="19"/>
    </row>
    <row r="856" spans="1:4" x14ac:dyDescent="0.3">
      <c r="A856" s="20">
        <v>45451.161111000001</v>
      </c>
      <c r="B856" s="17">
        <v>70.168777000000006</v>
      </c>
      <c r="C856" s="18"/>
      <c r="D856" s="19"/>
    </row>
    <row r="857" spans="1:4" x14ac:dyDescent="0.3">
      <c r="A857" s="20">
        <v>45451.161805999996</v>
      </c>
      <c r="B857" s="17">
        <v>70.037060999999994</v>
      </c>
      <c r="C857" s="18"/>
      <c r="D857" s="19"/>
    </row>
    <row r="858" spans="1:4" x14ac:dyDescent="0.3">
      <c r="A858" s="20">
        <v>45451.162499999999</v>
      </c>
      <c r="B858" s="17">
        <v>70.223198999999994</v>
      </c>
      <c r="C858" s="18"/>
      <c r="D858" s="19"/>
    </row>
    <row r="859" spans="1:4" x14ac:dyDescent="0.3">
      <c r="A859" s="20">
        <v>45451.163194000001</v>
      </c>
      <c r="B859" s="17">
        <v>69.848771999999997</v>
      </c>
      <c r="C859" s="18"/>
      <c r="D859" s="19"/>
    </row>
    <row r="860" spans="1:4" x14ac:dyDescent="0.3">
      <c r="A860" s="20">
        <v>45451.163889000003</v>
      </c>
      <c r="B860" s="17">
        <v>69.856114000000005</v>
      </c>
      <c r="C860" s="18"/>
      <c r="D860" s="19"/>
    </row>
    <row r="861" spans="1:4" x14ac:dyDescent="0.3">
      <c r="A861" s="20">
        <v>45451.164582999998</v>
      </c>
      <c r="B861" s="17">
        <v>69.825475999999995</v>
      </c>
      <c r="C861" s="18"/>
      <c r="D861" s="19"/>
    </row>
    <row r="862" spans="1:4" x14ac:dyDescent="0.3">
      <c r="A862" s="20">
        <v>45451.165278</v>
      </c>
      <c r="B862" s="17">
        <v>70.442783000000006</v>
      </c>
      <c r="C862" s="18"/>
      <c r="D862" s="19"/>
    </row>
    <row r="863" spans="1:4" x14ac:dyDescent="0.3">
      <c r="A863" s="20">
        <v>45451.165972000003</v>
      </c>
      <c r="B863" s="17">
        <v>70.090233999999995</v>
      </c>
      <c r="C863" s="18"/>
      <c r="D863" s="19"/>
    </row>
    <row r="864" spans="1:4" x14ac:dyDescent="0.3">
      <c r="A864" s="20">
        <v>45451.166666999998</v>
      </c>
      <c r="B864" s="17">
        <v>70.224362999999997</v>
      </c>
      <c r="C864" s="18"/>
      <c r="D864" s="19"/>
    </row>
    <row r="865" spans="1:4" x14ac:dyDescent="0.3">
      <c r="A865" s="20">
        <v>45451.167361</v>
      </c>
      <c r="B865" s="17">
        <v>69.939772000000005</v>
      </c>
      <c r="C865" s="18"/>
      <c r="D865" s="19"/>
    </row>
    <row r="866" spans="1:4" x14ac:dyDescent="0.3">
      <c r="A866" s="20">
        <v>45451.168056000002</v>
      </c>
      <c r="B866" s="17">
        <v>70.175048000000004</v>
      </c>
      <c r="C866" s="18"/>
      <c r="D866" s="19"/>
    </row>
    <row r="867" spans="1:4" x14ac:dyDescent="0.3">
      <c r="A867" s="20">
        <v>45451.168749999997</v>
      </c>
      <c r="B867" s="17">
        <v>70.222133999999997</v>
      </c>
      <c r="C867" s="18"/>
      <c r="D867" s="19"/>
    </row>
    <row r="868" spans="1:4" x14ac:dyDescent="0.3">
      <c r="A868" s="20">
        <v>45451.169443999999</v>
      </c>
      <c r="B868" s="17">
        <v>69.790476999999996</v>
      </c>
      <c r="C868" s="18"/>
      <c r="D868" s="19"/>
    </row>
    <row r="869" spans="1:4" x14ac:dyDescent="0.3">
      <c r="A869" s="20">
        <v>45451.170139000002</v>
      </c>
      <c r="B869" s="17">
        <v>69.999436000000003</v>
      </c>
      <c r="C869" s="18"/>
      <c r="D869" s="19"/>
    </row>
    <row r="870" spans="1:4" x14ac:dyDescent="0.3">
      <c r="A870" s="20">
        <v>45451.170832999996</v>
      </c>
      <c r="B870" s="17">
        <v>70.030900000000003</v>
      </c>
      <c r="C870" s="18"/>
      <c r="D870" s="19"/>
    </row>
    <row r="871" spans="1:4" x14ac:dyDescent="0.3">
      <c r="A871" s="20">
        <v>45451.171527999999</v>
      </c>
      <c r="B871" s="17">
        <v>70.004042999999996</v>
      </c>
      <c r="C871" s="18"/>
      <c r="D871" s="19"/>
    </row>
    <row r="872" spans="1:4" x14ac:dyDescent="0.3">
      <c r="A872" s="20">
        <v>45451.172222000001</v>
      </c>
      <c r="B872" s="17">
        <v>69.986772999999999</v>
      </c>
      <c r="C872" s="18"/>
      <c r="D872" s="19"/>
    </row>
    <row r="873" spans="1:4" x14ac:dyDescent="0.3">
      <c r="A873" s="20">
        <v>45451.172917000004</v>
      </c>
      <c r="B873" s="17">
        <v>69.461444</v>
      </c>
      <c r="C873" s="18"/>
      <c r="D873" s="19"/>
    </row>
    <row r="874" spans="1:4" x14ac:dyDescent="0.3">
      <c r="A874" s="20">
        <v>45451.173610999998</v>
      </c>
      <c r="B874" s="17">
        <v>69.545698999999999</v>
      </c>
      <c r="C874" s="18"/>
      <c r="D874" s="19"/>
    </row>
    <row r="875" spans="1:4" x14ac:dyDescent="0.3">
      <c r="A875" s="20">
        <v>45451.174306000001</v>
      </c>
      <c r="B875" s="17">
        <v>70.026888</v>
      </c>
      <c r="C875" s="18"/>
      <c r="D875" s="19"/>
    </row>
    <row r="876" spans="1:4" x14ac:dyDescent="0.3">
      <c r="A876" s="20">
        <v>45451.175000000003</v>
      </c>
      <c r="B876" s="17">
        <v>69.285127000000003</v>
      </c>
      <c r="C876" s="18"/>
      <c r="D876" s="19"/>
    </row>
    <row r="877" spans="1:4" x14ac:dyDescent="0.3">
      <c r="A877" s="20">
        <v>45451.175693999998</v>
      </c>
      <c r="B877" s="17">
        <v>70.231845000000007</v>
      </c>
      <c r="C877" s="18"/>
      <c r="D877" s="19"/>
    </row>
    <row r="878" spans="1:4" x14ac:dyDescent="0.3">
      <c r="A878" s="20">
        <v>45451.176389</v>
      </c>
      <c r="B878" s="17">
        <v>70.618313999999998</v>
      </c>
      <c r="C878" s="18"/>
      <c r="D878" s="19"/>
    </row>
    <row r="879" spans="1:4" x14ac:dyDescent="0.3">
      <c r="A879" s="20">
        <v>45451.177083000002</v>
      </c>
      <c r="B879" s="17">
        <v>69.581875999999994</v>
      </c>
      <c r="C879" s="18"/>
      <c r="D879" s="19"/>
    </row>
    <row r="880" spans="1:4" x14ac:dyDescent="0.3">
      <c r="A880" s="20">
        <v>45451.177777999997</v>
      </c>
      <c r="B880" s="17">
        <v>69.733090000000004</v>
      </c>
      <c r="C880" s="18"/>
      <c r="D880" s="19"/>
    </row>
    <row r="881" spans="1:4" x14ac:dyDescent="0.3">
      <c r="A881" s="20">
        <v>45451.178472</v>
      </c>
      <c r="B881" s="17">
        <v>70.159988999999996</v>
      </c>
      <c r="C881" s="18"/>
      <c r="D881" s="19"/>
    </row>
    <row r="882" spans="1:4" x14ac:dyDescent="0.3">
      <c r="A882" s="20">
        <v>45451.179167000002</v>
      </c>
      <c r="B882" s="17">
        <v>70.028835999999998</v>
      </c>
      <c r="C882" s="18"/>
      <c r="D882" s="19"/>
    </row>
    <row r="883" spans="1:4" x14ac:dyDescent="0.3">
      <c r="A883" s="20">
        <v>45451.179860999997</v>
      </c>
      <c r="B883" s="17">
        <v>70.160398999999998</v>
      </c>
      <c r="C883" s="18"/>
      <c r="D883" s="19"/>
    </row>
    <row r="884" spans="1:4" x14ac:dyDescent="0.3">
      <c r="A884" s="20">
        <v>45451.180555999999</v>
      </c>
      <c r="B884" s="17">
        <v>69.237162999999995</v>
      </c>
      <c r="C884" s="18"/>
      <c r="D884" s="19"/>
    </row>
    <row r="885" spans="1:4" x14ac:dyDescent="0.3">
      <c r="A885" s="20">
        <v>45451.181250000001</v>
      </c>
      <c r="B885" s="17">
        <v>70.174594999999997</v>
      </c>
      <c r="C885" s="18"/>
      <c r="D885" s="19"/>
    </row>
    <row r="886" spans="1:4" x14ac:dyDescent="0.3">
      <c r="A886" s="20">
        <v>45451.181944000004</v>
      </c>
      <c r="B886" s="17">
        <v>70.000276999999997</v>
      </c>
      <c r="C886" s="18"/>
      <c r="D886" s="19"/>
    </row>
    <row r="887" spans="1:4" x14ac:dyDescent="0.3">
      <c r="A887" s="20">
        <v>45451.182638999999</v>
      </c>
      <c r="B887" s="17">
        <v>70.109782999999993</v>
      </c>
      <c r="C887" s="18"/>
      <c r="D887" s="19"/>
    </row>
    <row r="888" spans="1:4" x14ac:dyDescent="0.3">
      <c r="A888" s="20">
        <v>45451.183333000001</v>
      </c>
      <c r="B888" s="17">
        <v>69.936409999999995</v>
      </c>
      <c r="C888" s="18"/>
      <c r="D888" s="19"/>
    </row>
    <row r="889" spans="1:4" x14ac:dyDescent="0.3">
      <c r="A889" s="20">
        <v>45451.184028000003</v>
      </c>
      <c r="B889" s="17">
        <v>69.876633999999996</v>
      </c>
      <c r="C889" s="18"/>
      <c r="D889" s="19"/>
    </row>
    <row r="890" spans="1:4" x14ac:dyDescent="0.3">
      <c r="A890" s="20">
        <v>45451.184721999998</v>
      </c>
      <c r="B890" s="17">
        <v>70.119073999999998</v>
      </c>
      <c r="C890" s="18"/>
      <c r="D890" s="19"/>
    </row>
    <row r="891" spans="1:4" x14ac:dyDescent="0.3">
      <c r="A891" s="20">
        <v>45451.185417000001</v>
      </c>
      <c r="B891" s="17">
        <v>69.798055000000005</v>
      </c>
      <c r="C891" s="18"/>
      <c r="D891" s="19"/>
    </row>
    <row r="892" spans="1:4" x14ac:dyDescent="0.3">
      <c r="A892" s="20">
        <v>45451.186111000003</v>
      </c>
      <c r="B892" s="17">
        <v>69.234886000000003</v>
      </c>
      <c r="C892" s="18"/>
      <c r="D892" s="19"/>
    </row>
    <row r="893" spans="1:4" x14ac:dyDescent="0.3">
      <c r="A893" s="20">
        <v>45451.186805999998</v>
      </c>
      <c r="B893" s="17">
        <v>70.252759999999995</v>
      </c>
      <c r="C893" s="18"/>
      <c r="D893" s="19"/>
    </row>
    <row r="894" spans="1:4" x14ac:dyDescent="0.3">
      <c r="A894" s="20">
        <v>45451.1875</v>
      </c>
      <c r="B894" s="17">
        <v>68.902917000000002</v>
      </c>
      <c r="C894" s="18"/>
      <c r="D894" s="19"/>
    </row>
    <row r="895" spans="1:4" x14ac:dyDescent="0.3">
      <c r="A895" s="20">
        <v>45451.188194000002</v>
      </c>
      <c r="B895" s="17">
        <v>69.737144000000001</v>
      </c>
      <c r="C895" s="18"/>
      <c r="D895" s="19"/>
    </row>
    <row r="896" spans="1:4" x14ac:dyDescent="0.3">
      <c r="A896" s="20">
        <v>45451.188888999997</v>
      </c>
      <c r="B896" s="17">
        <v>70.044499000000002</v>
      </c>
      <c r="C896" s="18"/>
      <c r="D896" s="19"/>
    </row>
    <row r="897" spans="1:4" x14ac:dyDescent="0.3">
      <c r="A897" s="20">
        <v>45451.189582999999</v>
      </c>
      <c r="B897" s="17">
        <v>69.434884999999994</v>
      </c>
      <c r="C897" s="18"/>
      <c r="D897" s="19"/>
    </row>
    <row r="898" spans="1:4" x14ac:dyDescent="0.3">
      <c r="A898" s="20">
        <v>45451.190278000002</v>
      </c>
      <c r="B898" s="17">
        <v>70.184189000000003</v>
      </c>
      <c r="C898" s="18"/>
      <c r="D898" s="19"/>
    </row>
    <row r="899" spans="1:4" x14ac:dyDescent="0.3">
      <c r="A899" s="20">
        <v>45451.190971999997</v>
      </c>
      <c r="B899" s="17">
        <v>69.524467000000001</v>
      </c>
      <c r="C899" s="18"/>
      <c r="D899" s="19"/>
    </row>
    <row r="900" spans="1:4" x14ac:dyDescent="0.3">
      <c r="A900" s="20">
        <v>45451.191666999999</v>
      </c>
      <c r="B900" s="17">
        <v>69.649590000000003</v>
      </c>
      <c r="C900" s="18"/>
      <c r="D900" s="19"/>
    </row>
    <row r="901" spans="1:4" x14ac:dyDescent="0.3">
      <c r="A901" s="20">
        <v>45451.192361000001</v>
      </c>
      <c r="B901" s="17">
        <v>69.315969999999993</v>
      </c>
      <c r="C901" s="18"/>
      <c r="D901" s="19"/>
    </row>
    <row r="902" spans="1:4" x14ac:dyDescent="0.3">
      <c r="A902" s="20">
        <v>45451.193055999996</v>
      </c>
      <c r="B902" s="17">
        <v>70.086132000000006</v>
      </c>
      <c r="C902" s="18"/>
      <c r="D902" s="19"/>
    </row>
    <row r="903" spans="1:4" x14ac:dyDescent="0.3">
      <c r="A903" s="20">
        <v>45451.193749999999</v>
      </c>
      <c r="B903" s="17">
        <v>70.000495000000001</v>
      </c>
      <c r="C903" s="18"/>
      <c r="D903" s="19"/>
    </row>
    <row r="904" spans="1:4" x14ac:dyDescent="0.3">
      <c r="A904" s="20">
        <v>45451.194444000001</v>
      </c>
      <c r="B904" s="17">
        <v>70.415317999999999</v>
      </c>
      <c r="C904" s="18"/>
      <c r="D904" s="19"/>
    </row>
    <row r="905" spans="1:4" x14ac:dyDescent="0.3">
      <c r="A905" s="20">
        <v>45451.195139000003</v>
      </c>
      <c r="B905" s="17">
        <v>69.773351000000005</v>
      </c>
      <c r="C905" s="18"/>
      <c r="D905" s="19"/>
    </row>
    <row r="906" spans="1:4" x14ac:dyDescent="0.3">
      <c r="A906" s="20">
        <v>45451.195832999998</v>
      </c>
      <c r="B906" s="17">
        <v>69.833811999999995</v>
      </c>
      <c r="C906" s="18"/>
      <c r="D906" s="19"/>
    </row>
    <row r="907" spans="1:4" x14ac:dyDescent="0.3">
      <c r="A907" s="20">
        <v>45451.196528</v>
      </c>
      <c r="B907" s="17">
        <v>69.576344000000006</v>
      </c>
      <c r="C907" s="18"/>
      <c r="D907" s="19"/>
    </row>
    <row r="908" spans="1:4" x14ac:dyDescent="0.3">
      <c r="A908" s="20">
        <v>45451.197222000003</v>
      </c>
      <c r="B908" s="17">
        <v>69.741944000000004</v>
      </c>
      <c r="C908" s="18"/>
      <c r="D908" s="19"/>
    </row>
    <row r="909" spans="1:4" x14ac:dyDescent="0.3">
      <c r="A909" s="20">
        <v>45451.197916999998</v>
      </c>
      <c r="B909" s="17">
        <v>69.767748999999995</v>
      </c>
      <c r="C909" s="18"/>
      <c r="D909" s="19"/>
    </row>
    <row r="910" spans="1:4" x14ac:dyDescent="0.3">
      <c r="A910" s="20">
        <v>45451.198611</v>
      </c>
      <c r="B910" s="17">
        <v>69.601078999999999</v>
      </c>
      <c r="C910" s="18"/>
      <c r="D910" s="19"/>
    </row>
    <row r="911" spans="1:4" x14ac:dyDescent="0.3">
      <c r="A911" s="20">
        <v>45451.199306000002</v>
      </c>
      <c r="B911" s="17">
        <v>69.231514000000004</v>
      </c>
      <c r="C911" s="18"/>
      <c r="D911" s="19"/>
    </row>
    <row r="912" spans="1:4" x14ac:dyDescent="0.3">
      <c r="A912" s="20">
        <v>45451.199999999997</v>
      </c>
      <c r="B912" s="17">
        <v>69.777934000000002</v>
      </c>
      <c r="C912" s="18"/>
      <c r="D912" s="19"/>
    </row>
    <row r="913" spans="1:4" x14ac:dyDescent="0.3">
      <c r="A913" s="20">
        <v>45451.200693999999</v>
      </c>
      <c r="B913" s="17">
        <v>69.354428999999996</v>
      </c>
      <c r="C913" s="18"/>
      <c r="D913" s="19"/>
    </row>
    <row r="914" spans="1:4" x14ac:dyDescent="0.3">
      <c r="A914" s="20">
        <v>45451.201389000002</v>
      </c>
      <c r="B914" s="17">
        <v>69.262420000000006</v>
      </c>
      <c r="C914" s="18"/>
      <c r="D914" s="19"/>
    </row>
    <row r="915" spans="1:4" x14ac:dyDescent="0.3">
      <c r="A915" s="20">
        <v>45451.202082999996</v>
      </c>
      <c r="B915" s="17">
        <v>69.186241999999993</v>
      </c>
      <c r="C915" s="18"/>
      <c r="D915" s="19"/>
    </row>
    <row r="916" spans="1:4" x14ac:dyDescent="0.3">
      <c r="A916" s="20">
        <v>45451.202777999999</v>
      </c>
      <c r="B916" s="17">
        <v>69.816276999999999</v>
      </c>
      <c r="C916" s="18"/>
      <c r="D916" s="19"/>
    </row>
    <row r="917" spans="1:4" x14ac:dyDescent="0.3">
      <c r="A917" s="20">
        <v>45451.203472000001</v>
      </c>
      <c r="B917" s="17">
        <v>69.518158</v>
      </c>
      <c r="C917" s="18"/>
      <c r="D917" s="19"/>
    </row>
    <row r="918" spans="1:4" x14ac:dyDescent="0.3">
      <c r="A918" s="20">
        <v>45451.204167000004</v>
      </c>
      <c r="B918" s="17">
        <v>77.567616000000001</v>
      </c>
      <c r="C918" s="18"/>
      <c r="D918" s="19"/>
    </row>
    <row r="919" spans="1:4" x14ac:dyDescent="0.3">
      <c r="A919" s="20">
        <v>45451.204860999998</v>
      </c>
      <c r="B919" s="17">
        <v>80.844536000000005</v>
      </c>
      <c r="C919" s="18"/>
      <c r="D919" s="19"/>
    </row>
    <row r="920" spans="1:4" x14ac:dyDescent="0.3">
      <c r="A920" s="20">
        <v>45451.205556000001</v>
      </c>
      <c r="B920" s="17">
        <v>80.319039000000004</v>
      </c>
      <c r="C920" s="18"/>
      <c r="D920" s="19"/>
    </row>
    <row r="921" spans="1:4" x14ac:dyDescent="0.3">
      <c r="A921" s="20">
        <v>45451.206250000003</v>
      </c>
      <c r="B921" s="17">
        <v>80.457385000000002</v>
      </c>
      <c r="C921" s="18"/>
      <c r="D921" s="19"/>
    </row>
    <row r="922" spans="1:4" x14ac:dyDescent="0.3">
      <c r="A922" s="20">
        <v>45451.206943999998</v>
      </c>
      <c r="B922" s="17">
        <v>80.236320000000006</v>
      </c>
      <c r="C922" s="18"/>
      <c r="D922" s="19"/>
    </row>
    <row r="923" spans="1:4" x14ac:dyDescent="0.3">
      <c r="A923" s="20">
        <v>45451.207639</v>
      </c>
      <c r="B923" s="17">
        <v>80.230121999999994</v>
      </c>
      <c r="C923" s="18"/>
      <c r="D923" s="19"/>
    </row>
    <row r="924" spans="1:4" x14ac:dyDescent="0.3">
      <c r="A924" s="20">
        <v>45451.208333000002</v>
      </c>
      <c r="B924" s="17">
        <v>81.012775000000005</v>
      </c>
      <c r="C924" s="18"/>
      <c r="D924" s="19"/>
    </row>
    <row r="925" spans="1:4" x14ac:dyDescent="0.3">
      <c r="A925" s="20">
        <v>45451.209027999997</v>
      </c>
      <c r="B925" s="17">
        <v>80.174741999999995</v>
      </c>
      <c r="C925" s="18"/>
      <c r="D925" s="19"/>
    </row>
    <row r="926" spans="1:4" x14ac:dyDescent="0.3">
      <c r="A926" s="20">
        <v>45451.209722</v>
      </c>
      <c r="B926" s="17">
        <v>80.874705000000006</v>
      </c>
      <c r="C926" s="18"/>
      <c r="D926" s="19"/>
    </row>
    <row r="927" spans="1:4" x14ac:dyDescent="0.3">
      <c r="A927" s="20">
        <v>45451.210417000002</v>
      </c>
      <c r="B927" s="17">
        <v>80.063053999999994</v>
      </c>
      <c r="C927" s="18"/>
      <c r="D927" s="19"/>
    </row>
    <row r="928" spans="1:4" x14ac:dyDescent="0.3">
      <c r="A928" s="20">
        <v>45451.211110999997</v>
      </c>
      <c r="B928" s="17">
        <v>80.647906000000006</v>
      </c>
      <c r="C928" s="18"/>
      <c r="D928" s="19"/>
    </row>
    <row r="929" spans="1:4" x14ac:dyDescent="0.3">
      <c r="A929" s="20">
        <v>45451.211805999999</v>
      </c>
      <c r="B929" s="17">
        <v>81.010767999999999</v>
      </c>
      <c r="C929" s="18"/>
      <c r="D929" s="19"/>
    </row>
    <row r="930" spans="1:4" x14ac:dyDescent="0.3">
      <c r="A930" s="20">
        <v>45451.212500000001</v>
      </c>
      <c r="B930" s="17">
        <v>80.238173000000003</v>
      </c>
      <c r="C930" s="18"/>
      <c r="D930" s="19"/>
    </row>
    <row r="931" spans="1:4" x14ac:dyDescent="0.3">
      <c r="A931" s="20">
        <v>45451.213194000004</v>
      </c>
      <c r="B931" s="17">
        <v>80.284841999999998</v>
      </c>
      <c r="C931" s="18"/>
      <c r="D931" s="19"/>
    </row>
    <row r="932" spans="1:4" x14ac:dyDescent="0.3">
      <c r="A932" s="20">
        <v>45451.213888999999</v>
      </c>
      <c r="B932" s="17">
        <v>80.673727</v>
      </c>
      <c r="C932" s="18"/>
      <c r="D932" s="19"/>
    </row>
    <row r="933" spans="1:4" x14ac:dyDescent="0.3">
      <c r="A933" s="20">
        <v>45451.214583000001</v>
      </c>
      <c r="B933" s="17">
        <v>80.137281000000002</v>
      </c>
      <c r="C933" s="18"/>
      <c r="D933" s="19"/>
    </row>
    <row r="934" spans="1:4" x14ac:dyDescent="0.3">
      <c r="A934" s="20">
        <v>45451.215278000003</v>
      </c>
      <c r="B934" s="17">
        <v>79.944456000000002</v>
      </c>
      <c r="C934" s="18"/>
      <c r="D934" s="19"/>
    </row>
    <row r="935" spans="1:4" x14ac:dyDescent="0.3">
      <c r="A935" s="20">
        <v>45451.215971999998</v>
      </c>
      <c r="B935" s="17">
        <v>80.149975999999995</v>
      </c>
      <c r="C935" s="18"/>
      <c r="D935" s="19"/>
    </row>
    <row r="936" spans="1:4" x14ac:dyDescent="0.3">
      <c r="A936" s="20">
        <v>45451.216667000001</v>
      </c>
      <c r="B936" s="17">
        <v>80.603020000000001</v>
      </c>
      <c r="C936" s="18"/>
      <c r="D936" s="19"/>
    </row>
    <row r="937" spans="1:4" x14ac:dyDescent="0.3">
      <c r="A937" s="20">
        <v>45451.217361000003</v>
      </c>
      <c r="B937" s="17">
        <v>81.216363999999999</v>
      </c>
      <c r="C937" s="18"/>
      <c r="D937" s="19"/>
    </row>
    <row r="938" spans="1:4" x14ac:dyDescent="0.3">
      <c r="A938" s="20">
        <v>45451.218055999998</v>
      </c>
      <c r="B938" s="17">
        <v>79.903146000000007</v>
      </c>
      <c r="C938" s="18"/>
      <c r="D938" s="19"/>
    </row>
    <row r="939" spans="1:4" x14ac:dyDescent="0.3">
      <c r="A939" s="20">
        <v>45451.21875</v>
      </c>
      <c r="B939" s="17">
        <v>80.204139999999995</v>
      </c>
      <c r="C939" s="18"/>
      <c r="D939" s="19"/>
    </row>
    <row r="940" spans="1:4" x14ac:dyDescent="0.3">
      <c r="A940" s="20">
        <v>45451.219444000002</v>
      </c>
      <c r="B940" s="17">
        <v>80.080769000000004</v>
      </c>
      <c r="C940" s="18"/>
      <c r="D940" s="19"/>
    </row>
    <row r="941" spans="1:4" x14ac:dyDescent="0.3">
      <c r="A941" s="20">
        <v>45451.220138999997</v>
      </c>
      <c r="B941" s="17">
        <v>80.717585999999997</v>
      </c>
      <c r="C941" s="18"/>
      <c r="D941" s="19"/>
    </row>
    <row r="942" spans="1:4" x14ac:dyDescent="0.3">
      <c r="A942" s="20">
        <v>45451.220832999999</v>
      </c>
      <c r="B942" s="17">
        <v>79.524585000000002</v>
      </c>
      <c r="C942" s="18"/>
      <c r="D942" s="19"/>
    </row>
    <row r="943" spans="1:4" x14ac:dyDescent="0.3">
      <c r="A943" s="20">
        <v>45451.221528000002</v>
      </c>
      <c r="B943" s="17">
        <v>79.655593999999994</v>
      </c>
      <c r="C943" s="18"/>
      <c r="D943" s="19"/>
    </row>
    <row r="944" spans="1:4" x14ac:dyDescent="0.3">
      <c r="A944" s="20">
        <v>45451.222221999997</v>
      </c>
      <c r="B944" s="17">
        <v>80.376932999999994</v>
      </c>
      <c r="C944" s="18"/>
      <c r="D944" s="19"/>
    </row>
    <row r="945" spans="1:4" x14ac:dyDescent="0.3">
      <c r="A945" s="20">
        <v>45451.222916999999</v>
      </c>
      <c r="B945" s="17">
        <v>79.844925000000003</v>
      </c>
      <c r="C945" s="18"/>
      <c r="D945" s="19"/>
    </row>
    <row r="946" spans="1:4" x14ac:dyDescent="0.3">
      <c r="A946" s="20">
        <v>45451.223611000001</v>
      </c>
      <c r="B946" s="17">
        <v>79.809961000000001</v>
      </c>
      <c r="C946" s="18"/>
      <c r="D946" s="19"/>
    </row>
    <row r="947" spans="1:4" x14ac:dyDescent="0.3">
      <c r="A947" s="20">
        <v>45451.224305999996</v>
      </c>
      <c r="B947" s="17">
        <v>80.062819000000005</v>
      </c>
      <c r="C947" s="18"/>
      <c r="D947" s="19"/>
    </row>
    <row r="948" spans="1:4" x14ac:dyDescent="0.3">
      <c r="A948" s="20">
        <v>45451.224999999999</v>
      </c>
      <c r="B948" s="17">
        <v>80.051484000000002</v>
      </c>
      <c r="C948" s="18"/>
      <c r="D948" s="19"/>
    </row>
    <row r="949" spans="1:4" x14ac:dyDescent="0.3">
      <c r="A949" s="20">
        <v>45451.225694000001</v>
      </c>
      <c r="B949" s="17">
        <v>79.621888999999996</v>
      </c>
      <c r="C949" s="18"/>
      <c r="D949" s="19"/>
    </row>
    <row r="950" spans="1:4" x14ac:dyDescent="0.3">
      <c r="A950" s="20">
        <v>45451.226389000003</v>
      </c>
      <c r="B950" s="17">
        <v>80.399512999999999</v>
      </c>
      <c r="C950" s="18"/>
      <c r="D950" s="19"/>
    </row>
    <row r="951" spans="1:4" x14ac:dyDescent="0.3">
      <c r="A951" s="20">
        <v>45451.227082999998</v>
      </c>
      <c r="B951" s="17">
        <v>80.043453999999997</v>
      </c>
      <c r="C951" s="18"/>
      <c r="D951" s="19"/>
    </row>
    <row r="952" spans="1:4" x14ac:dyDescent="0.3">
      <c r="A952" s="20">
        <v>45451.227778</v>
      </c>
      <c r="B952" s="17">
        <v>79.291498000000004</v>
      </c>
      <c r="C952" s="18"/>
      <c r="D952" s="19"/>
    </row>
    <row r="953" spans="1:4" x14ac:dyDescent="0.3">
      <c r="A953" s="20">
        <v>45451.228472000003</v>
      </c>
      <c r="B953" s="17">
        <v>79.171771000000007</v>
      </c>
      <c r="C953" s="18"/>
      <c r="D953" s="19"/>
    </row>
    <row r="954" spans="1:4" x14ac:dyDescent="0.3">
      <c r="A954" s="20">
        <v>45451.229166999998</v>
      </c>
      <c r="B954" s="17">
        <v>79.205979999999997</v>
      </c>
      <c r="C954" s="18"/>
      <c r="D954" s="19"/>
    </row>
    <row r="955" spans="1:4" x14ac:dyDescent="0.3">
      <c r="A955" s="20">
        <v>45451.229861</v>
      </c>
      <c r="B955" s="17">
        <v>79.990725999999995</v>
      </c>
      <c r="C955" s="18"/>
      <c r="D955" s="19"/>
    </row>
    <row r="956" spans="1:4" x14ac:dyDescent="0.3">
      <c r="A956" s="20">
        <v>45451.230556000002</v>
      </c>
      <c r="B956" s="17">
        <v>79.949128999999999</v>
      </c>
      <c r="C956" s="18"/>
      <c r="D956" s="19"/>
    </row>
    <row r="957" spans="1:4" x14ac:dyDescent="0.3">
      <c r="A957" s="20">
        <v>45451.231249999997</v>
      </c>
      <c r="B957" s="17">
        <v>79.584157000000005</v>
      </c>
      <c r="C957" s="18"/>
      <c r="D957" s="19"/>
    </row>
    <row r="958" spans="1:4" x14ac:dyDescent="0.3">
      <c r="A958" s="20">
        <v>45451.231943999999</v>
      </c>
      <c r="B958" s="17">
        <v>79.101562999999999</v>
      </c>
      <c r="C958" s="18"/>
      <c r="D958" s="19"/>
    </row>
    <row r="959" spans="1:4" x14ac:dyDescent="0.3">
      <c r="A959" s="20">
        <v>45451.232639000002</v>
      </c>
      <c r="B959" s="17">
        <v>79.338941000000005</v>
      </c>
      <c r="C959" s="18"/>
      <c r="D959" s="19"/>
    </row>
    <row r="960" spans="1:4" x14ac:dyDescent="0.3">
      <c r="A960" s="20">
        <v>45451.233332999996</v>
      </c>
      <c r="B960" s="17">
        <v>78.094598000000005</v>
      </c>
      <c r="C960" s="18"/>
      <c r="D960" s="19"/>
    </row>
    <row r="961" spans="1:4" x14ac:dyDescent="0.3">
      <c r="A961" s="20">
        <v>45451.234027999999</v>
      </c>
      <c r="B961" s="17">
        <v>79.529730999999998</v>
      </c>
      <c r="C961" s="18"/>
      <c r="D961" s="19"/>
    </row>
    <row r="962" spans="1:4" x14ac:dyDescent="0.3">
      <c r="A962" s="20">
        <v>45451.234722000001</v>
      </c>
      <c r="B962" s="17">
        <v>79.146289999999993</v>
      </c>
      <c r="C962" s="18"/>
      <c r="D962" s="19"/>
    </row>
    <row r="963" spans="1:4" x14ac:dyDescent="0.3">
      <c r="A963" s="20">
        <v>45451.235417000004</v>
      </c>
      <c r="B963" s="17">
        <v>78.832076999999998</v>
      </c>
      <c r="C963" s="18"/>
      <c r="D963" s="19"/>
    </row>
    <row r="964" spans="1:4" x14ac:dyDescent="0.3">
      <c r="A964" s="20">
        <v>45451.236110999998</v>
      </c>
      <c r="B964" s="17">
        <v>79.18477</v>
      </c>
      <c r="C964" s="18"/>
      <c r="D964" s="19"/>
    </row>
    <row r="965" spans="1:4" x14ac:dyDescent="0.3">
      <c r="A965" s="20">
        <v>45451.236806000001</v>
      </c>
      <c r="B965" s="17">
        <v>79.830155000000005</v>
      </c>
      <c r="C965" s="18"/>
      <c r="D965" s="19"/>
    </row>
    <row r="966" spans="1:4" x14ac:dyDescent="0.3">
      <c r="A966" s="20">
        <v>45451.237500000003</v>
      </c>
      <c r="B966" s="17">
        <v>79.175038000000001</v>
      </c>
      <c r="C966" s="18"/>
      <c r="D966" s="19"/>
    </row>
    <row r="967" spans="1:4" x14ac:dyDescent="0.3">
      <c r="A967" s="20">
        <v>45451.238193999998</v>
      </c>
      <c r="B967" s="17">
        <v>79.344415999999995</v>
      </c>
      <c r="C967" s="18"/>
      <c r="D967" s="19"/>
    </row>
    <row r="968" spans="1:4" x14ac:dyDescent="0.3">
      <c r="A968" s="20">
        <v>45451.238889</v>
      </c>
      <c r="B968" s="17">
        <v>80.274180999999999</v>
      </c>
      <c r="C968" s="18"/>
      <c r="D968" s="19"/>
    </row>
    <row r="969" spans="1:4" x14ac:dyDescent="0.3">
      <c r="A969" s="20">
        <v>45451.239583000002</v>
      </c>
      <c r="B969" s="17">
        <v>79.772509999999997</v>
      </c>
      <c r="C969" s="18"/>
      <c r="D969" s="19"/>
    </row>
    <row r="970" spans="1:4" x14ac:dyDescent="0.3">
      <c r="A970" s="20">
        <v>45451.240277999997</v>
      </c>
      <c r="B970" s="17">
        <v>79.559652</v>
      </c>
      <c r="C970" s="18"/>
      <c r="D970" s="19"/>
    </row>
    <row r="971" spans="1:4" x14ac:dyDescent="0.3">
      <c r="A971" s="20">
        <v>45451.240972</v>
      </c>
      <c r="B971" s="17">
        <v>79.199112999999997</v>
      </c>
      <c r="C971" s="18"/>
      <c r="D971" s="19"/>
    </row>
    <row r="972" spans="1:4" x14ac:dyDescent="0.3">
      <c r="A972" s="20">
        <v>45451.241667000002</v>
      </c>
      <c r="B972" s="17">
        <v>78.422282999999993</v>
      </c>
      <c r="C972" s="18"/>
      <c r="D972" s="19"/>
    </row>
    <row r="973" spans="1:4" x14ac:dyDescent="0.3">
      <c r="A973" s="20">
        <v>45451.242360999997</v>
      </c>
      <c r="B973" s="17">
        <v>79.541347999999999</v>
      </c>
      <c r="C973" s="18"/>
      <c r="D973" s="19"/>
    </row>
    <row r="974" spans="1:4" x14ac:dyDescent="0.3">
      <c r="A974" s="20">
        <v>45451.243055999999</v>
      </c>
      <c r="B974" s="17">
        <v>79.036949000000007</v>
      </c>
      <c r="C974" s="18"/>
      <c r="D974" s="19"/>
    </row>
    <row r="975" spans="1:4" x14ac:dyDescent="0.3">
      <c r="A975" s="20">
        <v>45451.243750000001</v>
      </c>
      <c r="B975" s="17">
        <v>79.419055999999998</v>
      </c>
      <c r="C975" s="18"/>
      <c r="D975" s="19"/>
    </row>
    <row r="976" spans="1:4" x14ac:dyDescent="0.3">
      <c r="A976" s="20">
        <v>45451.244444000004</v>
      </c>
      <c r="B976" s="17">
        <v>79.185635000000005</v>
      </c>
      <c r="C976" s="18"/>
      <c r="D976" s="19"/>
    </row>
    <row r="977" spans="1:4" x14ac:dyDescent="0.3">
      <c r="A977" s="20">
        <v>45451.245138999999</v>
      </c>
      <c r="B977" s="17">
        <v>79.005646999999996</v>
      </c>
      <c r="C977" s="18"/>
      <c r="D977" s="19"/>
    </row>
    <row r="978" spans="1:4" x14ac:dyDescent="0.3">
      <c r="A978" s="20">
        <v>45451.245833000001</v>
      </c>
      <c r="B978" s="17">
        <v>79.927308999999994</v>
      </c>
      <c r="C978" s="18"/>
      <c r="D978" s="19"/>
    </row>
    <row r="979" spans="1:4" x14ac:dyDescent="0.3">
      <c r="A979" s="20">
        <v>45451.246528000003</v>
      </c>
      <c r="B979" s="17">
        <v>79.359246999999996</v>
      </c>
      <c r="C979" s="18"/>
      <c r="D979" s="19"/>
    </row>
    <row r="980" spans="1:4" x14ac:dyDescent="0.3">
      <c r="A980" s="20">
        <v>45451.247221999998</v>
      </c>
      <c r="B980" s="17">
        <v>79.359155000000001</v>
      </c>
      <c r="C980" s="18"/>
      <c r="D980" s="19"/>
    </row>
    <row r="981" spans="1:4" x14ac:dyDescent="0.3">
      <c r="A981" s="20">
        <v>45451.247917000001</v>
      </c>
      <c r="B981" s="17">
        <v>79.656604999999999</v>
      </c>
      <c r="C981" s="18"/>
      <c r="D981" s="19"/>
    </row>
    <row r="982" spans="1:4" x14ac:dyDescent="0.3">
      <c r="A982" s="20">
        <v>45451.248611000003</v>
      </c>
      <c r="B982" s="17">
        <v>79.373617999999993</v>
      </c>
      <c r="C982" s="18"/>
      <c r="D982" s="19"/>
    </row>
    <row r="983" spans="1:4" x14ac:dyDescent="0.3">
      <c r="A983" s="20">
        <v>45451.249305999998</v>
      </c>
      <c r="B983" s="17">
        <v>78.979291000000003</v>
      </c>
      <c r="C983" s="18"/>
      <c r="D983" s="19"/>
    </row>
    <row r="984" spans="1:4" x14ac:dyDescent="0.3">
      <c r="A984" s="20">
        <v>45451.25</v>
      </c>
      <c r="B984" s="17">
        <v>79.666537000000005</v>
      </c>
      <c r="C984" s="18"/>
      <c r="D984" s="19"/>
    </row>
    <row r="985" spans="1:4" x14ac:dyDescent="0.3">
      <c r="A985" s="20">
        <v>45451.250694000002</v>
      </c>
      <c r="B985" s="17">
        <v>79.254572999999993</v>
      </c>
      <c r="C985" s="18"/>
      <c r="D985" s="19"/>
    </row>
    <row r="986" spans="1:4" x14ac:dyDescent="0.3">
      <c r="A986" s="20">
        <v>45451.251388999997</v>
      </c>
      <c r="B986" s="17">
        <v>79.597318000000001</v>
      </c>
      <c r="C986" s="18"/>
      <c r="D986" s="19"/>
    </row>
    <row r="987" spans="1:4" x14ac:dyDescent="0.3">
      <c r="A987" s="20">
        <v>45451.252082999999</v>
      </c>
      <c r="B987" s="17">
        <v>79.328055000000006</v>
      </c>
      <c r="C987" s="18"/>
      <c r="D987" s="19"/>
    </row>
    <row r="988" spans="1:4" x14ac:dyDescent="0.3">
      <c r="A988" s="20">
        <v>45451.252778000002</v>
      </c>
      <c r="B988" s="17">
        <v>79.568169999999995</v>
      </c>
      <c r="C988" s="18"/>
      <c r="D988" s="19"/>
    </row>
    <row r="989" spans="1:4" x14ac:dyDescent="0.3">
      <c r="A989" s="20">
        <v>45451.253471999997</v>
      </c>
      <c r="B989" s="17">
        <v>79.360399999999998</v>
      </c>
      <c r="C989" s="18"/>
      <c r="D989" s="19"/>
    </row>
    <row r="990" spans="1:4" x14ac:dyDescent="0.3">
      <c r="A990" s="20">
        <v>45451.254166999999</v>
      </c>
      <c r="B990" s="17">
        <v>79.535019000000005</v>
      </c>
      <c r="C990" s="18"/>
      <c r="D990" s="19"/>
    </row>
    <row r="991" spans="1:4" x14ac:dyDescent="0.3">
      <c r="A991" s="20">
        <v>45451.254861000001</v>
      </c>
      <c r="B991" s="17">
        <v>79.180593000000002</v>
      </c>
      <c r="C991" s="18"/>
      <c r="D991" s="19"/>
    </row>
    <row r="992" spans="1:4" x14ac:dyDescent="0.3">
      <c r="A992" s="20">
        <v>45451.255555999996</v>
      </c>
      <c r="B992" s="17">
        <v>79.434094000000002</v>
      </c>
      <c r="C992" s="18"/>
      <c r="D992" s="19"/>
    </row>
    <row r="993" spans="1:4" x14ac:dyDescent="0.3">
      <c r="A993" s="20">
        <v>45451.256249999999</v>
      </c>
      <c r="B993" s="17">
        <v>79.417494000000005</v>
      </c>
      <c r="C993" s="18"/>
      <c r="D993" s="19"/>
    </row>
    <row r="994" spans="1:4" x14ac:dyDescent="0.3">
      <c r="A994" s="20">
        <v>45451.256944000001</v>
      </c>
      <c r="B994" s="17">
        <v>79.574376999999998</v>
      </c>
      <c r="C994" s="18"/>
      <c r="D994" s="19"/>
    </row>
    <row r="995" spans="1:4" x14ac:dyDescent="0.3">
      <c r="A995" s="20">
        <v>45451.257639000003</v>
      </c>
      <c r="B995" s="17">
        <v>78.696228000000005</v>
      </c>
      <c r="C995" s="18"/>
      <c r="D995" s="19"/>
    </row>
    <row r="996" spans="1:4" x14ac:dyDescent="0.3">
      <c r="A996" s="20">
        <v>45451.258332999998</v>
      </c>
      <c r="B996" s="17">
        <v>79.268326000000002</v>
      </c>
      <c r="C996" s="18"/>
      <c r="D996" s="19"/>
    </row>
    <row r="997" spans="1:4" x14ac:dyDescent="0.3">
      <c r="A997" s="20">
        <v>45451.259028</v>
      </c>
      <c r="B997" s="17">
        <v>79.584451000000001</v>
      </c>
      <c r="C997" s="18"/>
      <c r="D997" s="19"/>
    </row>
    <row r="998" spans="1:4" x14ac:dyDescent="0.3">
      <c r="A998" s="20">
        <v>45451.259722000003</v>
      </c>
      <c r="B998" s="17">
        <v>79.595791000000006</v>
      </c>
      <c r="C998" s="18"/>
      <c r="D998" s="19"/>
    </row>
    <row r="999" spans="1:4" x14ac:dyDescent="0.3">
      <c r="A999" s="20">
        <v>45451.260416999998</v>
      </c>
      <c r="B999" s="17">
        <v>80.131568000000001</v>
      </c>
      <c r="C999" s="18"/>
      <c r="D999" s="19"/>
    </row>
    <row r="1000" spans="1:4" x14ac:dyDescent="0.3">
      <c r="A1000" s="20">
        <v>45451.261111</v>
      </c>
      <c r="B1000" s="17">
        <v>78.874971000000002</v>
      </c>
      <c r="C1000" s="18"/>
      <c r="D1000" s="19"/>
    </row>
    <row r="1001" spans="1:4" x14ac:dyDescent="0.3">
      <c r="A1001" s="20">
        <v>45451.261806000002</v>
      </c>
      <c r="B1001" s="17">
        <v>79.997320000000002</v>
      </c>
      <c r="C1001" s="18"/>
      <c r="D1001" s="19"/>
    </row>
    <row r="1002" spans="1:4" x14ac:dyDescent="0.3">
      <c r="A1002" s="20">
        <v>45451.262499999997</v>
      </c>
      <c r="B1002" s="17">
        <v>79.785015999999999</v>
      </c>
      <c r="C1002" s="18"/>
      <c r="D1002" s="19"/>
    </row>
    <row r="1003" spans="1:4" x14ac:dyDescent="0.3">
      <c r="A1003" s="20">
        <v>45451.263193999999</v>
      </c>
      <c r="B1003" s="17">
        <v>79.418919000000002</v>
      </c>
      <c r="C1003" s="18"/>
      <c r="D1003" s="19"/>
    </row>
    <row r="1004" spans="1:4" x14ac:dyDescent="0.3">
      <c r="A1004" s="20">
        <v>45451.263889000002</v>
      </c>
      <c r="B1004" s="17">
        <v>80.334931999999995</v>
      </c>
      <c r="C1004" s="18"/>
      <c r="D1004" s="19"/>
    </row>
    <row r="1005" spans="1:4" x14ac:dyDescent="0.3">
      <c r="A1005" s="20">
        <v>45451.264582999996</v>
      </c>
      <c r="B1005" s="17">
        <v>79.650025999999997</v>
      </c>
      <c r="C1005" s="18"/>
      <c r="D1005" s="19"/>
    </row>
    <row r="1006" spans="1:4" x14ac:dyDescent="0.3">
      <c r="A1006" s="20">
        <v>45451.265277999999</v>
      </c>
      <c r="B1006" s="17">
        <v>80.321485999999993</v>
      </c>
      <c r="C1006" s="18"/>
      <c r="D1006" s="19"/>
    </row>
    <row r="1007" spans="1:4" x14ac:dyDescent="0.3">
      <c r="A1007" s="20">
        <v>45451.265972000001</v>
      </c>
      <c r="B1007" s="17">
        <v>79.634854000000004</v>
      </c>
      <c r="C1007" s="18"/>
      <c r="D1007" s="19"/>
    </row>
    <row r="1008" spans="1:4" x14ac:dyDescent="0.3">
      <c r="A1008" s="20">
        <v>45451.266667000004</v>
      </c>
      <c r="B1008" s="17">
        <v>79.682518999999999</v>
      </c>
      <c r="C1008" s="18"/>
      <c r="D1008" s="19"/>
    </row>
    <row r="1009" spans="1:4" x14ac:dyDescent="0.3">
      <c r="A1009" s="20">
        <v>45451.267360999998</v>
      </c>
      <c r="B1009" s="17">
        <v>80.269743000000005</v>
      </c>
      <c r="C1009" s="18"/>
      <c r="D1009" s="19"/>
    </row>
    <row r="1010" spans="1:4" x14ac:dyDescent="0.3">
      <c r="A1010" s="20">
        <v>45451.268056000001</v>
      </c>
      <c r="B1010" s="17">
        <v>80.069519999999997</v>
      </c>
      <c r="C1010" s="18"/>
      <c r="D1010" s="19"/>
    </row>
    <row r="1011" spans="1:4" x14ac:dyDescent="0.3">
      <c r="A1011" s="20">
        <v>45451.268750000003</v>
      </c>
      <c r="B1011" s="17">
        <v>79.723535999999996</v>
      </c>
      <c r="C1011" s="18"/>
      <c r="D1011" s="19"/>
    </row>
    <row r="1012" spans="1:4" x14ac:dyDescent="0.3">
      <c r="A1012" s="20">
        <v>45451.269443999998</v>
      </c>
      <c r="B1012" s="17">
        <v>80.291788999999994</v>
      </c>
      <c r="C1012" s="18"/>
      <c r="D1012" s="19"/>
    </row>
    <row r="1013" spans="1:4" x14ac:dyDescent="0.3">
      <c r="A1013" s="20">
        <v>45451.270139</v>
      </c>
      <c r="B1013" s="17">
        <v>79.961006999999995</v>
      </c>
      <c r="C1013" s="18"/>
      <c r="D1013" s="19"/>
    </row>
    <row r="1014" spans="1:4" x14ac:dyDescent="0.3">
      <c r="A1014" s="20">
        <v>45451.270833000002</v>
      </c>
      <c r="B1014" s="17">
        <v>79.938399000000004</v>
      </c>
      <c r="C1014" s="18"/>
      <c r="D1014" s="19"/>
    </row>
    <row r="1015" spans="1:4" x14ac:dyDescent="0.3">
      <c r="A1015" s="20">
        <v>45451.271527999997</v>
      </c>
      <c r="B1015" s="17">
        <v>79.273261000000005</v>
      </c>
      <c r="C1015" s="18"/>
      <c r="D1015" s="19"/>
    </row>
    <row r="1016" spans="1:4" x14ac:dyDescent="0.3">
      <c r="A1016" s="20">
        <v>45451.272222</v>
      </c>
      <c r="B1016" s="17">
        <v>79.460655000000003</v>
      </c>
      <c r="C1016" s="18"/>
      <c r="D1016" s="19"/>
    </row>
    <row r="1017" spans="1:4" x14ac:dyDescent="0.3">
      <c r="A1017" s="20">
        <v>45451.272917000002</v>
      </c>
      <c r="B1017" s="17">
        <v>79.499270999999993</v>
      </c>
      <c r="C1017" s="18"/>
      <c r="D1017" s="19"/>
    </row>
    <row r="1018" spans="1:4" x14ac:dyDescent="0.3">
      <c r="A1018" s="20">
        <v>45451.273610999997</v>
      </c>
      <c r="B1018" s="17">
        <v>79.114737000000005</v>
      </c>
      <c r="C1018" s="18"/>
      <c r="D1018" s="19"/>
    </row>
    <row r="1019" spans="1:4" x14ac:dyDescent="0.3">
      <c r="A1019" s="20">
        <v>45451.274305999999</v>
      </c>
      <c r="B1019" s="17">
        <v>79.202447000000006</v>
      </c>
      <c r="C1019" s="18"/>
      <c r="D1019" s="19"/>
    </row>
    <row r="1020" spans="1:4" x14ac:dyDescent="0.3">
      <c r="A1020" s="20">
        <v>45451.275000000001</v>
      </c>
      <c r="B1020" s="17">
        <v>80.220965000000007</v>
      </c>
      <c r="C1020" s="18"/>
      <c r="D1020" s="19"/>
    </row>
    <row r="1021" spans="1:4" x14ac:dyDescent="0.3">
      <c r="A1021" s="20">
        <v>45451.275694000004</v>
      </c>
      <c r="B1021" s="17">
        <v>80.482150000000004</v>
      </c>
      <c r="C1021" s="18"/>
      <c r="D1021" s="19"/>
    </row>
    <row r="1022" spans="1:4" x14ac:dyDescent="0.3">
      <c r="A1022" s="20">
        <v>45451.276388999999</v>
      </c>
      <c r="B1022" s="17">
        <v>80.054402999999994</v>
      </c>
      <c r="C1022" s="18"/>
      <c r="D1022" s="19"/>
    </row>
    <row r="1023" spans="1:4" x14ac:dyDescent="0.3">
      <c r="A1023" s="20">
        <v>45451.277083000001</v>
      </c>
      <c r="B1023" s="17">
        <v>80.162018000000003</v>
      </c>
      <c r="C1023" s="18"/>
      <c r="D1023" s="19"/>
    </row>
    <row r="1024" spans="1:4" x14ac:dyDescent="0.3">
      <c r="A1024" s="20">
        <v>45451.277778000003</v>
      </c>
      <c r="B1024" s="17">
        <v>79.553278000000006</v>
      </c>
      <c r="C1024" s="18"/>
      <c r="D1024" s="19"/>
    </row>
    <row r="1025" spans="1:4" x14ac:dyDescent="0.3">
      <c r="A1025" s="20">
        <v>45451.278471999998</v>
      </c>
      <c r="B1025" s="17">
        <v>80.010248000000004</v>
      </c>
      <c r="C1025" s="18"/>
      <c r="D1025" s="19"/>
    </row>
    <row r="1026" spans="1:4" x14ac:dyDescent="0.3">
      <c r="A1026" s="20">
        <v>45451.279167000001</v>
      </c>
      <c r="B1026" s="17">
        <v>79.794369000000003</v>
      </c>
      <c r="C1026" s="18"/>
      <c r="D1026" s="19"/>
    </row>
    <row r="1027" spans="1:4" x14ac:dyDescent="0.3">
      <c r="A1027" s="20">
        <v>45451.279861000003</v>
      </c>
      <c r="B1027" s="17">
        <v>80.198177000000001</v>
      </c>
      <c r="C1027" s="18"/>
      <c r="D1027" s="19"/>
    </row>
    <row r="1028" spans="1:4" x14ac:dyDescent="0.3">
      <c r="A1028" s="20">
        <v>45451.280555999998</v>
      </c>
      <c r="B1028" s="17">
        <v>80.206102999999999</v>
      </c>
      <c r="C1028" s="18"/>
      <c r="D1028" s="19"/>
    </row>
    <row r="1029" spans="1:4" x14ac:dyDescent="0.3">
      <c r="A1029" s="20">
        <v>45451.28125</v>
      </c>
      <c r="B1029" s="17">
        <v>80.219031000000001</v>
      </c>
      <c r="C1029" s="18"/>
      <c r="D1029" s="19"/>
    </row>
    <row r="1030" spans="1:4" x14ac:dyDescent="0.3">
      <c r="A1030" s="20">
        <v>45451.281944000002</v>
      </c>
      <c r="B1030" s="17">
        <v>79.632205999999996</v>
      </c>
      <c r="C1030" s="18"/>
      <c r="D1030" s="19"/>
    </row>
    <row r="1031" spans="1:4" x14ac:dyDescent="0.3">
      <c r="A1031" s="20">
        <v>45451.282638999997</v>
      </c>
      <c r="B1031" s="17">
        <v>80.154948000000005</v>
      </c>
      <c r="C1031" s="18"/>
      <c r="D1031" s="19"/>
    </row>
    <row r="1032" spans="1:4" x14ac:dyDescent="0.3">
      <c r="A1032" s="20">
        <v>45451.283332999999</v>
      </c>
      <c r="B1032" s="17">
        <v>80.317192000000006</v>
      </c>
      <c r="C1032" s="18"/>
      <c r="D1032" s="19"/>
    </row>
    <row r="1033" spans="1:4" x14ac:dyDescent="0.3">
      <c r="A1033" s="20">
        <v>45451.284028000002</v>
      </c>
      <c r="B1033" s="17">
        <v>79.831475999999995</v>
      </c>
      <c r="C1033" s="18"/>
      <c r="D1033" s="19"/>
    </row>
    <row r="1034" spans="1:4" x14ac:dyDescent="0.3">
      <c r="A1034" s="20">
        <v>45451.284721999997</v>
      </c>
      <c r="B1034" s="17">
        <v>80.111532999999994</v>
      </c>
      <c r="C1034" s="18"/>
      <c r="D1034" s="19"/>
    </row>
    <row r="1035" spans="1:4" x14ac:dyDescent="0.3">
      <c r="A1035" s="20">
        <v>45451.285416999999</v>
      </c>
      <c r="B1035" s="17">
        <v>80.137739999999994</v>
      </c>
      <c r="C1035" s="18"/>
      <c r="D1035" s="19"/>
    </row>
    <row r="1036" spans="1:4" x14ac:dyDescent="0.3">
      <c r="A1036" s="20">
        <v>45451.286111000001</v>
      </c>
      <c r="B1036" s="17">
        <v>79.93065</v>
      </c>
      <c r="C1036" s="18"/>
      <c r="D1036" s="19"/>
    </row>
    <row r="1037" spans="1:4" x14ac:dyDescent="0.3">
      <c r="A1037" s="20">
        <v>45451.286805999996</v>
      </c>
      <c r="B1037" s="17">
        <v>80.615803999999997</v>
      </c>
      <c r="C1037" s="18"/>
      <c r="D1037" s="19"/>
    </row>
    <row r="1038" spans="1:4" x14ac:dyDescent="0.3">
      <c r="A1038" s="20">
        <v>45451.287499999999</v>
      </c>
      <c r="B1038" s="17">
        <v>69.069305</v>
      </c>
      <c r="C1038" s="18"/>
      <c r="D1038" s="19"/>
    </row>
    <row r="1039" spans="1:4" x14ac:dyDescent="0.3">
      <c r="A1039" s="20">
        <v>45451.288194000001</v>
      </c>
      <c r="B1039" s="17">
        <v>65.550228000000004</v>
      </c>
      <c r="C1039" s="18"/>
      <c r="D1039" s="19"/>
    </row>
    <row r="1040" spans="1:4" x14ac:dyDescent="0.3">
      <c r="A1040" s="20">
        <v>45451.288889000003</v>
      </c>
      <c r="B1040" s="17">
        <v>65.323314999999994</v>
      </c>
      <c r="C1040" s="18"/>
      <c r="D1040" s="19"/>
    </row>
    <row r="1041" spans="1:4" x14ac:dyDescent="0.3">
      <c r="A1041" s="20">
        <v>45451.289582999998</v>
      </c>
      <c r="B1041" s="17">
        <v>65.832372000000007</v>
      </c>
      <c r="C1041" s="18"/>
      <c r="D1041" s="19"/>
    </row>
    <row r="1042" spans="1:4" x14ac:dyDescent="0.3">
      <c r="A1042" s="20">
        <v>45451.290278</v>
      </c>
      <c r="B1042" s="17">
        <v>65.067274999999995</v>
      </c>
      <c r="C1042" s="18"/>
      <c r="D1042" s="19"/>
    </row>
    <row r="1043" spans="1:4" x14ac:dyDescent="0.3">
      <c r="A1043" s="20">
        <v>45451.290972000003</v>
      </c>
      <c r="B1043" s="17">
        <v>64.887435999999994</v>
      </c>
      <c r="C1043" s="18"/>
      <c r="D1043" s="19"/>
    </row>
    <row r="1044" spans="1:4" x14ac:dyDescent="0.3">
      <c r="A1044" s="20">
        <v>45451.291666999998</v>
      </c>
      <c r="B1044" s="17">
        <v>64.993127999999999</v>
      </c>
      <c r="C1044" s="18"/>
      <c r="D1044" s="19"/>
    </row>
    <row r="1045" spans="1:4" x14ac:dyDescent="0.3">
      <c r="A1045" s="20">
        <v>45451.292361</v>
      </c>
      <c r="B1045" s="17">
        <v>65.332837999999995</v>
      </c>
      <c r="C1045" s="18"/>
      <c r="D1045" s="19"/>
    </row>
    <row r="1046" spans="1:4" x14ac:dyDescent="0.3">
      <c r="A1046" s="20">
        <v>45451.293056000002</v>
      </c>
      <c r="B1046" s="17">
        <v>65.807907999999998</v>
      </c>
      <c r="C1046" s="18"/>
      <c r="D1046" s="19"/>
    </row>
    <row r="1047" spans="1:4" x14ac:dyDescent="0.3">
      <c r="A1047" s="20">
        <v>45451.293749999997</v>
      </c>
      <c r="B1047" s="17">
        <v>65.938631000000001</v>
      </c>
      <c r="C1047" s="18"/>
      <c r="D1047" s="19"/>
    </row>
    <row r="1048" spans="1:4" x14ac:dyDescent="0.3">
      <c r="A1048" s="20">
        <v>45451.294443999999</v>
      </c>
      <c r="B1048" s="17">
        <v>66.056044999999997</v>
      </c>
      <c r="C1048" s="18"/>
      <c r="D1048" s="19"/>
    </row>
    <row r="1049" spans="1:4" x14ac:dyDescent="0.3">
      <c r="A1049" s="20">
        <v>45451.295139000002</v>
      </c>
      <c r="B1049" s="17">
        <v>65.770855999999995</v>
      </c>
      <c r="C1049" s="18"/>
      <c r="D1049" s="19"/>
    </row>
    <row r="1050" spans="1:4" x14ac:dyDescent="0.3">
      <c r="A1050" s="20">
        <v>45451.295832999996</v>
      </c>
      <c r="B1050" s="17">
        <v>65.981258999999994</v>
      </c>
      <c r="C1050" s="18"/>
      <c r="D1050" s="19"/>
    </row>
    <row r="1051" spans="1:4" x14ac:dyDescent="0.3">
      <c r="A1051" s="20">
        <v>45451.296527999999</v>
      </c>
      <c r="B1051" s="17">
        <v>65.511269999999996</v>
      </c>
      <c r="C1051" s="18"/>
      <c r="D1051" s="19"/>
    </row>
    <row r="1052" spans="1:4" x14ac:dyDescent="0.3">
      <c r="A1052" s="20">
        <v>45451.297222000001</v>
      </c>
      <c r="B1052" s="17">
        <v>65.496110999999999</v>
      </c>
      <c r="C1052" s="18"/>
      <c r="D1052" s="19"/>
    </row>
    <row r="1053" spans="1:4" x14ac:dyDescent="0.3">
      <c r="A1053" s="20">
        <v>45451.297917000004</v>
      </c>
      <c r="B1053" s="17">
        <v>65.931372999999994</v>
      </c>
      <c r="C1053" s="18"/>
      <c r="D1053" s="19"/>
    </row>
    <row r="1054" spans="1:4" x14ac:dyDescent="0.3">
      <c r="A1054" s="20">
        <v>45451.298610999998</v>
      </c>
      <c r="B1054" s="17">
        <v>66.090322</v>
      </c>
      <c r="C1054" s="18"/>
      <c r="D1054" s="19"/>
    </row>
    <row r="1055" spans="1:4" x14ac:dyDescent="0.3">
      <c r="A1055" s="20">
        <v>45451.299306000001</v>
      </c>
      <c r="B1055" s="17">
        <v>66.420854000000006</v>
      </c>
      <c r="C1055" s="18"/>
      <c r="D1055" s="19"/>
    </row>
    <row r="1056" spans="1:4" x14ac:dyDescent="0.3">
      <c r="A1056" s="20">
        <v>45451.3</v>
      </c>
      <c r="B1056" s="17">
        <v>65.565786000000003</v>
      </c>
      <c r="C1056" s="18"/>
      <c r="D1056" s="19"/>
    </row>
    <row r="1057" spans="1:4" x14ac:dyDescent="0.3">
      <c r="A1057" s="20">
        <v>45451.300693999998</v>
      </c>
      <c r="B1057" s="17">
        <v>66.934439999999995</v>
      </c>
      <c r="C1057" s="18"/>
      <c r="D1057" s="19"/>
    </row>
    <row r="1058" spans="1:4" x14ac:dyDescent="0.3">
      <c r="A1058" s="20">
        <v>45451.301389</v>
      </c>
      <c r="B1058" s="17">
        <v>66.722399999999993</v>
      </c>
      <c r="C1058" s="18"/>
      <c r="D1058" s="19"/>
    </row>
    <row r="1059" spans="1:4" x14ac:dyDescent="0.3">
      <c r="A1059" s="20">
        <v>45451.302083000002</v>
      </c>
      <c r="B1059" s="17">
        <v>66.253471000000005</v>
      </c>
      <c r="C1059" s="18"/>
      <c r="D1059" s="19"/>
    </row>
    <row r="1060" spans="1:4" x14ac:dyDescent="0.3">
      <c r="A1060" s="20">
        <v>45451.302777999997</v>
      </c>
      <c r="B1060" s="17">
        <v>66.452524999999994</v>
      </c>
      <c r="C1060" s="18"/>
      <c r="D1060" s="19"/>
    </row>
    <row r="1061" spans="1:4" x14ac:dyDescent="0.3">
      <c r="A1061" s="20">
        <v>45451.303472</v>
      </c>
      <c r="B1061" s="17">
        <v>67.194608000000002</v>
      </c>
      <c r="C1061" s="18"/>
      <c r="D1061" s="19"/>
    </row>
    <row r="1062" spans="1:4" x14ac:dyDescent="0.3">
      <c r="A1062" s="20">
        <v>45451.304167000002</v>
      </c>
      <c r="B1062" s="17">
        <v>66.526835000000005</v>
      </c>
      <c r="C1062" s="18"/>
      <c r="D1062" s="19"/>
    </row>
    <row r="1063" spans="1:4" x14ac:dyDescent="0.3">
      <c r="A1063" s="20">
        <v>45451.304860999997</v>
      </c>
      <c r="B1063" s="17">
        <v>66.519401999999999</v>
      </c>
      <c r="C1063" s="18"/>
      <c r="D1063" s="19"/>
    </row>
    <row r="1064" spans="1:4" x14ac:dyDescent="0.3">
      <c r="A1064" s="20">
        <v>45451.305555999999</v>
      </c>
      <c r="B1064" s="17">
        <v>67.109140999999994</v>
      </c>
      <c r="C1064" s="18"/>
      <c r="D1064" s="19"/>
    </row>
    <row r="1065" spans="1:4" x14ac:dyDescent="0.3">
      <c r="A1065" s="20">
        <v>45451.306250000001</v>
      </c>
      <c r="B1065" s="17">
        <v>66.568627000000006</v>
      </c>
      <c r="C1065" s="18"/>
      <c r="D1065" s="19"/>
    </row>
    <row r="1066" spans="1:4" x14ac:dyDescent="0.3">
      <c r="A1066" s="20">
        <v>45451.306944000004</v>
      </c>
      <c r="B1066" s="17">
        <v>67.437861999999996</v>
      </c>
      <c r="C1066" s="18"/>
      <c r="D1066" s="19"/>
    </row>
    <row r="1067" spans="1:4" x14ac:dyDescent="0.3">
      <c r="A1067" s="20">
        <v>45451.307638999999</v>
      </c>
      <c r="B1067" s="17">
        <v>67.634039999999999</v>
      </c>
      <c r="C1067" s="18"/>
      <c r="D1067" s="19"/>
    </row>
    <row r="1068" spans="1:4" x14ac:dyDescent="0.3">
      <c r="A1068" s="20">
        <v>45451.308333000001</v>
      </c>
      <c r="B1068" s="17">
        <v>67.020441000000005</v>
      </c>
      <c r="C1068" s="18"/>
      <c r="D1068" s="19"/>
    </row>
    <row r="1069" spans="1:4" x14ac:dyDescent="0.3">
      <c r="A1069" s="20">
        <v>45451.309028000003</v>
      </c>
      <c r="B1069" s="17">
        <v>67.510142000000002</v>
      </c>
      <c r="C1069" s="18"/>
      <c r="D1069" s="19"/>
    </row>
    <row r="1070" spans="1:4" x14ac:dyDescent="0.3">
      <c r="A1070" s="20">
        <v>45451.309721999998</v>
      </c>
      <c r="B1070" s="17">
        <v>66.628704999999997</v>
      </c>
      <c r="C1070" s="18"/>
      <c r="D1070" s="19"/>
    </row>
    <row r="1071" spans="1:4" x14ac:dyDescent="0.3">
      <c r="A1071" s="20">
        <v>45451.310417000001</v>
      </c>
      <c r="B1071" s="17">
        <v>67.510979000000006</v>
      </c>
      <c r="C1071" s="18"/>
      <c r="D1071" s="19"/>
    </row>
    <row r="1072" spans="1:4" x14ac:dyDescent="0.3">
      <c r="A1072" s="20">
        <v>45451.311111000003</v>
      </c>
      <c r="B1072" s="17">
        <v>67.841525000000004</v>
      </c>
      <c r="C1072" s="18"/>
      <c r="D1072" s="19"/>
    </row>
    <row r="1073" spans="1:4" x14ac:dyDescent="0.3">
      <c r="A1073" s="20">
        <v>45451.311805999998</v>
      </c>
      <c r="B1073" s="17">
        <v>67.471676000000002</v>
      </c>
      <c r="C1073" s="18"/>
      <c r="D1073" s="19"/>
    </row>
    <row r="1074" spans="1:4" x14ac:dyDescent="0.3">
      <c r="A1074" s="20">
        <v>45451.3125</v>
      </c>
      <c r="B1074" s="17">
        <v>67.508323000000004</v>
      </c>
      <c r="C1074" s="18"/>
      <c r="D1074" s="19"/>
    </row>
    <row r="1075" spans="1:4" x14ac:dyDescent="0.3">
      <c r="A1075" s="20">
        <v>45451.313194000002</v>
      </c>
      <c r="B1075" s="17">
        <v>67.775480000000002</v>
      </c>
      <c r="C1075" s="18"/>
      <c r="D1075" s="19"/>
    </row>
    <row r="1076" spans="1:4" x14ac:dyDescent="0.3">
      <c r="A1076" s="20">
        <v>45451.313888999997</v>
      </c>
      <c r="B1076" s="17">
        <v>67.761870000000002</v>
      </c>
      <c r="C1076" s="18"/>
      <c r="D1076" s="19"/>
    </row>
    <row r="1077" spans="1:4" x14ac:dyDescent="0.3">
      <c r="A1077" s="20">
        <v>45451.314582999999</v>
      </c>
      <c r="B1077" s="17">
        <v>67.651567</v>
      </c>
      <c r="C1077" s="18"/>
      <c r="D1077" s="19"/>
    </row>
    <row r="1078" spans="1:4" x14ac:dyDescent="0.3">
      <c r="A1078" s="20">
        <v>45451.315278000002</v>
      </c>
      <c r="B1078" s="17">
        <v>67.949636999999996</v>
      </c>
      <c r="C1078" s="18"/>
      <c r="D1078" s="19"/>
    </row>
    <row r="1079" spans="1:4" x14ac:dyDescent="0.3">
      <c r="A1079" s="20">
        <v>45451.315971999997</v>
      </c>
      <c r="B1079" s="17">
        <v>67.327571000000006</v>
      </c>
      <c r="C1079" s="18"/>
      <c r="D1079" s="19"/>
    </row>
    <row r="1080" spans="1:4" x14ac:dyDescent="0.3">
      <c r="A1080" s="20">
        <v>45451.316666999999</v>
      </c>
      <c r="B1080" s="17">
        <v>68.620321000000004</v>
      </c>
      <c r="C1080" s="18"/>
      <c r="D1080" s="19"/>
    </row>
    <row r="1081" spans="1:4" x14ac:dyDescent="0.3">
      <c r="A1081" s="20">
        <v>45451.317361000001</v>
      </c>
      <c r="B1081" s="17">
        <v>68.169777999999994</v>
      </c>
      <c r="C1081" s="18"/>
      <c r="D1081" s="19"/>
    </row>
    <row r="1082" spans="1:4" x14ac:dyDescent="0.3">
      <c r="A1082" s="20">
        <v>45451.318055999996</v>
      </c>
      <c r="B1082" s="17">
        <v>68.447193999999996</v>
      </c>
      <c r="C1082" s="18"/>
      <c r="D1082" s="19"/>
    </row>
    <row r="1083" spans="1:4" x14ac:dyDescent="0.3">
      <c r="A1083" s="20">
        <v>45451.318749999999</v>
      </c>
      <c r="B1083" s="17">
        <v>68.698209000000006</v>
      </c>
      <c r="C1083" s="18"/>
      <c r="D1083" s="19"/>
    </row>
    <row r="1084" spans="1:4" x14ac:dyDescent="0.3">
      <c r="A1084" s="20">
        <v>45451.319444000001</v>
      </c>
      <c r="B1084" s="17">
        <v>68.550200000000004</v>
      </c>
      <c r="C1084" s="18"/>
      <c r="D1084" s="19"/>
    </row>
    <row r="1085" spans="1:4" x14ac:dyDescent="0.3">
      <c r="A1085" s="20">
        <v>45451.320139000003</v>
      </c>
      <c r="B1085" s="17">
        <v>68.179868999999997</v>
      </c>
      <c r="C1085" s="18"/>
      <c r="D1085" s="19"/>
    </row>
    <row r="1086" spans="1:4" x14ac:dyDescent="0.3">
      <c r="A1086" s="20">
        <v>45451.320832999998</v>
      </c>
      <c r="B1086" s="17">
        <v>68.291452000000007</v>
      </c>
      <c r="C1086" s="18"/>
      <c r="D1086" s="19"/>
    </row>
    <row r="1087" spans="1:4" x14ac:dyDescent="0.3">
      <c r="A1087" s="20">
        <v>45451.321528</v>
      </c>
      <c r="B1087" s="17">
        <v>68.833049000000003</v>
      </c>
      <c r="C1087" s="18"/>
      <c r="D1087" s="19"/>
    </row>
    <row r="1088" spans="1:4" x14ac:dyDescent="0.3">
      <c r="A1088" s="20">
        <v>45451.322222000003</v>
      </c>
      <c r="B1088" s="17">
        <v>68.400042999999997</v>
      </c>
      <c r="C1088" s="18"/>
      <c r="D1088" s="19"/>
    </row>
    <row r="1089" spans="1:4" x14ac:dyDescent="0.3">
      <c r="A1089" s="20">
        <v>45451.322916999998</v>
      </c>
      <c r="B1089" s="17">
        <v>68.563421000000005</v>
      </c>
      <c r="C1089" s="18"/>
      <c r="D1089" s="19"/>
    </row>
    <row r="1090" spans="1:4" x14ac:dyDescent="0.3">
      <c r="A1090" s="20">
        <v>45451.323611</v>
      </c>
      <c r="B1090" s="17">
        <v>68.555845000000005</v>
      </c>
      <c r="C1090" s="18"/>
      <c r="D1090" s="19"/>
    </row>
    <row r="1091" spans="1:4" x14ac:dyDescent="0.3">
      <c r="A1091" s="20">
        <v>45451.324306000002</v>
      </c>
      <c r="B1091" s="17">
        <v>68.402529999999999</v>
      </c>
      <c r="C1091" s="18"/>
      <c r="D1091" s="19"/>
    </row>
    <row r="1092" spans="1:4" x14ac:dyDescent="0.3">
      <c r="A1092" s="20">
        <v>45451.324999999997</v>
      </c>
      <c r="B1092" s="17">
        <v>69.201290999999998</v>
      </c>
      <c r="C1092" s="18"/>
      <c r="D1092" s="19"/>
    </row>
    <row r="1093" spans="1:4" x14ac:dyDescent="0.3">
      <c r="A1093" s="20">
        <v>45451.325693999999</v>
      </c>
      <c r="B1093" s="17">
        <v>67.813811000000001</v>
      </c>
      <c r="C1093" s="18"/>
      <c r="D1093" s="19"/>
    </row>
    <row r="1094" spans="1:4" x14ac:dyDescent="0.3">
      <c r="A1094" s="20">
        <v>45451.326389000002</v>
      </c>
      <c r="B1094" s="17">
        <v>69.468007</v>
      </c>
      <c r="C1094" s="18"/>
      <c r="D1094" s="19"/>
    </row>
    <row r="1095" spans="1:4" x14ac:dyDescent="0.3">
      <c r="A1095" s="20">
        <v>45451.327082999996</v>
      </c>
      <c r="B1095" s="17">
        <v>69.889968999999994</v>
      </c>
      <c r="C1095" s="18"/>
      <c r="D1095" s="19"/>
    </row>
    <row r="1096" spans="1:4" x14ac:dyDescent="0.3">
      <c r="A1096" s="20">
        <v>45451.327777999999</v>
      </c>
      <c r="B1096" s="17">
        <v>69.291033999999996</v>
      </c>
      <c r="C1096" s="18"/>
      <c r="D1096" s="19"/>
    </row>
    <row r="1097" spans="1:4" x14ac:dyDescent="0.3">
      <c r="A1097" s="20">
        <v>45451.328472000001</v>
      </c>
      <c r="B1097" s="17">
        <v>68.223585</v>
      </c>
      <c r="C1097" s="18"/>
      <c r="D1097" s="19"/>
    </row>
    <row r="1098" spans="1:4" x14ac:dyDescent="0.3">
      <c r="A1098" s="20">
        <v>45451.329167000004</v>
      </c>
      <c r="B1098" s="17">
        <v>68.283017999999998</v>
      </c>
      <c r="C1098" s="18"/>
      <c r="D1098" s="19"/>
    </row>
    <row r="1099" spans="1:4" x14ac:dyDescent="0.3">
      <c r="A1099" s="20">
        <v>45451.329860999998</v>
      </c>
      <c r="B1099" s="17">
        <v>68.626096000000004</v>
      </c>
      <c r="C1099" s="18"/>
      <c r="D1099" s="19"/>
    </row>
    <row r="1100" spans="1:4" x14ac:dyDescent="0.3">
      <c r="A1100" s="20">
        <v>45451.330556000001</v>
      </c>
      <c r="B1100" s="17">
        <v>69.401049999999998</v>
      </c>
      <c r="C1100" s="18"/>
      <c r="D1100" s="19"/>
    </row>
    <row r="1101" spans="1:4" x14ac:dyDescent="0.3">
      <c r="A1101" s="20">
        <v>45451.331250000003</v>
      </c>
      <c r="B1101" s="17">
        <v>68.667036999999993</v>
      </c>
      <c r="C1101" s="18"/>
      <c r="D1101" s="19"/>
    </row>
    <row r="1102" spans="1:4" x14ac:dyDescent="0.3">
      <c r="A1102" s="20">
        <v>45451.331943999998</v>
      </c>
      <c r="B1102" s="17">
        <v>68.650336999999993</v>
      </c>
      <c r="C1102" s="18"/>
      <c r="D1102" s="19"/>
    </row>
    <row r="1103" spans="1:4" x14ac:dyDescent="0.3">
      <c r="A1103" s="20">
        <v>45451.332639</v>
      </c>
      <c r="B1103" s="17">
        <v>69.711602999999997</v>
      </c>
      <c r="C1103" s="18"/>
      <c r="D1103" s="19"/>
    </row>
    <row r="1104" spans="1:4" x14ac:dyDescent="0.3">
      <c r="A1104" s="20">
        <v>45451.333333000002</v>
      </c>
      <c r="B1104" s="17">
        <v>69.319687999999999</v>
      </c>
      <c r="C1104" s="18"/>
      <c r="D1104" s="19"/>
    </row>
    <row r="1105" spans="1:4" x14ac:dyDescent="0.3">
      <c r="A1105" s="20">
        <v>45451.334027999997</v>
      </c>
      <c r="B1105" s="17">
        <v>68.822991000000002</v>
      </c>
      <c r="C1105" s="18"/>
      <c r="D1105" s="19"/>
    </row>
    <row r="1106" spans="1:4" x14ac:dyDescent="0.3">
      <c r="A1106" s="20">
        <v>45451.334722</v>
      </c>
      <c r="B1106" s="17">
        <v>68.615157999999994</v>
      </c>
      <c r="C1106" s="18"/>
      <c r="D1106" s="19"/>
    </row>
    <row r="1107" spans="1:4" x14ac:dyDescent="0.3">
      <c r="A1107" s="20">
        <v>45451.335417000002</v>
      </c>
      <c r="B1107" s="17">
        <v>69.810148999999996</v>
      </c>
      <c r="C1107" s="18"/>
      <c r="D1107" s="19"/>
    </row>
    <row r="1108" spans="1:4" x14ac:dyDescent="0.3">
      <c r="A1108" s="20">
        <v>45451.336110999997</v>
      </c>
      <c r="B1108" s="17">
        <v>69.590097</v>
      </c>
      <c r="C1108" s="18"/>
      <c r="D1108" s="19"/>
    </row>
    <row r="1109" spans="1:4" x14ac:dyDescent="0.3">
      <c r="A1109" s="20">
        <v>45451.336805999999</v>
      </c>
      <c r="B1109" s="17">
        <v>69.802375999999995</v>
      </c>
      <c r="C1109" s="18"/>
      <c r="D1109" s="19"/>
    </row>
    <row r="1110" spans="1:4" x14ac:dyDescent="0.3">
      <c r="A1110" s="20">
        <v>45451.337500000001</v>
      </c>
      <c r="B1110" s="17">
        <v>68.904087000000004</v>
      </c>
      <c r="C1110" s="18"/>
      <c r="D1110" s="19"/>
    </row>
    <row r="1111" spans="1:4" x14ac:dyDescent="0.3">
      <c r="A1111" s="20">
        <v>45451.338194000004</v>
      </c>
      <c r="B1111" s="17">
        <v>69.388887999999994</v>
      </c>
      <c r="C1111" s="18"/>
      <c r="D1111" s="19"/>
    </row>
    <row r="1112" spans="1:4" x14ac:dyDescent="0.3">
      <c r="A1112" s="20">
        <v>45451.338888999999</v>
      </c>
      <c r="B1112" s="17">
        <v>69.246857000000006</v>
      </c>
      <c r="C1112" s="18"/>
      <c r="D1112" s="19"/>
    </row>
    <row r="1113" spans="1:4" x14ac:dyDescent="0.3">
      <c r="A1113" s="20">
        <v>45451.339583000001</v>
      </c>
      <c r="B1113" s="17">
        <v>70.245043999999993</v>
      </c>
      <c r="C1113" s="18"/>
      <c r="D1113" s="19"/>
    </row>
    <row r="1114" spans="1:4" x14ac:dyDescent="0.3">
      <c r="A1114" s="20">
        <v>45451.340278000003</v>
      </c>
      <c r="B1114" s="17">
        <v>69.411698999999999</v>
      </c>
      <c r="C1114" s="18"/>
      <c r="D1114" s="19"/>
    </row>
    <row r="1115" spans="1:4" x14ac:dyDescent="0.3">
      <c r="A1115" s="20">
        <v>45451.340971999998</v>
      </c>
      <c r="B1115" s="17">
        <v>69.164814000000007</v>
      </c>
      <c r="C1115" s="18"/>
      <c r="D1115" s="19"/>
    </row>
    <row r="1116" spans="1:4" x14ac:dyDescent="0.3">
      <c r="A1116" s="20">
        <v>45451.341667000001</v>
      </c>
      <c r="B1116" s="17">
        <v>69.661095000000003</v>
      </c>
      <c r="C1116" s="18"/>
      <c r="D1116" s="19"/>
    </row>
    <row r="1117" spans="1:4" x14ac:dyDescent="0.3">
      <c r="A1117" s="20">
        <v>45451.342361000003</v>
      </c>
      <c r="B1117" s="17">
        <v>69.492259000000004</v>
      </c>
      <c r="C1117" s="18"/>
      <c r="D1117" s="19"/>
    </row>
    <row r="1118" spans="1:4" x14ac:dyDescent="0.3">
      <c r="A1118" s="20">
        <v>45451.343055999998</v>
      </c>
      <c r="B1118" s="17">
        <v>70.204949999999997</v>
      </c>
      <c r="C1118" s="18"/>
      <c r="D1118" s="19"/>
    </row>
    <row r="1119" spans="1:4" x14ac:dyDescent="0.3">
      <c r="A1119" s="20">
        <v>45451.34375</v>
      </c>
      <c r="B1119" s="17">
        <v>70.177824000000001</v>
      </c>
      <c r="C1119" s="18"/>
      <c r="D1119" s="19"/>
    </row>
    <row r="1120" spans="1:4" x14ac:dyDescent="0.3">
      <c r="A1120" s="20">
        <v>45451.344444000002</v>
      </c>
      <c r="B1120" s="17">
        <v>69.493311000000006</v>
      </c>
      <c r="C1120" s="18"/>
      <c r="D1120" s="19"/>
    </row>
    <row r="1121" spans="1:4" x14ac:dyDescent="0.3">
      <c r="A1121" s="20">
        <v>45451.345138999997</v>
      </c>
      <c r="B1121" s="17">
        <v>70.02628</v>
      </c>
      <c r="C1121" s="18"/>
      <c r="D1121" s="19"/>
    </row>
    <row r="1122" spans="1:4" x14ac:dyDescent="0.3">
      <c r="A1122" s="20">
        <v>45451.345832999999</v>
      </c>
      <c r="B1122" s="17">
        <v>69.651649000000006</v>
      </c>
      <c r="C1122" s="18"/>
      <c r="D1122" s="19"/>
    </row>
    <row r="1123" spans="1:4" x14ac:dyDescent="0.3">
      <c r="A1123" s="20">
        <v>45451.346528000002</v>
      </c>
      <c r="B1123" s="17">
        <v>70.099435999999997</v>
      </c>
      <c r="C1123" s="18"/>
      <c r="D1123" s="19"/>
    </row>
    <row r="1124" spans="1:4" x14ac:dyDescent="0.3">
      <c r="A1124" s="20">
        <v>45451.347221999997</v>
      </c>
      <c r="B1124" s="17">
        <v>69.375398000000004</v>
      </c>
      <c r="C1124" s="18"/>
      <c r="D1124" s="19"/>
    </row>
    <row r="1125" spans="1:4" x14ac:dyDescent="0.3">
      <c r="A1125" s="20">
        <v>45451.347916999999</v>
      </c>
      <c r="B1125" s="17">
        <v>70.160027999999997</v>
      </c>
      <c r="C1125" s="18"/>
      <c r="D1125" s="19"/>
    </row>
    <row r="1126" spans="1:4" x14ac:dyDescent="0.3">
      <c r="A1126" s="20">
        <v>45451.348611000001</v>
      </c>
      <c r="B1126" s="17">
        <v>69.769953000000001</v>
      </c>
      <c r="C1126" s="18"/>
      <c r="D1126" s="19"/>
    </row>
    <row r="1127" spans="1:4" x14ac:dyDescent="0.3">
      <c r="A1127" s="20">
        <v>45451.349305999996</v>
      </c>
      <c r="B1127" s="17">
        <v>69.503193999999993</v>
      </c>
      <c r="C1127" s="18"/>
      <c r="D1127" s="19"/>
    </row>
    <row r="1128" spans="1:4" x14ac:dyDescent="0.3">
      <c r="A1128" s="20">
        <v>45451.35</v>
      </c>
      <c r="B1128" s="17">
        <v>70.033106000000004</v>
      </c>
      <c r="C1128" s="18"/>
      <c r="D1128" s="19"/>
    </row>
    <row r="1129" spans="1:4" x14ac:dyDescent="0.3">
      <c r="A1129" s="20">
        <v>45451.350694000001</v>
      </c>
      <c r="B1129" s="17">
        <v>69.847382999999994</v>
      </c>
      <c r="C1129" s="18"/>
      <c r="D1129" s="19"/>
    </row>
    <row r="1130" spans="1:4" x14ac:dyDescent="0.3">
      <c r="A1130" s="20">
        <v>45451.351389000003</v>
      </c>
      <c r="B1130" s="17">
        <v>69.810873000000001</v>
      </c>
      <c r="C1130" s="18"/>
      <c r="D1130" s="19"/>
    </row>
    <row r="1131" spans="1:4" x14ac:dyDescent="0.3">
      <c r="A1131" s="20">
        <v>45451.352082999998</v>
      </c>
      <c r="B1131" s="17">
        <v>69.572089000000005</v>
      </c>
      <c r="C1131" s="18"/>
      <c r="D1131" s="19"/>
    </row>
    <row r="1132" spans="1:4" x14ac:dyDescent="0.3">
      <c r="A1132" s="20">
        <v>45451.352778</v>
      </c>
      <c r="B1132" s="17">
        <v>69.681252999999998</v>
      </c>
      <c r="C1132" s="18"/>
      <c r="D1132" s="19"/>
    </row>
    <row r="1133" spans="1:4" x14ac:dyDescent="0.3">
      <c r="A1133" s="20">
        <v>45451.353472000003</v>
      </c>
      <c r="B1133" s="17">
        <v>69.230484000000004</v>
      </c>
      <c r="C1133" s="18"/>
      <c r="D1133" s="19"/>
    </row>
    <row r="1134" spans="1:4" x14ac:dyDescent="0.3">
      <c r="A1134" s="20">
        <v>45451.354166999998</v>
      </c>
      <c r="B1134" s="17">
        <v>69.579464000000002</v>
      </c>
      <c r="C1134" s="18"/>
      <c r="D1134" s="19"/>
    </row>
    <row r="1135" spans="1:4" x14ac:dyDescent="0.3">
      <c r="A1135" s="20">
        <v>45451.354861</v>
      </c>
      <c r="B1135" s="17">
        <v>69.591685999999996</v>
      </c>
      <c r="C1135" s="18"/>
      <c r="D1135" s="19"/>
    </row>
    <row r="1136" spans="1:4" x14ac:dyDescent="0.3">
      <c r="A1136" s="20">
        <v>45451.355556000002</v>
      </c>
      <c r="B1136" s="17">
        <v>70.012296000000006</v>
      </c>
      <c r="C1136" s="18"/>
      <c r="D1136" s="19"/>
    </row>
    <row r="1137" spans="1:4" x14ac:dyDescent="0.3">
      <c r="A1137" s="20">
        <v>45451.356249999997</v>
      </c>
      <c r="B1137" s="17">
        <v>69.598275999999998</v>
      </c>
      <c r="C1137" s="18"/>
      <c r="D1137" s="19"/>
    </row>
    <row r="1138" spans="1:4" x14ac:dyDescent="0.3">
      <c r="A1138" s="20">
        <v>45451.356943999999</v>
      </c>
      <c r="B1138" s="17">
        <v>70.142926000000003</v>
      </c>
      <c r="C1138" s="18"/>
      <c r="D1138" s="19"/>
    </row>
    <row r="1139" spans="1:4" x14ac:dyDescent="0.3">
      <c r="A1139" s="20">
        <v>45451.357639000002</v>
      </c>
      <c r="B1139" s="17">
        <v>69.661068</v>
      </c>
      <c r="C1139" s="18"/>
      <c r="D1139" s="19"/>
    </row>
    <row r="1140" spans="1:4" x14ac:dyDescent="0.3">
      <c r="A1140" s="20">
        <v>45451.358332999996</v>
      </c>
      <c r="B1140" s="17">
        <v>69.581546000000003</v>
      </c>
      <c r="C1140" s="18"/>
      <c r="D1140" s="19"/>
    </row>
    <row r="1141" spans="1:4" x14ac:dyDescent="0.3">
      <c r="A1141" s="20">
        <v>45451.359027999999</v>
      </c>
      <c r="B1141" s="17">
        <v>69.398657</v>
      </c>
      <c r="C1141" s="18"/>
      <c r="D1141" s="19"/>
    </row>
    <row r="1142" spans="1:4" x14ac:dyDescent="0.3">
      <c r="A1142" s="20">
        <v>45451.359722000001</v>
      </c>
      <c r="B1142" s="17">
        <v>70.095489999999998</v>
      </c>
      <c r="C1142" s="18"/>
      <c r="D1142" s="19"/>
    </row>
    <row r="1143" spans="1:4" x14ac:dyDescent="0.3">
      <c r="A1143" s="20">
        <v>45451.360417000004</v>
      </c>
      <c r="B1143" s="17">
        <v>70.183019000000002</v>
      </c>
      <c r="C1143" s="18"/>
      <c r="D1143" s="19"/>
    </row>
    <row r="1144" spans="1:4" x14ac:dyDescent="0.3">
      <c r="A1144" s="20">
        <v>45451.361110999998</v>
      </c>
      <c r="B1144" s="17">
        <v>69.084087999999994</v>
      </c>
      <c r="C1144" s="18"/>
      <c r="D1144" s="19"/>
    </row>
    <row r="1145" spans="1:4" x14ac:dyDescent="0.3">
      <c r="A1145" s="20">
        <v>45451.361806000001</v>
      </c>
      <c r="B1145" s="17">
        <v>70.222193000000004</v>
      </c>
      <c r="C1145" s="18"/>
      <c r="D1145" s="19"/>
    </row>
    <row r="1146" spans="1:4" x14ac:dyDescent="0.3">
      <c r="A1146" s="20">
        <v>45451.362500000003</v>
      </c>
      <c r="B1146" s="17">
        <v>69.968148999999997</v>
      </c>
      <c r="C1146" s="18"/>
      <c r="D1146" s="19"/>
    </row>
    <row r="1147" spans="1:4" x14ac:dyDescent="0.3">
      <c r="A1147" s="20">
        <v>45451.363193999998</v>
      </c>
      <c r="B1147" s="17">
        <v>69.270405999999994</v>
      </c>
      <c r="C1147" s="18"/>
      <c r="D1147" s="19"/>
    </row>
    <row r="1148" spans="1:4" x14ac:dyDescent="0.3">
      <c r="A1148" s="20">
        <v>45451.363889</v>
      </c>
      <c r="B1148" s="17">
        <v>70.349773999999996</v>
      </c>
      <c r="C1148" s="18"/>
      <c r="D1148" s="19"/>
    </row>
    <row r="1149" spans="1:4" x14ac:dyDescent="0.3">
      <c r="A1149" s="20">
        <v>45451.364583000002</v>
      </c>
      <c r="B1149" s="17">
        <v>70.114035000000001</v>
      </c>
      <c r="C1149" s="18"/>
      <c r="D1149" s="19"/>
    </row>
    <row r="1150" spans="1:4" x14ac:dyDescent="0.3">
      <c r="A1150" s="20">
        <v>45451.365277999997</v>
      </c>
      <c r="B1150" s="17">
        <v>69.860217000000006</v>
      </c>
      <c r="C1150" s="18"/>
      <c r="D1150" s="19"/>
    </row>
    <row r="1151" spans="1:4" x14ac:dyDescent="0.3">
      <c r="A1151" s="20">
        <v>45451.365972</v>
      </c>
      <c r="B1151" s="17">
        <v>70.270375000000001</v>
      </c>
      <c r="C1151" s="18"/>
      <c r="D1151" s="19"/>
    </row>
    <row r="1152" spans="1:4" x14ac:dyDescent="0.3">
      <c r="A1152" s="20">
        <v>45451.366667000002</v>
      </c>
      <c r="B1152" s="17">
        <v>69.617495000000005</v>
      </c>
      <c r="C1152" s="18"/>
      <c r="D1152" s="19"/>
    </row>
    <row r="1153" spans="1:4" x14ac:dyDescent="0.3">
      <c r="A1153" s="20">
        <v>45451.367360999997</v>
      </c>
      <c r="B1153" s="17">
        <v>70.443459000000004</v>
      </c>
      <c r="C1153" s="18"/>
      <c r="D1153" s="19"/>
    </row>
    <row r="1154" spans="1:4" x14ac:dyDescent="0.3">
      <c r="A1154" s="20">
        <v>45451.368055999999</v>
      </c>
      <c r="B1154" s="17">
        <v>69.468886999999995</v>
      </c>
      <c r="C1154" s="18"/>
      <c r="D1154" s="19"/>
    </row>
    <row r="1155" spans="1:4" x14ac:dyDescent="0.3">
      <c r="A1155" s="20">
        <v>45451.368750000001</v>
      </c>
      <c r="B1155" s="17">
        <v>70.026319000000001</v>
      </c>
      <c r="C1155" s="18"/>
      <c r="D1155" s="19"/>
    </row>
    <row r="1156" spans="1:4" x14ac:dyDescent="0.3">
      <c r="A1156" s="20">
        <v>45451.369444000004</v>
      </c>
      <c r="B1156" s="17">
        <v>69.471097999999998</v>
      </c>
      <c r="C1156" s="18"/>
      <c r="D1156" s="19"/>
    </row>
    <row r="1157" spans="1:4" x14ac:dyDescent="0.3">
      <c r="A1157" s="20">
        <v>45451.370138999999</v>
      </c>
      <c r="B1157" s="17">
        <v>69.365375</v>
      </c>
      <c r="C1157" s="18"/>
      <c r="D1157" s="19"/>
    </row>
    <row r="1158" spans="1:4" x14ac:dyDescent="0.3">
      <c r="A1158" s="20">
        <v>45451.370833000001</v>
      </c>
      <c r="B1158" s="17">
        <v>69.497665999999995</v>
      </c>
      <c r="C1158" s="18"/>
      <c r="D1158" s="19"/>
    </row>
    <row r="1159" spans="1:4" x14ac:dyDescent="0.3">
      <c r="A1159" s="20">
        <v>45451.371528000003</v>
      </c>
      <c r="B1159" s="17">
        <v>69.255279999999999</v>
      </c>
      <c r="C1159" s="18"/>
      <c r="D1159" s="19"/>
    </row>
    <row r="1160" spans="1:4" x14ac:dyDescent="0.3">
      <c r="A1160" s="20">
        <v>45451.372221999998</v>
      </c>
      <c r="B1160" s="17">
        <v>69.929852999999994</v>
      </c>
      <c r="C1160" s="18"/>
      <c r="D1160" s="19"/>
    </row>
    <row r="1161" spans="1:4" x14ac:dyDescent="0.3">
      <c r="A1161" s="20">
        <v>45451.372917000001</v>
      </c>
      <c r="B1161" s="17">
        <v>70.02243</v>
      </c>
      <c r="C1161" s="18"/>
      <c r="D1161" s="19"/>
    </row>
    <row r="1162" spans="1:4" x14ac:dyDescent="0.3">
      <c r="A1162" s="20">
        <v>45451.373611000003</v>
      </c>
      <c r="B1162" s="17">
        <v>69.510164000000003</v>
      </c>
      <c r="C1162" s="18"/>
      <c r="D1162" s="19"/>
    </row>
    <row r="1163" spans="1:4" x14ac:dyDescent="0.3">
      <c r="A1163" s="20">
        <v>45451.374305999998</v>
      </c>
      <c r="B1163" s="17">
        <v>69.930380999999997</v>
      </c>
      <c r="C1163" s="18"/>
      <c r="D1163" s="19"/>
    </row>
    <row r="1164" spans="1:4" x14ac:dyDescent="0.3">
      <c r="A1164" s="20">
        <v>45451.375</v>
      </c>
      <c r="B1164" s="17">
        <v>70.341302999999996</v>
      </c>
      <c r="C1164" s="18"/>
      <c r="D1164" s="19"/>
    </row>
    <row r="1165" spans="1:4" x14ac:dyDescent="0.3">
      <c r="A1165" s="20">
        <v>45451.375694000002</v>
      </c>
      <c r="B1165" s="17">
        <v>69.493627000000004</v>
      </c>
      <c r="C1165" s="18"/>
      <c r="D1165" s="19"/>
    </row>
    <row r="1166" spans="1:4" x14ac:dyDescent="0.3">
      <c r="A1166" s="20">
        <v>45451.376388999997</v>
      </c>
      <c r="B1166" s="17">
        <v>69.992590000000007</v>
      </c>
      <c r="C1166" s="18"/>
      <c r="D1166" s="19"/>
    </row>
    <row r="1167" spans="1:4" x14ac:dyDescent="0.3">
      <c r="A1167" s="20">
        <v>45451.377082999999</v>
      </c>
      <c r="B1167" s="17">
        <v>70.299480000000003</v>
      </c>
      <c r="C1167" s="18"/>
      <c r="D1167" s="19"/>
    </row>
    <row r="1168" spans="1:4" x14ac:dyDescent="0.3">
      <c r="A1168" s="20">
        <v>45451.377778000002</v>
      </c>
      <c r="B1168" s="17">
        <v>68.959433000000004</v>
      </c>
      <c r="C1168" s="18"/>
      <c r="D1168" s="19"/>
    </row>
    <row r="1169" spans="1:4" x14ac:dyDescent="0.3">
      <c r="A1169" s="20">
        <v>45451.378471999997</v>
      </c>
      <c r="B1169" s="17">
        <v>69.330899000000002</v>
      </c>
      <c r="C1169" s="18"/>
      <c r="D1169" s="19"/>
    </row>
    <row r="1170" spans="1:4" x14ac:dyDescent="0.3">
      <c r="A1170" s="20">
        <v>45451.379166999999</v>
      </c>
      <c r="B1170" s="17">
        <v>69.452754999999996</v>
      </c>
      <c r="C1170" s="18"/>
      <c r="D1170" s="19"/>
    </row>
    <row r="1171" spans="1:4" x14ac:dyDescent="0.3">
      <c r="A1171" s="20">
        <v>45451.379861000001</v>
      </c>
      <c r="B1171" s="17">
        <v>69.563704999999999</v>
      </c>
      <c r="C1171" s="18"/>
      <c r="D1171" s="19"/>
    </row>
    <row r="1172" spans="1:4" x14ac:dyDescent="0.3">
      <c r="A1172" s="20">
        <v>45451.380555999996</v>
      </c>
      <c r="B1172" s="17">
        <v>69.137707000000006</v>
      </c>
      <c r="C1172" s="18"/>
      <c r="D1172" s="19"/>
    </row>
    <row r="1173" spans="1:4" x14ac:dyDescent="0.3">
      <c r="A1173" s="20">
        <v>45451.381249999999</v>
      </c>
      <c r="B1173" s="17">
        <v>70.490412000000006</v>
      </c>
      <c r="C1173" s="18"/>
      <c r="D1173" s="19"/>
    </row>
    <row r="1174" spans="1:4" x14ac:dyDescent="0.3">
      <c r="A1174" s="20">
        <v>45451.381944000001</v>
      </c>
      <c r="B1174" s="17">
        <v>69.841521999999998</v>
      </c>
      <c r="C1174" s="18"/>
      <c r="D1174" s="19"/>
    </row>
    <row r="1175" spans="1:4" x14ac:dyDescent="0.3">
      <c r="A1175" s="20">
        <v>45451.382639000003</v>
      </c>
      <c r="B1175" s="17">
        <v>69.417703000000003</v>
      </c>
      <c r="C1175" s="18"/>
      <c r="D1175" s="19"/>
    </row>
    <row r="1176" spans="1:4" x14ac:dyDescent="0.3">
      <c r="A1176" s="20">
        <v>45451.383332999998</v>
      </c>
      <c r="B1176" s="17">
        <v>70.037019000000001</v>
      </c>
      <c r="C1176" s="18"/>
      <c r="D1176" s="19"/>
    </row>
    <row r="1177" spans="1:4" x14ac:dyDescent="0.3">
      <c r="A1177" s="20">
        <v>45451.384028</v>
      </c>
      <c r="B1177" s="17">
        <v>69.565554000000006</v>
      </c>
      <c r="C1177" s="18"/>
      <c r="D1177" s="19"/>
    </row>
    <row r="1178" spans="1:4" x14ac:dyDescent="0.3">
      <c r="A1178" s="20">
        <v>45451.384722000003</v>
      </c>
      <c r="B1178" s="17">
        <v>69.563067000000004</v>
      </c>
      <c r="C1178" s="18"/>
      <c r="D1178" s="19"/>
    </row>
    <row r="1179" spans="1:4" x14ac:dyDescent="0.3">
      <c r="A1179" s="20">
        <v>45451.385416999998</v>
      </c>
      <c r="B1179" s="17">
        <v>69.207847999999998</v>
      </c>
      <c r="C1179" s="18"/>
      <c r="D1179" s="19"/>
    </row>
    <row r="1180" spans="1:4" x14ac:dyDescent="0.3">
      <c r="A1180" s="20">
        <v>45451.386111</v>
      </c>
      <c r="B1180" s="17">
        <v>69.278937999999997</v>
      </c>
      <c r="C1180" s="18"/>
      <c r="D1180" s="19"/>
    </row>
    <row r="1181" spans="1:4" x14ac:dyDescent="0.3">
      <c r="A1181" s="20">
        <v>45451.386806000002</v>
      </c>
      <c r="B1181" s="17">
        <v>69.605176</v>
      </c>
      <c r="C1181" s="18"/>
      <c r="D1181" s="19"/>
    </row>
    <row r="1182" spans="1:4" x14ac:dyDescent="0.3">
      <c r="A1182" s="20">
        <v>45451.387499999997</v>
      </c>
      <c r="B1182" s="17">
        <v>70.047741000000002</v>
      </c>
      <c r="C1182" s="18"/>
      <c r="D1182" s="19"/>
    </row>
    <row r="1183" spans="1:4" x14ac:dyDescent="0.3">
      <c r="A1183" s="20">
        <v>45451.388193999999</v>
      </c>
      <c r="B1183" s="17">
        <v>70.097161999999997</v>
      </c>
      <c r="C1183" s="18"/>
      <c r="D1183" s="19"/>
    </row>
    <row r="1184" spans="1:4" x14ac:dyDescent="0.3">
      <c r="A1184" s="20">
        <v>45451.388889000002</v>
      </c>
      <c r="B1184" s="17">
        <v>70.015546000000001</v>
      </c>
      <c r="C1184" s="18"/>
      <c r="D1184" s="19"/>
    </row>
    <row r="1185" spans="1:4" x14ac:dyDescent="0.3">
      <c r="A1185" s="20">
        <v>45451.389582999996</v>
      </c>
      <c r="B1185" s="17">
        <v>69.501182</v>
      </c>
      <c r="C1185" s="18"/>
      <c r="D1185" s="19"/>
    </row>
    <row r="1186" spans="1:4" x14ac:dyDescent="0.3">
      <c r="A1186" s="20">
        <v>45451.390277999999</v>
      </c>
      <c r="B1186" s="17">
        <v>69.518338999999997</v>
      </c>
      <c r="C1186" s="18"/>
      <c r="D1186" s="19"/>
    </row>
    <row r="1187" spans="1:4" x14ac:dyDescent="0.3">
      <c r="A1187" s="20">
        <v>45451.390972000001</v>
      </c>
      <c r="B1187" s="17">
        <v>69.693648999999994</v>
      </c>
      <c r="C1187" s="18"/>
      <c r="D1187" s="19"/>
    </row>
    <row r="1188" spans="1:4" x14ac:dyDescent="0.3">
      <c r="A1188" s="20">
        <v>45451.391667000004</v>
      </c>
      <c r="B1188" s="17">
        <v>69.838980000000006</v>
      </c>
      <c r="C1188" s="18"/>
      <c r="D1188" s="19"/>
    </row>
    <row r="1189" spans="1:4" x14ac:dyDescent="0.3">
      <c r="A1189" s="20">
        <v>45451.392360999998</v>
      </c>
      <c r="B1189" s="17">
        <v>69.125735000000006</v>
      </c>
      <c r="C1189" s="18"/>
      <c r="D1189" s="19"/>
    </row>
    <row r="1190" spans="1:4" x14ac:dyDescent="0.3">
      <c r="A1190" s="20">
        <v>45451.393056000001</v>
      </c>
      <c r="B1190" s="17">
        <v>69.400476999999995</v>
      </c>
      <c r="C1190" s="18"/>
      <c r="D1190" s="19"/>
    </row>
    <row r="1191" spans="1:4" x14ac:dyDescent="0.3">
      <c r="A1191" s="20">
        <v>45451.393750000003</v>
      </c>
      <c r="B1191" s="17">
        <v>69.865042000000003</v>
      </c>
      <c r="C1191" s="18"/>
      <c r="D1191" s="19"/>
    </row>
    <row r="1192" spans="1:4" x14ac:dyDescent="0.3">
      <c r="A1192" s="20">
        <v>45451.394443999998</v>
      </c>
      <c r="B1192" s="17">
        <v>69.265953999999994</v>
      </c>
      <c r="C1192" s="18"/>
      <c r="D1192" s="19"/>
    </row>
    <row r="1193" spans="1:4" x14ac:dyDescent="0.3">
      <c r="A1193" s="20">
        <v>45451.395139</v>
      </c>
      <c r="B1193" s="17">
        <v>68.817419999999998</v>
      </c>
      <c r="C1193" s="18"/>
      <c r="D1193" s="19"/>
    </row>
    <row r="1194" spans="1:4" x14ac:dyDescent="0.3">
      <c r="A1194" s="20">
        <v>45451.395833000002</v>
      </c>
      <c r="B1194" s="17">
        <v>69.369252000000003</v>
      </c>
      <c r="C1194" s="18"/>
      <c r="D1194" s="19"/>
    </row>
    <row r="1195" spans="1:4" x14ac:dyDescent="0.3">
      <c r="A1195" s="20">
        <v>45451.396527999997</v>
      </c>
      <c r="B1195" s="17">
        <v>68.718419999999995</v>
      </c>
      <c r="C1195" s="18"/>
      <c r="D1195" s="19"/>
    </row>
    <row r="1196" spans="1:4" x14ac:dyDescent="0.3">
      <c r="A1196" s="20">
        <v>45451.397222</v>
      </c>
      <c r="B1196" s="17">
        <v>69.119637999999995</v>
      </c>
      <c r="C1196" s="18"/>
      <c r="D1196" s="19"/>
    </row>
    <row r="1197" spans="1:4" x14ac:dyDescent="0.3">
      <c r="A1197" s="20">
        <v>45451.397917000002</v>
      </c>
      <c r="B1197" s="17">
        <v>69.019025999999997</v>
      </c>
      <c r="C1197" s="18"/>
      <c r="D1197" s="19"/>
    </row>
    <row r="1198" spans="1:4" x14ac:dyDescent="0.3">
      <c r="A1198" s="20">
        <v>45451.398610999997</v>
      </c>
      <c r="B1198" s="17">
        <v>68.675237999999993</v>
      </c>
      <c r="C1198" s="18"/>
      <c r="D1198" s="19"/>
    </row>
    <row r="1199" spans="1:4" x14ac:dyDescent="0.3">
      <c r="A1199" s="20">
        <v>45451.399305999999</v>
      </c>
      <c r="B1199" s="17">
        <v>69.489322999999999</v>
      </c>
      <c r="C1199" s="18"/>
      <c r="D1199" s="19"/>
    </row>
    <row r="1200" spans="1:4" x14ac:dyDescent="0.3">
      <c r="A1200" s="20">
        <v>45451.4</v>
      </c>
      <c r="B1200" s="17">
        <v>69.767392999999998</v>
      </c>
      <c r="C1200" s="18"/>
      <c r="D1200" s="19"/>
    </row>
    <row r="1201" spans="1:4" x14ac:dyDescent="0.3">
      <c r="A1201" s="20">
        <v>45451.400694000004</v>
      </c>
      <c r="B1201" s="17">
        <v>69.531122999999994</v>
      </c>
      <c r="C1201" s="18"/>
      <c r="D1201" s="19"/>
    </row>
    <row r="1202" spans="1:4" x14ac:dyDescent="0.3">
      <c r="A1202" s="20">
        <v>45451.401388999999</v>
      </c>
      <c r="B1202" s="17">
        <v>69.396884999999997</v>
      </c>
      <c r="C1202" s="18"/>
      <c r="D1202" s="19"/>
    </row>
    <row r="1203" spans="1:4" x14ac:dyDescent="0.3">
      <c r="A1203" s="20">
        <v>45451.402083000001</v>
      </c>
      <c r="B1203" s="17">
        <v>69.387414000000007</v>
      </c>
      <c r="C1203" s="18"/>
      <c r="D1203" s="19"/>
    </row>
    <row r="1204" spans="1:4" x14ac:dyDescent="0.3">
      <c r="A1204" s="20">
        <v>45451.402778000003</v>
      </c>
      <c r="B1204" s="17">
        <v>68.454649000000003</v>
      </c>
      <c r="C1204" s="18"/>
      <c r="D1204" s="19"/>
    </row>
    <row r="1205" spans="1:4" x14ac:dyDescent="0.3">
      <c r="A1205" s="20">
        <v>45451.403471999998</v>
      </c>
      <c r="B1205" s="17">
        <v>69.027152000000001</v>
      </c>
      <c r="C1205" s="18"/>
      <c r="D1205" s="19"/>
    </row>
    <row r="1206" spans="1:4" x14ac:dyDescent="0.3">
      <c r="A1206" s="20">
        <v>45451.404167000001</v>
      </c>
      <c r="B1206" s="17">
        <v>69.077680999999998</v>
      </c>
      <c r="C1206" s="18"/>
      <c r="D1206" s="19"/>
    </row>
    <row r="1207" spans="1:4" x14ac:dyDescent="0.3">
      <c r="A1207" s="20">
        <v>45451.404861000003</v>
      </c>
      <c r="B1207" s="17">
        <v>68.949106999999998</v>
      </c>
      <c r="C1207" s="18"/>
      <c r="D1207" s="19"/>
    </row>
    <row r="1208" spans="1:4" x14ac:dyDescent="0.3">
      <c r="A1208" s="20">
        <v>45451.405555999998</v>
      </c>
      <c r="B1208" s="17">
        <v>69.261572000000001</v>
      </c>
      <c r="C1208" s="18"/>
      <c r="D1208" s="19"/>
    </row>
    <row r="1209" spans="1:4" x14ac:dyDescent="0.3">
      <c r="A1209" s="20">
        <v>45451.40625</v>
      </c>
      <c r="B1209" s="17">
        <v>68.936715000000007</v>
      </c>
      <c r="C1209" s="18"/>
      <c r="D1209" s="19"/>
    </row>
    <row r="1210" spans="1:4" x14ac:dyDescent="0.3">
      <c r="A1210" s="20">
        <v>45451.406944000002</v>
      </c>
      <c r="B1210" s="17">
        <v>69.083922000000001</v>
      </c>
      <c r="C1210" s="18"/>
      <c r="D1210" s="19"/>
    </row>
    <row r="1211" spans="1:4" x14ac:dyDescent="0.3">
      <c r="A1211" s="20">
        <v>45451.407638999997</v>
      </c>
      <c r="B1211" s="17">
        <v>69.406040000000004</v>
      </c>
      <c r="C1211" s="18"/>
      <c r="D1211" s="19"/>
    </row>
    <row r="1212" spans="1:4" x14ac:dyDescent="0.3">
      <c r="A1212" s="20">
        <v>45451.408332999999</v>
      </c>
      <c r="B1212" s="17">
        <v>69.445649000000003</v>
      </c>
      <c r="C1212" s="18"/>
      <c r="D1212" s="19"/>
    </row>
    <row r="1213" spans="1:4" x14ac:dyDescent="0.3">
      <c r="A1213" s="20">
        <v>45451.409028000002</v>
      </c>
      <c r="B1213" s="17">
        <v>68.530992999999995</v>
      </c>
      <c r="C1213" s="18"/>
      <c r="D1213" s="19"/>
    </row>
    <row r="1214" spans="1:4" x14ac:dyDescent="0.3">
      <c r="A1214" s="20">
        <v>45451.409721999997</v>
      </c>
      <c r="B1214" s="17">
        <v>69.612482999999997</v>
      </c>
      <c r="C1214" s="18"/>
      <c r="D1214" s="19"/>
    </row>
    <row r="1215" spans="1:4" x14ac:dyDescent="0.3">
      <c r="A1215" s="20">
        <v>45451.410416999999</v>
      </c>
      <c r="B1215" s="17">
        <v>68.886835000000005</v>
      </c>
      <c r="C1215" s="18"/>
      <c r="D1215" s="19"/>
    </row>
    <row r="1216" spans="1:4" x14ac:dyDescent="0.3">
      <c r="A1216" s="20">
        <v>45451.411111000001</v>
      </c>
      <c r="B1216" s="17">
        <v>69.386477999999997</v>
      </c>
      <c r="C1216" s="18"/>
      <c r="D1216" s="19"/>
    </row>
    <row r="1217" spans="1:4" x14ac:dyDescent="0.3">
      <c r="A1217" s="20">
        <v>45451.411805999996</v>
      </c>
      <c r="B1217" s="17">
        <v>69.179203000000001</v>
      </c>
      <c r="C1217" s="18"/>
      <c r="D1217" s="19"/>
    </row>
    <row r="1218" spans="1:4" x14ac:dyDescent="0.3">
      <c r="A1218" s="20">
        <v>45451.412499999999</v>
      </c>
      <c r="B1218" s="17">
        <v>69.183738000000005</v>
      </c>
      <c r="C1218" s="18"/>
      <c r="D1218" s="19"/>
    </row>
    <row r="1219" spans="1:4" x14ac:dyDescent="0.3">
      <c r="A1219" s="20">
        <v>45451.413194000001</v>
      </c>
      <c r="B1219" s="17">
        <v>68.775176999999999</v>
      </c>
      <c r="C1219" s="18"/>
      <c r="D1219" s="19"/>
    </row>
    <row r="1220" spans="1:4" x14ac:dyDescent="0.3">
      <c r="A1220" s="20">
        <v>45451.413889000003</v>
      </c>
      <c r="B1220" s="17">
        <v>68.951954999999998</v>
      </c>
      <c r="C1220" s="18"/>
      <c r="D1220" s="19"/>
    </row>
    <row r="1221" spans="1:4" x14ac:dyDescent="0.3">
      <c r="A1221" s="20">
        <v>45451.414582999998</v>
      </c>
      <c r="B1221" s="17">
        <v>69.752761000000007</v>
      </c>
      <c r="C1221" s="18"/>
      <c r="D1221" s="19"/>
    </row>
    <row r="1222" spans="1:4" x14ac:dyDescent="0.3">
      <c r="A1222" s="20">
        <v>45451.415278</v>
      </c>
      <c r="B1222" s="17">
        <v>68.496392999999998</v>
      </c>
      <c r="C1222" s="18"/>
      <c r="D1222" s="19"/>
    </row>
    <row r="1223" spans="1:4" x14ac:dyDescent="0.3">
      <c r="A1223" s="20">
        <v>45451.415972000003</v>
      </c>
      <c r="B1223" s="17">
        <v>69.037600999999995</v>
      </c>
      <c r="C1223" s="18"/>
      <c r="D1223" s="19"/>
    </row>
    <row r="1224" spans="1:4" x14ac:dyDescent="0.3">
      <c r="A1224" s="20">
        <v>45451.416666999998</v>
      </c>
      <c r="B1224" s="17">
        <v>68.783880999999994</v>
      </c>
      <c r="C1224" s="18"/>
      <c r="D1224" s="19"/>
    </row>
    <row r="1225" spans="1:4" x14ac:dyDescent="0.3">
      <c r="A1225" s="20">
        <v>45451.417361</v>
      </c>
      <c r="B1225" s="17">
        <v>69.270713000000001</v>
      </c>
      <c r="C1225" s="18"/>
      <c r="D1225" s="19"/>
    </row>
    <row r="1226" spans="1:4" x14ac:dyDescent="0.3">
      <c r="A1226" s="20">
        <v>45451.418056000002</v>
      </c>
      <c r="B1226" s="17">
        <v>69.424881999999997</v>
      </c>
      <c r="C1226" s="18"/>
      <c r="D1226" s="19"/>
    </row>
    <row r="1227" spans="1:4" x14ac:dyDescent="0.3">
      <c r="A1227" s="20">
        <v>45451.418749999997</v>
      </c>
      <c r="B1227" s="17">
        <v>68.605536999999998</v>
      </c>
      <c r="C1227" s="18"/>
      <c r="D1227" s="19"/>
    </row>
    <row r="1228" spans="1:4" x14ac:dyDescent="0.3">
      <c r="A1228" s="20">
        <v>45451.419443999999</v>
      </c>
      <c r="B1228" s="17">
        <v>68.226224999999999</v>
      </c>
      <c r="C1228" s="18"/>
      <c r="D1228" s="19"/>
    </row>
    <row r="1229" spans="1:4" x14ac:dyDescent="0.3">
      <c r="A1229" s="20">
        <v>45451.420139000002</v>
      </c>
      <c r="B1229" s="17">
        <v>68.797540999999995</v>
      </c>
      <c r="C1229" s="18"/>
      <c r="D1229" s="19"/>
    </row>
    <row r="1230" spans="1:4" x14ac:dyDescent="0.3">
      <c r="A1230" s="20">
        <v>45451.420832999996</v>
      </c>
      <c r="B1230" s="17">
        <v>68.748501000000005</v>
      </c>
      <c r="C1230" s="18"/>
      <c r="D1230" s="19"/>
    </row>
    <row r="1231" spans="1:4" x14ac:dyDescent="0.3">
      <c r="A1231" s="20">
        <v>45451.421527999999</v>
      </c>
      <c r="B1231" s="17">
        <v>68.533119999999997</v>
      </c>
      <c r="C1231" s="18"/>
      <c r="D1231" s="19"/>
    </row>
    <row r="1232" spans="1:4" x14ac:dyDescent="0.3">
      <c r="A1232" s="20">
        <v>45451.422222000001</v>
      </c>
      <c r="B1232" s="17">
        <v>68.305606999999995</v>
      </c>
      <c r="C1232" s="18"/>
      <c r="D1232" s="19"/>
    </row>
    <row r="1233" spans="1:4" x14ac:dyDescent="0.3">
      <c r="A1233" s="20">
        <v>45451.422917000004</v>
      </c>
      <c r="B1233" s="17">
        <v>68.872281999999998</v>
      </c>
      <c r="C1233" s="18"/>
      <c r="D1233" s="19"/>
    </row>
    <row r="1234" spans="1:4" x14ac:dyDescent="0.3">
      <c r="A1234" s="20">
        <v>45451.423610999998</v>
      </c>
      <c r="B1234" s="17">
        <v>68.745510999999993</v>
      </c>
      <c r="C1234" s="18"/>
      <c r="D1234" s="19"/>
    </row>
    <row r="1235" spans="1:4" x14ac:dyDescent="0.3">
      <c r="A1235" s="20">
        <v>45451.424306000001</v>
      </c>
      <c r="B1235" s="17">
        <v>68.788368000000006</v>
      </c>
      <c r="C1235" s="18"/>
      <c r="D1235" s="19"/>
    </row>
    <row r="1236" spans="1:4" x14ac:dyDescent="0.3">
      <c r="A1236" s="20">
        <v>45451.425000000003</v>
      </c>
      <c r="B1236" s="17">
        <v>69.016347999999994</v>
      </c>
      <c r="C1236" s="18"/>
      <c r="D1236" s="19"/>
    </row>
    <row r="1237" spans="1:4" x14ac:dyDescent="0.3">
      <c r="A1237" s="20">
        <v>45451.425693999998</v>
      </c>
      <c r="B1237" s="17">
        <v>68.948295000000002</v>
      </c>
      <c r="C1237" s="18"/>
      <c r="D1237" s="19"/>
    </row>
    <row r="1238" spans="1:4" x14ac:dyDescent="0.3">
      <c r="A1238" s="20">
        <v>45451.426389</v>
      </c>
      <c r="B1238" s="17">
        <v>68.699945</v>
      </c>
      <c r="C1238" s="18"/>
      <c r="D1238" s="19"/>
    </row>
    <row r="1239" spans="1:4" x14ac:dyDescent="0.3">
      <c r="A1239" s="20">
        <v>45451.427083000002</v>
      </c>
      <c r="B1239" s="17">
        <v>68.301869999999994</v>
      </c>
      <c r="C1239" s="18"/>
      <c r="D1239" s="19"/>
    </row>
    <row r="1240" spans="1:4" x14ac:dyDescent="0.3">
      <c r="A1240" s="20">
        <v>45451.427777999997</v>
      </c>
      <c r="B1240" s="17">
        <v>68.453525999999997</v>
      </c>
      <c r="C1240" s="18"/>
      <c r="D1240" s="19"/>
    </row>
    <row r="1241" spans="1:4" x14ac:dyDescent="0.3">
      <c r="A1241" s="20">
        <v>45451.428472</v>
      </c>
      <c r="B1241" s="17">
        <v>68.876394000000005</v>
      </c>
      <c r="C1241" s="18"/>
      <c r="D1241" s="19"/>
    </row>
    <row r="1242" spans="1:4" x14ac:dyDescent="0.3">
      <c r="A1242" s="20">
        <v>45451.429167000002</v>
      </c>
      <c r="B1242" s="17">
        <v>68.866414000000006</v>
      </c>
      <c r="C1242" s="18"/>
      <c r="D1242" s="19"/>
    </row>
    <row r="1243" spans="1:4" x14ac:dyDescent="0.3">
      <c r="A1243" s="20">
        <v>45451.429860999997</v>
      </c>
      <c r="B1243" s="17">
        <v>68.692796000000001</v>
      </c>
      <c r="C1243" s="18"/>
      <c r="D1243" s="19"/>
    </row>
    <row r="1244" spans="1:4" x14ac:dyDescent="0.3">
      <c r="A1244" s="20">
        <v>45451.430555999999</v>
      </c>
      <c r="B1244" s="17">
        <v>68.765539000000004</v>
      </c>
      <c r="C1244" s="18"/>
      <c r="D1244" s="19"/>
    </row>
    <row r="1245" spans="1:4" x14ac:dyDescent="0.3">
      <c r="A1245" s="20">
        <v>45451.431250000001</v>
      </c>
      <c r="B1245" s="17">
        <v>68.682906000000003</v>
      </c>
      <c r="C1245" s="18"/>
      <c r="D1245" s="19"/>
    </row>
    <row r="1246" spans="1:4" x14ac:dyDescent="0.3">
      <c r="A1246" s="20">
        <v>45451.431944000004</v>
      </c>
      <c r="B1246" s="17">
        <v>67.894971999999996</v>
      </c>
      <c r="C1246" s="18"/>
      <c r="D1246" s="19"/>
    </row>
    <row r="1247" spans="1:4" x14ac:dyDescent="0.3">
      <c r="A1247" s="20">
        <v>45451.432638999999</v>
      </c>
      <c r="B1247" s="17">
        <v>68.686170000000004</v>
      </c>
      <c r="C1247" s="18"/>
      <c r="D1247" s="19"/>
    </row>
    <row r="1248" spans="1:4" x14ac:dyDescent="0.3">
      <c r="A1248" s="20">
        <v>45451.433333000001</v>
      </c>
      <c r="B1248" s="17">
        <v>68.290649999999999</v>
      </c>
      <c r="C1248" s="18"/>
      <c r="D1248" s="19"/>
    </row>
    <row r="1249" spans="1:4" x14ac:dyDescent="0.3">
      <c r="A1249" s="20">
        <v>45451.434028000003</v>
      </c>
      <c r="B1249" s="17">
        <v>68.356375</v>
      </c>
      <c r="C1249" s="18"/>
      <c r="D1249" s="19"/>
    </row>
    <row r="1250" spans="1:4" x14ac:dyDescent="0.3">
      <c r="A1250" s="20">
        <v>45451.434721999998</v>
      </c>
      <c r="B1250" s="17">
        <v>68.513441999999998</v>
      </c>
      <c r="C1250" s="18"/>
      <c r="D1250" s="19"/>
    </row>
    <row r="1251" spans="1:4" x14ac:dyDescent="0.3">
      <c r="A1251" s="20">
        <v>45451.435417000001</v>
      </c>
      <c r="B1251" s="17">
        <v>68.783319000000006</v>
      </c>
      <c r="C1251" s="18"/>
      <c r="D1251" s="19"/>
    </row>
    <row r="1252" spans="1:4" x14ac:dyDescent="0.3">
      <c r="A1252" s="20">
        <v>45451.436111000003</v>
      </c>
      <c r="B1252" s="17">
        <v>68.690228000000005</v>
      </c>
      <c r="C1252" s="18"/>
      <c r="D1252" s="19"/>
    </row>
    <row r="1253" spans="1:4" x14ac:dyDescent="0.3">
      <c r="A1253" s="20">
        <v>45451.436805999998</v>
      </c>
      <c r="B1253" s="17">
        <v>68.468795999999998</v>
      </c>
      <c r="C1253" s="18"/>
      <c r="D1253" s="19"/>
    </row>
    <row r="1254" spans="1:4" x14ac:dyDescent="0.3">
      <c r="A1254" s="20">
        <v>45451.4375</v>
      </c>
      <c r="B1254" s="17">
        <v>68.350211999999999</v>
      </c>
      <c r="C1254" s="18"/>
      <c r="D1254" s="19"/>
    </row>
    <row r="1255" spans="1:4" x14ac:dyDescent="0.3">
      <c r="A1255" s="20">
        <v>45451.438194000002</v>
      </c>
      <c r="B1255" s="17">
        <v>68.892774000000003</v>
      </c>
      <c r="C1255" s="18"/>
      <c r="D1255" s="19"/>
    </row>
    <row r="1256" spans="1:4" x14ac:dyDescent="0.3">
      <c r="A1256" s="20">
        <v>45451.438888999997</v>
      </c>
      <c r="B1256" s="17">
        <v>68.653244999999998</v>
      </c>
      <c r="C1256" s="18"/>
      <c r="D1256" s="19"/>
    </row>
    <row r="1257" spans="1:4" x14ac:dyDescent="0.3">
      <c r="A1257" s="20">
        <v>45451.439582999999</v>
      </c>
      <c r="B1257" s="17">
        <v>68.565804999999997</v>
      </c>
      <c r="C1257" s="18"/>
      <c r="D1257" s="19"/>
    </row>
    <row r="1258" spans="1:4" x14ac:dyDescent="0.3">
      <c r="A1258" s="20">
        <v>45451.440278000002</v>
      </c>
      <c r="B1258" s="17">
        <v>68.519975000000002</v>
      </c>
      <c r="C1258" s="18"/>
      <c r="D1258" s="19"/>
    </row>
    <row r="1259" spans="1:4" x14ac:dyDescent="0.3">
      <c r="A1259" s="20">
        <v>45451.440971999997</v>
      </c>
      <c r="B1259" s="17">
        <v>68.687903000000006</v>
      </c>
      <c r="C1259" s="18"/>
      <c r="D1259" s="19"/>
    </row>
    <row r="1260" spans="1:4" x14ac:dyDescent="0.3">
      <c r="A1260" s="20">
        <v>45451.441666999999</v>
      </c>
      <c r="B1260" s="17">
        <v>68.413444999999996</v>
      </c>
      <c r="C1260" s="18"/>
      <c r="D1260" s="19"/>
    </row>
    <row r="1261" spans="1:4" x14ac:dyDescent="0.3">
      <c r="A1261" s="20">
        <v>45451.442361000001</v>
      </c>
      <c r="B1261" s="17">
        <v>68.384810000000002</v>
      </c>
      <c r="C1261" s="18"/>
      <c r="D1261" s="19"/>
    </row>
    <row r="1262" spans="1:4" x14ac:dyDescent="0.3">
      <c r="A1262" s="20">
        <v>45451.443055999996</v>
      </c>
      <c r="B1262" s="17">
        <v>68.468062000000003</v>
      </c>
      <c r="C1262" s="18"/>
      <c r="D1262" s="19"/>
    </row>
    <row r="1263" spans="1:4" x14ac:dyDescent="0.3">
      <c r="A1263" s="20">
        <v>45451.443749999999</v>
      </c>
      <c r="B1263" s="17">
        <v>68.526444999999995</v>
      </c>
      <c r="C1263" s="18"/>
      <c r="D1263" s="19"/>
    </row>
    <row r="1264" spans="1:4" x14ac:dyDescent="0.3">
      <c r="A1264" s="20">
        <v>45451.444444000001</v>
      </c>
      <c r="B1264" s="17">
        <v>68.105497999999997</v>
      </c>
      <c r="C1264" s="18"/>
      <c r="D1264" s="19"/>
    </row>
    <row r="1265" spans="1:4" x14ac:dyDescent="0.3">
      <c r="A1265" s="20">
        <v>45451.445139000003</v>
      </c>
      <c r="B1265" s="17">
        <v>68.228476000000001</v>
      </c>
      <c r="C1265" s="18"/>
      <c r="D1265" s="19"/>
    </row>
    <row r="1266" spans="1:4" x14ac:dyDescent="0.3">
      <c r="A1266" s="20">
        <v>45451.445832999998</v>
      </c>
      <c r="B1266" s="17">
        <v>68.934738999999993</v>
      </c>
      <c r="C1266" s="18"/>
      <c r="D1266" s="19"/>
    </row>
    <row r="1267" spans="1:4" x14ac:dyDescent="0.3">
      <c r="A1267" s="20">
        <v>45451.446528</v>
      </c>
      <c r="B1267" s="17">
        <v>68.159743000000006</v>
      </c>
      <c r="C1267" s="18"/>
      <c r="D1267" s="19"/>
    </row>
    <row r="1268" spans="1:4" x14ac:dyDescent="0.3">
      <c r="A1268" s="20">
        <v>45451.447222000003</v>
      </c>
      <c r="B1268" s="17">
        <v>68.129958999999999</v>
      </c>
      <c r="C1268" s="18"/>
      <c r="D1268" s="19"/>
    </row>
    <row r="1269" spans="1:4" x14ac:dyDescent="0.3">
      <c r="A1269" s="20">
        <v>45451.447916999998</v>
      </c>
      <c r="B1269" s="17">
        <v>68.212654999999998</v>
      </c>
      <c r="C1269" s="18"/>
      <c r="D1269" s="19"/>
    </row>
    <row r="1270" spans="1:4" x14ac:dyDescent="0.3">
      <c r="A1270" s="20">
        <v>45451.448611</v>
      </c>
      <c r="B1270" s="17">
        <v>68.653262999999995</v>
      </c>
      <c r="C1270" s="18"/>
      <c r="D1270" s="19"/>
    </row>
    <row r="1271" spans="1:4" x14ac:dyDescent="0.3">
      <c r="A1271" s="20">
        <v>45451.449306000002</v>
      </c>
      <c r="B1271" s="17">
        <v>68.416314999999997</v>
      </c>
      <c r="C1271" s="18"/>
      <c r="D1271" s="19"/>
    </row>
    <row r="1272" spans="1:4" x14ac:dyDescent="0.3">
      <c r="A1272" s="20">
        <v>45451.45</v>
      </c>
      <c r="B1272" s="17">
        <v>68.241242</v>
      </c>
      <c r="C1272" s="18"/>
      <c r="D1272" s="19"/>
    </row>
    <row r="1273" spans="1:4" x14ac:dyDescent="0.3">
      <c r="A1273" s="20">
        <v>45451.450693999999</v>
      </c>
      <c r="B1273" s="17">
        <v>68.473645000000005</v>
      </c>
      <c r="C1273" s="18"/>
      <c r="D1273" s="19"/>
    </row>
    <row r="1274" spans="1:4" x14ac:dyDescent="0.3">
      <c r="A1274" s="20">
        <v>45451.451389000002</v>
      </c>
      <c r="B1274" s="17">
        <v>68.205483000000001</v>
      </c>
      <c r="C1274" s="18"/>
      <c r="D1274" s="19"/>
    </row>
    <row r="1275" spans="1:4" x14ac:dyDescent="0.3">
      <c r="A1275" s="20">
        <v>45451.452082999996</v>
      </c>
      <c r="B1275" s="17">
        <v>68.854804000000001</v>
      </c>
      <c r="C1275" s="18"/>
      <c r="D1275" s="19"/>
    </row>
    <row r="1276" spans="1:4" x14ac:dyDescent="0.3">
      <c r="A1276" s="20">
        <v>45451.452777999999</v>
      </c>
      <c r="B1276" s="17">
        <v>68.308149</v>
      </c>
      <c r="C1276" s="18"/>
      <c r="D1276" s="19"/>
    </row>
    <row r="1277" spans="1:4" x14ac:dyDescent="0.3">
      <c r="A1277" s="20">
        <v>45451.453472000001</v>
      </c>
      <c r="B1277" s="17">
        <v>68.842933000000002</v>
      </c>
      <c r="C1277" s="18"/>
      <c r="D1277" s="19"/>
    </row>
    <row r="1278" spans="1:4" x14ac:dyDescent="0.3">
      <c r="A1278" s="20">
        <v>45451.454167000004</v>
      </c>
      <c r="B1278" s="17">
        <v>68.766174000000007</v>
      </c>
      <c r="C1278" s="18"/>
      <c r="D1278" s="19"/>
    </row>
    <row r="1279" spans="1:4" x14ac:dyDescent="0.3">
      <c r="A1279" s="20">
        <v>45451.454860999998</v>
      </c>
      <c r="B1279" s="17">
        <v>68.296903999999998</v>
      </c>
      <c r="C1279" s="18"/>
      <c r="D1279" s="19"/>
    </row>
    <row r="1280" spans="1:4" x14ac:dyDescent="0.3">
      <c r="A1280" s="20">
        <v>45451.455556000001</v>
      </c>
      <c r="B1280" s="17">
        <v>68.455776999999998</v>
      </c>
      <c r="C1280" s="18"/>
      <c r="D1280" s="19"/>
    </row>
    <row r="1281" spans="1:4" x14ac:dyDescent="0.3">
      <c r="A1281" s="20">
        <v>45451.456250000003</v>
      </c>
      <c r="B1281" s="17">
        <v>68.494116000000005</v>
      </c>
      <c r="C1281" s="18"/>
      <c r="D1281" s="19"/>
    </row>
    <row r="1282" spans="1:4" x14ac:dyDescent="0.3">
      <c r="A1282" s="20">
        <v>45451.456943999998</v>
      </c>
      <c r="B1282" s="17">
        <v>67.987489999999994</v>
      </c>
      <c r="C1282" s="18"/>
      <c r="D1282" s="19"/>
    </row>
    <row r="1283" spans="1:4" x14ac:dyDescent="0.3">
      <c r="A1283" s="20">
        <v>45451.457639</v>
      </c>
      <c r="B1283" s="17">
        <v>68.433653000000007</v>
      </c>
      <c r="C1283" s="18"/>
      <c r="D1283" s="19"/>
    </row>
    <row r="1284" spans="1:4" x14ac:dyDescent="0.3">
      <c r="A1284" s="20">
        <v>45451.458333000002</v>
      </c>
      <c r="B1284" s="17">
        <v>68.594398999999996</v>
      </c>
      <c r="C1284" s="18"/>
      <c r="D1284" s="19"/>
    </row>
    <row r="1285" spans="1:4" x14ac:dyDescent="0.3">
      <c r="A1285" s="20">
        <v>45451.459027999997</v>
      </c>
      <c r="B1285" s="17">
        <v>68.082030000000003</v>
      </c>
      <c r="C1285" s="18"/>
      <c r="D1285" s="19"/>
    </row>
    <row r="1286" spans="1:4" x14ac:dyDescent="0.3">
      <c r="A1286" s="20">
        <v>45451.459722</v>
      </c>
      <c r="B1286" s="17">
        <v>69.017565000000005</v>
      </c>
      <c r="C1286" s="18"/>
      <c r="D1286" s="19"/>
    </row>
    <row r="1287" spans="1:4" x14ac:dyDescent="0.3">
      <c r="A1287" s="20">
        <v>45451.460417000002</v>
      </c>
      <c r="B1287" s="17">
        <v>67.155207000000004</v>
      </c>
      <c r="C1287" s="18"/>
      <c r="D1287" s="19"/>
    </row>
    <row r="1288" spans="1:4" x14ac:dyDescent="0.3">
      <c r="A1288" s="20">
        <v>45451.461110999997</v>
      </c>
      <c r="B1288" s="17">
        <v>68.453637000000001</v>
      </c>
      <c r="C1288" s="18"/>
      <c r="D1288" s="19"/>
    </row>
    <row r="1289" spans="1:4" x14ac:dyDescent="0.3">
      <c r="A1289" s="20">
        <v>45451.461805999999</v>
      </c>
      <c r="B1289" s="17">
        <v>68.304096000000001</v>
      </c>
      <c r="C1289" s="18"/>
      <c r="D1289" s="19"/>
    </row>
    <row r="1290" spans="1:4" x14ac:dyDescent="0.3">
      <c r="A1290" s="20">
        <v>45451.462500000001</v>
      </c>
      <c r="B1290" s="17">
        <v>68.494435999999993</v>
      </c>
      <c r="C1290" s="18"/>
      <c r="D1290" s="19"/>
    </row>
    <row r="1291" spans="1:4" x14ac:dyDescent="0.3">
      <c r="A1291" s="20">
        <v>45451.463194000004</v>
      </c>
      <c r="B1291" s="17">
        <v>69.277465000000007</v>
      </c>
      <c r="C1291" s="18"/>
      <c r="D1291" s="19"/>
    </row>
    <row r="1292" spans="1:4" x14ac:dyDescent="0.3">
      <c r="A1292" s="20">
        <v>45451.463888999999</v>
      </c>
      <c r="B1292" s="17">
        <v>68.131024999999994</v>
      </c>
      <c r="C1292" s="18"/>
      <c r="D1292" s="19"/>
    </row>
    <row r="1293" spans="1:4" x14ac:dyDescent="0.3">
      <c r="A1293" s="20">
        <v>45451.464583000001</v>
      </c>
      <c r="B1293" s="17">
        <v>67.927126000000001</v>
      </c>
      <c r="C1293" s="18"/>
      <c r="D1293" s="19"/>
    </row>
    <row r="1294" spans="1:4" x14ac:dyDescent="0.3">
      <c r="A1294" s="20">
        <v>45451.465278000003</v>
      </c>
      <c r="B1294" s="17">
        <v>68.116363000000007</v>
      </c>
      <c r="C1294" s="18"/>
      <c r="D1294" s="19"/>
    </row>
    <row r="1295" spans="1:4" x14ac:dyDescent="0.3">
      <c r="A1295" s="20">
        <v>45451.465971999998</v>
      </c>
      <c r="B1295" s="17">
        <v>68.375606000000005</v>
      </c>
      <c r="C1295" s="18"/>
      <c r="D1295" s="19"/>
    </row>
    <row r="1296" spans="1:4" x14ac:dyDescent="0.3">
      <c r="A1296" s="20">
        <v>45451.466667000001</v>
      </c>
      <c r="B1296" s="17">
        <v>68.640170999999995</v>
      </c>
      <c r="C1296" s="18"/>
      <c r="D1296" s="19"/>
    </row>
    <row r="1297" spans="1:4" x14ac:dyDescent="0.3">
      <c r="A1297" s="20">
        <v>45451.467361000003</v>
      </c>
      <c r="B1297" s="17">
        <v>68.46996</v>
      </c>
      <c r="C1297" s="18"/>
      <c r="D1297" s="19"/>
    </row>
    <row r="1298" spans="1:4" x14ac:dyDescent="0.3">
      <c r="A1298" s="20">
        <v>45451.468055999998</v>
      </c>
      <c r="B1298" s="17">
        <v>68.219640999999996</v>
      </c>
      <c r="C1298" s="18"/>
      <c r="D1298" s="19"/>
    </row>
    <row r="1299" spans="1:4" x14ac:dyDescent="0.3">
      <c r="A1299" s="20">
        <v>45451.46875</v>
      </c>
      <c r="B1299" s="17">
        <v>68.065029999999993</v>
      </c>
      <c r="C1299" s="18"/>
      <c r="D1299" s="19"/>
    </row>
    <row r="1300" spans="1:4" x14ac:dyDescent="0.3">
      <c r="A1300" s="20">
        <v>45451.469444000002</v>
      </c>
      <c r="B1300" s="17">
        <v>68.569338999999999</v>
      </c>
      <c r="C1300" s="18"/>
      <c r="D1300" s="19"/>
    </row>
    <row r="1301" spans="1:4" x14ac:dyDescent="0.3">
      <c r="A1301" s="20">
        <v>45451.470138999997</v>
      </c>
      <c r="B1301" s="17">
        <v>68.377568999999994</v>
      </c>
      <c r="C1301" s="18"/>
      <c r="D1301" s="19"/>
    </row>
    <row r="1302" spans="1:4" x14ac:dyDescent="0.3">
      <c r="A1302" s="20">
        <v>45451.470832999999</v>
      </c>
      <c r="B1302" s="17">
        <v>68.301522000000006</v>
      </c>
      <c r="C1302" s="18"/>
      <c r="D1302" s="19"/>
    </row>
    <row r="1303" spans="1:4" x14ac:dyDescent="0.3">
      <c r="A1303" s="20">
        <v>45451.471528000002</v>
      </c>
      <c r="B1303" s="17">
        <v>68.306038999999998</v>
      </c>
      <c r="C1303" s="18"/>
      <c r="D1303" s="19"/>
    </row>
    <row r="1304" spans="1:4" x14ac:dyDescent="0.3">
      <c r="A1304" s="20">
        <v>45451.472221999997</v>
      </c>
      <c r="B1304" s="17">
        <v>68.632547000000002</v>
      </c>
      <c r="C1304" s="18"/>
      <c r="D1304" s="19"/>
    </row>
    <row r="1305" spans="1:4" x14ac:dyDescent="0.3">
      <c r="A1305" s="20">
        <v>45451.472916999999</v>
      </c>
      <c r="B1305" s="17">
        <v>67.945617999999996</v>
      </c>
      <c r="C1305" s="18"/>
      <c r="D1305" s="19"/>
    </row>
    <row r="1306" spans="1:4" x14ac:dyDescent="0.3">
      <c r="A1306" s="20">
        <v>45451.473611000001</v>
      </c>
      <c r="B1306" s="17">
        <v>68.025274999999993</v>
      </c>
      <c r="C1306" s="18"/>
      <c r="D1306" s="19"/>
    </row>
    <row r="1307" spans="1:4" x14ac:dyDescent="0.3">
      <c r="A1307" s="20">
        <v>45451.474305999996</v>
      </c>
      <c r="B1307" s="17">
        <v>68.608744999999999</v>
      </c>
      <c r="C1307" s="18"/>
      <c r="D1307" s="19"/>
    </row>
    <row r="1308" spans="1:4" x14ac:dyDescent="0.3">
      <c r="A1308" s="20">
        <v>45451.474999999999</v>
      </c>
      <c r="B1308" s="17">
        <v>67.945943999999997</v>
      </c>
      <c r="C1308" s="18"/>
      <c r="D1308" s="19"/>
    </row>
    <row r="1309" spans="1:4" x14ac:dyDescent="0.3">
      <c r="A1309" s="20">
        <v>45451.475694000001</v>
      </c>
      <c r="B1309" s="17">
        <v>68.189068000000006</v>
      </c>
      <c r="C1309" s="18"/>
      <c r="D1309" s="19"/>
    </row>
    <row r="1310" spans="1:4" x14ac:dyDescent="0.3">
      <c r="A1310" s="20">
        <v>45451.476389000003</v>
      </c>
      <c r="B1310" s="17">
        <v>68.696950999999999</v>
      </c>
      <c r="C1310" s="18"/>
      <c r="D1310" s="19"/>
    </row>
    <row r="1311" spans="1:4" x14ac:dyDescent="0.3">
      <c r="A1311" s="20">
        <v>45451.477082999998</v>
      </c>
      <c r="B1311" s="17">
        <v>67.841937999999999</v>
      </c>
      <c r="C1311" s="18"/>
      <c r="D1311" s="19"/>
    </row>
    <row r="1312" spans="1:4" x14ac:dyDescent="0.3">
      <c r="A1312" s="20">
        <v>45451.477778</v>
      </c>
      <c r="B1312" s="17">
        <v>68.984014000000002</v>
      </c>
      <c r="C1312" s="18"/>
      <c r="D1312" s="19"/>
    </row>
    <row r="1313" spans="1:4" x14ac:dyDescent="0.3">
      <c r="A1313" s="20">
        <v>45451.478472000003</v>
      </c>
      <c r="B1313" s="17">
        <v>67.976977000000005</v>
      </c>
      <c r="C1313" s="18"/>
      <c r="D1313" s="19"/>
    </row>
    <row r="1314" spans="1:4" x14ac:dyDescent="0.3">
      <c r="A1314" s="20">
        <v>45451.479166999998</v>
      </c>
      <c r="B1314" s="17">
        <v>68.578659000000002</v>
      </c>
      <c r="C1314" s="18"/>
      <c r="D1314" s="19"/>
    </row>
    <row r="1315" spans="1:4" x14ac:dyDescent="0.3">
      <c r="A1315" s="20">
        <v>45451.479861</v>
      </c>
      <c r="B1315" s="17">
        <v>68.742919000000001</v>
      </c>
      <c r="C1315" s="18"/>
      <c r="D1315" s="19"/>
    </row>
    <row r="1316" spans="1:4" x14ac:dyDescent="0.3">
      <c r="A1316" s="20">
        <v>45451.480556000002</v>
      </c>
      <c r="B1316" s="17">
        <v>67.951532999999998</v>
      </c>
      <c r="C1316" s="18"/>
      <c r="D1316" s="19"/>
    </row>
    <row r="1317" spans="1:4" x14ac:dyDescent="0.3">
      <c r="A1317" s="20">
        <v>45451.481249999997</v>
      </c>
      <c r="B1317" s="17">
        <v>67.951763999999997</v>
      </c>
      <c r="C1317" s="18"/>
      <c r="D1317" s="19"/>
    </row>
    <row r="1318" spans="1:4" x14ac:dyDescent="0.3">
      <c r="A1318" s="20">
        <v>45451.481943999999</v>
      </c>
      <c r="B1318" s="17">
        <v>67.981538999999998</v>
      </c>
      <c r="C1318" s="18"/>
      <c r="D1318" s="19"/>
    </row>
    <row r="1319" spans="1:4" x14ac:dyDescent="0.3">
      <c r="A1319" s="20">
        <v>45451.482639000002</v>
      </c>
      <c r="B1319" s="17">
        <v>68.015124999999998</v>
      </c>
      <c r="C1319" s="18"/>
      <c r="D1319" s="19"/>
    </row>
    <row r="1320" spans="1:4" x14ac:dyDescent="0.3">
      <c r="A1320" s="20">
        <v>45451.483332999996</v>
      </c>
      <c r="B1320" s="17">
        <v>68.192273999999998</v>
      </c>
      <c r="C1320" s="18"/>
      <c r="D1320" s="19"/>
    </row>
    <row r="1321" spans="1:4" x14ac:dyDescent="0.3">
      <c r="A1321" s="20">
        <v>45451.484027999999</v>
      </c>
      <c r="B1321" s="17">
        <v>68.397872000000007</v>
      </c>
      <c r="C1321" s="18"/>
      <c r="D1321" s="19"/>
    </row>
    <row r="1322" spans="1:4" x14ac:dyDescent="0.3">
      <c r="A1322" s="20">
        <v>45451.484722000001</v>
      </c>
      <c r="B1322" s="17">
        <v>68.700096000000002</v>
      </c>
      <c r="C1322" s="18"/>
      <c r="D1322" s="19"/>
    </row>
    <row r="1323" spans="1:4" x14ac:dyDescent="0.3">
      <c r="A1323" s="20">
        <v>45451.485417000004</v>
      </c>
      <c r="B1323" s="17">
        <v>68.003760999999997</v>
      </c>
      <c r="C1323" s="18"/>
      <c r="D1323" s="19"/>
    </row>
    <row r="1324" spans="1:4" x14ac:dyDescent="0.3">
      <c r="A1324" s="20">
        <v>45451.486110999998</v>
      </c>
      <c r="B1324" s="17">
        <v>68.136267000000004</v>
      </c>
      <c r="C1324" s="18"/>
      <c r="D1324" s="19"/>
    </row>
    <row r="1325" spans="1:4" x14ac:dyDescent="0.3">
      <c r="A1325" s="20">
        <v>45451.486806000001</v>
      </c>
      <c r="B1325" s="17">
        <v>68.543457000000004</v>
      </c>
      <c r="C1325" s="18"/>
      <c r="D1325" s="19"/>
    </row>
    <row r="1326" spans="1:4" x14ac:dyDescent="0.3">
      <c r="A1326" s="20">
        <v>45451.487500000003</v>
      </c>
      <c r="B1326" s="17">
        <v>68.254369999999994</v>
      </c>
      <c r="C1326" s="18"/>
      <c r="D1326" s="19"/>
    </row>
    <row r="1327" spans="1:4" x14ac:dyDescent="0.3">
      <c r="A1327" s="20">
        <v>45451.488193999998</v>
      </c>
      <c r="B1327" s="17">
        <v>68.492706999999996</v>
      </c>
      <c r="C1327" s="18"/>
      <c r="D1327" s="19"/>
    </row>
    <row r="1328" spans="1:4" x14ac:dyDescent="0.3">
      <c r="A1328" s="20">
        <v>45451.488889</v>
      </c>
      <c r="B1328" s="17">
        <v>68.499170000000007</v>
      </c>
      <c r="C1328" s="18"/>
      <c r="D1328" s="19"/>
    </row>
    <row r="1329" spans="1:4" x14ac:dyDescent="0.3">
      <c r="A1329" s="20">
        <v>45451.489583000002</v>
      </c>
      <c r="B1329" s="17">
        <v>68.212770000000006</v>
      </c>
      <c r="C1329" s="18"/>
      <c r="D1329" s="19"/>
    </row>
    <row r="1330" spans="1:4" x14ac:dyDescent="0.3">
      <c r="A1330" s="20">
        <v>45451.490277999997</v>
      </c>
      <c r="B1330" s="17">
        <v>68.666966000000002</v>
      </c>
      <c r="C1330" s="18"/>
      <c r="D1330" s="19"/>
    </row>
    <row r="1331" spans="1:4" x14ac:dyDescent="0.3">
      <c r="A1331" s="20">
        <v>45451.490972</v>
      </c>
      <c r="B1331" s="17">
        <v>68.441314000000006</v>
      </c>
      <c r="C1331" s="18"/>
      <c r="D1331" s="19"/>
    </row>
    <row r="1332" spans="1:4" x14ac:dyDescent="0.3">
      <c r="A1332" s="20">
        <v>45451.491667000002</v>
      </c>
      <c r="B1332" s="17">
        <v>67.811260000000004</v>
      </c>
      <c r="C1332" s="18"/>
      <c r="D1332" s="19"/>
    </row>
    <row r="1333" spans="1:4" x14ac:dyDescent="0.3">
      <c r="A1333" s="20">
        <v>45451.492360999997</v>
      </c>
      <c r="B1333" s="17">
        <v>68.135206999999994</v>
      </c>
      <c r="C1333" s="18"/>
      <c r="D1333" s="19"/>
    </row>
    <row r="1334" spans="1:4" x14ac:dyDescent="0.3">
      <c r="A1334" s="20">
        <v>45451.493055999999</v>
      </c>
      <c r="B1334" s="17">
        <v>68.803918999999993</v>
      </c>
      <c r="C1334" s="18"/>
      <c r="D1334" s="19"/>
    </row>
    <row r="1335" spans="1:4" x14ac:dyDescent="0.3">
      <c r="A1335" s="20">
        <v>45451.493750000001</v>
      </c>
      <c r="B1335" s="17">
        <v>68.621944999999997</v>
      </c>
      <c r="C1335" s="18"/>
      <c r="D1335" s="19"/>
    </row>
    <row r="1336" spans="1:4" x14ac:dyDescent="0.3">
      <c r="A1336" s="20">
        <v>45451.494444000004</v>
      </c>
      <c r="B1336" s="17">
        <v>68.841156999999995</v>
      </c>
      <c r="C1336" s="18"/>
      <c r="D1336" s="19"/>
    </row>
    <row r="1337" spans="1:4" x14ac:dyDescent="0.3">
      <c r="A1337" s="20">
        <v>45451.495138999999</v>
      </c>
      <c r="B1337" s="17">
        <v>68.843950000000007</v>
      </c>
      <c r="C1337" s="18"/>
      <c r="D1337" s="19"/>
    </row>
    <row r="1338" spans="1:4" x14ac:dyDescent="0.3">
      <c r="A1338" s="20">
        <v>45451.495833000001</v>
      </c>
      <c r="B1338" s="17">
        <v>68.698912000000007</v>
      </c>
      <c r="C1338" s="18"/>
      <c r="D1338" s="19"/>
    </row>
    <row r="1339" spans="1:4" x14ac:dyDescent="0.3">
      <c r="A1339" s="20">
        <v>45451.496528000003</v>
      </c>
      <c r="B1339" s="17">
        <v>68.426146000000003</v>
      </c>
      <c r="C1339" s="18"/>
      <c r="D1339" s="19"/>
    </row>
    <row r="1340" spans="1:4" x14ac:dyDescent="0.3">
      <c r="A1340" s="20">
        <v>45451.497221999998</v>
      </c>
      <c r="B1340" s="17">
        <v>68.341267999999999</v>
      </c>
      <c r="C1340" s="18"/>
      <c r="D1340" s="19"/>
    </row>
    <row r="1341" spans="1:4" x14ac:dyDescent="0.3">
      <c r="A1341" s="20">
        <v>45451.497917000001</v>
      </c>
      <c r="B1341" s="17">
        <v>67.875538000000006</v>
      </c>
      <c r="C1341" s="18"/>
      <c r="D1341" s="19"/>
    </row>
    <row r="1342" spans="1:4" x14ac:dyDescent="0.3">
      <c r="A1342" s="20">
        <v>45451.498611000003</v>
      </c>
      <c r="B1342" s="17">
        <v>68.505521999999999</v>
      </c>
      <c r="C1342" s="18"/>
      <c r="D1342" s="19"/>
    </row>
    <row r="1343" spans="1:4" x14ac:dyDescent="0.3">
      <c r="A1343" s="20">
        <v>45451.499305999998</v>
      </c>
      <c r="B1343" s="17">
        <v>68.139363000000003</v>
      </c>
      <c r="C1343" s="18"/>
      <c r="D1343" s="19"/>
    </row>
    <row r="1344" spans="1:4" x14ac:dyDescent="0.3">
      <c r="A1344" s="20">
        <v>45451.5</v>
      </c>
      <c r="B1344" s="17">
        <v>68.865534999999994</v>
      </c>
      <c r="C1344" s="18"/>
      <c r="D1344" s="19"/>
    </row>
    <row r="1345" spans="1:4" x14ac:dyDescent="0.3">
      <c r="A1345" s="20">
        <v>45451.500694000002</v>
      </c>
      <c r="B1345" s="17">
        <v>68.300101999999995</v>
      </c>
      <c r="C1345" s="18"/>
      <c r="D1345" s="19"/>
    </row>
    <row r="1346" spans="1:4" x14ac:dyDescent="0.3">
      <c r="A1346" s="20">
        <v>45451.501388999997</v>
      </c>
      <c r="B1346" s="17">
        <v>67.937509000000006</v>
      </c>
      <c r="C1346" s="18"/>
      <c r="D1346" s="19"/>
    </row>
    <row r="1347" spans="1:4" x14ac:dyDescent="0.3">
      <c r="A1347" s="20">
        <v>45451.502082999999</v>
      </c>
      <c r="B1347" s="17">
        <v>68.531941000000003</v>
      </c>
      <c r="C1347" s="18"/>
      <c r="D1347" s="19"/>
    </row>
    <row r="1348" spans="1:4" x14ac:dyDescent="0.3">
      <c r="A1348" s="20">
        <v>45451.502778000002</v>
      </c>
      <c r="B1348" s="17">
        <v>67.746125000000006</v>
      </c>
      <c r="C1348" s="18"/>
      <c r="D1348" s="19"/>
    </row>
    <row r="1349" spans="1:4" x14ac:dyDescent="0.3">
      <c r="A1349" s="20">
        <v>45451.503471999997</v>
      </c>
      <c r="B1349" s="17">
        <v>68.707367000000005</v>
      </c>
      <c r="C1349" s="18"/>
      <c r="D1349" s="19"/>
    </row>
    <row r="1350" spans="1:4" x14ac:dyDescent="0.3">
      <c r="A1350" s="20">
        <v>45451.504166999999</v>
      </c>
      <c r="B1350" s="17">
        <v>68.297901999999993</v>
      </c>
      <c r="C1350" s="18"/>
      <c r="D1350" s="19"/>
    </row>
    <row r="1351" spans="1:4" x14ac:dyDescent="0.3">
      <c r="A1351" s="20">
        <v>45451.504861000001</v>
      </c>
      <c r="B1351" s="17">
        <v>68.696877999999998</v>
      </c>
      <c r="C1351" s="18"/>
      <c r="D1351" s="19"/>
    </row>
    <row r="1352" spans="1:4" x14ac:dyDescent="0.3">
      <c r="A1352" s="20">
        <v>45451.505555999996</v>
      </c>
      <c r="B1352" s="17">
        <v>68.031385</v>
      </c>
      <c r="C1352" s="18"/>
      <c r="D1352" s="19"/>
    </row>
    <row r="1353" spans="1:4" x14ac:dyDescent="0.3">
      <c r="A1353" s="20">
        <v>45451.506249999999</v>
      </c>
      <c r="B1353" s="17">
        <v>67.819300999999996</v>
      </c>
      <c r="C1353" s="18"/>
      <c r="D1353" s="19"/>
    </row>
    <row r="1354" spans="1:4" x14ac:dyDescent="0.3">
      <c r="A1354" s="20">
        <v>45451.506944000001</v>
      </c>
      <c r="B1354" s="17">
        <v>68.078407999999996</v>
      </c>
      <c r="C1354" s="18"/>
      <c r="D1354" s="19"/>
    </row>
    <row r="1355" spans="1:4" x14ac:dyDescent="0.3">
      <c r="A1355" s="20">
        <v>45451.507639000003</v>
      </c>
      <c r="B1355" s="17">
        <v>68.810175000000001</v>
      </c>
      <c r="C1355" s="18"/>
      <c r="D1355" s="19"/>
    </row>
    <row r="1356" spans="1:4" x14ac:dyDescent="0.3">
      <c r="A1356" s="20">
        <v>45451.508332999998</v>
      </c>
      <c r="B1356" s="17">
        <v>67.796840000000003</v>
      </c>
      <c r="C1356" s="18"/>
      <c r="D1356" s="19"/>
    </row>
    <row r="1357" spans="1:4" x14ac:dyDescent="0.3">
      <c r="A1357" s="20">
        <v>45451.509028</v>
      </c>
      <c r="B1357" s="17">
        <v>68.201767000000004</v>
      </c>
      <c r="C1357" s="18"/>
      <c r="D1357" s="19"/>
    </row>
    <row r="1358" spans="1:4" x14ac:dyDescent="0.3">
      <c r="A1358" s="20">
        <v>45451.509722000003</v>
      </c>
      <c r="B1358" s="17">
        <v>68.761133000000001</v>
      </c>
      <c r="C1358" s="18"/>
      <c r="D1358" s="19"/>
    </row>
    <row r="1359" spans="1:4" x14ac:dyDescent="0.3">
      <c r="A1359" s="20">
        <v>45451.510416999998</v>
      </c>
      <c r="B1359" s="17">
        <v>68.272658000000007</v>
      </c>
      <c r="C1359" s="18"/>
      <c r="D1359" s="19"/>
    </row>
    <row r="1360" spans="1:4" x14ac:dyDescent="0.3">
      <c r="A1360" s="20">
        <v>45451.511111</v>
      </c>
      <c r="B1360" s="17">
        <v>68.303313000000003</v>
      </c>
      <c r="C1360" s="18"/>
      <c r="D1360" s="19"/>
    </row>
    <row r="1361" spans="1:4" x14ac:dyDescent="0.3">
      <c r="A1361" s="20">
        <v>45451.511806000002</v>
      </c>
      <c r="B1361" s="17">
        <v>67.974041</v>
      </c>
      <c r="C1361" s="18"/>
      <c r="D1361" s="19"/>
    </row>
    <row r="1362" spans="1:4" x14ac:dyDescent="0.3">
      <c r="A1362" s="20">
        <v>45451.512499999997</v>
      </c>
      <c r="B1362" s="17">
        <v>68.463177000000002</v>
      </c>
      <c r="C1362" s="18"/>
      <c r="D1362" s="19"/>
    </row>
    <row r="1363" spans="1:4" x14ac:dyDescent="0.3">
      <c r="A1363" s="20">
        <v>45451.513193999999</v>
      </c>
      <c r="B1363" s="17">
        <v>68.286501999999999</v>
      </c>
      <c r="C1363" s="18"/>
      <c r="D1363" s="19"/>
    </row>
    <row r="1364" spans="1:4" x14ac:dyDescent="0.3">
      <c r="A1364" s="20">
        <v>45451.513889000002</v>
      </c>
      <c r="B1364" s="17">
        <v>68.499223999999998</v>
      </c>
      <c r="C1364" s="18"/>
      <c r="D1364" s="19"/>
    </row>
    <row r="1365" spans="1:4" x14ac:dyDescent="0.3">
      <c r="A1365" s="20">
        <v>45451.514582999996</v>
      </c>
      <c r="B1365" s="17">
        <v>68.038764</v>
      </c>
      <c r="C1365" s="18"/>
      <c r="D1365" s="19"/>
    </row>
    <row r="1366" spans="1:4" x14ac:dyDescent="0.3">
      <c r="A1366" s="20">
        <v>45451.515277999999</v>
      </c>
      <c r="B1366" s="17">
        <v>67.695769999999996</v>
      </c>
      <c r="C1366" s="18"/>
      <c r="D1366" s="19"/>
    </row>
    <row r="1367" spans="1:4" x14ac:dyDescent="0.3">
      <c r="A1367" s="20">
        <v>45451.515972000001</v>
      </c>
      <c r="B1367" s="17">
        <v>67.906797999999995</v>
      </c>
      <c r="C1367" s="18"/>
      <c r="D1367" s="19"/>
    </row>
    <row r="1368" spans="1:4" x14ac:dyDescent="0.3">
      <c r="A1368" s="20">
        <v>45451.516667000004</v>
      </c>
      <c r="B1368" s="17">
        <v>68.059813000000005</v>
      </c>
      <c r="C1368" s="18"/>
      <c r="D1368" s="19"/>
    </row>
    <row r="1369" spans="1:4" x14ac:dyDescent="0.3">
      <c r="A1369" s="20">
        <v>45451.517360999998</v>
      </c>
      <c r="B1369" s="17">
        <v>68.489279999999994</v>
      </c>
      <c r="C1369" s="18"/>
      <c r="D1369" s="19"/>
    </row>
    <row r="1370" spans="1:4" x14ac:dyDescent="0.3">
      <c r="A1370" s="20">
        <v>45451.518056000001</v>
      </c>
      <c r="B1370" s="17">
        <v>68.667238999999995</v>
      </c>
      <c r="C1370" s="18"/>
      <c r="D1370" s="19"/>
    </row>
    <row r="1371" spans="1:4" x14ac:dyDescent="0.3">
      <c r="A1371" s="20">
        <v>45451.518750000003</v>
      </c>
      <c r="B1371" s="17">
        <v>68.411311999999995</v>
      </c>
      <c r="C1371" s="18"/>
      <c r="D1371" s="19"/>
    </row>
    <row r="1372" spans="1:4" x14ac:dyDescent="0.3">
      <c r="A1372" s="20">
        <v>45451.519443999998</v>
      </c>
      <c r="B1372" s="17">
        <v>67.969247999999993</v>
      </c>
      <c r="C1372" s="18"/>
      <c r="D1372" s="19"/>
    </row>
    <row r="1373" spans="1:4" x14ac:dyDescent="0.3">
      <c r="A1373" s="20">
        <v>45451.520139</v>
      </c>
      <c r="B1373" s="17">
        <v>68.009332000000001</v>
      </c>
      <c r="C1373" s="18"/>
      <c r="D1373" s="19"/>
    </row>
    <row r="1374" spans="1:4" x14ac:dyDescent="0.3">
      <c r="A1374" s="20">
        <v>45451.520833000002</v>
      </c>
      <c r="B1374" s="17">
        <v>67.900948</v>
      </c>
      <c r="C1374" s="18"/>
      <c r="D1374" s="19"/>
    </row>
    <row r="1375" spans="1:4" x14ac:dyDescent="0.3">
      <c r="A1375" s="20">
        <v>45451.521527999997</v>
      </c>
      <c r="B1375" s="17">
        <v>68.200014999999993</v>
      </c>
      <c r="C1375" s="18"/>
      <c r="D1375" s="19"/>
    </row>
    <row r="1376" spans="1:4" x14ac:dyDescent="0.3">
      <c r="A1376" s="20">
        <v>45451.522222</v>
      </c>
      <c r="B1376" s="17">
        <v>68.658979000000002</v>
      </c>
      <c r="C1376" s="18"/>
      <c r="D1376" s="19"/>
    </row>
    <row r="1377" spans="1:4" x14ac:dyDescent="0.3">
      <c r="A1377" s="20">
        <v>45451.522917000002</v>
      </c>
      <c r="B1377" s="17">
        <v>68.282126000000005</v>
      </c>
      <c r="C1377" s="18"/>
      <c r="D1377" s="19"/>
    </row>
    <row r="1378" spans="1:4" x14ac:dyDescent="0.3">
      <c r="A1378" s="20">
        <v>45451.523610999997</v>
      </c>
      <c r="B1378" s="17">
        <v>68.804946000000001</v>
      </c>
      <c r="C1378" s="18"/>
      <c r="D1378" s="19"/>
    </row>
    <row r="1379" spans="1:4" x14ac:dyDescent="0.3">
      <c r="A1379" s="20">
        <v>45451.524305999999</v>
      </c>
      <c r="B1379" s="17">
        <v>68.969624999999994</v>
      </c>
      <c r="C1379" s="18"/>
      <c r="D1379" s="19"/>
    </row>
    <row r="1380" spans="1:4" x14ac:dyDescent="0.3">
      <c r="A1380" s="20">
        <v>45451.525000000001</v>
      </c>
      <c r="B1380" s="17">
        <v>67.971076999999994</v>
      </c>
      <c r="C1380" s="18"/>
      <c r="D1380" s="19"/>
    </row>
    <row r="1381" spans="1:4" x14ac:dyDescent="0.3">
      <c r="A1381" s="20">
        <v>45451.525694000004</v>
      </c>
      <c r="B1381" s="17">
        <v>68.237954000000002</v>
      </c>
      <c r="C1381" s="18"/>
      <c r="D1381" s="19"/>
    </row>
    <row r="1382" spans="1:4" x14ac:dyDescent="0.3">
      <c r="A1382" s="20">
        <v>45451.526388999999</v>
      </c>
      <c r="B1382" s="17">
        <v>68.297104000000004</v>
      </c>
      <c r="C1382" s="18"/>
      <c r="D1382" s="19"/>
    </row>
    <row r="1383" spans="1:4" x14ac:dyDescent="0.3">
      <c r="A1383" s="20">
        <v>45451.527083000001</v>
      </c>
      <c r="B1383" s="17">
        <v>68.073721000000006</v>
      </c>
      <c r="C1383" s="18"/>
      <c r="D1383" s="19"/>
    </row>
    <row r="1384" spans="1:4" x14ac:dyDescent="0.3">
      <c r="A1384" s="20">
        <v>45451.527778000003</v>
      </c>
      <c r="B1384" s="17">
        <v>68.211385000000007</v>
      </c>
      <c r="C1384" s="18"/>
      <c r="D1384" s="19"/>
    </row>
    <row r="1385" spans="1:4" x14ac:dyDescent="0.3">
      <c r="A1385" s="20">
        <v>45451.528471999998</v>
      </c>
      <c r="B1385" s="17">
        <v>69.201381999999995</v>
      </c>
      <c r="C1385" s="18"/>
      <c r="D1385" s="19"/>
    </row>
    <row r="1386" spans="1:4" x14ac:dyDescent="0.3">
      <c r="A1386" s="20">
        <v>45451.529167000001</v>
      </c>
      <c r="B1386" s="17">
        <v>67.979259999999996</v>
      </c>
      <c r="C1386" s="18"/>
      <c r="D1386" s="19"/>
    </row>
    <row r="1387" spans="1:4" x14ac:dyDescent="0.3">
      <c r="A1387" s="20">
        <v>45451.529861000003</v>
      </c>
      <c r="B1387" s="17">
        <v>68.464670999999996</v>
      </c>
      <c r="C1387" s="18"/>
      <c r="D1387" s="19"/>
    </row>
    <row r="1388" spans="1:4" x14ac:dyDescent="0.3">
      <c r="A1388" s="20">
        <v>45451.530555999998</v>
      </c>
      <c r="B1388" s="17">
        <v>68.091080000000005</v>
      </c>
      <c r="C1388" s="18"/>
      <c r="D1388" s="19"/>
    </row>
    <row r="1389" spans="1:4" x14ac:dyDescent="0.3">
      <c r="A1389" s="20">
        <v>45451.53125</v>
      </c>
      <c r="B1389" s="17">
        <v>68.213667000000001</v>
      </c>
      <c r="C1389" s="18"/>
      <c r="D1389" s="19"/>
    </row>
    <row r="1390" spans="1:4" x14ac:dyDescent="0.3">
      <c r="A1390" s="20">
        <v>45451.531944000002</v>
      </c>
      <c r="B1390" s="17">
        <v>68.666950999999997</v>
      </c>
      <c r="C1390" s="18"/>
      <c r="D1390" s="19"/>
    </row>
    <row r="1391" spans="1:4" x14ac:dyDescent="0.3">
      <c r="A1391" s="20">
        <v>45451.532638999997</v>
      </c>
      <c r="B1391" s="17">
        <v>68.341892000000001</v>
      </c>
      <c r="C1391" s="18"/>
      <c r="D1391" s="19"/>
    </row>
    <row r="1392" spans="1:4" x14ac:dyDescent="0.3">
      <c r="A1392" s="20">
        <v>45451.533332999999</v>
      </c>
      <c r="B1392" s="17">
        <v>68.408831000000006</v>
      </c>
      <c r="C1392" s="18"/>
      <c r="D1392" s="19"/>
    </row>
    <row r="1393" spans="1:4" x14ac:dyDescent="0.3">
      <c r="A1393" s="20">
        <v>45451.534028000002</v>
      </c>
      <c r="B1393" s="17">
        <v>68.551132999999993</v>
      </c>
      <c r="C1393" s="18"/>
      <c r="D1393" s="19"/>
    </row>
    <row r="1394" spans="1:4" x14ac:dyDescent="0.3">
      <c r="A1394" s="20">
        <v>45451.534721999997</v>
      </c>
      <c r="B1394" s="17">
        <v>68.496651999999997</v>
      </c>
      <c r="C1394" s="18"/>
      <c r="D1394" s="19"/>
    </row>
    <row r="1395" spans="1:4" x14ac:dyDescent="0.3">
      <c r="A1395" s="20">
        <v>45451.535416999999</v>
      </c>
      <c r="B1395" s="17">
        <v>68.265874999999994</v>
      </c>
      <c r="C1395" s="18"/>
      <c r="D1395" s="19"/>
    </row>
    <row r="1396" spans="1:4" x14ac:dyDescent="0.3">
      <c r="A1396" s="20">
        <v>45451.536111000001</v>
      </c>
      <c r="B1396" s="17">
        <v>67.982804999999999</v>
      </c>
      <c r="C1396" s="18"/>
      <c r="D1396" s="19"/>
    </row>
    <row r="1397" spans="1:4" x14ac:dyDescent="0.3">
      <c r="A1397" s="20">
        <v>45451.536805999996</v>
      </c>
      <c r="B1397" s="17">
        <v>68.459936999999996</v>
      </c>
      <c r="C1397" s="18"/>
      <c r="D1397" s="19"/>
    </row>
    <row r="1398" spans="1:4" x14ac:dyDescent="0.3">
      <c r="A1398" s="20">
        <v>45451.537499999999</v>
      </c>
      <c r="B1398" s="17">
        <v>68.796456000000006</v>
      </c>
      <c r="C1398" s="18"/>
      <c r="D1398" s="19"/>
    </row>
    <row r="1399" spans="1:4" x14ac:dyDescent="0.3">
      <c r="A1399" s="20">
        <v>45451.538194000001</v>
      </c>
      <c r="B1399" s="17">
        <v>68.280060000000006</v>
      </c>
      <c r="C1399" s="18"/>
      <c r="D1399" s="19"/>
    </row>
    <row r="1400" spans="1:4" x14ac:dyDescent="0.3">
      <c r="A1400" s="20">
        <v>45451.538889000003</v>
      </c>
      <c r="B1400" s="17">
        <v>68.539094000000006</v>
      </c>
      <c r="C1400" s="18"/>
      <c r="D1400" s="19"/>
    </row>
    <row r="1401" spans="1:4" x14ac:dyDescent="0.3">
      <c r="A1401" s="20">
        <v>45451.539582999998</v>
      </c>
      <c r="B1401" s="17">
        <v>68.334984000000006</v>
      </c>
      <c r="C1401" s="18"/>
      <c r="D1401" s="19"/>
    </row>
    <row r="1402" spans="1:4" x14ac:dyDescent="0.3">
      <c r="A1402" s="20">
        <v>45451.540278</v>
      </c>
      <c r="B1402" s="17">
        <v>68.368114000000006</v>
      </c>
      <c r="C1402" s="18"/>
      <c r="D1402" s="19"/>
    </row>
    <row r="1403" spans="1:4" x14ac:dyDescent="0.3">
      <c r="A1403" s="20">
        <v>45451.540972000003</v>
      </c>
      <c r="B1403" s="17">
        <v>68.190703999999997</v>
      </c>
      <c r="C1403" s="18"/>
      <c r="D1403" s="19"/>
    </row>
    <row r="1404" spans="1:4" x14ac:dyDescent="0.3">
      <c r="A1404" s="20">
        <v>45451.541666999998</v>
      </c>
      <c r="B1404" s="17">
        <v>68.364473000000004</v>
      </c>
      <c r="C1404" s="18"/>
      <c r="D1404" s="19"/>
    </row>
    <row r="1405" spans="1:4" x14ac:dyDescent="0.3">
      <c r="A1405" s="20">
        <v>45451.542361</v>
      </c>
      <c r="B1405" s="17">
        <v>68.777325000000005</v>
      </c>
      <c r="C1405" s="18"/>
      <c r="D1405" s="19"/>
    </row>
    <row r="1406" spans="1:4" x14ac:dyDescent="0.3">
      <c r="A1406" s="20">
        <v>45451.543056000002</v>
      </c>
      <c r="B1406" s="17">
        <v>68.488015000000004</v>
      </c>
      <c r="C1406" s="18"/>
      <c r="D1406" s="19"/>
    </row>
    <row r="1407" spans="1:4" x14ac:dyDescent="0.3">
      <c r="A1407" s="20">
        <v>45451.543749999997</v>
      </c>
      <c r="B1407" s="17">
        <v>68.985399999999998</v>
      </c>
      <c r="C1407" s="18"/>
      <c r="D1407" s="19"/>
    </row>
    <row r="1408" spans="1:4" x14ac:dyDescent="0.3">
      <c r="A1408" s="20">
        <v>45451.544443999999</v>
      </c>
      <c r="B1408" s="17">
        <v>68.043120000000002</v>
      </c>
      <c r="C1408" s="18"/>
      <c r="D1408" s="19"/>
    </row>
    <row r="1409" spans="1:4" x14ac:dyDescent="0.3">
      <c r="A1409" s="20">
        <v>45451.545139000002</v>
      </c>
      <c r="B1409" s="17">
        <v>67.747843000000003</v>
      </c>
      <c r="C1409" s="18"/>
      <c r="D1409" s="19"/>
    </row>
    <row r="1410" spans="1:4" x14ac:dyDescent="0.3">
      <c r="A1410" s="20">
        <v>45451.545832999996</v>
      </c>
      <c r="B1410" s="17">
        <v>68.396603999999996</v>
      </c>
      <c r="C1410" s="18"/>
      <c r="D1410" s="19"/>
    </row>
    <row r="1411" spans="1:4" x14ac:dyDescent="0.3">
      <c r="A1411" s="20">
        <v>45451.546527999999</v>
      </c>
      <c r="B1411" s="17">
        <v>68.678915000000003</v>
      </c>
      <c r="C1411" s="18"/>
      <c r="D1411" s="19"/>
    </row>
    <row r="1412" spans="1:4" x14ac:dyDescent="0.3">
      <c r="A1412" s="20">
        <v>45451.547222000001</v>
      </c>
      <c r="B1412" s="17">
        <v>68.962906000000004</v>
      </c>
      <c r="C1412" s="18"/>
      <c r="D1412" s="19"/>
    </row>
    <row r="1413" spans="1:4" x14ac:dyDescent="0.3">
      <c r="A1413" s="20">
        <v>45451.547917000004</v>
      </c>
      <c r="B1413" s="17">
        <v>68.436046000000005</v>
      </c>
      <c r="C1413" s="18"/>
      <c r="D1413" s="19"/>
    </row>
    <row r="1414" spans="1:4" x14ac:dyDescent="0.3">
      <c r="A1414" s="20">
        <v>45451.548610999998</v>
      </c>
      <c r="B1414" s="17">
        <v>68.309866999999997</v>
      </c>
      <c r="C1414" s="18"/>
      <c r="D1414" s="19"/>
    </row>
    <row r="1415" spans="1:4" x14ac:dyDescent="0.3">
      <c r="A1415" s="20">
        <v>45451.549306000001</v>
      </c>
      <c r="B1415" s="17">
        <v>68.881642999999997</v>
      </c>
      <c r="C1415" s="18"/>
      <c r="D1415" s="19"/>
    </row>
    <row r="1416" spans="1:4" x14ac:dyDescent="0.3">
      <c r="A1416" s="20">
        <v>45451.55</v>
      </c>
      <c r="B1416" s="17">
        <v>68.688975999999997</v>
      </c>
      <c r="C1416" s="18"/>
      <c r="D1416" s="19"/>
    </row>
    <row r="1417" spans="1:4" x14ac:dyDescent="0.3">
      <c r="A1417" s="20">
        <v>45451.550693999998</v>
      </c>
      <c r="B1417" s="17">
        <v>68.448386999999997</v>
      </c>
      <c r="C1417" s="18"/>
      <c r="D1417" s="19"/>
    </row>
    <row r="1418" spans="1:4" x14ac:dyDescent="0.3">
      <c r="A1418" s="20">
        <v>45451.551389</v>
      </c>
      <c r="B1418" s="17">
        <v>68.381947999999994</v>
      </c>
      <c r="C1418" s="18"/>
      <c r="D1418" s="19"/>
    </row>
    <row r="1419" spans="1:4" x14ac:dyDescent="0.3">
      <c r="A1419" s="20">
        <v>45451.552083000002</v>
      </c>
      <c r="B1419" s="17">
        <v>69.073627000000002</v>
      </c>
      <c r="C1419" s="18"/>
      <c r="D1419" s="19"/>
    </row>
    <row r="1420" spans="1:4" x14ac:dyDescent="0.3">
      <c r="A1420" s="20">
        <v>45451.552777999997</v>
      </c>
      <c r="B1420" s="17">
        <v>68.356855999999993</v>
      </c>
      <c r="C1420" s="18"/>
      <c r="D1420" s="19"/>
    </row>
    <row r="1421" spans="1:4" x14ac:dyDescent="0.3">
      <c r="A1421" s="20">
        <v>45451.553472</v>
      </c>
      <c r="B1421" s="17">
        <v>68.861598000000001</v>
      </c>
      <c r="C1421" s="18"/>
      <c r="D1421" s="19"/>
    </row>
    <row r="1422" spans="1:4" x14ac:dyDescent="0.3">
      <c r="A1422" s="20">
        <v>45451.554167000002</v>
      </c>
      <c r="B1422" s="17">
        <v>68.930688000000004</v>
      </c>
      <c r="C1422" s="18"/>
      <c r="D1422" s="19"/>
    </row>
    <row r="1423" spans="1:4" x14ac:dyDescent="0.3">
      <c r="A1423" s="20">
        <v>45451.554860999997</v>
      </c>
      <c r="B1423" s="17">
        <v>68.122489000000002</v>
      </c>
      <c r="C1423" s="18"/>
      <c r="D1423" s="19"/>
    </row>
    <row r="1424" spans="1:4" x14ac:dyDescent="0.3">
      <c r="A1424" s="20">
        <v>45451.555555999999</v>
      </c>
      <c r="B1424" s="17">
        <v>68.518275000000003</v>
      </c>
      <c r="C1424" s="18"/>
      <c r="D1424" s="19"/>
    </row>
    <row r="1425" spans="1:4" x14ac:dyDescent="0.3">
      <c r="A1425" s="20">
        <v>45451.556250000001</v>
      </c>
      <c r="B1425" s="17">
        <v>68.315078999999997</v>
      </c>
      <c r="C1425" s="18"/>
      <c r="D1425" s="19"/>
    </row>
    <row r="1426" spans="1:4" x14ac:dyDescent="0.3">
      <c r="A1426" s="20">
        <v>45451.556944000004</v>
      </c>
      <c r="B1426" s="17">
        <v>68.530912000000001</v>
      </c>
      <c r="C1426" s="18"/>
      <c r="D1426" s="19"/>
    </row>
    <row r="1427" spans="1:4" x14ac:dyDescent="0.3">
      <c r="A1427" s="20">
        <v>45451.557638999999</v>
      </c>
      <c r="B1427" s="17">
        <v>68.666118999999995</v>
      </c>
      <c r="C1427" s="18"/>
      <c r="D1427" s="19"/>
    </row>
    <row r="1428" spans="1:4" x14ac:dyDescent="0.3">
      <c r="A1428" s="20">
        <v>45451.558333000001</v>
      </c>
      <c r="B1428" s="17">
        <v>68.543007000000003</v>
      </c>
      <c r="C1428" s="18"/>
      <c r="D1428" s="19"/>
    </row>
    <row r="1429" spans="1:4" x14ac:dyDescent="0.3">
      <c r="A1429" s="20">
        <v>45451.559028000003</v>
      </c>
      <c r="B1429" s="17">
        <v>67.790398999999994</v>
      </c>
      <c r="C1429" s="18"/>
      <c r="D1429" s="19"/>
    </row>
    <row r="1430" spans="1:4" x14ac:dyDescent="0.3">
      <c r="A1430" s="20">
        <v>45451.559721999998</v>
      </c>
      <c r="B1430" s="17">
        <v>68.597693000000007</v>
      </c>
      <c r="C1430" s="18"/>
      <c r="D1430" s="19"/>
    </row>
    <row r="1431" spans="1:4" x14ac:dyDescent="0.3">
      <c r="A1431" s="20">
        <v>45451.560417000001</v>
      </c>
      <c r="B1431" s="17">
        <v>68.226760999999996</v>
      </c>
      <c r="C1431" s="18"/>
      <c r="D1431" s="19"/>
    </row>
    <row r="1432" spans="1:4" x14ac:dyDescent="0.3">
      <c r="A1432" s="20">
        <v>45451.561111000003</v>
      </c>
      <c r="B1432" s="17">
        <v>68.705386000000004</v>
      </c>
      <c r="C1432" s="18"/>
      <c r="D1432" s="19"/>
    </row>
    <row r="1433" spans="1:4" x14ac:dyDescent="0.3">
      <c r="A1433" s="20">
        <v>45451.561805999998</v>
      </c>
      <c r="B1433" s="17">
        <v>68.536011999999999</v>
      </c>
      <c r="C1433" s="18"/>
      <c r="D1433" s="19"/>
    </row>
    <row r="1434" spans="1:4" x14ac:dyDescent="0.3">
      <c r="A1434" s="20">
        <v>45451.5625</v>
      </c>
      <c r="B1434" s="17">
        <v>68.693095</v>
      </c>
      <c r="C1434" s="18"/>
      <c r="D1434" s="19"/>
    </row>
    <row r="1435" spans="1:4" x14ac:dyDescent="0.3">
      <c r="A1435" s="20">
        <v>45451.563194000002</v>
      </c>
      <c r="B1435" s="17">
        <v>68.545528000000004</v>
      </c>
      <c r="C1435" s="18"/>
      <c r="D1435" s="19"/>
    </row>
    <row r="1436" spans="1:4" x14ac:dyDescent="0.3">
      <c r="A1436" s="20">
        <v>45451.563888999997</v>
      </c>
      <c r="B1436" s="17">
        <v>68.506564999999995</v>
      </c>
      <c r="C1436" s="18"/>
      <c r="D1436" s="19"/>
    </row>
    <row r="1437" spans="1:4" x14ac:dyDescent="0.3">
      <c r="A1437" s="20">
        <v>45451.564582999999</v>
      </c>
      <c r="B1437" s="17">
        <v>68.268412999999995</v>
      </c>
      <c r="C1437" s="18"/>
      <c r="D1437" s="19"/>
    </row>
    <row r="1438" spans="1:4" x14ac:dyDescent="0.3">
      <c r="A1438" s="20">
        <v>45451.565278000002</v>
      </c>
      <c r="B1438" s="17">
        <v>68.243397999999999</v>
      </c>
      <c r="C1438" s="18"/>
      <c r="D1438" s="19"/>
    </row>
    <row r="1439" spans="1:4" x14ac:dyDescent="0.3">
      <c r="A1439" s="20">
        <v>45451.565971999997</v>
      </c>
      <c r="B1439" s="17">
        <v>68.742295999999996</v>
      </c>
      <c r="C1439" s="18"/>
      <c r="D1439" s="19"/>
    </row>
    <row r="1440" spans="1:4" x14ac:dyDescent="0.3">
      <c r="A1440" s="20">
        <v>45451.566666999999</v>
      </c>
      <c r="B1440" s="17">
        <v>68.995131000000001</v>
      </c>
      <c r="C1440" s="18"/>
      <c r="D1440" s="19"/>
    </row>
    <row r="1441" spans="1:4" x14ac:dyDescent="0.3">
      <c r="A1441" s="20">
        <v>45451.567361000001</v>
      </c>
      <c r="B1441" s="17">
        <v>68.424412000000004</v>
      </c>
      <c r="C1441" s="18"/>
      <c r="D1441" s="19"/>
    </row>
    <row r="1442" spans="1:4" x14ac:dyDescent="0.3">
      <c r="A1442" s="20">
        <v>45451.568055999996</v>
      </c>
      <c r="B1442" s="17">
        <v>68.151692999999995</v>
      </c>
      <c r="C1442" s="18"/>
      <c r="D1442" s="19"/>
    </row>
    <row r="1443" spans="1:4" x14ac:dyDescent="0.3">
      <c r="A1443" s="20">
        <v>45451.568749999999</v>
      </c>
      <c r="B1443" s="17">
        <v>68.098862999999994</v>
      </c>
      <c r="C1443" s="18"/>
      <c r="D1443" s="19"/>
    </row>
    <row r="1444" spans="1:4" x14ac:dyDescent="0.3">
      <c r="A1444" s="20">
        <v>45451.569444000001</v>
      </c>
      <c r="B1444" s="17">
        <v>68.167233999999993</v>
      </c>
      <c r="C1444" s="18"/>
      <c r="D1444" s="19"/>
    </row>
    <row r="1445" spans="1:4" x14ac:dyDescent="0.3">
      <c r="A1445" s="20">
        <v>45451.570139000003</v>
      </c>
      <c r="B1445" s="17">
        <v>68.592117000000002</v>
      </c>
      <c r="C1445" s="18"/>
      <c r="D1445" s="19"/>
    </row>
    <row r="1446" spans="1:4" x14ac:dyDescent="0.3">
      <c r="A1446" s="20">
        <v>45451.570832999998</v>
      </c>
      <c r="B1446" s="17">
        <v>68.140360999999999</v>
      </c>
      <c r="C1446" s="18"/>
      <c r="D1446" s="19"/>
    </row>
    <row r="1447" spans="1:4" x14ac:dyDescent="0.3">
      <c r="A1447" s="20">
        <v>45451.571528</v>
      </c>
      <c r="B1447" s="17">
        <v>68.678096999999994</v>
      </c>
      <c r="C1447" s="18"/>
      <c r="D1447" s="19"/>
    </row>
    <row r="1448" spans="1:4" x14ac:dyDescent="0.3">
      <c r="A1448" s="20">
        <v>45451.572222000003</v>
      </c>
      <c r="B1448" s="17">
        <v>68.481635999999995</v>
      </c>
      <c r="C1448" s="18"/>
      <c r="D1448" s="19"/>
    </row>
    <row r="1449" spans="1:4" x14ac:dyDescent="0.3">
      <c r="A1449" s="20">
        <v>45451.572916999998</v>
      </c>
      <c r="B1449" s="17">
        <v>68.440385000000006</v>
      </c>
      <c r="C1449" s="18"/>
      <c r="D1449" s="19"/>
    </row>
    <row r="1450" spans="1:4" x14ac:dyDescent="0.3">
      <c r="A1450" s="20">
        <v>45451.573611</v>
      </c>
      <c r="B1450" s="17">
        <v>68.129603000000003</v>
      </c>
      <c r="C1450" s="18"/>
      <c r="D1450" s="19"/>
    </row>
    <row r="1451" spans="1:4" x14ac:dyDescent="0.3">
      <c r="A1451" s="20">
        <v>45451.574306000002</v>
      </c>
      <c r="B1451" s="17">
        <v>68.759952999999996</v>
      </c>
      <c r="C1451" s="18"/>
      <c r="D1451" s="19"/>
    </row>
    <row r="1452" spans="1:4" x14ac:dyDescent="0.3">
      <c r="A1452" s="20">
        <v>45451.574999999997</v>
      </c>
      <c r="B1452" s="17">
        <v>67.891565</v>
      </c>
      <c r="C1452" s="18"/>
      <c r="D1452" s="19"/>
    </row>
    <row r="1453" spans="1:4" x14ac:dyDescent="0.3">
      <c r="A1453" s="20">
        <v>45451.575693999999</v>
      </c>
      <c r="B1453" s="17">
        <v>68.149647999999999</v>
      </c>
      <c r="C1453" s="18"/>
      <c r="D1453" s="19"/>
    </row>
    <row r="1454" spans="1:4" x14ac:dyDescent="0.3">
      <c r="A1454" s="20">
        <v>45451.576389000002</v>
      </c>
      <c r="B1454" s="17">
        <v>69.160435000000007</v>
      </c>
      <c r="C1454" s="18"/>
      <c r="D1454" s="19"/>
    </row>
    <row r="1455" spans="1:4" x14ac:dyDescent="0.3">
      <c r="A1455" s="20">
        <v>45451.577082999996</v>
      </c>
      <c r="B1455" s="17">
        <v>68.484395000000006</v>
      </c>
      <c r="C1455" s="18"/>
      <c r="D1455" s="19"/>
    </row>
    <row r="1456" spans="1:4" x14ac:dyDescent="0.3">
      <c r="A1456" s="20">
        <v>45451.577777999999</v>
      </c>
      <c r="B1456" s="17">
        <v>68.677164000000005</v>
      </c>
      <c r="C1456" s="18"/>
      <c r="D1456" s="19"/>
    </row>
    <row r="1457" spans="1:4" x14ac:dyDescent="0.3">
      <c r="A1457" s="20">
        <v>45451.578472000001</v>
      </c>
      <c r="B1457" s="17">
        <v>68.322213000000005</v>
      </c>
      <c r="C1457" s="18"/>
      <c r="D1457" s="19"/>
    </row>
    <row r="1458" spans="1:4" x14ac:dyDescent="0.3">
      <c r="A1458" s="20">
        <v>45451.579167000004</v>
      </c>
      <c r="B1458" s="17">
        <v>68.349986999999999</v>
      </c>
      <c r="C1458" s="18"/>
      <c r="D1458" s="19"/>
    </row>
    <row r="1459" spans="1:4" x14ac:dyDescent="0.3">
      <c r="A1459" s="20">
        <v>45451.579860999998</v>
      </c>
      <c r="B1459" s="17">
        <v>68.482928999999999</v>
      </c>
      <c r="C1459" s="18"/>
      <c r="D1459" s="19"/>
    </row>
    <row r="1460" spans="1:4" x14ac:dyDescent="0.3">
      <c r="A1460" s="20">
        <v>45451.580556000001</v>
      </c>
      <c r="B1460" s="17">
        <v>67.842597999999995</v>
      </c>
      <c r="C1460" s="18"/>
      <c r="D1460" s="19"/>
    </row>
    <row r="1461" spans="1:4" x14ac:dyDescent="0.3">
      <c r="A1461" s="20">
        <v>45451.581250000003</v>
      </c>
      <c r="B1461" s="17">
        <v>68.83578</v>
      </c>
      <c r="C1461" s="18"/>
      <c r="D1461" s="19"/>
    </row>
    <row r="1462" spans="1:4" x14ac:dyDescent="0.3">
      <c r="A1462" s="20">
        <v>45451.581943999998</v>
      </c>
      <c r="B1462" s="17">
        <v>68.243671000000006</v>
      </c>
      <c r="C1462" s="18"/>
      <c r="D1462" s="19"/>
    </row>
    <row r="1463" spans="1:4" x14ac:dyDescent="0.3">
      <c r="A1463" s="20">
        <v>45451.582639</v>
      </c>
      <c r="B1463" s="17">
        <v>68.383748999999995</v>
      </c>
      <c r="C1463" s="18"/>
      <c r="D1463" s="19"/>
    </row>
    <row r="1464" spans="1:4" x14ac:dyDescent="0.3">
      <c r="A1464" s="20">
        <v>45451.583333000002</v>
      </c>
      <c r="B1464" s="17">
        <v>67.954277000000005</v>
      </c>
      <c r="C1464" s="18"/>
      <c r="D1464" s="19"/>
    </row>
    <row r="1465" spans="1:4" x14ac:dyDescent="0.3">
      <c r="A1465" s="20">
        <v>45451.584027999997</v>
      </c>
      <c r="B1465" s="17">
        <v>68.359206</v>
      </c>
      <c r="C1465" s="18"/>
      <c r="D1465" s="19"/>
    </row>
    <row r="1466" spans="1:4" x14ac:dyDescent="0.3">
      <c r="A1466" s="20">
        <v>45451.584722</v>
      </c>
      <c r="B1466" s="17">
        <v>68.308079000000006</v>
      </c>
      <c r="C1466" s="18"/>
      <c r="D1466" s="19"/>
    </row>
    <row r="1467" spans="1:4" x14ac:dyDescent="0.3">
      <c r="A1467" s="20">
        <v>45451.585417000002</v>
      </c>
      <c r="B1467" s="17">
        <v>67.909424000000001</v>
      </c>
      <c r="C1467" s="18"/>
      <c r="D1467" s="19"/>
    </row>
    <row r="1468" spans="1:4" x14ac:dyDescent="0.3">
      <c r="A1468" s="20">
        <v>45451.586110999997</v>
      </c>
      <c r="B1468" s="17">
        <v>68.171942000000001</v>
      </c>
      <c r="C1468" s="18"/>
      <c r="D1468" s="19"/>
    </row>
    <row r="1469" spans="1:4" x14ac:dyDescent="0.3">
      <c r="A1469" s="20">
        <v>45451.586805999999</v>
      </c>
      <c r="B1469" s="17">
        <v>68.360844</v>
      </c>
      <c r="C1469" s="18"/>
      <c r="D1469" s="19"/>
    </row>
    <row r="1470" spans="1:4" x14ac:dyDescent="0.3">
      <c r="A1470" s="20">
        <v>45451.587500000001</v>
      </c>
      <c r="B1470" s="17">
        <v>67.519390000000001</v>
      </c>
      <c r="C1470" s="18"/>
      <c r="D1470" s="19"/>
    </row>
    <row r="1471" spans="1:4" x14ac:dyDescent="0.3">
      <c r="A1471" s="20">
        <v>45451.588194000004</v>
      </c>
      <c r="B1471" s="17">
        <v>67.455287999999996</v>
      </c>
      <c r="C1471" s="18"/>
      <c r="D1471" s="19"/>
    </row>
    <row r="1472" spans="1:4" x14ac:dyDescent="0.3">
      <c r="A1472" s="20">
        <v>45451.588888999999</v>
      </c>
      <c r="B1472" s="17">
        <v>68.475849999999994</v>
      </c>
      <c r="C1472" s="18"/>
      <c r="D1472" s="19"/>
    </row>
    <row r="1473" spans="1:4" x14ac:dyDescent="0.3">
      <c r="A1473" s="20">
        <v>45451.589583000001</v>
      </c>
      <c r="B1473" s="17">
        <v>68.196916000000002</v>
      </c>
      <c r="C1473" s="18"/>
      <c r="D1473" s="19"/>
    </row>
    <row r="1474" spans="1:4" x14ac:dyDescent="0.3">
      <c r="A1474" s="20">
        <v>45451.590278000003</v>
      </c>
      <c r="B1474" s="17">
        <v>67.909754000000007</v>
      </c>
      <c r="C1474" s="18"/>
      <c r="D1474" s="19"/>
    </row>
    <row r="1475" spans="1:4" x14ac:dyDescent="0.3">
      <c r="A1475" s="20">
        <v>45451.590971999998</v>
      </c>
      <c r="B1475" s="17">
        <v>68.521203</v>
      </c>
      <c r="C1475" s="18"/>
      <c r="D1475" s="19"/>
    </row>
    <row r="1476" spans="1:4" x14ac:dyDescent="0.3">
      <c r="A1476" s="20">
        <v>45451.591667000001</v>
      </c>
      <c r="B1476" s="17">
        <v>68.360327999999996</v>
      </c>
      <c r="C1476" s="18"/>
      <c r="D1476" s="19"/>
    </row>
    <row r="1477" spans="1:4" x14ac:dyDescent="0.3">
      <c r="A1477" s="20">
        <v>45451.592361000003</v>
      </c>
      <c r="B1477" s="17">
        <v>68.192141000000007</v>
      </c>
      <c r="C1477" s="18"/>
      <c r="D1477" s="19"/>
    </row>
    <row r="1478" spans="1:4" x14ac:dyDescent="0.3">
      <c r="A1478" s="20">
        <v>45451.593055999998</v>
      </c>
      <c r="B1478" s="17">
        <v>68.990323000000004</v>
      </c>
      <c r="C1478" s="18"/>
      <c r="D1478" s="19"/>
    </row>
    <row r="1479" spans="1:4" x14ac:dyDescent="0.3">
      <c r="A1479" s="20">
        <v>45451.59375</v>
      </c>
      <c r="B1479" s="17">
        <v>67.963628999999997</v>
      </c>
      <c r="C1479" s="18"/>
      <c r="D1479" s="19"/>
    </row>
    <row r="1480" spans="1:4" x14ac:dyDescent="0.3">
      <c r="A1480" s="20">
        <v>45451.594444000002</v>
      </c>
      <c r="B1480" s="17">
        <v>68.067955999999995</v>
      </c>
      <c r="C1480" s="18"/>
      <c r="D1480" s="19"/>
    </row>
    <row r="1481" spans="1:4" x14ac:dyDescent="0.3">
      <c r="A1481" s="20">
        <v>45451.595138999997</v>
      </c>
      <c r="B1481" s="17">
        <v>68.499241999999995</v>
      </c>
      <c r="C1481" s="18"/>
      <c r="D1481" s="19"/>
    </row>
    <row r="1482" spans="1:4" x14ac:dyDescent="0.3">
      <c r="A1482" s="20">
        <v>45451.595832999999</v>
      </c>
      <c r="B1482" s="17">
        <v>68.336455999999998</v>
      </c>
      <c r="C1482" s="18"/>
      <c r="D1482" s="19"/>
    </row>
    <row r="1483" spans="1:4" x14ac:dyDescent="0.3">
      <c r="A1483" s="20">
        <v>45451.596528000002</v>
      </c>
      <c r="B1483" s="17">
        <v>68.593292000000005</v>
      </c>
      <c r="C1483" s="18"/>
      <c r="D1483" s="19"/>
    </row>
    <row r="1484" spans="1:4" x14ac:dyDescent="0.3">
      <c r="A1484" s="20">
        <v>45451.597221999997</v>
      </c>
      <c r="B1484" s="17">
        <v>67.641441</v>
      </c>
      <c r="C1484" s="18"/>
      <c r="D1484" s="19"/>
    </row>
    <row r="1485" spans="1:4" x14ac:dyDescent="0.3">
      <c r="A1485" s="20">
        <v>45451.597916999999</v>
      </c>
      <c r="B1485" s="17">
        <v>69.312911999999997</v>
      </c>
      <c r="C1485" s="18"/>
      <c r="D1485" s="19"/>
    </row>
    <row r="1486" spans="1:4" x14ac:dyDescent="0.3">
      <c r="A1486" s="20">
        <v>45451.598611000001</v>
      </c>
      <c r="B1486" s="17">
        <v>68.699123999999998</v>
      </c>
      <c r="C1486" s="18"/>
      <c r="D1486" s="19"/>
    </row>
    <row r="1487" spans="1:4" x14ac:dyDescent="0.3">
      <c r="A1487" s="20">
        <v>45451.599305999996</v>
      </c>
      <c r="B1487" s="17">
        <v>68.202571000000006</v>
      </c>
      <c r="C1487" s="18"/>
      <c r="D1487" s="19"/>
    </row>
    <row r="1488" spans="1:4" x14ac:dyDescent="0.3">
      <c r="A1488" s="20">
        <v>45451.6</v>
      </c>
      <c r="B1488" s="17">
        <v>68.500308000000004</v>
      </c>
      <c r="C1488" s="18"/>
      <c r="D1488" s="19"/>
    </row>
    <row r="1489" spans="1:4" x14ac:dyDescent="0.3">
      <c r="A1489" s="20">
        <v>45451.600694000001</v>
      </c>
      <c r="B1489" s="17">
        <v>68.345990999999998</v>
      </c>
      <c r="C1489" s="18"/>
      <c r="D1489" s="19"/>
    </row>
    <row r="1490" spans="1:4" x14ac:dyDescent="0.3">
      <c r="A1490" s="20">
        <v>45451.601389000003</v>
      </c>
      <c r="B1490" s="17">
        <v>68.713967999999994</v>
      </c>
      <c r="C1490" s="18"/>
      <c r="D1490" s="19"/>
    </row>
    <row r="1491" spans="1:4" x14ac:dyDescent="0.3">
      <c r="A1491" s="20">
        <v>45451.602082999998</v>
      </c>
      <c r="B1491" s="17">
        <v>67.916677000000007</v>
      </c>
      <c r="C1491" s="18"/>
      <c r="D1491" s="19"/>
    </row>
    <row r="1492" spans="1:4" x14ac:dyDescent="0.3">
      <c r="A1492" s="20">
        <v>45451.602778</v>
      </c>
      <c r="B1492" s="17">
        <v>68.185716999999997</v>
      </c>
      <c r="C1492" s="18"/>
      <c r="D1492" s="19"/>
    </row>
    <row r="1493" spans="1:4" x14ac:dyDescent="0.3">
      <c r="A1493" s="20">
        <v>45451.603472000003</v>
      </c>
      <c r="B1493" s="17">
        <v>69.371482</v>
      </c>
      <c r="C1493" s="18"/>
      <c r="D1493" s="19"/>
    </row>
    <row r="1494" spans="1:4" x14ac:dyDescent="0.3">
      <c r="A1494" s="20">
        <v>45451.604166999998</v>
      </c>
      <c r="B1494" s="17">
        <v>68.671526999999998</v>
      </c>
      <c r="C1494" s="18"/>
      <c r="D1494" s="19"/>
    </row>
    <row r="1495" spans="1:4" x14ac:dyDescent="0.3">
      <c r="A1495" s="20">
        <v>45451.604861</v>
      </c>
      <c r="B1495" s="17">
        <v>68.758025000000004</v>
      </c>
      <c r="C1495" s="18"/>
      <c r="D1495" s="19"/>
    </row>
    <row r="1496" spans="1:4" x14ac:dyDescent="0.3">
      <c r="A1496" s="20">
        <v>45451.605556000002</v>
      </c>
      <c r="B1496" s="17">
        <v>69.129086000000001</v>
      </c>
      <c r="C1496" s="18"/>
      <c r="D1496" s="19"/>
    </row>
    <row r="1497" spans="1:4" x14ac:dyDescent="0.3">
      <c r="A1497" s="20">
        <v>45451.606249999997</v>
      </c>
      <c r="B1497" s="17">
        <v>68.354776000000001</v>
      </c>
      <c r="C1497" s="18"/>
      <c r="D1497" s="19"/>
    </row>
    <row r="1498" spans="1:4" x14ac:dyDescent="0.3">
      <c r="A1498" s="20">
        <v>45451.606943999999</v>
      </c>
      <c r="B1498" s="17">
        <v>68.435727</v>
      </c>
      <c r="C1498" s="18"/>
      <c r="D1498" s="19"/>
    </row>
    <row r="1499" spans="1:4" x14ac:dyDescent="0.3">
      <c r="A1499" s="20">
        <v>45451.607639000002</v>
      </c>
      <c r="B1499" s="17">
        <v>68.143128000000004</v>
      </c>
      <c r="C1499" s="18"/>
      <c r="D1499" s="19"/>
    </row>
    <row r="1500" spans="1:4" x14ac:dyDescent="0.3">
      <c r="A1500" s="20">
        <v>45451.608332999996</v>
      </c>
      <c r="B1500" s="17">
        <v>67.925921000000002</v>
      </c>
      <c r="C1500" s="18"/>
      <c r="D1500" s="19"/>
    </row>
    <row r="1501" spans="1:4" x14ac:dyDescent="0.3">
      <c r="A1501" s="20">
        <v>45451.609027999999</v>
      </c>
      <c r="B1501" s="17">
        <v>67.982054000000005</v>
      </c>
      <c r="C1501" s="18"/>
      <c r="D1501" s="19"/>
    </row>
    <row r="1502" spans="1:4" x14ac:dyDescent="0.3">
      <c r="A1502" s="20">
        <v>45451.609722000001</v>
      </c>
      <c r="B1502" s="17">
        <v>68.178408000000005</v>
      </c>
      <c r="C1502" s="18"/>
      <c r="D1502" s="19"/>
    </row>
    <row r="1503" spans="1:4" x14ac:dyDescent="0.3">
      <c r="A1503" s="20">
        <v>45451.610417000004</v>
      </c>
      <c r="B1503" s="17">
        <v>68.418217999999996</v>
      </c>
      <c r="C1503" s="18"/>
      <c r="D1503" s="19"/>
    </row>
    <row r="1504" spans="1:4" x14ac:dyDescent="0.3">
      <c r="A1504" s="20">
        <v>45451.611110999998</v>
      </c>
      <c r="B1504" s="17">
        <v>68.518817999999996</v>
      </c>
      <c r="C1504" s="18"/>
      <c r="D1504" s="19"/>
    </row>
    <row r="1505" spans="1:4" x14ac:dyDescent="0.3">
      <c r="A1505" s="20">
        <v>45451.611806000001</v>
      </c>
      <c r="B1505" s="17">
        <v>68.690651000000003</v>
      </c>
      <c r="C1505" s="18"/>
      <c r="D1505" s="19"/>
    </row>
    <row r="1506" spans="1:4" x14ac:dyDescent="0.3">
      <c r="A1506" s="20">
        <v>45451.612500000003</v>
      </c>
      <c r="B1506" s="17">
        <v>68.249516999999997</v>
      </c>
      <c r="C1506" s="18"/>
      <c r="D1506" s="19"/>
    </row>
    <row r="1507" spans="1:4" x14ac:dyDescent="0.3">
      <c r="A1507" s="20">
        <v>45451.613193999998</v>
      </c>
      <c r="B1507" s="17">
        <v>68.446762000000007</v>
      </c>
      <c r="C1507" s="18"/>
      <c r="D1507" s="19"/>
    </row>
    <row r="1508" spans="1:4" x14ac:dyDescent="0.3">
      <c r="A1508" s="20">
        <v>45451.613889</v>
      </c>
      <c r="B1508" s="17">
        <v>68.258491000000006</v>
      </c>
      <c r="C1508" s="18"/>
      <c r="D1508" s="19"/>
    </row>
    <row r="1509" spans="1:4" x14ac:dyDescent="0.3">
      <c r="A1509" s="20">
        <v>45451.614583000002</v>
      </c>
      <c r="B1509" s="17">
        <v>67.833015000000003</v>
      </c>
      <c r="C1509" s="18"/>
      <c r="D1509" s="19"/>
    </row>
    <row r="1510" spans="1:4" x14ac:dyDescent="0.3">
      <c r="A1510" s="20">
        <v>45451.615277999997</v>
      </c>
      <c r="B1510" s="17">
        <v>69.046991000000006</v>
      </c>
      <c r="C1510" s="18"/>
      <c r="D1510" s="19"/>
    </row>
    <row r="1511" spans="1:4" x14ac:dyDescent="0.3">
      <c r="A1511" s="20">
        <v>45451.615972</v>
      </c>
      <c r="B1511" s="17">
        <v>67.877070000000003</v>
      </c>
      <c r="C1511" s="18"/>
      <c r="D1511" s="19"/>
    </row>
    <row r="1512" spans="1:4" x14ac:dyDescent="0.3">
      <c r="A1512" s="20">
        <v>45451.616667000002</v>
      </c>
      <c r="B1512" s="17">
        <v>69.558638000000002</v>
      </c>
      <c r="C1512" s="18"/>
      <c r="D1512" s="19"/>
    </row>
    <row r="1513" spans="1:4" x14ac:dyDescent="0.3">
      <c r="A1513" s="20">
        <v>45451.617360999997</v>
      </c>
      <c r="B1513" s="17">
        <v>68.664367999999996</v>
      </c>
      <c r="C1513" s="18"/>
      <c r="D1513" s="19"/>
    </row>
    <row r="1514" spans="1:4" x14ac:dyDescent="0.3">
      <c r="A1514" s="20">
        <v>45451.618055999999</v>
      </c>
      <c r="B1514" s="17">
        <v>69.479348000000002</v>
      </c>
      <c r="C1514" s="18"/>
      <c r="D1514" s="19"/>
    </row>
    <row r="1515" spans="1:4" x14ac:dyDescent="0.3">
      <c r="A1515" s="20">
        <v>45451.618750000001</v>
      </c>
      <c r="B1515" s="17">
        <v>68.427908000000002</v>
      </c>
      <c r="C1515" s="18"/>
      <c r="D1515" s="19"/>
    </row>
    <row r="1516" spans="1:4" x14ac:dyDescent="0.3">
      <c r="A1516" s="20">
        <v>45451.619444000004</v>
      </c>
      <c r="B1516" s="17">
        <v>68.546727000000004</v>
      </c>
      <c r="C1516" s="18"/>
      <c r="D1516" s="19"/>
    </row>
    <row r="1517" spans="1:4" x14ac:dyDescent="0.3">
      <c r="A1517" s="20">
        <v>45451.620138999999</v>
      </c>
      <c r="B1517" s="17">
        <v>68.797994000000003</v>
      </c>
      <c r="C1517" s="18"/>
      <c r="D1517" s="19"/>
    </row>
    <row r="1518" spans="1:4" x14ac:dyDescent="0.3">
      <c r="A1518" s="20">
        <v>45451.620833000001</v>
      </c>
      <c r="B1518" s="17">
        <v>67.661280000000005</v>
      </c>
      <c r="C1518" s="18"/>
      <c r="D1518" s="19"/>
    </row>
    <row r="1519" spans="1:4" x14ac:dyDescent="0.3">
      <c r="A1519" s="20">
        <v>45451.621528000003</v>
      </c>
      <c r="B1519" s="17">
        <v>68.730935000000002</v>
      </c>
      <c r="C1519" s="18"/>
      <c r="D1519" s="19"/>
    </row>
    <row r="1520" spans="1:4" x14ac:dyDescent="0.3">
      <c r="A1520" s="20">
        <v>45451.622221999998</v>
      </c>
      <c r="B1520" s="17">
        <v>68.687658999999996</v>
      </c>
      <c r="C1520" s="18"/>
      <c r="D1520" s="19"/>
    </row>
    <row r="1521" spans="1:4" x14ac:dyDescent="0.3">
      <c r="A1521" s="20">
        <v>45451.622917000001</v>
      </c>
      <c r="B1521" s="17">
        <v>68.055925999999999</v>
      </c>
      <c r="C1521" s="18"/>
      <c r="D1521" s="19"/>
    </row>
    <row r="1522" spans="1:4" x14ac:dyDescent="0.3">
      <c r="A1522" s="20">
        <v>45451.623611000003</v>
      </c>
      <c r="B1522" s="17">
        <v>68.188788000000002</v>
      </c>
      <c r="C1522" s="18"/>
      <c r="D1522" s="19"/>
    </row>
    <row r="1523" spans="1:4" x14ac:dyDescent="0.3">
      <c r="A1523" s="20">
        <v>45451.624305999998</v>
      </c>
      <c r="B1523" s="17">
        <v>69.158519999999996</v>
      </c>
      <c r="C1523" s="18"/>
      <c r="D1523" s="19"/>
    </row>
    <row r="1524" spans="1:4" x14ac:dyDescent="0.3">
      <c r="A1524" s="20">
        <v>45451.625</v>
      </c>
      <c r="B1524" s="17">
        <v>68.070076</v>
      </c>
      <c r="C1524" s="18"/>
      <c r="D1524" s="19"/>
    </row>
    <row r="1525" spans="1:4" x14ac:dyDescent="0.3">
      <c r="A1525" s="20">
        <v>45451.625694000002</v>
      </c>
      <c r="B1525" s="17">
        <v>67.873102000000003</v>
      </c>
      <c r="C1525" s="18"/>
      <c r="D1525" s="19"/>
    </row>
    <row r="1526" spans="1:4" x14ac:dyDescent="0.3">
      <c r="A1526" s="20">
        <v>45451.626388999997</v>
      </c>
      <c r="B1526" s="17">
        <v>69.173772</v>
      </c>
      <c r="C1526" s="18"/>
      <c r="D1526" s="19"/>
    </row>
    <row r="1527" spans="1:4" x14ac:dyDescent="0.3">
      <c r="A1527" s="20">
        <v>45451.627082999999</v>
      </c>
      <c r="B1527" s="17">
        <v>68.571517999999998</v>
      </c>
      <c r="C1527" s="18"/>
      <c r="D1527" s="19"/>
    </row>
    <row r="1528" spans="1:4" x14ac:dyDescent="0.3">
      <c r="A1528" s="20">
        <v>45451.627778000002</v>
      </c>
      <c r="B1528" s="17">
        <v>68.390086999999994</v>
      </c>
      <c r="C1528" s="18"/>
      <c r="D1528" s="19"/>
    </row>
    <row r="1529" spans="1:4" x14ac:dyDescent="0.3">
      <c r="A1529" s="20">
        <v>45451.628471999997</v>
      </c>
      <c r="B1529" s="17">
        <v>69.028374999999997</v>
      </c>
      <c r="C1529" s="18"/>
      <c r="D1529" s="19"/>
    </row>
    <row r="1530" spans="1:4" x14ac:dyDescent="0.3">
      <c r="A1530" s="20">
        <v>45451.629166999999</v>
      </c>
      <c r="B1530" s="17">
        <v>67.967248999999995</v>
      </c>
      <c r="C1530" s="18"/>
      <c r="D1530" s="19"/>
    </row>
    <row r="1531" spans="1:4" x14ac:dyDescent="0.3">
      <c r="A1531" s="20">
        <v>45451.629861000001</v>
      </c>
      <c r="B1531" s="17">
        <v>68.091880000000003</v>
      </c>
      <c r="C1531" s="18"/>
      <c r="D1531" s="19"/>
    </row>
    <row r="1532" spans="1:4" x14ac:dyDescent="0.3">
      <c r="A1532" s="20">
        <v>45451.630555999996</v>
      </c>
      <c r="B1532" s="17">
        <v>68.308848999999995</v>
      </c>
      <c r="C1532" s="18"/>
      <c r="D1532" s="19"/>
    </row>
    <row r="1533" spans="1:4" x14ac:dyDescent="0.3">
      <c r="A1533" s="20">
        <v>45451.631249999999</v>
      </c>
      <c r="B1533" s="17">
        <v>68.433323000000001</v>
      </c>
      <c r="C1533" s="18"/>
      <c r="D1533" s="19"/>
    </row>
    <row r="1534" spans="1:4" x14ac:dyDescent="0.3">
      <c r="A1534" s="20">
        <v>45451.631944000001</v>
      </c>
      <c r="B1534" s="17">
        <v>69.116502999999994</v>
      </c>
      <c r="C1534" s="18"/>
      <c r="D1534" s="19"/>
    </row>
    <row r="1535" spans="1:4" x14ac:dyDescent="0.3">
      <c r="A1535" s="20">
        <v>45451.632639000003</v>
      </c>
      <c r="B1535" s="17">
        <v>68.207875999999999</v>
      </c>
      <c r="C1535" s="18"/>
      <c r="D1535" s="19"/>
    </row>
    <row r="1536" spans="1:4" x14ac:dyDescent="0.3">
      <c r="A1536" s="20">
        <v>45451.633332999998</v>
      </c>
      <c r="B1536" s="17">
        <v>68.308768999999998</v>
      </c>
      <c r="C1536" s="18"/>
      <c r="D1536" s="19"/>
    </row>
    <row r="1537" spans="1:4" x14ac:dyDescent="0.3">
      <c r="A1537" s="20">
        <v>45451.634028</v>
      </c>
      <c r="B1537" s="17">
        <v>68.433254000000005</v>
      </c>
      <c r="C1537" s="18"/>
      <c r="D1537" s="19"/>
    </row>
    <row r="1538" spans="1:4" x14ac:dyDescent="0.3">
      <c r="A1538" s="20">
        <v>45451.634722000003</v>
      </c>
      <c r="B1538" s="17">
        <v>68.137592999999995</v>
      </c>
      <c r="C1538" s="18"/>
      <c r="D1538" s="19"/>
    </row>
    <row r="1539" spans="1:4" x14ac:dyDescent="0.3">
      <c r="A1539" s="20">
        <v>45451.635416999998</v>
      </c>
      <c r="B1539" s="17">
        <v>68.604844999999997</v>
      </c>
      <c r="C1539" s="18"/>
      <c r="D1539" s="19"/>
    </row>
    <row r="1540" spans="1:4" x14ac:dyDescent="0.3">
      <c r="A1540" s="20">
        <v>45451.636111</v>
      </c>
      <c r="B1540" s="17">
        <v>68.073175000000006</v>
      </c>
      <c r="C1540" s="18"/>
      <c r="D1540" s="19"/>
    </row>
    <row r="1541" spans="1:4" x14ac:dyDescent="0.3">
      <c r="A1541" s="20">
        <v>45451.636806000002</v>
      </c>
      <c r="B1541" s="17">
        <v>68.829655000000002</v>
      </c>
      <c r="C1541" s="18"/>
      <c r="D1541" s="19"/>
    </row>
    <row r="1542" spans="1:4" x14ac:dyDescent="0.3">
      <c r="A1542" s="20">
        <v>45451.637499999997</v>
      </c>
      <c r="B1542" s="17">
        <v>68.367485000000002</v>
      </c>
      <c r="C1542" s="18"/>
      <c r="D1542" s="19"/>
    </row>
    <row r="1543" spans="1:4" x14ac:dyDescent="0.3">
      <c r="A1543" s="20">
        <v>45451.638193999999</v>
      </c>
      <c r="B1543" s="17">
        <v>68.861547000000002</v>
      </c>
      <c r="C1543" s="18"/>
      <c r="D1543" s="19"/>
    </row>
    <row r="1544" spans="1:4" x14ac:dyDescent="0.3">
      <c r="A1544" s="20">
        <v>45451.638889000002</v>
      </c>
      <c r="B1544" s="17">
        <v>68.532826999999997</v>
      </c>
      <c r="C1544" s="18"/>
      <c r="D1544" s="19"/>
    </row>
    <row r="1545" spans="1:4" x14ac:dyDescent="0.3">
      <c r="A1545" s="20">
        <v>45451.639582999996</v>
      </c>
      <c r="B1545" s="17">
        <v>68.410832999999997</v>
      </c>
      <c r="C1545" s="18"/>
      <c r="D1545" s="19"/>
    </row>
    <row r="1546" spans="1:4" x14ac:dyDescent="0.3">
      <c r="A1546" s="20">
        <v>45451.640277999999</v>
      </c>
      <c r="B1546" s="17">
        <v>67.921052000000003</v>
      </c>
      <c r="C1546" s="18"/>
      <c r="D1546" s="19"/>
    </row>
    <row r="1547" spans="1:4" x14ac:dyDescent="0.3">
      <c r="A1547" s="20">
        <v>45451.640972000001</v>
      </c>
      <c r="B1547" s="17">
        <v>69.265702000000005</v>
      </c>
      <c r="C1547" s="18"/>
      <c r="D1547" s="19"/>
    </row>
    <row r="1548" spans="1:4" x14ac:dyDescent="0.3">
      <c r="A1548" s="20">
        <v>45451.641667000004</v>
      </c>
      <c r="B1548" s="17">
        <v>68.293370999999993</v>
      </c>
      <c r="C1548" s="18"/>
      <c r="D1548" s="19"/>
    </row>
    <row r="1549" spans="1:4" x14ac:dyDescent="0.3">
      <c r="A1549" s="20">
        <v>45451.642360999998</v>
      </c>
      <c r="B1549" s="17">
        <v>68.162124000000006</v>
      </c>
      <c r="C1549" s="18"/>
      <c r="D1549" s="19"/>
    </row>
    <row r="1550" spans="1:4" x14ac:dyDescent="0.3">
      <c r="A1550" s="20">
        <v>45451.643056000001</v>
      </c>
      <c r="B1550" s="17">
        <v>68.214178000000004</v>
      </c>
      <c r="C1550" s="18"/>
      <c r="D1550" s="19"/>
    </row>
    <row r="1551" spans="1:4" x14ac:dyDescent="0.3">
      <c r="A1551" s="20">
        <v>45451.643750000003</v>
      </c>
      <c r="B1551" s="17">
        <v>68.283220999999998</v>
      </c>
      <c r="C1551" s="18"/>
      <c r="D1551" s="19"/>
    </row>
    <row r="1552" spans="1:4" x14ac:dyDescent="0.3">
      <c r="A1552" s="20">
        <v>45451.644443999998</v>
      </c>
      <c r="B1552" s="17">
        <v>67.988562000000002</v>
      </c>
      <c r="C1552" s="18"/>
      <c r="D1552" s="19"/>
    </row>
    <row r="1553" spans="1:4" x14ac:dyDescent="0.3">
      <c r="A1553" s="20">
        <v>45451.645139</v>
      </c>
      <c r="B1553" s="17">
        <v>68.378095999999999</v>
      </c>
      <c r="C1553" s="18"/>
      <c r="D1553" s="19"/>
    </row>
    <row r="1554" spans="1:4" x14ac:dyDescent="0.3">
      <c r="A1554" s="20">
        <v>45451.645833000002</v>
      </c>
      <c r="B1554" s="17">
        <v>68.797826999999998</v>
      </c>
      <c r="C1554" s="18"/>
      <c r="D1554" s="19"/>
    </row>
    <row r="1555" spans="1:4" x14ac:dyDescent="0.3">
      <c r="A1555" s="20">
        <v>45451.646527999997</v>
      </c>
      <c r="B1555" s="17">
        <v>68.188301999999993</v>
      </c>
      <c r="C1555" s="18"/>
      <c r="D1555" s="19"/>
    </row>
    <row r="1556" spans="1:4" x14ac:dyDescent="0.3">
      <c r="A1556" s="20">
        <v>45451.647222</v>
      </c>
      <c r="B1556" s="17">
        <v>67.953119999999998</v>
      </c>
      <c r="C1556" s="18"/>
      <c r="D1556" s="19"/>
    </row>
    <row r="1557" spans="1:4" x14ac:dyDescent="0.3">
      <c r="A1557" s="20">
        <v>45451.647917000002</v>
      </c>
      <c r="B1557" s="17">
        <v>68.741246000000004</v>
      </c>
      <c r="C1557" s="18"/>
      <c r="D1557" s="19"/>
    </row>
    <row r="1558" spans="1:4" x14ac:dyDescent="0.3">
      <c r="A1558" s="20">
        <v>45451.648610999997</v>
      </c>
      <c r="B1558" s="17">
        <v>68.817830999999998</v>
      </c>
      <c r="C1558" s="18"/>
      <c r="D1558" s="19"/>
    </row>
    <row r="1559" spans="1:4" x14ac:dyDescent="0.3">
      <c r="A1559" s="20">
        <v>45451.649305999999</v>
      </c>
      <c r="B1559" s="17">
        <v>68.539675000000003</v>
      </c>
      <c r="C1559" s="18"/>
      <c r="D1559" s="19"/>
    </row>
    <row r="1560" spans="1:4" x14ac:dyDescent="0.3">
      <c r="A1560" s="20">
        <v>45451.65</v>
      </c>
      <c r="B1560" s="17">
        <v>67.978054999999998</v>
      </c>
      <c r="C1560" s="18"/>
      <c r="D1560" s="19"/>
    </row>
    <row r="1561" spans="1:4" x14ac:dyDescent="0.3">
      <c r="A1561" s="20">
        <v>45451.650694000004</v>
      </c>
      <c r="B1561" s="17">
        <v>68.036472000000003</v>
      </c>
      <c r="C1561" s="18"/>
      <c r="D1561" s="19"/>
    </row>
    <row r="1562" spans="1:4" x14ac:dyDescent="0.3">
      <c r="A1562" s="20">
        <v>45451.651388999999</v>
      </c>
      <c r="B1562" s="17">
        <v>68.111169000000004</v>
      </c>
      <c r="C1562" s="18"/>
      <c r="D1562" s="19"/>
    </row>
    <row r="1563" spans="1:4" x14ac:dyDescent="0.3">
      <c r="A1563" s="20">
        <v>45451.652083000001</v>
      </c>
      <c r="B1563" s="17">
        <v>68.197704000000002</v>
      </c>
      <c r="C1563" s="18"/>
      <c r="D1563" s="19"/>
    </row>
    <row r="1564" spans="1:4" x14ac:dyDescent="0.3">
      <c r="A1564" s="20">
        <v>45451.652778000003</v>
      </c>
      <c r="B1564" s="17">
        <v>68.742431999999994</v>
      </c>
      <c r="C1564" s="18"/>
      <c r="D1564" s="19"/>
    </row>
    <row r="1565" spans="1:4" x14ac:dyDescent="0.3">
      <c r="A1565" s="20">
        <v>45451.653471999998</v>
      </c>
      <c r="B1565" s="17">
        <v>68.686156999999994</v>
      </c>
      <c r="C1565" s="18"/>
      <c r="D1565" s="19"/>
    </row>
    <row r="1566" spans="1:4" x14ac:dyDescent="0.3">
      <c r="A1566" s="20">
        <v>45451.654167000001</v>
      </c>
      <c r="B1566" s="17">
        <v>68.120806999999999</v>
      </c>
      <c r="C1566" s="18"/>
      <c r="D1566" s="19"/>
    </row>
    <row r="1567" spans="1:4" x14ac:dyDescent="0.3">
      <c r="A1567" s="20">
        <v>45451.654861000003</v>
      </c>
      <c r="B1567" s="17">
        <v>68.462473000000003</v>
      </c>
      <c r="C1567" s="18"/>
      <c r="D1567" s="19"/>
    </row>
    <row r="1568" spans="1:4" x14ac:dyDescent="0.3">
      <c r="A1568" s="20">
        <v>45451.655555999998</v>
      </c>
      <c r="B1568" s="17">
        <v>69.226310999999995</v>
      </c>
      <c r="C1568" s="18"/>
      <c r="D1568" s="19"/>
    </row>
    <row r="1569" spans="1:4" x14ac:dyDescent="0.3">
      <c r="A1569" s="20">
        <v>45451.65625</v>
      </c>
      <c r="B1569" s="17">
        <v>67.882988999999995</v>
      </c>
      <c r="C1569" s="18"/>
      <c r="D1569" s="19"/>
    </row>
    <row r="1570" spans="1:4" x14ac:dyDescent="0.3">
      <c r="A1570" s="20">
        <v>45451.656944000002</v>
      </c>
      <c r="B1570" s="17">
        <v>68.143035999999995</v>
      </c>
      <c r="C1570" s="18"/>
      <c r="D1570" s="19"/>
    </row>
    <row r="1571" spans="1:4" x14ac:dyDescent="0.3">
      <c r="A1571" s="20">
        <v>45451.657638999997</v>
      </c>
      <c r="B1571" s="17">
        <v>68.505011999999994</v>
      </c>
      <c r="C1571" s="18"/>
      <c r="D1571" s="19"/>
    </row>
    <row r="1572" spans="1:4" x14ac:dyDescent="0.3">
      <c r="A1572" s="20">
        <v>45451.658332999999</v>
      </c>
      <c r="B1572" s="17">
        <v>68.626948999999996</v>
      </c>
      <c r="C1572" s="18"/>
      <c r="D1572" s="19"/>
    </row>
    <row r="1573" spans="1:4" x14ac:dyDescent="0.3">
      <c r="A1573" s="20">
        <v>45451.659028000002</v>
      </c>
      <c r="B1573" s="17">
        <v>69.323496000000006</v>
      </c>
      <c r="C1573" s="18"/>
      <c r="D1573" s="19"/>
    </row>
    <row r="1574" spans="1:4" x14ac:dyDescent="0.3">
      <c r="A1574" s="20">
        <v>45451.659721999997</v>
      </c>
      <c r="B1574" s="17">
        <v>68.171576000000002</v>
      </c>
      <c r="C1574" s="18"/>
      <c r="D1574" s="19"/>
    </row>
    <row r="1575" spans="1:4" x14ac:dyDescent="0.3">
      <c r="A1575" s="20">
        <v>45451.660416999999</v>
      </c>
      <c r="B1575" s="17">
        <v>68.623514</v>
      </c>
      <c r="C1575" s="18"/>
      <c r="D1575" s="19"/>
    </row>
    <row r="1576" spans="1:4" x14ac:dyDescent="0.3">
      <c r="A1576" s="20">
        <v>45451.661111000001</v>
      </c>
      <c r="B1576" s="17">
        <v>68.788642999999993</v>
      </c>
      <c r="C1576" s="18"/>
      <c r="D1576" s="19"/>
    </row>
    <row r="1577" spans="1:4" x14ac:dyDescent="0.3">
      <c r="A1577" s="20">
        <v>45451.661805999996</v>
      </c>
      <c r="B1577" s="17">
        <v>68.253388000000001</v>
      </c>
      <c r="C1577" s="18"/>
      <c r="D1577" s="19"/>
    </row>
    <row r="1578" spans="1:4" x14ac:dyDescent="0.3">
      <c r="A1578" s="20">
        <v>45451.662499999999</v>
      </c>
      <c r="B1578" s="17">
        <v>68.534357</v>
      </c>
      <c r="C1578" s="18"/>
      <c r="D1578" s="19"/>
    </row>
    <row r="1579" spans="1:4" x14ac:dyDescent="0.3">
      <c r="A1579" s="20">
        <v>45451.663194000001</v>
      </c>
      <c r="B1579" s="17">
        <v>68.742450000000005</v>
      </c>
      <c r="C1579" s="18"/>
      <c r="D1579" s="19"/>
    </row>
    <row r="1580" spans="1:4" x14ac:dyDescent="0.3">
      <c r="A1580" s="20">
        <v>45451.663889000003</v>
      </c>
      <c r="B1580" s="17">
        <v>68.831667999999993</v>
      </c>
      <c r="C1580" s="18"/>
      <c r="D1580" s="19"/>
    </row>
    <row r="1581" spans="1:4" x14ac:dyDescent="0.3">
      <c r="A1581" s="20">
        <v>45451.664582999998</v>
      </c>
      <c r="B1581" s="17">
        <v>68.912254000000004</v>
      </c>
      <c r="C1581" s="18"/>
      <c r="D1581" s="19"/>
    </row>
    <row r="1582" spans="1:4" x14ac:dyDescent="0.3">
      <c r="A1582" s="20">
        <v>45451.665278</v>
      </c>
      <c r="B1582" s="17">
        <v>67.867627999999996</v>
      </c>
      <c r="C1582" s="18"/>
      <c r="D1582" s="19"/>
    </row>
    <row r="1583" spans="1:4" x14ac:dyDescent="0.3">
      <c r="A1583" s="20">
        <v>45451.665972000003</v>
      </c>
      <c r="B1583" s="17">
        <v>68.169135999999995</v>
      </c>
      <c r="C1583" s="18"/>
      <c r="D1583" s="19"/>
    </row>
    <row r="1584" spans="1:4" x14ac:dyDescent="0.3">
      <c r="A1584" s="20">
        <v>45451.666666999998</v>
      </c>
      <c r="B1584" s="17">
        <v>68.766527999999994</v>
      </c>
      <c r="C1584" s="18"/>
      <c r="D1584" s="19"/>
    </row>
    <row r="1585" spans="1:4" x14ac:dyDescent="0.3">
      <c r="A1585" s="20">
        <v>45451.667361</v>
      </c>
      <c r="B1585" s="17">
        <v>67.770722000000006</v>
      </c>
      <c r="C1585" s="18"/>
      <c r="D1585" s="19"/>
    </row>
    <row r="1586" spans="1:4" x14ac:dyDescent="0.3">
      <c r="A1586" s="20">
        <v>45451.668056000002</v>
      </c>
      <c r="B1586" s="17">
        <v>69.057810000000003</v>
      </c>
      <c r="C1586" s="18"/>
      <c r="D1586" s="19"/>
    </row>
    <row r="1587" spans="1:4" x14ac:dyDescent="0.3">
      <c r="A1587" s="20">
        <v>45451.668749999997</v>
      </c>
      <c r="B1587" s="17">
        <v>68.678657000000001</v>
      </c>
      <c r="C1587" s="18"/>
      <c r="D1587" s="19"/>
    </row>
    <row r="1588" spans="1:4" x14ac:dyDescent="0.3">
      <c r="A1588" s="20">
        <v>45451.669443999999</v>
      </c>
      <c r="B1588" s="17">
        <v>68.357979999999998</v>
      </c>
      <c r="C1588" s="18"/>
      <c r="D1588" s="19"/>
    </row>
    <row r="1589" spans="1:4" x14ac:dyDescent="0.3">
      <c r="A1589" s="20">
        <v>45451.670139000002</v>
      </c>
      <c r="B1589" s="17">
        <v>68.618540999999993</v>
      </c>
      <c r="C1589" s="18"/>
      <c r="D1589" s="19"/>
    </row>
    <row r="1590" spans="1:4" x14ac:dyDescent="0.3">
      <c r="A1590" s="20">
        <v>45451.670832999996</v>
      </c>
      <c r="B1590" s="17">
        <v>68.483649999999997</v>
      </c>
      <c r="C1590" s="18"/>
      <c r="D1590" s="19"/>
    </row>
    <row r="1591" spans="1:4" x14ac:dyDescent="0.3">
      <c r="A1591" s="20">
        <v>45451.671527999999</v>
      </c>
      <c r="B1591" s="17">
        <v>68.542169999999999</v>
      </c>
      <c r="C1591" s="18"/>
      <c r="D1591" s="19"/>
    </row>
    <row r="1592" spans="1:4" x14ac:dyDescent="0.3">
      <c r="A1592" s="20">
        <v>45451.672222000001</v>
      </c>
      <c r="B1592" s="17">
        <v>68.834237000000002</v>
      </c>
      <c r="C1592" s="18"/>
      <c r="D1592" s="19"/>
    </row>
    <row r="1593" spans="1:4" x14ac:dyDescent="0.3">
      <c r="A1593" s="20">
        <v>45451.672917000004</v>
      </c>
      <c r="B1593" s="17">
        <v>68.969020999999998</v>
      </c>
      <c r="C1593" s="18"/>
      <c r="D1593" s="19"/>
    </row>
    <row r="1594" spans="1:4" x14ac:dyDescent="0.3">
      <c r="A1594" s="20">
        <v>45451.673610999998</v>
      </c>
      <c r="B1594" s="17">
        <v>68.171322000000004</v>
      </c>
      <c r="C1594" s="18"/>
      <c r="D1594" s="19"/>
    </row>
    <row r="1595" spans="1:4" x14ac:dyDescent="0.3">
      <c r="A1595" s="20">
        <v>45451.674306000001</v>
      </c>
      <c r="B1595" s="17">
        <v>68.665398999999994</v>
      </c>
      <c r="C1595" s="18"/>
      <c r="D1595" s="19"/>
    </row>
    <row r="1596" spans="1:4" x14ac:dyDescent="0.3">
      <c r="A1596" s="20">
        <v>45451.675000000003</v>
      </c>
      <c r="B1596" s="17">
        <v>67.879250999999996</v>
      </c>
      <c r="C1596" s="18"/>
      <c r="D1596" s="19"/>
    </row>
    <row r="1597" spans="1:4" x14ac:dyDescent="0.3">
      <c r="A1597" s="20">
        <v>45451.675693999998</v>
      </c>
      <c r="B1597" s="17">
        <v>68.651544999999999</v>
      </c>
      <c r="C1597" s="18"/>
      <c r="D1597" s="19"/>
    </row>
    <row r="1598" spans="1:4" x14ac:dyDescent="0.3">
      <c r="A1598" s="20">
        <v>45451.676389</v>
      </c>
      <c r="B1598" s="17">
        <v>68.531671000000003</v>
      </c>
      <c r="C1598" s="18"/>
      <c r="D1598" s="19"/>
    </row>
    <row r="1599" spans="1:4" x14ac:dyDescent="0.3">
      <c r="A1599" s="20">
        <v>45451.677083000002</v>
      </c>
      <c r="B1599" s="17">
        <v>68.232618000000002</v>
      </c>
      <c r="C1599" s="18"/>
      <c r="D1599" s="19"/>
    </row>
    <row r="1600" spans="1:4" x14ac:dyDescent="0.3">
      <c r="A1600" s="20">
        <v>45451.677777999997</v>
      </c>
      <c r="B1600" s="17">
        <v>68.118995999999996</v>
      </c>
      <c r="C1600" s="18"/>
      <c r="D1600" s="19"/>
    </row>
    <row r="1601" spans="1:4" x14ac:dyDescent="0.3">
      <c r="A1601" s="20">
        <v>45451.678472</v>
      </c>
      <c r="B1601" s="17">
        <v>67.931613999999996</v>
      </c>
      <c r="C1601" s="18"/>
      <c r="D1601" s="19"/>
    </row>
    <row r="1602" spans="1:4" x14ac:dyDescent="0.3">
      <c r="A1602" s="20">
        <v>45451.679167000002</v>
      </c>
      <c r="B1602" s="17">
        <v>68.359093000000001</v>
      </c>
      <c r="C1602" s="18"/>
      <c r="D1602" s="19"/>
    </row>
    <row r="1603" spans="1:4" x14ac:dyDescent="0.3">
      <c r="A1603" s="20">
        <v>45451.679860999997</v>
      </c>
      <c r="B1603" s="17">
        <v>68.510227</v>
      </c>
      <c r="C1603" s="18"/>
      <c r="D1603" s="19"/>
    </row>
    <row r="1604" spans="1:4" x14ac:dyDescent="0.3">
      <c r="A1604" s="20">
        <v>45451.680555999999</v>
      </c>
      <c r="B1604" s="17">
        <v>68.107365999999999</v>
      </c>
      <c r="C1604" s="18"/>
      <c r="D1604" s="19"/>
    </row>
    <row r="1605" spans="1:4" x14ac:dyDescent="0.3">
      <c r="A1605" s="20">
        <v>45451.681250000001</v>
      </c>
      <c r="B1605" s="17">
        <v>68.065596999999997</v>
      </c>
      <c r="C1605" s="18"/>
      <c r="D1605" s="19"/>
    </row>
    <row r="1606" spans="1:4" x14ac:dyDescent="0.3">
      <c r="A1606" s="20">
        <v>45451.681944000004</v>
      </c>
      <c r="B1606" s="17">
        <v>67.929601000000005</v>
      </c>
      <c r="C1606" s="18"/>
      <c r="D1606" s="19"/>
    </row>
    <row r="1607" spans="1:4" x14ac:dyDescent="0.3">
      <c r="A1607" s="20">
        <v>45451.682638999999</v>
      </c>
      <c r="B1607" s="17">
        <v>68.443855999999997</v>
      </c>
      <c r="C1607" s="18"/>
      <c r="D1607" s="19"/>
    </row>
    <row r="1608" spans="1:4" x14ac:dyDescent="0.3">
      <c r="A1608" s="20">
        <v>45451.683333000001</v>
      </c>
      <c r="B1608" s="17">
        <v>68.194216999999995</v>
      </c>
      <c r="C1608" s="18"/>
      <c r="D1608" s="19"/>
    </row>
    <row r="1609" spans="1:4" x14ac:dyDescent="0.3">
      <c r="A1609" s="20">
        <v>45451.684028000003</v>
      </c>
      <c r="B1609" s="17">
        <v>68.056104000000005</v>
      </c>
      <c r="C1609" s="18"/>
      <c r="D1609" s="19"/>
    </row>
    <row r="1610" spans="1:4" x14ac:dyDescent="0.3">
      <c r="A1610" s="20">
        <v>45451.684721999998</v>
      </c>
      <c r="B1610" s="17">
        <v>68.104517000000001</v>
      </c>
      <c r="C1610" s="18"/>
      <c r="D1610" s="19"/>
    </row>
    <row r="1611" spans="1:4" x14ac:dyDescent="0.3">
      <c r="A1611" s="20">
        <v>45451.685417000001</v>
      </c>
      <c r="B1611" s="17">
        <v>68.552198000000004</v>
      </c>
      <c r="C1611" s="18"/>
      <c r="D1611" s="19"/>
    </row>
    <row r="1612" spans="1:4" x14ac:dyDescent="0.3">
      <c r="A1612" s="20">
        <v>45451.686111000003</v>
      </c>
      <c r="B1612" s="17">
        <v>68.133628000000002</v>
      </c>
      <c r="C1612" s="18"/>
      <c r="D1612" s="19"/>
    </row>
    <row r="1613" spans="1:4" x14ac:dyDescent="0.3">
      <c r="A1613" s="20">
        <v>45451.686805999998</v>
      </c>
      <c r="B1613" s="17">
        <v>69.194899000000007</v>
      </c>
      <c r="C1613" s="18"/>
      <c r="D1613" s="19"/>
    </row>
    <row r="1614" spans="1:4" x14ac:dyDescent="0.3">
      <c r="A1614" s="20">
        <v>45451.6875</v>
      </c>
      <c r="B1614" s="17">
        <v>68.330247999999997</v>
      </c>
      <c r="C1614" s="18"/>
      <c r="D1614" s="19"/>
    </row>
    <row r="1615" spans="1:4" x14ac:dyDescent="0.3">
      <c r="A1615" s="20">
        <v>45451.688194000002</v>
      </c>
      <c r="B1615" s="17">
        <v>69.220528999999999</v>
      </c>
      <c r="C1615" s="18"/>
      <c r="D1615" s="19"/>
    </row>
    <row r="1616" spans="1:4" x14ac:dyDescent="0.3">
      <c r="A1616" s="20">
        <v>45451.688888999997</v>
      </c>
      <c r="B1616" s="17">
        <v>68.567199000000002</v>
      </c>
      <c r="C1616" s="18"/>
      <c r="D1616" s="19"/>
    </row>
    <row r="1617" spans="1:4" x14ac:dyDescent="0.3">
      <c r="A1617" s="20">
        <v>45451.689582999999</v>
      </c>
      <c r="B1617" s="17">
        <v>68.327466999999999</v>
      </c>
      <c r="C1617" s="18"/>
      <c r="D1617" s="19"/>
    </row>
    <row r="1618" spans="1:4" x14ac:dyDescent="0.3">
      <c r="A1618" s="20">
        <v>45451.690278000002</v>
      </c>
      <c r="B1618" s="17">
        <v>68.046868000000003</v>
      </c>
      <c r="C1618" s="18"/>
      <c r="D1618" s="19"/>
    </row>
    <row r="1619" spans="1:4" x14ac:dyDescent="0.3">
      <c r="A1619" s="20">
        <v>45451.690971999997</v>
      </c>
      <c r="B1619" s="17">
        <v>68.189458000000002</v>
      </c>
      <c r="C1619" s="18"/>
      <c r="D1619" s="19"/>
    </row>
    <row r="1620" spans="1:4" x14ac:dyDescent="0.3">
      <c r="A1620" s="20">
        <v>45451.691666999999</v>
      </c>
      <c r="B1620" s="17">
        <v>68.739946000000003</v>
      </c>
      <c r="C1620" s="18"/>
      <c r="D1620" s="19"/>
    </row>
    <row r="1621" spans="1:4" x14ac:dyDescent="0.3">
      <c r="A1621" s="20">
        <v>45451.692361000001</v>
      </c>
      <c r="B1621" s="17">
        <v>68.542721</v>
      </c>
      <c r="C1621" s="18"/>
      <c r="D1621" s="19"/>
    </row>
    <row r="1622" spans="1:4" x14ac:dyDescent="0.3">
      <c r="A1622" s="20">
        <v>45451.693055999996</v>
      </c>
      <c r="B1622" s="17">
        <v>68.407946999999993</v>
      </c>
      <c r="C1622" s="18"/>
      <c r="D1622" s="19"/>
    </row>
    <row r="1623" spans="1:4" x14ac:dyDescent="0.3">
      <c r="A1623" s="20">
        <v>45451.693749999999</v>
      </c>
      <c r="B1623" s="17">
        <v>68.196070000000006</v>
      </c>
      <c r="C1623" s="18"/>
      <c r="D1623" s="19"/>
    </row>
    <row r="1624" spans="1:4" x14ac:dyDescent="0.3">
      <c r="A1624" s="20">
        <v>45451.694444000001</v>
      </c>
      <c r="B1624" s="17">
        <v>68.449117000000001</v>
      </c>
      <c r="C1624" s="18"/>
      <c r="D1624" s="19"/>
    </row>
    <row r="1625" spans="1:4" x14ac:dyDescent="0.3">
      <c r="A1625" s="20">
        <v>45451.695139000003</v>
      </c>
      <c r="B1625" s="17">
        <v>67.718343000000004</v>
      </c>
      <c r="C1625" s="18"/>
      <c r="D1625" s="19"/>
    </row>
    <row r="1626" spans="1:4" x14ac:dyDescent="0.3">
      <c r="A1626" s="20">
        <v>45451.695832999998</v>
      </c>
      <c r="B1626" s="17">
        <v>68.392599000000004</v>
      </c>
      <c r="C1626" s="18"/>
      <c r="D1626" s="19"/>
    </row>
    <row r="1627" spans="1:4" x14ac:dyDescent="0.3">
      <c r="A1627" s="20">
        <v>45451.696528</v>
      </c>
      <c r="B1627" s="17">
        <v>68.168300000000002</v>
      </c>
      <c r="C1627" s="18"/>
      <c r="D1627" s="19"/>
    </row>
    <row r="1628" spans="1:4" x14ac:dyDescent="0.3">
      <c r="A1628" s="20">
        <v>45451.697222000003</v>
      </c>
      <c r="B1628" s="17">
        <v>68.829825</v>
      </c>
      <c r="C1628" s="18"/>
      <c r="D1628" s="19"/>
    </row>
    <row r="1629" spans="1:4" x14ac:dyDescent="0.3">
      <c r="A1629" s="20">
        <v>45451.697916999998</v>
      </c>
      <c r="B1629" s="17">
        <v>68.359227000000004</v>
      </c>
      <c r="C1629" s="18"/>
      <c r="D1629" s="19"/>
    </row>
    <row r="1630" spans="1:4" x14ac:dyDescent="0.3">
      <c r="A1630" s="20">
        <v>45451.698611</v>
      </c>
      <c r="B1630" s="17">
        <v>68.792379999999994</v>
      </c>
      <c r="C1630" s="18"/>
      <c r="D1630" s="19"/>
    </row>
    <row r="1631" spans="1:4" x14ac:dyDescent="0.3">
      <c r="A1631" s="20">
        <v>45451.699306000002</v>
      </c>
      <c r="B1631" s="17">
        <v>68.608159000000001</v>
      </c>
      <c r="C1631" s="18"/>
      <c r="D1631" s="19"/>
    </row>
    <row r="1632" spans="1:4" x14ac:dyDescent="0.3">
      <c r="A1632" s="20">
        <v>45451.7</v>
      </c>
      <c r="B1632" s="17">
        <v>68.442667</v>
      </c>
      <c r="C1632" s="18"/>
      <c r="D1632" s="19"/>
    </row>
    <row r="1633" spans="1:4" x14ac:dyDescent="0.3">
      <c r="A1633" s="20">
        <v>45451.700693999999</v>
      </c>
      <c r="B1633" s="17">
        <v>68.226039999999998</v>
      </c>
      <c r="C1633" s="18"/>
      <c r="D1633" s="19"/>
    </row>
    <row r="1634" spans="1:4" x14ac:dyDescent="0.3">
      <c r="A1634" s="20">
        <v>45451.701389000002</v>
      </c>
      <c r="B1634" s="17">
        <v>68.533895999999999</v>
      </c>
      <c r="C1634" s="18"/>
      <c r="D1634" s="19"/>
    </row>
    <row r="1635" spans="1:4" x14ac:dyDescent="0.3">
      <c r="A1635" s="20">
        <v>45451.702082999996</v>
      </c>
      <c r="B1635" s="17">
        <v>68.593283999999997</v>
      </c>
      <c r="C1635" s="18"/>
      <c r="D1635" s="19"/>
    </row>
    <row r="1636" spans="1:4" x14ac:dyDescent="0.3">
      <c r="A1636" s="20">
        <v>45451.702777999999</v>
      </c>
      <c r="B1636" s="17">
        <v>68.485791000000006</v>
      </c>
      <c r="C1636" s="18"/>
      <c r="D1636" s="19"/>
    </row>
    <row r="1637" spans="1:4" x14ac:dyDescent="0.3">
      <c r="A1637" s="20">
        <v>45451.703472000001</v>
      </c>
      <c r="B1637" s="17">
        <v>68.271787000000003</v>
      </c>
      <c r="C1637" s="18"/>
      <c r="D1637" s="19"/>
    </row>
    <row r="1638" spans="1:4" x14ac:dyDescent="0.3">
      <c r="A1638" s="20">
        <v>45451.704167000004</v>
      </c>
      <c r="B1638" s="17">
        <v>67.739159000000001</v>
      </c>
      <c r="C1638" s="18"/>
      <c r="D1638" s="19"/>
    </row>
    <row r="1639" spans="1:4" x14ac:dyDescent="0.3">
      <c r="A1639" s="20">
        <v>45451.704860999998</v>
      </c>
      <c r="B1639" s="17">
        <v>67.61318</v>
      </c>
      <c r="C1639" s="18"/>
      <c r="D1639" s="19"/>
    </row>
    <row r="1640" spans="1:4" x14ac:dyDescent="0.3">
      <c r="A1640" s="20">
        <v>45451.705556000001</v>
      </c>
      <c r="B1640" s="17">
        <v>67.930237000000005</v>
      </c>
      <c r="C1640" s="18"/>
      <c r="D1640" s="19"/>
    </row>
    <row r="1641" spans="1:4" x14ac:dyDescent="0.3">
      <c r="A1641" s="20">
        <v>45451.706250000003</v>
      </c>
      <c r="B1641" s="17">
        <v>68.306028999999995</v>
      </c>
      <c r="C1641" s="18"/>
      <c r="D1641" s="19"/>
    </row>
    <row r="1642" spans="1:4" x14ac:dyDescent="0.3">
      <c r="A1642" s="20">
        <v>45451.706943999998</v>
      </c>
      <c r="B1642" s="17">
        <v>68.643507</v>
      </c>
      <c r="C1642" s="18"/>
      <c r="D1642" s="19"/>
    </row>
    <row r="1643" spans="1:4" x14ac:dyDescent="0.3">
      <c r="A1643" s="20">
        <v>45451.707639</v>
      </c>
      <c r="B1643" s="17">
        <v>67.691545000000005</v>
      </c>
      <c r="C1643" s="18"/>
      <c r="D1643" s="19"/>
    </row>
    <row r="1644" spans="1:4" x14ac:dyDescent="0.3">
      <c r="A1644" s="20">
        <v>45451.708333000002</v>
      </c>
      <c r="B1644" s="17">
        <v>68.140653999999998</v>
      </c>
      <c r="C1644" s="18"/>
      <c r="D1644" s="19"/>
    </row>
    <row r="1645" spans="1:4" x14ac:dyDescent="0.3">
      <c r="A1645" s="20">
        <v>45451.709027999997</v>
      </c>
      <c r="B1645" s="17">
        <v>68.151512999999994</v>
      </c>
      <c r="C1645" s="18"/>
      <c r="D1645" s="19"/>
    </row>
    <row r="1646" spans="1:4" x14ac:dyDescent="0.3">
      <c r="A1646" s="20">
        <v>45451.709722</v>
      </c>
      <c r="B1646" s="17">
        <v>68.387986999999995</v>
      </c>
      <c r="C1646" s="18"/>
      <c r="D1646" s="19"/>
    </row>
    <row r="1647" spans="1:4" x14ac:dyDescent="0.3">
      <c r="A1647" s="20">
        <v>45451.710417000002</v>
      </c>
      <c r="B1647" s="17">
        <v>68.506733999999994</v>
      </c>
      <c r="C1647" s="18"/>
      <c r="D1647" s="19"/>
    </row>
    <row r="1648" spans="1:4" x14ac:dyDescent="0.3">
      <c r="A1648" s="20">
        <v>45451.711110999997</v>
      </c>
      <c r="B1648" s="17">
        <v>68.221405000000004</v>
      </c>
      <c r="C1648" s="18"/>
      <c r="D1648" s="19"/>
    </row>
    <row r="1649" spans="1:4" x14ac:dyDescent="0.3">
      <c r="A1649" s="20">
        <v>45451.711805999999</v>
      </c>
      <c r="B1649" s="17">
        <v>68.760215000000002</v>
      </c>
      <c r="C1649" s="18"/>
      <c r="D1649" s="19"/>
    </row>
    <row r="1650" spans="1:4" x14ac:dyDescent="0.3">
      <c r="A1650" s="20">
        <v>45451.712500000001</v>
      </c>
      <c r="B1650" s="17">
        <v>68.019548999999998</v>
      </c>
      <c r="C1650" s="18"/>
      <c r="D1650" s="19"/>
    </row>
    <row r="1651" spans="1:4" x14ac:dyDescent="0.3">
      <c r="A1651" s="20">
        <v>45451.713194000004</v>
      </c>
      <c r="B1651" s="17">
        <v>68.868178999999998</v>
      </c>
      <c r="C1651" s="18"/>
      <c r="D1651" s="19"/>
    </row>
    <row r="1652" spans="1:4" x14ac:dyDescent="0.3">
      <c r="A1652" s="20">
        <v>45451.713888999999</v>
      </c>
      <c r="B1652" s="17">
        <v>68.835936000000004</v>
      </c>
      <c r="C1652" s="18"/>
      <c r="D1652" s="19"/>
    </row>
    <row r="1653" spans="1:4" x14ac:dyDescent="0.3">
      <c r="A1653" s="20">
        <v>45451.714583000001</v>
      </c>
      <c r="B1653" s="17">
        <v>68.459002999999996</v>
      </c>
      <c r="C1653" s="18"/>
      <c r="D1653" s="19"/>
    </row>
    <row r="1654" spans="1:4" x14ac:dyDescent="0.3">
      <c r="A1654" s="20">
        <v>45451.715278000003</v>
      </c>
      <c r="B1654" s="17">
        <v>68.583962</v>
      </c>
      <c r="C1654" s="18"/>
      <c r="D1654" s="19"/>
    </row>
    <row r="1655" spans="1:4" x14ac:dyDescent="0.3">
      <c r="A1655" s="20">
        <v>45451.715971999998</v>
      </c>
      <c r="B1655" s="17">
        <v>68.159537999999998</v>
      </c>
      <c r="C1655" s="18"/>
      <c r="D1655" s="19"/>
    </row>
    <row r="1656" spans="1:4" x14ac:dyDescent="0.3">
      <c r="A1656" s="20">
        <v>45451.716667000001</v>
      </c>
      <c r="B1656" s="17">
        <v>67.587366000000003</v>
      </c>
      <c r="C1656" s="18"/>
      <c r="D1656" s="19"/>
    </row>
    <row r="1657" spans="1:4" x14ac:dyDescent="0.3">
      <c r="A1657" s="20">
        <v>45451.717361000003</v>
      </c>
      <c r="B1657" s="17">
        <v>68.249312000000003</v>
      </c>
      <c r="C1657" s="18"/>
      <c r="D1657" s="19"/>
    </row>
    <row r="1658" spans="1:4" x14ac:dyDescent="0.3">
      <c r="A1658" s="20">
        <v>45451.718055999998</v>
      </c>
      <c r="B1658" s="17">
        <v>68.579583999999997</v>
      </c>
      <c r="C1658" s="18"/>
      <c r="D1658" s="19"/>
    </row>
    <row r="1659" spans="1:4" x14ac:dyDescent="0.3">
      <c r="A1659" s="20">
        <v>45451.71875</v>
      </c>
      <c r="B1659" s="17">
        <v>68.271219000000002</v>
      </c>
      <c r="C1659" s="18"/>
      <c r="D1659" s="19"/>
    </row>
    <row r="1660" spans="1:4" x14ac:dyDescent="0.3">
      <c r="A1660" s="20">
        <v>45451.719444000002</v>
      </c>
      <c r="B1660" s="17">
        <v>67.541471999999999</v>
      </c>
      <c r="C1660" s="18"/>
      <c r="D1660" s="19"/>
    </row>
    <row r="1661" spans="1:4" x14ac:dyDescent="0.3">
      <c r="A1661" s="20">
        <v>45451.720138999997</v>
      </c>
      <c r="B1661" s="17">
        <v>69.032888</v>
      </c>
      <c r="C1661" s="18"/>
      <c r="D1661" s="19"/>
    </row>
    <row r="1662" spans="1:4" x14ac:dyDescent="0.3">
      <c r="A1662" s="20">
        <v>45451.720832999999</v>
      </c>
      <c r="B1662" s="17">
        <v>68.431100999999998</v>
      </c>
      <c r="C1662" s="18"/>
      <c r="D1662" s="19"/>
    </row>
    <row r="1663" spans="1:4" x14ac:dyDescent="0.3">
      <c r="A1663" s="20">
        <v>45451.721528000002</v>
      </c>
      <c r="B1663" s="17">
        <v>68.157315999999994</v>
      </c>
      <c r="C1663" s="18"/>
      <c r="D1663" s="19"/>
    </row>
    <row r="1664" spans="1:4" x14ac:dyDescent="0.3">
      <c r="A1664" s="20">
        <v>45451.722221999997</v>
      </c>
      <c r="B1664" s="17">
        <v>68.833800999999994</v>
      </c>
      <c r="C1664" s="18"/>
      <c r="D1664" s="19"/>
    </row>
    <row r="1665" spans="1:4" x14ac:dyDescent="0.3">
      <c r="A1665" s="20">
        <v>45451.722916999999</v>
      </c>
      <c r="B1665" s="17">
        <v>68.507091000000003</v>
      </c>
      <c r="C1665" s="18"/>
      <c r="D1665" s="19"/>
    </row>
    <row r="1666" spans="1:4" x14ac:dyDescent="0.3">
      <c r="A1666" s="20">
        <v>45451.723611000001</v>
      </c>
      <c r="B1666" s="17">
        <v>68.227130000000002</v>
      </c>
      <c r="C1666" s="18"/>
      <c r="D1666" s="19"/>
    </row>
    <row r="1667" spans="1:4" x14ac:dyDescent="0.3">
      <c r="A1667" s="20">
        <v>45451.724305999996</v>
      </c>
      <c r="B1667" s="17">
        <v>68.318503000000007</v>
      </c>
      <c r="C1667" s="18"/>
      <c r="D1667" s="19"/>
    </row>
    <row r="1668" spans="1:4" x14ac:dyDescent="0.3">
      <c r="A1668" s="20">
        <v>45451.724999999999</v>
      </c>
      <c r="B1668" s="17">
        <v>68.654455999999996</v>
      </c>
      <c r="C1668" s="18"/>
      <c r="D1668" s="19"/>
    </row>
    <row r="1669" spans="1:4" x14ac:dyDescent="0.3">
      <c r="A1669" s="20">
        <v>45451.725694000001</v>
      </c>
      <c r="B1669" s="17">
        <v>67.715592999999998</v>
      </c>
      <c r="C1669" s="18"/>
      <c r="D1669" s="19"/>
    </row>
    <row r="1670" spans="1:4" x14ac:dyDescent="0.3">
      <c r="A1670" s="20">
        <v>45451.726389000003</v>
      </c>
      <c r="B1670" s="17">
        <v>68.027451999999997</v>
      </c>
      <c r="C1670" s="18"/>
      <c r="D1670" s="19"/>
    </row>
    <row r="1671" spans="1:4" x14ac:dyDescent="0.3">
      <c r="A1671" s="20">
        <v>45451.727082999998</v>
      </c>
      <c r="B1671" s="17">
        <v>68.920821000000004</v>
      </c>
      <c r="C1671" s="18"/>
      <c r="D1671" s="19"/>
    </row>
    <row r="1672" spans="1:4" x14ac:dyDescent="0.3">
      <c r="A1672" s="20">
        <v>45451.727778</v>
      </c>
      <c r="B1672" s="17">
        <v>68.916807000000006</v>
      </c>
      <c r="C1672" s="18"/>
      <c r="D1672" s="19"/>
    </row>
    <row r="1673" spans="1:4" x14ac:dyDescent="0.3">
      <c r="A1673" s="20">
        <v>45451.728472000003</v>
      </c>
      <c r="B1673" s="17">
        <v>68.010272999999998</v>
      </c>
      <c r="C1673" s="18"/>
      <c r="D1673" s="19"/>
    </row>
    <row r="1674" spans="1:4" x14ac:dyDescent="0.3">
      <c r="A1674" s="20">
        <v>45451.729166999998</v>
      </c>
      <c r="B1674" s="17">
        <v>68.617912000000004</v>
      </c>
      <c r="C1674" s="18"/>
      <c r="D1674" s="19"/>
    </row>
    <row r="1675" spans="1:4" x14ac:dyDescent="0.3">
      <c r="A1675" s="20">
        <v>45451.729861</v>
      </c>
      <c r="B1675" s="17">
        <v>68.886252999999996</v>
      </c>
      <c r="C1675" s="18"/>
      <c r="D1675" s="19"/>
    </row>
    <row r="1676" spans="1:4" x14ac:dyDescent="0.3">
      <c r="A1676" s="20">
        <v>45451.730556000002</v>
      </c>
      <c r="B1676" s="17">
        <v>68.454971999999998</v>
      </c>
      <c r="C1676" s="18"/>
      <c r="D1676" s="19"/>
    </row>
    <row r="1677" spans="1:4" x14ac:dyDescent="0.3">
      <c r="A1677" s="20">
        <v>45451.731249999997</v>
      </c>
      <c r="B1677" s="17">
        <v>67.742417000000003</v>
      </c>
      <c r="C1677" s="18"/>
      <c r="D1677" s="19"/>
    </row>
    <row r="1678" spans="1:4" x14ac:dyDescent="0.3">
      <c r="A1678" s="20">
        <v>45451.731943999999</v>
      </c>
      <c r="B1678" s="17">
        <v>68.506799000000001</v>
      </c>
      <c r="C1678" s="18"/>
      <c r="D1678" s="19"/>
    </row>
    <row r="1679" spans="1:4" x14ac:dyDescent="0.3">
      <c r="A1679" s="20">
        <v>45451.732639000002</v>
      </c>
      <c r="B1679" s="17">
        <v>68.483690999999993</v>
      </c>
      <c r="C1679" s="18"/>
      <c r="D1679" s="19"/>
    </row>
    <row r="1680" spans="1:4" x14ac:dyDescent="0.3">
      <c r="A1680" s="20">
        <v>45451.733332999996</v>
      </c>
      <c r="B1680" s="17">
        <v>68.457954999999998</v>
      </c>
      <c r="C1680" s="18"/>
      <c r="D1680" s="19"/>
    </row>
    <row r="1681" spans="1:4" x14ac:dyDescent="0.3">
      <c r="A1681" s="20">
        <v>45451.734027999999</v>
      </c>
      <c r="B1681" s="17">
        <v>68.326701999999997</v>
      </c>
      <c r="C1681" s="18"/>
      <c r="D1681" s="19"/>
    </row>
    <row r="1682" spans="1:4" x14ac:dyDescent="0.3">
      <c r="A1682" s="20">
        <v>45451.734722000001</v>
      </c>
      <c r="B1682" s="17">
        <v>68.202584000000002</v>
      </c>
      <c r="C1682" s="18"/>
      <c r="D1682" s="19"/>
    </row>
    <row r="1683" spans="1:4" x14ac:dyDescent="0.3">
      <c r="A1683" s="20">
        <v>45451.735417000004</v>
      </c>
      <c r="B1683" s="17">
        <v>69.538565000000006</v>
      </c>
      <c r="C1683" s="18"/>
      <c r="D1683" s="19"/>
    </row>
    <row r="1684" spans="1:4" x14ac:dyDescent="0.3">
      <c r="A1684" s="20">
        <v>45451.736110999998</v>
      </c>
      <c r="B1684" s="17">
        <v>68.752921999999998</v>
      </c>
      <c r="C1684" s="18"/>
      <c r="D1684" s="19"/>
    </row>
    <row r="1685" spans="1:4" x14ac:dyDescent="0.3">
      <c r="A1685" s="20">
        <v>45451.736806000001</v>
      </c>
      <c r="B1685" s="17">
        <v>67.655231000000001</v>
      </c>
      <c r="C1685" s="18"/>
      <c r="D1685" s="19"/>
    </row>
    <row r="1686" spans="1:4" x14ac:dyDescent="0.3">
      <c r="A1686" s="20">
        <v>45451.737500000003</v>
      </c>
      <c r="B1686" s="17">
        <v>68.025075999999999</v>
      </c>
      <c r="C1686" s="18"/>
      <c r="D1686" s="19"/>
    </row>
    <row r="1687" spans="1:4" x14ac:dyDescent="0.3">
      <c r="A1687" s="20">
        <v>45451.738193999998</v>
      </c>
      <c r="B1687" s="17">
        <v>68.340376000000006</v>
      </c>
      <c r="C1687" s="18"/>
      <c r="D1687" s="19"/>
    </row>
    <row r="1688" spans="1:4" x14ac:dyDescent="0.3">
      <c r="A1688" s="20">
        <v>45451.738889</v>
      </c>
      <c r="B1688" s="17">
        <v>68.631839999999997</v>
      </c>
      <c r="C1688" s="18"/>
      <c r="D1688" s="19"/>
    </row>
    <row r="1689" spans="1:4" x14ac:dyDescent="0.3">
      <c r="A1689" s="20">
        <v>45451.739583000002</v>
      </c>
      <c r="B1689" s="17">
        <v>68.598089999999999</v>
      </c>
      <c r="C1689" s="18"/>
      <c r="D1689" s="19"/>
    </row>
    <row r="1690" spans="1:4" x14ac:dyDescent="0.3">
      <c r="A1690" s="20">
        <v>45451.740277999997</v>
      </c>
      <c r="B1690" s="17">
        <v>68.595355999999995</v>
      </c>
      <c r="C1690" s="18"/>
      <c r="D1690" s="19"/>
    </row>
    <row r="1691" spans="1:4" x14ac:dyDescent="0.3">
      <c r="A1691" s="20">
        <v>45451.740972</v>
      </c>
      <c r="B1691" s="17">
        <v>68.794011999999995</v>
      </c>
      <c r="C1691" s="18"/>
      <c r="D1691" s="19"/>
    </row>
    <row r="1692" spans="1:4" x14ac:dyDescent="0.3">
      <c r="A1692" s="20">
        <v>45451.741667000002</v>
      </c>
      <c r="B1692" s="17">
        <v>68.684585999999996</v>
      </c>
      <c r="C1692" s="18"/>
      <c r="D1692" s="19"/>
    </row>
    <row r="1693" spans="1:4" x14ac:dyDescent="0.3">
      <c r="A1693" s="20">
        <v>45451.742360999997</v>
      </c>
      <c r="B1693" s="17">
        <v>68.626501000000005</v>
      </c>
      <c r="C1693" s="18"/>
      <c r="D1693" s="19"/>
    </row>
    <row r="1694" spans="1:4" x14ac:dyDescent="0.3">
      <c r="A1694" s="20">
        <v>45451.743055999999</v>
      </c>
      <c r="B1694" s="17">
        <v>68.559538000000003</v>
      </c>
      <c r="C1694" s="18"/>
      <c r="D1694" s="19"/>
    </row>
    <row r="1695" spans="1:4" x14ac:dyDescent="0.3">
      <c r="A1695" s="20">
        <v>45451.743750000001</v>
      </c>
      <c r="B1695" s="17">
        <v>68.616236000000001</v>
      </c>
      <c r="C1695" s="18"/>
      <c r="D1695" s="19"/>
    </row>
    <row r="1696" spans="1:4" x14ac:dyDescent="0.3">
      <c r="A1696" s="20">
        <v>45451.744444000004</v>
      </c>
      <c r="B1696" s="17">
        <v>67.861509999999996</v>
      </c>
      <c r="C1696" s="18"/>
      <c r="D1696" s="19"/>
    </row>
    <row r="1697" spans="1:4" x14ac:dyDescent="0.3">
      <c r="A1697" s="20">
        <v>45451.745138999999</v>
      </c>
      <c r="B1697" s="17">
        <v>68.393141999999997</v>
      </c>
      <c r="C1697" s="18"/>
      <c r="D1697" s="19"/>
    </row>
    <row r="1698" spans="1:4" x14ac:dyDescent="0.3">
      <c r="A1698" s="20">
        <v>45451.745833000001</v>
      </c>
      <c r="B1698" s="17">
        <v>68.317076</v>
      </c>
      <c r="C1698" s="18"/>
      <c r="D1698" s="19"/>
    </row>
    <row r="1699" spans="1:4" x14ac:dyDescent="0.3">
      <c r="A1699" s="20">
        <v>45451.746528000003</v>
      </c>
      <c r="B1699" s="17">
        <v>68.202966000000004</v>
      </c>
      <c r="C1699" s="18"/>
      <c r="D1699" s="19"/>
    </row>
    <row r="1700" spans="1:4" x14ac:dyDescent="0.3">
      <c r="A1700" s="20">
        <v>45451.747221999998</v>
      </c>
      <c r="B1700" s="17">
        <v>68.764190999999997</v>
      </c>
      <c r="C1700" s="18"/>
      <c r="D1700" s="19"/>
    </row>
    <row r="1701" spans="1:4" x14ac:dyDescent="0.3">
      <c r="A1701" s="20">
        <v>45451.747917000001</v>
      </c>
      <c r="B1701" s="17">
        <v>68.228869000000003</v>
      </c>
      <c r="C1701" s="18"/>
      <c r="D1701" s="19"/>
    </row>
    <row r="1702" spans="1:4" x14ac:dyDescent="0.3">
      <c r="A1702" s="20">
        <v>45451.748611000003</v>
      </c>
      <c r="B1702" s="17">
        <v>68.594763</v>
      </c>
      <c r="C1702" s="18"/>
      <c r="D1702" s="19"/>
    </row>
    <row r="1703" spans="1:4" x14ac:dyDescent="0.3">
      <c r="A1703" s="20">
        <v>45451.749305999998</v>
      </c>
      <c r="B1703" s="17">
        <v>68.325490000000002</v>
      </c>
      <c r="C1703" s="18"/>
      <c r="D1703" s="19"/>
    </row>
    <row r="1704" spans="1:4" x14ac:dyDescent="0.3">
      <c r="A1704" s="20">
        <v>45451.75</v>
      </c>
      <c r="B1704" s="17">
        <v>68.390024999999994</v>
      </c>
      <c r="C1704" s="18"/>
      <c r="D1704" s="19"/>
    </row>
    <row r="1705" spans="1:4" x14ac:dyDescent="0.3">
      <c r="A1705" s="20">
        <v>45451.750694000002</v>
      </c>
      <c r="B1705" s="17">
        <v>67.825774999999993</v>
      </c>
      <c r="C1705" s="18"/>
      <c r="D1705" s="19"/>
    </row>
    <row r="1706" spans="1:4" x14ac:dyDescent="0.3">
      <c r="A1706" s="20">
        <v>45451.751388999997</v>
      </c>
      <c r="B1706" s="17">
        <v>68.401396000000005</v>
      </c>
      <c r="C1706" s="18"/>
      <c r="D1706" s="19"/>
    </row>
    <row r="1707" spans="1:4" x14ac:dyDescent="0.3">
      <c r="A1707" s="20">
        <v>45451.752082999999</v>
      </c>
      <c r="B1707" s="17">
        <v>68.433274999999995</v>
      </c>
      <c r="C1707" s="18"/>
      <c r="D1707" s="19"/>
    </row>
    <row r="1708" spans="1:4" x14ac:dyDescent="0.3">
      <c r="A1708" s="20">
        <v>45451.752778000002</v>
      </c>
      <c r="B1708" s="17">
        <v>67.687712000000005</v>
      </c>
      <c r="C1708" s="18"/>
      <c r="D1708" s="19"/>
    </row>
    <row r="1709" spans="1:4" x14ac:dyDescent="0.3">
      <c r="A1709" s="20">
        <v>45451.753471999997</v>
      </c>
      <c r="B1709" s="17">
        <v>68.133105999999998</v>
      </c>
      <c r="C1709" s="18"/>
      <c r="D1709" s="19"/>
    </row>
    <row r="1710" spans="1:4" x14ac:dyDescent="0.3">
      <c r="A1710" s="20">
        <v>45451.754166999999</v>
      </c>
      <c r="B1710" s="17">
        <v>68.646004000000005</v>
      </c>
      <c r="C1710" s="18"/>
      <c r="D1710" s="19"/>
    </row>
    <row r="1711" spans="1:4" x14ac:dyDescent="0.3">
      <c r="A1711" s="20">
        <v>45451.754861000001</v>
      </c>
      <c r="B1711" s="17">
        <v>67.762208000000001</v>
      </c>
      <c r="C1711" s="18"/>
      <c r="D1711" s="19"/>
    </row>
    <row r="1712" spans="1:4" x14ac:dyDescent="0.3">
      <c r="A1712" s="20">
        <v>45451.755555999996</v>
      </c>
      <c r="B1712" s="17">
        <v>68.733926999999994</v>
      </c>
      <c r="C1712" s="18"/>
      <c r="D1712" s="19"/>
    </row>
    <row r="1713" spans="1:4" x14ac:dyDescent="0.3">
      <c r="A1713" s="20">
        <v>45451.756249999999</v>
      </c>
      <c r="B1713" s="17">
        <v>68.648236999999995</v>
      </c>
      <c r="C1713" s="18"/>
      <c r="D1713" s="19"/>
    </row>
    <row r="1714" spans="1:4" x14ac:dyDescent="0.3">
      <c r="A1714" s="20">
        <v>45451.756944000001</v>
      </c>
      <c r="B1714" s="17">
        <v>68.613130999999996</v>
      </c>
      <c r="C1714" s="18"/>
      <c r="D1714" s="19"/>
    </row>
    <row r="1715" spans="1:4" x14ac:dyDescent="0.3">
      <c r="A1715" s="20">
        <v>45451.757639000003</v>
      </c>
      <c r="B1715" s="17">
        <v>68.052914999999999</v>
      </c>
      <c r="C1715" s="18"/>
      <c r="D1715" s="19"/>
    </row>
    <row r="1716" spans="1:4" x14ac:dyDescent="0.3">
      <c r="A1716" s="20">
        <v>45451.758332999998</v>
      </c>
      <c r="B1716" s="17">
        <v>68.015090999999998</v>
      </c>
      <c r="C1716" s="18"/>
      <c r="D1716" s="19"/>
    </row>
    <row r="1717" spans="1:4" x14ac:dyDescent="0.3">
      <c r="A1717" s="20">
        <v>45451.759028</v>
      </c>
      <c r="B1717" s="17">
        <v>68.689815999999993</v>
      </c>
      <c r="C1717" s="18"/>
      <c r="D1717" s="19"/>
    </row>
    <row r="1718" spans="1:4" x14ac:dyDescent="0.3">
      <c r="A1718" s="20">
        <v>45451.759722000003</v>
      </c>
      <c r="B1718" s="17">
        <v>68.235086999999993</v>
      </c>
      <c r="C1718" s="18"/>
      <c r="D1718" s="19"/>
    </row>
    <row r="1719" spans="1:4" x14ac:dyDescent="0.3">
      <c r="A1719" s="20">
        <v>45451.760416999998</v>
      </c>
      <c r="B1719" s="17">
        <v>68.268404000000004</v>
      </c>
      <c r="C1719" s="18"/>
      <c r="D1719" s="19"/>
    </row>
    <row r="1720" spans="1:4" x14ac:dyDescent="0.3">
      <c r="A1720" s="20">
        <v>45451.761111</v>
      </c>
      <c r="B1720" s="17">
        <v>68.083462999999995</v>
      </c>
      <c r="C1720" s="18"/>
      <c r="D1720" s="19"/>
    </row>
    <row r="1721" spans="1:4" x14ac:dyDescent="0.3">
      <c r="A1721" s="20">
        <v>45451.761806000002</v>
      </c>
      <c r="B1721" s="17">
        <v>68.084602000000004</v>
      </c>
      <c r="C1721" s="18"/>
      <c r="D1721" s="19"/>
    </row>
    <row r="1722" spans="1:4" x14ac:dyDescent="0.3">
      <c r="A1722" s="20">
        <v>45451.762499999997</v>
      </c>
      <c r="B1722" s="17">
        <v>68.513446999999999</v>
      </c>
      <c r="C1722" s="18"/>
      <c r="D1722" s="19"/>
    </row>
    <row r="1723" spans="1:4" x14ac:dyDescent="0.3">
      <c r="A1723" s="20">
        <v>45451.763193999999</v>
      </c>
      <c r="B1723" s="17">
        <v>68.886229</v>
      </c>
      <c r="C1723" s="18"/>
      <c r="D1723" s="19"/>
    </row>
    <row r="1724" spans="1:4" x14ac:dyDescent="0.3">
      <c r="A1724" s="20">
        <v>45451.763889000002</v>
      </c>
      <c r="B1724" s="17">
        <v>68.286546999999999</v>
      </c>
      <c r="C1724" s="18"/>
      <c r="D1724" s="19"/>
    </row>
    <row r="1725" spans="1:4" x14ac:dyDescent="0.3">
      <c r="A1725" s="20">
        <v>45451.764582999996</v>
      </c>
      <c r="B1725" s="17">
        <v>68.619175999999996</v>
      </c>
      <c r="C1725" s="18"/>
      <c r="D1725" s="19"/>
    </row>
    <row r="1726" spans="1:4" x14ac:dyDescent="0.3">
      <c r="A1726" s="20">
        <v>45451.765277999999</v>
      </c>
      <c r="B1726" s="17">
        <v>67.845850999999996</v>
      </c>
      <c r="C1726" s="18"/>
      <c r="D1726" s="19"/>
    </row>
    <row r="1727" spans="1:4" x14ac:dyDescent="0.3">
      <c r="A1727" s="20">
        <v>45451.765972000001</v>
      </c>
      <c r="B1727" s="17">
        <v>68.419499999999999</v>
      </c>
      <c r="C1727" s="18"/>
      <c r="D1727" s="19"/>
    </row>
    <row r="1728" spans="1:4" x14ac:dyDescent="0.3">
      <c r="A1728" s="20">
        <v>45451.766667000004</v>
      </c>
      <c r="B1728" s="17">
        <v>68.301101000000003</v>
      </c>
      <c r="C1728" s="18"/>
      <c r="D1728" s="19"/>
    </row>
    <row r="1729" spans="1:4" x14ac:dyDescent="0.3">
      <c r="A1729" s="20">
        <v>45451.767360999998</v>
      </c>
      <c r="B1729" s="17">
        <v>68.431552999999994</v>
      </c>
      <c r="C1729" s="18"/>
      <c r="D1729" s="19"/>
    </row>
    <row r="1730" spans="1:4" x14ac:dyDescent="0.3">
      <c r="A1730" s="20">
        <v>45451.768056000001</v>
      </c>
      <c r="B1730" s="17">
        <v>68.357190000000003</v>
      </c>
      <c r="C1730" s="18"/>
      <c r="D1730" s="19"/>
    </row>
    <row r="1731" spans="1:4" x14ac:dyDescent="0.3">
      <c r="A1731" s="20">
        <v>45451.768750000003</v>
      </c>
      <c r="B1731" s="17">
        <v>68.434809000000001</v>
      </c>
      <c r="C1731" s="18"/>
      <c r="D1731" s="19"/>
    </row>
    <row r="1732" spans="1:4" x14ac:dyDescent="0.3">
      <c r="A1732" s="20">
        <v>45451.769443999998</v>
      </c>
      <c r="B1732" s="17">
        <v>68.744952999999995</v>
      </c>
      <c r="C1732" s="18"/>
      <c r="D1732" s="19"/>
    </row>
    <row r="1733" spans="1:4" x14ac:dyDescent="0.3">
      <c r="A1733" s="20">
        <v>45451.770139</v>
      </c>
      <c r="B1733" s="17">
        <v>68.287481</v>
      </c>
      <c r="C1733" s="18"/>
      <c r="D1733" s="19"/>
    </row>
    <row r="1734" spans="1:4" x14ac:dyDescent="0.3">
      <c r="A1734" s="20">
        <v>45451.770833000002</v>
      </c>
      <c r="B1734" s="17">
        <v>68.187657999999999</v>
      </c>
      <c r="C1734" s="18"/>
      <c r="D1734" s="19"/>
    </row>
    <row r="1735" spans="1:4" x14ac:dyDescent="0.3">
      <c r="A1735" s="20">
        <v>45451.771527999997</v>
      </c>
      <c r="B1735" s="17">
        <v>67.829109000000003</v>
      </c>
      <c r="C1735" s="18"/>
      <c r="D1735" s="19"/>
    </row>
    <row r="1736" spans="1:4" x14ac:dyDescent="0.3">
      <c r="A1736" s="20">
        <v>45451.772222</v>
      </c>
      <c r="B1736" s="17">
        <v>68.477903999999995</v>
      </c>
      <c r="C1736" s="18"/>
      <c r="D1736" s="19"/>
    </row>
    <row r="1737" spans="1:4" x14ac:dyDescent="0.3">
      <c r="A1737" s="20">
        <v>45451.772917000002</v>
      </c>
      <c r="B1737" s="17">
        <v>68.365196999999995</v>
      </c>
      <c r="C1737" s="18"/>
      <c r="D1737" s="19"/>
    </row>
    <row r="1738" spans="1:4" x14ac:dyDescent="0.3">
      <c r="A1738" s="20">
        <v>45451.773610999997</v>
      </c>
      <c r="B1738" s="17">
        <v>68.185203000000001</v>
      </c>
      <c r="C1738" s="18"/>
      <c r="D1738" s="19"/>
    </row>
    <row r="1739" spans="1:4" x14ac:dyDescent="0.3">
      <c r="A1739" s="20">
        <v>45451.774305999999</v>
      </c>
      <c r="B1739" s="17">
        <v>68.110926000000006</v>
      </c>
      <c r="C1739" s="18"/>
      <c r="D1739" s="19"/>
    </row>
    <row r="1740" spans="1:4" x14ac:dyDescent="0.3">
      <c r="A1740" s="20">
        <v>45451.775000000001</v>
      </c>
      <c r="B1740" s="17">
        <v>68.865110999999999</v>
      </c>
      <c r="C1740" s="18"/>
      <c r="D1740" s="19"/>
    </row>
    <row r="1741" spans="1:4" x14ac:dyDescent="0.3">
      <c r="A1741" s="20">
        <v>45451.775694000004</v>
      </c>
      <c r="B1741" s="17">
        <v>68.315355999999994</v>
      </c>
      <c r="C1741" s="18"/>
      <c r="D1741" s="19"/>
    </row>
    <row r="1742" spans="1:4" x14ac:dyDescent="0.3">
      <c r="A1742" s="20">
        <v>45451.776388999999</v>
      </c>
      <c r="B1742" s="17">
        <v>68.092765</v>
      </c>
      <c r="C1742" s="18"/>
      <c r="D1742" s="19"/>
    </row>
    <row r="1743" spans="1:4" x14ac:dyDescent="0.3">
      <c r="A1743" s="20">
        <v>45451.777083000001</v>
      </c>
      <c r="B1743" s="17">
        <v>67.849635000000006</v>
      </c>
      <c r="C1743" s="18"/>
      <c r="D1743" s="19"/>
    </row>
    <row r="1744" spans="1:4" x14ac:dyDescent="0.3">
      <c r="A1744" s="20">
        <v>45451.777778000003</v>
      </c>
      <c r="B1744" s="17">
        <v>68.353446000000005</v>
      </c>
      <c r="C1744" s="18"/>
      <c r="D1744" s="19"/>
    </row>
    <row r="1745" spans="1:4" x14ac:dyDescent="0.3">
      <c r="A1745" s="20">
        <v>45451.778471999998</v>
      </c>
      <c r="B1745" s="17">
        <v>68.042912999999999</v>
      </c>
      <c r="C1745" s="18"/>
      <c r="D1745" s="19"/>
    </row>
    <row r="1746" spans="1:4" x14ac:dyDescent="0.3">
      <c r="A1746" s="20">
        <v>45451.779167000001</v>
      </c>
      <c r="B1746" s="17">
        <v>68.528008</v>
      </c>
      <c r="C1746" s="18"/>
      <c r="D1746" s="19"/>
    </row>
    <row r="1747" spans="1:4" x14ac:dyDescent="0.3">
      <c r="A1747" s="20">
        <v>45451.779861000003</v>
      </c>
      <c r="B1747" s="17">
        <v>68.501654000000002</v>
      </c>
      <c r="C1747" s="18"/>
      <c r="D1747" s="19"/>
    </row>
    <row r="1748" spans="1:4" x14ac:dyDescent="0.3">
      <c r="A1748" s="20">
        <v>45451.780555999998</v>
      </c>
      <c r="B1748" s="17">
        <v>68.059010999999998</v>
      </c>
      <c r="C1748" s="18"/>
      <c r="D1748" s="19"/>
    </row>
    <row r="1749" spans="1:4" x14ac:dyDescent="0.3">
      <c r="A1749" s="20">
        <v>45451.78125</v>
      </c>
      <c r="B1749" s="17">
        <v>68.153008</v>
      </c>
      <c r="C1749" s="18"/>
      <c r="D1749" s="19"/>
    </row>
    <row r="1750" spans="1:4" x14ac:dyDescent="0.3">
      <c r="A1750" s="20">
        <v>45451.781944000002</v>
      </c>
      <c r="B1750" s="17">
        <v>68.452438000000001</v>
      </c>
      <c r="C1750" s="18"/>
      <c r="D1750" s="19"/>
    </row>
    <row r="1751" spans="1:4" x14ac:dyDescent="0.3">
      <c r="A1751" s="20">
        <v>45451.782638999997</v>
      </c>
      <c r="B1751" s="17">
        <v>68.212914999999995</v>
      </c>
      <c r="C1751" s="18"/>
      <c r="D1751" s="19"/>
    </row>
    <row r="1752" spans="1:4" x14ac:dyDescent="0.3">
      <c r="A1752" s="20">
        <v>45451.783332999999</v>
      </c>
      <c r="B1752" s="17">
        <v>68.438905000000005</v>
      </c>
      <c r="C1752" s="18"/>
      <c r="D1752" s="19"/>
    </row>
    <row r="1753" spans="1:4" x14ac:dyDescent="0.3">
      <c r="A1753" s="20">
        <v>45451.784028000002</v>
      </c>
      <c r="B1753" s="17">
        <v>68.016487999999995</v>
      </c>
      <c r="C1753" s="18"/>
      <c r="D1753" s="19"/>
    </row>
    <row r="1754" spans="1:4" x14ac:dyDescent="0.3">
      <c r="A1754" s="20">
        <v>45451.784721999997</v>
      </c>
      <c r="B1754" s="17">
        <v>68.749637000000007</v>
      </c>
      <c r="C1754" s="18"/>
      <c r="D1754" s="19"/>
    </row>
    <row r="1755" spans="1:4" x14ac:dyDescent="0.3">
      <c r="A1755" s="20">
        <v>45451.785416999999</v>
      </c>
      <c r="B1755" s="17">
        <v>68.672433999999996</v>
      </c>
      <c r="C1755" s="18"/>
      <c r="D1755" s="19"/>
    </row>
    <row r="1756" spans="1:4" x14ac:dyDescent="0.3">
      <c r="A1756" s="20">
        <v>45451.786111000001</v>
      </c>
      <c r="B1756" s="17">
        <v>67.887416999999999</v>
      </c>
      <c r="C1756" s="18"/>
      <c r="D1756" s="19"/>
    </row>
    <row r="1757" spans="1:4" x14ac:dyDescent="0.3">
      <c r="A1757" s="20">
        <v>45451.786805999996</v>
      </c>
      <c r="B1757" s="17">
        <v>69.345263000000003</v>
      </c>
      <c r="C1757" s="18"/>
      <c r="D1757" s="19"/>
    </row>
    <row r="1758" spans="1:4" x14ac:dyDescent="0.3">
      <c r="A1758" s="20">
        <v>45451.787499999999</v>
      </c>
      <c r="B1758" s="17">
        <v>68.338195999999996</v>
      </c>
      <c r="C1758" s="18"/>
      <c r="D1758" s="19"/>
    </row>
    <row r="1759" spans="1:4" x14ac:dyDescent="0.3">
      <c r="A1759" s="20">
        <v>45451.788194000001</v>
      </c>
      <c r="B1759" s="17">
        <v>67.677242000000007</v>
      </c>
      <c r="C1759" s="18"/>
      <c r="D1759" s="19"/>
    </row>
    <row r="1760" spans="1:4" x14ac:dyDescent="0.3">
      <c r="A1760" s="20">
        <v>45451.788889000003</v>
      </c>
      <c r="B1760" s="17">
        <v>68.305718999999996</v>
      </c>
      <c r="C1760" s="18"/>
      <c r="D1760" s="19"/>
    </row>
    <row r="1761" spans="1:4" x14ac:dyDescent="0.3">
      <c r="A1761" s="20">
        <v>45451.789582999998</v>
      </c>
      <c r="B1761" s="17">
        <v>68.484480000000005</v>
      </c>
      <c r="C1761" s="18"/>
      <c r="D1761" s="19"/>
    </row>
    <row r="1762" spans="1:4" x14ac:dyDescent="0.3">
      <c r="A1762" s="20">
        <v>45451.790278</v>
      </c>
      <c r="B1762" s="17">
        <v>68.235257000000004</v>
      </c>
      <c r="C1762" s="18"/>
      <c r="D1762" s="19"/>
    </row>
    <row r="1763" spans="1:4" x14ac:dyDescent="0.3">
      <c r="A1763" s="20">
        <v>45451.790972000003</v>
      </c>
      <c r="B1763" s="17">
        <v>68.568252999999999</v>
      </c>
      <c r="C1763" s="18"/>
      <c r="D1763" s="19"/>
    </row>
    <row r="1764" spans="1:4" x14ac:dyDescent="0.3">
      <c r="A1764" s="20">
        <v>45451.791666999998</v>
      </c>
      <c r="B1764" s="17">
        <v>68.442764999999994</v>
      </c>
      <c r="C1764" s="18"/>
      <c r="D1764" s="19"/>
    </row>
    <row r="1765" spans="1:4" x14ac:dyDescent="0.3">
      <c r="A1765" s="20">
        <v>45451.792361</v>
      </c>
      <c r="B1765" s="17">
        <v>68.690662000000003</v>
      </c>
      <c r="C1765" s="18"/>
      <c r="D1765" s="19"/>
    </row>
    <row r="1766" spans="1:4" x14ac:dyDescent="0.3">
      <c r="A1766" s="20">
        <v>45451.793056000002</v>
      </c>
      <c r="B1766" s="17">
        <v>69.027562000000003</v>
      </c>
      <c r="C1766" s="18"/>
      <c r="D1766" s="19"/>
    </row>
    <row r="1767" spans="1:4" x14ac:dyDescent="0.3">
      <c r="A1767" s="20">
        <v>45451.793749999997</v>
      </c>
      <c r="B1767" s="17">
        <v>67.916310999999993</v>
      </c>
      <c r="C1767" s="18"/>
      <c r="D1767" s="19"/>
    </row>
    <row r="1768" spans="1:4" x14ac:dyDescent="0.3">
      <c r="A1768" s="20">
        <v>45451.794443999999</v>
      </c>
      <c r="B1768" s="17">
        <v>68.132188999999997</v>
      </c>
      <c r="C1768" s="18"/>
      <c r="D1768" s="19"/>
    </row>
    <row r="1769" spans="1:4" x14ac:dyDescent="0.3">
      <c r="A1769" s="20">
        <v>45451.795139000002</v>
      </c>
      <c r="B1769" s="17">
        <v>68.102513000000002</v>
      </c>
      <c r="C1769" s="18"/>
      <c r="D1769" s="19"/>
    </row>
    <row r="1770" spans="1:4" x14ac:dyDescent="0.3">
      <c r="A1770" s="20">
        <v>45451.795832999996</v>
      </c>
      <c r="B1770" s="17">
        <v>69.011178000000001</v>
      </c>
      <c r="C1770" s="18"/>
      <c r="D1770" s="19"/>
    </row>
    <row r="1771" spans="1:4" x14ac:dyDescent="0.3">
      <c r="A1771" s="20">
        <v>45451.796527999999</v>
      </c>
      <c r="B1771" s="17">
        <v>68.515707000000006</v>
      </c>
      <c r="C1771" s="18"/>
      <c r="D1771" s="19"/>
    </row>
    <row r="1772" spans="1:4" x14ac:dyDescent="0.3">
      <c r="A1772" s="20">
        <v>45451.797222000001</v>
      </c>
      <c r="B1772" s="17">
        <v>68.361599999999996</v>
      </c>
      <c r="C1772" s="18"/>
      <c r="D1772" s="19"/>
    </row>
    <row r="1773" spans="1:4" x14ac:dyDescent="0.3">
      <c r="A1773" s="20">
        <v>45451.797917000004</v>
      </c>
      <c r="B1773" s="17">
        <v>67.757368</v>
      </c>
      <c r="C1773" s="18"/>
      <c r="D1773" s="19"/>
    </row>
    <row r="1774" spans="1:4" x14ac:dyDescent="0.3">
      <c r="A1774" s="20">
        <v>45451.798610999998</v>
      </c>
      <c r="B1774" s="17">
        <v>68.012951000000001</v>
      </c>
      <c r="C1774" s="18"/>
      <c r="D1774" s="19"/>
    </row>
    <row r="1775" spans="1:4" x14ac:dyDescent="0.3">
      <c r="A1775" s="20">
        <v>45451.799306000001</v>
      </c>
      <c r="B1775" s="17">
        <v>68.645195000000001</v>
      </c>
      <c r="C1775" s="18"/>
      <c r="D1775" s="19"/>
    </row>
    <row r="1776" spans="1:4" x14ac:dyDescent="0.3">
      <c r="A1776" s="20">
        <v>45451.8</v>
      </c>
      <c r="B1776" s="17">
        <v>68.035916999999998</v>
      </c>
      <c r="C1776" s="18"/>
      <c r="D1776" s="19"/>
    </row>
    <row r="1777" spans="1:4" x14ac:dyDescent="0.3">
      <c r="A1777" s="20">
        <v>45451.800693999998</v>
      </c>
      <c r="B1777" s="17">
        <v>68.698899999999995</v>
      </c>
      <c r="C1777" s="18"/>
      <c r="D1777" s="19"/>
    </row>
    <row r="1778" spans="1:4" x14ac:dyDescent="0.3">
      <c r="A1778" s="20">
        <v>45451.801389</v>
      </c>
      <c r="B1778" s="17">
        <v>68.239604999999997</v>
      </c>
      <c r="C1778" s="18"/>
      <c r="D1778" s="19"/>
    </row>
    <row r="1779" spans="1:4" x14ac:dyDescent="0.3">
      <c r="A1779" s="20">
        <v>45451.802083000002</v>
      </c>
      <c r="B1779" s="17">
        <v>68.705628000000004</v>
      </c>
      <c r="C1779" s="18"/>
      <c r="D1779" s="19"/>
    </row>
    <row r="1780" spans="1:4" x14ac:dyDescent="0.3">
      <c r="A1780" s="20">
        <v>45451.802777999997</v>
      </c>
      <c r="B1780" s="17">
        <v>68.050100999999998</v>
      </c>
      <c r="C1780" s="18"/>
      <c r="D1780" s="19"/>
    </row>
    <row r="1781" spans="1:4" x14ac:dyDescent="0.3">
      <c r="A1781" s="20">
        <v>45451.803472</v>
      </c>
      <c r="B1781" s="17">
        <v>68.211839999999995</v>
      </c>
      <c r="C1781" s="18"/>
      <c r="D1781" s="19"/>
    </row>
    <row r="1782" spans="1:4" x14ac:dyDescent="0.3">
      <c r="A1782" s="20">
        <v>45451.804167000002</v>
      </c>
      <c r="B1782" s="17">
        <v>68.278769999999994</v>
      </c>
      <c r="C1782" s="18"/>
      <c r="D1782" s="19"/>
    </row>
    <row r="1783" spans="1:4" x14ac:dyDescent="0.3">
      <c r="A1783" s="20">
        <v>45451.804860999997</v>
      </c>
      <c r="B1783" s="17">
        <v>68.342825000000005</v>
      </c>
      <c r="C1783" s="18"/>
      <c r="D1783" s="19"/>
    </row>
    <row r="1784" spans="1:4" x14ac:dyDescent="0.3">
      <c r="A1784" s="20">
        <v>45451.805555999999</v>
      </c>
      <c r="B1784" s="17">
        <v>68.365962999999994</v>
      </c>
      <c r="C1784" s="18"/>
      <c r="D1784" s="19"/>
    </row>
    <row r="1785" spans="1:4" x14ac:dyDescent="0.3">
      <c r="A1785" s="20">
        <v>45451.806250000001</v>
      </c>
      <c r="B1785" s="17">
        <v>68.210828000000006</v>
      </c>
      <c r="C1785" s="18"/>
      <c r="D1785" s="19"/>
    </row>
    <row r="1786" spans="1:4" x14ac:dyDescent="0.3">
      <c r="A1786" s="20">
        <v>45451.806944000004</v>
      </c>
      <c r="B1786" s="17">
        <v>68.909284</v>
      </c>
      <c r="C1786" s="18"/>
      <c r="D1786" s="19"/>
    </row>
    <row r="1787" spans="1:4" x14ac:dyDescent="0.3">
      <c r="A1787" s="20">
        <v>45451.807638999999</v>
      </c>
      <c r="B1787" s="17">
        <v>67.743218999999996</v>
      </c>
      <c r="C1787" s="18"/>
      <c r="D1787" s="19"/>
    </row>
    <row r="1788" spans="1:4" x14ac:dyDescent="0.3">
      <c r="A1788" s="20">
        <v>45451.808333000001</v>
      </c>
      <c r="B1788" s="17">
        <v>68.695651999999995</v>
      </c>
      <c r="C1788" s="18"/>
      <c r="D1788" s="19"/>
    </row>
    <row r="1789" spans="1:4" x14ac:dyDescent="0.3">
      <c r="A1789" s="20">
        <v>45451.809028000003</v>
      </c>
      <c r="B1789" s="17">
        <v>68.403981999999999</v>
      </c>
      <c r="C1789" s="18"/>
      <c r="D1789" s="19"/>
    </row>
    <row r="1790" spans="1:4" x14ac:dyDescent="0.3">
      <c r="A1790" s="20">
        <v>45451.809721999998</v>
      </c>
      <c r="B1790" s="17">
        <v>68.750034999999997</v>
      </c>
      <c r="C1790" s="18"/>
      <c r="D1790" s="19"/>
    </row>
    <row r="1791" spans="1:4" x14ac:dyDescent="0.3">
      <c r="A1791" s="20">
        <v>45451.810417000001</v>
      </c>
      <c r="B1791" s="17">
        <v>68.695957000000007</v>
      </c>
      <c r="C1791" s="18"/>
      <c r="D1791" s="19"/>
    </row>
    <row r="1792" spans="1:4" x14ac:dyDescent="0.3">
      <c r="A1792" s="20">
        <v>45451.811111000003</v>
      </c>
      <c r="B1792" s="17">
        <v>68.138180000000006</v>
      </c>
      <c r="C1792" s="18"/>
      <c r="D1792" s="19"/>
    </row>
    <row r="1793" spans="1:4" x14ac:dyDescent="0.3">
      <c r="A1793" s="20">
        <v>45451.811805999998</v>
      </c>
      <c r="B1793" s="17">
        <v>68.423721</v>
      </c>
      <c r="C1793" s="18"/>
      <c r="D1793" s="19"/>
    </row>
    <row r="1794" spans="1:4" x14ac:dyDescent="0.3">
      <c r="A1794" s="20">
        <v>45451.8125</v>
      </c>
      <c r="B1794" s="17">
        <v>68.196438000000001</v>
      </c>
      <c r="C1794" s="18"/>
      <c r="D1794" s="19"/>
    </row>
    <row r="1795" spans="1:4" x14ac:dyDescent="0.3">
      <c r="A1795" s="20">
        <v>45451.813194000002</v>
      </c>
      <c r="B1795" s="17">
        <v>68.727407999999997</v>
      </c>
      <c r="C1795" s="18"/>
      <c r="D1795" s="19"/>
    </row>
    <row r="1796" spans="1:4" x14ac:dyDescent="0.3">
      <c r="A1796" s="20">
        <v>45451.813888999997</v>
      </c>
      <c r="B1796" s="17">
        <v>68.751446999999999</v>
      </c>
      <c r="C1796" s="18"/>
      <c r="D1796" s="19"/>
    </row>
    <row r="1797" spans="1:4" x14ac:dyDescent="0.3">
      <c r="A1797" s="20">
        <v>45451.814582999999</v>
      </c>
      <c r="B1797" s="17">
        <v>68.695511999999994</v>
      </c>
      <c r="C1797" s="18"/>
      <c r="D1797" s="19"/>
    </row>
    <row r="1798" spans="1:4" x14ac:dyDescent="0.3">
      <c r="A1798" s="20">
        <v>45451.815278000002</v>
      </c>
      <c r="B1798" s="17">
        <v>68.227440000000001</v>
      </c>
      <c r="C1798" s="18"/>
      <c r="D1798" s="19"/>
    </row>
    <row r="1799" spans="1:4" x14ac:dyDescent="0.3">
      <c r="A1799" s="20">
        <v>45451.815971999997</v>
      </c>
      <c r="B1799" s="17">
        <v>68.809343999999996</v>
      </c>
      <c r="C1799" s="18"/>
      <c r="D1799" s="19"/>
    </row>
    <row r="1800" spans="1:4" x14ac:dyDescent="0.3">
      <c r="A1800" s="20">
        <v>45451.816666999999</v>
      </c>
      <c r="B1800" s="17">
        <v>69.195770999999993</v>
      </c>
      <c r="C1800" s="18"/>
      <c r="D1800" s="19"/>
    </row>
    <row r="1801" spans="1:4" x14ac:dyDescent="0.3">
      <c r="A1801" s="20">
        <v>45451.817361000001</v>
      </c>
      <c r="B1801" s="17">
        <v>68.167451</v>
      </c>
      <c r="C1801" s="18"/>
      <c r="D1801" s="19"/>
    </row>
    <row r="1802" spans="1:4" x14ac:dyDescent="0.3">
      <c r="A1802" s="20">
        <v>45451.818055999996</v>
      </c>
      <c r="B1802" s="17">
        <v>68.484049999999996</v>
      </c>
      <c r="C1802" s="18"/>
      <c r="D1802" s="19"/>
    </row>
    <row r="1803" spans="1:4" x14ac:dyDescent="0.3">
      <c r="A1803" s="20">
        <v>45451.818749999999</v>
      </c>
      <c r="B1803" s="17">
        <v>67.903561999999994</v>
      </c>
      <c r="C1803" s="18"/>
      <c r="D1803" s="19"/>
    </row>
    <row r="1804" spans="1:4" x14ac:dyDescent="0.3">
      <c r="A1804" s="20">
        <v>45451.819444000001</v>
      </c>
      <c r="B1804" s="17">
        <v>68.497922000000003</v>
      </c>
      <c r="C1804" s="18"/>
      <c r="D1804" s="19"/>
    </row>
    <row r="1805" spans="1:4" x14ac:dyDescent="0.3">
      <c r="A1805" s="20">
        <v>45451.820139000003</v>
      </c>
      <c r="B1805" s="17">
        <v>68.365481000000003</v>
      </c>
      <c r="C1805" s="18"/>
      <c r="D1805" s="19"/>
    </row>
    <row r="1806" spans="1:4" x14ac:dyDescent="0.3">
      <c r="A1806" s="20">
        <v>45451.820832999998</v>
      </c>
      <c r="B1806" s="17">
        <v>68.811594999999997</v>
      </c>
      <c r="C1806" s="18"/>
      <c r="D1806" s="19"/>
    </row>
    <row r="1807" spans="1:4" x14ac:dyDescent="0.3">
      <c r="A1807" s="20">
        <v>45451.821528</v>
      </c>
      <c r="B1807" s="17">
        <v>68.073368000000002</v>
      </c>
      <c r="C1807" s="18"/>
      <c r="D1807" s="19"/>
    </row>
    <row r="1808" spans="1:4" x14ac:dyDescent="0.3">
      <c r="A1808" s="20">
        <v>45451.822222000003</v>
      </c>
      <c r="B1808" s="17">
        <v>68.450903999999994</v>
      </c>
      <c r="C1808" s="18"/>
      <c r="D1808" s="19"/>
    </row>
    <row r="1809" spans="1:4" x14ac:dyDescent="0.3">
      <c r="A1809" s="20">
        <v>45451.822916999998</v>
      </c>
      <c r="B1809" s="17">
        <v>68.669972000000001</v>
      </c>
      <c r="C1809" s="18"/>
      <c r="D1809" s="19"/>
    </row>
    <row r="1810" spans="1:4" x14ac:dyDescent="0.3">
      <c r="A1810" s="20">
        <v>45451.823611</v>
      </c>
      <c r="B1810" s="17">
        <v>68.196282999999994</v>
      </c>
      <c r="C1810" s="18"/>
      <c r="D1810" s="19"/>
    </row>
    <row r="1811" spans="1:4" x14ac:dyDescent="0.3">
      <c r="A1811" s="20">
        <v>45451.824306000002</v>
      </c>
      <c r="B1811" s="17">
        <v>68.118995999999996</v>
      </c>
      <c r="C1811" s="18"/>
      <c r="D1811" s="19"/>
    </row>
    <row r="1812" spans="1:4" x14ac:dyDescent="0.3">
      <c r="A1812" s="20">
        <v>45451.824999999997</v>
      </c>
      <c r="B1812" s="17">
        <v>68.575953999999996</v>
      </c>
      <c r="C1812" s="18"/>
      <c r="D1812" s="19"/>
    </row>
    <row r="1813" spans="1:4" x14ac:dyDescent="0.3">
      <c r="A1813" s="20">
        <v>45451.825693999999</v>
      </c>
      <c r="B1813" s="17">
        <v>68.335758999999996</v>
      </c>
      <c r="C1813" s="18"/>
      <c r="D1813" s="19"/>
    </row>
    <row r="1814" spans="1:4" x14ac:dyDescent="0.3">
      <c r="A1814" s="20">
        <v>45451.826389000002</v>
      </c>
      <c r="B1814" s="17">
        <v>68.695599999999999</v>
      </c>
      <c r="C1814" s="18"/>
      <c r="D1814" s="19"/>
    </row>
    <row r="1815" spans="1:4" x14ac:dyDescent="0.3">
      <c r="A1815" s="20">
        <v>45451.827082999996</v>
      </c>
      <c r="B1815" s="17">
        <v>68.330881000000005</v>
      </c>
      <c r="C1815" s="18"/>
      <c r="D1815" s="19"/>
    </row>
    <row r="1816" spans="1:4" x14ac:dyDescent="0.3">
      <c r="A1816" s="20">
        <v>45451.827777999999</v>
      </c>
      <c r="B1816" s="17">
        <v>68.767438999999996</v>
      </c>
      <c r="C1816" s="18"/>
      <c r="D1816" s="19"/>
    </row>
    <row r="1817" spans="1:4" x14ac:dyDescent="0.3">
      <c r="A1817" s="20">
        <v>45451.828472000001</v>
      </c>
      <c r="B1817" s="17">
        <v>68.661469999999994</v>
      </c>
      <c r="C1817" s="18"/>
      <c r="D1817" s="19"/>
    </row>
    <row r="1818" spans="1:4" x14ac:dyDescent="0.3">
      <c r="A1818" s="20">
        <v>45451.829167000004</v>
      </c>
      <c r="B1818" s="17">
        <v>68.353881000000001</v>
      </c>
      <c r="C1818" s="18"/>
      <c r="D1818" s="19"/>
    </row>
    <row r="1819" spans="1:4" x14ac:dyDescent="0.3">
      <c r="A1819" s="20">
        <v>45451.829860999998</v>
      </c>
      <c r="B1819" s="17">
        <v>69.210645</v>
      </c>
      <c r="C1819" s="18"/>
      <c r="D1819" s="19"/>
    </row>
    <row r="1820" spans="1:4" x14ac:dyDescent="0.3">
      <c r="A1820" s="20">
        <v>45451.830556000001</v>
      </c>
      <c r="B1820" s="17">
        <v>68.782244000000006</v>
      </c>
      <c r="C1820" s="18"/>
      <c r="D1820" s="19"/>
    </row>
    <row r="1821" spans="1:4" x14ac:dyDescent="0.3">
      <c r="A1821" s="20">
        <v>45451.831250000003</v>
      </c>
      <c r="B1821" s="17">
        <v>69.347121000000001</v>
      </c>
      <c r="C1821" s="18"/>
      <c r="D1821" s="19"/>
    </row>
    <row r="1822" spans="1:4" x14ac:dyDescent="0.3">
      <c r="A1822" s="20">
        <v>45451.831943999998</v>
      </c>
      <c r="B1822" s="17">
        <v>68.255093000000002</v>
      </c>
      <c r="C1822" s="18"/>
      <c r="D1822" s="19"/>
    </row>
    <row r="1823" spans="1:4" x14ac:dyDescent="0.3">
      <c r="A1823" s="20">
        <v>45451.832639</v>
      </c>
      <c r="B1823" s="17">
        <v>67.926180000000002</v>
      </c>
      <c r="C1823" s="18"/>
      <c r="D1823" s="19"/>
    </row>
    <row r="1824" spans="1:4" x14ac:dyDescent="0.3">
      <c r="A1824" s="20">
        <v>45451.833333000002</v>
      </c>
      <c r="B1824" s="17">
        <v>68.323119000000005</v>
      </c>
      <c r="C1824" s="18"/>
      <c r="D1824" s="19"/>
    </row>
    <row r="1825" spans="1:4" x14ac:dyDescent="0.3">
      <c r="A1825" s="20">
        <v>45451.834027999997</v>
      </c>
      <c r="B1825" s="17">
        <v>68.067267999999999</v>
      </c>
      <c r="C1825" s="18"/>
      <c r="D1825" s="19"/>
    </row>
    <row r="1826" spans="1:4" x14ac:dyDescent="0.3">
      <c r="A1826" s="20">
        <v>45451.834722</v>
      </c>
      <c r="B1826" s="17">
        <v>68.896730000000005</v>
      </c>
      <c r="C1826" s="18"/>
      <c r="D1826" s="19"/>
    </row>
    <row r="1827" spans="1:4" x14ac:dyDescent="0.3">
      <c r="A1827" s="20">
        <v>45451.835417000002</v>
      </c>
      <c r="B1827" s="17">
        <v>68.597611000000001</v>
      </c>
      <c r="C1827" s="18"/>
      <c r="D1827" s="19"/>
    </row>
    <row r="1828" spans="1:4" x14ac:dyDescent="0.3">
      <c r="A1828" s="20">
        <v>45451.836110999997</v>
      </c>
      <c r="B1828" s="17">
        <v>68.792045000000002</v>
      </c>
      <c r="C1828" s="18"/>
      <c r="D1828" s="19"/>
    </row>
    <row r="1829" spans="1:4" x14ac:dyDescent="0.3">
      <c r="A1829" s="20">
        <v>45451.836805999999</v>
      </c>
      <c r="B1829" s="17">
        <v>68.555961999999994</v>
      </c>
      <c r="C1829" s="18"/>
      <c r="D1829" s="19"/>
    </row>
    <row r="1830" spans="1:4" x14ac:dyDescent="0.3">
      <c r="A1830" s="20">
        <v>45451.837500000001</v>
      </c>
      <c r="B1830" s="17">
        <v>69.008705000000006</v>
      </c>
      <c r="C1830" s="18"/>
      <c r="D1830" s="19"/>
    </row>
    <row r="1831" spans="1:4" x14ac:dyDescent="0.3">
      <c r="A1831" s="20">
        <v>45451.838194000004</v>
      </c>
      <c r="B1831" s="17">
        <v>68.282095999999996</v>
      </c>
      <c r="C1831" s="18"/>
      <c r="D1831" s="19"/>
    </row>
    <row r="1832" spans="1:4" x14ac:dyDescent="0.3">
      <c r="A1832" s="20">
        <v>45451.838888999999</v>
      </c>
      <c r="B1832" s="17">
        <v>68.879767000000001</v>
      </c>
      <c r="C1832" s="18"/>
      <c r="D1832" s="19"/>
    </row>
    <row r="1833" spans="1:4" x14ac:dyDescent="0.3">
      <c r="A1833" s="20">
        <v>45451.839583000001</v>
      </c>
      <c r="B1833" s="17">
        <v>68.666696000000002</v>
      </c>
      <c r="C1833" s="18"/>
      <c r="D1833" s="19"/>
    </row>
    <row r="1834" spans="1:4" x14ac:dyDescent="0.3">
      <c r="A1834" s="20">
        <v>45451.840278000003</v>
      </c>
      <c r="B1834" s="17">
        <v>68.264967999999996</v>
      </c>
      <c r="C1834" s="18"/>
      <c r="D1834" s="19"/>
    </row>
    <row r="1835" spans="1:4" x14ac:dyDescent="0.3">
      <c r="A1835" s="20">
        <v>45451.840971999998</v>
      </c>
      <c r="B1835" s="17">
        <v>68.408687999999998</v>
      </c>
      <c r="C1835" s="18"/>
      <c r="D1835" s="19"/>
    </row>
    <row r="1836" spans="1:4" x14ac:dyDescent="0.3">
      <c r="A1836" s="20">
        <v>45451.841667000001</v>
      </c>
      <c r="B1836" s="17">
        <v>68.362041000000005</v>
      </c>
      <c r="C1836" s="18"/>
      <c r="D1836" s="19"/>
    </row>
    <row r="1837" spans="1:4" x14ac:dyDescent="0.3">
      <c r="A1837" s="20">
        <v>45451.842361000003</v>
      </c>
      <c r="B1837" s="17">
        <v>68.358316000000002</v>
      </c>
      <c r="C1837" s="18"/>
      <c r="D1837" s="19"/>
    </row>
    <row r="1838" spans="1:4" x14ac:dyDescent="0.3">
      <c r="A1838" s="20">
        <v>45451.843055999998</v>
      </c>
      <c r="B1838" s="17">
        <v>68.911348000000004</v>
      </c>
      <c r="C1838" s="18"/>
      <c r="D1838" s="19"/>
    </row>
    <row r="1839" spans="1:4" x14ac:dyDescent="0.3">
      <c r="A1839" s="20">
        <v>45451.84375</v>
      </c>
      <c r="B1839" s="17">
        <v>69.070892000000001</v>
      </c>
      <c r="C1839" s="18"/>
      <c r="D1839" s="19"/>
    </row>
    <row r="1840" spans="1:4" x14ac:dyDescent="0.3">
      <c r="A1840" s="20">
        <v>45451.844444000002</v>
      </c>
      <c r="B1840" s="17">
        <v>68.719496000000007</v>
      </c>
      <c r="C1840" s="18"/>
      <c r="D1840" s="19"/>
    </row>
    <row r="1841" spans="1:4" x14ac:dyDescent="0.3">
      <c r="A1841" s="20">
        <v>45451.845138999997</v>
      </c>
      <c r="B1841" s="17">
        <v>68.166786999999999</v>
      </c>
      <c r="C1841" s="18"/>
      <c r="D1841" s="19"/>
    </row>
    <row r="1842" spans="1:4" x14ac:dyDescent="0.3">
      <c r="A1842" s="20">
        <v>45451.845832999999</v>
      </c>
      <c r="B1842" s="17">
        <v>68.098495999999997</v>
      </c>
      <c r="C1842" s="18"/>
      <c r="D1842" s="19"/>
    </row>
    <row r="1843" spans="1:4" x14ac:dyDescent="0.3">
      <c r="A1843" s="20">
        <v>45451.846528000002</v>
      </c>
      <c r="B1843" s="17">
        <v>67.796592000000004</v>
      </c>
      <c r="C1843" s="18"/>
      <c r="D1843" s="19"/>
    </row>
    <row r="1844" spans="1:4" x14ac:dyDescent="0.3">
      <c r="A1844" s="20">
        <v>45451.847221999997</v>
      </c>
      <c r="B1844" s="17">
        <v>68.758537000000004</v>
      </c>
      <c r="C1844" s="18"/>
      <c r="D1844" s="19"/>
    </row>
    <row r="1845" spans="1:4" x14ac:dyDescent="0.3">
      <c r="A1845" s="20">
        <v>45451.847916999999</v>
      </c>
      <c r="B1845" s="17">
        <v>68.346098999999995</v>
      </c>
      <c r="C1845" s="18"/>
      <c r="D1845" s="19"/>
    </row>
    <row r="1846" spans="1:4" x14ac:dyDescent="0.3">
      <c r="A1846" s="20">
        <v>45451.848611000001</v>
      </c>
      <c r="B1846" s="17">
        <v>68.843507000000002</v>
      </c>
      <c r="C1846" s="18"/>
      <c r="D1846" s="19"/>
    </row>
    <row r="1847" spans="1:4" x14ac:dyDescent="0.3">
      <c r="A1847" s="20">
        <v>45451.849305999996</v>
      </c>
      <c r="B1847" s="17">
        <v>68.834031999999993</v>
      </c>
      <c r="C1847" s="18"/>
      <c r="D1847" s="19"/>
    </row>
    <row r="1848" spans="1:4" x14ac:dyDescent="0.3">
      <c r="A1848" s="20">
        <v>45451.85</v>
      </c>
      <c r="B1848" s="17">
        <v>69.227440000000001</v>
      </c>
      <c r="C1848" s="18"/>
      <c r="D1848" s="19"/>
    </row>
    <row r="1849" spans="1:4" x14ac:dyDescent="0.3">
      <c r="A1849" s="20">
        <v>45451.850694000001</v>
      </c>
      <c r="B1849" s="17">
        <v>68.464095</v>
      </c>
      <c r="C1849" s="18"/>
      <c r="D1849" s="19"/>
    </row>
    <row r="1850" spans="1:4" x14ac:dyDescent="0.3">
      <c r="A1850" s="20">
        <v>45451.851389000003</v>
      </c>
      <c r="B1850" s="17">
        <v>68.918622999999997</v>
      </c>
      <c r="C1850" s="18"/>
      <c r="D1850" s="19"/>
    </row>
    <row r="1851" spans="1:4" x14ac:dyDescent="0.3">
      <c r="A1851" s="20">
        <v>45451.852082999998</v>
      </c>
      <c r="B1851" s="17">
        <v>69.124014000000003</v>
      </c>
      <c r="C1851" s="18"/>
      <c r="D1851" s="19"/>
    </row>
    <row r="1852" spans="1:4" x14ac:dyDescent="0.3">
      <c r="A1852" s="20">
        <v>45451.852778</v>
      </c>
      <c r="B1852" s="17">
        <v>67.970014000000006</v>
      </c>
      <c r="C1852" s="18"/>
      <c r="D1852" s="19"/>
    </row>
    <row r="1853" spans="1:4" x14ac:dyDescent="0.3">
      <c r="A1853" s="20">
        <v>45451.853472000003</v>
      </c>
      <c r="B1853" s="17">
        <v>68.203149999999994</v>
      </c>
      <c r="C1853" s="18"/>
      <c r="D1853" s="19"/>
    </row>
    <row r="1854" spans="1:4" x14ac:dyDescent="0.3">
      <c r="A1854" s="20">
        <v>45451.854166999998</v>
      </c>
      <c r="B1854" s="17">
        <v>68.893933000000004</v>
      </c>
      <c r="C1854" s="18"/>
      <c r="D1854" s="19"/>
    </row>
    <row r="1855" spans="1:4" x14ac:dyDescent="0.3">
      <c r="A1855" s="20">
        <v>45451.854861</v>
      </c>
      <c r="B1855" s="17">
        <v>68.723586999999995</v>
      </c>
      <c r="C1855" s="18"/>
      <c r="D1855" s="19"/>
    </row>
    <row r="1856" spans="1:4" x14ac:dyDescent="0.3">
      <c r="A1856" s="20">
        <v>45451.855556000002</v>
      </c>
      <c r="B1856" s="17">
        <v>69.043402</v>
      </c>
      <c r="C1856" s="18"/>
      <c r="D1856" s="19"/>
    </row>
    <row r="1857" spans="1:4" x14ac:dyDescent="0.3">
      <c r="A1857" s="20">
        <v>45451.856249999997</v>
      </c>
      <c r="B1857" s="17">
        <v>68.951980000000006</v>
      </c>
      <c r="C1857" s="18"/>
      <c r="D1857" s="19"/>
    </row>
    <row r="1858" spans="1:4" x14ac:dyDescent="0.3">
      <c r="A1858" s="20">
        <v>45451.856943999999</v>
      </c>
      <c r="B1858" s="17">
        <v>69.399381000000005</v>
      </c>
      <c r="C1858" s="18"/>
      <c r="D1858" s="19"/>
    </row>
    <row r="1859" spans="1:4" x14ac:dyDescent="0.3">
      <c r="A1859" s="20">
        <v>45451.857639000002</v>
      </c>
      <c r="B1859" s="17">
        <v>68.674283000000003</v>
      </c>
      <c r="C1859" s="18"/>
      <c r="D1859" s="19"/>
    </row>
    <row r="1860" spans="1:4" x14ac:dyDescent="0.3">
      <c r="A1860" s="20">
        <v>45451.858332999996</v>
      </c>
      <c r="B1860" s="17">
        <v>68.695297999999994</v>
      </c>
      <c r="C1860" s="18"/>
      <c r="D1860" s="19"/>
    </row>
    <row r="1861" spans="1:4" x14ac:dyDescent="0.3">
      <c r="A1861" s="20">
        <v>45451.859027999999</v>
      </c>
      <c r="B1861" s="17">
        <v>68.686093</v>
      </c>
      <c r="C1861" s="18"/>
      <c r="D1861" s="19"/>
    </row>
    <row r="1862" spans="1:4" x14ac:dyDescent="0.3">
      <c r="A1862" s="20">
        <v>45451.859722000001</v>
      </c>
      <c r="B1862" s="17">
        <v>68.329187000000005</v>
      </c>
      <c r="C1862" s="18"/>
      <c r="D1862" s="19"/>
    </row>
    <row r="1863" spans="1:4" x14ac:dyDescent="0.3">
      <c r="A1863" s="20">
        <v>45451.860417000004</v>
      </c>
      <c r="B1863" s="17">
        <v>68.841149999999999</v>
      </c>
      <c r="C1863" s="18"/>
      <c r="D1863" s="19"/>
    </row>
    <row r="1864" spans="1:4" x14ac:dyDescent="0.3">
      <c r="A1864" s="20">
        <v>45451.861110999998</v>
      </c>
      <c r="B1864" s="17">
        <v>68.394009999999994</v>
      </c>
      <c r="C1864" s="18"/>
      <c r="D1864" s="19"/>
    </row>
    <row r="1865" spans="1:4" x14ac:dyDescent="0.3">
      <c r="A1865" s="20">
        <v>45451.861806000001</v>
      </c>
      <c r="B1865" s="17">
        <v>68.848536999999993</v>
      </c>
      <c r="C1865" s="18"/>
      <c r="D1865" s="19"/>
    </row>
    <row r="1866" spans="1:4" x14ac:dyDescent="0.3">
      <c r="A1866" s="20">
        <v>45451.862500000003</v>
      </c>
      <c r="B1866" s="17">
        <v>68.138013999999998</v>
      </c>
      <c r="C1866" s="18"/>
      <c r="D1866" s="19"/>
    </row>
    <row r="1867" spans="1:4" x14ac:dyDescent="0.3">
      <c r="A1867" s="20">
        <v>45451.863193999998</v>
      </c>
      <c r="B1867" s="17">
        <v>68.757313999999994</v>
      </c>
      <c r="C1867" s="18"/>
      <c r="D1867" s="19"/>
    </row>
    <row r="1868" spans="1:4" x14ac:dyDescent="0.3">
      <c r="A1868" s="20">
        <v>45451.863889</v>
      </c>
      <c r="B1868" s="17">
        <v>68.580068999999995</v>
      </c>
      <c r="C1868" s="18"/>
      <c r="D1868" s="19"/>
    </row>
    <row r="1869" spans="1:4" x14ac:dyDescent="0.3">
      <c r="A1869" s="20">
        <v>45451.864583000002</v>
      </c>
      <c r="B1869" s="17">
        <v>69.173879999999997</v>
      </c>
      <c r="C1869" s="18"/>
      <c r="D1869" s="19"/>
    </row>
    <row r="1870" spans="1:4" x14ac:dyDescent="0.3">
      <c r="A1870" s="20">
        <v>45451.865277999997</v>
      </c>
      <c r="B1870" s="17">
        <v>68.571956</v>
      </c>
      <c r="C1870" s="18"/>
      <c r="D1870" s="19"/>
    </row>
    <row r="1871" spans="1:4" x14ac:dyDescent="0.3">
      <c r="A1871" s="20">
        <v>45451.865972</v>
      </c>
      <c r="B1871" s="17">
        <v>68.588227000000003</v>
      </c>
      <c r="C1871" s="18"/>
      <c r="D1871" s="19"/>
    </row>
    <row r="1872" spans="1:4" x14ac:dyDescent="0.3">
      <c r="A1872" s="20">
        <v>45451.866667000002</v>
      </c>
      <c r="B1872" s="17">
        <v>68.154661000000004</v>
      </c>
      <c r="C1872" s="18"/>
      <c r="D1872" s="19"/>
    </row>
    <row r="1873" spans="1:4" x14ac:dyDescent="0.3">
      <c r="A1873" s="20">
        <v>45451.867360999997</v>
      </c>
      <c r="B1873" s="17">
        <v>69.107996</v>
      </c>
      <c r="C1873" s="18"/>
      <c r="D1873" s="19"/>
    </row>
    <row r="1874" spans="1:4" x14ac:dyDescent="0.3">
      <c r="A1874" s="20">
        <v>45451.868055999999</v>
      </c>
      <c r="B1874" s="17">
        <v>68.940854999999999</v>
      </c>
      <c r="C1874" s="18"/>
      <c r="D1874" s="19"/>
    </row>
    <row r="1875" spans="1:4" x14ac:dyDescent="0.3">
      <c r="A1875" s="20">
        <v>45451.868750000001</v>
      </c>
      <c r="B1875" s="17">
        <v>68.504489000000007</v>
      </c>
      <c r="C1875" s="18"/>
      <c r="D1875" s="19"/>
    </row>
    <row r="1876" spans="1:4" x14ac:dyDescent="0.3">
      <c r="A1876" s="20">
        <v>45451.869444000004</v>
      </c>
      <c r="B1876" s="17">
        <v>68.143658000000002</v>
      </c>
      <c r="C1876" s="18"/>
      <c r="D1876" s="19"/>
    </row>
    <row r="1877" spans="1:4" x14ac:dyDescent="0.3">
      <c r="A1877" s="20">
        <v>45451.870138999999</v>
      </c>
      <c r="B1877" s="17">
        <v>68.417871000000005</v>
      </c>
      <c r="C1877" s="18"/>
      <c r="D1877" s="19"/>
    </row>
    <row r="1878" spans="1:4" x14ac:dyDescent="0.3">
      <c r="A1878" s="20">
        <v>45451.870833000001</v>
      </c>
      <c r="B1878" s="17">
        <v>69.286529000000002</v>
      </c>
      <c r="C1878" s="18"/>
      <c r="D1878" s="19"/>
    </row>
    <row r="1879" spans="1:4" x14ac:dyDescent="0.3">
      <c r="A1879" s="20">
        <v>45451.871528000003</v>
      </c>
      <c r="B1879" s="17">
        <v>68.139111999999997</v>
      </c>
      <c r="C1879" s="18"/>
      <c r="D1879" s="19"/>
    </row>
    <row r="1880" spans="1:4" x14ac:dyDescent="0.3">
      <c r="A1880" s="20">
        <v>45451.872221999998</v>
      </c>
      <c r="B1880" s="17">
        <v>68.500956000000002</v>
      </c>
      <c r="C1880" s="18"/>
      <c r="D1880" s="19"/>
    </row>
    <row r="1881" spans="1:4" x14ac:dyDescent="0.3">
      <c r="A1881" s="20">
        <v>45451.872917000001</v>
      </c>
      <c r="B1881" s="17">
        <v>68.354032000000004</v>
      </c>
      <c r="C1881" s="18"/>
      <c r="D1881" s="19"/>
    </row>
    <row r="1882" spans="1:4" x14ac:dyDescent="0.3">
      <c r="A1882" s="20">
        <v>45451.873611000003</v>
      </c>
      <c r="B1882" s="17">
        <v>68.960615000000004</v>
      </c>
      <c r="C1882" s="18"/>
      <c r="D1882" s="19"/>
    </row>
    <row r="1883" spans="1:4" x14ac:dyDescent="0.3">
      <c r="A1883" s="20">
        <v>45451.874305999998</v>
      </c>
      <c r="B1883" s="17">
        <v>68.999708999999996</v>
      </c>
      <c r="C1883" s="18"/>
      <c r="D1883" s="19"/>
    </row>
    <row r="1884" spans="1:4" x14ac:dyDescent="0.3">
      <c r="A1884" s="20">
        <v>45451.875</v>
      </c>
      <c r="B1884" s="17">
        <v>69.144396999999998</v>
      </c>
      <c r="C1884" s="18"/>
      <c r="D1884" s="19"/>
    </row>
    <row r="1885" spans="1:4" x14ac:dyDescent="0.3">
      <c r="A1885" s="20">
        <v>45451.875694000002</v>
      </c>
      <c r="B1885" s="17">
        <v>68.749223000000001</v>
      </c>
      <c r="C1885" s="18"/>
      <c r="D1885" s="19"/>
    </row>
    <row r="1886" spans="1:4" x14ac:dyDescent="0.3">
      <c r="A1886" s="20">
        <v>45451.876388999997</v>
      </c>
      <c r="B1886" s="17">
        <v>68.682849000000004</v>
      </c>
      <c r="C1886" s="18"/>
      <c r="D1886" s="19"/>
    </row>
    <row r="1887" spans="1:4" x14ac:dyDescent="0.3">
      <c r="A1887" s="20">
        <v>45451.877082999999</v>
      </c>
      <c r="B1887" s="17">
        <v>68.440526000000006</v>
      </c>
      <c r="C1887" s="18"/>
      <c r="D1887" s="19"/>
    </row>
    <row r="1888" spans="1:4" x14ac:dyDescent="0.3">
      <c r="A1888" s="20">
        <v>45451.877778000002</v>
      </c>
      <c r="B1888" s="17">
        <v>68.715770000000006</v>
      </c>
      <c r="C1888" s="18"/>
      <c r="D1888" s="19"/>
    </row>
    <row r="1889" spans="1:4" x14ac:dyDescent="0.3">
      <c r="A1889" s="20">
        <v>45451.878471999997</v>
      </c>
      <c r="B1889" s="17">
        <v>68.491011</v>
      </c>
      <c r="C1889" s="18"/>
      <c r="D1889" s="19"/>
    </row>
    <row r="1890" spans="1:4" x14ac:dyDescent="0.3">
      <c r="A1890" s="20">
        <v>45451.879166999999</v>
      </c>
      <c r="B1890" s="17">
        <v>68.329279999999997</v>
      </c>
      <c r="C1890" s="18"/>
      <c r="D1890" s="19"/>
    </row>
    <row r="1891" spans="1:4" x14ac:dyDescent="0.3">
      <c r="A1891" s="20">
        <v>45451.879861000001</v>
      </c>
      <c r="B1891" s="17">
        <v>68.303652</v>
      </c>
      <c r="C1891" s="18"/>
      <c r="D1891" s="19"/>
    </row>
    <row r="1892" spans="1:4" x14ac:dyDescent="0.3">
      <c r="A1892" s="20">
        <v>45451.880555999996</v>
      </c>
      <c r="B1892" s="17">
        <v>68.288871</v>
      </c>
      <c r="C1892" s="18"/>
      <c r="D1892" s="19"/>
    </row>
    <row r="1893" spans="1:4" x14ac:dyDescent="0.3">
      <c r="A1893" s="20">
        <v>45451.881249999999</v>
      </c>
      <c r="B1893" s="17">
        <v>68.860241000000002</v>
      </c>
      <c r="C1893" s="18"/>
      <c r="D1893" s="19"/>
    </row>
    <row r="1894" spans="1:4" x14ac:dyDescent="0.3">
      <c r="A1894" s="20">
        <v>45451.881944000001</v>
      </c>
      <c r="B1894" s="17">
        <v>68.524850999999998</v>
      </c>
      <c r="C1894" s="18"/>
      <c r="D1894" s="19"/>
    </row>
    <row r="1895" spans="1:4" x14ac:dyDescent="0.3">
      <c r="A1895" s="20">
        <v>45451.882639000003</v>
      </c>
      <c r="B1895" s="17">
        <v>68.680907000000005</v>
      </c>
      <c r="C1895" s="18"/>
      <c r="D1895" s="19"/>
    </row>
    <row r="1896" spans="1:4" x14ac:dyDescent="0.3">
      <c r="A1896" s="20">
        <v>45451.883332999998</v>
      </c>
      <c r="B1896" s="17">
        <v>68.288415999999998</v>
      </c>
      <c r="C1896" s="18"/>
      <c r="D1896" s="19"/>
    </row>
    <row r="1897" spans="1:4" x14ac:dyDescent="0.3">
      <c r="A1897" s="20">
        <v>45451.884028</v>
      </c>
      <c r="B1897" s="17">
        <v>68.734036000000003</v>
      </c>
      <c r="C1897" s="18"/>
      <c r="D1897" s="19"/>
    </row>
    <row r="1898" spans="1:4" x14ac:dyDescent="0.3">
      <c r="A1898" s="20">
        <v>45451.884722000003</v>
      </c>
      <c r="B1898" s="17">
        <v>68.545574000000002</v>
      </c>
      <c r="C1898" s="18"/>
      <c r="D1898" s="19"/>
    </row>
    <row r="1899" spans="1:4" x14ac:dyDescent="0.3">
      <c r="A1899" s="20">
        <v>45451.885416999998</v>
      </c>
      <c r="B1899" s="17">
        <v>68.630155999999999</v>
      </c>
      <c r="C1899" s="18"/>
      <c r="D1899" s="19"/>
    </row>
    <row r="1900" spans="1:4" x14ac:dyDescent="0.3">
      <c r="A1900" s="20">
        <v>45451.886111</v>
      </c>
      <c r="B1900" s="17">
        <v>67.832316000000006</v>
      </c>
      <c r="C1900" s="18"/>
      <c r="D1900" s="19"/>
    </row>
    <row r="1901" spans="1:4" x14ac:dyDescent="0.3">
      <c r="A1901" s="20">
        <v>45451.886806000002</v>
      </c>
      <c r="B1901" s="17">
        <v>68.396567000000005</v>
      </c>
      <c r="C1901" s="18"/>
      <c r="D1901" s="19"/>
    </row>
    <row r="1902" spans="1:4" x14ac:dyDescent="0.3">
      <c r="A1902" s="20">
        <v>45451.887499999997</v>
      </c>
      <c r="B1902" s="17">
        <v>68.800522000000001</v>
      </c>
      <c r="C1902" s="18"/>
      <c r="D1902" s="19"/>
    </row>
    <row r="1903" spans="1:4" x14ac:dyDescent="0.3">
      <c r="A1903" s="20">
        <v>45451.888193999999</v>
      </c>
      <c r="B1903" s="17">
        <v>68.832447000000002</v>
      </c>
      <c r="C1903" s="18"/>
      <c r="D1903" s="19"/>
    </row>
    <row r="1904" spans="1:4" x14ac:dyDescent="0.3">
      <c r="A1904" s="20">
        <v>45451.888889000002</v>
      </c>
      <c r="B1904" s="17">
        <v>68.665921999999995</v>
      </c>
      <c r="C1904" s="18"/>
      <c r="D1904" s="19"/>
    </row>
    <row r="1905" spans="1:4" x14ac:dyDescent="0.3">
      <c r="A1905" s="20">
        <v>45451.889582999996</v>
      </c>
      <c r="B1905" s="17">
        <v>68.733514999999997</v>
      </c>
      <c r="C1905" s="18"/>
      <c r="D1905" s="19"/>
    </row>
    <row r="1906" spans="1:4" x14ac:dyDescent="0.3">
      <c r="A1906" s="20">
        <v>45451.890277999999</v>
      </c>
      <c r="B1906" s="17">
        <v>68.710012000000006</v>
      </c>
      <c r="C1906" s="18"/>
      <c r="D1906" s="19"/>
    </row>
    <row r="1907" spans="1:4" x14ac:dyDescent="0.3">
      <c r="A1907" s="20">
        <v>45451.890972000001</v>
      </c>
      <c r="B1907" s="17">
        <v>68.704576000000003</v>
      </c>
      <c r="C1907" s="18"/>
      <c r="D1907" s="19"/>
    </row>
    <row r="1908" spans="1:4" x14ac:dyDescent="0.3">
      <c r="A1908" s="20">
        <v>45451.891667000004</v>
      </c>
      <c r="B1908" s="17">
        <v>68.419077000000001</v>
      </c>
      <c r="C1908" s="18"/>
      <c r="D1908" s="19"/>
    </row>
    <row r="1909" spans="1:4" x14ac:dyDescent="0.3">
      <c r="A1909" s="20">
        <v>45451.892360999998</v>
      </c>
      <c r="B1909" s="17">
        <v>69.141464999999997</v>
      </c>
      <c r="C1909" s="18"/>
      <c r="D1909" s="19"/>
    </row>
    <row r="1910" spans="1:4" x14ac:dyDescent="0.3">
      <c r="A1910" s="20">
        <v>45451.893056000001</v>
      </c>
      <c r="B1910" s="17">
        <v>68.991418999999993</v>
      </c>
      <c r="C1910" s="18"/>
      <c r="D1910" s="19"/>
    </row>
    <row r="1911" spans="1:4" x14ac:dyDescent="0.3">
      <c r="A1911" s="20">
        <v>45451.893750000003</v>
      </c>
      <c r="B1911" s="17">
        <v>69.175725999999997</v>
      </c>
      <c r="C1911" s="18"/>
      <c r="D1911" s="19"/>
    </row>
    <row r="1912" spans="1:4" x14ac:dyDescent="0.3">
      <c r="A1912" s="20">
        <v>45451.894443999998</v>
      </c>
      <c r="B1912" s="17">
        <v>68.243510000000001</v>
      </c>
      <c r="C1912" s="18"/>
      <c r="D1912" s="19"/>
    </row>
    <row r="1913" spans="1:4" x14ac:dyDescent="0.3">
      <c r="A1913" s="20">
        <v>45451.895139</v>
      </c>
      <c r="B1913" s="17">
        <v>69.180717999999999</v>
      </c>
      <c r="C1913" s="18"/>
      <c r="D1913" s="19"/>
    </row>
    <row r="1914" spans="1:4" x14ac:dyDescent="0.3">
      <c r="A1914" s="20">
        <v>45451.895833000002</v>
      </c>
      <c r="B1914" s="17">
        <v>68.569998999999996</v>
      </c>
      <c r="C1914" s="18"/>
      <c r="D1914" s="19"/>
    </row>
    <row r="1915" spans="1:4" x14ac:dyDescent="0.3">
      <c r="A1915" s="20">
        <v>45451.896527999997</v>
      </c>
      <c r="B1915" s="17">
        <v>68.871531000000004</v>
      </c>
      <c r="C1915" s="18"/>
      <c r="D1915" s="19"/>
    </row>
    <row r="1916" spans="1:4" x14ac:dyDescent="0.3">
      <c r="A1916" s="20">
        <v>45451.897222</v>
      </c>
      <c r="B1916" s="17">
        <v>68.715038000000007</v>
      </c>
      <c r="C1916" s="18"/>
      <c r="D1916" s="19"/>
    </row>
    <row r="1917" spans="1:4" x14ac:dyDescent="0.3">
      <c r="A1917" s="20">
        <v>45451.897917000002</v>
      </c>
      <c r="B1917" s="17">
        <v>68.401471999999998</v>
      </c>
      <c r="C1917" s="18"/>
      <c r="D1917" s="19"/>
    </row>
    <row r="1918" spans="1:4" x14ac:dyDescent="0.3">
      <c r="A1918" s="20">
        <v>45451.898610999997</v>
      </c>
      <c r="B1918" s="17">
        <v>69.426078000000004</v>
      </c>
      <c r="C1918" s="18"/>
      <c r="D1918" s="19"/>
    </row>
    <row r="1919" spans="1:4" x14ac:dyDescent="0.3">
      <c r="A1919" s="20">
        <v>45451.899305999999</v>
      </c>
      <c r="B1919" s="17">
        <v>68.322001</v>
      </c>
      <c r="C1919" s="18"/>
      <c r="D1919" s="19"/>
    </row>
    <row r="1920" spans="1:4" x14ac:dyDescent="0.3">
      <c r="A1920" s="20">
        <v>45451.9</v>
      </c>
      <c r="B1920" s="17">
        <v>68.525469999999999</v>
      </c>
      <c r="C1920" s="18"/>
      <c r="D1920" s="19"/>
    </row>
    <row r="1921" spans="1:4" x14ac:dyDescent="0.3">
      <c r="A1921" s="20">
        <v>45451.900694000004</v>
      </c>
      <c r="B1921" s="17">
        <v>68.293038999999993</v>
      </c>
      <c r="C1921" s="18"/>
      <c r="D1921" s="19"/>
    </row>
    <row r="1922" spans="1:4" x14ac:dyDescent="0.3">
      <c r="A1922" s="20">
        <v>45451.901388999999</v>
      </c>
      <c r="B1922" s="17">
        <v>68.477546000000004</v>
      </c>
      <c r="C1922" s="18"/>
      <c r="D1922" s="19"/>
    </row>
    <row r="1923" spans="1:4" x14ac:dyDescent="0.3">
      <c r="A1923" s="20">
        <v>45451.902083000001</v>
      </c>
      <c r="B1923" s="17">
        <v>69.599630000000005</v>
      </c>
      <c r="C1923" s="18"/>
      <c r="D1923" s="19"/>
    </row>
    <row r="1924" spans="1:4" x14ac:dyDescent="0.3">
      <c r="A1924" s="20">
        <v>45451.902778000003</v>
      </c>
      <c r="B1924" s="17">
        <v>69.231713999999997</v>
      </c>
      <c r="C1924" s="18"/>
      <c r="D1924" s="19"/>
    </row>
    <row r="1925" spans="1:4" x14ac:dyDescent="0.3">
      <c r="A1925" s="20">
        <v>45451.903471999998</v>
      </c>
      <c r="B1925" s="17">
        <v>68.580022999999997</v>
      </c>
      <c r="C1925" s="18"/>
      <c r="D1925" s="19"/>
    </row>
    <row r="1926" spans="1:4" x14ac:dyDescent="0.3">
      <c r="A1926" s="20">
        <v>45451.904167000001</v>
      </c>
      <c r="B1926" s="17">
        <v>68.305042999999998</v>
      </c>
      <c r="C1926" s="18"/>
      <c r="D1926" s="19"/>
    </row>
    <row r="1927" spans="1:4" x14ac:dyDescent="0.3">
      <c r="A1927" s="20">
        <v>45451.904861000003</v>
      </c>
      <c r="B1927" s="17">
        <v>68.550291000000001</v>
      </c>
      <c r="C1927" s="18"/>
      <c r="D1927" s="19"/>
    </row>
    <row r="1928" spans="1:4" x14ac:dyDescent="0.3">
      <c r="A1928" s="20">
        <v>45451.905555999998</v>
      </c>
      <c r="B1928" s="17">
        <v>68.814648000000005</v>
      </c>
      <c r="C1928" s="18"/>
      <c r="D1928" s="19"/>
    </row>
    <row r="1929" spans="1:4" x14ac:dyDescent="0.3">
      <c r="A1929" s="20">
        <v>45451.90625</v>
      </c>
      <c r="B1929" s="17">
        <v>68.431528999999998</v>
      </c>
      <c r="C1929" s="18"/>
      <c r="D1929" s="19"/>
    </row>
    <row r="1930" spans="1:4" x14ac:dyDescent="0.3">
      <c r="A1930" s="20">
        <v>45451.906944000002</v>
      </c>
      <c r="B1930" s="17">
        <v>68.215581</v>
      </c>
      <c r="C1930" s="18"/>
      <c r="D1930" s="19"/>
    </row>
    <row r="1931" spans="1:4" x14ac:dyDescent="0.3">
      <c r="A1931" s="20">
        <v>45451.907638999997</v>
      </c>
      <c r="B1931" s="17">
        <v>68.630172000000002</v>
      </c>
      <c r="C1931" s="18"/>
      <c r="D1931" s="19"/>
    </row>
    <row r="1932" spans="1:4" x14ac:dyDescent="0.3">
      <c r="A1932" s="20">
        <v>45451.908332999999</v>
      </c>
      <c r="B1932" s="17">
        <v>68.260334999999998</v>
      </c>
      <c r="C1932" s="18"/>
      <c r="D1932" s="19"/>
    </row>
    <row r="1933" spans="1:4" x14ac:dyDescent="0.3">
      <c r="A1933" s="20">
        <v>45451.909028000002</v>
      </c>
      <c r="B1933" s="17">
        <v>68.883304999999993</v>
      </c>
      <c r="C1933" s="18"/>
      <c r="D1933" s="19"/>
    </row>
    <row r="1934" spans="1:4" x14ac:dyDescent="0.3">
      <c r="A1934" s="20">
        <v>45451.909721999997</v>
      </c>
      <c r="B1934" s="17">
        <v>68.877211000000003</v>
      </c>
      <c r="C1934" s="18"/>
      <c r="D1934" s="19"/>
    </row>
    <row r="1935" spans="1:4" x14ac:dyDescent="0.3">
      <c r="A1935" s="20">
        <v>45451.910416999999</v>
      </c>
      <c r="B1935" s="17">
        <v>68.340530999999999</v>
      </c>
      <c r="C1935" s="18"/>
      <c r="D1935" s="19"/>
    </row>
    <row r="1936" spans="1:4" x14ac:dyDescent="0.3">
      <c r="A1936" s="20">
        <v>45451.911111000001</v>
      </c>
      <c r="B1936" s="17">
        <v>68.842449999999999</v>
      </c>
      <c r="C1936" s="18"/>
      <c r="D1936" s="19"/>
    </row>
    <row r="1937" spans="1:4" x14ac:dyDescent="0.3">
      <c r="A1937" s="20">
        <v>45451.911805999996</v>
      </c>
      <c r="B1937" s="17">
        <v>68.764696999999998</v>
      </c>
      <c r="C1937" s="18"/>
      <c r="D1937" s="19"/>
    </row>
    <row r="1938" spans="1:4" x14ac:dyDescent="0.3">
      <c r="A1938" s="20">
        <v>45451.912499999999</v>
      </c>
      <c r="B1938" s="17">
        <v>68.676502999999997</v>
      </c>
      <c r="C1938" s="18"/>
      <c r="D1938" s="19"/>
    </row>
    <row r="1939" spans="1:4" x14ac:dyDescent="0.3">
      <c r="A1939" s="20">
        <v>45451.913194000001</v>
      </c>
      <c r="B1939" s="17">
        <v>69.302931000000001</v>
      </c>
      <c r="C1939" s="18"/>
      <c r="D1939" s="19"/>
    </row>
    <row r="1940" spans="1:4" x14ac:dyDescent="0.3">
      <c r="A1940" s="20">
        <v>45451.913889000003</v>
      </c>
      <c r="B1940" s="17">
        <v>68.323097000000004</v>
      </c>
      <c r="C1940" s="18"/>
      <c r="D1940" s="19"/>
    </row>
    <row r="1941" spans="1:4" x14ac:dyDescent="0.3">
      <c r="A1941" s="20">
        <v>45451.914582999998</v>
      </c>
      <c r="B1941" s="17">
        <v>69.011609000000007</v>
      </c>
      <c r="C1941" s="18"/>
      <c r="D1941" s="19"/>
    </row>
    <row r="1942" spans="1:4" x14ac:dyDescent="0.3">
      <c r="A1942" s="20">
        <v>45451.915278</v>
      </c>
      <c r="B1942" s="17">
        <v>68.806991999999994</v>
      </c>
      <c r="C1942" s="18"/>
      <c r="D1942" s="19"/>
    </row>
    <row r="1943" spans="1:4" x14ac:dyDescent="0.3">
      <c r="A1943" s="20">
        <v>45451.915972000003</v>
      </c>
      <c r="B1943" s="17">
        <v>68.797573</v>
      </c>
      <c r="C1943" s="18"/>
      <c r="D1943" s="19"/>
    </row>
    <row r="1944" spans="1:4" x14ac:dyDescent="0.3">
      <c r="A1944" s="20">
        <v>45451.916666999998</v>
      </c>
      <c r="B1944" s="17">
        <v>69.142591999999993</v>
      </c>
      <c r="C1944" s="18"/>
      <c r="D1944" s="19"/>
    </row>
    <row r="1945" spans="1:4" x14ac:dyDescent="0.3">
      <c r="A1945" s="20">
        <v>45451.917361</v>
      </c>
      <c r="B1945" s="17">
        <v>68.670496</v>
      </c>
      <c r="C1945" s="18"/>
      <c r="D1945" s="19"/>
    </row>
    <row r="1946" spans="1:4" x14ac:dyDescent="0.3">
      <c r="A1946" s="20">
        <v>45451.918056000002</v>
      </c>
      <c r="B1946" s="17">
        <v>68.652536999999995</v>
      </c>
      <c r="C1946" s="18"/>
      <c r="D1946" s="19"/>
    </row>
    <row r="1947" spans="1:4" x14ac:dyDescent="0.3">
      <c r="A1947" s="20">
        <v>45451.918749999997</v>
      </c>
      <c r="B1947" s="17">
        <v>68.921885000000003</v>
      </c>
      <c r="C1947" s="18"/>
      <c r="D1947" s="19"/>
    </row>
    <row r="1948" spans="1:4" x14ac:dyDescent="0.3">
      <c r="A1948" s="20">
        <v>45451.919443999999</v>
      </c>
      <c r="B1948" s="17">
        <v>68.372497999999993</v>
      </c>
      <c r="C1948" s="18"/>
      <c r="D1948" s="19"/>
    </row>
    <row r="1949" spans="1:4" x14ac:dyDescent="0.3">
      <c r="A1949" s="20">
        <v>45451.920139000002</v>
      </c>
      <c r="B1949" s="17">
        <v>68.984679</v>
      </c>
      <c r="C1949" s="18"/>
      <c r="D1949" s="19"/>
    </row>
    <row r="1950" spans="1:4" x14ac:dyDescent="0.3">
      <c r="A1950" s="20">
        <v>45451.920832999996</v>
      </c>
      <c r="B1950" s="17">
        <v>68.623956000000007</v>
      </c>
      <c r="C1950" s="18"/>
      <c r="D1950" s="19"/>
    </row>
    <row r="1951" spans="1:4" x14ac:dyDescent="0.3">
      <c r="A1951" s="20">
        <v>45451.921527999999</v>
      </c>
      <c r="B1951" s="17">
        <v>68.445942000000002</v>
      </c>
      <c r="C1951" s="18"/>
      <c r="D1951" s="19"/>
    </row>
    <row r="1952" spans="1:4" x14ac:dyDescent="0.3">
      <c r="A1952" s="20">
        <v>45451.922222000001</v>
      </c>
      <c r="B1952" s="17">
        <v>68.700072000000006</v>
      </c>
      <c r="C1952" s="18"/>
      <c r="D1952" s="19"/>
    </row>
    <row r="1953" spans="1:4" x14ac:dyDescent="0.3">
      <c r="A1953" s="20">
        <v>45451.922917000004</v>
      </c>
      <c r="B1953" s="17">
        <v>68.271769000000006</v>
      </c>
      <c r="C1953" s="18"/>
      <c r="D1953" s="19"/>
    </row>
    <row r="1954" spans="1:4" x14ac:dyDescent="0.3">
      <c r="A1954" s="20">
        <v>45451.923610999998</v>
      </c>
      <c r="B1954" s="17">
        <v>68.674862000000005</v>
      </c>
      <c r="C1954" s="18"/>
      <c r="D1954" s="19"/>
    </row>
    <row r="1955" spans="1:4" x14ac:dyDescent="0.3">
      <c r="A1955" s="20">
        <v>45451.924306000001</v>
      </c>
      <c r="B1955" s="17">
        <v>69.338257999999996</v>
      </c>
      <c r="C1955" s="18"/>
      <c r="D1955" s="19"/>
    </row>
    <row r="1956" spans="1:4" x14ac:dyDescent="0.3">
      <c r="A1956" s="20">
        <v>45451.925000000003</v>
      </c>
      <c r="B1956" s="17">
        <v>69.172093000000004</v>
      </c>
      <c r="C1956" s="18"/>
      <c r="D1956" s="19"/>
    </row>
    <row r="1957" spans="1:4" x14ac:dyDescent="0.3">
      <c r="A1957" s="20">
        <v>45451.925693999998</v>
      </c>
      <c r="B1957" s="17">
        <v>68.672321999999994</v>
      </c>
      <c r="C1957" s="18"/>
      <c r="D1957" s="19"/>
    </row>
    <row r="1958" spans="1:4" x14ac:dyDescent="0.3">
      <c r="A1958" s="20">
        <v>45451.926389</v>
      </c>
      <c r="B1958" s="17">
        <v>68.863393000000002</v>
      </c>
      <c r="C1958" s="18"/>
      <c r="D1958" s="19"/>
    </row>
    <row r="1959" spans="1:4" x14ac:dyDescent="0.3">
      <c r="A1959" s="20">
        <v>45451.927083000002</v>
      </c>
      <c r="B1959" s="17">
        <v>68.899268000000006</v>
      </c>
      <c r="C1959" s="18"/>
      <c r="D1959" s="19"/>
    </row>
    <row r="1960" spans="1:4" x14ac:dyDescent="0.3">
      <c r="A1960" s="20">
        <v>45451.927777999997</v>
      </c>
      <c r="B1960" s="17">
        <v>68.659329</v>
      </c>
      <c r="C1960" s="18"/>
      <c r="D1960" s="19"/>
    </row>
    <row r="1961" spans="1:4" x14ac:dyDescent="0.3">
      <c r="A1961" s="20">
        <v>45451.928472</v>
      </c>
      <c r="B1961" s="17">
        <v>68.489686000000006</v>
      </c>
      <c r="C1961" s="18"/>
      <c r="D1961" s="19"/>
    </row>
    <row r="1962" spans="1:4" x14ac:dyDescent="0.3">
      <c r="A1962" s="20">
        <v>45451.929167000002</v>
      </c>
      <c r="B1962" s="17">
        <v>68.846666999999997</v>
      </c>
      <c r="C1962" s="18"/>
      <c r="D1962" s="19"/>
    </row>
    <row r="1963" spans="1:4" x14ac:dyDescent="0.3">
      <c r="A1963" s="20">
        <v>45451.929860999997</v>
      </c>
      <c r="B1963" s="17">
        <v>68.242354000000006</v>
      </c>
      <c r="C1963" s="18"/>
      <c r="D1963" s="19"/>
    </row>
    <row r="1964" spans="1:4" x14ac:dyDescent="0.3">
      <c r="A1964" s="20">
        <v>45451.930555999999</v>
      </c>
      <c r="B1964" s="17">
        <v>68.521173000000005</v>
      </c>
      <c r="C1964" s="18"/>
      <c r="D1964" s="19"/>
    </row>
    <row r="1965" spans="1:4" x14ac:dyDescent="0.3">
      <c r="A1965" s="20">
        <v>45451.931250000001</v>
      </c>
      <c r="B1965" s="17">
        <v>69.255070000000003</v>
      </c>
      <c r="C1965" s="18"/>
      <c r="D1965" s="19"/>
    </row>
    <row r="1966" spans="1:4" x14ac:dyDescent="0.3">
      <c r="A1966" s="20">
        <v>45451.931944000004</v>
      </c>
      <c r="B1966" s="17">
        <v>68.897250999999997</v>
      </c>
      <c r="C1966" s="18"/>
      <c r="D1966" s="19"/>
    </row>
    <row r="1967" spans="1:4" x14ac:dyDescent="0.3">
      <c r="A1967" s="20">
        <v>45451.932638999999</v>
      </c>
      <c r="B1967" s="17">
        <v>68.783800999999997</v>
      </c>
      <c r="C1967" s="18"/>
      <c r="D1967" s="19"/>
    </row>
    <row r="1968" spans="1:4" x14ac:dyDescent="0.3">
      <c r="A1968" s="20">
        <v>45451.933333000001</v>
      </c>
      <c r="B1968" s="17">
        <v>68.667963999999998</v>
      </c>
      <c r="C1968" s="18"/>
      <c r="D1968" s="19"/>
    </row>
    <row r="1969" spans="1:4" x14ac:dyDescent="0.3">
      <c r="A1969" s="20">
        <v>45451.934028000003</v>
      </c>
      <c r="B1969" s="17">
        <v>68.186668999999995</v>
      </c>
      <c r="C1969" s="18"/>
      <c r="D1969" s="19"/>
    </row>
    <row r="1970" spans="1:4" x14ac:dyDescent="0.3">
      <c r="A1970" s="20">
        <v>45451.934721999998</v>
      </c>
      <c r="B1970" s="17">
        <v>68.824292999999997</v>
      </c>
      <c r="C1970" s="18"/>
      <c r="D1970" s="19"/>
    </row>
    <row r="1971" spans="1:4" x14ac:dyDescent="0.3">
      <c r="A1971" s="20">
        <v>45451.935417000001</v>
      </c>
      <c r="B1971" s="17">
        <v>68.074427</v>
      </c>
      <c r="C1971" s="18"/>
      <c r="D1971" s="19"/>
    </row>
    <row r="1972" spans="1:4" x14ac:dyDescent="0.3">
      <c r="A1972" s="20">
        <v>45451.936111000003</v>
      </c>
      <c r="B1972" s="17">
        <v>68.227355000000003</v>
      </c>
      <c r="C1972" s="18"/>
      <c r="D1972" s="19"/>
    </row>
    <row r="1973" spans="1:4" x14ac:dyDescent="0.3">
      <c r="A1973" s="20">
        <v>45451.936805999998</v>
      </c>
      <c r="B1973" s="17">
        <v>68.574313000000004</v>
      </c>
      <c r="C1973" s="18"/>
      <c r="D1973" s="19"/>
    </row>
    <row r="1974" spans="1:4" x14ac:dyDescent="0.3">
      <c r="A1974" s="20">
        <v>45451.9375</v>
      </c>
      <c r="B1974" s="17">
        <v>68.007079000000004</v>
      </c>
      <c r="C1974" s="18"/>
      <c r="D1974" s="19"/>
    </row>
    <row r="1975" spans="1:4" x14ac:dyDescent="0.3">
      <c r="A1975" s="20">
        <v>45451.938194000002</v>
      </c>
      <c r="B1975" s="17">
        <v>68.929254</v>
      </c>
      <c r="C1975" s="18"/>
      <c r="D1975" s="19"/>
    </row>
    <row r="1976" spans="1:4" x14ac:dyDescent="0.3">
      <c r="A1976" s="20">
        <v>45451.938888999997</v>
      </c>
      <c r="B1976" s="17">
        <v>68.542817999999997</v>
      </c>
      <c r="C1976" s="18"/>
      <c r="D1976" s="19"/>
    </row>
    <row r="1977" spans="1:4" x14ac:dyDescent="0.3">
      <c r="A1977" s="20">
        <v>45451.939582999999</v>
      </c>
      <c r="B1977" s="17">
        <v>68.632157000000007</v>
      </c>
      <c r="C1977" s="18"/>
      <c r="D1977" s="19"/>
    </row>
    <row r="1978" spans="1:4" x14ac:dyDescent="0.3">
      <c r="A1978" s="20">
        <v>45451.940278000002</v>
      </c>
      <c r="B1978" s="17">
        <v>69.090389000000002</v>
      </c>
      <c r="C1978" s="18"/>
      <c r="D1978" s="19"/>
    </row>
    <row r="1979" spans="1:4" x14ac:dyDescent="0.3">
      <c r="A1979" s="20">
        <v>45451.940971999997</v>
      </c>
      <c r="B1979" s="17">
        <v>68.297550999999999</v>
      </c>
      <c r="C1979" s="18"/>
      <c r="D1979" s="19"/>
    </row>
    <row r="1980" spans="1:4" x14ac:dyDescent="0.3">
      <c r="A1980" s="20">
        <v>45451.941666999999</v>
      </c>
      <c r="B1980" s="17">
        <v>68.286201000000005</v>
      </c>
      <c r="C1980" s="18"/>
      <c r="D1980" s="19"/>
    </row>
    <row r="1981" spans="1:4" x14ac:dyDescent="0.3">
      <c r="A1981" s="20">
        <v>45451.942361000001</v>
      </c>
      <c r="B1981" s="17">
        <v>68.092393000000001</v>
      </c>
      <c r="C1981" s="18"/>
      <c r="D1981" s="19"/>
    </row>
    <row r="1982" spans="1:4" x14ac:dyDescent="0.3">
      <c r="A1982" s="20">
        <v>45451.943055999996</v>
      </c>
      <c r="B1982" s="17">
        <v>68.378101000000001</v>
      </c>
      <c r="C1982" s="18"/>
      <c r="D1982" s="19"/>
    </row>
    <row r="1983" spans="1:4" x14ac:dyDescent="0.3">
      <c r="A1983" s="20">
        <v>45451.943749999999</v>
      </c>
      <c r="B1983" s="17">
        <v>68.807181999999997</v>
      </c>
      <c r="C1983" s="18"/>
      <c r="D1983" s="19"/>
    </row>
    <row r="1984" spans="1:4" x14ac:dyDescent="0.3">
      <c r="A1984" s="20">
        <v>45451.944444000001</v>
      </c>
      <c r="B1984" s="17">
        <v>68.211063999999993</v>
      </c>
      <c r="C1984" s="18"/>
      <c r="D1984" s="19"/>
    </row>
    <row r="1985" spans="1:4" x14ac:dyDescent="0.3">
      <c r="A1985" s="20">
        <v>45451.945139000003</v>
      </c>
      <c r="B1985" s="17">
        <v>68.607151999999999</v>
      </c>
      <c r="C1985" s="18"/>
      <c r="D1985" s="19"/>
    </row>
    <row r="1986" spans="1:4" x14ac:dyDescent="0.3">
      <c r="A1986" s="20">
        <v>45451.945832999998</v>
      </c>
      <c r="B1986" s="17">
        <v>68.696301000000005</v>
      </c>
      <c r="C1986" s="18"/>
      <c r="D1986" s="19"/>
    </row>
    <row r="1987" spans="1:4" x14ac:dyDescent="0.3">
      <c r="A1987" s="20">
        <v>45451.946528</v>
      </c>
      <c r="B1987" s="17">
        <v>69.332560999999998</v>
      </c>
      <c r="C1987" s="18"/>
      <c r="D1987" s="19"/>
    </row>
    <row r="1988" spans="1:4" x14ac:dyDescent="0.3">
      <c r="A1988" s="20">
        <v>45451.947222000003</v>
      </c>
      <c r="B1988" s="17">
        <v>68.760946000000004</v>
      </c>
      <c r="C1988" s="18"/>
      <c r="D1988" s="19"/>
    </row>
    <row r="1989" spans="1:4" x14ac:dyDescent="0.3">
      <c r="A1989" s="20">
        <v>45451.947916999998</v>
      </c>
      <c r="B1989" s="17">
        <v>68.958247999999998</v>
      </c>
      <c r="C1989" s="18"/>
      <c r="D1989" s="19"/>
    </row>
    <row r="1990" spans="1:4" x14ac:dyDescent="0.3">
      <c r="A1990" s="20">
        <v>45451.948611</v>
      </c>
      <c r="B1990" s="17">
        <v>68.880497000000005</v>
      </c>
      <c r="C1990" s="18"/>
      <c r="D1990" s="19"/>
    </row>
    <row r="1991" spans="1:4" x14ac:dyDescent="0.3">
      <c r="A1991" s="20">
        <v>45451.949306000002</v>
      </c>
      <c r="B1991" s="17">
        <v>69.100667999999999</v>
      </c>
      <c r="C1991" s="18"/>
      <c r="D1991" s="19"/>
    </row>
    <row r="1992" spans="1:4" x14ac:dyDescent="0.3">
      <c r="A1992" s="20">
        <v>45451.95</v>
      </c>
      <c r="B1992" s="17">
        <v>69.240660000000005</v>
      </c>
      <c r="C1992" s="18"/>
      <c r="D1992" s="19"/>
    </row>
    <row r="1993" spans="1:4" x14ac:dyDescent="0.3">
      <c r="A1993" s="20">
        <v>45451.950693999999</v>
      </c>
      <c r="B1993" s="17">
        <v>68.627358000000001</v>
      </c>
      <c r="C1993" s="18"/>
      <c r="D1993" s="19"/>
    </row>
    <row r="1994" spans="1:4" x14ac:dyDescent="0.3">
      <c r="A1994" s="20">
        <v>45451.951389000002</v>
      </c>
      <c r="B1994" s="17">
        <v>68.501855000000006</v>
      </c>
      <c r="C1994" s="18"/>
      <c r="D1994" s="19"/>
    </row>
    <row r="1995" spans="1:4" x14ac:dyDescent="0.3">
      <c r="A1995" s="20">
        <v>45451.952082999996</v>
      </c>
      <c r="B1995" s="17">
        <v>68.845111000000003</v>
      </c>
      <c r="C1995" s="18"/>
      <c r="D1995" s="19"/>
    </row>
    <row r="1996" spans="1:4" x14ac:dyDescent="0.3">
      <c r="A1996" s="20">
        <v>45451.952777999999</v>
      </c>
      <c r="B1996" s="17">
        <v>68.782309999999995</v>
      </c>
      <c r="C1996" s="18"/>
      <c r="D1996" s="19"/>
    </row>
    <row r="1997" spans="1:4" x14ac:dyDescent="0.3">
      <c r="A1997" s="20">
        <v>45451.953472000001</v>
      </c>
      <c r="B1997" s="17">
        <v>68.732534000000001</v>
      </c>
      <c r="C1997" s="18"/>
      <c r="D1997" s="19"/>
    </row>
    <row r="1998" spans="1:4" x14ac:dyDescent="0.3">
      <c r="A1998" s="20">
        <v>45451.954167000004</v>
      </c>
      <c r="B1998" s="17">
        <v>68.367952000000002</v>
      </c>
      <c r="C1998" s="18"/>
      <c r="D1998" s="19"/>
    </row>
    <row r="1999" spans="1:4" x14ac:dyDescent="0.3">
      <c r="A1999" s="20">
        <v>45451.954860999998</v>
      </c>
      <c r="B1999" s="17">
        <v>68.724609000000001</v>
      </c>
      <c r="C1999" s="18"/>
      <c r="D1999" s="19"/>
    </row>
    <row r="2000" spans="1:4" x14ac:dyDescent="0.3">
      <c r="A2000" s="20">
        <v>45451.955556000001</v>
      </c>
      <c r="B2000" s="17">
        <v>68.461264</v>
      </c>
      <c r="C2000" s="18"/>
      <c r="D2000" s="19"/>
    </row>
    <row r="2001" spans="1:4" x14ac:dyDescent="0.3">
      <c r="A2001" s="20">
        <v>45451.956250000003</v>
      </c>
      <c r="B2001" s="17">
        <v>68.522660000000002</v>
      </c>
      <c r="C2001" s="18"/>
      <c r="D2001" s="19"/>
    </row>
    <row r="2002" spans="1:4" x14ac:dyDescent="0.3">
      <c r="A2002" s="20">
        <v>45451.956943999998</v>
      </c>
      <c r="B2002" s="17">
        <v>68.941408999999993</v>
      </c>
      <c r="C2002" s="18"/>
      <c r="D2002" s="19"/>
    </row>
    <row r="2003" spans="1:4" x14ac:dyDescent="0.3">
      <c r="A2003" s="20">
        <v>45451.957639</v>
      </c>
      <c r="B2003" s="17">
        <v>68.551779999999994</v>
      </c>
      <c r="C2003" s="18"/>
      <c r="D2003" s="19"/>
    </row>
    <row r="2004" spans="1:4" x14ac:dyDescent="0.3">
      <c r="A2004" s="20">
        <v>45451.958333000002</v>
      </c>
      <c r="B2004" s="17">
        <v>68.654694000000006</v>
      </c>
      <c r="C2004" s="18"/>
      <c r="D2004" s="19"/>
    </row>
    <row r="2005" spans="1:4" x14ac:dyDescent="0.3">
      <c r="A2005" s="20">
        <v>45451.959027999997</v>
      </c>
      <c r="B2005" s="17">
        <v>68.434641999999997</v>
      </c>
      <c r="C2005" s="18"/>
      <c r="D2005" s="19"/>
    </row>
    <row r="2006" spans="1:4" x14ac:dyDescent="0.3">
      <c r="A2006" s="20">
        <v>45451.959722</v>
      </c>
      <c r="B2006" s="17">
        <v>68.385467000000006</v>
      </c>
      <c r="C2006" s="18"/>
      <c r="D2006" s="19"/>
    </row>
    <row r="2007" spans="1:4" x14ac:dyDescent="0.3">
      <c r="A2007" s="20">
        <v>45451.960417000002</v>
      </c>
      <c r="B2007" s="17">
        <v>68.398202999999995</v>
      </c>
      <c r="C2007" s="18"/>
      <c r="D2007" s="19"/>
    </row>
    <row r="2008" spans="1:4" x14ac:dyDescent="0.3">
      <c r="A2008" s="20">
        <v>45451.961110999997</v>
      </c>
      <c r="B2008" s="17">
        <v>69.034632999999999</v>
      </c>
      <c r="C2008" s="18"/>
      <c r="D2008" s="19"/>
    </row>
    <row r="2009" spans="1:4" x14ac:dyDescent="0.3">
      <c r="A2009" s="20">
        <v>45451.961805999999</v>
      </c>
      <c r="B2009" s="17">
        <v>68.779392999999999</v>
      </c>
      <c r="C2009" s="18"/>
      <c r="D2009" s="19"/>
    </row>
    <row r="2010" spans="1:4" x14ac:dyDescent="0.3">
      <c r="A2010" s="20">
        <v>45451.962500000001</v>
      </c>
      <c r="B2010" s="17">
        <v>68.169014000000004</v>
      </c>
      <c r="C2010" s="18"/>
      <c r="D2010" s="19"/>
    </row>
    <row r="2011" spans="1:4" x14ac:dyDescent="0.3">
      <c r="A2011" s="20">
        <v>45451.963194000004</v>
      </c>
      <c r="B2011" s="17">
        <v>68.985613000000001</v>
      </c>
      <c r="C2011" s="18"/>
      <c r="D2011" s="19"/>
    </row>
    <row r="2012" spans="1:4" x14ac:dyDescent="0.3">
      <c r="A2012" s="20">
        <v>45451.963888999999</v>
      </c>
      <c r="B2012" s="17">
        <v>68.695116999999996</v>
      </c>
      <c r="C2012" s="18"/>
      <c r="D2012" s="19"/>
    </row>
    <row r="2013" spans="1:4" x14ac:dyDescent="0.3">
      <c r="A2013" s="20">
        <v>45451.964583000001</v>
      </c>
      <c r="B2013" s="17">
        <v>68.821569999999994</v>
      </c>
      <c r="C2013" s="18"/>
      <c r="D2013" s="19"/>
    </row>
    <row r="2014" spans="1:4" x14ac:dyDescent="0.3">
      <c r="A2014" s="20">
        <v>45451.965278000003</v>
      </c>
      <c r="B2014" s="17">
        <v>68.335618999999994</v>
      </c>
      <c r="C2014" s="18"/>
      <c r="D2014" s="19"/>
    </row>
    <row r="2015" spans="1:4" x14ac:dyDescent="0.3">
      <c r="A2015" s="20">
        <v>45451.965971999998</v>
      </c>
      <c r="B2015" s="17">
        <v>69.075590000000005</v>
      </c>
      <c r="C2015" s="18"/>
      <c r="D2015" s="19"/>
    </row>
    <row r="2016" spans="1:4" x14ac:dyDescent="0.3">
      <c r="A2016" s="20">
        <v>45451.966667000001</v>
      </c>
      <c r="B2016" s="17">
        <v>68.723449000000002</v>
      </c>
      <c r="C2016" s="18"/>
      <c r="D2016" s="19"/>
    </row>
    <row r="2017" spans="1:4" x14ac:dyDescent="0.3">
      <c r="A2017" s="20">
        <v>45451.967361000003</v>
      </c>
      <c r="B2017" s="17">
        <v>69.277373999999995</v>
      </c>
      <c r="C2017" s="18"/>
      <c r="D2017" s="19"/>
    </row>
    <row r="2018" spans="1:4" x14ac:dyDescent="0.3">
      <c r="A2018" s="20">
        <v>45451.968055999998</v>
      </c>
      <c r="B2018" s="17">
        <v>68.396035999999995</v>
      </c>
      <c r="C2018" s="18"/>
      <c r="D2018" s="19"/>
    </row>
    <row r="2019" spans="1:4" x14ac:dyDescent="0.3">
      <c r="A2019" s="20">
        <v>45451.96875</v>
      </c>
      <c r="B2019" s="17">
        <v>68.620367999999999</v>
      </c>
      <c r="C2019" s="18"/>
      <c r="D2019" s="19"/>
    </row>
    <row r="2020" spans="1:4" x14ac:dyDescent="0.3">
      <c r="A2020" s="20">
        <v>45451.969444000002</v>
      </c>
      <c r="B2020" s="17">
        <v>68.179174000000003</v>
      </c>
      <c r="C2020" s="18"/>
      <c r="D2020" s="19"/>
    </row>
    <row r="2021" spans="1:4" x14ac:dyDescent="0.3">
      <c r="A2021" s="20">
        <v>45451.970138999997</v>
      </c>
      <c r="B2021" s="17">
        <v>68.735502999999994</v>
      </c>
      <c r="C2021" s="18"/>
      <c r="D2021" s="19"/>
    </row>
    <row r="2022" spans="1:4" x14ac:dyDescent="0.3">
      <c r="A2022" s="20">
        <v>45451.970832999999</v>
      </c>
      <c r="B2022" s="17">
        <v>68.835487000000001</v>
      </c>
      <c r="C2022" s="18"/>
      <c r="D2022" s="19"/>
    </row>
    <row r="2023" spans="1:4" x14ac:dyDescent="0.3">
      <c r="A2023" s="20">
        <v>45451.971528000002</v>
      </c>
      <c r="B2023" s="17">
        <v>68.956491999999997</v>
      </c>
      <c r="C2023" s="18"/>
      <c r="D2023" s="19"/>
    </row>
    <row r="2024" spans="1:4" x14ac:dyDescent="0.3">
      <c r="A2024" s="20">
        <v>45451.972221999997</v>
      </c>
      <c r="B2024" s="17">
        <v>67.941261999999995</v>
      </c>
      <c r="C2024" s="18"/>
      <c r="D2024" s="19"/>
    </row>
    <row r="2025" spans="1:4" x14ac:dyDescent="0.3">
      <c r="A2025" s="20">
        <v>45451.972916999999</v>
      </c>
      <c r="B2025" s="17">
        <v>68.835969000000006</v>
      </c>
      <c r="C2025" s="18"/>
      <c r="D2025" s="19"/>
    </row>
    <row r="2026" spans="1:4" x14ac:dyDescent="0.3">
      <c r="A2026" s="20">
        <v>45451.973611000001</v>
      </c>
      <c r="B2026" s="17">
        <v>68.971305999999998</v>
      </c>
      <c r="C2026" s="18"/>
      <c r="D2026" s="19"/>
    </row>
    <row r="2027" spans="1:4" x14ac:dyDescent="0.3">
      <c r="A2027" s="20">
        <v>45451.974305999996</v>
      </c>
      <c r="B2027" s="17">
        <v>68.664900000000003</v>
      </c>
      <c r="C2027" s="18"/>
      <c r="D2027" s="19"/>
    </row>
    <row r="2028" spans="1:4" x14ac:dyDescent="0.3">
      <c r="A2028" s="20">
        <v>45451.974999999999</v>
      </c>
      <c r="B2028" s="17">
        <v>68.439757999999998</v>
      </c>
      <c r="C2028" s="18"/>
      <c r="D2028" s="19"/>
    </row>
    <row r="2029" spans="1:4" x14ac:dyDescent="0.3">
      <c r="A2029" s="20">
        <v>45451.975694000001</v>
      </c>
      <c r="B2029" s="17">
        <v>68.769288000000003</v>
      </c>
      <c r="C2029" s="18"/>
      <c r="D2029" s="19"/>
    </row>
    <row r="2030" spans="1:4" x14ac:dyDescent="0.3">
      <c r="A2030" s="20">
        <v>45451.976389000003</v>
      </c>
      <c r="B2030" s="17">
        <v>68.689148000000003</v>
      </c>
      <c r="C2030" s="18"/>
      <c r="D2030" s="19"/>
    </row>
    <row r="2031" spans="1:4" x14ac:dyDescent="0.3">
      <c r="A2031" s="20">
        <v>45451.977082999998</v>
      </c>
      <c r="B2031" s="17">
        <v>69.049858999999998</v>
      </c>
      <c r="C2031" s="18"/>
      <c r="D2031" s="19"/>
    </row>
    <row r="2032" spans="1:4" x14ac:dyDescent="0.3">
      <c r="A2032" s="20">
        <v>45451.977778</v>
      </c>
      <c r="B2032" s="17">
        <v>68.651544000000001</v>
      </c>
      <c r="C2032" s="18"/>
      <c r="D2032" s="19"/>
    </row>
    <row r="2033" spans="1:4" x14ac:dyDescent="0.3">
      <c r="A2033" s="20">
        <v>45451.978472000003</v>
      </c>
      <c r="B2033" s="17">
        <v>68.798415000000006</v>
      </c>
      <c r="C2033" s="18"/>
      <c r="D2033" s="19"/>
    </row>
    <row r="2034" spans="1:4" x14ac:dyDescent="0.3">
      <c r="A2034" s="20">
        <v>45451.979166999998</v>
      </c>
      <c r="B2034" s="17">
        <v>68.944840999999997</v>
      </c>
      <c r="C2034" s="18"/>
      <c r="D2034" s="19"/>
    </row>
    <row r="2035" spans="1:4" x14ac:dyDescent="0.3">
      <c r="A2035" s="20">
        <v>45451.979861</v>
      </c>
      <c r="B2035" s="17">
        <v>67.978978999999995</v>
      </c>
      <c r="C2035" s="18"/>
      <c r="D2035" s="19"/>
    </row>
    <row r="2036" spans="1:4" x14ac:dyDescent="0.3">
      <c r="A2036" s="20">
        <v>45451.980556000002</v>
      </c>
      <c r="B2036" s="17">
        <v>68.992412000000002</v>
      </c>
      <c r="C2036" s="18"/>
      <c r="D2036" s="19"/>
    </row>
    <row r="2037" spans="1:4" x14ac:dyDescent="0.3">
      <c r="A2037" s="20">
        <v>45451.981249999997</v>
      </c>
      <c r="B2037" s="17">
        <v>68.621920000000003</v>
      </c>
      <c r="C2037" s="18"/>
      <c r="D2037" s="19"/>
    </row>
    <row r="2038" spans="1:4" x14ac:dyDescent="0.3">
      <c r="A2038" s="20">
        <v>45451.981943999999</v>
      </c>
      <c r="B2038" s="17">
        <v>69.335975000000005</v>
      </c>
      <c r="C2038" s="18"/>
      <c r="D2038" s="19"/>
    </row>
    <row r="2039" spans="1:4" x14ac:dyDescent="0.3">
      <c r="A2039" s="20">
        <v>45451.982639000002</v>
      </c>
      <c r="B2039" s="17">
        <v>68.235471000000004</v>
      </c>
      <c r="C2039" s="18"/>
      <c r="D2039" s="19"/>
    </row>
    <row r="2040" spans="1:4" x14ac:dyDescent="0.3">
      <c r="A2040" s="20">
        <v>45451.983332999996</v>
      </c>
      <c r="B2040" s="17">
        <v>68.808262999999997</v>
      </c>
      <c r="C2040" s="18"/>
      <c r="D2040" s="19"/>
    </row>
    <row r="2041" spans="1:4" x14ac:dyDescent="0.3">
      <c r="A2041" s="20">
        <v>45451.984027999999</v>
      </c>
      <c r="B2041" s="17">
        <v>69.468722999999997</v>
      </c>
      <c r="C2041" s="18"/>
      <c r="D2041" s="19"/>
    </row>
    <row r="2042" spans="1:4" x14ac:dyDescent="0.3">
      <c r="A2042" s="20">
        <v>45451.984722000001</v>
      </c>
      <c r="B2042" s="17">
        <v>68.834001999999998</v>
      </c>
      <c r="C2042" s="18"/>
      <c r="D2042" s="19"/>
    </row>
    <row r="2043" spans="1:4" x14ac:dyDescent="0.3">
      <c r="A2043" s="20">
        <v>45451.985417000004</v>
      </c>
      <c r="B2043" s="17">
        <v>69.002004999999997</v>
      </c>
      <c r="C2043" s="18"/>
      <c r="D2043" s="19"/>
    </row>
    <row r="2044" spans="1:4" x14ac:dyDescent="0.3">
      <c r="A2044" s="20">
        <v>45451.986110999998</v>
      </c>
      <c r="B2044" s="17">
        <v>68.660555000000002</v>
      </c>
      <c r="C2044" s="18"/>
      <c r="D2044" s="19"/>
    </row>
    <row r="2045" spans="1:4" x14ac:dyDescent="0.3">
      <c r="A2045" s="20">
        <v>45451.986806000001</v>
      </c>
      <c r="B2045" s="17">
        <v>68.314096000000006</v>
      </c>
      <c r="C2045" s="18"/>
      <c r="D2045" s="19"/>
    </row>
    <row r="2046" spans="1:4" x14ac:dyDescent="0.3">
      <c r="A2046" s="20">
        <v>45451.987500000003</v>
      </c>
      <c r="B2046" s="17">
        <v>68.937950999999998</v>
      </c>
      <c r="C2046" s="18"/>
      <c r="D2046" s="19"/>
    </row>
    <row r="2047" spans="1:4" x14ac:dyDescent="0.3">
      <c r="A2047" s="20">
        <v>45451.988193999998</v>
      </c>
      <c r="B2047" s="17">
        <v>68.608952000000002</v>
      </c>
      <c r="C2047" s="18"/>
      <c r="D2047" s="19"/>
    </row>
    <row r="2048" spans="1:4" x14ac:dyDescent="0.3">
      <c r="A2048" s="20">
        <v>45451.988889</v>
      </c>
      <c r="B2048" s="17">
        <v>68.296492000000001</v>
      </c>
      <c r="C2048" s="18"/>
      <c r="D2048" s="19"/>
    </row>
    <row r="2049" spans="1:4" x14ac:dyDescent="0.3">
      <c r="A2049" s="20">
        <v>45451.989583000002</v>
      </c>
      <c r="B2049" s="17">
        <v>69.118381999999997</v>
      </c>
      <c r="C2049" s="18"/>
      <c r="D2049" s="19"/>
    </row>
    <row r="2050" spans="1:4" x14ac:dyDescent="0.3">
      <c r="A2050" s="20">
        <v>45451.990277999997</v>
      </c>
      <c r="B2050" s="17">
        <v>68.543111999999994</v>
      </c>
      <c r="C2050" s="18"/>
      <c r="D2050" s="19"/>
    </row>
    <row r="2051" spans="1:4" x14ac:dyDescent="0.3">
      <c r="A2051" s="20">
        <v>45451.990972</v>
      </c>
      <c r="B2051" s="17">
        <v>68.520303999999996</v>
      </c>
      <c r="C2051" s="18"/>
      <c r="D2051" s="19"/>
    </row>
    <row r="2052" spans="1:4" x14ac:dyDescent="0.3">
      <c r="A2052" s="20">
        <v>45451.991667000002</v>
      </c>
      <c r="B2052" s="17">
        <v>68.923883000000004</v>
      </c>
      <c r="C2052" s="18"/>
      <c r="D2052" s="19"/>
    </row>
    <row r="2053" spans="1:4" x14ac:dyDescent="0.3">
      <c r="A2053" s="20">
        <v>45451.992360999997</v>
      </c>
      <c r="B2053" s="17">
        <v>68.571099000000004</v>
      </c>
      <c r="C2053" s="18"/>
      <c r="D2053" s="19"/>
    </row>
    <row r="2054" spans="1:4" x14ac:dyDescent="0.3">
      <c r="A2054" s="20">
        <v>45451.993055999999</v>
      </c>
      <c r="B2054" s="17">
        <v>69.114912000000004</v>
      </c>
      <c r="C2054" s="18"/>
      <c r="D2054" s="19"/>
    </row>
    <row r="2055" spans="1:4" x14ac:dyDescent="0.3">
      <c r="A2055" s="20">
        <v>45451.993750000001</v>
      </c>
      <c r="B2055" s="17">
        <v>68.815253999999996</v>
      </c>
      <c r="C2055" s="18"/>
      <c r="D2055" s="19"/>
    </row>
    <row r="2056" spans="1:4" x14ac:dyDescent="0.3">
      <c r="A2056" s="20">
        <v>45451.994444000004</v>
      </c>
      <c r="B2056" s="17">
        <v>68.791719999999998</v>
      </c>
      <c r="C2056" s="18"/>
      <c r="D2056" s="19"/>
    </row>
    <row r="2057" spans="1:4" x14ac:dyDescent="0.3">
      <c r="A2057" s="20">
        <v>45451.995138999999</v>
      </c>
      <c r="B2057" s="17">
        <v>68.384237999999996</v>
      </c>
      <c r="C2057" s="18"/>
      <c r="D2057" s="19"/>
    </row>
    <row r="2058" spans="1:4" x14ac:dyDescent="0.3">
      <c r="A2058" s="20">
        <v>45451.995833000001</v>
      </c>
      <c r="B2058" s="17">
        <v>68.756692999999999</v>
      </c>
      <c r="C2058" s="18"/>
      <c r="D2058" s="19"/>
    </row>
    <row r="2059" spans="1:4" x14ac:dyDescent="0.3">
      <c r="A2059" s="20">
        <v>45451.996528000003</v>
      </c>
      <c r="B2059" s="17">
        <v>69.021438000000003</v>
      </c>
      <c r="C2059" s="18"/>
      <c r="D2059" s="19"/>
    </row>
    <row r="2060" spans="1:4" x14ac:dyDescent="0.3">
      <c r="A2060" s="20">
        <v>45451.997221999998</v>
      </c>
      <c r="B2060" s="17">
        <v>69.068164999999993</v>
      </c>
      <c r="C2060" s="18"/>
      <c r="D2060" s="19"/>
    </row>
    <row r="2061" spans="1:4" x14ac:dyDescent="0.3">
      <c r="A2061" s="20">
        <v>45451.997917000001</v>
      </c>
      <c r="B2061" s="17">
        <v>68.901942000000005</v>
      </c>
      <c r="C2061" s="18"/>
      <c r="D2061" s="19"/>
    </row>
    <row r="2062" spans="1:4" x14ac:dyDescent="0.3">
      <c r="A2062" s="20">
        <v>45451.998611000003</v>
      </c>
      <c r="B2062" s="17">
        <v>68.382827000000006</v>
      </c>
      <c r="C2062" s="18"/>
      <c r="D2062" s="19"/>
    </row>
    <row r="2063" spans="1:4" x14ac:dyDescent="0.3">
      <c r="A2063" s="20">
        <v>45451.999305999998</v>
      </c>
      <c r="B2063" s="17">
        <v>69.059537000000006</v>
      </c>
      <c r="C2063" s="18"/>
      <c r="D2063" s="19"/>
    </row>
    <row r="2064" spans="1:4" x14ac:dyDescent="0.3">
      <c r="A2064" s="20">
        <v>45452</v>
      </c>
      <c r="B2064" s="17">
        <v>68.804648</v>
      </c>
      <c r="C2064" s="18"/>
      <c r="D2064" s="19"/>
    </row>
    <row r="2065" spans="1:4" x14ac:dyDescent="0.3">
      <c r="A2065" s="20">
        <v>45452.000694000002</v>
      </c>
      <c r="B2065" s="17">
        <v>68.931607999999997</v>
      </c>
      <c r="C2065" s="18"/>
      <c r="D2065" s="19"/>
    </row>
    <row r="2066" spans="1:4" x14ac:dyDescent="0.3">
      <c r="A2066" s="20">
        <v>45452.001388999997</v>
      </c>
      <c r="B2066" s="17">
        <v>68.785341000000003</v>
      </c>
      <c r="C2066" s="18"/>
      <c r="D2066" s="19"/>
    </row>
    <row r="2067" spans="1:4" x14ac:dyDescent="0.3">
      <c r="A2067" s="20">
        <v>45452.002082999999</v>
      </c>
      <c r="B2067" s="17">
        <v>68.47766</v>
      </c>
      <c r="C2067" s="18"/>
      <c r="D2067" s="19"/>
    </row>
    <row r="2068" spans="1:4" x14ac:dyDescent="0.3">
      <c r="A2068" s="20">
        <v>45452.002778000002</v>
      </c>
      <c r="B2068" s="17">
        <v>69.168598000000003</v>
      </c>
      <c r="C2068" s="18"/>
      <c r="D2068" s="19"/>
    </row>
    <row r="2069" spans="1:4" x14ac:dyDescent="0.3">
      <c r="A2069" s="20">
        <v>45452.003471999997</v>
      </c>
      <c r="B2069" s="17">
        <v>68.972538</v>
      </c>
      <c r="C2069" s="18"/>
      <c r="D2069" s="19"/>
    </row>
    <row r="2070" spans="1:4" x14ac:dyDescent="0.3">
      <c r="A2070" s="20">
        <v>45452.004166999999</v>
      </c>
      <c r="B2070" s="17">
        <v>68.939910999999995</v>
      </c>
      <c r="C2070" s="18"/>
      <c r="D2070" s="19"/>
    </row>
    <row r="2071" spans="1:4" x14ac:dyDescent="0.3">
      <c r="A2071" s="20">
        <v>45452.004861000001</v>
      </c>
      <c r="B2071" s="17">
        <v>69.317672999999999</v>
      </c>
      <c r="C2071" s="18"/>
      <c r="D2071" s="19"/>
    </row>
    <row r="2072" spans="1:4" x14ac:dyDescent="0.3">
      <c r="A2072" s="20">
        <v>45452.005555999996</v>
      </c>
      <c r="B2072" s="17">
        <v>69.176462999999998</v>
      </c>
      <c r="C2072" s="18"/>
      <c r="D2072" s="19"/>
    </row>
    <row r="2073" spans="1:4" x14ac:dyDescent="0.3">
      <c r="A2073" s="20">
        <v>45452.006249999999</v>
      </c>
      <c r="B2073" s="17">
        <v>68.974918000000002</v>
      </c>
      <c r="C2073" s="18"/>
      <c r="D2073" s="19"/>
    </row>
    <row r="2074" spans="1:4" x14ac:dyDescent="0.3">
      <c r="A2074" s="20">
        <v>45452.006944000001</v>
      </c>
      <c r="B2074" s="17">
        <v>69.186505999999994</v>
      </c>
      <c r="C2074" s="18"/>
      <c r="D2074" s="19"/>
    </row>
    <row r="2075" spans="1:4" x14ac:dyDescent="0.3">
      <c r="A2075" s="20">
        <v>45452.007639000003</v>
      </c>
      <c r="B2075" s="17">
        <v>68.471915999999993</v>
      </c>
      <c r="C2075" s="18"/>
      <c r="D2075" s="19"/>
    </row>
    <row r="2076" spans="1:4" x14ac:dyDescent="0.3">
      <c r="A2076" s="20">
        <v>45452.008332999998</v>
      </c>
      <c r="B2076" s="17">
        <v>69.472139999999996</v>
      </c>
      <c r="C2076" s="18"/>
      <c r="D2076" s="19"/>
    </row>
    <row r="2077" spans="1:4" x14ac:dyDescent="0.3">
      <c r="A2077" s="20">
        <v>45452.009028</v>
      </c>
      <c r="B2077" s="17">
        <v>69.402884999999998</v>
      </c>
      <c r="C2077" s="18"/>
      <c r="D2077" s="19"/>
    </row>
    <row r="2078" spans="1:4" x14ac:dyDescent="0.3">
      <c r="A2078" s="20">
        <v>45452.009722000003</v>
      </c>
      <c r="B2078" s="17">
        <v>68.849984000000006</v>
      </c>
      <c r="C2078" s="18"/>
      <c r="D2078" s="19"/>
    </row>
    <row r="2079" spans="1:4" x14ac:dyDescent="0.3">
      <c r="A2079" s="20">
        <v>45452.010416999998</v>
      </c>
      <c r="B2079" s="17">
        <v>69.125133000000005</v>
      </c>
      <c r="C2079" s="18"/>
      <c r="D2079" s="19"/>
    </row>
    <row r="2080" spans="1:4" x14ac:dyDescent="0.3">
      <c r="A2080" s="20">
        <v>45452.011111</v>
      </c>
      <c r="B2080" s="17">
        <v>68.505278000000004</v>
      </c>
      <c r="C2080" s="18"/>
      <c r="D2080" s="19"/>
    </row>
    <row r="2081" spans="1:4" x14ac:dyDescent="0.3">
      <c r="A2081" s="20">
        <v>45452.011806000002</v>
      </c>
      <c r="B2081" s="17">
        <v>68.458737999999997</v>
      </c>
      <c r="C2081" s="18"/>
      <c r="D2081" s="19"/>
    </row>
    <row r="2082" spans="1:4" x14ac:dyDescent="0.3">
      <c r="A2082" s="20">
        <v>45452.012499999997</v>
      </c>
      <c r="B2082" s="17">
        <v>69.159805000000006</v>
      </c>
      <c r="C2082" s="18"/>
      <c r="D2082" s="19"/>
    </row>
    <row r="2083" spans="1:4" x14ac:dyDescent="0.3">
      <c r="A2083" s="20">
        <v>45452.013193999999</v>
      </c>
      <c r="B2083" s="17">
        <v>68.455127000000005</v>
      </c>
      <c r="C2083" s="18"/>
      <c r="D2083" s="19"/>
    </row>
    <row r="2084" spans="1:4" x14ac:dyDescent="0.3">
      <c r="A2084" s="20">
        <v>45452.013889000002</v>
      </c>
      <c r="B2084" s="17">
        <v>69.127855999999994</v>
      </c>
      <c r="C2084" s="18"/>
      <c r="D2084" s="19"/>
    </row>
    <row r="2085" spans="1:4" x14ac:dyDescent="0.3">
      <c r="A2085" s="20">
        <v>45452.014582999996</v>
      </c>
      <c r="B2085" s="17">
        <v>68.757223999999994</v>
      </c>
      <c r="C2085" s="18"/>
      <c r="D2085" s="19"/>
    </row>
    <row r="2086" spans="1:4" x14ac:dyDescent="0.3">
      <c r="A2086" s="20">
        <v>45452.015277999999</v>
      </c>
      <c r="B2086" s="17">
        <v>69.065447000000006</v>
      </c>
      <c r="C2086" s="18"/>
      <c r="D2086" s="19"/>
    </row>
    <row r="2087" spans="1:4" x14ac:dyDescent="0.3">
      <c r="A2087" s="20">
        <v>45452.015972000001</v>
      </c>
      <c r="B2087" s="17">
        <v>68.778278999999998</v>
      </c>
      <c r="C2087" s="18"/>
      <c r="D2087" s="19"/>
    </row>
    <row r="2088" spans="1:4" x14ac:dyDescent="0.3">
      <c r="A2088" s="20">
        <v>45452.016667000004</v>
      </c>
      <c r="B2088" s="17">
        <v>68.226664999999997</v>
      </c>
      <c r="C2088" s="18"/>
      <c r="D2088" s="19"/>
    </row>
    <row r="2089" spans="1:4" x14ac:dyDescent="0.3">
      <c r="A2089" s="20">
        <v>45452.017360999998</v>
      </c>
      <c r="B2089" s="17">
        <v>69.279092000000006</v>
      </c>
      <c r="C2089" s="18"/>
      <c r="D2089" s="19"/>
    </row>
    <row r="2090" spans="1:4" x14ac:dyDescent="0.3">
      <c r="A2090" s="20">
        <v>45452.018056000001</v>
      </c>
      <c r="B2090" s="17">
        <v>69.313546000000002</v>
      </c>
      <c r="C2090" s="18"/>
      <c r="D2090" s="19"/>
    </row>
    <row r="2091" spans="1:4" x14ac:dyDescent="0.3">
      <c r="A2091" s="20">
        <v>45452.018750000003</v>
      </c>
      <c r="B2091" s="17">
        <v>69.442097000000004</v>
      </c>
      <c r="C2091" s="18"/>
      <c r="D2091" s="19"/>
    </row>
    <row r="2092" spans="1:4" x14ac:dyDescent="0.3">
      <c r="A2092" s="20">
        <v>45452.019443999998</v>
      </c>
      <c r="B2092" s="17">
        <v>69.638264000000007</v>
      </c>
      <c r="C2092" s="18"/>
      <c r="D2092" s="19"/>
    </row>
    <row r="2093" spans="1:4" x14ac:dyDescent="0.3">
      <c r="A2093" s="20">
        <v>45452.020139</v>
      </c>
      <c r="B2093" s="17">
        <v>68.898532000000003</v>
      </c>
      <c r="C2093" s="18"/>
      <c r="D2093" s="19"/>
    </row>
    <row r="2094" spans="1:4" x14ac:dyDescent="0.3">
      <c r="A2094" s="20">
        <v>45452.020833000002</v>
      </c>
      <c r="B2094" s="17">
        <v>68.982275000000001</v>
      </c>
      <c r="C2094" s="18"/>
      <c r="D2094" s="19"/>
    </row>
    <row r="2095" spans="1:4" x14ac:dyDescent="0.3">
      <c r="A2095" s="20">
        <v>45452.021527999997</v>
      </c>
      <c r="B2095" s="17">
        <v>68.349838000000005</v>
      </c>
      <c r="C2095" s="18"/>
      <c r="D2095" s="19"/>
    </row>
    <row r="2096" spans="1:4" x14ac:dyDescent="0.3">
      <c r="A2096" s="20">
        <v>45452.022222</v>
      </c>
      <c r="B2096" s="17">
        <v>68.676835999999994</v>
      </c>
      <c r="C2096" s="18"/>
      <c r="D2096" s="19"/>
    </row>
    <row r="2097" spans="1:4" x14ac:dyDescent="0.3">
      <c r="A2097" s="20">
        <v>45452.022917000002</v>
      </c>
      <c r="B2097" s="17">
        <v>68.620662999999993</v>
      </c>
      <c r="C2097" s="18"/>
      <c r="D2097" s="19"/>
    </row>
    <row r="2098" spans="1:4" x14ac:dyDescent="0.3">
      <c r="A2098" s="20">
        <v>45452.023610999997</v>
      </c>
      <c r="B2098" s="17">
        <v>68.688759000000005</v>
      </c>
      <c r="C2098" s="18"/>
      <c r="D2098" s="19"/>
    </row>
    <row r="2099" spans="1:4" x14ac:dyDescent="0.3">
      <c r="A2099" s="20">
        <v>45452.024305999999</v>
      </c>
      <c r="B2099" s="17">
        <v>68.586191999999997</v>
      </c>
      <c r="C2099" s="18"/>
      <c r="D2099" s="19"/>
    </row>
    <row r="2100" spans="1:4" x14ac:dyDescent="0.3">
      <c r="A2100" s="20">
        <v>45452.025000000001</v>
      </c>
      <c r="B2100" s="17">
        <v>68.744298000000001</v>
      </c>
      <c r="C2100" s="18"/>
      <c r="D2100" s="19"/>
    </row>
    <row r="2101" spans="1:4" x14ac:dyDescent="0.3">
      <c r="A2101" s="20">
        <v>45452.025694000004</v>
      </c>
      <c r="B2101" s="17">
        <v>68.998669000000007</v>
      </c>
      <c r="C2101" s="18"/>
      <c r="D2101" s="19"/>
    </row>
    <row r="2102" spans="1:4" x14ac:dyDescent="0.3">
      <c r="A2102" s="20">
        <v>45452.026388999999</v>
      </c>
      <c r="B2102" s="17">
        <v>68.874613999999994</v>
      </c>
      <c r="C2102" s="18"/>
      <c r="D2102" s="19"/>
    </row>
    <row r="2103" spans="1:4" x14ac:dyDescent="0.3">
      <c r="A2103" s="20">
        <v>45452.027083000001</v>
      </c>
      <c r="B2103" s="17">
        <v>69.215570999999997</v>
      </c>
      <c r="C2103" s="18"/>
      <c r="D2103" s="19"/>
    </row>
    <row r="2104" spans="1:4" x14ac:dyDescent="0.3">
      <c r="A2104" s="20">
        <v>45452.027778000003</v>
      </c>
      <c r="B2104" s="17">
        <v>68.888077999999993</v>
      </c>
      <c r="C2104" s="18"/>
      <c r="D2104" s="19"/>
    </row>
    <row r="2105" spans="1:4" x14ac:dyDescent="0.3">
      <c r="A2105" s="20">
        <v>45452.028471999998</v>
      </c>
      <c r="B2105" s="17">
        <v>68.728949999999998</v>
      </c>
      <c r="C2105" s="18"/>
      <c r="D2105" s="19"/>
    </row>
    <row r="2106" spans="1:4" x14ac:dyDescent="0.3">
      <c r="A2106" s="20">
        <v>45452.029167000001</v>
      </c>
      <c r="B2106" s="17">
        <v>68.877771999999993</v>
      </c>
      <c r="C2106" s="18"/>
      <c r="D2106" s="19"/>
    </row>
    <row r="2107" spans="1:4" x14ac:dyDescent="0.3">
      <c r="A2107" s="20">
        <v>45452.029861000003</v>
      </c>
      <c r="B2107" s="17">
        <v>68.396592999999996</v>
      </c>
      <c r="C2107" s="18"/>
      <c r="D2107" s="19"/>
    </row>
    <row r="2108" spans="1:4" x14ac:dyDescent="0.3">
      <c r="A2108" s="20">
        <v>45452.030555999998</v>
      </c>
      <c r="B2108" s="17">
        <v>68.605889000000005</v>
      </c>
      <c r="C2108" s="18"/>
      <c r="D2108" s="19"/>
    </row>
    <row r="2109" spans="1:4" x14ac:dyDescent="0.3">
      <c r="A2109" s="20">
        <v>45452.03125</v>
      </c>
      <c r="B2109" s="17">
        <v>68.521743000000001</v>
      </c>
      <c r="C2109" s="18"/>
      <c r="D2109" s="19"/>
    </row>
    <row r="2110" spans="1:4" x14ac:dyDescent="0.3">
      <c r="A2110" s="20">
        <v>45452.031944000002</v>
      </c>
      <c r="B2110" s="17">
        <v>69.109138000000002</v>
      </c>
      <c r="C2110" s="18"/>
      <c r="D2110" s="19"/>
    </row>
    <row r="2111" spans="1:4" x14ac:dyDescent="0.3">
      <c r="A2111" s="20">
        <v>45452.032638999997</v>
      </c>
      <c r="B2111" s="17">
        <v>69.094284999999999</v>
      </c>
      <c r="C2111" s="18"/>
      <c r="D2111" s="19"/>
    </row>
    <row r="2112" spans="1:4" x14ac:dyDescent="0.3">
      <c r="A2112" s="20">
        <v>45452.033332999999</v>
      </c>
      <c r="B2112" s="17">
        <v>68.688731000000004</v>
      </c>
      <c r="C2112" s="18"/>
      <c r="D2112" s="19"/>
    </row>
    <row r="2113" spans="1:4" x14ac:dyDescent="0.3">
      <c r="A2113" s="20">
        <v>45452.034028000002</v>
      </c>
      <c r="B2113" s="17">
        <v>68.869560000000007</v>
      </c>
      <c r="C2113" s="18"/>
      <c r="D2113" s="19"/>
    </row>
    <row r="2114" spans="1:4" x14ac:dyDescent="0.3">
      <c r="A2114" s="20">
        <v>45452.034721999997</v>
      </c>
      <c r="B2114" s="17">
        <v>68.969196999999994</v>
      </c>
      <c r="C2114" s="18"/>
      <c r="D2114" s="19"/>
    </row>
    <row r="2115" spans="1:4" x14ac:dyDescent="0.3">
      <c r="A2115" s="20">
        <v>45452.035416999999</v>
      </c>
      <c r="B2115" s="17">
        <v>68.968356999999997</v>
      </c>
      <c r="C2115" s="18"/>
      <c r="D2115" s="19"/>
    </row>
    <row r="2116" spans="1:4" x14ac:dyDescent="0.3">
      <c r="A2116" s="20">
        <v>45452.036111000001</v>
      </c>
      <c r="B2116" s="17">
        <v>69.155822000000001</v>
      </c>
      <c r="C2116" s="18"/>
      <c r="D2116" s="19"/>
    </row>
    <row r="2117" spans="1:4" x14ac:dyDescent="0.3">
      <c r="A2117" s="20">
        <v>45452.036805999996</v>
      </c>
      <c r="B2117" s="17">
        <v>68.815753999999998</v>
      </c>
      <c r="C2117" s="18"/>
      <c r="D2117" s="19"/>
    </row>
    <row r="2118" spans="1:4" x14ac:dyDescent="0.3">
      <c r="A2118" s="20">
        <v>45452.037499999999</v>
      </c>
      <c r="B2118" s="17">
        <v>69.322192999999999</v>
      </c>
      <c r="C2118" s="18"/>
      <c r="D2118" s="19"/>
    </row>
    <row r="2119" spans="1:4" x14ac:dyDescent="0.3">
      <c r="A2119" s="20">
        <v>45452.038194000001</v>
      </c>
      <c r="B2119" s="17">
        <v>69.064780999999996</v>
      </c>
      <c r="C2119" s="18"/>
      <c r="D2119" s="19"/>
    </row>
    <row r="2120" spans="1:4" x14ac:dyDescent="0.3">
      <c r="A2120" s="20">
        <v>45452.038889000003</v>
      </c>
      <c r="B2120" s="17">
        <v>68.899130999999997</v>
      </c>
      <c r="C2120" s="18"/>
      <c r="D2120" s="19"/>
    </row>
    <row r="2121" spans="1:4" x14ac:dyDescent="0.3">
      <c r="A2121" s="20">
        <v>45452.039582999998</v>
      </c>
      <c r="B2121" s="17">
        <v>68.865092000000004</v>
      </c>
      <c r="C2121" s="18"/>
      <c r="D2121" s="19"/>
    </row>
    <row r="2122" spans="1:4" x14ac:dyDescent="0.3">
      <c r="A2122" s="20">
        <v>45452.040278</v>
      </c>
      <c r="B2122" s="17">
        <v>68.937920000000005</v>
      </c>
      <c r="C2122" s="18"/>
      <c r="D2122" s="19"/>
    </row>
    <row r="2123" spans="1:4" x14ac:dyDescent="0.3">
      <c r="A2123" s="20">
        <v>45452.040972000003</v>
      </c>
      <c r="B2123" s="17">
        <v>68.079808</v>
      </c>
      <c r="C2123" s="18"/>
      <c r="D2123" s="19"/>
    </row>
    <row r="2124" spans="1:4" x14ac:dyDescent="0.3">
      <c r="A2124" s="20">
        <v>45452.041666999998</v>
      </c>
      <c r="B2124" s="17">
        <v>69.004473000000004</v>
      </c>
      <c r="C2124" s="18"/>
      <c r="D2124" s="19"/>
    </row>
    <row r="2125" spans="1:4" x14ac:dyDescent="0.3">
      <c r="A2125" s="20">
        <v>45452.042361</v>
      </c>
      <c r="B2125" s="17">
        <v>68.886532000000003</v>
      </c>
      <c r="C2125" s="18"/>
      <c r="D2125" s="19"/>
    </row>
    <row r="2126" spans="1:4" x14ac:dyDescent="0.3">
      <c r="A2126" s="20">
        <v>45452.043056000002</v>
      </c>
      <c r="B2126" s="17">
        <v>68.548697000000004</v>
      </c>
      <c r="C2126" s="18"/>
      <c r="D2126" s="19"/>
    </row>
    <row r="2127" spans="1:4" x14ac:dyDescent="0.3">
      <c r="A2127" s="20">
        <v>45452.043749999997</v>
      </c>
      <c r="B2127" s="17">
        <v>68.744933000000003</v>
      </c>
      <c r="C2127" s="18"/>
      <c r="D2127" s="19"/>
    </row>
    <row r="2128" spans="1:4" x14ac:dyDescent="0.3">
      <c r="A2128" s="20">
        <v>45452.044443999999</v>
      </c>
      <c r="B2128" s="17">
        <v>68.852952999999999</v>
      </c>
      <c r="C2128" s="18"/>
      <c r="D2128" s="19"/>
    </row>
    <row r="2129" spans="1:4" x14ac:dyDescent="0.3">
      <c r="A2129" s="20">
        <v>45452.045139000002</v>
      </c>
      <c r="B2129" s="17">
        <v>69.204136000000005</v>
      </c>
      <c r="C2129" s="18"/>
      <c r="D2129" s="19"/>
    </row>
    <row r="2130" spans="1:4" x14ac:dyDescent="0.3">
      <c r="A2130" s="20">
        <v>45452.045832999996</v>
      </c>
      <c r="B2130" s="17">
        <v>69.221311999999998</v>
      </c>
      <c r="C2130" s="18"/>
      <c r="D2130" s="19"/>
    </row>
    <row r="2131" spans="1:4" x14ac:dyDescent="0.3">
      <c r="A2131" s="20">
        <v>45452.046527999999</v>
      </c>
      <c r="B2131" s="17">
        <v>68.558265000000006</v>
      </c>
      <c r="C2131" s="18"/>
      <c r="D2131" s="19"/>
    </row>
    <row r="2132" spans="1:4" x14ac:dyDescent="0.3">
      <c r="A2132" s="20">
        <v>45452.047222000001</v>
      </c>
      <c r="B2132" s="17">
        <v>69.377826999999996</v>
      </c>
      <c r="C2132" s="18"/>
      <c r="D2132" s="19"/>
    </row>
    <row r="2133" spans="1:4" x14ac:dyDescent="0.3">
      <c r="A2133" s="20">
        <v>45452.047917000004</v>
      </c>
      <c r="B2133" s="17">
        <v>68.847309999999993</v>
      </c>
      <c r="C2133" s="18"/>
      <c r="D2133" s="19"/>
    </row>
    <row r="2134" spans="1:4" x14ac:dyDescent="0.3">
      <c r="A2134" s="20">
        <v>45452.048610999998</v>
      </c>
      <c r="B2134" s="17">
        <v>68.361891</v>
      </c>
      <c r="C2134" s="18"/>
      <c r="D2134" s="19"/>
    </row>
    <row r="2135" spans="1:4" x14ac:dyDescent="0.3">
      <c r="A2135" s="20">
        <v>45452.049306000001</v>
      </c>
      <c r="B2135" s="17">
        <v>69.045742000000004</v>
      </c>
      <c r="C2135" s="18"/>
      <c r="D2135" s="19"/>
    </row>
    <row r="2136" spans="1:4" x14ac:dyDescent="0.3">
      <c r="A2136" s="20">
        <v>45452.05</v>
      </c>
      <c r="B2136" s="17">
        <v>68.557080999999997</v>
      </c>
      <c r="C2136" s="18"/>
      <c r="D2136" s="19"/>
    </row>
    <row r="2137" spans="1:4" x14ac:dyDescent="0.3">
      <c r="A2137" s="20">
        <v>45452.050693999998</v>
      </c>
      <c r="B2137" s="17">
        <v>69.089806999999993</v>
      </c>
      <c r="C2137" s="18"/>
      <c r="D2137" s="19"/>
    </row>
    <row r="2138" spans="1:4" x14ac:dyDescent="0.3">
      <c r="A2138" s="20">
        <v>45452.051389</v>
      </c>
      <c r="B2138" s="17">
        <v>68.626593999999997</v>
      </c>
      <c r="C2138" s="18"/>
      <c r="D2138" s="19"/>
    </row>
    <row r="2139" spans="1:4" x14ac:dyDescent="0.3">
      <c r="A2139" s="20">
        <v>45452.052083000002</v>
      </c>
      <c r="B2139" s="17">
        <v>68.486920999999995</v>
      </c>
      <c r="C2139" s="18"/>
      <c r="D2139" s="19"/>
    </row>
    <row r="2140" spans="1:4" x14ac:dyDescent="0.3">
      <c r="A2140" s="20">
        <v>45452.052777999997</v>
      </c>
      <c r="B2140" s="17">
        <v>68.520256000000003</v>
      </c>
      <c r="C2140" s="18"/>
      <c r="D2140" s="19"/>
    </row>
    <row r="2141" spans="1:4" x14ac:dyDescent="0.3">
      <c r="A2141" s="20">
        <v>45452.053472</v>
      </c>
      <c r="B2141" s="17">
        <v>68.962858999999995</v>
      </c>
      <c r="C2141" s="18"/>
      <c r="D2141" s="19"/>
    </row>
    <row r="2142" spans="1:4" x14ac:dyDescent="0.3">
      <c r="A2142" s="20">
        <v>45452.054167000002</v>
      </c>
      <c r="B2142" s="17">
        <v>68.489457000000002</v>
      </c>
      <c r="C2142" s="18"/>
      <c r="D2142" s="19"/>
    </row>
    <row r="2143" spans="1:4" x14ac:dyDescent="0.3">
      <c r="A2143" s="20">
        <v>45452.054860999997</v>
      </c>
      <c r="B2143" s="17">
        <v>68.941582999999994</v>
      </c>
      <c r="C2143" s="18"/>
      <c r="D2143" s="19"/>
    </row>
    <row r="2144" spans="1:4" x14ac:dyDescent="0.3">
      <c r="A2144" s="20">
        <v>45452.055555999999</v>
      </c>
      <c r="B2144" s="17">
        <v>69.289420000000007</v>
      </c>
      <c r="C2144" s="18"/>
      <c r="D2144" s="19"/>
    </row>
    <row r="2145" spans="1:4" x14ac:dyDescent="0.3">
      <c r="A2145" s="20">
        <v>45452.056250000001</v>
      </c>
      <c r="B2145" s="17">
        <v>68.952870000000004</v>
      </c>
      <c r="C2145" s="18"/>
      <c r="D2145" s="19"/>
    </row>
    <row r="2146" spans="1:4" x14ac:dyDescent="0.3">
      <c r="A2146" s="20">
        <v>45452.056944000004</v>
      </c>
      <c r="B2146" s="17">
        <v>69.491927000000004</v>
      </c>
      <c r="C2146" s="18"/>
      <c r="D2146" s="19"/>
    </row>
    <row r="2147" spans="1:4" x14ac:dyDescent="0.3">
      <c r="A2147" s="20">
        <v>45452.057638999999</v>
      </c>
      <c r="B2147" s="17">
        <v>68.779280999999997</v>
      </c>
      <c r="C2147" s="18"/>
      <c r="D2147" s="19"/>
    </row>
    <row r="2148" spans="1:4" x14ac:dyDescent="0.3">
      <c r="A2148" s="20">
        <v>45452.058333000001</v>
      </c>
      <c r="B2148" s="17">
        <v>68.522484000000006</v>
      </c>
      <c r="C2148" s="18"/>
      <c r="D2148" s="19"/>
    </row>
    <row r="2149" spans="1:4" x14ac:dyDescent="0.3">
      <c r="A2149" s="20">
        <v>45452.059028000003</v>
      </c>
      <c r="B2149" s="17">
        <v>68.621644000000003</v>
      </c>
      <c r="C2149" s="18"/>
      <c r="D2149" s="19"/>
    </row>
    <row r="2150" spans="1:4" x14ac:dyDescent="0.3">
      <c r="A2150" s="20">
        <v>45452.059721999998</v>
      </c>
      <c r="B2150" s="17">
        <v>68.870439000000005</v>
      </c>
      <c r="C2150" s="18"/>
      <c r="D2150" s="19"/>
    </row>
    <row r="2151" spans="1:4" x14ac:dyDescent="0.3">
      <c r="A2151" s="20">
        <v>45452.060417000001</v>
      </c>
      <c r="B2151" s="17">
        <v>68.955455999999998</v>
      </c>
      <c r="C2151" s="18"/>
      <c r="D2151" s="19"/>
    </row>
    <row r="2152" spans="1:4" x14ac:dyDescent="0.3">
      <c r="A2152" s="20">
        <v>45452.061111000003</v>
      </c>
      <c r="B2152" s="17">
        <v>68.575727999999998</v>
      </c>
      <c r="C2152" s="18"/>
      <c r="D2152" s="19"/>
    </row>
    <row r="2153" spans="1:4" x14ac:dyDescent="0.3">
      <c r="A2153" s="20">
        <v>45452.061805999998</v>
      </c>
      <c r="B2153" s="17">
        <v>68.622545000000002</v>
      </c>
      <c r="C2153" s="18"/>
      <c r="D2153" s="19"/>
    </row>
    <row r="2154" spans="1:4" x14ac:dyDescent="0.3">
      <c r="A2154" s="20">
        <v>45452.0625</v>
      </c>
      <c r="B2154" s="17">
        <v>69.276173</v>
      </c>
      <c r="C2154" s="18"/>
      <c r="D2154" s="19"/>
    </row>
    <row r="2155" spans="1:4" x14ac:dyDescent="0.3">
      <c r="A2155" s="20">
        <v>45452.063194000002</v>
      </c>
      <c r="B2155" s="17">
        <v>68.889360999999994</v>
      </c>
      <c r="C2155" s="18"/>
      <c r="D2155" s="19"/>
    </row>
    <row r="2156" spans="1:4" x14ac:dyDescent="0.3">
      <c r="A2156" s="20">
        <v>45452.063888999997</v>
      </c>
      <c r="B2156" s="17">
        <v>68.433503999999999</v>
      </c>
      <c r="C2156" s="18"/>
      <c r="D2156" s="19"/>
    </row>
    <row r="2157" spans="1:4" x14ac:dyDescent="0.3">
      <c r="A2157" s="20">
        <v>45452.064582999999</v>
      </c>
      <c r="B2157" s="17">
        <v>68.922178000000002</v>
      </c>
      <c r="C2157" s="18"/>
      <c r="D2157" s="19"/>
    </row>
    <row r="2158" spans="1:4" x14ac:dyDescent="0.3">
      <c r="A2158" s="20">
        <v>45452.065278000002</v>
      </c>
      <c r="B2158" s="17">
        <v>68.924733000000003</v>
      </c>
      <c r="C2158" s="18"/>
      <c r="D2158" s="19"/>
    </row>
    <row r="2159" spans="1:4" x14ac:dyDescent="0.3">
      <c r="A2159" s="20">
        <v>45452.065971999997</v>
      </c>
      <c r="B2159" s="17">
        <v>69.100648000000007</v>
      </c>
      <c r="C2159" s="18"/>
      <c r="D2159" s="19"/>
    </row>
    <row r="2160" spans="1:4" x14ac:dyDescent="0.3">
      <c r="A2160" s="20">
        <v>45452.066666999999</v>
      </c>
      <c r="B2160" s="17">
        <v>69.473191</v>
      </c>
      <c r="C2160" s="18"/>
      <c r="D2160" s="19"/>
    </row>
    <row r="2161" spans="1:4" x14ac:dyDescent="0.3">
      <c r="A2161" s="20">
        <v>45452.067361000001</v>
      </c>
      <c r="B2161" s="17">
        <v>69.087721999999999</v>
      </c>
      <c r="C2161" s="18"/>
      <c r="D2161" s="19"/>
    </row>
    <row r="2162" spans="1:4" x14ac:dyDescent="0.3">
      <c r="A2162" s="20">
        <v>45452.068055999996</v>
      </c>
      <c r="B2162" s="17">
        <v>68.761014000000003</v>
      </c>
      <c r="C2162" s="18"/>
      <c r="D2162" s="19"/>
    </row>
    <row r="2163" spans="1:4" x14ac:dyDescent="0.3">
      <c r="A2163" s="20">
        <v>45452.068749999999</v>
      </c>
      <c r="B2163" s="17">
        <v>68.920067000000003</v>
      </c>
      <c r="C2163" s="18"/>
      <c r="D2163" s="19"/>
    </row>
    <row r="2164" spans="1:4" x14ac:dyDescent="0.3">
      <c r="A2164" s="20">
        <v>45452.069444000001</v>
      </c>
      <c r="B2164" s="17">
        <v>69.023883999999995</v>
      </c>
      <c r="C2164" s="18"/>
      <c r="D2164" s="19"/>
    </row>
    <row r="2165" spans="1:4" x14ac:dyDescent="0.3">
      <c r="A2165" s="20">
        <v>45452.070139000003</v>
      </c>
      <c r="B2165" s="17">
        <v>69.136050999999995</v>
      </c>
      <c r="C2165" s="18"/>
      <c r="D2165" s="19"/>
    </row>
    <row r="2166" spans="1:4" x14ac:dyDescent="0.3">
      <c r="A2166" s="20">
        <v>45452.070832999998</v>
      </c>
      <c r="B2166" s="17">
        <v>69.398576000000006</v>
      </c>
      <c r="C2166" s="18"/>
      <c r="D2166" s="19"/>
    </row>
    <row r="2167" spans="1:4" x14ac:dyDescent="0.3">
      <c r="A2167" s="20">
        <v>45452.071528</v>
      </c>
      <c r="B2167" s="17">
        <v>68.677666000000002</v>
      </c>
      <c r="C2167" s="18"/>
      <c r="D2167" s="19"/>
    </row>
    <row r="2168" spans="1:4" x14ac:dyDescent="0.3">
      <c r="A2168" s="20">
        <v>45452.072222000003</v>
      </c>
      <c r="B2168" s="17">
        <v>68.655163000000002</v>
      </c>
      <c r="C2168" s="18"/>
      <c r="D2168" s="19"/>
    </row>
    <row r="2169" spans="1:4" x14ac:dyDescent="0.3">
      <c r="A2169" s="20">
        <v>45452.072916999998</v>
      </c>
      <c r="B2169" s="17">
        <v>68.999471999999997</v>
      </c>
      <c r="C2169" s="18"/>
      <c r="D2169" s="19"/>
    </row>
    <row r="2170" spans="1:4" x14ac:dyDescent="0.3">
      <c r="A2170" s="20">
        <v>45452.073611</v>
      </c>
      <c r="B2170" s="17">
        <v>68.880267000000003</v>
      </c>
      <c r="C2170" s="18"/>
      <c r="D2170" s="19"/>
    </row>
    <row r="2171" spans="1:4" x14ac:dyDescent="0.3">
      <c r="A2171" s="20">
        <v>45452.074306000002</v>
      </c>
      <c r="B2171" s="17">
        <v>68.245727000000002</v>
      </c>
      <c r="C2171" s="18"/>
      <c r="D2171" s="19"/>
    </row>
    <row r="2172" spans="1:4" x14ac:dyDescent="0.3">
      <c r="A2172" s="20">
        <v>45452.074999999997</v>
      </c>
      <c r="B2172" s="17">
        <v>68.624686999999994</v>
      </c>
      <c r="C2172" s="18"/>
      <c r="D2172" s="19"/>
    </row>
    <row r="2173" spans="1:4" x14ac:dyDescent="0.3">
      <c r="A2173" s="20">
        <v>45452.075693999999</v>
      </c>
      <c r="B2173" s="17">
        <v>68.722813000000002</v>
      </c>
      <c r="C2173" s="18"/>
      <c r="D2173" s="19"/>
    </row>
    <row r="2174" spans="1:4" x14ac:dyDescent="0.3">
      <c r="A2174" s="20">
        <v>45452.076389000002</v>
      </c>
      <c r="B2174" s="17">
        <v>68.580370000000002</v>
      </c>
      <c r="C2174" s="18"/>
      <c r="D2174" s="19"/>
    </row>
    <row r="2175" spans="1:4" x14ac:dyDescent="0.3">
      <c r="A2175" s="20">
        <v>45452.077082999996</v>
      </c>
      <c r="B2175" s="17">
        <v>68.634637999999995</v>
      </c>
      <c r="C2175" s="18"/>
      <c r="D2175" s="19"/>
    </row>
    <row r="2176" spans="1:4" x14ac:dyDescent="0.3">
      <c r="A2176" s="20">
        <v>45452.077777999999</v>
      </c>
      <c r="B2176" s="17">
        <v>68.870723999999996</v>
      </c>
      <c r="C2176" s="18"/>
      <c r="D2176" s="19"/>
    </row>
    <row r="2177" spans="1:4" x14ac:dyDescent="0.3">
      <c r="A2177" s="20">
        <v>45452.078472000001</v>
      </c>
      <c r="B2177" s="17">
        <v>69.314465999999996</v>
      </c>
      <c r="C2177" s="18"/>
      <c r="D2177" s="19"/>
    </row>
    <row r="2178" spans="1:4" x14ac:dyDescent="0.3">
      <c r="A2178" s="20">
        <v>45452.079167000004</v>
      </c>
      <c r="B2178" s="17">
        <v>69.098416</v>
      </c>
      <c r="C2178" s="18"/>
      <c r="D2178" s="19"/>
    </row>
    <row r="2179" spans="1:4" x14ac:dyDescent="0.3">
      <c r="A2179" s="20">
        <v>45452.079860999998</v>
      </c>
      <c r="B2179" s="17">
        <v>68.579474000000005</v>
      </c>
      <c r="C2179" s="18"/>
      <c r="D2179" s="19"/>
    </row>
    <row r="2180" spans="1:4" x14ac:dyDescent="0.3">
      <c r="A2180" s="20">
        <v>45452.080556000001</v>
      </c>
      <c r="B2180" s="17">
        <v>69.334531999999996</v>
      </c>
      <c r="C2180" s="18"/>
      <c r="D2180" s="19"/>
    </row>
    <row r="2181" spans="1:4" x14ac:dyDescent="0.3">
      <c r="A2181" s="20">
        <v>45452.081250000003</v>
      </c>
      <c r="B2181" s="17">
        <v>68.974359000000007</v>
      </c>
      <c r="C2181" s="18"/>
      <c r="D2181" s="19"/>
    </row>
    <row r="2182" spans="1:4" x14ac:dyDescent="0.3">
      <c r="A2182" s="20">
        <v>45452.081943999998</v>
      </c>
      <c r="B2182" s="17">
        <v>69.107510000000005</v>
      </c>
      <c r="C2182" s="18"/>
      <c r="D2182" s="19"/>
    </row>
    <row r="2183" spans="1:4" x14ac:dyDescent="0.3">
      <c r="A2183" s="20">
        <v>45452.082639</v>
      </c>
      <c r="B2183" s="17">
        <v>69.277348000000003</v>
      </c>
      <c r="C2183" s="18"/>
      <c r="D2183" s="19"/>
    </row>
    <row r="2184" spans="1:4" x14ac:dyDescent="0.3">
      <c r="A2184" s="20">
        <v>45452.083333000002</v>
      </c>
      <c r="B2184" s="17">
        <v>68.941299999999998</v>
      </c>
      <c r="C2184" s="18"/>
      <c r="D2184" s="19"/>
    </row>
    <row r="2185" spans="1:4" x14ac:dyDescent="0.3">
      <c r="A2185" s="20">
        <v>45452.084027999997</v>
      </c>
      <c r="B2185" s="17">
        <v>68.819603000000001</v>
      </c>
      <c r="C2185" s="18"/>
      <c r="D2185" s="19"/>
    </row>
    <row r="2186" spans="1:4" x14ac:dyDescent="0.3">
      <c r="A2186" s="20">
        <v>45452.084722</v>
      </c>
      <c r="B2186" s="17">
        <v>69.277817999999996</v>
      </c>
      <c r="C2186" s="18"/>
      <c r="D2186" s="19"/>
    </row>
    <row r="2187" spans="1:4" x14ac:dyDescent="0.3">
      <c r="A2187" s="20">
        <v>45452.085417000002</v>
      </c>
      <c r="B2187" s="17">
        <v>68.610832000000002</v>
      </c>
      <c r="C2187" s="18"/>
      <c r="D2187" s="19"/>
    </row>
    <row r="2188" spans="1:4" x14ac:dyDescent="0.3">
      <c r="A2188" s="20">
        <v>45452.086110999997</v>
      </c>
      <c r="B2188" s="17">
        <v>68.493340000000003</v>
      </c>
      <c r="C2188" s="18"/>
      <c r="D2188" s="19"/>
    </row>
    <row r="2189" spans="1:4" x14ac:dyDescent="0.3">
      <c r="A2189" s="20">
        <v>45452.086805999999</v>
      </c>
      <c r="B2189" s="17">
        <v>69.592573999999999</v>
      </c>
      <c r="C2189" s="18"/>
      <c r="D2189" s="19"/>
    </row>
    <row r="2190" spans="1:4" x14ac:dyDescent="0.3">
      <c r="A2190" s="20">
        <v>45452.087500000001</v>
      </c>
      <c r="B2190" s="17">
        <v>69.608582999999996</v>
      </c>
      <c r="C2190" s="18"/>
      <c r="D2190" s="19"/>
    </row>
    <row r="2191" spans="1:4" x14ac:dyDescent="0.3">
      <c r="A2191" s="20">
        <v>45452.088194000004</v>
      </c>
      <c r="B2191" s="17">
        <v>69.340202000000005</v>
      </c>
      <c r="C2191" s="18"/>
      <c r="D2191" s="19"/>
    </row>
    <row r="2192" spans="1:4" x14ac:dyDescent="0.3">
      <c r="A2192" s="20">
        <v>45452.088888999999</v>
      </c>
      <c r="B2192" s="17">
        <v>69.124058000000005</v>
      </c>
      <c r="C2192" s="18"/>
      <c r="D2192" s="19"/>
    </row>
    <row r="2193" spans="1:4" x14ac:dyDescent="0.3">
      <c r="A2193" s="20">
        <v>45452.089583000001</v>
      </c>
      <c r="B2193" s="17">
        <v>69.410715999999994</v>
      </c>
      <c r="C2193" s="18"/>
      <c r="D2193" s="19"/>
    </row>
    <row r="2194" spans="1:4" x14ac:dyDescent="0.3">
      <c r="A2194" s="20">
        <v>45452.090278000003</v>
      </c>
      <c r="B2194" s="17">
        <v>69.020679000000001</v>
      </c>
      <c r="C2194" s="18"/>
      <c r="D2194" s="19"/>
    </row>
    <row r="2195" spans="1:4" x14ac:dyDescent="0.3">
      <c r="A2195" s="20">
        <v>45452.090971999998</v>
      </c>
      <c r="B2195" s="17">
        <v>68.676619000000002</v>
      </c>
      <c r="C2195" s="18"/>
      <c r="D2195" s="19"/>
    </row>
    <row r="2196" spans="1:4" x14ac:dyDescent="0.3">
      <c r="A2196" s="20">
        <v>45452.091667000001</v>
      </c>
      <c r="B2196" s="17">
        <v>69.055428000000006</v>
      </c>
      <c r="C2196" s="18"/>
      <c r="D2196" s="19"/>
    </row>
    <row r="2197" spans="1:4" x14ac:dyDescent="0.3">
      <c r="A2197" s="20">
        <v>45452.092361000003</v>
      </c>
      <c r="B2197" s="17">
        <v>68.828305</v>
      </c>
      <c r="C2197" s="18"/>
      <c r="D2197" s="19"/>
    </row>
    <row r="2198" spans="1:4" x14ac:dyDescent="0.3">
      <c r="A2198" s="20">
        <v>45452.093055999998</v>
      </c>
      <c r="B2198" s="17">
        <v>68.317429000000004</v>
      </c>
      <c r="C2198" s="18"/>
      <c r="D2198" s="19"/>
    </row>
    <row r="2199" spans="1:4" x14ac:dyDescent="0.3">
      <c r="A2199" s="20">
        <v>45452.09375</v>
      </c>
      <c r="B2199" s="17">
        <v>68.966689000000002</v>
      </c>
      <c r="C2199" s="18"/>
      <c r="D2199" s="19"/>
    </row>
    <row r="2200" spans="1:4" x14ac:dyDescent="0.3">
      <c r="A2200" s="20">
        <v>45452.094444000002</v>
      </c>
      <c r="B2200" s="17">
        <v>68.941080999999997</v>
      </c>
      <c r="C2200" s="18"/>
      <c r="D2200" s="19"/>
    </row>
    <row r="2201" spans="1:4" x14ac:dyDescent="0.3">
      <c r="A2201" s="20">
        <v>45452.095138999997</v>
      </c>
      <c r="B2201" s="17">
        <v>68.703505000000007</v>
      </c>
      <c r="C2201" s="18"/>
      <c r="D2201" s="19"/>
    </row>
    <row r="2202" spans="1:4" x14ac:dyDescent="0.3">
      <c r="A2202" s="20">
        <v>45452.095832999999</v>
      </c>
      <c r="B2202" s="17">
        <v>69.177374999999998</v>
      </c>
      <c r="C2202" s="18"/>
      <c r="D2202" s="19"/>
    </row>
    <row r="2203" spans="1:4" x14ac:dyDescent="0.3">
      <c r="A2203" s="20">
        <v>45452.096528000002</v>
      </c>
      <c r="B2203" s="17">
        <v>69.311210000000003</v>
      </c>
      <c r="C2203" s="18"/>
      <c r="D2203" s="19"/>
    </row>
    <row r="2204" spans="1:4" x14ac:dyDescent="0.3">
      <c r="A2204" s="20">
        <v>45452.097221999997</v>
      </c>
      <c r="B2204" s="17">
        <v>68.951228</v>
      </c>
      <c r="C2204" s="18"/>
      <c r="D2204" s="19"/>
    </row>
    <row r="2205" spans="1:4" x14ac:dyDescent="0.3">
      <c r="A2205" s="20">
        <v>45452.097916999999</v>
      </c>
      <c r="B2205" s="17">
        <v>68.989024999999998</v>
      </c>
      <c r="C2205" s="18"/>
      <c r="D2205" s="19"/>
    </row>
    <row r="2206" spans="1:4" x14ac:dyDescent="0.3">
      <c r="A2206" s="20">
        <v>45452.098611000001</v>
      </c>
      <c r="B2206" s="17">
        <v>68.627584999999996</v>
      </c>
      <c r="C2206" s="18"/>
      <c r="D2206" s="19"/>
    </row>
    <row r="2207" spans="1:4" x14ac:dyDescent="0.3">
      <c r="A2207" s="20">
        <v>45452.099305999996</v>
      </c>
      <c r="B2207" s="17">
        <v>68.907041000000007</v>
      </c>
      <c r="C2207" s="18"/>
      <c r="D2207" s="19"/>
    </row>
    <row r="2208" spans="1:4" x14ac:dyDescent="0.3">
      <c r="A2208" s="20">
        <v>45452.1</v>
      </c>
      <c r="B2208" s="17">
        <v>68.701964000000004</v>
      </c>
      <c r="C2208" s="18"/>
      <c r="D2208" s="19"/>
    </row>
    <row r="2209" spans="1:4" x14ac:dyDescent="0.3">
      <c r="A2209" s="20">
        <v>45452.100694000001</v>
      </c>
      <c r="B2209" s="17">
        <v>68.807872000000003</v>
      </c>
      <c r="C2209" s="18"/>
      <c r="D2209" s="19"/>
    </row>
    <row r="2210" spans="1:4" x14ac:dyDescent="0.3">
      <c r="A2210" s="20">
        <v>45452.101389000003</v>
      </c>
      <c r="B2210" s="17">
        <v>69.295659999999998</v>
      </c>
      <c r="C2210" s="18"/>
      <c r="D2210" s="19"/>
    </row>
    <row r="2211" spans="1:4" x14ac:dyDescent="0.3">
      <c r="A2211" s="20">
        <v>45452.102082999998</v>
      </c>
      <c r="B2211" s="17">
        <v>68.895325999999997</v>
      </c>
      <c r="C2211" s="18"/>
      <c r="D2211" s="19"/>
    </row>
    <row r="2212" spans="1:4" x14ac:dyDescent="0.3">
      <c r="A2212" s="20">
        <v>45452.102778</v>
      </c>
      <c r="B2212" s="17">
        <v>68.932122000000007</v>
      </c>
      <c r="C2212" s="18"/>
      <c r="D2212" s="19"/>
    </row>
    <row r="2213" spans="1:4" x14ac:dyDescent="0.3">
      <c r="A2213" s="20">
        <v>45452.103472000003</v>
      </c>
      <c r="B2213" s="17">
        <v>68.913968999999994</v>
      </c>
      <c r="C2213" s="18"/>
      <c r="D2213" s="19"/>
    </row>
    <row r="2214" spans="1:4" x14ac:dyDescent="0.3">
      <c r="A2214" s="20">
        <v>45452.104166999998</v>
      </c>
      <c r="B2214" s="17">
        <v>68.937579999999997</v>
      </c>
      <c r="C2214" s="18"/>
      <c r="D2214" s="19"/>
    </row>
    <row r="2215" spans="1:4" x14ac:dyDescent="0.3">
      <c r="A2215" s="20">
        <v>45452.104861</v>
      </c>
      <c r="B2215" s="17">
        <v>69.171709000000007</v>
      </c>
      <c r="C2215" s="18"/>
      <c r="D2215" s="19"/>
    </row>
    <row r="2216" spans="1:4" x14ac:dyDescent="0.3">
      <c r="A2216" s="20">
        <v>45452.105556000002</v>
      </c>
      <c r="B2216" s="17">
        <v>69.076599000000002</v>
      </c>
      <c r="C2216" s="18"/>
      <c r="D2216" s="19"/>
    </row>
    <row r="2217" spans="1:4" x14ac:dyDescent="0.3">
      <c r="A2217" s="20">
        <v>45452.106249999997</v>
      </c>
      <c r="B2217" s="17">
        <v>68.904730999999998</v>
      </c>
      <c r="C2217" s="18"/>
      <c r="D2217" s="19"/>
    </row>
    <row r="2218" spans="1:4" x14ac:dyDescent="0.3">
      <c r="A2218" s="20">
        <v>45452.106943999999</v>
      </c>
      <c r="B2218" s="17">
        <v>69.012923000000001</v>
      </c>
      <c r="C2218" s="18"/>
      <c r="D2218" s="19"/>
    </row>
    <row r="2219" spans="1:4" x14ac:dyDescent="0.3">
      <c r="A2219" s="20">
        <v>45452.107639000002</v>
      </c>
      <c r="B2219" s="17">
        <v>68.798214000000002</v>
      </c>
      <c r="C2219" s="18"/>
      <c r="D2219" s="19"/>
    </row>
    <row r="2220" spans="1:4" x14ac:dyDescent="0.3">
      <c r="A2220" s="20">
        <v>45452.108332999996</v>
      </c>
      <c r="B2220" s="17">
        <v>69.188033000000004</v>
      </c>
      <c r="C2220" s="18"/>
      <c r="D2220" s="19"/>
    </row>
    <row r="2221" spans="1:4" x14ac:dyDescent="0.3">
      <c r="A2221" s="20">
        <v>45452.109027999999</v>
      </c>
      <c r="B2221" s="17">
        <v>68.993425000000002</v>
      </c>
      <c r="C2221" s="18"/>
      <c r="D2221" s="19"/>
    </row>
    <row r="2222" spans="1:4" x14ac:dyDescent="0.3">
      <c r="A2222" s="20">
        <v>45452.109722000001</v>
      </c>
      <c r="B2222" s="17">
        <v>69.025760000000005</v>
      </c>
      <c r="C2222" s="18"/>
      <c r="D2222" s="19"/>
    </row>
    <row r="2223" spans="1:4" x14ac:dyDescent="0.3">
      <c r="A2223" s="20">
        <v>45452.110417000004</v>
      </c>
      <c r="B2223" s="17">
        <v>68.626811000000004</v>
      </c>
      <c r="C2223" s="18"/>
      <c r="D2223" s="19"/>
    </row>
    <row r="2224" spans="1:4" x14ac:dyDescent="0.3">
      <c r="A2224" s="20">
        <v>45452.111110999998</v>
      </c>
      <c r="B2224" s="17">
        <v>68.393810999999999</v>
      </c>
      <c r="C2224" s="18"/>
      <c r="D2224" s="19"/>
    </row>
    <row r="2225" spans="1:4" x14ac:dyDescent="0.3">
      <c r="A2225" s="20">
        <v>45452.111806000001</v>
      </c>
      <c r="B2225" s="17">
        <v>69.028823000000003</v>
      </c>
      <c r="C2225" s="18"/>
      <c r="D2225" s="19"/>
    </row>
    <row r="2226" spans="1:4" x14ac:dyDescent="0.3">
      <c r="A2226" s="20">
        <v>45452.112500000003</v>
      </c>
      <c r="B2226" s="17">
        <v>68.604844</v>
      </c>
      <c r="C2226" s="18"/>
      <c r="D2226" s="19"/>
    </row>
    <row r="2227" spans="1:4" x14ac:dyDescent="0.3">
      <c r="A2227" s="20">
        <v>45452.113193999998</v>
      </c>
      <c r="B2227" s="17">
        <v>69.146884999999997</v>
      </c>
      <c r="C2227" s="18"/>
      <c r="D2227" s="19"/>
    </row>
    <row r="2228" spans="1:4" x14ac:dyDescent="0.3">
      <c r="A2228" s="20">
        <v>45452.113889</v>
      </c>
      <c r="B2228" s="17">
        <v>69.306250000000006</v>
      </c>
      <c r="C2228" s="18"/>
      <c r="D2228" s="19"/>
    </row>
    <row r="2229" spans="1:4" x14ac:dyDescent="0.3">
      <c r="A2229" s="20">
        <v>45452.114583000002</v>
      </c>
      <c r="B2229" s="17">
        <v>68.784480000000002</v>
      </c>
      <c r="C2229" s="18"/>
      <c r="D2229" s="19"/>
    </row>
    <row r="2230" spans="1:4" x14ac:dyDescent="0.3">
      <c r="A2230" s="20">
        <v>45452.115277999997</v>
      </c>
      <c r="B2230" s="17">
        <v>69.007797999999994</v>
      </c>
      <c r="C2230" s="18"/>
      <c r="D2230" s="19"/>
    </row>
    <row r="2231" spans="1:4" x14ac:dyDescent="0.3">
      <c r="A2231" s="20">
        <v>45452.115972</v>
      </c>
      <c r="B2231" s="17">
        <v>69.300342000000001</v>
      </c>
      <c r="C2231" s="18"/>
      <c r="D2231" s="19"/>
    </row>
    <row r="2232" spans="1:4" x14ac:dyDescent="0.3">
      <c r="A2232" s="20">
        <v>45452.116667000002</v>
      </c>
      <c r="B2232" s="17">
        <v>69.189814999999996</v>
      </c>
      <c r="C2232" s="18"/>
      <c r="D2232" s="19"/>
    </row>
    <row r="2233" spans="1:4" x14ac:dyDescent="0.3">
      <c r="A2233" s="20">
        <v>45452.117360999997</v>
      </c>
      <c r="B2233" s="17">
        <v>68.734145999999996</v>
      </c>
      <c r="C2233" s="18"/>
      <c r="D2233" s="19"/>
    </row>
    <row r="2234" spans="1:4" x14ac:dyDescent="0.3">
      <c r="A2234" s="20">
        <v>45452.118055999999</v>
      </c>
      <c r="B2234" s="17">
        <v>68.828494000000006</v>
      </c>
      <c r="C2234" s="18"/>
      <c r="D2234" s="19"/>
    </row>
    <row r="2235" spans="1:4" x14ac:dyDescent="0.3">
      <c r="A2235" s="20">
        <v>45452.118750000001</v>
      </c>
      <c r="B2235" s="17">
        <v>68.821056999999996</v>
      </c>
      <c r="C2235" s="18"/>
      <c r="D2235" s="19"/>
    </row>
    <row r="2236" spans="1:4" x14ac:dyDescent="0.3">
      <c r="A2236" s="20">
        <v>45452.119444000004</v>
      </c>
      <c r="B2236" s="17">
        <v>69.001085000000003</v>
      </c>
      <c r="C2236" s="18"/>
      <c r="D2236" s="19"/>
    </row>
    <row r="2237" spans="1:4" x14ac:dyDescent="0.3">
      <c r="A2237" s="20">
        <v>45452.120138999999</v>
      </c>
      <c r="B2237" s="17">
        <v>69.490589999999997</v>
      </c>
      <c r="C2237" s="18"/>
      <c r="D2237" s="19"/>
    </row>
    <row r="2238" spans="1:4" x14ac:dyDescent="0.3">
      <c r="A2238" s="20">
        <v>45452.120833000001</v>
      </c>
      <c r="B2238" s="17">
        <v>69.533046999999996</v>
      </c>
      <c r="C2238" s="18"/>
      <c r="D2238" s="19"/>
    </row>
    <row r="2239" spans="1:4" x14ac:dyDescent="0.3">
      <c r="A2239" s="20">
        <v>45452.121528000003</v>
      </c>
      <c r="B2239" s="17">
        <v>68.808400000000006</v>
      </c>
      <c r="C2239" s="18"/>
      <c r="D2239" s="19"/>
    </row>
    <row r="2240" spans="1:4" x14ac:dyDescent="0.3">
      <c r="A2240" s="20">
        <v>45452.122221999998</v>
      </c>
      <c r="B2240" s="17">
        <v>68.635394000000005</v>
      </c>
      <c r="C2240" s="18"/>
      <c r="D2240" s="19"/>
    </row>
    <row r="2241" spans="1:4" x14ac:dyDescent="0.3">
      <c r="A2241" s="20">
        <v>45452.122917000001</v>
      </c>
      <c r="B2241" s="17">
        <v>68.81559</v>
      </c>
      <c r="C2241" s="18"/>
      <c r="D2241" s="19"/>
    </row>
    <row r="2242" spans="1:4" x14ac:dyDescent="0.3">
      <c r="A2242" s="20">
        <v>45452.123611000003</v>
      </c>
      <c r="B2242" s="17">
        <v>68.955752000000004</v>
      </c>
      <c r="C2242" s="18"/>
      <c r="D2242" s="19"/>
    </row>
    <row r="2243" spans="1:4" x14ac:dyDescent="0.3">
      <c r="A2243" s="20">
        <v>45452.124305999998</v>
      </c>
      <c r="B2243" s="17">
        <v>69.302231000000006</v>
      </c>
      <c r="C2243" s="18"/>
      <c r="D2243" s="19"/>
    </row>
    <row r="2244" spans="1:4" x14ac:dyDescent="0.3">
      <c r="A2244" s="20">
        <v>45452.125</v>
      </c>
      <c r="B2244" s="17">
        <v>68.836492000000007</v>
      </c>
      <c r="C2244" s="18"/>
      <c r="D2244" s="19"/>
    </row>
    <row r="2245" spans="1:4" x14ac:dyDescent="0.3">
      <c r="A2245" s="20">
        <v>45452.125694000002</v>
      </c>
      <c r="B2245" s="17">
        <v>69.295911000000004</v>
      </c>
      <c r="C2245" s="18"/>
      <c r="D2245" s="19"/>
    </row>
    <row r="2246" spans="1:4" x14ac:dyDescent="0.3">
      <c r="A2246" s="20">
        <v>45452.126388999997</v>
      </c>
      <c r="B2246" s="17">
        <v>68.982420000000005</v>
      </c>
      <c r="C2246" s="18"/>
      <c r="D2246" s="19"/>
    </row>
    <row r="2247" spans="1:4" x14ac:dyDescent="0.3">
      <c r="A2247" s="20">
        <v>45452.127082999999</v>
      </c>
      <c r="B2247" s="17">
        <v>68.555318999999997</v>
      </c>
      <c r="C2247" s="18"/>
      <c r="D2247" s="19"/>
    </row>
    <row r="2248" spans="1:4" x14ac:dyDescent="0.3">
      <c r="A2248" s="20">
        <v>45452.127778000002</v>
      </c>
      <c r="B2248" s="17">
        <v>69.032489999999996</v>
      </c>
      <c r="C2248" s="18"/>
      <c r="D2248" s="19"/>
    </row>
    <row r="2249" spans="1:4" x14ac:dyDescent="0.3">
      <c r="A2249" s="20">
        <v>45452.128471999997</v>
      </c>
      <c r="B2249" s="17">
        <v>69.186152000000007</v>
      </c>
      <c r="C2249" s="18"/>
      <c r="D2249" s="19"/>
    </row>
    <row r="2250" spans="1:4" x14ac:dyDescent="0.3">
      <c r="A2250" s="20">
        <v>45452.129166999999</v>
      </c>
      <c r="B2250" s="17">
        <v>68.500800999999996</v>
      </c>
      <c r="C2250" s="18"/>
      <c r="D2250" s="19"/>
    </row>
    <row r="2251" spans="1:4" x14ac:dyDescent="0.3">
      <c r="A2251" s="20">
        <v>45452.129861000001</v>
      </c>
      <c r="B2251" s="17">
        <v>68.786793000000003</v>
      </c>
      <c r="C2251" s="18"/>
      <c r="D2251" s="19"/>
    </row>
    <row r="2252" spans="1:4" x14ac:dyDescent="0.3">
      <c r="A2252" s="20">
        <v>45452.130555999996</v>
      </c>
      <c r="B2252" s="17">
        <v>69.018001999999996</v>
      </c>
      <c r="C2252" s="18"/>
      <c r="D2252" s="19"/>
    </row>
    <row r="2253" spans="1:4" x14ac:dyDescent="0.3">
      <c r="A2253" s="20">
        <v>45452.131249999999</v>
      </c>
      <c r="B2253" s="17">
        <v>69.047148000000007</v>
      </c>
      <c r="C2253" s="18"/>
      <c r="D2253" s="19"/>
    </row>
    <row r="2254" spans="1:4" x14ac:dyDescent="0.3">
      <c r="A2254" s="20">
        <v>45452.131944000001</v>
      </c>
      <c r="B2254" s="17">
        <v>69.163477999999998</v>
      </c>
      <c r="C2254" s="18"/>
      <c r="D2254" s="19"/>
    </row>
    <row r="2255" spans="1:4" x14ac:dyDescent="0.3">
      <c r="A2255" s="20">
        <v>45452.132639000003</v>
      </c>
      <c r="B2255" s="17">
        <v>68.925175999999993</v>
      </c>
      <c r="C2255" s="18"/>
      <c r="D2255" s="19"/>
    </row>
    <row r="2256" spans="1:4" x14ac:dyDescent="0.3">
      <c r="A2256" s="20">
        <v>45452.133332999998</v>
      </c>
      <c r="B2256" s="17">
        <v>69.196991999999995</v>
      </c>
      <c r="C2256" s="18"/>
      <c r="D2256" s="19"/>
    </row>
    <row r="2257" spans="1:4" x14ac:dyDescent="0.3">
      <c r="A2257" s="20">
        <v>45452.134028</v>
      </c>
      <c r="B2257" s="17">
        <v>68.891732000000005</v>
      </c>
      <c r="C2257" s="18"/>
      <c r="D2257" s="19"/>
    </row>
    <row r="2258" spans="1:4" x14ac:dyDescent="0.3">
      <c r="A2258" s="20">
        <v>45452.134722000003</v>
      </c>
      <c r="B2258" s="17">
        <v>69.137159999999994</v>
      </c>
      <c r="C2258" s="18"/>
      <c r="D2258" s="19"/>
    </row>
    <row r="2259" spans="1:4" x14ac:dyDescent="0.3">
      <c r="A2259" s="20">
        <v>45452.135416999998</v>
      </c>
      <c r="B2259" s="17">
        <v>68.550313000000003</v>
      </c>
      <c r="C2259" s="18"/>
      <c r="D2259" s="19"/>
    </row>
    <row r="2260" spans="1:4" x14ac:dyDescent="0.3">
      <c r="A2260" s="20">
        <v>45452.136111</v>
      </c>
      <c r="B2260" s="17">
        <v>69.294690000000003</v>
      </c>
      <c r="C2260" s="18"/>
      <c r="D2260" s="19"/>
    </row>
    <row r="2261" spans="1:4" x14ac:dyDescent="0.3">
      <c r="A2261" s="20">
        <v>45452.136806000002</v>
      </c>
      <c r="B2261" s="17">
        <v>69.117042999999995</v>
      </c>
      <c r="C2261" s="18"/>
      <c r="D2261" s="19"/>
    </row>
    <row r="2262" spans="1:4" x14ac:dyDescent="0.3">
      <c r="A2262" s="20">
        <v>45452.137499999997</v>
      </c>
      <c r="B2262" s="17">
        <v>69.115666000000004</v>
      </c>
      <c r="C2262" s="18"/>
      <c r="D2262" s="19"/>
    </row>
    <row r="2263" spans="1:4" x14ac:dyDescent="0.3">
      <c r="A2263" s="20">
        <v>45452.138193999999</v>
      </c>
      <c r="B2263" s="17">
        <v>68.413953000000006</v>
      </c>
      <c r="C2263" s="18"/>
      <c r="D2263" s="19"/>
    </row>
    <row r="2264" spans="1:4" x14ac:dyDescent="0.3">
      <c r="A2264" s="20">
        <v>45452.138889000002</v>
      </c>
      <c r="B2264" s="17">
        <v>69.554293999999999</v>
      </c>
      <c r="C2264" s="18"/>
      <c r="D2264" s="19"/>
    </row>
    <row r="2265" spans="1:4" x14ac:dyDescent="0.3">
      <c r="A2265" s="20">
        <v>45452.139582999996</v>
      </c>
      <c r="B2265" s="17">
        <v>68.738623000000004</v>
      </c>
      <c r="C2265" s="18"/>
      <c r="D2265" s="19"/>
    </row>
    <row r="2266" spans="1:4" x14ac:dyDescent="0.3">
      <c r="A2266" s="20">
        <v>45452.140277999999</v>
      </c>
      <c r="B2266" s="17">
        <v>68.841596999999993</v>
      </c>
      <c r="C2266" s="18"/>
      <c r="D2266" s="19"/>
    </row>
    <row r="2267" spans="1:4" x14ac:dyDescent="0.3">
      <c r="A2267" s="20">
        <v>45452.140972000001</v>
      </c>
      <c r="B2267" s="17">
        <v>69.186638000000002</v>
      </c>
      <c r="C2267" s="18"/>
      <c r="D2267" s="19"/>
    </row>
    <row r="2268" spans="1:4" x14ac:dyDescent="0.3">
      <c r="A2268" s="20">
        <v>45452.141667000004</v>
      </c>
      <c r="B2268" s="17">
        <v>69.341825</v>
      </c>
      <c r="C2268" s="18"/>
      <c r="D2268" s="19"/>
    </row>
    <row r="2269" spans="1:4" x14ac:dyDescent="0.3">
      <c r="A2269" s="20">
        <v>45452.142360999998</v>
      </c>
      <c r="B2269" s="17">
        <v>68.641727000000003</v>
      </c>
      <c r="C2269" s="18"/>
      <c r="D2269" s="19"/>
    </row>
    <row r="2270" spans="1:4" x14ac:dyDescent="0.3">
      <c r="A2270" s="20">
        <v>45452.143056000001</v>
      </c>
      <c r="B2270" s="17">
        <v>69.548970999999995</v>
      </c>
      <c r="C2270" s="18"/>
      <c r="D2270" s="19"/>
    </row>
    <row r="2271" spans="1:4" x14ac:dyDescent="0.3">
      <c r="A2271" s="20">
        <v>45452.143750000003</v>
      </c>
      <c r="B2271" s="17">
        <v>69.029537000000005</v>
      </c>
      <c r="C2271" s="18"/>
      <c r="D2271" s="19"/>
    </row>
    <row r="2272" spans="1:4" x14ac:dyDescent="0.3">
      <c r="A2272" s="20">
        <v>45452.144443999998</v>
      </c>
      <c r="B2272" s="17">
        <v>69.35924</v>
      </c>
      <c r="C2272" s="18"/>
      <c r="D2272" s="19"/>
    </row>
    <row r="2273" spans="1:4" x14ac:dyDescent="0.3">
      <c r="A2273" s="20">
        <v>45452.145139</v>
      </c>
      <c r="B2273" s="17">
        <v>69.336040999999994</v>
      </c>
      <c r="C2273" s="18"/>
      <c r="D2273" s="19"/>
    </row>
    <row r="2274" spans="1:4" x14ac:dyDescent="0.3">
      <c r="A2274" s="20">
        <v>45452.145833000002</v>
      </c>
      <c r="B2274" s="17">
        <v>68.892899999999997</v>
      </c>
      <c r="C2274" s="18"/>
      <c r="D2274" s="19"/>
    </row>
    <row r="2275" spans="1:4" x14ac:dyDescent="0.3">
      <c r="A2275" s="20">
        <v>45452.146527999997</v>
      </c>
      <c r="B2275" s="17">
        <v>68.994652000000002</v>
      </c>
      <c r="C2275" s="18"/>
      <c r="D2275" s="19"/>
    </row>
    <row r="2276" spans="1:4" x14ac:dyDescent="0.3">
      <c r="A2276" s="20">
        <v>45452.147222</v>
      </c>
      <c r="B2276" s="17">
        <v>68.974827000000005</v>
      </c>
      <c r="C2276" s="18"/>
      <c r="D2276" s="19"/>
    </row>
    <row r="2277" spans="1:4" x14ac:dyDescent="0.3">
      <c r="A2277" s="20">
        <v>45452.147917000002</v>
      </c>
      <c r="B2277" s="17">
        <v>69.124356000000006</v>
      </c>
      <c r="C2277" s="18"/>
      <c r="D2277" s="19"/>
    </row>
    <row r="2278" spans="1:4" x14ac:dyDescent="0.3">
      <c r="A2278" s="20">
        <v>45452.148610999997</v>
      </c>
      <c r="B2278" s="17">
        <v>68.788605000000004</v>
      </c>
      <c r="C2278" s="18"/>
      <c r="D2278" s="19"/>
    </row>
    <row r="2279" spans="1:4" x14ac:dyDescent="0.3">
      <c r="A2279" s="20">
        <v>45452.149305999999</v>
      </c>
      <c r="B2279" s="17">
        <v>68.506281000000001</v>
      </c>
      <c r="C2279" s="18"/>
      <c r="D2279" s="19"/>
    </row>
    <row r="2280" spans="1:4" x14ac:dyDescent="0.3">
      <c r="A2280" s="20">
        <v>45452.15</v>
      </c>
      <c r="B2280" s="17">
        <v>69.193522999999999</v>
      </c>
      <c r="C2280" s="18"/>
      <c r="D2280" s="19"/>
    </row>
    <row r="2281" spans="1:4" x14ac:dyDescent="0.3">
      <c r="A2281" s="20">
        <v>45452.150694000004</v>
      </c>
      <c r="B2281" s="17">
        <v>68.727981</v>
      </c>
      <c r="C2281" s="18"/>
      <c r="D2281" s="19"/>
    </row>
    <row r="2282" spans="1:4" x14ac:dyDescent="0.3">
      <c r="A2282" s="20">
        <v>45452.151388999999</v>
      </c>
      <c r="B2282" s="17">
        <v>68.696348</v>
      </c>
      <c r="C2282" s="18"/>
      <c r="D2282" s="19"/>
    </row>
    <row r="2283" spans="1:4" x14ac:dyDescent="0.3">
      <c r="A2283" s="20">
        <v>45452.152083000001</v>
      </c>
      <c r="B2283" s="17">
        <v>69.631495000000001</v>
      </c>
      <c r="C2283" s="18"/>
      <c r="D2283" s="19"/>
    </row>
    <row r="2284" spans="1:4" x14ac:dyDescent="0.3">
      <c r="A2284" s="20">
        <v>45452.152778000003</v>
      </c>
      <c r="B2284" s="17">
        <v>68.769403999999994</v>
      </c>
      <c r="C2284" s="18"/>
      <c r="D2284" s="19"/>
    </row>
    <row r="2285" spans="1:4" x14ac:dyDescent="0.3">
      <c r="A2285" s="20">
        <v>45452.153471999998</v>
      </c>
      <c r="B2285" s="17">
        <v>68.562836000000004</v>
      </c>
      <c r="C2285" s="18"/>
      <c r="D2285" s="19"/>
    </row>
    <row r="2286" spans="1:4" x14ac:dyDescent="0.3">
      <c r="A2286" s="20">
        <v>45452.154167000001</v>
      </c>
      <c r="B2286" s="17">
        <v>68.832528999999994</v>
      </c>
      <c r="C2286" s="18"/>
      <c r="D2286" s="19"/>
    </row>
    <row r="2287" spans="1:4" x14ac:dyDescent="0.3">
      <c r="A2287" s="20">
        <v>45452.154861000003</v>
      </c>
      <c r="B2287" s="17">
        <v>69.659531000000001</v>
      </c>
      <c r="C2287" s="18"/>
      <c r="D2287" s="19"/>
    </row>
    <row r="2288" spans="1:4" x14ac:dyDescent="0.3">
      <c r="A2288" s="20">
        <v>45452.155555999998</v>
      </c>
      <c r="B2288" s="17">
        <v>68.794443999999999</v>
      </c>
      <c r="C2288" s="18"/>
      <c r="D2288" s="19"/>
    </row>
    <row r="2289" spans="1:4" x14ac:dyDescent="0.3">
      <c r="A2289" s="20">
        <v>45452.15625</v>
      </c>
      <c r="B2289" s="17">
        <v>69.171830999999997</v>
      </c>
      <c r="C2289" s="18"/>
      <c r="D2289" s="19"/>
    </row>
    <row r="2290" spans="1:4" x14ac:dyDescent="0.3">
      <c r="A2290" s="20">
        <v>45452.156944000002</v>
      </c>
      <c r="B2290" s="17">
        <v>68.701697999999993</v>
      </c>
      <c r="C2290" s="18"/>
      <c r="D2290" s="19"/>
    </row>
    <row r="2291" spans="1:4" x14ac:dyDescent="0.3">
      <c r="A2291" s="20">
        <v>45452.157638999997</v>
      </c>
      <c r="B2291" s="17">
        <v>68.849682999999999</v>
      </c>
      <c r="C2291" s="18"/>
      <c r="D2291" s="19"/>
    </row>
    <row r="2292" spans="1:4" x14ac:dyDescent="0.3">
      <c r="A2292" s="20">
        <v>45452.158332999999</v>
      </c>
      <c r="B2292" s="17">
        <v>69.169644000000005</v>
      </c>
      <c r="C2292" s="18"/>
      <c r="D2292" s="19"/>
    </row>
    <row r="2293" spans="1:4" x14ac:dyDescent="0.3">
      <c r="A2293" s="20">
        <v>45452.159028000002</v>
      </c>
      <c r="B2293" s="17">
        <v>69.099873000000002</v>
      </c>
      <c r="C2293" s="18"/>
      <c r="D2293" s="19"/>
    </row>
    <row r="2294" spans="1:4" x14ac:dyDescent="0.3">
      <c r="A2294" s="20">
        <v>45452.159721999997</v>
      </c>
      <c r="B2294" s="17">
        <v>69.345257000000004</v>
      </c>
      <c r="C2294" s="18"/>
      <c r="D2294" s="19"/>
    </row>
    <row r="2295" spans="1:4" x14ac:dyDescent="0.3">
      <c r="A2295" s="20">
        <v>45452.160416999999</v>
      </c>
      <c r="B2295" s="17">
        <v>69.136797000000001</v>
      </c>
      <c r="C2295" s="18"/>
      <c r="D2295" s="19"/>
    </row>
    <row r="2296" spans="1:4" x14ac:dyDescent="0.3">
      <c r="A2296" s="20">
        <v>45452.161111000001</v>
      </c>
      <c r="B2296" s="17">
        <v>69.023351000000005</v>
      </c>
      <c r="C2296" s="18"/>
      <c r="D2296" s="19"/>
    </row>
    <row r="2297" spans="1:4" x14ac:dyDescent="0.3">
      <c r="A2297" s="20">
        <v>45452.161805999996</v>
      </c>
      <c r="B2297" s="17">
        <v>68.693393</v>
      </c>
      <c r="C2297" s="18"/>
      <c r="D2297" s="19"/>
    </row>
    <row r="2298" spans="1:4" x14ac:dyDescent="0.3">
      <c r="A2298" s="20">
        <v>45452.162499999999</v>
      </c>
      <c r="B2298" s="17">
        <v>68.819057999999998</v>
      </c>
      <c r="C2298" s="18"/>
      <c r="D2298" s="19"/>
    </row>
    <row r="2299" spans="1:4" x14ac:dyDescent="0.3">
      <c r="A2299" s="20">
        <v>45452.163194000001</v>
      </c>
      <c r="B2299" s="17">
        <v>69.062764999999999</v>
      </c>
      <c r="C2299" s="18"/>
      <c r="D2299" s="19"/>
    </row>
    <row r="2300" spans="1:4" x14ac:dyDescent="0.3">
      <c r="A2300" s="20">
        <v>45452.163889000003</v>
      </c>
      <c r="B2300" s="17">
        <v>69.237741</v>
      </c>
      <c r="C2300" s="18"/>
      <c r="D2300" s="19"/>
    </row>
    <row r="2301" spans="1:4" x14ac:dyDescent="0.3">
      <c r="A2301" s="20">
        <v>45452.164582999998</v>
      </c>
      <c r="B2301" s="17">
        <v>69.010817000000003</v>
      </c>
      <c r="C2301" s="18"/>
      <c r="D2301" s="19"/>
    </row>
    <row r="2302" spans="1:4" x14ac:dyDescent="0.3">
      <c r="A2302" s="20">
        <v>45452.165278</v>
      </c>
      <c r="B2302" s="17">
        <v>69.016433000000006</v>
      </c>
      <c r="C2302" s="18"/>
      <c r="D2302" s="19"/>
    </row>
    <row r="2303" spans="1:4" x14ac:dyDescent="0.3">
      <c r="A2303" s="20">
        <v>45452.165972000003</v>
      </c>
      <c r="B2303" s="17">
        <v>69.181803000000002</v>
      </c>
      <c r="C2303" s="18"/>
      <c r="D2303" s="19"/>
    </row>
    <row r="2304" spans="1:4" x14ac:dyDescent="0.3">
      <c r="A2304" s="20">
        <v>45452.166666999998</v>
      </c>
      <c r="B2304" s="17">
        <v>68.755489999999995</v>
      </c>
      <c r="C2304" s="18"/>
      <c r="D2304" s="19"/>
    </row>
    <row r="2305" spans="1:4" x14ac:dyDescent="0.3">
      <c r="A2305" s="20">
        <v>45452.167361</v>
      </c>
      <c r="B2305" s="17">
        <v>68.659497999999999</v>
      </c>
      <c r="C2305" s="18"/>
      <c r="D2305" s="19"/>
    </row>
    <row r="2306" spans="1:4" x14ac:dyDescent="0.3">
      <c r="A2306" s="20">
        <v>45452.168056000002</v>
      </c>
      <c r="B2306" s="17">
        <v>69.212227999999996</v>
      </c>
      <c r="C2306" s="18"/>
      <c r="D2306" s="19"/>
    </row>
    <row r="2307" spans="1:4" x14ac:dyDescent="0.3">
      <c r="A2307" s="20">
        <v>45452.168749999997</v>
      </c>
      <c r="B2307" s="17">
        <v>68.733967000000007</v>
      </c>
      <c r="C2307" s="18"/>
      <c r="D2307" s="19"/>
    </row>
    <row r="2308" spans="1:4" x14ac:dyDescent="0.3">
      <c r="A2308" s="20">
        <v>45452.169443999999</v>
      </c>
      <c r="B2308" s="17">
        <v>69.099129000000005</v>
      </c>
      <c r="C2308" s="18"/>
      <c r="D2308" s="19"/>
    </row>
    <row r="2309" spans="1:4" x14ac:dyDescent="0.3">
      <c r="A2309" s="20">
        <v>45452.170139000002</v>
      </c>
      <c r="B2309" s="17">
        <v>68.743758</v>
      </c>
      <c r="C2309" s="18"/>
      <c r="D2309" s="19"/>
    </row>
    <row r="2310" spans="1:4" x14ac:dyDescent="0.3">
      <c r="A2310" s="20">
        <v>45452.170832999996</v>
      </c>
      <c r="B2310" s="17">
        <v>68.750483000000003</v>
      </c>
      <c r="C2310" s="18"/>
      <c r="D2310" s="19"/>
    </row>
    <row r="2311" spans="1:4" x14ac:dyDescent="0.3">
      <c r="A2311" s="20">
        <v>45452.171527999999</v>
      </c>
      <c r="B2311" s="17">
        <v>69.743947000000006</v>
      </c>
      <c r="C2311" s="18"/>
      <c r="D2311" s="19"/>
    </row>
    <row r="2312" spans="1:4" x14ac:dyDescent="0.3">
      <c r="A2312" s="20">
        <v>45452.172222000001</v>
      </c>
      <c r="B2312" s="17">
        <v>69.125206000000006</v>
      </c>
      <c r="C2312" s="18"/>
      <c r="D2312" s="19"/>
    </row>
    <row r="2313" spans="1:4" x14ac:dyDescent="0.3">
      <c r="A2313" s="20">
        <v>45452.172917000004</v>
      </c>
      <c r="B2313" s="17">
        <v>69.164623000000006</v>
      </c>
      <c r="C2313" s="18"/>
      <c r="D2313" s="19"/>
    </row>
    <row r="2314" spans="1:4" x14ac:dyDescent="0.3">
      <c r="A2314" s="20">
        <v>45452.173610999998</v>
      </c>
      <c r="B2314" s="17">
        <v>68.819019999999995</v>
      </c>
      <c r="C2314" s="18"/>
      <c r="D2314" s="19"/>
    </row>
    <row r="2315" spans="1:4" x14ac:dyDescent="0.3">
      <c r="A2315" s="20">
        <v>45452.174306000001</v>
      </c>
      <c r="B2315" s="17">
        <v>68.848630999999997</v>
      </c>
      <c r="C2315" s="18"/>
      <c r="D2315" s="19"/>
    </row>
    <row r="2316" spans="1:4" x14ac:dyDescent="0.3">
      <c r="A2316" s="20">
        <v>45452.175000000003</v>
      </c>
      <c r="B2316" s="17">
        <v>69.552244000000002</v>
      </c>
      <c r="C2316" s="18"/>
      <c r="D2316" s="19"/>
    </row>
    <row r="2317" spans="1:4" x14ac:dyDescent="0.3">
      <c r="A2317" s="20">
        <v>45452.175693999998</v>
      </c>
      <c r="B2317" s="17">
        <v>69.467922000000002</v>
      </c>
      <c r="C2317" s="18"/>
      <c r="D2317" s="19"/>
    </row>
    <row r="2318" spans="1:4" x14ac:dyDescent="0.3">
      <c r="A2318" s="20">
        <v>45452.176389</v>
      </c>
      <c r="B2318" s="17">
        <v>69.281188999999998</v>
      </c>
      <c r="C2318" s="18"/>
      <c r="D2318" s="19"/>
    </row>
    <row r="2319" spans="1:4" x14ac:dyDescent="0.3">
      <c r="A2319" s="20">
        <v>45452.177083000002</v>
      </c>
      <c r="B2319" s="17">
        <v>69.956553999999997</v>
      </c>
      <c r="C2319" s="18"/>
      <c r="D2319" s="19"/>
    </row>
    <row r="2320" spans="1:4" x14ac:dyDescent="0.3">
      <c r="A2320" s="20">
        <v>45452.177777999997</v>
      </c>
      <c r="B2320" s="17">
        <v>68.360506000000001</v>
      </c>
      <c r="C2320" s="18"/>
      <c r="D2320" s="19"/>
    </row>
    <row r="2321" spans="1:4" x14ac:dyDescent="0.3">
      <c r="A2321" s="20">
        <v>45452.178472</v>
      </c>
      <c r="B2321" s="17">
        <v>68.819363999999993</v>
      </c>
      <c r="C2321" s="18"/>
      <c r="D2321" s="19"/>
    </row>
    <row r="2322" spans="1:4" x14ac:dyDescent="0.3">
      <c r="A2322" s="20">
        <v>45452.179167000002</v>
      </c>
      <c r="B2322" s="17">
        <v>69.092438000000001</v>
      </c>
      <c r="C2322" s="18"/>
      <c r="D2322" s="19"/>
    </row>
    <row r="2323" spans="1:4" x14ac:dyDescent="0.3">
      <c r="A2323" s="20">
        <v>45452.179860999997</v>
      </c>
      <c r="B2323" s="17">
        <v>69.100470000000001</v>
      </c>
      <c r="C2323" s="18"/>
      <c r="D2323" s="19"/>
    </row>
    <row r="2324" spans="1:4" x14ac:dyDescent="0.3">
      <c r="A2324" s="20">
        <v>45452.180555999999</v>
      </c>
      <c r="B2324" s="17">
        <v>69.210459</v>
      </c>
      <c r="C2324" s="18"/>
      <c r="D2324" s="19"/>
    </row>
    <row r="2325" spans="1:4" x14ac:dyDescent="0.3">
      <c r="A2325" s="20">
        <v>45452.181250000001</v>
      </c>
      <c r="B2325" s="17">
        <v>68.836010999999999</v>
      </c>
      <c r="C2325" s="18"/>
      <c r="D2325" s="19"/>
    </row>
    <row r="2326" spans="1:4" x14ac:dyDescent="0.3">
      <c r="A2326" s="20">
        <v>45452.181944000004</v>
      </c>
      <c r="B2326" s="17">
        <v>69.384302000000005</v>
      </c>
      <c r="C2326" s="18"/>
      <c r="D2326" s="19"/>
    </row>
    <row r="2327" spans="1:4" x14ac:dyDescent="0.3">
      <c r="A2327" s="20">
        <v>45452.182638999999</v>
      </c>
      <c r="B2327" s="17">
        <v>69.077275999999998</v>
      </c>
      <c r="C2327" s="18"/>
      <c r="D2327" s="19"/>
    </row>
    <row r="2328" spans="1:4" x14ac:dyDescent="0.3">
      <c r="A2328" s="20">
        <v>45452.183333000001</v>
      </c>
      <c r="B2328" s="17">
        <v>69.235752000000005</v>
      </c>
      <c r="C2328" s="18"/>
      <c r="D2328" s="19"/>
    </row>
    <row r="2329" spans="1:4" x14ac:dyDescent="0.3">
      <c r="A2329" s="20">
        <v>45452.184028000003</v>
      </c>
      <c r="B2329" s="17">
        <v>68.970299999999995</v>
      </c>
      <c r="C2329" s="18"/>
      <c r="D2329" s="19"/>
    </row>
    <row r="2330" spans="1:4" x14ac:dyDescent="0.3">
      <c r="A2330" s="20">
        <v>45452.184721999998</v>
      </c>
      <c r="B2330" s="17">
        <v>69.199280999999999</v>
      </c>
      <c r="C2330" s="18"/>
      <c r="D2330" s="19"/>
    </row>
    <row r="2331" spans="1:4" x14ac:dyDescent="0.3">
      <c r="A2331" s="20">
        <v>45452.185417000001</v>
      </c>
      <c r="B2331" s="17">
        <v>68.860134000000002</v>
      </c>
      <c r="C2331" s="18"/>
      <c r="D2331" s="19"/>
    </row>
    <row r="2332" spans="1:4" x14ac:dyDescent="0.3">
      <c r="A2332" s="20">
        <v>45452.186111000003</v>
      </c>
      <c r="B2332" s="17">
        <v>69.673582999999994</v>
      </c>
      <c r="C2332" s="18"/>
      <c r="D2332" s="19"/>
    </row>
    <row r="2333" spans="1:4" x14ac:dyDescent="0.3">
      <c r="A2333" s="20">
        <v>45452.186805999998</v>
      </c>
      <c r="B2333" s="17">
        <v>69.401911999999996</v>
      </c>
      <c r="C2333" s="18"/>
      <c r="D2333" s="19"/>
    </row>
    <row r="2334" spans="1:4" x14ac:dyDescent="0.3">
      <c r="A2334" s="20">
        <v>45452.1875</v>
      </c>
      <c r="B2334" s="17">
        <v>69.326078999999993</v>
      </c>
      <c r="C2334" s="18"/>
      <c r="D2334" s="19"/>
    </row>
    <row r="2335" spans="1:4" x14ac:dyDescent="0.3">
      <c r="A2335" s="20">
        <v>45452.188194000002</v>
      </c>
      <c r="B2335" s="17">
        <v>69.168003999999996</v>
      </c>
      <c r="C2335" s="18"/>
      <c r="D2335" s="19"/>
    </row>
    <row r="2336" spans="1:4" x14ac:dyDescent="0.3">
      <c r="A2336" s="20">
        <v>45452.188888999997</v>
      </c>
      <c r="B2336" s="17">
        <v>68.885741999999993</v>
      </c>
      <c r="C2336" s="18"/>
      <c r="D2336" s="19"/>
    </row>
    <row r="2337" spans="1:4" x14ac:dyDescent="0.3">
      <c r="A2337" s="20">
        <v>45452.189582999999</v>
      </c>
      <c r="B2337" s="17">
        <v>69.454229999999995</v>
      </c>
      <c r="C2337" s="18"/>
      <c r="D2337" s="19"/>
    </row>
    <row r="2338" spans="1:4" x14ac:dyDescent="0.3">
      <c r="A2338" s="20">
        <v>45452.190278000002</v>
      </c>
      <c r="B2338" s="17">
        <v>68.893294999999995</v>
      </c>
      <c r="C2338" s="18"/>
      <c r="D2338" s="19"/>
    </row>
    <row r="2339" spans="1:4" x14ac:dyDescent="0.3">
      <c r="A2339" s="20">
        <v>45452.190971999997</v>
      </c>
      <c r="B2339" s="17">
        <v>69.803792000000001</v>
      </c>
      <c r="C2339" s="18"/>
      <c r="D2339" s="19"/>
    </row>
    <row r="2340" spans="1:4" x14ac:dyDescent="0.3">
      <c r="A2340" s="20">
        <v>45452.191666999999</v>
      </c>
      <c r="B2340" s="17">
        <v>69.158527000000007</v>
      </c>
      <c r="C2340" s="18"/>
      <c r="D2340" s="19"/>
    </row>
    <row r="2341" spans="1:4" x14ac:dyDescent="0.3">
      <c r="A2341" s="20">
        <v>45452.192361000001</v>
      </c>
      <c r="B2341" s="17">
        <v>69.532647999999995</v>
      </c>
      <c r="C2341" s="18"/>
      <c r="D2341" s="19"/>
    </row>
    <row r="2342" spans="1:4" x14ac:dyDescent="0.3">
      <c r="A2342" s="20">
        <v>45452.193055999996</v>
      </c>
      <c r="B2342" s="17">
        <v>68.594869000000003</v>
      </c>
      <c r="C2342" s="18"/>
      <c r="D2342" s="19"/>
    </row>
    <row r="2343" spans="1:4" x14ac:dyDescent="0.3">
      <c r="A2343" s="20">
        <v>45452.193749999999</v>
      </c>
      <c r="B2343" s="17">
        <v>69.134112000000002</v>
      </c>
      <c r="C2343" s="18"/>
      <c r="D2343" s="19"/>
    </row>
    <row r="2344" spans="1:4" x14ac:dyDescent="0.3">
      <c r="A2344" s="20">
        <v>45452.194444000001</v>
      </c>
      <c r="B2344" s="17">
        <v>68.911968000000002</v>
      </c>
      <c r="C2344" s="18"/>
      <c r="D2344" s="19"/>
    </row>
    <row r="2345" spans="1:4" x14ac:dyDescent="0.3">
      <c r="A2345" s="20">
        <v>45452.195139000003</v>
      </c>
      <c r="B2345" s="17">
        <v>69.052839000000006</v>
      </c>
      <c r="C2345" s="18"/>
      <c r="D2345" s="19"/>
    </row>
    <row r="2346" spans="1:4" x14ac:dyDescent="0.3">
      <c r="A2346" s="20">
        <v>45452.195832999998</v>
      </c>
      <c r="B2346" s="17">
        <v>69.170310000000001</v>
      </c>
      <c r="C2346" s="18"/>
      <c r="D2346" s="19"/>
    </row>
    <row r="2347" spans="1:4" x14ac:dyDescent="0.3">
      <c r="A2347" s="20">
        <v>45452.196528</v>
      </c>
      <c r="B2347" s="17">
        <v>69.014602999999994</v>
      </c>
      <c r="C2347" s="18"/>
      <c r="D2347" s="19"/>
    </row>
    <row r="2348" spans="1:4" x14ac:dyDescent="0.3">
      <c r="A2348" s="20">
        <v>45452.197222000003</v>
      </c>
      <c r="B2348" s="17">
        <v>68.591442999999998</v>
      </c>
      <c r="C2348" s="18"/>
      <c r="D2348" s="19"/>
    </row>
    <row r="2349" spans="1:4" x14ac:dyDescent="0.3">
      <c r="A2349" s="20">
        <v>45452.197916999998</v>
      </c>
      <c r="B2349" s="17">
        <v>69.616624000000002</v>
      </c>
      <c r="C2349" s="18"/>
      <c r="D2349" s="19"/>
    </row>
    <row r="2350" spans="1:4" x14ac:dyDescent="0.3">
      <c r="A2350" s="20">
        <v>45452.198611</v>
      </c>
      <c r="B2350" s="17">
        <v>69.025155999999996</v>
      </c>
      <c r="C2350" s="18"/>
      <c r="D2350" s="19"/>
    </row>
    <row r="2351" spans="1:4" x14ac:dyDescent="0.3">
      <c r="A2351" s="20">
        <v>45452.199306000002</v>
      </c>
      <c r="B2351" s="17">
        <v>69.160092000000006</v>
      </c>
      <c r="C2351" s="18"/>
      <c r="D2351" s="19"/>
    </row>
    <row r="2352" spans="1:4" x14ac:dyDescent="0.3">
      <c r="A2352" s="20">
        <v>45452.2</v>
      </c>
      <c r="B2352" s="17">
        <v>68.788630999999995</v>
      </c>
      <c r="C2352" s="18"/>
      <c r="D2352" s="19"/>
    </row>
    <row r="2353" spans="1:4" x14ac:dyDescent="0.3">
      <c r="A2353" s="20">
        <v>45452.200693999999</v>
      </c>
      <c r="B2353" s="17">
        <v>69.065186999999995</v>
      </c>
      <c r="C2353" s="18"/>
      <c r="D2353" s="19"/>
    </row>
    <row r="2354" spans="1:4" x14ac:dyDescent="0.3">
      <c r="A2354" s="20">
        <v>45452.201389000002</v>
      </c>
      <c r="B2354" s="17">
        <v>69.524512000000001</v>
      </c>
      <c r="C2354" s="18"/>
      <c r="D2354" s="19"/>
    </row>
    <row r="2355" spans="1:4" x14ac:dyDescent="0.3">
      <c r="A2355" s="20">
        <v>45452.202082999996</v>
      </c>
      <c r="B2355" s="17">
        <v>69.706457</v>
      </c>
      <c r="C2355" s="18"/>
      <c r="D2355" s="19"/>
    </row>
    <row r="2356" spans="1:4" x14ac:dyDescent="0.3">
      <c r="A2356" s="20">
        <v>45452.202777999999</v>
      </c>
      <c r="B2356" s="17">
        <v>68.889577000000003</v>
      </c>
      <c r="C2356" s="18"/>
      <c r="D2356" s="19"/>
    </row>
    <row r="2357" spans="1:4" x14ac:dyDescent="0.3">
      <c r="A2357" s="20">
        <v>45452.203472000001</v>
      </c>
      <c r="B2357" s="17">
        <v>69.438672999999994</v>
      </c>
      <c r="C2357" s="18"/>
      <c r="D2357" s="19"/>
    </row>
    <row r="2358" spans="1:4" x14ac:dyDescent="0.3">
      <c r="A2358" s="20">
        <v>45452.204167000004</v>
      </c>
      <c r="B2358" s="17">
        <v>69.247940999999997</v>
      </c>
      <c r="C2358" s="18"/>
      <c r="D2358" s="19"/>
    </row>
    <row r="2359" spans="1:4" x14ac:dyDescent="0.3">
      <c r="A2359" s="20">
        <v>45452.204860999998</v>
      </c>
      <c r="B2359" s="17">
        <v>69.131642999999997</v>
      </c>
      <c r="C2359" s="18"/>
      <c r="D2359" s="19"/>
    </row>
    <row r="2360" spans="1:4" x14ac:dyDescent="0.3">
      <c r="A2360" s="20">
        <v>45452.205556000001</v>
      </c>
      <c r="B2360" s="17">
        <v>69.168356000000003</v>
      </c>
      <c r="C2360" s="18"/>
      <c r="D2360" s="19"/>
    </row>
    <row r="2361" spans="1:4" x14ac:dyDescent="0.3">
      <c r="A2361" s="20">
        <v>45452.206250000003</v>
      </c>
      <c r="B2361" s="17">
        <v>69.828258000000005</v>
      </c>
      <c r="C2361" s="18"/>
      <c r="D2361" s="19"/>
    </row>
    <row r="2362" spans="1:4" x14ac:dyDescent="0.3">
      <c r="A2362" s="20">
        <v>45452.206943999998</v>
      </c>
      <c r="B2362" s="17">
        <v>69.266400000000004</v>
      </c>
      <c r="C2362" s="18"/>
      <c r="D2362" s="19"/>
    </row>
    <row r="2363" spans="1:4" x14ac:dyDescent="0.3">
      <c r="A2363" s="20">
        <v>45452.207639</v>
      </c>
      <c r="B2363" s="17">
        <v>68.725212999999997</v>
      </c>
      <c r="C2363" s="18"/>
      <c r="D2363" s="19"/>
    </row>
    <row r="2364" spans="1:4" x14ac:dyDescent="0.3">
      <c r="A2364" s="20">
        <v>45452.208333000002</v>
      </c>
      <c r="B2364" s="17">
        <v>68.807941</v>
      </c>
      <c r="C2364" s="18"/>
      <c r="D2364" s="19"/>
    </row>
    <row r="2365" spans="1:4" x14ac:dyDescent="0.3">
      <c r="A2365" s="20">
        <v>45452.209027999997</v>
      </c>
      <c r="B2365" s="17">
        <v>69.552661000000001</v>
      </c>
      <c r="C2365" s="18"/>
      <c r="D2365" s="19"/>
    </row>
    <row r="2366" spans="1:4" x14ac:dyDescent="0.3">
      <c r="A2366" s="20">
        <v>45452.209722</v>
      </c>
      <c r="B2366" s="17">
        <v>69.137882000000005</v>
      </c>
      <c r="C2366" s="18"/>
      <c r="D2366" s="19"/>
    </row>
    <row r="2367" spans="1:4" x14ac:dyDescent="0.3">
      <c r="A2367" s="20">
        <v>45452.210417000002</v>
      </c>
      <c r="B2367" s="17">
        <v>69.032821999999996</v>
      </c>
      <c r="C2367" s="18"/>
      <c r="D2367" s="19"/>
    </row>
    <row r="2368" spans="1:4" x14ac:dyDescent="0.3">
      <c r="A2368" s="20">
        <v>45452.211110999997</v>
      </c>
      <c r="B2368" s="17">
        <v>68.880256000000003</v>
      </c>
      <c r="C2368" s="18"/>
      <c r="D2368" s="19"/>
    </row>
    <row r="2369" spans="1:4" x14ac:dyDescent="0.3">
      <c r="A2369" s="20">
        <v>45452.211805999999</v>
      </c>
      <c r="B2369" s="17">
        <v>68.987635999999995</v>
      </c>
      <c r="C2369" s="18"/>
      <c r="D2369" s="19"/>
    </row>
    <row r="2370" spans="1:4" x14ac:dyDescent="0.3">
      <c r="A2370" s="20">
        <v>45452.212500000001</v>
      </c>
      <c r="B2370" s="17">
        <v>68.948280999999994</v>
      </c>
      <c r="C2370" s="18"/>
      <c r="D2370" s="19"/>
    </row>
    <row r="2371" spans="1:4" x14ac:dyDescent="0.3">
      <c r="A2371" s="20">
        <v>45452.213194000004</v>
      </c>
      <c r="B2371" s="17">
        <v>69.004772000000003</v>
      </c>
      <c r="C2371" s="18"/>
      <c r="D2371" s="19"/>
    </row>
    <row r="2372" spans="1:4" x14ac:dyDescent="0.3">
      <c r="A2372" s="20">
        <v>45452.213888999999</v>
      </c>
      <c r="B2372" s="17">
        <v>69.570685999999995</v>
      </c>
      <c r="C2372" s="18"/>
      <c r="D2372" s="19"/>
    </row>
    <row r="2373" spans="1:4" x14ac:dyDescent="0.3">
      <c r="A2373" s="20">
        <v>45452.214583000001</v>
      </c>
      <c r="B2373" s="17">
        <v>69.242084000000006</v>
      </c>
      <c r="C2373" s="18"/>
      <c r="D2373" s="19"/>
    </row>
    <row r="2374" spans="1:4" x14ac:dyDescent="0.3">
      <c r="A2374" s="20">
        <v>45452.215278000003</v>
      </c>
      <c r="B2374" s="17">
        <v>68.830372999999994</v>
      </c>
      <c r="C2374" s="18"/>
      <c r="D2374" s="19"/>
    </row>
    <row r="2375" spans="1:4" x14ac:dyDescent="0.3">
      <c r="A2375" s="20">
        <v>45452.215971999998</v>
      </c>
      <c r="B2375" s="17">
        <v>69.181031000000004</v>
      </c>
      <c r="C2375" s="18"/>
      <c r="D2375" s="19"/>
    </row>
    <row r="2376" spans="1:4" x14ac:dyDescent="0.3">
      <c r="A2376" s="20">
        <v>45452.216667000001</v>
      </c>
      <c r="B2376" s="17">
        <v>68.830057999999994</v>
      </c>
      <c r="C2376" s="18"/>
      <c r="D2376" s="19"/>
    </row>
    <row r="2377" spans="1:4" x14ac:dyDescent="0.3">
      <c r="A2377" s="20">
        <v>45452.217361000003</v>
      </c>
      <c r="B2377" s="17">
        <v>68.930851000000004</v>
      </c>
      <c r="C2377" s="18"/>
      <c r="D2377" s="19"/>
    </row>
    <row r="2378" spans="1:4" x14ac:dyDescent="0.3">
      <c r="A2378" s="20">
        <v>45452.218055999998</v>
      </c>
      <c r="B2378" s="17">
        <v>69.377371999999994</v>
      </c>
      <c r="C2378" s="18"/>
      <c r="D2378" s="19"/>
    </row>
    <row r="2379" spans="1:4" x14ac:dyDescent="0.3">
      <c r="A2379" s="20">
        <v>45452.21875</v>
      </c>
      <c r="B2379" s="17">
        <v>68.773267000000004</v>
      </c>
      <c r="C2379" s="18"/>
      <c r="D2379" s="19"/>
    </row>
    <row r="2380" spans="1:4" x14ac:dyDescent="0.3">
      <c r="A2380" s="20">
        <v>45452.219444000002</v>
      </c>
      <c r="B2380" s="17">
        <v>69.254234999999994</v>
      </c>
      <c r="C2380" s="18"/>
      <c r="D2380" s="19"/>
    </row>
    <row r="2381" spans="1:4" x14ac:dyDescent="0.3">
      <c r="A2381" s="20">
        <v>45452.220138999997</v>
      </c>
      <c r="B2381" s="17">
        <v>68.641822000000005</v>
      </c>
      <c r="C2381" s="18"/>
      <c r="D2381" s="19"/>
    </row>
    <row r="2382" spans="1:4" x14ac:dyDescent="0.3">
      <c r="A2382" s="20">
        <v>45452.220832999999</v>
      </c>
      <c r="B2382" s="17">
        <v>68.970904000000004</v>
      </c>
      <c r="C2382" s="18"/>
      <c r="D2382" s="19"/>
    </row>
    <row r="2383" spans="1:4" x14ac:dyDescent="0.3">
      <c r="A2383" s="20">
        <v>45452.221528000002</v>
      </c>
      <c r="B2383" s="17">
        <v>69.100345000000004</v>
      </c>
      <c r="C2383" s="18"/>
      <c r="D2383" s="19"/>
    </row>
    <row r="2384" spans="1:4" x14ac:dyDescent="0.3">
      <c r="A2384" s="20">
        <v>45452.222221999997</v>
      </c>
      <c r="B2384" s="17">
        <v>69.035089999999997</v>
      </c>
      <c r="C2384" s="18"/>
      <c r="D2384" s="19"/>
    </row>
    <row r="2385" spans="1:4" x14ac:dyDescent="0.3">
      <c r="A2385" s="20">
        <v>45452.222916999999</v>
      </c>
      <c r="B2385" s="17">
        <v>69.105790999999996</v>
      </c>
      <c r="C2385" s="18"/>
      <c r="D2385" s="19"/>
    </row>
    <row r="2386" spans="1:4" x14ac:dyDescent="0.3">
      <c r="A2386" s="20">
        <v>45452.223611000001</v>
      </c>
      <c r="B2386" s="17">
        <v>69.867807999999997</v>
      </c>
      <c r="C2386" s="18"/>
      <c r="D2386" s="19"/>
    </row>
    <row r="2387" spans="1:4" x14ac:dyDescent="0.3">
      <c r="A2387" s="20">
        <v>45452.224305999996</v>
      </c>
      <c r="B2387" s="17">
        <v>69.331479000000002</v>
      </c>
      <c r="C2387" s="18"/>
      <c r="D2387" s="19"/>
    </row>
    <row r="2388" spans="1:4" x14ac:dyDescent="0.3">
      <c r="A2388" s="20">
        <v>45452.224999999999</v>
      </c>
      <c r="B2388" s="17">
        <v>69.249301000000003</v>
      </c>
      <c r="C2388" s="18"/>
      <c r="D2388" s="19"/>
    </row>
    <row r="2389" spans="1:4" x14ac:dyDescent="0.3">
      <c r="A2389" s="20">
        <v>45452.225694000001</v>
      </c>
      <c r="B2389" s="17">
        <v>69.172749999999994</v>
      </c>
      <c r="C2389" s="18"/>
      <c r="D2389" s="19"/>
    </row>
    <row r="2390" spans="1:4" x14ac:dyDescent="0.3">
      <c r="A2390" s="20">
        <v>45452.226389000003</v>
      </c>
      <c r="B2390" s="17">
        <v>69.461175999999995</v>
      </c>
      <c r="C2390" s="18"/>
      <c r="D2390" s="19"/>
    </row>
    <row r="2391" spans="1:4" x14ac:dyDescent="0.3">
      <c r="A2391" s="20">
        <v>45452.227082999998</v>
      </c>
      <c r="B2391" s="17">
        <v>69.469596999999993</v>
      </c>
      <c r="C2391" s="18"/>
      <c r="D2391" s="19"/>
    </row>
    <row r="2392" spans="1:4" x14ac:dyDescent="0.3">
      <c r="A2392" s="20">
        <v>45452.227778</v>
      </c>
      <c r="B2392" s="17">
        <v>69.174457000000004</v>
      </c>
      <c r="C2392" s="18"/>
      <c r="D2392" s="19"/>
    </row>
    <row r="2393" spans="1:4" x14ac:dyDescent="0.3">
      <c r="A2393" s="20">
        <v>45452.228472000003</v>
      </c>
      <c r="B2393" s="17">
        <v>69.343430999999995</v>
      </c>
      <c r="C2393" s="18"/>
      <c r="D2393" s="19"/>
    </row>
    <row r="2394" spans="1:4" x14ac:dyDescent="0.3">
      <c r="A2394" s="20">
        <v>45452.229166999998</v>
      </c>
      <c r="B2394" s="17">
        <v>68.732994000000005</v>
      </c>
      <c r="C2394" s="18"/>
      <c r="D2394" s="19"/>
    </row>
    <row r="2395" spans="1:4" x14ac:dyDescent="0.3">
      <c r="A2395" s="20">
        <v>45452.229861</v>
      </c>
      <c r="B2395" s="17">
        <v>69.738460000000003</v>
      </c>
      <c r="C2395" s="18"/>
      <c r="D2395" s="19"/>
    </row>
    <row r="2396" spans="1:4" x14ac:dyDescent="0.3">
      <c r="A2396" s="20">
        <v>45452.230556000002</v>
      </c>
      <c r="B2396" s="17">
        <v>69.119063999999995</v>
      </c>
      <c r="C2396" s="18"/>
      <c r="D2396" s="19"/>
    </row>
    <row r="2397" spans="1:4" x14ac:dyDescent="0.3">
      <c r="A2397" s="20">
        <v>45452.231249999997</v>
      </c>
      <c r="B2397" s="17">
        <v>69.564718999999997</v>
      </c>
      <c r="C2397" s="18"/>
      <c r="D2397" s="19"/>
    </row>
    <row r="2398" spans="1:4" x14ac:dyDescent="0.3">
      <c r="A2398" s="20">
        <v>45452.231943999999</v>
      </c>
      <c r="B2398" s="17">
        <v>69.171757999999997</v>
      </c>
      <c r="C2398" s="18"/>
      <c r="D2398" s="19"/>
    </row>
    <row r="2399" spans="1:4" x14ac:dyDescent="0.3">
      <c r="A2399" s="20">
        <v>45452.232639000002</v>
      </c>
      <c r="B2399" s="17">
        <v>69.605501000000004</v>
      </c>
      <c r="C2399" s="18"/>
      <c r="D2399" s="19"/>
    </row>
    <row r="2400" spans="1:4" x14ac:dyDescent="0.3">
      <c r="A2400" s="20">
        <v>45452.233332999996</v>
      </c>
      <c r="B2400" s="17">
        <v>69.314684999999997</v>
      </c>
      <c r="C2400" s="18"/>
      <c r="D2400" s="19"/>
    </row>
    <row r="2401" spans="1:4" x14ac:dyDescent="0.3">
      <c r="A2401" s="20">
        <v>45452.234027999999</v>
      </c>
      <c r="B2401" s="17">
        <v>69.206322</v>
      </c>
      <c r="C2401" s="18"/>
      <c r="D2401" s="19"/>
    </row>
    <row r="2402" spans="1:4" x14ac:dyDescent="0.3">
      <c r="A2402" s="20">
        <v>45452.234722000001</v>
      </c>
      <c r="B2402" s="17">
        <v>68.960875000000001</v>
      </c>
      <c r="C2402" s="18"/>
      <c r="D2402" s="19"/>
    </row>
    <row r="2403" spans="1:4" x14ac:dyDescent="0.3">
      <c r="A2403" s="20">
        <v>45452.235417000004</v>
      </c>
      <c r="B2403" s="17">
        <v>69.526793999999995</v>
      </c>
      <c r="C2403" s="18"/>
      <c r="D2403" s="19"/>
    </row>
    <row r="2404" spans="1:4" x14ac:dyDescent="0.3">
      <c r="A2404" s="20">
        <v>45452.236110999998</v>
      </c>
      <c r="B2404" s="17">
        <v>69.093896999999998</v>
      </c>
      <c r="C2404" s="18"/>
      <c r="D2404" s="19"/>
    </row>
    <row r="2405" spans="1:4" x14ac:dyDescent="0.3">
      <c r="A2405" s="20">
        <v>45452.236806000001</v>
      </c>
      <c r="B2405" s="17">
        <v>69.550188000000006</v>
      </c>
      <c r="C2405" s="18"/>
      <c r="D2405" s="19"/>
    </row>
    <row r="2406" spans="1:4" x14ac:dyDescent="0.3">
      <c r="A2406" s="20">
        <v>45452.237500000003</v>
      </c>
      <c r="B2406" s="17">
        <v>69.347586000000007</v>
      </c>
      <c r="C2406" s="18"/>
      <c r="D2406" s="19"/>
    </row>
    <row r="2407" spans="1:4" x14ac:dyDescent="0.3">
      <c r="A2407" s="20">
        <v>45452.238193999998</v>
      </c>
      <c r="B2407" s="17">
        <v>69.685865000000007</v>
      </c>
      <c r="C2407" s="18"/>
      <c r="D2407" s="19"/>
    </row>
    <row r="2408" spans="1:4" x14ac:dyDescent="0.3">
      <c r="A2408" s="20">
        <v>45452.238889</v>
      </c>
      <c r="B2408" s="17">
        <v>69.499422999999993</v>
      </c>
      <c r="C2408" s="18"/>
      <c r="D2408" s="19"/>
    </row>
    <row r="2409" spans="1:4" x14ac:dyDescent="0.3">
      <c r="A2409" s="20">
        <v>45452.239583000002</v>
      </c>
      <c r="B2409" s="17">
        <v>69.731797</v>
      </c>
      <c r="C2409" s="18"/>
      <c r="D2409" s="19"/>
    </row>
    <row r="2410" spans="1:4" x14ac:dyDescent="0.3">
      <c r="A2410" s="20">
        <v>45452.240277999997</v>
      </c>
      <c r="B2410" s="17">
        <v>69.350002000000003</v>
      </c>
      <c r="C2410" s="18"/>
      <c r="D2410" s="19"/>
    </row>
    <row r="2411" spans="1:4" x14ac:dyDescent="0.3">
      <c r="A2411" s="20">
        <v>45452.240972</v>
      </c>
      <c r="B2411" s="17">
        <v>69.856836999999999</v>
      </c>
      <c r="C2411" s="18"/>
      <c r="D2411" s="19"/>
    </row>
    <row r="2412" spans="1:4" x14ac:dyDescent="0.3">
      <c r="A2412" s="20">
        <v>45452.241667000002</v>
      </c>
      <c r="B2412" s="17">
        <v>69.327731999999997</v>
      </c>
      <c r="C2412" s="18"/>
      <c r="D2412" s="19"/>
    </row>
    <row r="2413" spans="1:4" x14ac:dyDescent="0.3">
      <c r="A2413" s="20">
        <v>45452.242360999997</v>
      </c>
      <c r="B2413" s="17">
        <v>69.731879000000006</v>
      </c>
      <c r="C2413" s="18"/>
      <c r="D2413" s="19"/>
    </row>
    <row r="2414" spans="1:4" x14ac:dyDescent="0.3">
      <c r="A2414" s="20">
        <v>45452.243055999999</v>
      </c>
      <c r="B2414" s="17">
        <v>69.500589000000005</v>
      </c>
      <c r="C2414" s="18"/>
      <c r="D2414" s="19"/>
    </row>
    <row r="2415" spans="1:4" x14ac:dyDescent="0.3">
      <c r="A2415" s="20">
        <v>45452.243750000001</v>
      </c>
      <c r="B2415" s="17">
        <v>69.285713000000001</v>
      </c>
      <c r="C2415" s="18"/>
      <c r="D2415" s="19"/>
    </row>
    <row r="2416" spans="1:4" x14ac:dyDescent="0.3">
      <c r="A2416" s="20">
        <v>45452.244444000004</v>
      </c>
      <c r="B2416" s="17">
        <v>69.718926999999994</v>
      </c>
      <c r="C2416" s="18"/>
      <c r="D2416" s="19"/>
    </row>
    <row r="2417" spans="1:4" x14ac:dyDescent="0.3">
      <c r="A2417" s="20">
        <v>45452.245138999999</v>
      </c>
      <c r="B2417" s="17">
        <v>69.594458000000003</v>
      </c>
      <c r="C2417" s="18"/>
      <c r="D2417" s="19"/>
    </row>
    <row r="2418" spans="1:4" x14ac:dyDescent="0.3">
      <c r="A2418" s="20">
        <v>45452.245833000001</v>
      </c>
      <c r="B2418" s="17">
        <v>70.196511000000001</v>
      </c>
      <c r="C2418" s="18"/>
      <c r="D2418" s="19"/>
    </row>
    <row r="2419" spans="1:4" x14ac:dyDescent="0.3">
      <c r="A2419" s="20">
        <v>45452.246528000003</v>
      </c>
      <c r="B2419" s="17">
        <v>69.993274999999997</v>
      </c>
      <c r="C2419" s="18"/>
      <c r="D2419" s="19"/>
    </row>
    <row r="2420" spans="1:4" x14ac:dyDescent="0.3">
      <c r="A2420" s="20">
        <v>45452.247221999998</v>
      </c>
      <c r="B2420" s="17">
        <v>69.519336999999993</v>
      </c>
      <c r="C2420" s="18"/>
      <c r="D2420" s="19"/>
    </row>
    <row r="2421" spans="1:4" x14ac:dyDescent="0.3">
      <c r="A2421" s="20">
        <v>45452.247917000001</v>
      </c>
      <c r="B2421" s="17">
        <v>70.210932999999997</v>
      </c>
      <c r="C2421" s="18"/>
      <c r="D2421" s="19"/>
    </row>
    <row r="2422" spans="1:4" x14ac:dyDescent="0.3">
      <c r="A2422" s="20">
        <v>45452.248611000003</v>
      </c>
      <c r="B2422" s="17">
        <v>68.939728000000002</v>
      </c>
      <c r="C2422" s="18"/>
      <c r="D2422" s="19"/>
    </row>
    <row r="2423" spans="1:4" x14ac:dyDescent="0.3">
      <c r="A2423" s="20">
        <v>45452.249305999998</v>
      </c>
      <c r="B2423" s="17">
        <v>69.834618000000006</v>
      </c>
      <c r="C2423" s="18"/>
      <c r="D2423" s="19"/>
    </row>
    <row r="2424" spans="1:4" x14ac:dyDescent="0.3">
      <c r="A2424" s="20">
        <v>45452.25</v>
      </c>
      <c r="B2424" s="17">
        <v>69.639840000000007</v>
      </c>
      <c r="C2424" s="18"/>
      <c r="D2424" s="19"/>
    </row>
    <row r="2425" spans="1:4" x14ac:dyDescent="0.3">
      <c r="A2425" s="20">
        <v>45452.250694000002</v>
      </c>
      <c r="B2425" s="17">
        <v>69.751013</v>
      </c>
      <c r="C2425" s="18"/>
      <c r="D2425" s="19"/>
    </row>
    <row r="2426" spans="1:4" x14ac:dyDescent="0.3">
      <c r="A2426" s="20">
        <v>45452.251388999997</v>
      </c>
      <c r="B2426" s="17">
        <v>70.047720999999996</v>
      </c>
      <c r="C2426" s="18"/>
      <c r="D2426" s="19"/>
    </row>
    <row r="2427" spans="1:4" x14ac:dyDescent="0.3">
      <c r="A2427" s="20">
        <v>45452.252082999999</v>
      </c>
      <c r="B2427" s="17">
        <v>69.501339000000002</v>
      </c>
      <c r="C2427" s="18"/>
      <c r="D2427" s="19"/>
    </row>
    <row r="2428" spans="1:4" x14ac:dyDescent="0.3">
      <c r="A2428" s="20">
        <v>45452.252778000002</v>
      </c>
      <c r="B2428" s="17">
        <v>70.052132</v>
      </c>
      <c r="C2428" s="18"/>
      <c r="D2428" s="19"/>
    </row>
    <row r="2429" spans="1:4" x14ac:dyDescent="0.3">
      <c r="A2429" s="20">
        <v>45452.253471999997</v>
      </c>
      <c r="B2429" s="17">
        <v>69.449546999999995</v>
      </c>
      <c r="C2429" s="18"/>
      <c r="D2429" s="19"/>
    </row>
    <row r="2430" spans="1:4" x14ac:dyDescent="0.3">
      <c r="A2430" s="20">
        <v>45452.254166999999</v>
      </c>
      <c r="B2430" s="17">
        <v>69.160374000000004</v>
      </c>
      <c r="C2430" s="18"/>
      <c r="D2430" s="19"/>
    </row>
    <row r="2431" spans="1:4" x14ac:dyDescent="0.3">
      <c r="A2431" s="20">
        <v>45452.254861000001</v>
      </c>
      <c r="B2431" s="17">
        <v>69.700219000000004</v>
      </c>
      <c r="C2431" s="18"/>
      <c r="D2431" s="19"/>
    </row>
    <row r="2432" spans="1:4" x14ac:dyDescent="0.3">
      <c r="A2432" s="20">
        <v>45452.255555999996</v>
      </c>
      <c r="B2432" s="17">
        <v>69.530362999999994</v>
      </c>
      <c r="C2432" s="18"/>
      <c r="D2432" s="19"/>
    </row>
    <row r="2433" spans="1:4" x14ac:dyDescent="0.3">
      <c r="A2433" s="20">
        <v>45452.256249999999</v>
      </c>
      <c r="B2433" s="17">
        <v>69.488059000000007</v>
      </c>
      <c r="C2433" s="18"/>
      <c r="D2433" s="19"/>
    </row>
    <row r="2434" spans="1:4" x14ac:dyDescent="0.3">
      <c r="A2434" s="20">
        <v>45452.256944000001</v>
      </c>
      <c r="B2434" s="17">
        <v>69.675740000000005</v>
      </c>
      <c r="C2434" s="18"/>
      <c r="D2434" s="19"/>
    </row>
    <row r="2435" spans="1:4" x14ac:dyDescent="0.3">
      <c r="A2435" s="20">
        <v>45452.257639000003</v>
      </c>
      <c r="B2435" s="17">
        <v>69.672940999999994</v>
      </c>
      <c r="C2435" s="18"/>
      <c r="D2435" s="19"/>
    </row>
    <row r="2436" spans="1:4" x14ac:dyDescent="0.3">
      <c r="A2436" s="20">
        <v>45452.258332999998</v>
      </c>
      <c r="B2436" s="17">
        <v>69.497350999999995</v>
      </c>
      <c r="C2436" s="18"/>
      <c r="D2436" s="19"/>
    </row>
    <row r="2437" spans="1:4" x14ac:dyDescent="0.3">
      <c r="A2437" s="20">
        <v>45452.259028</v>
      </c>
      <c r="B2437" s="17">
        <v>70.172033999999996</v>
      </c>
      <c r="C2437" s="18"/>
      <c r="D2437" s="19"/>
    </row>
    <row r="2438" spans="1:4" x14ac:dyDescent="0.3">
      <c r="A2438" s="20">
        <v>45452.259722000003</v>
      </c>
      <c r="B2438" s="17">
        <v>69.099732000000003</v>
      </c>
      <c r="C2438" s="18"/>
      <c r="D2438" s="19"/>
    </row>
    <row r="2439" spans="1:4" x14ac:dyDescent="0.3">
      <c r="A2439" s="20">
        <v>45452.260416999998</v>
      </c>
      <c r="B2439" s="17">
        <v>69.565988000000004</v>
      </c>
      <c r="C2439" s="18"/>
      <c r="D2439" s="19"/>
    </row>
    <row r="2440" spans="1:4" x14ac:dyDescent="0.3">
      <c r="A2440" s="20">
        <v>45452.261111</v>
      </c>
      <c r="B2440" s="17">
        <v>69.816289999999995</v>
      </c>
      <c r="C2440" s="18"/>
      <c r="D2440" s="19"/>
    </row>
    <row r="2441" spans="1:4" x14ac:dyDescent="0.3">
      <c r="A2441" s="20">
        <v>45452.261806000002</v>
      </c>
      <c r="B2441" s="17">
        <v>69.499027999999996</v>
      </c>
      <c r="C2441" s="18"/>
      <c r="D2441" s="19"/>
    </row>
    <row r="2442" spans="1:4" x14ac:dyDescent="0.3">
      <c r="A2442" s="20">
        <v>45452.262499999997</v>
      </c>
      <c r="B2442" s="17">
        <v>69.906831999999994</v>
      </c>
      <c r="C2442" s="18"/>
      <c r="D2442" s="19"/>
    </row>
    <row r="2443" spans="1:4" x14ac:dyDescent="0.3">
      <c r="A2443" s="20">
        <v>45452.263193999999</v>
      </c>
      <c r="B2443" s="17">
        <v>69.488071000000005</v>
      </c>
      <c r="C2443" s="18"/>
      <c r="D2443" s="19"/>
    </row>
    <row r="2444" spans="1:4" x14ac:dyDescent="0.3">
      <c r="A2444" s="20">
        <v>45452.263889000002</v>
      </c>
      <c r="B2444" s="17">
        <v>69.636831000000001</v>
      </c>
      <c r="C2444" s="18"/>
      <c r="D2444" s="19"/>
    </row>
    <row r="2445" spans="1:4" x14ac:dyDescent="0.3">
      <c r="A2445" s="20">
        <v>45452.264582999996</v>
      </c>
      <c r="B2445" s="17">
        <v>70.110164999999995</v>
      </c>
      <c r="C2445" s="18"/>
      <c r="D2445" s="19"/>
    </row>
    <row r="2446" spans="1:4" x14ac:dyDescent="0.3">
      <c r="A2446" s="20">
        <v>45452.265277999999</v>
      </c>
      <c r="B2446" s="17">
        <v>69.616277999999994</v>
      </c>
      <c r="C2446" s="18"/>
      <c r="D2446" s="19"/>
    </row>
    <row r="2447" spans="1:4" x14ac:dyDescent="0.3">
      <c r="A2447" s="20">
        <v>45452.265972000001</v>
      </c>
      <c r="B2447" s="17">
        <v>69.407830000000004</v>
      </c>
      <c r="C2447" s="18"/>
      <c r="D2447" s="19"/>
    </row>
    <row r="2448" spans="1:4" x14ac:dyDescent="0.3">
      <c r="A2448" s="20">
        <v>45452.266667000004</v>
      </c>
      <c r="B2448" s="17">
        <v>70.254745999999997</v>
      </c>
      <c r="C2448" s="18"/>
      <c r="D2448" s="19"/>
    </row>
    <row r="2449" spans="1:4" x14ac:dyDescent="0.3">
      <c r="A2449" s="20">
        <v>45452.267360999998</v>
      </c>
      <c r="B2449" s="17">
        <v>69.915069000000003</v>
      </c>
      <c r="C2449" s="18"/>
      <c r="D2449" s="19"/>
    </row>
    <row r="2450" spans="1:4" x14ac:dyDescent="0.3">
      <c r="A2450" s="20">
        <v>45452.268056000001</v>
      </c>
      <c r="B2450" s="17">
        <v>69.799014999999997</v>
      </c>
      <c r="C2450" s="18"/>
      <c r="D2450" s="19"/>
    </row>
    <row r="2451" spans="1:4" x14ac:dyDescent="0.3">
      <c r="A2451" s="20">
        <v>45452.268750000003</v>
      </c>
      <c r="B2451" s="17">
        <v>69.272040000000004</v>
      </c>
      <c r="C2451" s="18"/>
      <c r="D2451" s="19"/>
    </row>
    <row r="2452" spans="1:4" x14ac:dyDescent="0.3">
      <c r="A2452" s="20">
        <v>45452.269443999998</v>
      </c>
      <c r="B2452" s="17">
        <v>70.077720999999997</v>
      </c>
      <c r="C2452" s="18"/>
      <c r="D2452" s="19"/>
    </row>
    <row r="2453" spans="1:4" x14ac:dyDescent="0.3">
      <c r="A2453" s="20">
        <v>45452.270139</v>
      </c>
      <c r="B2453" s="17">
        <v>69.898024000000007</v>
      </c>
      <c r="C2453" s="18"/>
      <c r="D2453" s="19"/>
    </row>
    <row r="2454" spans="1:4" x14ac:dyDescent="0.3">
      <c r="A2454" s="20">
        <v>45452.270833000002</v>
      </c>
      <c r="B2454" s="17">
        <v>69.936511999999993</v>
      </c>
      <c r="C2454" s="18"/>
      <c r="D2454" s="19"/>
    </row>
    <row r="2455" spans="1:4" x14ac:dyDescent="0.3">
      <c r="A2455" s="20">
        <v>45452.271527999997</v>
      </c>
      <c r="B2455" s="17">
        <v>69.714513999999994</v>
      </c>
      <c r="C2455" s="18"/>
      <c r="D2455" s="19"/>
    </row>
    <row r="2456" spans="1:4" x14ac:dyDescent="0.3">
      <c r="A2456" s="20">
        <v>45452.272222</v>
      </c>
      <c r="B2456" s="17">
        <v>70.040420999999995</v>
      </c>
      <c r="C2456" s="18"/>
      <c r="D2456" s="19"/>
    </row>
    <row r="2457" spans="1:4" x14ac:dyDescent="0.3">
      <c r="A2457" s="20">
        <v>45452.272917000002</v>
      </c>
      <c r="B2457" s="17">
        <v>69.537704000000005</v>
      </c>
      <c r="C2457" s="18"/>
      <c r="D2457" s="19"/>
    </row>
    <row r="2458" spans="1:4" x14ac:dyDescent="0.3">
      <c r="A2458" s="20">
        <v>45452.273610999997</v>
      </c>
      <c r="B2458" s="17">
        <v>70.124166000000002</v>
      </c>
      <c r="C2458" s="18"/>
      <c r="D2458" s="19"/>
    </row>
    <row r="2459" spans="1:4" x14ac:dyDescent="0.3">
      <c r="A2459" s="20">
        <v>45452.274305999999</v>
      </c>
      <c r="B2459" s="17">
        <v>69.778017000000006</v>
      </c>
      <c r="C2459" s="18"/>
      <c r="D2459" s="19"/>
    </row>
    <row r="2460" spans="1:4" x14ac:dyDescent="0.3">
      <c r="A2460" s="20">
        <v>45452.275000000001</v>
      </c>
      <c r="B2460" s="17">
        <v>69.697732999999999</v>
      </c>
      <c r="C2460" s="18"/>
      <c r="D2460" s="19"/>
    </row>
    <row r="2461" spans="1:4" x14ac:dyDescent="0.3">
      <c r="A2461" s="20">
        <v>45452.275694000004</v>
      </c>
      <c r="B2461" s="17">
        <v>70.29871</v>
      </c>
      <c r="C2461" s="18"/>
      <c r="D2461" s="19"/>
    </row>
    <row r="2462" spans="1:4" x14ac:dyDescent="0.3">
      <c r="A2462" s="20">
        <v>45452.276388999999</v>
      </c>
      <c r="B2462" s="17">
        <v>69.736778000000001</v>
      </c>
      <c r="C2462" s="18"/>
      <c r="D2462" s="19"/>
    </row>
    <row r="2463" spans="1:4" x14ac:dyDescent="0.3">
      <c r="A2463" s="20">
        <v>45452.277083000001</v>
      </c>
      <c r="B2463" s="17">
        <v>70.126891999999998</v>
      </c>
      <c r="C2463" s="18"/>
      <c r="D2463" s="19"/>
    </row>
    <row r="2464" spans="1:4" x14ac:dyDescent="0.3">
      <c r="A2464" s="20">
        <v>45452.277778000003</v>
      </c>
      <c r="B2464" s="17">
        <v>70.761583000000002</v>
      </c>
      <c r="C2464" s="18"/>
      <c r="D2464" s="19"/>
    </row>
    <row r="2465" spans="1:4" x14ac:dyDescent="0.3">
      <c r="A2465" s="20">
        <v>45452.278471999998</v>
      </c>
      <c r="B2465" s="17">
        <v>70.116555000000005</v>
      </c>
      <c r="C2465" s="18"/>
      <c r="D2465" s="19"/>
    </row>
    <row r="2466" spans="1:4" x14ac:dyDescent="0.3">
      <c r="A2466" s="20">
        <v>45452.279167000001</v>
      </c>
      <c r="B2466" s="17">
        <v>70.512872000000002</v>
      </c>
      <c r="C2466" s="18"/>
      <c r="D2466" s="19"/>
    </row>
    <row r="2467" spans="1:4" x14ac:dyDescent="0.3">
      <c r="A2467" s="20">
        <v>45452.279861000003</v>
      </c>
      <c r="B2467" s="17">
        <v>70.746891000000005</v>
      </c>
      <c r="C2467" s="18"/>
      <c r="D2467" s="19"/>
    </row>
    <row r="2468" spans="1:4" x14ac:dyDescent="0.3">
      <c r="A2468" s="20">
        <v>45452.280555999998</v>
      </c>
      <c r="B2468" s="17">
        <v>69.317159000000004</v>
      </c>
      <c r="C2468" s="18"/>
      <c r="D2468" s="19"/>
    </row>
    <row r="2469" spans="1:4" x14ac:dyDescent="0.3">
      <c r="A2469" s="20">
        <v>45452.28125</v>
      </c>
      <c r="B2469" s="17">
        <v>70.138191000000006</v>
      </c>
      <c r="C2469" s="18"/>
      <c r="D2469" s="19"/>
    </row>
    <row r="2470" spans="1:4" x14ac:dyDescent="0.3">
      <c r="A2470" s="20">
        <v>45452.281944000002</v>
      </c>
      <c r="B2470" s="17">
        <v>69.791853000000003</v>
      </c>
      <c r="C2470" s="18"/>
      <c r="D2470" s="19"/>
    </row>
    <row r="2471" spans="1:4" x14ac:dyDescent="0.3">
      <c r="A2471" s="20">
        <v>45452.282638999997</v>
      </c>
      <c r="B2471" s="17">
        <v>69.760698000000005</v>
      </c>
      <c r="C2471" s="18"/>
      <c r="D2471" s="19"/>
    </row>
    <row r="2472" spans="1:4" x14ac:dyDescent="0.3">
      <c r="A2472" s="20">
        <v>45452.283332999999</v>
      </c>
      <c r="B2472" s="17">
        <v>71.137527000000006</v>
      </c>
      <c r="C2472" s="18"/>
      <c r="D2472" s="19"/>
    </row>
    <row r="2473" spans="1:4" x14ac:dyDescent="0.3">
      <c r="A2473" s="20">
        <v>45452.284028000002</v>
      </c>
      <c r="B2473" s="17">
        <v>69.846845000000002</v>
      </c>
      <c r="C2473" s="18"/>
      <c r="D2473" s="19"/>
    </row>
    <row r="2474" spans="1:4" x14ac:dyDescent="0.3">
      <c r="A2474" s="20">
        <v>45452.284721999997</v>
      </c>
      <c r="B2474" s="17">
        <v>70.093643</v>
      </c>
      <c r="C2474" s="18"/>
      <c r="D2474" s="19"/>
    </row>
    <row r="2475" spans="1:4" x14ac:dyDescent="0.3">
      <c r="A2475" s="20">
        <v>45452.285416999999</v>
      </c>
      <c r="B2475" s="17">
        <v>69.597500999999994</v>
      </c>
      <c r="C2475" s="18"/>
      <c r="D2475" s="19"/>
    </row>
    <row r="2476" spans="1:4" x14ac:dyDescent="0.3">
      <c r="A2476" s="20">
        <v>45452.286111000001</v>
      </c>
      <c r="B2476" s="17">
        <v>70.051192999999998</v>
      </c>
      <c r="C2476" s="18"/>
      <c r="D2476" s="19"/>
    </row>
    <row r="2477" spans="1:4" x14ac:dyDescent="0.3">
      <c r="A2477" s="20">
        <v>45452.286805999996</v>
      </c>
      <c r="B2477" s="17">
        <v>70.119152999999997</v>
      </c>
      <c r="C2477" s="18"/>
      <c r="D2477" s="19"/>
    </row>
    <row r="2478" spans="1:4" x14ac:dyDescent="0.3">
      <c r="A2478" s="20">
        <v>45452.287499999999</v>
      </c>
      <c r="B2478" s="17">
        <v>69.915242000000006</v>
      </c>
      <c r="C2478" s="18"/>
      <c r="D2478" s="19"/>
    </row>
    <row r="2479" spans="1:4" x14ac:dyDescent="0.3">
      <c r="A2479" s="20">
        <v>45452.288194000001</v>
      </c>
      <c r="B2479" s="17">
        <v>71.040902000000003</v>
      </c>
      <c r="C2479" s="18"/>
      <c r="D2479" s="19"/>
    </row>
    <row r="2480" spans="1:4" x14ac:dyDescent="0.3">
      <c r="A2480" s="20">
        <v>45452.288889000003</v>
      </c>
      <c r="B2480" s="17">
        <v>70.942753999999994</v>
      </c>
      <c r="C2480" s="18"/>
      <c r="D2480" s="19"/>
    </row>
    <row r="2481" spans="1:4" x14ac:dyDescent="0.3">
      <c r="A2481" s="20">
        <v>45452.289582999998</v>
      </c>
      <c r="B2481" s="17">
        <v>70.702512999999996</v>
      </c>
      <c r="C2481" s="18"/>
      <c r="D2481" s="19"/>
    </row>
    <row r="2482" spans="1:4" x14ac:dyDescent="0.3">
      <c r="A2482" s="20">
        <v>45452.290278</v>
      </c>
      <c r="B2482" s="17">
        <v>70.339170999999993</v>
      </c>
      <c r="C2482" s="18"/>
      <c r="D2482" s="19"/>
    </row>
    <row r="2483" spans="1:4" x14ac:dyDescent="0.3">
      <c r="A2483" s="20">
        <v>45452.290972000003</v>
      </c>
      <c r="B2483" s="17">
        <v>70.664738999999997</v>
      </c>
      <c r="C2483" s="18"/>
      <c r="D2483" s="19"/>
    </row>
    <row r="2484" spans="1:4" x14ac:dyDescent="0.3">
      <c r="A2484" s="20">
        <v>45452.291666999998</v>
      </c>
      <c r="B2484" s="17">
        <v>70.426632999999995</v>
      </c>
      <c r="C2484" s="18"/>
      <c r="D2484" s="19"/>
    </row>
    <row r="2485" spans="1:4" x14ac:dyDescent="0.3">
      <c r="A2485" s="20">
        <v>45452.292361</v>
      </c>
      <c r="B2485" s="17">
        <v>69.966065</v>
      </c>
      <c r="C2485" s="18"/>
      <c r="D2485" s="19"/>
    </row>
    <row r="2486" spans="1:4" x14ac:dyDescent="0.3">
      <c r="A2486" s="20">
        <v>45452.293056000002</v>
      </c>
      <c r="B2486" s="17">
        <v>70.450550000000007</v>
      </c>
      <c r="C2486" s="18"/>
      <c r="D2486" s="19"/>
    </row>
    <row r="2487" spans="1:4" x14ac:dyDescent="0.3">
      <c r="A2487" s="20">
        <v>45452.293749999997</v>
      </c>
      <c r="B2487" s="17">
        <v>70.735996</v>
      </c>
      <c r="C2487" s="18"/>
      <c r="D2487" s="19"/>
    </row>
    <row r="2488" spans="1:4" x14ac:dyDescent="0.3">
      <c r="A2488" s="20">
        <v>45452.294443999999</v>
      </c>
      <c r="B2488" s="17">
        <v>70.591712999999999</v>
      </c>
      <c r="C2488" s="18"/>
      <c r="D2488" s="19"/>
    </row>
    <row r="2489" spans="1:4" x14ac:dyDescent="0.3">
      <c r="A2489" s="20">
        <v>45452.295139000002</v>
      </c>
      <c r="B2489" s="17">
        <v>71.019510999999994</v>
      </c>
      <c r="C2489" s="18"/>
      <c r="D2489" s="19"/>
    </row>
    <row r="2490" spans="1:4" x14ac:dyDescent="0.3">
      <c r="A2490" s="20">
        <v>45452.295832999996</v>
      </c>
      <c r="B2490" s="17">
        <v>70.254874999999998</v>
      </c>
      <c r="C2490" s="18"/>
      <c r="D2490" s="19"/>
    </row>
    <row r="2491" spans="1:4" x14ac:dyDescent="0.3">
      <c r="A2491" s="20">
        <v>45452.296527999999</v>
      </c>
      <c r="B2491" s="17">
        <v>70.330246000000002</v>
      </c>
      <c r="C2491" s="18"/>
      <c r="D2491" s="19"/>
    </row>
    <row r="2492" spans="1:4" x14ac:dyDescent="0.3">
      <c r="A2492" s="20">
        <v>45452.297222000001</v>
      </c>
      <c r="B2492" s="17">
        <v>70.620095000000006</v>
      </c>
      <c r="C2492" s="18"/>
      <c r="D2492" s="19"/>
    </row>
    <row r="2493" spans="1:4" x14ac:dyDescent="0.3">
      <c r="A2493" s="20">
        <v>45452.297917000004</v>
      </c>
      <c r="B2493" s="17">
        <v>70.789689999999993</v>
      </c>
      <c r="C2493" s="18"/>
      <c r="D2493" s="19"/>
    </row>
    <row r="2494" spans="1:4" x14ac:dyDescent="0.3">
      <c r="A2494" s="20">
        <v>45452.298610999998</v>
      </c>
      <c r="B2494" s="17">
        <v>70.785757000000004</v>
      </c>
      <c r="C2494" s="18"/>
      <c r="D2494" s="19"/>
    </row>
    <row r="2495" spans="1:4" x14ac:dyDescent="0.3">
      <c r="A2495" s="20">
        <v>45452.299306000001</v>
      </c>
      <c r="B2495" s="17">
        <v>70.440854999999999</v>
      </c>
      <c r="C2495" s="18"/>
      <c r="D2495" s="19"/>
    </row>
    <row r="2496" spans="1:4" x14ac:dyDescent="0.3">
      <c r="A2496" s="20">
        <v>45452.3</v>
      </c>
      <c r="B2496" s="17">
        <v>70.601924999999994</v>
      </c>
      <c r="C2496" s="18"/>
      <c r="D2496" s="19"/>
    </row>
    <row r="2497" spans="1:4" x14ac:dyDescent="0.3">
      <c r="A2497" s="20">
        <v>45452.300693999998</v>
      </c>
      <c r="B2497" s="17">
        <v>71.555802</v>
      </c>
      <c r="C2497" s="18"/>
      <c r="D2497" s="19"/>
    </row>
    <row r="2498" spans="1:4" x14ac:dyDescent="0.3">
      <c r="A2498" s="20">
        <v>45452.301389</v>
      </c>
      <c r="B2498" s="17">
        <v>71.788557999999995</v>
      </c>
      <c r="C2498" s="18"/>
      <c r="D2498" s="19"/>
    </row>
    <row r="2499" spans="1:4" x14ac:dyDescent="0.3">
      <c r="A2499" s="20">
        <v>45452.302083000002</v>
      </c>
      <c r="B2499" s="17">
        <v>70.681591999999995</v>
      </c>
      <c r="C2499" s="18"/>
      <c r="D2499" s="19"/>
    </row>
    <row r="2500" spans="1:4" x14ac:dyDescent="0.3">
      <c r="A2500" s="20">
        <v>45452.302777999997</v>
      </c>
      <c r="B2500" s="17">
        <v>71.970871000000002</v>
      </c>
      <c r="C2500" s="18"/>
      <c r="D2500" s="19"/>
    </row>
    <row r="2501" spans="1:4" x14ac:dyDescent="0.3">
      <c r="A2501" s="20">
        <v>45452.303472</v>
      </c>
      <c r="B2501" s="17">
        <v>71.087857999999997</v>
      </c>
      <c r="C2501" s="18"/>
      <c r="D2501" s="19"/>
    </row>
    <row r="2502" spans="1:4" x14ac:dyDescent="0.3">
      <c r="A2502" s="20">
        <v>45452.304167000002</v>
      </c>
      <c r="B2502" s="17">
        <v>71.389799999999994</v>
      </c>
      <c r="C2502" s="18"/>
      <c r="D2502" s="19"/>
    </row>
    <row r="2503" spans="1:4" x14ac:dyDescent="0.3">
      <c r="A2503" s="20">
        <v>45452.304860999997</v>
      </c>
      <c r="B2503" s="17">
        <v>70.982166000000007</v>
      </c>
      <c r="C2503" s="18"/>
      <c r="D2503" s="19"/>
    </row>
    <row r="2504" spans="1:4" x14ac:dyDescent="0.3">
      <c r="A2504" s="20">
        <v>45452.305555999999</v>
      </c>
      <c r="B2504" s="17">
        <v>70.707832999999994</v>
      </c>
      <c r="C2504" s="18"/>
      <c r="D2504" s="19"/>
    </row>
    <row r="2505" spans="1:4" x14ac:dyDescent="0.3">
      <c r="A2505" s="20">
        <v>45452.306250000001</v>
      </c>
      <c r="B2505" s="17">
        <v>71.668643000000003</v>
      </c>
      <c r="C2505" s="18"/>
      <c r="D2505" s="19"/>
    </row>
    <row r="2506" spans="1:4" x14ac:dyDescent="0.3">
      <c r="A2506" s="20">
        <v>45452.306944000004</v>
      </c>
      <c r="B2506" s="17">
        <v>71.346176</v>
      </c>
      <c r="C2506" s="18"/>
      <c r="D2506" s="19"/>
    </row>
    <row r="2507" spans="1:4" x14ac:dyDescent="0.3">
      <c r="A2507" s="20">
        <v>45452.307638999999</v>
      </c>
      <c r="B2507" s="17">
        <v>71.481459999999998</v>
      </c>
      <c r="C2507" s="18"/>
      <c r="D2507" s="19"/>
    </row>
    <row r="2508" spans="1:4" x14ac:dyDescent="0.3">
      <c r="A2508" s="20">
        <v>45452.308333000001</v>
      </c>
      <c r="B2508" s="17">
        <v>71.976647</v>
      </c>
      <c r="C2508" s="18"/>
      <c r="D2508" s="19"/>
    </row>
    <row r="2509" spans="1:4" x14ac:dyDescent="0.3">
      <c r="A2509" s="20">
        <v>45452.309028000003</v>
      </c>
      <c r="B2509" s="17">
        <v>71.645655000000005</v>
      </c>
      <c r="C2509" s="18"/>
      <c r="D2509" s="19"/>
    </row>
    <row r="2510" spans="1:4" x14ac:dyDescent="0.3">
      <c r="A2510" s="20">
        <v>45452.309721999998</v>
      </c>
      <c r="B2510" s="17">
        <v>72.212107000000003</v>
      </c>
      <c r="C2510" s="18"/>
      <c r="D2510" s="19"/>
    </row>
    <row r="2511" spans="1:4" x14ac:dyDescent="0.3">
      <c r="A2511" s="20">
        <v>45452.310417000001</v>
      </c>
      <c r="B2511" s="17">
        <v>72.079374000000001</v>
      </c>
      <c r="C2511" s="18"/>
      <c r="D2511" s="19"/>
    </row>
    <row r="2512" spans="1:4" x14ac:dyDescent="0.3">
      <c r="A2512" s="20">
        <v>45452.311111000003</v>
      </c>
      <c r="B2512" s="17">
        <v>71.585223999999997</v>
      </c>
      <c r="C2512" s="18"/>
      <c r="D2512" s="19"/>
    </row>
    <row r="2513" spans="1:4" x14ac:dyDescent="0.3">
      <c r="A2513" s="20">
        <v>45452.311805999998</v>
      </c>
      <c r="B2513" s="17">
        <v>72.244591999999997</v>
      </c>
      <c r="C2513" s="18"/>
      <c r="D2513" s="19"/>
    </row>
    <row r="2514" spans="1:4" x14ac:dyDescent="0.3">
      <c r="A2514" s="20">
        <v>45452.3125</v>
      </c>
      <c r="B2514" s="17">
        <v>72.042117000000005</v>
      </c>
      <c r="C2514" s="18"/>
      <c r="D2514" s="19"/>
    </row>
    <row r="2515" spans="1:4" x14ac:dyDescent="0.3">
      <c r="A2515" s="20">
        <v>45452.313194000002</v>
      </c>
      <c r="B2515" s="17">
        <v>71.663570000000007</v>
      </c>
      <c r="C2515" s="18"/>
      <c r="D2515" s="19"/>
    </row>
    <row r="2516" spans="1:4" x14ac:dyDescent="0.3">
      <c r="A2516" s="20">
        <v>45452.313888999997</v>
      </c>
      <c r="B2516" s="17">
        <v>71.452799999999996</v>
      </c>
      <c r="C2516" s="18"/>
      <c r="D2516" s="19"/>
    </row>
    <row r="2517" spans="1:4" x14ac:dyDescent="0.3">
      <c r="A2517" s="20">
        <v>45452.314582999999</v>
      </c>
      <c r="B2517" s="17">
        <v>72.143748000000002</v>
      </c>
      <c r="C2517" s="18"/>
      <c r="D2517" s="19"/>
    </row>
    <row r="2518" spans="1:4" x14ac:dyDescent="0.3">
      <c r="A2518" s="20">
        <v>45452.315278000002</v>
      </c>
      <c r="B2518" s="17">
        <v>72.099428000000003</v>
      </c>
      <c r="C2518" s="18"/>
      <c r="D2518" s="19"/>
    </row>
    <row r="2519" spans="1:4" x14ac:dyDescent="0.3">
      <c r="A2519" s="20">
        <v>45452.315971999997</v>
      </c>
      <c r="B2519" s="17">
        <v>71.912640999999994</v>
      </c>
      <c r="C2519" s="18"/>
      <c r="D2519" s="19"/>
    </row>
    <row r="2520" spans="1:4" x14ac:dyDescent="0.3">
      <c r="A2520" s="20">
        <v>45452.316666999999</v>
      </c>
      <c r="B2520" s="17">
        <v>72.079572999999996</v>
      </c>
      <c r="C2520" s="18"/>
      <c r="D2520" s="19"/>
    </row>
    <row r="2521" spans="1:4" x14ac:dyDescent="0.3">
      <c r="A2521" s="20">
        <v>45452.317361000001</v>
      </c>
      <c r="B2521" s="17">
        <v>72.463291999999996</v>
      </c>
      <c r="C2521" s="18"/>
      <c r="D2521" s="19"/>
    </row>
    <row r="2522" spans="1:4" x14ac:dyDescent="0.3">
      <c r="A2522" s="20">
        <v>45452.318055999996</v>
      </c>
      <c r="B2522" s="17">
        <v>72.093170999999998</v>
      </c>
      <c r="C2522" s="18"/>
      <c r="D2522" s="19"/>
    </row>
    <row r="2523" spans="1:4" x14ac:dyDescent="0.3">
      <c r="A2523" s="20">
        <v>45452.318749999999</v>
      </c>
      <c r="B2523" s="17">
        <v>72.193518999999995</v>
      </c>
      <c r="C2523" s="18"/>
      <c r="D2523" s="19"/>
    </row>
    <row r="2524" spans="1:4" x14ac:dyDescent="0.3">
      <c r="A2524" s="20">
        <v>45452.319444000001</v>
      </c>
      <c r="B2524" s="17">
        <v>72.566759000000005</v>
      </c>
      <c r="C2524" s="18"/>
      <c r="D2524" s="19"/>
    </row>
    <row r="2525" spans="1:4" x14ac:dyDescent="0.3">
      <c r="A2525" s="20">
        <v>45452.320139000003</v>
      </c>
      <c r="B2525" s="17">
        <v>72.199800999999994</v>
      </c>
      <c r="C2525" s="18"/>
      <c r="D2525" s="19"/>
    </row>
    <row r="2526" spans="1:4" x14ac:dyDescent="0.3">
      <c r="A2526" s="20">
        <v>45452.320832999998</v>
      </c>
      <c r="B2526" s="17">
        <v>72.489406000000002</v>
      </c>
      <c r="C2526" s="18"/>
      <c r="D2526" s="19"/>
    </row>
    <row r="2527" spans="1:4" x14ac:dyDescent="0.3">
      <c r="A2527" s="20">
        <v>45452.321528</v>
      </c>
      <c r="B2527" s="17">
        <v>73.051311999999996</v>
      </c>
      <c r="C2527" s="18"/>
      <c r="D2527" s="19"/>
    </row>
    <row r="2528" spans="1:4" x14ac:dyDescent="0.3">
      <c r="A2528" s="20">
        <v>45452.322222000003</v>
      </c>
      <c r="B2528" s="17">
        <v>72.064447000000001</v>
      </c>
      <c r="C2528" s="18"/>
      <c r="D2528" s="19"/>
    </row>
    <row r="2529" spans="1:4" x14ac:dyDescent="0.3">
      <c r="A2529" s="20">
        <v>45452.322916999998</v>
      </c>
      <c r="B2529" s="17">
        <v>72.357608999999997</v>
      </c>
      <c r="C2529" s="18"/>
      <c r="D2529" s="19"/>
    </row>
    <row r="2530" spans="1:4" x14ac:dyDescent="0.3">
      <c r="A2530" s="20">
        <v>45452.323611</v>
      </c>
      <c r="B2530" s="17">
        <v>72.079339000000004</v>
      </c>
      <c r="C2530" s="18"/>
      <c r="D2530" s="19"/>
    </row>
    <row r="2531" spans="1:4" x14ac:dyDescent="0.3">
      <c r="A2531" s="20">
        <v>45452.324306000002</v>
      </c>
      <c r="B2531" s="17">
        <v>71.647493999999995</v>
      </c>
      <c r="C2531" s="18"/>
      <c r="D2531" s="19"/>
    </row>
    <row r="2532" spans="1:4" x14ac:dyDescent="0.3">
      <c r="A2532" s="20">
        <v>45452.324999999997</v>
      </c>
      <c r="B2532" s="17">
        <v>72.311999999999998</v>
      </c>
      <c r="C2532" s="18"/>
      <c r="D2532" s="19"/>
    </row>
    <row r="2533" spans="1:4" x14ac:dyDescent="0.3">
      <c r="A2533" s="20">
        <v>45452.325693999999</v>
      </c>
      <c r="B2533" s="17">
        <v>72.471892999999994</v>
      </c>
      <c r="C2533" s="18"/>
      <c r="D2533" s="19"/>
    </row>
    <row r="2534" spans="1:4" x14ac:dyDescent="0.3">
      <c r="A2534" s="20">
        <v>45452.326389000002</v>
      </c>
      <c r="B2534" s="17">
        <v>71.811694000000003</v>
      </c>
      <c r="C2534" s="18"/>
      <c r="D2534" s="19"/>
    </row>
    <row r="2535" spans="1:4" x14ac:dyDescent="0.3">
      <c r="A2535" s="20">
        <v>45452.327082999996</v>
      </c>
      <c r="B2535" s="17">
        <v>71.812642999999994</v>
      </c>
      <c r="C2535" s="18"/>
      <c r="D2535" s="19"/>
    </row>
    <row r="2536" spans="1:4" x14ac:dyDescent="0.3">
      <c r="A2536" s="20">
        <v>45452.327777999999</v>
      </c>
      <c r="B2536" s="17">
        <v>72.036852999999994</v>
      </c>
      <c r="C2536" s="18"/>
      <c r="D2536" s="19"/>
    </row>
    <row r="2537" spans="1:4" x14ac:dyDescent="0.3">
      <c r="A2537" s="20">
        <v>45452.328472000001</v>
      </c>
      <c r="B2537" s="17">
        <v>72.107800999999995</v>
      </c>
      <c r="C2537" s="18"/>
      <c r="D2537" s="19"/>
    </row>
    <row r="2538" spans="1:4" x14ac:dyDescent="0.3">
      <c r="A2538" s="20">
        <v>45452.329167000004</v>
      </c>
      <c r="B2538" s="17">
        <v>72.067237000000006</v>
      </c>
      <c r="C2538" s="18"/>
      <c r="D2538" s="19"/>
    </row>
    <row r="2539" spans="1:4" x14ac:dyDescent="0.3">
      <c r="A2539" s="20">
        <v>45452.329860999998</v>
      </c>
      <c r="B2539" s="17">
        <v>71.963352999999998</v>
      </c>
      <c r="C2539" s="18"/>
      <c r="D2539" s="19"/>
    </row>
    <row r="2540" spans="1:4" x14ac:dyDescent="0.3">
      <c r="A2540" s="20">
        <v>45452.330556000001</v>
      </c>
      <c r="B2540" s="17">
        <v>72.082881999999998</v>
      </c>
      <c r="C2540" s="18"/>
      <c r="D2540" s="19"/>
    </row>
    <row r="2541" spans="1:4" x14ac:dyDescent="0.3">
      <c r="A2541" s="20">
        <v>45452.331250000003</v>
      </c>
      <c r="B2541" s="17">
        <v>71.594014999999999</v>
      </c>
      <c r="C2541" s="18"/>
      <c r="D2541" s="19"/>
    </row>
    <row r="2542" spans="1:4" x14ac:dyDescent="0.3">
      <c r="A2542" s="20">
        <v>45452.331943999998</v>
      </c>
      <c r="B2542" s="17">
        <v>72.176623000000006</v>
      </c>
      <c r="C2542" s="18"/>
      <c r="D2542" s="19"/>
    </row>
    <row r="2543" spans="1:4" x14ac:dyDescent="0.3">
      <c r="A2543" s="20">
        <v>45452.332639</v>
      </c>
      <c r="B2543" s="17">
        <v>72.371153000000007</v>
      </c>
      <c r="C2543" s="18"/>
      <c r="D2543" s="19"/>
    </row>
    <row r="2544" spans="1:4" x14ac:dyDescent="0.3">
      <c r="A2544" s="20">
        <v>45452.333333000002</v>
      </c>
      <c r="B2544" s="17">
        <v>72.098969999999994</v>
      </c>
      <c r="C2544" s="18"/>
      <c r="D2544" s="19"/>
    </row>
    <row r="2545" spans="1:4" x14ac:dyDescent="0.3">
      <c r="A2545" s="20">
        <v>45452.334027999997</v>
      </c>
      <c r="B2545" s="17">
        <v>71.995649999999998</v>
      </c>
      <c r="C2545" s="18"/>
      <c r="D2545" s="19"/>
    </row>
    <row r="2546" spans="1:4" x14ac:dyDescent="0.3">
      <c r="A2546" s="20">
        <v>45452.334722</v>
      </c>
      <c r="B2546" s="17">
        <v>72.171867000000006</v>
      </c>
      <c r="C2546" s="18"/>
      <c r="D2546" s="19"/>
    </row>
    <row r="2547" spans="1:4" x14ac:dyDescent="0.3">
      <c r="A2547" s="20">
        <v>45452.335417000002</v>
      </c>
      <c r="B2547" s="17">
        <v>73.025580000000005</v>
      </c>
      <c r="C2547" s="18"/>
      <c r="D2547" s="19"/>
    </row>
    <row r="2548" spans="1:4" x14ac:dyDescent="0.3">
      <c r="A2548" s="20">
        <v>45452.336110999997</v>
      </c>
      <c r="B2548" s="17">
        <v>71.692363999999998</v>
      </c>
      <c r="C2548" s="18"/>
      <c r="D2548" s="19"/>
    </row>
    <row r="2549" spans="1:4" x14ac:dyDescent="0.3">
      <c r="A2549" s="20">
        <v>45452.336805999999</v>
      </c>
      <c r="B2549" s="17">
        <v>71.565702999999999</v>
      </c>
      <c r="C2549" s="18"/>
      <c r="D2549" s="19"/>
    </row>
    <row r="2550" spans="1:4" x14ac:dyDescent="0.3">
      <c r="A2550" s="20">
        <v>45452.337500000001</v>
      </c>
      <c r="B2550" s="17">
        <v>72.804074</v>
      </c>
      <c r="C2550" s="18"/>
      <c r="D2550" s="19"/>
    </row>
    <row r="2551" spans="1:4" x14ac:dyDescent="0.3">
      <c r="A2551" s="20">
        <v>45452.338194000004</v>
      </c>
      <c r="B2551" s="17">
        <v>71.683839000000006</v>
      </c>
      <c r="C2551" s="18"/>
      <c r="D2551" s="19"/>
    </row>
    <row r="2552" spans="1:4" x14ac:dyDescent="0.3">
      <c r="A2552" s="20">
        <v>45452.338888999999</v>
      </c>
      <c r="B2552" s="17">
        <v>72.197169000000002</v>
      </c>
      <c r="C2552" s="18"/>
      <c r="D2552" s="19"/>
    </row>
    <row r="2553" spans="1:4" x14ac:dyDescent="0.3">
      <c r="A2553" s="20">
        <v>45452.339583000001</v>
      </c>
      <c r="B2553" s="17">
        <v>72.553866999999997</v>
      </c>
      <c r="C2553" s="18"/>
      <c r="D2553" s="19"/>
    </row>
    <row r="2554" spans="1:4" x14ac:dyDescent="0.3">
      <c r="A2554" s="20">
        <v>45452.340278000003</v>
      </c>
      <c r="B2554" s="17">
        <v>71.900670000000005</v>
      </c>
      <c r="C2554" s="18"/>
      <c r="D2554" s="19"/>
    </row>
    <row r="2555" spans="1:4" x14ac:dyDescent="0.3">
      <c r="A2555" s="20">
        <v>45452.340971999998</v>
      </c>
      <c r="B2555" s="17">
        <v>72.032477</v>
      </c>
      <c r="C2555" s="18"/>
      <c r="D2555" s="19"/>
    </row>
    <row r="2556" spans="1:4" x14ac:dyDescent="0.3">
      <c r="A2556" s="20">
        <v>45452.341667000001</v>
      </c>
      <c r="B2556" s="17">
        <v>71.201836999999998</v>
      </c>
      <c r="C2556" s="18"/>
      <c r="D2556" s="19"/>
    </row>
    <row r="2557" spans="1:4" x14ac:dyDescent="0.3">
      <c r="A2557" s="20">
        <v>45452.342361000003</v>
      </c>
      <c r="B2557" s="17">
        <v>71.624432999999996</v>
      </c>
      <c r="C2557" s="18"/>
      <c r="D2557" s="19"/>
    </row>
    <row r="2558" spans="1:4" x14ac:dyDescent="0.3">
      <c r="A2558" s="20">
        <v>45452.343055999998</v>
      </c>
      <c r="B2558" s="17">
        <v>72.216787999999994</v>
      </c>
      <c r="C2558" s="18"/>
      <c r="D2558" s="19"/>
    </row>
    <row r="2559" spans="1:4" x14ac:dyDescent="0.3">
      <c r="A2559" s="20">
        <v>45452.34375</v>
      </c>
      <c r="B2559" s="17">
        <v>71.637654999999995</v>
      </c>
      <c r="C2559" s="18"/>
      <c r="D2559" s="19"/>
    </row>
    <row r="2560" spans="1:4" x14ac:dyDescent="0.3">
      <c r="A2560" s="20">
        <v>45452.344444000002</v>
      </c>
      <c r="B2560" s="17">
        <v>71.690060000000003</v>
      </c>
      <c r="C2560" s="18"/>
      <c r="D2560" s="19"/>
    </row>
    <row r="2561" spans="1:4" x14ac:dyDescent="0.3">
      <c r="A2561" s="20">
        <v>45452.345138999997</v>
      </c>
      <c r="B2561" s="17">
        <v>71.624554000000003</v>
      </c>
      <c r="C2561" s="18"/>
      <c r="D2561" s="19"/>
    </row>
    <row r="2562" spans="1:4" x14ac:dyDescent="0.3">
      <c r="A2562" s="20">
        <v>45452.345832999999</v>
      </c>
      <c r="B2562" s="17">
        <v>71.375900999999999</v>
      </c>
      <c r="C2562" s="18"/>
      <c r="D2562" s="19"/>
    </row>
    <row r="2563" spans="1:4" x14ac:dyDescent="0.3">
      <c r="A2563" s="20">
        <v>45452.346528000002</v>
      </c>
      <c r="B2563" s="17">
        <v>71.223215999999994</v>
      </c>
      <c r="C2563" s="18"/>
      <c r="D2563" s="19"/>
    </row>
    <row r="2564" spans="1:4" x14ac:dyDescent="0.3">
      <c r="A2564" s="20">
        <v>45452.347221999997</v>
      </c>
      <c r="B2564" s="17">
        <v>71.543678</v>
      </c>
      <c r="C2564" s="18"/>
      <c r="D2564" s="19"/>
    </row>
    <row r="2565" spans="1:4" x14ac:dyDescent="0.3">
      <c r="A2565" s="20">
        <v>45452.347916999999</v>
      </c>
      <c r="B2565" s="17">
        <v>72.309835000000007</v>
      </c>
      <c r="C2565" s="18"/>
      <c r="D2565" s="19"/>
    </row>
    <row r="2566" spans="1:4" x14ac:dyDescent="0.3">
      <c r="A2566" s="20">
        <v>45452.348611000001</v>
      </c>
      <c r="B2566" s="17">
        <v>72.313250999999994</v>
      </c>
      <c r="C2566" s="18"/>
      <c r="D2566" s="19"/>
    </row>
    <row r="2567" spans="1:4" x14ac:dyDescent="0.3">
      <c r="A2567" s="20">
        <v>45452.349305999996</v>
      </c>
      <c r="B2567" s="17">
        <v>70.391023000000004</v>
      </c>
      <c r="C2567" s="18"/>
      <c r="D2567" s="19"/>
    </row>
    <row r="2568" spans="1:4" x14ac:dyDescent="0.3">
      <c r="A2568" s="20">
        <v>45452.35</v>
      </c>
      <c r="B2568" s="17">
        <v>71.621640999999997</v>
      </c>
      <c r="C2568" s="18"/>
      <c r="D2568" s="19"/>
    </row>
    <row r="2569" spans="1:4" x14ac:dyDescent="0.3">
      <c r="A2569" s="20">
        <v>45452.350694000001</v>
      </c>
      <c r="B2569" s="17">
        <v>71.826220000000006</v>
      </c>
      <c r="C2569" s="18"/>
      <c r="D2569" s="19"/>
    </row>
    <row r="2570" spans="1:4" x14ac:dyDescent="0.3">
      <c r="A2570" s="20">
        <v>45452.351389000003</v>
      </c>
      <c r="B2570" s="17">
        <v>71.907573999999997</v>
      </c>
      <c r="C2570" s="18"/>
      <c r="D2570" s="19"/>
    </row>
    <row r="2571" spans="1:4" x14ac:dyDescent="0.3">
      <c r="A2571" s="20">
        <v>45452.352082999998</v>
      </c>
      <c r="B2571" s="17">
        <v>71.310187999999997</v>
      </c>
      <c r="C2571" s="18"/>
      <c r="D2571" s="19"/>
    </row>
    <row r="2572" spans="1:4" x14ac:dyDescent="0.3">
      <c r="A2572" s="20">
        <v>45452.352778</v>
      </c>
      <c r="B2572" s="17">
        <v>71.862497000000005</v>
      </c>
      <c r="C2572" s="18"/>
      <c r="D2572" s="19"/>
    </row>
    <row r="2573" spans="1:4" x14ac:dyDescent="0.3">
      <c r="A2573" s="20">
        <v>45452.353472000003</v>
      </c>
      <c r="B2573" s="17">
        <v>72.583869000000007</v>
      </c>
      <c r="C2573" s="18"/>
      <c r="D2573" s="19"/>
    </row>
    <row r="2574" spans="1:4" x14ac:dyDescent="0.3">
      <c r="A2574" s="20">
        <v>45452.354166999998</v>
      </c>
      <c r="B2574" s="17">
        <v>71.721092999999996</v>
      </c>
      <c r="C2574" s="18"/>
      <c r="D2574" s="19"/>
    </row>
    <row r="2575" spans="1:4" x14ac:dyDescent="0.3">
      <c r="A2575" s="20">
        <v>45452.354861</v>
      </c>
      <c r="B2575" s="17">
        <v>71.753279000000006</v>
      </c>
      <c r="C2575" s="18"/>
      <c r="D2575" s="19"/>
    </row>
    <row r="2576" spans="1:4" x14ac:dyDescent="0.3">
      <c r="A2576" s="20">
        <v>45452.355556000002</v>
      </c>
      <c r="B2576" s="17">
        <v>71.516491000000002</v>
      </c>
      <c r="C2576" s="18"/>
      <c r="D2576" s="19"/>
    </row>
    <row r="2577" spans="1:4" x14ac:dyDescent="0.3">
      <c r="A2577" s="20">
        <v>45452.356249999997</v>
      </c>
      <c r="B2577" s="17">
        <v>72.098057999999995</v>
      </c>
      <c r="C2577" s="18"/>
      <c r="D2577" s="19"/>
    </row>
    <row r="2578" spans="1:4" x14ac:dyDescent="0.3">
      <c r="A2578" s="20">
        <v>45452.356943999999</v>
      </c>
      <c r="B2578" s="17">
        <v>72.153182000000001</v>
      </c>
      <c r="C2578" s="18"/>
      <c r="D2578" s="19"/>
    </row>
    <row r="2579" spans="1:4" x14ac:dyDescent="0.3">
      <c r="A2579" s="20">
        <v>45452.357639000002</v>
      </c>
      <c r="B2579" s="17">
        <v>71.279096999999993</v>
      </c>
      <c r="C2579" s="18"/>
      <c r="D2579" s="19"/>
    </row>
    <row r="2580" spans="1:4" x14ac:dyDescent="0.3">
      <c r="A2580" s="20">
        <v>45452.358332999996</v>
      </c>
      <c r="B2580" s="17">
        <v>71.620467000000005</v>
      </c>
      <c r="C2580" s="18"/>
      <c r="D2580" s="19"/>
    </row>
    <row r="2581" spans="1:4" x14ac:dyDescent="0.3">
      <c r="A2581" s="20">
        <v>45452.359027999999</v>
      </c>
      <c r="B2581" s="17">
        <v>71.307185000000004</v>
      </c>
      <c r="C2581" s="18"/>
      <c r="D2581" s="19"/>
    </row>
    <row r="2582" spans="1:4" x14ac:dyDescent="0.3">
      <c r="A2582" s="20">
        <v>45452.359722000001</v>
      </c>
      <c r="B2582" s="17">
        <v>71.392910999999998</v>
      </c>
      <c r="C2582" s="18"/>
      <c r="D2582" s="19"/>
    </row>
    <row r="2583" spans="1:4" x14ac:dyDescent="0.3">
      <c r="A2583" s="20">
        <v>45452.360417000004</v>
      </c>
      <c r="B2583" s="17">
        <v>70.878769000000005</v>
      </c>
      <c r="C2583" s="18"/>
      <c r="D2583" s="19"/>
    </row>
    <row r="2584" spans="1:4" x14ac:dyDescent="0.3">
      <c r="A2584" s="20">
        <v>45452.361110999998</v>
      </c>
      <c r="B2584" s="17">
        <v>70.821611000000004</v>
      </c>
      <c r="C2584" s="18"/>
      <c r="D2584" s="19"/>
    </row>
    <row r="2585" spans="1:4" x14ac:dyDescent="0.3">
      <c r="A2585" s="20">
        <v>45452.361806000001</v>
      </c>
      <c r="B2585" s="17">
        <v>70.415099999999995</v>
      </c>
      <c r="C2585" s="18"/>
      <c r="D2585" s="19"/>
    </row>
    <row r="2586" spans="1:4" x14ac:dyDescent="0.3">
      <c r="A2586" s="20">
        <v>45452.362500000003</v>
      </c>
      <c r="B2586" s="17">
        <v>71.156986000000003</v>
      </c>
      <c r="C2586" s="18"/>
      <c r="D2586" s="19"/>
    </row>
    <row r="2587" spans="1:4" x14ac:dyDescent="0.3">
      <c r="A2587" s="20">
        <v>45452.363193999998</v>
      </c>
      <c r="B2587" s="17">
        <v>71.275059999999996</v>
      </c>
      <c r="C2587" s="18"/>
      <c r="D2587" s="19"/>
    </row>
    <row r="2588" spans="1:4" x14ac:dyDescent="0.3">
      <c r="A2588" s="20">
        <v>45452.363889</v>
      </c>
      <c r="B2588" s="17">
        <v>71.056786000000002</v>
      </c>
      <c r="C2588" s="18"/>
      <c r="D2588" s="19"/>
    </row>
    <row r="2589" spans="1:4" x14ac:dyDescent="0.3">
      <c r="A2589" s="20">
        <v>45452.364583000002</v>
      </c>
      <c r="B2589" s="17">
        <v>71.623559999999998</v>
      </c>
      <c r="C2589" s="18"/>
      <c r="D2589" s="19"/>
    </row>
    <row r="2590" spans="1:4" x14ac:dyDescent="0.3">
      <c r="A2590" s="20">
        <v>45452.365277999997</v>
      </c>
      <c r="B2590" s="17">
        <v>65.115953000000005</v>
      </c>
      <c r="C2590" s="18"/>
      <c r="D2590" s="19"/>
    </row>
    <row r="2591" spans="1:4" x14ac:dyDescent="0.3">
      <c r="A2591" s="20">
        <v>45452.365972</v>
      </c>
      <c r="B2591" s="17">
        <v>59.617091000000002</v>
      </c>
      <c r="C2591" s="18"/>
      <c r="D2591" s="19"/>
    </row>
    <row r="2592" spans="1:4" x14ac:dyDescent="0.3">
      <c r="A2592" s="20">
        <v>45452.366667000002</v>
      </c>
      <c r="B2592" s="17">
        <v>60.036247000000003</v>
      </c>
      <c r="C2592" s="18"/>
      <c r="D2592" s="19"/>
    </row>
    <row r="2593" spans="1:4" x14ac:dyDescent="0.3">
      <c r="A2593" s="20">
        <v>45452.367360999997</v>
      </c>
      <c r="B2593" s="17">
        <v>59.771940999999998</v>
      </c>
      <c r="C2593" s="18"/>
      <c r="D2593" s="19"/>
    </row>
    <row r="2594" spans="1:4" x14ac:dyDescent="0.3">
      <c r="A2594" s="20">
        <v>45452.368055999999</v>
      </c>
      <c r="B2594" s="17">
        <v>59.507475999999997</v>
      </c>
      <c r="C2594" s="18"/>
      <c r="D2594" s="19"/>
    </row>
    <row r="2595" spans="1:4" x14ac:dyDescent="0.3">
      <c r="A2595" s="20">
        <v>45452.368750000001</v>
      </c>
      <c r="B2595" s="17">
        <v>59.519038999999999</v>
      </c>
      <c r="C2595" s="18"/>
      <c r="D2595" s="19"/>
    </row>
    <row r="2596" spans="1:4" x14ac:dyDescent="0.3">
      <c r="A2596" s="20">
        <v>45452.369444000004</v>
      </c>
      <c r="B2596" s="17">
        <v>58.829948000000002</v>
      </c>
      <c r="C2596" s="18"/>
      <c r="D2596" s="19"/>
    </row>
    <row r="2597" spans="1:4" x14ac:dyDescent="0.3">
      <c r="A2597" s="20">
        <v>45452.370138999999</v>
      </c>
      <c r="B2597" s="17">
        <v>58.740625999999999</v>
      </c>
      <c r="C2597" s="18"/>
      <c r="D2597" s="19"/>
    </row>
    <row r="2598" spans="1:4" x14ac:dyDescent="0.3">
      <c r="A2598" s="20">
        <v>45452.370833000001</v>
      </c>
      <c r="B2598" s="17">
        <v>58.983339000000001</v>
      </c>
      <c r="C2598" s="18"/>
      <c r="D2598" s="19"/>
    </row>
    <row r="2599" spans="1:4" x14ac:dyDescent="0.3">
      <c r="A2599" s="20">
        <v>45452.371528000003</v>
      </c>
      <c r="B2599" s="17">
        <v>59.101171999999998</v>
      </c>
      <c r="C2599" s="18"/>
      <c r="D2599" s="19"/>
    </row>
    <row r="2600" spans="1:4" x14ac:dyDescent="0.3">
      <c r="A2600" s="20">
        <v>45452.372221999998</v>
      </c>
      <c r="B2600" s="17">
        <v>58.60201</v>
      </c>
      <c r="C2600" s="18"/>
      <c r="D2600" s="19"/>
    </row>
    <row r="2601" spans="1:4" x14ac:dyDescent="0.3">
      <c r="A2601" s="20">
        <v>45452.372917000001</v>
      </c>
      <c r="B2601" s="17">
        <v>59.726235000000003</v>
      </c>
      <c r="C2601" s="18"/>
      <c r="D2601" s="19"/>
    </row>
    <row r="2602" spans="1:4" x14ac:dyDescent="0.3">
      <c r="A2602" s="20">
        <v>45452.373611000003</v>
      </c>
      <c r="B2602" s="17">
        <v>59.074821</v>
      </c>
      <c r="C2602" s="18"/>
      <c r="D2602" s="19"/>
    </row>
    <row r="2603" spans="1:4" x14ac:dyDescent="0.3">
      <c r="A2603" s="20">
        <v>45452.374305999998</v>
      </c>
      <c r="B2603" s="17">
        <v>59.261418999999997</v>
      </c>
      <c r="C2603" s="18"/>
      <c r="D2603" s="19"/>
    </row>
    <row r="2604" spans="1:4" x14ac:dyDescent="0.3">
      <c r="A2604" s="20">
        <v>45452.375</v>
      </c>
      <c r="B2604" s="17">
        <v>58.942588999999998</v>
      </c>
      <c r="C2604" s="18"/>
      <c r="D2604" s="19"/>
    </row>
    <row r="2605" spans="1:4" x14ac:dyDescent="0.3">
      <c r="A2605" s="20">
        <v>45452.375694000002</v>
      </c>
      <c r="B2605" s="17">
        <v>58.841589999999997</v>
      </c>
      <c r="C2605" s="18"/>
      <c r="D2605" s="19"/>
    </row>
    <row r="2606" spans="1:4" x14ac:dyDescent="0.3">
      <c r="A2606" s="20">
        <v>45452.376388999997</v>
      </c>
      <c r="B2606" s="17">
        <v>58.930312000000001</v>
      </c>
      <c r="C2606" s="18"/>
      <c r="D2606" s="19"/>
    </row>
    <row r="2607" spans="1:4" x14ac:dyDescent="0.3">
      <c r="A2607" s="20">
        <v>45452.377082999999</v>
      </c>
      <c r="B2607" s="17">
        <v>59.127749000000001</v>
      </c>
      <c r="C2607" s="18"/>
      <c r="D2607" s="19"/>
    </row>
    <row r="2608" spans="1:4" x14ac:dyDescent="0.3">
      <c r="A2608" s="20">
        <v>45452.377778000002</v>
      </c>
      <c r="B2608" s="17">
        <v>59.064568000000001</v>
      </c>
      <c r="C2608" s="18"/>
      <c r="D2608" s="19"/>
    </row>
    <row r="2609" spans="1:4" x14ac:dyDescent="0.3">
      <c r="A2609" s="20">
        <v>45452.378471999997</v>
      </c>
      <c r="B2609" s="17">
        <v>59.081347999999998</v>
      </c>
      <c r="C2609" s="18"/>
      <c r="D2609" s="19"/>
    </row>
    <row r="2610" spans="1:4" x14ac:dyDescent="0.3">
      <c r="A2610" s="20">
        <v>45452.379166999999</v>
      </c>
      <c r="B2610" s="17">
        <v>59.318162999999998</v>
      </c>
      <c r="C2610" s="18"/>
      <c r="D2610" s="19"/>
    </row>
    <row r="2611" spans="1:4" x14ac:dyDescent="0.3">
      <c r="A2611" s="20">
        <v>45452.379861000001</v>
      </c>
      <c r="B2611" s="17">
        <v>59.854574</v>
      </c>
      <c r="C2611" s="18"/>
      <c r="D2611" s="19"/>
    </row>
    <row r="2612" spans="1:4" x14ac:dyDescent="0.3">
      <c r="A2612" s="20">
        <v>45452.380555999996</v>
      </c>
      <c r="B2612" s="17">
        <v>59.636226000000001</v>
      </c>
      <c r="C2612" s="18"/>
      <c r="D2612" s="19"/>
    </row>
    <row r="2613" spans="1:4" x14ac:dyDescent="0.3">
      <c r="A2613" s="20">
        <v>45452.381249999999</v>
      </c>
      <c r="B2613" s="17">
        <v>60.079712999999998</v>
      </c>
      <c r="C2613" s="18"/>
      <c r="D2613" s="19"/>
    </row>
    <row r="2614" spans="1:4" x14ac:dyDescent="0.3">
      <c r="A2614" s="20">
        <v>45452.381944000001</v>
      </c>
      <c r="B2614" s="17">
        <v>59.503749999999997</v>
      </c>
      <c r="C2614" s="18"/>
      <c r="D2614" s="19"/>
    </row>
    <row r="2615" spans="1:4" x14ac:dyDescent="0.3">
      <c r="A2615" s="20">
        <v>45452.382639000003</v>
      </c>
      <c r="B2615" s="17">
        <v>60.389175000000002</v>
      </c>
      <c r="C2615" s="18"/>
      <c r="D2615" s="19"/>
    </row>
    <row r="2616" spans="1:4" x14ac:dyDescent="0.3">
      <c r="A2616" s="20">
        <v>45452.383332999998</v>
      </c>
      <c r="B2616" s="17">
        <v>59.250526000000001</v>
      </c>
      <c r="C2616" s="18"/>
      <c r="D2616" s="19"/>
    </row>
    <row r="2617" spans="1:4" x14ac:dyDescent="0.3">
      <c r="A2617" s="20">
        <v>45452.384028</v>
      </c>
      <c r="B2617" s="17">
        <v>58.926200000000001</v>
      </c>
      <c r="C2617" s="18"/>
      <c r="D2617" s="19"/>
    </row>
    <row r="2618" spans="1:4" x14ac:dyDescent="0.3">
      <c r="A2618" s="20">
        <v>45452.384722000003</v>
      </c>
      <c r="B2618" s="17">
        <v>59.079301000000001</v>
      </c>
      <c r="C2618" s="18"/>
      <c r="D2618" s="19"/>
    </row>
    <row r="2619" spans="1:4" x14ac:dyDescent="0.3">
      <c r="A2619" s="20">
        <v>45452.385416999998</v>
      </c>
      <c r="B2619" s="17">
        <v>59.760126999999997</v>
      </c>
      <c r="C2619" s="18"/>
      <c r="D2619" s="19"/>
    </row>
    <row r="2620" spans="1:4" x14ac:dyDescent="0.3">
      <c r="A2620" s="20">
        <v>45452.386111</v>
      </c>
      <c r="B2620" s="17">
        <v>59.930010000000003</v>
      </c>
      <c r="C2620" s="18"/>
      <c r="D2620" s="19"/>
    </row>
    <row r="2621" spans="1:4" x14ac:dyDescent="0.3">
      <c r="A2621" s="20">
        <v>45452.386806000002</v>
      </c>
      <c r="B2621" s="17">
        <v>59.654944</v>
      </c>
      <c r="C2621" s="18"/>
      <c r="D2621" s="19"/>
    </row>
    <row r="2622" spans="1:4" x14ac:dyDescent="0.3">
      <c r="A2622" s="20">
        <v>45452.387499999997</v>
      </c>
      <c r="B2622" s="17">
        <v>59.737748000000003</v>
      </c>
      <c r="C2622" s="18"/>
      <c r="D2622" s="19"/>
    </row>
    <row r="2623" spans="1:4" x14ac:dyDescent="0.3">
      <c r="A2623" s="20">
        <v>45452.388193999999</v>
      </c>
      <c r="B2623" s="17">
        <v>59.537596000000001</v>
      </c>
      <c r="C2623" s="18"/>
      <c r="D2623" s="19"/>
    </row>
    <row r="2624" spans="1:4" x14ac:dyDescent="0.3">
      <c r="A2624" s="20">
        <v>45452.388889000002</v>
      </c>
      <c r="B2624" s="17">
        <v>59.822474</v>
      </c>
      <c r="C2624" s="18"/>
      <c r="D2624" s="19"/>
    </row>
    <row r="2625" spans="1:4" x14ac:dyDescent="0.3">
      <c r="A2625" s="20">
        <v>45452.389582999996</v>
      </c>
      <c r="B2625" s="17">
        <v>59.787118</v>
      </c>
      <c r="C2625" s="18"/>
      <c r="D2625" s="19"/>
    </row>
    <row r="2626" spans="1:4" x14ac:dyDescent="0.3">
      <c r="A2626" s="20">
        <v>45452.390277999999</v>
      </c>
      <c r="B2626" s="17">
        <v>59.871251000000001</v>
      </c>
      <c r="C2626" s="18"/>
      <c r="D2626" s="19"/>
    </row>
    <row r="2627" spans="1:4" x14ac:dyDescent="0.3">
      <c r="A2627" s="20">
        <v>45452.390972000001</v>
      </c>
      <c r="B2627" s="17">
        <v>59.794732000000003</v>
      </c>
      <c r="C2627" s="18"/>
      <c r="D2627" s="19"/>
    </row>
    <row r="2628" spans="1:4" x14ac:dyDescent="0.3">
      <c r="A2628" s="20">
        <v>45452.391667000004</v>
      </c>
      <c r="B2628" s="17">
        <v>60.021402000000002</v>
      </c>
      <c r="C2628" s="18"/>
      <c r="D2628" s="19"/>
    </row>
    <row r="2629" spans="1:4" x14ac:dyDescent="0.3">
      <c r="A2629" s="20">
        <v>45452.392360999998</v>
      </c>
      <c r="B2629" s="17">
        <v>60.083143999999997</v>
      </c>
      <c r="C2629" s="18"/>
      <c r="D2629" s="19"/>
    </row>
    <row r="2630" spans="1:4" x14ac:dyDescent="0.3">
      <c r="A2630" s="20">
        <v>45452.393056000001</v>
      </c>
      <c r="B2630" s="17">
        <v>59.450881000000003</v>
      </c>
      <c r="C2630" s="18"/>
      <c r="D2630" s="19"/>
    </row>
    <row r="2631" spans="1:4" x14ac:dyDescent="0.3">
      <c r="A2631" s="20">
        <v>45452.393750000003</v>
      </c>
      <c r="B2631" s="17">
        <v>59.755083999999997</v>
      </c>
      <c r="C2631" s="18"/>
      <c r="D2631" s="19"/>
    </row>
    <row r="2632" spans="1:4" x14ac:dyDescent="0.3">
      <c r="A2632" s="20">
        <v>45452.394443999998</v>
      </c>
      <c r="B2632" s="17">
        <v>60.474781999999998</v>
      </c>
      <c r="C2632" s="18"/>
      <c r="D2632" s="19"/>
    </row>
    <row r="2633" spans="1:4" x14ac:dyDescent="0.3">
      <c r="A2633" s="20">
        <v>45452.395139</v>
      </c>
      <c r="B2633" s="17">
        <v>60.214137000000001</v>
      </c>
      <c r="C2633" s="18"/>
      <c r="D2633" s="19"/>
    </row>
    <row r="2634" spans="1:4" x14ac:dyDescent="0.3">
      <c r="A2634" s="20">
        <v>45452.395833000002</v>
      </c>
      <c r="B2634" s="17">
        <v>60.083226000000003</v>
      </c>
      <c r="C2634" s="18"/>
      <c r="D2634" s="19"/>
    </row>
    <row r="2635" spans="1:4" x14ac:dyDescent="0.3">
      <c r="A2635" s="20">
        <v>45452.396527999997</v>
      </c>
      <c r="B2635" s="17">
        <v>59.841330999999997</v>
      </c>
      <c r="C2635" s="18"/>
      <c r="D2635" s="19"/>
    </row>
    <row r="2636" spans="1:4" x14ac:dyDescent="0.3">
      <c r="A2636" s="20">
        <v>45452.397222</v>
      </c>
      <c r="B2636" s="17">
        <v>59.385472999999998</v>
      </c>
      <c r="C2636" s="18"/>
      <c r="D2636" s="19"/>
    </row>
    <row r="2637" spans="1:4" x14ac:dyDescent="0.3">
      <c r="A2637" s="20">
        <v>45452.397917000002</v>
      </c>
      <c r="B2637" s="17">
        <v>59.858181000000002</v>
      </c>
      <c r="C2637" s="18"/>
      <c r="D2637" s="19"/>
    </row>
    <row r="2638" spans="1:4" x14ac:dyDescent="0.3">
      <c r="A2638" s="20">
        <v>45452.398610999997</v>
      </c>
      <c r="B2638" s="17">
        <v>59.90802</v>
      </c>
      <c r="C2638" s="18"/>
      <c r="D2638" s="19"/>
    </row>
    <row r="2639" spans="1:4" x14ac:dyDescent="0.3">
      <c r="A2639" s="20">
        <v>45452.399305999999</v>
      </c>
      <c r="B2639" s="17">
        <v>60.498721000000003</v>
      </c>
      <c r="C2639" s="18"/>
      <c r="D2639" s="19"/>
    </row>
    <row r="2640" spans="1:4" x14ac:dyDescent="0.3">
      <c r="A2640" s="20">
        <v>45452.4</v>
      </c>
      <c r="B2640" s="17">
        <v>60.865837999999997</v>
      </c>
      <c r="C2640" s="18"/>
      <c r="D2640" s="19"/>
    </row>
    <row r="2641" spans="1:4" x14ac:dyDescent="0.3">
      <c r="A2641" s="20">
        <v>45452.400694000004</v>
      </c>
      <c r="B2641" s="17">
        <v>60.562185999999997</v>
      </c>
      <c r="C2641" s="18"/>
      <c r="D2641" s="19"/>
    </row>
    <row r="2642" spans="1:4" x14ac:dyDescent="0.3">
      <c r="A2642" s="20">
        <v>45452.401388999999</v>
      </c>
      <c r="B2642" s="17">
        <v>60.684454000000002</v>
      </c>
      <c r="C2642" s="18"/>
      <c r="D2642" s="19"/>
    </row>
    <row r="2643" spans="1:4" x14ac:dyDescent="0.3">
      <c r="A2643" s="20">
        <v>45452.402083000001</v>
      </c>
      <c r="B2643" s="17">
        <v>60.390656999999997</v>
      </c>
      <c r="C2643" s="18"/>
      <c r="D2643" s="19"/>
    </row>
    <row r="2644" spans="1:4" x14ac:dyDescent="0.3">
      <c r="A2644" s="20">
        <v>45452.402778000003</v>
      </c>
      <c r="B2644" s="17">
        <v>60.246591000000002</v>
      </c>
      <c r="C2644" s="18"/>
      <c r="D2644" s="19"/>
    </row>
    <row r="2645" spans="1:4" x14ac:dyDescent="0.3">
      <c r="A2645" s="20">
        <v>45452.403471999998</v>
      </c>
      <c r="B2645" s="17">
        <v>60.252287000000003</v>
      </c>
      <c r="C2645" s="18"/>
      <c r="D2645" s="19"/>
    </row>
    <row r="2646" spans="1:4" x14ac:dyDescent="0.3">
      <c r="A2646" s="20">
        <v>45452.404167000001</v>
      </c>
      <c r="B2646" s="17">
        <v>60.242521000000004</v>
      </c>
      <c r="C2646" s="18"/>
      <c r="D2646" s="19"/>
    </row>
    <row r="2647" spans="1:4" x14ac:dyDescent="0.3">
      <c r="A2647" s="20">
        <v>45452.404861000003</v>
      </c>
      <c r="B2647" s="17">
        <v>60.254702999999999</v>
      </c>
      <c r="C2647" s="18"/>
      <c r="D2647" s="19"/>
    </row>
    <row r="2648" spans="1:4" x14ac:dyDescent="0.3">
      <c r="A2648" s="20">
        <v>45452.405555999998</v>
      </c>
      <c r="B2648" s="17">
        <v>60.373376</v>
      </c>
      <c r="C2648" s="18"/>
      <c r="D2648" s="19"/>
    </row>
    <row r="2649" spans="1:4" x14ac:dyDescent="0.3">
      <c r="A2649" s="20">
        <v>45452.40625</v>
      </c>
      <c r="B2649" s="17">
        <v>60.699641</v>
      </c>
      <c r="C2649" s="18"/>
      <c r="D2649" s="19"/>
    </row>
    <row r="2650" spans="1:4" x14ac:dyDescent="0.3">
      <c r="A2650" s="20">
        <v>45452.406944000002</v>
      </c>
      <c r="B2650" s="17">
        <v>60.473914999999998</v>
      </c>
      <c r="C2650" s="18"/>
      <c r="D2650" s="19"/>
    </row>
    <row r="2651" spans="1:4" x14ac:dyDescent="0.3">
      <c r="A2651" s="20">
        <v>45452.407638999997</v>
      </c>
      <c r="B2651" s="17">
        <v>60.716386999999997</v>
      </c>
      <c r="C2651" s="18"/>
      <c r="D2651" s="19"/>
    </row>
    <row r="2652" spans="1:4" x14ac:dyDescent="0.3">
      <c r="A2652" s="20">
        <v>45452.408332999999</v>
      </c>
      <c r="B2652" s="17">
        <v>59.994630000000001</v>
      </c>
      <c r="C2652" s="18"/>
      <c r="D2652" s="19"/>
    </row>
    <row r="2653" spans="1:4" x14ac:dyDescent="0.3">
      <c r="A2653" s="20">
        <v>45452.409028000002</v>
      </c>
      <c r="B2653" s="17">
        <v>60.856385000000003</v>
      </c>
      <c r="C2653" s="18"/>
      <c r="D2653" s="19"/>
    </row>
    <row r="2654" spans="1:4" x14ac:dyDescent="0.3">
      <c r="A2654" s="20">
        <v>45452.409721999997</v>
      </c>
      <c r="B2654" s="17">
        <v>60.942194000000001</v>
      </c>
      <c r="C2654" s="18"/>
      <c r="D2654" s="19"/>
    </row>
    <row r="2655" spans="1:4" x14ac:dyDescent="0.3">
      <c r="A2655" s="20">
        <v>45452.410416999999</v>
      </c>
      <c r="B2655" s="17">
        <v>60.363332</v>
      </c>
      <c r="C2655" s="18"/>
      <c r="D2655" s="19"/>
    </row>
    <row r="2656" spans="1:4" x14ac:dyDescent="0.3">
      <c r="A2656" s="20">
        <v>45452.411111000001</v>
      </c>
      <c r="B2656" s="17">
        <v>60.394812999999999</v>
      </c>
      <c r="C2656" s="18"/>
      <c r="D2656" s="19"/>
    </row>
    <row r="2657" spans="1:4" x14ac:dyDescent="0.3">
      <c r="A2657" s="20">
        <v>45452.411805999996</v>
      </c>
      <c r="B2657" s="17">
        <v>60.378075000000003</v>
      </c>
      <c r="C2657" s="18"/>
      <c r="D2657" s="19"/>
    </row>
    <row r="2658" spans="1:4" x14ac:dyDescent="0.3">
      <c r="A2658" s="20">
        <v>45452.412499999999</v>
      </c>
      <c r="B2658" s="17">
        <v>60.881557000000001</v>
      </c>
      <c r="C2658" s="18"/>
      <c r="D2658" s="19"/>
    </row>
    <row r="2659" spans="1:4" x14ac:dyDescent="0.3">
      <c r="A2659" s="20">
        <v>45452.413194000001</v>
      </c>
      <c r="B2659" s="17">
        <v>60.992792000000001</v>
      </c>
      <c r="C2659" s="18"/>
      <c r="D2659" s="19"/>
    </row>
    <row r="2660" spans="1:4" x14ac:dyDescent="0.3">
      <c r="A2660" s="20">
        <v>45452.413889000003</v>
      </c>
      <c r="B2660" s="17">
        <v>60.492837999999999</v>
      </c>
      <c r="C2660" s="18"/>
      <c r="D2660" s="19"/>
    </row>
    <row r="2661" spans="1:4" x14ac:dyDescent="0.3">
      <c r="A2661" s="20">
        <v>45452.414582999998</v>
      </c>
      <c r="B2661" s="17">
        <v>60.303370000000001</v>
      </c>
      <c r="C2661" s="18"/>
      <c r="D2661" s="19"/>
    </row>
    <row r="2662" spans="1:4" x14ac:dyDescent="0.3">
      <c r="A2662" s="20">
        <v>45452.415278</v>
      </c>
      <c r="B2662" s="17">
        <v>60.625112000000001</v>
      </c>
      <c r="C2662" s="18"/>
      <c r="D2662" s="19"/>
    </row>
    <row r="2663" spans="1:4" x14ac:dyDescent="0.3">
      <c r="A2663" s="20">
        <v>45452.415972000003</v>
      </c>
      <c r="B2663" s="17">
        <v>60.158185000000003</v>
      </c>
      <c r="C2663" s="18"/>
      <c r="D2663" s="19"/>
    </row>
    <row r="2664" spans="1:4" x14ac:dyDescent="0.3">
      <c r="A2664" s="20">
        <v>45452.416666999998</v>
      </c>
      <c r="B2664" s="17">
        <v>61.288066000000001</v>
      </c>
      <c r="C2664" s="18"/>
      <c r="D2664" s="19"/>
    </row>
    <row r="2665" spans="1:4" x14ac:dyDescent="0.3">
      <c r="A2665" s="20">
        <v>45452.417361</v>
      </c>
      <c r="B2665" s="17">
        <v>60.874917000000003</v>
      </c>
      <c r="C2665" s="18"/>
      <c r="D2665" s="19"/>
    </row>
    <row r="2666" spans="1:4" x14ac:dyDescent="0.3">
      <c r="A2666" s="20">
        <v>45452.418056000002</v>
      </c>
      <c r="B2666" s="17">
        <v>60.801299999999998</v>
      </c>
      <c r="C2666" s="18"/>
      <c r="D2666" s="19"/>
    </row>
    <row r="2667" spans="1:4" x14ac:dyDescent="0.3">
      <c r="A2667" s="20">
        <v>45452.418749999997</v>
      </c>
      <c r="B2667" s="17">
        <v>60.914003999999998</v>
      </c>
      <c r="C2667" s="18"/>
      <c r="D2667" s="19"/>
    </row>
    <row r="2668" spans="1:4" x14ac:dyDescent="0.3">
      <c r="A2668" s="20">
        <v>45452.419443999999</v>
      </c>
      <c r="B2668" s="17">
        <v>60.387388999999999</v>
      </c>
      <c r="C2668" s="18"/>
      <c r="D2668" s="19"/>
    </row>
    <row r="2669" spans="1:4" x14ac:dyDescent="0.3">
      <c r="A2669" s="20">
        <v>45452.420139000002</v>
      </c>
      <c r="B2669" s="17">
        <v>60.748511000000001</v>
      </c>
      <c r="C2669" s="18"/>
      <c r="D2669" s="19"/>
    </row>
    <row r="2670" spans="1:4" x14ac:dyDescent="0.3">
      <c r="A2670" s="20">
        <v>45452.420832999996</v>
      </c>
      <c r="B2670" s="17">
        <v>60.659253</v>
      </c>
      <c r="C2670" s="18"/>
      <c r="D2670" s="19"/>
    </row>
    <row r="2671" spans="1:4" x14ac:dyDescent="0.3">
      <c r="A2671" s="20">
        <v>45452.421527999999</v>
      </c>
      <c r="B2671" s="17">
        <v>61.039276999999998</v>
      </c>
      <c r="C2671" s="18"/>
      <c r="D2671" s="19"/>
    </row>
    <row r="2672" spans="1:4" x14ac:dyDescent="0.3">
      <c r="A2672" s="20">
        <v>45452.422222000001</v>
      </c>
      <c r="B2672" s="17">
        <v>60.371701000000002</v>
      </c>
      <c r="C2672" s="18"/>
      <c r="D2672" s="19"/>
    </row>
    <row r="2673" spans="1:4" x14ac:dyDescent="0.3">
      <c r="A2673" s="20">
        <v>45452.422917000004</v>
      </c>
      <c r="B2673" s="17">
        <v>60.199032000000003</v>
      </c>
      <c r="C2673" s="18"/>
      <c r="D2673" s="19"/>
    </row>
    <row r="2674" spans="1:4" x14ac:dyDescent="0.3">
      <c r="A2674" s="20">
        <v>45452.423610999998</v>
      </c>
      <c r="B2674" s="17">
        <v>61.414309000000003</v>
      </c>
      <c r="C2674" s="18"/>
      <c r="D2674" s="19"/>
    </row>
    <row r="2675" spans="1:4" x14ac:dyDescent="0.3">
      <c r="A2675" s="20">
        <v>45452.424306000001</v>
      </c>
      <c r="B2675" s="17">
        <v>61.075327999999999</v>
      </c>
      <c r="C2675" s="18"/>
      <c r="D2675" s="19"/>
    </row>
    <row r="2676" spans="1:4" x14ac:dyDescent="0.3">
      <c r="A2676" s="20">
        <v>45452.425000000003</v>
      </c>
      <c r="B2676" s="17">
        <v>61.193745999999997</v>
      </c>
      <c r="C2676" s="18"/>
      <c r="D2676" s="19"/>
    </row>
    <row r="2677" spans="1:4" x14ac:dyDescent="0.3">
      <c r="A2677" s="20">
        <v>45452.425693999998</v>
      </c>
      <c r="B2677" s="17">
        <v>60.997194999999998</v>
      </c>
      <c r="C2677" s="18"/>
      <c r="D2677" s="19"/>
    </row>
    <row r="2678" spans="1:4" x14ac:dyDescent="0.3">
      <c r="A2678" s="20">
        <v>45452.426389</v>
      </c>
      <c r="B2678" s="17">
        <v>61.102789999999999</v>
      </c>
      <c r="C2678" s="18"/>
      <c r="D2678" s="19"/>
    </row>
    <row r="2679" spans="1:4" x14ac:dyDescent="0.3">
      <c r="A2679" s="20">
        <v>45452.427083000002</v>
      </c>
      <c r="B2679" s="17">
        <v>60.821247999999997</v>
      </c>
      <c r="C2679" s="18"/>
      <c r="D2679" s="19"/>
    </row>
    <row r="2680" spans="1:4" x14ac:dyDescent="0.3">
      <c r="A2680" s="20">
        <v>45452.427777999997</v>
      </c>
      <c r="B2680" s="17">
        <v>60.774973000000003</v>
      </c>
      <c r="C2680" s="18"/>
      <c r="D2680" s="19"/>
    </row>
    <row r="2681" spans="1:4" x14ac:dyDescent="0.3">
      <c r="A2681" s="20">
        <v>45452.428472</v>
      </c>
      <c r="B2681" s="17">
        <v>61.400570000000002</v>
      </c>
      <c r="C2681" s="18"/>
      <c r="D2681" s="19"/>
    </row>
    <row r="2682" spans="1:4" x14ac:dyDescent="0.3">
      <c r="A2682" s="20">
        <v>45452.429167000002</v>
      </c>
      <c r="B2682" s="17">
        <v>60.947392999999998</v>
      </c>
      <c r="C2682" s="18"/>
      <c r="D2682" s="19"/>
    </row>
    <row r="2683" spans="1:4" x14ac:dyDescent="0.3">
      <c r="A2683" s="20">
        <v>45452.429860999997</v>
      </c>
      <c r="B2683" s="17">
        <v>60.738937</v>
      </c>
      <c r="C2683" s="18"/>
      <c r="D2683" s="19"/>
    </row>
    <row r="2684" spans="1:4" x14ac:dyDescent="0.3">
      <c r="A2684" s="20">
        <v>45452.430555999999</v>
      </c>
      <c r="B2684" s="17">
        <v>61.318416999999997</v>
      </c>
      <c r="C2684" s="18"/>
      <c r="D2684" s="19"/>
    </row>
    <row r="2685" spans="1:4" x14ac:dyDescent="0.3">
      <c r="A2685" s="20">
        <v>45452.431250000001</v>
      </c>
      <c r="B2685" s="17">
        <v>61.685761999999997</v>
      </c>
      <c r="C2685" s="18"/>
      <c r="D2685" s="19"/>
    </row>
    <row r="2686" spans="1:4" x14ac:dyDescent="0.3">
      <c r="A2686" s="20">
        <v>45452.431944000004</v>
      </c>
      <c r="B2686" s="17">
        <v>60.688488</v>
      </c>
      <c r="C2686" s="18"/>
      <c r="D2686" s="19"/>
    </row>
    <row r="2687" spans="1:4" x14ac:dyDescent="0.3">
      <c r="A2687" s="20">
        <v>45452.432638999999</v>
      </c>
      <c r="B2687" s="17">
        <v>61.498928999999997</v>
      </c>
      <c r="C2687" s="18"/>
      <c r="D2687" s="19"/>
    </row>
    <row r="2688" spans="1:4" x14ac:dyDescent="0.3">
      <c r="A2688" s="20">
        <v>45452.433333000001</v>
      </c>
      <c r="B2688" s="17">
        <v>61.017451000000001</v>
      </c>
      <c r="C2688" s="18"/>
      <c r="D2688" s="19"/>
    </row>
    <row r="2689" spans="1:4" x14ac:dyDescent="0.3">
      <c r="A2689" s="20">
        <v>45452.434028000003</v>
      </c>
      <c r="B2689" s="17">
        <v>61.157564999999998</v>
      </c>
      <c r="C2689" s="18"/>
      <c r="D2689" s="19"/>
    </row>
    <row r="2690" spans="1:4" x14ac:dyDescent="0.3">
      <c r="A2690" s="20">
        <v>45452.434721999998</v>
      </c>
      <c r="B2690" s="17">
        <v>61.007891999999998</v>
      </c>
      <c r="C2690" s="18"/>
      <c r="D2690" s="19"/>
    </row>
    <row r="2691" spans="1:4" x14ac:dyDescent="0.3">
      <c r="A2691" s="20">
        <v>45452.435417000001</v>
      </c>
      <c r="B2691" s="17">
        <v>61.318213</v>
      </c>
      <c r="C2691" s="18"/>
      <c r="D2691" s="19"/>
    </row>
    <row r="2692" spans="1:4" x14ac:dyDescent="0.3">
      <c r="A2692" s="20">
        <v>45452.436111000003</v>
      </c>
      <c r="B2692" s="17">
        <v>61.124347999999998</v>
      </c>
      <c r="C2692" s="18"/>
      <c r="D2692" s="19"/>
    </row>
    <row r="2693" spans="1:4" x14ac:dyDescent="0.3">
      <c r="A2693" s="20">
        <v>45452.436805999998</v>
      </c>
      <c r="B2693" s="17">
        <v>61.324325000000002</v>
      </c>
      <c r="C2693" s="18"/>
      <c r="D2693" s="19"/>
    </row>
    <row r="2694" spans="1:4" x14ac:dyDescent="0.3">
      <c r="A2694" s="20">
        <v>45452.4375</v>
      </c>
      <c r="B2694" s="17">
        <v>61.586956000000001</v>
      </c>
      <c r="C2694" s="18"/>
      <c r="D2694" s="19"/>
    </row>
    <row r="2695" spans="1:4" x14ac:dyDescent="0.3">
      <c r="A2695" s="20">
        <v>45452.438194000002</v>
      </c>
      <c r="B2695" s="17">
        <v>61.218533999999998</v>
      </c>
      <c r="C2695" s="18"/>
      <c r="D2695" s="19"/>
    </row>
    <row r="2696" spans="1:4" x14ac:dyDescent="0.3">
      <c r="A2696" s="20">
        <v>45452.438888999997</v>
      </c>
      <c r="B2696" s="17">
        <v>61.307718999999999</v>
      </c>
      <c r="C2696" s="18"/>
      <c r="D2696" s="19"/>
    </row>
    <row r="2697" spans="1:4" x14ac:dyDescent="0.3">
      <c r="A2697" s="20">
        <v>45452.439582999999</v>
      </c>
      <c r="B2697" s="17">
        <v>60.937140999999997</v>
      </c>
      <c r="C2697" s="18"/>
      <c r="D2697" s="19"/>
    </row>
    <row r="2698" spans="1:4" x14ac:dyDescent="0.3">
      <c r="A2698" s="20">
        <v>45452.440278000002</v>
      </c>
      <c r="B2698" s="17">
        <v>60.823442</v>
      </c>
      <c r="C2698" s="18"/>
      <c r="D2698" s="19"/>
    </row>
    <row r="2699" spans="1:4" x14ac:dyDescent="0.3">
      <c r="A2699" s="20">
        <v>45452.440971999997</v>
      </c>
      <c r="B2699" s="17">
        <v>61.290103999999999</v>
      </c>
      <c r="C2699" s="18"/>
      <c r="D2699" s="19"/>
    </row>
    <row r="2700" spans="1:4" x14ac:dyDescent="0.3">
      <c r="A2700" s="20">
        <v>45452.441666999999</v>
      </c>
      <c r="B2700" s="17">
        <v>61.274552999999997</v>
      </c>
      <c r="C2700" s="18"/>
      <c r="D2700" s="19"/>
    </row>
    <row r="2701" spans="1:4" x14ac:dyDescent="0.3">
      <c r="A2701" s="20">
        <v>45452.442361000001</v>
      </c>
      <c r="B2701" s="17">
        <v>61.164141999999998</v>
      </c>
      <c r="C2701" s="18"/>
      <c r="D2701" s="19"/>
    </row>
    <row r="2702" spans="1:4" x14ac:dyDescent="0.3">
      <c r="A2702" s="20">
        <v>45452.443055999996</v>
      </c>
      <c r="B2702" s="17">
        <v>61.310768000000003</v>
      </c>
      <c r="C2702" s="18"/>
      <c r="D2702" s="19"/>
    </row>
    <row r="2703" spans="1:4" x14ac:dyDescent="0.3">
      <c r="A2703" s="20">
        <v>45452.443749999999</v>
      </c>
      <c r="B2703" s="17">
        <v>60.850738</v>
      </c>
      <c r="C2703" s="18"/>
      <c r="D2703" s="19"/>
    </row>
    <row r="2704" spans="1:4" x14ac:dyDescent="0.3">
      <c r="A2704" s="20">
        <v>45452.444444000001</v>
      </c>
      <c r="B2704" s="17">
        <v>61.525919999999999</v>
      </c>
      <c r="C2704" s="18"/>
      <c r="D2704" s="19"/>
    </row>
    <row r="2705" spans="1:4" x14ac:dyDescent="0.3">
      <c r="A2705" s="20">
        <v>45452.445139000003</v>
      </c>
      <c r="B2705" s="17">
        <v>61.087066</v>
      </c>
      <c r="C2705" s="18"/>
      <c r="D2705" s="19"/>
    </row>
    <row r="2706" spans="1:4" x14ac:dyDescent="0.3">
      <c r="A2706" s="20">
        <v>45452.445832999998</v>
      </c>
      <c r="B2706" s="17">
        <v>60.593003000000003</v>
      </c>
      <c r="C2706" s="18"/>
      <c r="D2706" s="19"/>
    </row>
    <row r="2707" spans="1:4" x14ac:dyDescent="0.3">
      <c r="A2707" s="20">
        <v>45452.446528</v>
      </c>
      <c r="B2707" s="17">
        <v>60.711036</v>
      </c>
      <c r="C2707" s="18"/>
      <c r="D2707" s="19"/>
    </row>
    <row r="2708" spans="1:4" x14ac:dyDescent="0.3">
      <c r="A2708" s="20">
        <v>45452.447222000003</v>
      </c>
      <c r="B2708" s="17">
        <v>61.492803000000002</v>
      </c>
      <c r="C2708" s="18"/>
      <c r="D2708" s="19"/>
    </row>
    <row r="2709" spans="1:4" x14ac:dyDescent="0.3">
      <c r="A2709" s="20">
        <v>45452.447916999998</v>
      </c>
      <c r="B2709" s="17">
        <v>61.850651999999997</v>
      </c>
      <c r="C2709" s="18"/>
      <c r="D2709" s="19"/>
    </row>
    <row r="2710" spans="1:4" x14ac:dyDescent="0.3">
      <c r="A2710" s="20">
        <v>45452.448611</v>
      </c>
      <c r="B2710" s="17">
        <v>60.819547999999998</v>
      </c>
      <c r="C2710" s="18"/>
      <c r="D2710" s="19"/>
    </row>
    <row r="2711" spans="1:4" x14ac:dyDescent="0.3">
      <c r="A2711" s="20">
        <v>45452.449306000002</v>
      </c>
      <c r="B2711" s="17">
        <v>61.478104999999999</v>
      </c>
      <c r="C2711" s="18"/>
      <c r="D2711" s="19"/>
    </row>
    <row r="2712" spans="1:4" x14ac:dyDescent="0.3">
      <c r="A2712" s="20">
        <v>45452.45</v>
      </c>
      <c r="B2712" s="17">
        <v>61.398710000000001</v>
      </c>
      <c r="C2712" s="18"/>
      <c r="D2712" s="19"/>
    </row>
    <row r="2713" spans="1:4" x14ac:dyDescent="0.3">
      <c r="A2713" s="20">
        <v>45452.450693999999</v>
      </c>
      <c r="B2713" s="17">
        <v>61.192318999999998</v>
      </c>
      <c r="C2713" s="18"/>
      <c r="D2713" s="19"/>
    </row>
    <row r="2714" spans="1:4" x14ac:dyDescent="0.3">
      <c r="A2714" s="20">
        <v>45452.451389000002</v>
      </c>
      <c r="B2714" s="17">
        <v>60.890237999999997</v>
      </c>
      <c r="C2714" s="18"/>
      <c r="D2714" s="19"/>
    </row>
    <row r="2715" spans="1:4" x14ac:dyDescent="0.3">
      <c r="A2715" s="20">
        <v>45452.452082999996</v>
      </c>
      <c r="B2715" s="17">
        <v>61.177801000000002</v>
      </c>
      <c r="C2715" s="18"/>
      <c r="D2715" s="19"/>
    </row>
    <row r="2716" spans="1:4" x14ac:dyDescent="0.3">
      <c r="A2716" s="20">
        <v>45452.452777999999</v>
      </c>
      <c r="B2716" s="17">
        <v>61.275283999999999</v>
      </c>
      <c r="C2716" s="18"/>
      <c r="D2716" s="19"/>
    </row>
    <row r="2717" spans="1:4" x14ac:dyDescent="0.3">
      <c r="A2717" s="20">
        <v>45452.453472000001</v>
      </c>
      <c r="B2717" s="17">
        <v>61.205931</v>
      </c>
      <c r="C2717" s="18"/>
      <c r="D2717" s="19"/>
    </row>
    <row r="2718" spans="1:4" x14ac:dyDescent="0.3">
      <c r="A2718" s="20">
        <v>45452.454167000004</v>
      </c>
      <c r="B2718" s="17">
        <v>61.003678000000001</v>
      </c>
      <c r="C2718" s="18"/>
      <c r="D2718" s="19"/>
    </row>
    <row r="2719" spans="1:4" x14ac:dyDescent="0.3">
      <c r="A2719" s="20">
        <v>45452.454860999998</v>
      </c>
      <c r="B2719" s="17">
        <v>61.078006000000002</v>
      </c>
      <c r="C2719" s="18"/>
      <c r="D2719" s="19"/>
    </row>
    <row r="2720" spans="1:4" x14ac:dyDescent="0.3">
      <c r="A2720" s="20">
        <v>45452.455556000001</v>
      </c>
      <c r="B2720" s="17">
        <v>61.183785</v>
      </c>
      <c r="C2720" s="18"/>
      <c r="D2720" s="19"/>
    </row>
    <row r="2721" spans="1:4" x14ac:dyDescent="0.3">
      <c r="A2721" s="20">
        <v>45452.456250000003</v>
      </c>
      <c r="B2721" s="17">
        <v>61.220773999999999</v>
      </c>
      <c r="C2721" s="18"/>
      <c r="D2721" s="19"/>
    </row>
    <row r="2722" spans="1:4" x14ac:dyDescent="0.3">
      <c r="A2722" s="20">
        <v>45452.456943999998</v>
      </c>
      <c r="B2722" s="17">
        <v>61.749851999999997</v>
      </c>
      <c r="C2722" s="18"/>
      <c r="D2722" s="19"/>
    </row>
    <row r="2723" spans="1:4" x14ac:dyDescent="0.3">
      <c r="A2723" s="20">
        <v>45452.457639</v>
      </c>
      <c r="B2723" s="17">
        <v>61.076816000000001</v>
      </c>
      <c r="C2723" s="18"/>
      <c r="D2723" s="19"/>
    </row>
    <row r="2724" spans="1:4" x14ac:dyDescent="0.3">
      <c r="A2724" s="20">
        <v>45452.458333000002</v>
      </c>
      <c r="B2724" s="17">
        <v>61.125931999999999</v>
      </c>
      <c r="C2724" s="18"/>
      <c r="D2724" s="19"/>
    </row>
    <row r="2725" spans="1:4" x14ac:dyDescent="0.3">
      <c r="A2725" s="20">
        <v>45452.459027999997</v>
      </c>
      <c r="B2725" s="17">
        <v>61.168937</v>
      </c>
      <c r="C2725" s="18"/>
      <c r="D2725" s="19"/>
    </row>
    <row r="2726" spans="1:4" x14ac:dyDescent="0.3">
      <c r="A2726" s="20">
        <v>45452.459722</v>
      </c>
      <c r="B2726" s="17">
        <v>60.539527</v>
      </c>
      <c r="C2726" s="18"/>
      <c r="D2726" s="19"/>
    </row>
    <row r="2727" spans="1:4" x14ac:dyDescent="0.3">
      <c r="A2727" s="20">
        <v>45452.460417000002</v>
      </c>
      <c r="B2727" s="17">
        <v>61.146247000000002</v>
      </c>
      <c r="C2727" s="18"/>
      <c r="D2727" s="19"/>
    </row>
    <row r="2728" spans="1:4" x14ac:dyDescent="0.3">
      <c r="A2728" s="20">
        <v>45452.461110999997</v>
      </c>
      <c r="B2728" s="17">
        <v>61.318446000000002</v>
      </c>
      <c r="C2728" s="18"/>
      <c r="D2728" s="19"/>
    </row>
    <row r="2729" spans="1:4" x14ac:dyDescent="0.3">
      <c r="A2729" s="20">
        <v>45452.461805999999</v>
      </c>
      <c r="B2729" s="17">
        <v>61.294877999999997</v>
      </c>
      <c r="C2729" s="18"/>
      <c r="D2729" s="19"/>
    </row>
    <row r="2730" spans="1:4" x14ac:dyDescent="0.3">
      <c r="A2730" s="20">
        <v>45452.462500000001</v>
      </c>
      <c r="B2730" s="17">
        <v>61.376891000000001</v>
      </c>
      <c r="C2730" s="18"/>
      <c r="D2730" s="19"/>
    </row>
    <row r="2731" spans="1:4" x14ac:dyDescent="0.3">
      <c r="A2731" s="20">
        <v>45452.463194000004</v>
      </c>
      <c r="B2731" s="17">
        <v>61.459868999999998</v>
      </c>
      <c r="C2731" s="18"/>
      <c r="D2731" s="19"/>
    </row>
    <row r="2732" spans="1:4" x14ac:dyDescent="0.3">
      <c r="A2732" s="20">
        <v>45452.463888999999</v>
      </c>
      <c r="B2732" s="17">
        <v>60.530633999999999</v>
      </c>
      <c r="C2732" s="18"/>
      <c r="D2732" s="19"/>
    </row>
    <row r="2733" spans="1:4" x14ac:dyDescent="0.3">
      <c r="A2733" s="20">
        <v>45452.464583000001</v>
      </c>
      <c r="B2733" s="17">
        <v>61.632618999999998</v>
      </c>
      <c r="C2733" s="18"/>
      <c r="D2733" s="19"/>
    </row>
    <row r="2734" spans="1:4" x14ac:dyDescent="0.3">
      <c r="A2734" s="20">
        <v>45452.465278000003</v>
      </c>
      <c r="B2734" s="17">
        <v>61.113120000000002</v>
      </c>
      <c r="C2734" s="18"/>
      <c r="D2734" s="19"/>
    </row>
    <row r="2735" spans="1:4" x14ac:dyDescent="0.3">
      <c r="A2735" s="20">
        <v>45452.465971999998</v>
      </c>
      <c r="B2735" s="17">
        <v>61.452534</v>
      </c>
      <c r="C2735" s="18"/>
      <c r="D2735" s="19"/>
    </row>
    <row r="2736" spans="1:4" x14ac:dyDescent="0.3">
      <c r="A2736" s="20">
        <v>45452.466667000001</v>
      </c>
      <c r="B2736" s="17">
        <v>61.115513999999997</v>
      </c>
      <c r="C2736" s="18"/>
      <c r="D2736" s="19"/>
    </row>
    <row r="2737" spans="1:4" x14ac:dyDescent="0.3">
      <c r="A2737" s="20">
        <v>45452.467361000003</v>
      </c>
      <c r="B2737" s="17">
        <v>61.709200000000003</v>
      </c>
      <c r="C2737" s="18"/>
      <c r="D2737" s="19"/>
    </row>
    <row r="2738" spans="1:4" x14ac:dyDescent="0.3">
      <c r="A2738" s="20">
        <v>45452.468055999998</v>
      </c>
      <c r="B2738" s="17">
        <v>61.019762</v>
      </c>
      <c r="C2738" s="18"/>
      <c r="D2738" s="19"/>
    </row>
    <row r="2739" spans="1:4" x14ac:dyDescent="0.3">
      <c r="A2739" s="20">
        <v>45452.46875</v>
      </c>
      <c r="B2739" s="17">
        <v>60.876486</v>
      </c>
      <c r="C2739" s="18"/>
      <c r="D2739" s="19"/>
    </row>
    <row r="2740" spans="1:4" x14ac:dyDescent="0.3">
      <c r="A2740" s="20">
        <v>45452.469444000002</v>
      </c>
      <c r="B2740" s="17">
        <v>61.712487000000003</v>
      </c>
      <c r="C2740" s="18"/>
      <c r="D2740" s="19"/>
    </row>
    <row r="2741" spans="1:4" x14ac:dyDescent="0.3">
      <c r="A2741" s="20">
        <v>45452.470138999997</v>
      </c>
      <c r="B2741" s="17">
        <v>61.53933</v>
      </c>
      <c r="C2741" s="18"/>
      <c r="D2741" s="19"/>
    </row>
    <row r="2742" spans="1:4" x14ac:dyDescent="0.3">
      <c r="A2742" s="20">
        <v>45452.470832999999</v>
      </c>
      <c r="B2742" s="17">
        <v>61.371547</v>
      </c>
      <c r="C2742" s="18"/>
      <c r="D2742" s="19"/>
    </row>
    <row r="2743" spans="1:4" x14ac:dyDescent="0.3">
      <c r="A2743" s="20">
        <v>45452.471528000002</v>
      </c>
      <c r="B2743" s="17">
        <v>60.731008000000003</v>
      </c>
      <c r="C2743" s="18"/>
      <c r="D2743" s="19"/>
    </row>
    <row r="2744" spans="1:4" x14ac:dyDescent="0.3">
      <c r="A2744" s="20">
        <v>45452.472221999997</v>
      </c>
      <c r="B2744" s="17">
        <v>61.086142000000002</v>
      </c>
      <c r="C2744" s="18"/>
      <c r="D2744" s="19"/>
    </row>
    <row r="2745" spans="1:4" x14ac:dyDescent="0.3">
      <c r="A2745" s="20">
        <v>45452.472916999999</v>
      </c>
      <c r="B2745" s="17">
        <v>61.060809999999996</v>
      </c>
      <c r="C2745" s="18"/>
      <c r="D2745" s="19"/>
    </row>
    <row r="2746" spans="1:4" x14ac:dyDescent="0.3">
      <c r="A2746" s="20">
        <v>45452.473611000001</v>
      </c>
      <c r="B2746" s="17">
        <v>61.093846999999997</v>
      </c>
      <c r="C2746" s="18"/>
      <c r="D2746" s="19"/>
    </row>
    <row r="2747" spans="1:4" x14ac:dyDescent="0.3">
      <c r="A2747" s="20">
        <v>45452.474305999996</v>
      </c>
      <c r="B2747" s="17">
        <v>61.307223999999998</v>
      </c>
      <c r="C2747" s="18"/>
      <c r="D2747" s="19"/>
    </row>
    <row r="2748" spans="1:4" x14ac:dyDescent="0.3">
      <c r="A2748" s="20">
        <v>45452.474999999999</v>
      </c>
      <c r="B2748" s="17">
        <v>60.420171000000003</v>
      </c>
      <c r="C2748" s="18"/>
      <c r="D2748" s="19"/>
    </row>
    <row r="2749" spans="1:4" x14ac:dyDescent="0.3">
      <c r="A2749" s="20">
        <v>45452.475694000001</v>
      </c>
      <c r="B2749" s="17">
        <v>61.007610999999997</v>
      </c>
      <c r="C2749" s="18"/>
      <c r="D2749" s="19"/>
    </row>
    <row r="2750" spans="1:4" x14ac:dyDescent="0.3">
      <c r="A2750" s="20">
        <v>45452.476389000003</v>
      </c>
      <c r="B2750" s="17">
        <v>61.327630999999997</v>
      </c>
      <c r="C2750" s="18"/>
      <c r="D2750" s="19"/>
    </row>
    <row r="2751" spans="1:4" x14ac:dyDescent="0.3">
      <c r="A2751" s="20">
        <v>45452.477082999998</v>
      </c>
      <c r="B2751" s="17">
        <v>61.401026000000002</v>
      </c>
      <c r="C2751" s="18"/>
      <c r="D2751" s="19"/>
    </row>
    <row r="2752" spans="1:4" x14ac:dyDescent="0.3">
      <c r="A2752" s="20">
        <v>45452.477778</v>
      </c>
      <c r="B2752" s="17">
        <v>61.027377000000001</v>
      </c>
      <c r="C2752" s="18"/>
      <c r="D2752" s="19"/>
    </row>
    <row r="2753" spans="1:4" x14ac:dyDescent="0.3">
      <c r="A2753" s="20">
        <v>45452.478472000003</v>
      </c>
      <c r="B2753" s="17">
        <v>61.348045999999997</v>
      </c>
      <c r="C2753" s="18"/>
      <c r="D2753" s="19"/>
    </row>
    <row r="2754" spans="1:4" x14ac:dyDescent="0.3">
      <c r="A2754" s="20">
        <v>45452.479166999998</v>
      </c>
      <c r="B2754" s="17">
        <v>61.197212</v>
      </c>
      <c r="C2754" s="18"/>
      <c r="D2754" s="19"/>
    </row>
    <row r="2755" spans="1:4" x14ac:dyDescent="0.3">
      <c r="A2755" s="20">
        <v>45452.479861</v>
      </c>
      <c r="B2755" s="17">
        <v>61.202764999999999</v>
      </c>
      <c r="C2755" s="18"/>
      <c r="D2755" s="19"/>
    </row>
    <row r="2756" spans="1:4" x14ac:dyDescent="0.3">
      <c r="A2756" s="20">
        <v>45452.480556000002</v>
      </c>
      <c r="B2756" s="17">
        <v>60.887842999999997</v>
      </c>
      <c r="C2756" s="18"/>
      <c r="D2756" s="19"/>
    </row>
    <row r="2757" spans="1:4" x14ac:dyDescent="0.3">
      <c r="A2757" s="20">
        <v>45452.481249999997</v>
      </c>
      <c r="B2757" s="17">
        <v>61.646065</v>
      </c>
      <c r="C2757" s="18"/>
      <c r="D2757" s="19"/>
    </row>
    <row r="2758" spans="1:4" x14ac:dyDescent="0.3">
      <c r="A2758" s="20">
        <v>45452.481943999999</v>
      </c>
      <c r="B2758" s="17">
        <v>61.744079999999997</v>
      </c>
      <c r="C2758" s="18"/>
      <c r="D2758" s="19"/>
    </row>
    <row r="2759" spans="1:4" x14ac:dyDescent="0.3">
      <c r="A2759" s="20">
        <v>45452.482639000002</v>
      </c>
      <c r="B2759" s="17">
        <v>61.150835999999998</v>
      </c>
      <c r="C2759" s="18"/>
      <c r="D2759" s="19"/>
    </row>
    <row r="2760" spans="1:4" x14ac:dyDescent="0.3">
      <c r="A2760" s="20">
        <v>45452.483332999996</v>
      </c>
      <c r="B2760" s="17">
        <v>61.806837000000002</v>
      </c>
      <c r="C2760" s="18"/>
      <c r="D2760" s="19"/>
    </row>
    <row r="2761" spans="1:4" x14ac:dyDescent="0.3">
      <c r="A2761" s="20">
        <v>45452.484027999999</v>
      </c>
      <c r="B2761" s="17">
        <v>61.365611999999999</v>
      </c>
      <c r="C2761" s="18"/>
      <c r="D2761" s="19"/>
    </row>
    <row r="2762" spans="1:4" x14ac:dyDescent="0.3">
      <c r="A2762" s="20">
        <v>45452.484722000001</v>
      </c>
      <c r="B2762" s="17">
        <v>61.290688000000003</v>
      </c>
      <c r="C2762" s="18"/>
      <c r="D2762" s="19"/>
    </row>
    <row r="2763" spans="1:4" x14ac:dyDescent="0.3">
      <c r="A2763" s="20">
        <v>45452.485417000004</v>
      </c>
      <c r="B2763" s="17">
        <v>61.220680999999999</v>
      </c>
      <c r="C2763" s="18"/>
      <c r="D2763" s="19"/>
    </row>
    <row r="2764" spans="1:4" x14ac:dyDescent="0.3">
      <c r="A2764" s="20">
        <v>45452.486110999998</v>
      </c>
      <c r="B2764" s="17">
        <v>61.441778999999997</v>
      </c>
      <c r="C2764" s="18"/>
      <c r="D2764" s="19"/>
    </row>
    <row r="2765" spans="1:4" x14ac:dyDescent="0.3">
      <c r="A2765" s="20">
        <v>45452.486806000001</v>
      </c>
      <c r="B2765" s="17">
        <v>61.577178000000004</v>
      </c>
      <c r="C2765" s="18"/>
      <c r="D2765" s="19"/>
    </row>
    <row r="2766" spans="1:4" x14ac:dyDescent="0.3">
      <c r="A2766" s="20">
        <v>45452.487500000003</v>
      </c>
      <c r="B2766" s="17">
        <v>61.633541000000001</v>
      </c>
      <c r="C2766" s="18"/>
      <c r="D2766" s="19"/>
    </row>
    <row r="2767" spans="1:4" x14ac:dyDescent="0.3">
      <c r="A2767" s="20">
        <v>45452.488193999998</v>
      </c>
      <c r="B2767" s="17">
        <v>60.956622000000003</v>
      </c>
      <c r="C2767" s="18"/>
      <c r="D2767" s="19"/>
    </row>
    <row r="2768" spans="1:4" x14ac:dyDescent="0.3">
      <c r="A2768" s="20">
        <v>45452.488889</v>
      </c>
      <c r="B2768" s="17">
        <v>61.229041000000002</v>
      </c>
      <c r="C2768" s="18"/>
      <c r="D2768" s="19"/>
    </row>
    <row r="2769" spans="1:4" x14ac:dyDescent="0.3">
      <c r="A2769" s="20">
        <v>45452.489583000002</v>
      </c>
      <c r="B2769" s="17">
        <v>60.506027000000003</v>
      </c>
      <c r="C2769" s="18"/>
      <c r="D2769" s="19"/>
    </row>
    <row r="2770" spans="1:4" x14ac:dyDescent="0.3">
      <c r="A2770" s="20">
        <v>45452.490277999997</v>
      </c>
      <c r="B2770" s="17">
        <v>61.767829999999996</v>
      </c>
      <c r="C2770" s="18"/>
      <c r="D2770" s="19"/>
    </row>
    <row r="2771" spans="1:4" x14ac:dyDescent="0.3">
      <c r="A2771" s="20">
        <v>45452.490972</v>
      </c>
      <c r="B2771" s="17">
        <v>60.835219000000002</v>
      </c>
      <c r="C2771" s="18"/>
      <c r="D2771" s="19"/>
    </row>
    <row r="2772" spans="1:4" x14ac:dyDescent="0.3">
      <c r="A2772" s="20">
        <v>45452.491667000002</v>
      </c>
      <c r="B2772" s="17">
        <v>61.007578000000002</v>
      </c>
      <c r="C2772" s="18"/>
      <c r="D2772" s="19"/>
    </row>
    <row r="2773" spans="1:4" x14ac:dyDescent="0.3">
      <c r="A2773" s="20">
        <v>45452.492360999997</v>
      </c>
      <c r="B2773" s="17">
        <v>61.380026000000001</v>
      </c>
      <c r="C2773" s="18"/>
      <c r="D2773" s="19"/>
    </row>
    <row r="2774" spans="1:4" x14ac:dyDescent="0.3">
      <c r="A2774" s="20">
        <v>45452.493055999999</v>
      </c>
      <c r="B2774" s="17">
        <v>60.856920000000002</v>
      </c>
      <c r="C2774" s="18"/>
      <c r="D2774" s="19"/>
    </row>
    <row r="2775" spans="1:4" x14ac:dyDescent="0.3">
      <c r="A2775" s="20">
        <v>45452.493750000001</v>
      </c>
      <c r="B2775" s="17">
        <v>61.182324999999999</v>
      </c>
      <c r="C2775" s="18"/>
      <c r="D2775" s="19"/>
    </row>
    <row r="2776" spans="1:4" x14ac:dyDescent="0.3">
      <c r="A2776" s="20">
        <v>45452.494444000004</v>
      </c>
      <c r="B2776" s="17">
        <v>61.589278</v>
      </c>
      <c r="C2776" s="18"/>
      <c r="D2776" s="19"/>
    </row>
    <row r="2777" spans="1:4" x14ac:dyDescent="0.3">
      <c r="A2777" s="20">
        <v>45452.495138999999</v>
      </c>
      <c r="B2777" s="17">
        <v>61.731169000000001</v>
      </c>
      <c r="C2777" s="18"/>
      <c r="D2777" s="19"/>
    </row>
    <row r="2778" spans="1:4" x14ac:dyDescent="0.3">
      <c r="A2778" s="20">
        <v>45452.495833000001</v>
      </c>
      <c r="B2778" s="17">
        <v>61.512500000000003</v>
      </c>
      <c r="C2778" s="18"/>
      <c r="D2778" s="19"/>
    </row>
    <row r="2779" spans="1:4" x14ac:dyDescent="0.3">
      <c r="A2779" s="20">
        <v>45452.496528000003</v>
      </c>
      <c r="B2779" s="17">
        <v>60.803891</v>
      </c>
      <c r="C2779" s="18"/>
      <c r="D2779" s="19"/>
    </row>
    <row r="2780" spans="1:4" x14ac:dyDescent="0.3">
      <c r="A2780" s="20">
        <v>45452.497221999998</v>
      </c>
      <c r="B2780" s="17">
        <v>60.869314000000003</v>
      </c>
      <c r="C2780" s="18"/>
      <c r="D2780" s="19"/>
    </row>
    <row r="2781" spans="1:4" x14ac:dyDescent="0.3">
      <c r="A2781" s="20">
        <v>45452.497917000001</v>
      </c>
      <c r="B2781" s="17">
        <v>61.197865999999998</v>
      </c>
      <c r="C2781" s="18"/>
      <c r="D2781" s="19"/>
    </row>
    <row r="2782" spans="1:4" x14ac:dyDescent="0.3">
      <c r="A2782" s="20">
        <v>45452.498611000003</v>
      </c>
      <c r="B2782" s="17">
        <v>61.527566</v>
      </c>
      <c r="C2782" s="18"/>
      <c r="D2782" s="19"/>
    </row>
    <row r="2783" spans="1:4" x14ac:dyDescent="0.3">
      <c r="A2783" s="20">
        <v>45452.499305999998</v>
      </c>
      <c r="B2783" s="17">
        <v>60.557321000000002</v>
      </c>
      <c r="C2783" s="18"/>
      <c r="D2783" s="19"/>
    </row>
    <row r="2784" spans="1:4" x14ac:dyDescent="0.3">
      <c r="A2784" s="20">
        <v>45452.5</v>
      </c>
      <c r="B2784" s="17">
        <v>61.423479999999998</v>
      </c>
      <c r="C2784" s="18"/>
      <c r="D2784" s="19"/>
    </row>
    <row r="2785" spans="1:4" x14ac:dyDescent="0.3">
      <c r="A2785" s="20">
        <v>45452.500694000002</v>
      </c>
      <c r="B2785" s="17">
        <v>61.142145999999997</v>
      </c>
      <c r="C2785" s="18"/>
      <c r="D2785" s="19"/>
    </row>
    <row r="2786" spans="1:4" x14ac:dyDescent="0.3">
      <c r="A2786" s="20">
        <v>45452.501388999997</v>
      </c>
      <c r="B2786" s="17">
        <v>61.572079000000002</v>
      </c>
      <c r="C2786" s="18"/>
      <c r="D2786" s="19"/>
    </row>
    <row r="2787" spans="1:4" x14ac:dyDescent="0.3">
      <c r="A2787" s="20">
        <v>45452.502082999999</v>
      </c>
      <c r="B2787" s="17">
        <v>61.223865000000004</v>
      </c>
      <c r="C2787" s="18"/>
      <c r="D2787" s="19"/>
    </row>
    <row r="2788" spans="1:4" x14ac:dyDescent="0.3">
      <c r="A2788" s="20">
        <v>45452.502778000002</v>
      </c>
      <c r="B2788" s="17">
        <v>61.247411</v>
      </c>
      <c r="C2788" s="18"/>
      <c r="D2788" s="19"/>
    </row>
    <row r="2789" spans="1:4" x14ac:dyDescent="0.3">
      <c r="A2789" s="20">
        <v>45452.503471999997</v>
      </c>
      <c r="B2789" s="17">
        <v>62.060507999999999</v>
      </c>
      <c r="C2789" s="18"/>
      <c r="D2789" s="19"/>
    </row>
    <row r="2790" spans="1:4" x14ac:dyDescent="0.3">
      <c r="A2790" s="20">
        <v>45452.504166999999</v>
      </c>
      <c r="B2790" s="17">
        <v>60.918351000000001</v>
      </c>
      <c r="C2790" s="18"/>
      <c r="D2790" s="19"/>
    </row>
    <row r="2791" spans="1:4" x14ac:dyDescent="0.3">
      <c r="A2791" s="20">
        <v>45452.504861000001</v>
      </c>
      <c r="B2791" s="17">
        <v>61.398158000000002</v>
      </c>
      <c r="C2791" s="18"/>
      <c r="D2791" s="19"/>
    </row>
    <row r="2792" spans="1:4" x14ac:dyDescent="0.3">
      <c r="A2792" s="20">
        <v>45452.505555999996</v>
      </c>
      <c r="B2792" s="17">
        <v>60.738759999999999</v>
      </c>
      <c r="C2792" s="18"/>
      <c r="D2792" s="19"/>
    </row>
    <row r="2793" spans="1:4" x14ac:dyDescent="0.3">
      <c r="A2793" s="20">
        <v>45452.506249999999</v>
      </c>
      <c r="B2793" s="17">
        <v>61.330948999999997</v>
      </c>
      <c r="C2793" s="18"/>
      <c r="D2793" s="19"/>
    </row>
    <row r="2794" spans="1:4" x14ac:dyDescent="0.3">
      <c r="A2794" s="20">
        <v>45452.506944000001</v>
      </c>
      <c r="B2794" s="17">
        <v>61.207678999999999</v>
      </c>
      <c r="C2794" s="18"/>
      <c r="D2794" s="19"/>
    </row>
    <row r="2795" spans="1:4" x14ac:dyDescent="0.3">
      <c r="A2795" s="20">
        <v>45452.507639000003</v>
      </c>
      <c r="B2795" s="17">
        <v>61.159970999999999</v>
      </c>
      <c r="C2795" s="18"/>
      <c r="D2795" s="19"/>
    </row>
    <row r="2796" spans="1:4" x14ac:dyDescent="0.3">
      <c r="A2796" s="20">
        <v>45452.508332999998</v>
      </c>
      <c r="B2796" s="17">
        <v>61.837499999999999</v>
      </c>
      <c r="C2796" s="18"/>
      <c r="D2796" s="19"/>
    </row>
    <row r="2797" spans="1:4" x14ac:dyDescent="0.3">
      <c r="A2797" s="20">
        <v>45452.509028</v>
      </c>
      <c r="B2797" s="17">
        <v>61.582754000000001</v>
      </c>
      <c r="C2797" s="18"/>
      <c r="D2797" s="19"/>
    </row>
    <row r="2798" spans="1:4" x14ac:dyDescent="0.3">
      <c r="A2798" s="20">
        <v>45452.509722000003</v>
      </c>
      <c r="B2798" s="17">
        <v>61.884625999999997</v>
      </c>
      <c r="C2798" s="18"/>
      <c r="D2798" s="19"/>
    </row>
    <row r="2799" spans="1:4" x14ac:dyDescent="0.3">
      <c r="A2799" s="20">
        <v>45452.510416999998</v>
      </c>
      <c r="B2799" s="17">
        <v>61.931316000000002</v>
      </c>
      <c r="C2799" s="18"/>
      <c r="D2799" s="19"/>
    </row>
    <row r="2800" spans="1:4" x14ac:dyDescent="0.3">
      <c r="A2800" s="20">
        <v>45452.511111</v>
      </c>
      <c r="B2800" s="17">
        <v>61.832478000000002</v>
      </c>
      <c r="C2800" s="18"/>
      <c r="D2800" s="19"/>
    </row>
    <row r="2801" spans="1:4" x14ac:dyDescent="0.3">
      <c r="A2801" s="20">
        <v>45452.511806000002</v>
      </c>
      <c r="B2801" s="17">
        <v>62.114960000000004</v>
      </c>
      <c r="C2801" s="18"/>
      <c r="D2801" s="19"/>
    </row>
    <row r="2802" spans="1:4" x14ac:dyDescent="0.3">
      <c r="A2802" s="20">
        <v>45452.512499999997</v>
      </c>
      <c r="B2802" s="17">
        <v>61.234665</v>
      </c>
      <c r="C2802" s="18"/>
      <c r="D2802" s="19"/>
    </row>
    <row r="2803" spans="1:4" x14ac:dyDescent="0.3">
      <c r="A2803" s="20">
        <v>45452.513193999999</v>
      </c>
      <c r="B2803" s="17">
        <v>61.244878</v>
      </c>
      <c r="C2803" s="18"/>
      <c r="D2803" s="19"/>
    </row>
    <row r="2804" spans="1:4" x14ac:dyDescent="0.3">
      <c r="A2804" s="20">
        <v>45452.513889000002</v>
      </c>
      <c r="B2804" s="17">
        <v>61.055563999999997</v>
      </c>
      <c r="C2804" s="18"/>
      <c r="D2804" s="19"/>
    </row>
    <row r="2805" spans="1:4" x14ac:dyDescent="0.3">
      <c r="A2805" s="20">
        <v>45452.514582999996</v>
      </c>
      <c r="B2805" s="17">
        <v>61.487602000000003</v>
      </c>
      <c r="C2805" s="18"/>
      <c r="D2805" s="19"/>
    </row>
    <row r="2806" spans="1:4" x14ac:dyDescent="0.3">
      <c r="A2806" s="20">
        <v>45452.515277999999</v>
      </c>
      <c r="B2806" s="17">
        <v>61.134700000000002</v>
      </c>
      <c r="C2806" s="18"/>
      <c r="D2806" s="19"/>
    </row>
    <row r="2807" spans="1:4" x14ac:dyDescent="0.3">
      <c r="A2807" s="20">
        <v>45452.515972000001</v>
      </c>
      <c r="B2807" s="17">
        <v>60.796855000000001</v>
      </c>
      <c r="C2807" s="18"/>
      <c r="D2807" s="19"/>
    </row>
    <row r="2808" spans="1:4" x14ac:dyDescent="0.3">
      <c r="A2808" s="20">
        <v>45452.516667000004</v>
      </c>
      <c r="B2808" s="17">
        <v>61.244630000000001</v>
      </c>
      <c r="C2808" s="18"/>
      <c r="D2808" s="19"/>
    </row>
    <row r="2809" spans="1:4" x14ac:dyDescent="0.3">
      <c r="A2809" s="20">
        <v>45452.517360999998</v>
      </c>
      <c r="B2809" s="17">
        <v>61.671585</v>
      </c>
      <c r="C2809" s="18"/>
      <c r="D2809" s="19"/>
    </row>
    <row r="2810" spans="1:4" x14ac:dyDescent="0.3">
      <c r="A2810" s="20">
        <v>45452.518056000001</v>
      </c>
      <c r="B2810" s="17">
        <v>61.310014000000002</v>
      </c>
      <c r="C2810" s="18"/>
      <c r="D2810" s="19"/>
    </row>
    <row r="2811" spans="1:4" x14ac:dyDescent="0.3">
      <c r="A2811" s="20">
        <v>45452.518750000003</v>
      </c>
      <c r="B2811" s="17">
        <v>61.080058999999999</v>
      </c>
      <c r="C2811" s="18"/>
      <c r="D2811" s="19"/>
    </row>
    <row r="2812" spans="1:4" x14ac:dyDescent="0.3">
      <c r="A2812" s="20">
        <v>45452.519443999998</v>
      </c>
      <c r="B2812" s="17">
        <v>61.187339000000001</v>
      </c>
      <c r="C2812" s="18"/>
      <c r="D2812" s="19"/>
    </row>
    <row r="2813" spans="1:4" x14ac:dyDescent="0.3">
      <c r="A2813" s="20">
        <v>45452.520139</v>
      </c>
      <c r="B2813" s="17">
        <v>60.935046</v>
      </c>
      <c r="C2813" s="18"/>
      <c r="D2813" s="19"/>
    </row>
    <row r="2814" spans="1:4" x14ac:dyDescent="0.3">
      <c r="A2814" s="20">
        <v>45452.520833000002</v>
      </c>
      <c r="B2814" s="17">
        <v>61.561019000000002</v>
      </c>
      <c r="C2814" s="18"/>
      <c r="D2814" s="19"/>
    </row>
    <row r="2815" spans="1:4" x14ac:dyDescent="0.3">
      <c r="A2815" s="20">
        <v>45452.521527999997</v>
      </c>
      <c r="B2815" s="17">
        <v>61.510688000000002</v>
      </c>
      <c r="C2815" s="18"/>
      <c r="D2815" s="19"/>
    </row>
    <row r="2816" spans="1:4" x14ac:dyDescent="0.3">
      <c r="A2816" s="20">
        <v>45452.522222</v>
      </c>
      <c r="B2816" s="17">
        <v>61.405819999999999</v>
      </c>
      <c r="C2816" s="18"/>
      <c r="D2816" s="19"/>
    </row>
    <row r="2817" spans="1:4" x14ac:dyDescent="0.3">
      <c r="A2817" s="20">
        <v>45452.522917000002</v>
      </c>
      <c r="B2817" s="17">
        <v>61.124181999999998</v>
      </c>
      <c r="C2817" s="18"/>
      <c r="D2817" s="19"/>
    </row>
    <row r="2818" spans="1:4" x14ac:dyDescent="0.3">
      <c r="A2818" s="20">
        <v>45452.523610999997</v>
      </c>
      <c r="B2818" s="17">
        <v>61.174340999999998</v>
      </c>
      <c r="C2818" s="18"/>
      <c r="D2818" s="19"/>
    </row>
    <row r="2819" spans="1:4" x14ac:dyDescent="0.3">
      <c r="A2819" s="20">
        <v>45452.524305999999</v>
      </c>
      <c r="B2819" s="17">
        <v>61.036659</v>
      </c>
      <c r="C2819" s="18"/>
      <c r="D2819" s="19"/>
    </row>
    <row r="2820" spans="1:4" x14ac:dyDescent="0.3">
      <c r="A2820" s="20">
        <v>45452.525000000001</v>
      </c>
      <c r="B2820" s="17">
        <v>61.378467000000001</v>
      </c>
      <c r="C2820" s="18"/>
      <c r="D2820" s="19"/>
    </row>
    <row r="2821" spans="1:4" x14ac:dyDescent="0.3">
      <c r="A2821" s="20">
        <v>45452.525694000004</v>
      </c>
      <c r="B2821" s="17">
        <v>61.399977</v>
      </c>
      <c r="C2821" s="18"/>
      <c r="D2821" s="19"/>
    </row>
    <row r="2822" spans="1:4" x14ac:dyDescent="0.3">
      <c r="A2822" s="20">
        <v>45452.526388999999</v>
      </c>
      <c r="B2822" s="17">
        <v>61.097203</v>
      </c>
      <c r="C2822" s="18"/>
      <c r="D2822" s="19"/>
    </row>
    <row r="2823" spans="1:4" x14ac:dyDescent="0.3">
      <c r="A2823" s="20">
        <v>45452.527083000001</v>
      </c>
      <c r="B2823" s="17">
        <v>61.013387000000002</v>
      </c>
      <c r="C2823" s="18"/>
      <c r="D2823" s="19"/>
    </row>
    <row r="2824" spans="1:4" x14ac:dyDescent="0.3">
      <c r="A2824" s="20">
        <v>45452.527778000003</v>
      </c>
      <c r="B2824" s="17">
        <v>61.232284999999997</v>
      </c>
      <c r="C2824" s="18"/>
      <c r="D2824" s="19"/>
    </row>
    <row r="2825" spans="1:4" x14ac:dyDescent="0.3">
      <c r="A2825" s="20">
        <v>45452.528471999998</v>
      </c>
      <c r="B2825" s="17">
        <v>61.122725000000003</v>
      </c>
      <c r="C2825" s="18"/>
      <c r="D2825" s="19"/>
    </row>
    <row r="2826" spans="1:4" x14ac:dyDescent="0.3">
      <c r="A2826" s="20">
        <v>45452.529167000001</v>
      </c>
      <c r="B2826" s="17">
        <v>61.405855000000003</v>
      </c>
      <c r="C2826" s="18"/>
      <c r="D2826" s="19"/>
    </row>
    <row r="2827" spans="1:4" x14ac:dyDescent="0.3">
      <c r="A2827" s="20">
        <v>45452.529861000003</v>
      </c>
      <c r="B2827" s="17">
        <v>61.564945999999999</v>
      </c>
      <c r="C2827" s="18"/>
      <c r="D2827" s="19"/>
    </row>
    <row r="2828" spans="1:4" x14ac:dyDescent="0.3">
      <c r="A2828" s="20">
        <v>45452.530555999998</v>
      </c>
      <c r="B2828" s="17">
        <v>61.174754999999998</v>
      </c>
      <c r="C2828" s="18"/>
      <c r="D2828" s="19"/>
    </row>
    <row r="2829" spans="1:4" x14ac:dyDescent="0.3">
      <c r="A2829" s="20">
        <v>45452.53125</v>
      </c>
      <c r="B2829" s="17">
        <v>61.318491000000002</v>
      </c>
      <c r="C2829" s="18"/>
      <c r="D2829" s="19"/>
    </row>
    <row r="2830" spans="1:4" x14ac:dyDescent="0.3">
      <c r="A2830" s="20">
        <v>45452.531944000002</v>
      </c>
      <c r="B2830" s="17">
        <v>61.118701000000001</v>
      </c>
      <c r="C2830" s="18"/>
      <c r="D2830" s="19"/>
    </row>
    <row r="2831" spans="1:4" x14ac:dyDescent="0.3">
      <c r="A2831" s="20">
        <v>45452.532638999997</v>
      </c>
      <c r="B2831" s="17">
        <v>61.168629000000003</v>
      </c>
      <c r="C2831" s="18"/>
      <c r="D2831" s="19"/>
    </row>
    <row r="2832" spans="1:4" x14ac:dyDescent="0.3">
      <c r="A2832" s="20">
        <v>45452.533332999999</v>
      </c>
      <c r="B2832" s="17">
        <v>61.739139000000002</v>
      </c>
      <c r="C2832" s="18"/>
      <c r="D2832" s="19"/>
    </row>
    <row r="2833" spans="1:4" x14ac:dyDescent="0.3">
      <c r="A2833" s="20">
        <v>45452.534028000002</v>
      </c>
      <c r="B2833" s="17">
        <v>61.147038000000002</v>
      </c>
      <c r="C2833" s="18"/>
      <c r="D2833" s="19"/>
    </row>
    <row r="2834" spans="1:4" x14ac:dyDescent="0.3">
      <c r="A2834" s="20">
        <v>45452.534721999997</v>
      </c>
      <c r="B2834" s="17">
        <v>60.888872999999997</v>
      </c>
      <c r="C2834" s="18"/>
      <c r="D2834" s="19"/>
    </row>
    <row r="2835" spans="1:4" x14ac:dyDescent="0.3">
      <c r="A2835" s="20">
        <v>45452.535416999999</v>
      </c>
      <c r="B2835" s="17">
        <v>61.544528999999997</v>
      </c>
      <c r="C2835" s="18"/>
      <c r="D2835" s="19"/>
    </row>
    <row r="2836" spans="1:4" x14ac:dyDescent="0.3">
      <c r="A2836" s="20">
        <v>45452.536111000001</v>
      </c>
      <c r="B2836" s="17">
        <v>61.149242000000001</v>
      </c>
      <c r="C2836" s="18"/>
      <c r="D2836" s="19"/>
    </row>
    <row r="2837" spans="1:4" x14ac:dyDescent="0.3">
      <c r="A2837" s="20">
        <v>45452.536805999996</v>
      </c>
      <c r="B2837" s="17">
        <v>61.109530999999997</v>
      </c>
      <c r="C2837" s="18"/>
      <c r="D2837" s="19"/>
    </row>
    <row r="2838" spans="1:4" x14ac:dyDescent="0.3">
      <c r="A2838" s="20">
        <v>45452.537499999999</v>
      </c>
      <c r="B2838" s="17">
        <v>60.929594999999999</v>
      </c>
      <c r="C2838" s="18"/>
      <c r="D2838" s="19"/>
    </row>
    <row r="2839" spans="1:4" x14ac:dyDescent="0.3">
      <c r="A2839" s="20">
        <v>45452.538194000001</v>
      </c>
      <c r="B2839" s="17">
        <v>61.593373</v>
      </c>
      <c r="C2839" s="18"/>
      <c r="D2839" s="19"/>
    </row>
    <row r="2840" spans="1:4" x14ac:dyDescent="0.3">
      <c r="A2840" s="20">
        <v>45452.538889000003</v>
      </c>
      <c r="B2840" s="17">
        <v>61.127268999999998</v>
      </c>
      <c r="C2840" s="18"/>
      <c r="D2840" s="19"/>
    </row>
    <row r="2841" spans="1:4" x14ac:dyDescent="0.3">
      <c r="A2841" s="20">
        <v>45452.539582999998</v>
      </c>
      <c r="B2841" s="17">
        <v>61.549796999999998</v>
      </c>
      <c r="C2841" s="18"/>
      <c r="D2841" s="19"/>
    </row>
    <row r="2842" spans="1:4" x14ac:dyDescent="0.3">
      <c r="A2842" s="20">
        <v>45452.540278</v>
      </c>
      <c r="B2842" s="17">
        <v>60.882522000000002</v>
      </c>
      <c r="C2842" s="18"/>
      <c r="D2842" s="19"/>
    </row>
    <row r="2843" spans="1:4" x14ac:dyDescent="0.3">
      <c r="A2843" s="20">
        <v>45452.540972000003</v>
      </c>
      <c r="B2843" s="17">
        <v>61.667321999999999</v>
      </c>
      <c r="C2843" s="18"/>
      <c r="D2843" s="19"/>
    </row>
    <row r="2844" spans="1:4" x14ac:dyDescent="0.3">
      <c r="A2844" s="20">
        <v>45452.541666999998</v>
      </c>
      <c r="B2844" s="17">
        <v>60.774507</v>
      </c>
      <c r="C2844" s="18"/>
      <c r="D2844" s="19"/>
    </row>
    <row r="2845" spans="1:4" x14ac:dyDescent="0.3">
      <c r="A2845" s="20">
        <v>45452.542361</v>
      </c>
      <c r="B2845" s="17">
        <v>61.520007999999997</v>
      </c>
      <c r="C2845" s="18"/>
      <c r="D2845" s="19"/>
    </row>
    <row r="2846" spans="1:4" x14ac:dyDescent="0.3">
      <c r="A2846" s="20">
        <v>45452.543056000002</v>
      </c>
      <c r="B2846" s="17">
        <v>61.400337999999998</v>
      </c>
      <c r="C2846" s="18"/>
      <c r="D2846" s="19"/>
    </row>
    <row r="2847" spans="1:4" x14ac:dyDescent="0.3">
      <c r="A2847" s="20">
        <v>45452.543749999997</v>
      </c>
      <c r="B2847" s="17">
        <v>61.264643999999997</v>
      </c>
      <c r="C2847" s="18"/>
      <c r="D2847" s="19"/>
    </row>
    <row r="2848" spans="1:4" x14ac:dyDescent="0.3">
      <c r="A2848" s="20">
        <v>45452.544443999999</v>
      </c>
      <c r="B2848" s="17">
        <v>62.184175000000003</v>
      </c>
      <c r="C2848" s="18"/>
      <c r="D2848" s="19"/>
    </row>
    <row r="2849" spans="1:4" x14ac:dyDescent="0.3">
      <c r="A2849" s="20">
        <v>45452.545139000002</v>
      </c>
      <c r="B2849" s="17">
        <v>61.759345000000003</v>
      </c>
      <c r="C2849" s="18"/>
      <c r="D2849" s="19"/>
    </row>
    <row r="2850" spans="1:4" x14ac:dyDescent="0.3">
      <c r="A2850" s="20">
        <v>45452.545832999996</v>
      </c>
      <c r="B2850" s="17">
        <v>61.518849000000003</v>
      </c>
      <c r="C2850" s="18"/>
      <c r="D2850" s="19"/>
    </row>
    <row r="2851" spans="1:4" x14ac:dyDescent="0.3">
      <c r="A2851" s="20">
        <v>45452.546527999999</v>
      </c>
      <c r="B2851" s="17">
        <v>61.963492000000002</v>
      </c>
      <c r="C2851" s="18"/>
      <c r="D2851" s="19"/>
    </row>
    <row r="2852" spans="1:4" x14ac:dyDescent="0.3">
      <c r="A2852" s="20">
        <v>45452.547222000001</v>
      </c>
      <c r="B2852" s="17">
        <v>61.120173000000001</v>
      </c>
      <c r="C2852" s="18"/>
      <c r="D2852" s="19"/>
    </row>
    <row r="2853" spans="1:4" x14ac:dyDescent="0.3">
      <c r="A2853" s="20">
        <v>45452.547917000004</v>
      </c>
      <c r="B2853" s="17">
        <v>61.379085000000003</v>
      </c>
      <c r="C2853" s="18"/>
      <c r="D2853" s="19"/>
    </row>
    <row r="2854" spans="1:4" x14ac:dyDescent="0.3">
      <c r="A2854" s="20">
        <v>45452.548610999998</v>
      </c>
      <c r="B2854" s="17">
        <v>61.648800999999999</v>
      </c>
      <c r="C2854" s="18"/>
      <c r="D2854" s="19"/>
    </row>
    <row r="2855" spans="1:4" x14ac:dyDescent="0.3">
      <c r="A2855" s="20">
        <v>45452.549306000001</v>
      </c>
      <c r="B2855" s="17">
        <v>61.615968000000002</v>
      </c>
      <c r="C2855" s="18"/>
      <c r="D2855" s="19"/>
    </row>
    <row r="2856" spans="1:4" x14ac:dyDescent="0.3">
      <c r="A2856" s="20">
        <v>45452.55</v>
      </c>
      <c r="B2856" s="17">
        <v>61.378779999999999</v>
      </c>
      <c r="C2856" s="18"/>
      <c r="D2856" s="19"/>
    </row>
    <row r="2857" spans="1:4" x14ac:dyDescent="0.3">
      <c r="A2857" s="20">
        <v>45452.550693999998</v>
      </c>
      <c r="B2857" s="17">
        <v>61.917532000000001</v>
      </c>
      <c r="C2857" s="18"/>
      <c r="D2857" s="19"/>
    </row>
    <row r="2858" spans="1:4" x14ac:dyDescent="0.3">
      <c r="A2858" s="20">
        <v>45452.551389</v>
      </c>
      <c r="B2858" s="17">
        <v>61.725672000000003</v>
      </c>
      <c r="C2858" s="18"/>
      <c r="D2858" s="19"/>
    </row>
    <row r="2859" spans="1:4" x14ac:dyDescent="0.3">
      <c r="A2859" s="20">
        <v>45452.552083000002</v>
      </c>
      <c r="B2859" s="17">
        <v>61.056660000000001</v>
      </c>
      <c r="C2859" s="18"/>
      <c r="D2859" s="19"/>
    </row>
    <row r="2860" spans="1:4" x14ac:dyDescent="0.3">
      <c r="A2860" s="20">
        <v>45452.552777999997</v>
      </c>
      <c r="B2860" s="17">
        <v>61.606180999999999</v>
      </c>
      <c r="C2860" s="18"/>
      <c r="D2860" s="19"/>
    </row>
    <row r="2861" spans="1:4" x14ac:dyDescent="0.3">
      <c r="A2861" s="20">
        <v>45452.553472</v>
      </c>
      <c r="B2861" s="17">
        <v>61.487949999999998</v>
      </c>
      <c r="C2861" s="18"/>
      <c r="D2861" s="19"/>
    </row>
    <row r="2862" spans="1:4" x14ac:dyDescent="0.3">
      <c r="A2862" s="20">
        <v>45452.554167000002</v>
      </c>
      <c r="B2862" s="17">
        <v>61.866455000000002</v>
      </c>
      <c r="C2862" s="18"/>
      <c r="D2862" s="19"/>
    </row>
    <row r="2863" spans="1:4" x14ac:dyDescent="0.3">
      <c r="A2863" s="20">
        <v>45452.554860999997</v>
      </c>
      <c r="B2863" s="17">
        <v>61.681221000000001</v>
      </c>
      <c r="C2863" s="18"/>
      <c r="D2863" s="19"/>
    </row>
    <row r="2864" spans="1:4" x14ac:dyDescent="0.3">
      <c r="A2864" s="20">
        <v>45452.555555999999</v>
      </c>
      <c r="B2864" s="17">
        <v>61.354598000000003</v>
      </c>
      <c r="C2864" s="18"/>
      <c r="D2864" s="19"/>
    </row>
    <row r="2865" spans="1:4" x14ac:dyDescent="0.3">
      <c r="A2865" s="20">
        <v>45452.556250000001</v>
      </c>
      <c r="B2865" s="17">
        <v>61.463971000000001</v>
      </c>
      <c r="C2865" s="18"/>
      <c r="D2865" s="19"/>
    </row>
    <row r="2866" spans="1:4" x14ac:dyDescent="0.3">
      <c r="A2866" s="20">
        <v>45452.556944000004</v>
      </c>
      <c r="B2866" s="17">
        <v>61.213954000000001</v>
      </c>
      <c r="C2866" s="18"/>
      <c r="D2866" s="19"/>
    </row>
    <row r="2867" spans="1:4" x14ac:dyDescent="0.3">
      <c r="A2867" s="20">
        <v>45452.557638999999</v>
      </c>
      <c r="B2867" s="17">
        <v>61.694519999999997</v>
      </c>
      <c r="C2867" s="18"/>
      <c r="D2867" s="19"/>
    </row>
    <row r="2868" spans="1:4" x14ac:dyDescent="0.3">
      <c r="A2868" s="20">
        <v>45452.558333000001</v>
      </c>
      <c r="B2868" s="17">
        <v>61.215350999999998</v>
      </c>
      <c r="C2868" s="18"/>
      <c r="D2868" s="19"/>
    </row>
    <row r="2869" spans="1:4" x14ac:dyDescent="0.3">
      <c r="A2869" s="20">
        <v>45452.559028000003</v>
      </c>
      <c r="B2869" s="17">
        <v>62.071911</v>
      </c>
      <c r="C2869" s="18"/>
      <c r="D2869" s="19"/>
    </row>
    <row r="2870" spans="1:4" x14ac:dyDescent="0.3">
      <c r="A2870" s="20">
        <v>45452.559721999998</v>
      </c>
      <c r="B2870" s="17">
        <v>61.637295999999999</v>
      </c>
      <c r="C2870" s="18"/>
      <c r="D2870" s="19"/>
    </row>
    <row r="2871" spans="1:4" x14ac:dyDescent="0.3">
      <c r="A2871" s="20">
        <v>45452.560417000001</v>
      </c>
      <c r="B2871" s="17">
        <v>61.577178000000004</v>
      </c>
      <c r="C2871" s="18"/>
      <c r="D2871" s="19"/>
    </row>
    <row r="2872" spans="1:4" x14ac:dyDescent="0.3">
      <c r="A2872" s="20">
        <v>45452.561111000003</v>
      </c>
      <c r="B2872" s="17">
        <v>61.103656000000001</v>
      </c>
      <c r="C2872" s="18"/>
      <c r="D2872" s="19"/>
    </row>
    <row r="2873" spans="1:4" x14ac:dyDescent="0.3">
      <c r="A2873" s="20">
        <v>45452.561805999998</v>
      </c>
      <c r="B2873" s="17">
        <v>62.128224000000003</v>
      </c>
      <c r="C2873" s="18"/>
      <c r="D2873" s="19"/>
    </row>
    <row r="2874" spans="1:4" x14ac:dyDescent="0.3">
      <c r="A2874" s="20">
        <v>45452.5625</v>
      </c>
      <c r="B2874" s="17">
        <v>61.298327</v>
      </c>
      <c r="C2874" s="18"/>
      <c r="D2874" s="19"/>
    </row>
    <row r="2875" spans="1:4" x14ac:dyDescent="0.3">
      <c r="A2875" s="20">
        <v>45452.563194000002</v>
      </c>
      <c r="B2875" s="17">
        <v>61.419448000000003</v>
      </c>
      <c r="C2875" s="18"/>
      <c r="D2875" s="19"/>
    </row>
    <row r="2876" spans="1:4" x14ac:dyDescent="0.3">
      <c r="A2876" s="20">
        <v>45452.563888999997</v>
      </c>
      <c r="B2876" s="17">
        <v>61.537647</v>
      </c>
      <c r="C2876" s="18"/>
      <c r="D2876" s="19"/>
    </row>
    <row r="2877" spans="1:4" x14ac:dyDescent="0.3">
      <c r="A2877" s="20">
        <v>45452.564582999999</v>
      </c>
      <c r="B2877" s="17">
        <v>60.187373999999998</v>
      </c>
      <c r="C2877" s="18"/>
      <c r="D2877" s="19"/>
    </row>
    <row r="2878" spans="1:4" x14ac:dyDescent="0.3">
      <c r="A2878" s="20">
        <v>45452.565278000002</v>
      </c>
      <c r="B2878" s="17">
        <v>61.093527000000002</v>
      </c>
      <c r="C2878" s="18"/>
      <c r="D2878" s="19"/>
    </row>
    <row r="2879" spans="1:4" x14ac:dyDescent="0.3">
      <c r="A2879" s="20">
        <v>45452.565971999997</v>
      </c>
      <c r="B2879" s="17">
        <v>61.559849999999997</v>
      </c>
      <c r="C2879" s="18"/>
      <c r="D2879" s="19"/>
    </row>
    <row r="2880" spans="1:4" x14ac:dyDescent="0.3">
      <c r="A2880" s="20">
        <v>45452.566666999999</v>
      </c>
      <c r="B2880" s="17">
        <v>61.392111999999997</v>
      </c>
      <c r="C2880" s="18"/>
      <c r="D2880" s="19"/>
    </row>
    <row r="2881" spans="1:4" x14ac:dyDescent="0.3">
      <c r="A2881" s="20">
        <v>45452.567361000001</v>
      </c>
      <c r="B2881" s="17">
        <v>61.437351999999997</v>
      </c>
      <c r="C2881" s="18"/>
      <c r="D2881" s="19"/>
    </row>
    <row r="2882" spans="1:4" x14ac:dyDescent="0.3">
      <c r="A2882" s="20">
        <v>45452.568055999996</v>
      </c>
      <c r="B2882" s="17">
        <v>61.281350000000003</v>
      </c>
      <c r="C2882" s="18"/>
      <c r="D2882" s="19"/>
    </row>
    <row r="2883" spans="1:4" x14ac:dyDescent="0.3">
      <c r="A2883" s="20">
        <v>45452.568749999999</v>
      </c>
      <c r="B2883" s="17">
        <v>61.344465</v>
      </c>
      <c r="C2883" s="18"/>
      <c r="D2883" s="19"/>
    </row>
    <row r="2884" spans="1:4" x14ac:dyDescent="0.3">
      <c r="A2884" s="20">
        <v>45452.569444000001</v>
      </c>
      <c r="B2884" s="17">
        <v>61.399467000000001</v>
      </c>
      <c r="C2884" s="18"/>
      <c r="D2884" s="19"/>
    </row>
    <row r="2885" spans="1:4" x14ac:dyDescent="0.3">
      <c r="A2885" s="20">
        <v>45452.570139000003</v>
      </c>
      <c r="B2885" s="17">
        <v>60.957214</v>
      </c>
      <c r="C2885" s="18"/>
      <c r="D2885" s="19"/>
    </row>
    <row r="2886" spans="1:4" x14ac:dyDescent="0.3">
      <c r="A2886" s="20">
        <v>45452.570832999998</v>
      </c>
      <c r="B2886" s="17">
        <v>61.372869000000001</v>
      </c>
      <c r="C2886" s="18"/>
      <c r="D2886" s="19"/>
    </row>
    <row r="2887" spans="1:4" x14ac:dyDescent="0.3">
      <c r="A2887" s="20">
        <v>45452.571528</v>
      </c>
      <c r="B2887" s="17">
        <v>61.273935999999999</v>
      </c>
      <c r="C2887" s="18"/>
      <c r="D2887" s="19"/>
    </row>
    <row r="2888" spans="1:4" x14ac:dyDescent="0.3">
      <c r="A2888" s="20">
        <v>45452.572222000003</v>
      </c>
      <c r="B2888" s="17">
        <v>61.286766999999998</v>
      </c>
      <c r="C2888" s="18"/>
      <c r="D2888" s="19"/>
    </row>
    <row r="2889" spans="1:4" x14ac:dyDescent="0.3">
      <c r="A2889" s="20">
        <v>45452.572916999998</v>
      </c>
      <c r="B2889" s="17">
        <v>61.808729999999997</v>
      </c>
      <c r="C2889" s="18"/>
      <c r="D2889" s="19"/>
    </row>
    <row r="2890" spans="1:4" x14ac:dyDescent="0.3">
      <c r="A2890" s="20">
        <v>45452.573611</v>
      </c>
      <c r="B2890" s="17">
        <v>61.217154000000001</v>
      </c>
      <c r="C2890" s="18"/>
      <c r="D2890" s="19"/>
    </row>
    <row r="2891" spans="1:4" x14ac:dyDescent="0.3">
      <c r="A2891" s="20">
        <v>45452.574306000002</v>
      </c>
      <c r="B2891" s="17">
        <v>61.455545000000001</v>
      </c>
      <c r="C2891" s="18"/>
      <c r="D2891" s="19"/>
    </row>
    <row r="2892" spans="1:4" x14ac:dyDescent="0.3">
      <c r="A2892" s="20">
        <v>45452.574999999997</v>
      </c>
      <c r="B2892" s="17">
        <v>61.253300000000003</v>
      </c>
      <c r="C2892" s="18"/>
      <c r="D2892" s="19"/>
    </row>
    <row r="2893" spans="1:4" x14ac:dyDescent="0.3">
      <c r="A2893" s="20">
        <v>45452.575693999999</v>
      </c>
      <c r="B2893" s="17">
        <v>61.116866000000002</v>
      </c>
      <c r="C2893" s="18"/>
      <c r="D2893" s="19"/>
    </row>
    <row r="2894" spans="1:4" x14ac:dyDescent="0.3">
      <c r="A2894" s="20">
        <v>45452.576389000002</v>
      </c>
      <c r="B2894" s="17">
        <v>61.325941999999998</v>
      </c>
      <c r="C2894" s="18"/>
      <c r="D2894" s="19"/>
    </row>
    <row r="2895" spans="1:4" x14ac:dyDescent="0.3">
      <c r="A2895" s="20">
        <v>45452.577082999996</v>
      </c>
      <c r="B2895" s="17">
        <v>61.374211000000003</v>
      </c>
      <c r="C2895" s="18"/>
      <c r="D2895" s="19"/>
    </row>
    <row r="2896" spans="1:4" x14ac:dyDescent="0.3">
      <c r="A2896" s="20">
        <v>45452.577777999999</v>
      </c>
      <c r="B2896" s="17">
        <v>61.371428000000002</v>
      </c>
      <c r="C2896" s="18"/>
      <c r="D2896" s="19"/>
    </row>
    <row r="2897" spans="1:4" x14ac:dyDescent="0.3">
      <c r="A2897" s="20">
        <v>45452.578472000001</v>
      </c>
      <c r="B2897" s="17">
        <v>61.206696000000001</v>
      </c>
      <c r="C2897" s="18"/>
      <c r="D2897" s="19"/>
    </row>
    <row r="2898" spans="1:4" x14ac:dyDescent="0.3">
      <c r="A2898" s="20">
        <v>45452.579167000004</v>
      </c>
      <c r="B2898" s="17">
        <v>61.294691999999998</v>
      </c>
      <c r="C2898" s="18"/>
      <c r="D2898" s="19"/>
    </row>
    <row r="2899" spans="1:4" x14ac:dyDescent="0.3">
      <c r="A2899" s="20">
        <v>45452.579860999998</v>
      </c>
      <c r="B2899" s="17">
        <v>61.258378</v>
      </c>
      <c r="C2899" s="18"/>
      <c r="D2899" s="19"/>
    </row>
    <row r="2900" spans="1:4" x14ac:dyDescent="0.3">
      <c r="A2900" s="20">
        <v>45452.580556000001</v>
      </c>
      <c r="B2900" s="17">
        <v>61.544342999999998</v>
      </c>
      <c r="C2900" s="18"/>
      <c r="D2900" s="19"/>
    </row>
    <row r="2901" spans="1:4" x14ac:dyDescent="0.3">
      <c r="A2901" s="20">
        <v>45452.581250000003</v>
      </c>
      <c r="B2901" s="17">
        <v>61.271700000000003</v>
      </c>
      <c r="C2901" s="18"/>
      <c r="D2901" s="19"/>
    </row>
    <row r="2902" spans="1:4" x14ac:dyDescent="0.3">
      <c r="A2902" s="20">
        <v>45452.581943999998</v>
      </c>
      <c r="B2902" s="17">
        <v>61.642150999999998</v>
      </c>
      <c r="C2902" s="18"/>
      <c r="D2902" s="19"/>
    </row>
    <row r="2903" spans="1:4" x14ac:dyDescent="0.3">
      <c r="A2903" s="20">
        <v>45452.582639</v>
      </c>
      <c r="B2903" s="17">
        <v>61.581667000000003</v>
      </c>
      <c r="C2903" s="18"/>
      <c r="D2903" s="19"/>
    </row>
    <row r="2904" spans="1:4" x14ac:dyDescent="0.3">
      <c r="A2904" s="20">
        <v>45452.583333000002</v>
      </c>
      <c r="B2904" s="17">
        <v>61.704853</v>
      </c>
      <c r="C2904" s="18"/>
      <c r="D2904" s="19"/>
    </row>
    <row r="2905" spans="1:4" x14ac:dyDescent="0.3">
      <c r="A2905" s="20">
        <v>45452.584027999997</v>
      </c>
      <c r="B2905" s="17">
        <v>60.615457999999997</v>
      </c>
      <c r="C2905" s="18"/>
      <c r="D2905" s="19"/>
    </row>
    <row r="2906" spans="1:4" x14ac:dyDescent="0.3">
      <c r="A2906" s="20">
        <v>45452.584722</v>
      </c>
      <c r="B2906" s="17">
        <v>60.781865000000003</v>
      </c>
      <c r="C2906" s="18"/>
      <c r="D2906" s="19"/>
    </row>
    <row r="2907" spans="1:4" x14ac:dyDescent="0.3">
      <c r="A2907" s="20">
        <v>45452.585417000002</v>
      </c>
      <c r="B2907" s="17">
        <v>61.383963000000001</v>
      </c>
      <c r="C2907" s="18"/>
      <c r="D2907" s="19"/>
    </row>
    <row r="2908" spans="1:4" x14ac:dyDescent="0.3">
      <c r="A2908" s="20">
        <v>45452.586110999997</v>
      </c>
      <c r="B2908" s="17">
        <v>60.606535000000001</v>
      </c>
      <c r="C2908" s="18"/>
      <c r="D2908" s="19"/>
    </row>
    <row r="2909" spans="1:4" x14ac:dyDescent="0.3">
      <c r="A2909" s="20">
        <v>45452.586805999999</v>
      </c>
      <c r="B2909" s="17">
        <v>61.784402999999998</v>
      </c>
      <c r="C2909" s="18"/>
      <c r="D2909" s="19"/>
    </row>
    <row r="2910" spans="1:4" x14ac:dyDescent="0.3">
      <c r="A2910" s="20">
        <v>45452.587500000001</v>
      </c>
      <c r="B2910" s="17">
        <v>61.328176999999997</v>
      </c>
      <c r="C2910" s="18"/>
      <c r="D2910" s="19"/>
    </row>
    <row r="2911" spans="1:4" x14ac:dyDescent="0.3">
      <c r="A2911" s="20">
        <v>45452.588194000004</v>
      </c>
      <c r="B2911" s="17">
        <v>61.084288999999998</v>
      </c>
      <c r="C2911" s="18"/>
      <c r="D2911" s="19"/>
    </row>
    <row r="2912" spans="1:4" x14ac:dyDescent="0.3">
      <c r="A2912" s="20">
        <v>45452.588888999999</v>
      </c>
      <c r="B2912" s="17">
        <v>61.143974</v>
      </c>
      <c r="C2912" s="18"/>
      <c r="D2912" s="19"/>
    </row>
    <row r="2913" spans="1:4" x14ac:dyDescent="0.3">
      <c r="A2913" s="20">
        <v>45452.589583000001</v>
      </c>
      <c r="B2913" s="17">
        <v>61.292271</v>
      </c>
      <c r="C2913" s="18"/>
      <c r="D2913" s="19"/>
    </row>
    <row r="2914" spans="1:4" x14ac:dyDescent="0.3">
      <c r="A2914" s="20">
        <v>45452.590278000003</v>
      </c>
      <c r="B2914" s="17">
        <v>61.456423999999998</v>
      </c>
      <c r="C2914" s="18"/>
      <c r="D2914" s="19"/>
    </row>
    <row r="2915" spans="1:4" x14ac:dyDescent="0.3">
      <c r="A2915" s="20">
        <v>45452.590971999998</v>
      </c>
      <c r="B2915" s="17">
        <v>61.939031</v>
      </c>
      <c r="C2915" s="18"/>
      <c r="D2915" s="19"/>
    </row>
    <row r="2916" spans="1:4" x14ac:dyDescent="0.3">
      <c r="A2916" s="20">
        <v>45452.591667000001</v>
      </c>
      <c r="B2916" s="17">
        <v>61.519559000000001</v>
      </c>
      <c r="C2916" s="18"/>
      <c r="D2916" s="19"/>
    </row>
    <row r="2917" spans="1:4" x14ac:dyDescent="0.3">
      <c r="A2917" s="20">
        <v>45452.592361000003</v>
      </c>
      <c r="B2917" s="17">
        <v>61.551786</v>
      </c>
      <c r="C2917" s="18"/>
      <c r="D2917" s="19"/>
    </row>
    <row r="2918" spans="1:4" x14ac:dyDescent="0.3">
      <c r="A2918" s="20">
        <v>45452.593055999998</v>
      </c>
      <c r="B2918" s="17">
        <v>61.654240000000001</v>
      </c>
      <c r="C2918" s="18"/>
      <c r="D2918" s="19"/>
    </row>
    <row r="2919" spans="1:4" x14ac:dyDescent="0.3">
      <c r="A2919" s="20">
        <v>45452.59375</v>
      </c>
      <c r="B2919" s="17">
        <v>61.581183000000003</v>
      </c>
      <c r="C2919" s="18"/>
      <c r="D2919" s="19"/>
    </row>
    <row r="2920" spans="1:4" x14ac:dyDescent="0.3">
      <c r="A2920" s="20">
        <v>45452.594444000002</v>
      </c>
      <c r="B2920" s="17">
        <v>61.500027000000003</v>
      </c>
      <c r="C2920" s="18"/>
      <c r="D2920" s="19"/>
    </row>
    <row r="2921" spans="1:4" x14ac:dyDescent="0.3">
      <c r="A2921" s="20">
        <v>45452.595138999997</v>
      </c>
      <c r="B2921" s="17">
        <v>60.885852999999997</v>
      </c>
      <c r="C2921" s="18"/>
      <c r="D2921" s="19"/>
    </row>
    <row r="2922" spans="1:4" x14ac:dyDescent="0.3">
      <c r="A2922" s="20">
        <v>45452.595832999999</v>
      </c>
      <c r="B2922" s="17">
        <v>60.970624999999998</v>
      </c>
      <c r="C2922" s="18"/>
      <c r="D2922" s="19"/>
    </row>
    <row r="2923" spans="1:4" x14ac:dyDescent="0.3">
      <c r="A2923" s="20">
        <v>45452.596528000002</v>
      </c>
      <c r="B2923" s="17">
        <v>61.052807999999999</v>
      </c>
      <c r="C2923" s="18"/>
      <c r="D2923" s="19"/>
    </row>
    <row r="2924" spans="1:4" x14ac:dyDescent="0.3">
      <c r="A2924" s="20">
        <v>45452.597221999997</v>
      </c>
      <c r="B2924" s="17">
        <v>61.097670000000001</v>
      </c>
      <c r="C2924" s="18"/>
      <c r="D2924" s="19"/>
    </row>
    <row r="2925" spans="1:4" x14ac:dyDescent="0.3">
      <c r="A2925" s="20">
        <v>45452.597916999999</v>
      </c>
      <c r="B2925" s="17">
        <v>61.737181</v>
      </c>
      <c r="C2925" s="18"/>
      <c r="D2925" s="19"/>
    </row>
    <row r="2926" spans="1:4" x14ac:dyDescent="0.3">
      <c r="A2926" s="20">
        <v>45452.598611000001</v>
      </c>
      <c r="B2926" s="17">
        <v>61.167448999999998</v>
      </c>
      <c r="C2926" s="18"/>
      <c r="D2926" s="19"/>
    </row>
    <row r="2927" spans="1:4" x14ac:dyDescent="0.3">
      <c r="A2927" s="20">
        <v>45452.599305999996</v>
      </c>
      <c r="B2927" s="17">
        <v>61.422204000000001</v>
      </c>
      <c r="C2927" s="18"/>
      <c r="D2927" s="19"/>
    </row>
    <row r="2928" spans="1:4" x14ac:dyDescent="0.3">
      <c r="A2928" s="20">
        <v>45452.6</v>
      </c>
      <c r="B2928" s="17">
        <v>61.350346000000002</v>
      </c>
      <c r="C2928" s="18"/>
      <c r="D2928" s="19"/>
    </row>
    <row r="2929" spans="1:4" x14ac:dyDescent="0.3">
      <c r="A2929" s="20">
        <v>45452.600694000001</v>
      </c>
      <c r="B2929" s="17">
        <v>61.65869</v>
      </c>
      <c r="C2929" s="18"/>
      <c r="D2929" s="19"/>
    </row>
    <row r="2930" spans="1:4" x14ac:dyDescent="0.3">
      <c r="A2930" s="20">
        <v>45452.601389000003</v>
      </c>
      <c r="B2930" s="17">
        <v>61.760734999999997</v>
      </c>
      <c r="C2930" s="18"/>
      <c r="D2930" s="19"/>
    </row>
    <row r="2931" spans="1:4" x14ac:dyDescent="0.3">
      <c r="A2931" s="20">
        <v>45452.602082999998</v>
      </c>
      <c r="B2931" s="17">
        <v>61.713625</v>
      </c>
      <c r="C2931" s="18"/>
      <c r="D2931" s="19"/>
    </row>
    <row r="2932" spans="1:4" x14ac:dyDescent="0.3">
      <c r="A2932" s="20">
        <v>45452.602778</v>
      </c>
      <c r="B2932" s="17">
        <v>61.463490999999998</v>
      </c>
      <c r="C2932" s="18"/>
      <c r="D2932" s="19"/>
    </row>
    <row r="2933" spans="1:4" x14ac:dyDescent="0.3">
      <c r="A2933" s="20">
        <v>45452.603472000003</v>
      </c>
      <c r="B2933" s="17">
        <v>61.619855000000001</v>
      </c>
      <c r="C2933" s="18"/>
      <c r="D2933" s="19"/>
    </row>
    <row r="2934" spans="1:4" x14ac:dyDescent="0.3">
      <c r="A2934" s="20">
        <v>45452.604166999998</v>
      </c>
      <c r="B2934" s="17">
        <v>61.437666999999998</v>
      </c>
      <c r="C2934" s="18"/>
      <c r="D2934" s="19"/>
    </row>
    <row r="2935" spans="1:4" x14ac:dyDescent="0.3">
      <c r="A2935" s="20">
        <v>45452.604861</v>
      </c>
      <c r="B2935" s="17">
        <v>60.756734000000002</v>
      </c>
      <c r="C2935" s="18"/>
      <c r="D2935" s="19"/>
    </row>
    <row r="2936" spans="1:4" x14ac:dyDescent="0.3">
      <c r="A2936" s="20">
        <v>45452.605556000002</v>
      </c>
      <c r="B2936" s="17">
        <v>61.503754999999998</v>
      </c>
      <c r="C2936" s="18"/>
      <c r="D2936" s="19"/>
    </row>
    <row r="2937" spans="1:4" x14ac:dyDescent="0.3">
      <c r="A2937" s="20">
        <v>45452.606249999997</v>
      </c>
      <c r="B2937" s="17">
        <v>61.668695999999997</v>
      </c>
      <c r="C2937" s="18"/>
      <c r="D2937" s="19"/>
    </row>
    <row r="2938" spans="1:4" x14ac:dyDescent="0.3">
      <c r="A2938" s="20">
        <v>45452.606943999999</v>
      </c>
      <c r="B2938" s="17">
        <v>61.098089999999999</v>
      </c>
      <c r="C2938" s="18"/>
      <c r="D2938" s="19"/>
    </row>
    <row r="2939" spans="1:4" x14ac:dyDescent="0.3">
      <c r="A2939" s="20">
        <v>45452.607639000002</v>
      </c>
      <c r="B2939" s="17">
        <v>61.371788000000002</v>
      </c>
      <c r="C2939" s="18"/>
      <c r="D2939" s="19"/>
    </row>
    <row r="2940" spans="1:4" x14ac:dyDescent="0.3">
      <c r="A2940" s="20">
        <v>45452.608332999996</v>
      </c>
      <c r="B2940" s="17">
        <v>61.511017000000002</v>
      </c>
      <c r="C2940" s="18"/>
      <c r="D2940" s="19"/>
    </row>
    <row r="2941" spans="1:4" x14ac:dyDescent="0.3">
      <c r="A2941" s="20">
        <v>45452.609027999999</v>
      </c>
      <c r="B2941" s="17">
        <v>61.550548999999997</v>
      </c>
      <c r="C2941" s="18"/>
      <c r="D2941" s="19"/>
    </row>
    <row r="2942" spans="1:4" x14ac:dyDescent="0.3">
      <c r="A2942" s="20">
        <v>45452.609722000001</v>
      </c>
      <c r="B2942" s="17">
        <v>61.458475</v>
      </c>
      <c r="C2942" s="18"/>
      <c r="D2942" s="19"/>
    </row>
    <row r="2943" spans="1:4" x14ac:dyDescent="0.3">
      <c r="A2943" s="20">
        <v>45452.610417000004</v>
      </c>
      <c r="B2943" s="17">
        <v>61.184624999999997</v>
      </c>
      <c r="C2943" s="18"/>
      <c r="D2943" s="19"/>
    </row>
    <row r="2944" spans="1:4" x14ac:dyDescent="0.3">
      <c r="A2944" s="20">
        <v>45452.611110999998</v>
      </c>
      <c r="B2944" s="17">
        <v>61.451121000000001</v>
      </c>
      <c r="C2944" s="18"/>
      <c r="D2944" s="19"/>
    </row>
    <row r="2945" spans="1:4" x14ac:dyDescent="0.3">
      <c r="A2945" s="20">
        <v>45452.611806000001</v>
      </c>
      <c r="B2945" s="17">
        <v>61.816980000000001</v>
      </c>
      <c r="C2945" s="18"/>
      <c r="D2945" s="19"/>
    </row>
    <row r="2946" spans="1:4" x14ac:dyDescent="0.3">
      <c r="A2946" s="20">
        <v>45452.612500000003</v>
      </c>
      <c r="B2946" s="17">
        <v>61.997838999999999</v>
      </c>
      <c r="C2946" s="18"/>
      <c r="D2946" s="19"/>
    </row>
    <row r="2947" spans="1:4" x14ac:dyDescent="0.3">
      <c r="A2947" s="20">
        <v>45452.613193999998</v>
      </c>
      <c r="B2947" s="17">
        <v>61.852412000000001</v>
      </c>
      <c r="C2947" s="18"/>
      <c r="D2947" s="19"/>
    </row>
    <row r="2948" spans="1:4" x14ac:dyDescent="0.3">
      <c r="A2948" s="20">
        <v>45452.613889</v>
      </c>
      <c r="B2948" s="17">
        <v>61.222146000000002</v>
      </c>
      <c r="C2948" s="18"/>
      <c r="D2948" s="19"/>
    </row>
    <row r="2949" spans="1:4" x14ac:dyDescent="0.3">
      <c r="A2949" s="20">
        <v>45452.614583000002</v>
      </c>
      <c r="B2949" s="17">
        <v>61.201694000000003</v>
      </c>
      <c r="C2949" s="18"/>
      <c r="D2949" s="19"/>
    </row>
    <row r="2950" spans="1:4" x14ac:dyDescent="0.3">
      <c r="A2950" s="20">
        <v>45452.615277999997</v>
      </c>
      <c r="B2950" s="17">
        <v>62.018445999999997</v>
      </c>
      <c r="C2950" s="18"/>
      <c r="D2950" s="19"/>
    </row>
    <row r="2951" spans="1:4" x14ac:dyDescent="0.3">
      <c r="A2951" s="20">
        <v>45452.615972</v>
      </c>
      <c r="B2951" s="17">
        <v>61.492545</v>
      </c>
      <c r="C2951" s="18"/>
      <c r="D2951" s="19"/>
    </row>
    <row r="2952" spans="1:4" x14ac:dyDescent="0.3">
      <c r="A2952" s="20">
        <v>45452.616667000002</v>
      </c>
      <c r="B2952" s="17">
        <v>61.69744</v>
      </c>
      <c r="C2952" s="18"/>
      <c r="D2952" s="19"/>
    </row>
    <row r="2953" spans="1:4" x14ac:dyDescent="0.3">
      <c r="A2953" s="20">
        <v>45452.617360999997</v>
      </c>
      <c r="B2953" s="17">
        <v>61.269770999999999</v>
      </c>
      <c r="C2953" s="18"/>
      <c r="D2953" s="19"/>
    </row>
    <row r="2954" spans="1:4" x14ac:dyDescent="0.3">
      <c r="A2954" s="20">
        <v>45452.618055999999</v>
      </c>
      <c r="B2954" s="17">
        <v>61.736477000000001</v>
      </c>
      <c r="C2954" s="18"/>
      <c r="D2954" s="19"/>
    </row>
    <row r="2955" spans="1:4" x14ac:dyDescent="0.3">
      <c r="A2955" s="20">
        <v>45452.618750000001</v>
      </c>
      <c r="B2955" s="17">
        <v>61.466507</v>
      </c>
      <c r="C2955" s="18"/>
      <c r="D2955" s="19"/>
    </row>
    <row r="2956" spans="1:4" x14ac:dyDescent="0.3">
      <c r="A2956" s="20">
        <v>45452.619444000004</v>
      </c>
      <c r="B2956" s="17">
        <v>60.843704000000002</v>
      </c>
      <c r="C2956" s="18"/>
      <c r="D2956" s="19"/>
    </row>
    <row r="2957" spans="1:4" x14ac:dyDescent="0.3">
      <c r="A2957" s="20">
        <v>45452.620138999999</v>
      </c>
      <c r="B2957" s="17">
        <v>60.514346000000003</v>
      </c>
      <c r="C2957" s="18"/>
      <c r="D2957" s="19"/>
    </row>
    <row r="2958" spans="1:4" x14ac:dyDescent="0.3">
      <c r="A2958" s="20">
        <v>45452.620833000001</v>
      </c>
      <c r="B2958" s="17">
        <v>60.858603000000002</v>
      </c>
      <c r="C2958" s="18"/>
      <c r="D2958" s="19"/>
    </row>
    <row r="2959" spans="1:4" x14ac:dyDescent="0.3">
      <c r="A2959" s="20">
        <v>45452.621528000003</v>
      </c>
      <c r="B2959" s="17">
        <v>61.029226999999999</v>
      </c>
      <c r="C2959" s="18"/>
      <c r="D2959" s="19"/>
    </row>
    <row r="2960" spans="1:4" x14ac:dyDescent="0.3">
      <c r="A2960" s="20">
        <v>45452.622221999998</v>
      </c>
      <c r="B2960" s="17">
        <v>61.104345000000002</v>
      </c>
      <c r="C2960" s="18"/>
      <c r="D2960" s="19"/>
    </row>
    <row r="2961" spans="1:4" x14ac:dyDescent="0.3">
      <c r="A2961" s="20">
        <v>45452.622917000001</v>
      </c>
      <c r="B2961" s="17">
        <v>61.940882999999999</v>
      </c>
      <c r="C2961" s="18"/>
      <c r="D2961" s="19"/>
    </row>
    <row r="2962" spans="1:4" x14ac:dyDescent="0.3">
      <c r="A2962" s="20">
        <v>45452.623611000003</v>
      </c>
      <c r="B2962" s="17">
        <v>61.214686999999998</v>
      </c>
      <c r="C2962" s="18"/>
      <c r="D2962" s="19"/>
    </row>
    <row r="2963" spans="1:4" x14ac:dyDescent="0.3">
      <c r="A2963" s="20">
        <v>45452.624305999998</v>
      </c>
      <c r="B2963" s="17">
        <v>60.809047</v>
      </c>
      <c r="C2963" s="18"/>
      <c r="D2963" s="19"/>
    </row>
    <row r="2964" spans="1:4" x14ac:dyDescent="0.3">
      <c r="A2964" s="20">
        <v>45452.625</v>
      </c>
      <c r="B2964" s="17">
        <v>61.424616</v>
      </c>
      <c r="C2964" s="18"/>
      <c r="D2964" s="19"/>
    </row>
    <row r="2965" spans="1:4" x14ac:dyDescent="0.3">
      <c r="A2965" s="20">
        <v>45452.625694000002</v>
      </c>
      <c r="B2965" s="17">
        <v>61.801881999999999</v>
      </c>
      <c r="C2965" s="18"/>
      <c r="D2965" s="19"/>
    </row>
    <row r="2966" spans="1:4" x14ac:dyDescent="0.3">
      <c r="A2966" s="20">
        <v>45452.626388999997</v>
      </c>
      <c r="B2966" s="17">
        <v>61.387293</v>
      </c>
      <c r="C2966" s="18"/>
      <c r="D2966" s="19"/>
    </row>
    <row r="2967" spans="1:4" x14ac:dyDescent="0.3">
      <c r="A2967" s="20">
        <v>45452.627082999999</v>
      </c>
      <c r="B2967" s="17">
        <v>61.587445000000002</v>
      </c>
      <c r="C2967" s="18"/>
      <c r="D2967" s="19"/>
    </row>
    <row r="2968" spans="1:4" x14ac:dyDescent="0.3">
      <c r="A2968" s="20">
        <v>45452.627778000002</v>
      </c>
      <c r="B2968" s="17">
        <v>62.029130000000002</v>
      </c>
      <c r="C2968" s="18"/>
      <c r="D2968" s="19"/>
    </row>
    <row r="2969" spans="1:4" x14ac:dyDescent="0.3">
      <c r="A2969" s="20">
        <v>45452.628471999997</v>
      </c>
      <c r="B2969" s="17">
        <v>61.592328000000002</v>
      </c>
      <c r="C2969" s="18"/>
      <c r="D2969" s="19"/>
    </row>
    <row r="2970" spans="1:4" x14ac:dyDescent="0.3">
      <c r="A2970" s="20">
        <v>45452.629166999999</v>
      </c>
      <c r="B2970" s="17">
        <v>61.326385999999999</v>
      </c>
      <c r="C2970" s="18"/>
      <c r="D2970" s="19"/>
    </row>
    <row r="2971" spans="1:4" x14ac:dyDescent="0.3">
      <c r="A2971" s="20">
        <v>45452.629861000001</v>
      </c>
      <c r="B2971" s="17">
        <v>61.664538999999998</v>
      </c>
      <c r="C2971" s="18"/>
      <c r="D2971" s="19"/>
    </row>
    <row r="2972" spans="1:4" x14ac:dyDescent="0.3">
      <c r="A2972" s="20">
        <v>45452.630555999996</v>
      </c>
      <c r="B2972" s="17">
        <v>60.993544</v>
      </c>
      <c r="C2972" s="18"/>
      <c r="D2972" s="19"/>
    </row>
    <row r="2973" spans="1:4" x14ac:dyDescent="0.3">
      <c r="A2973" s="20">
        <v>45452.631249999999</v>
      </c>
      <c r="B2973" s="17">
        <v>61.386091</v>
      </c>
      <c r="C2973" s="18"/>
      <c r="D2973" s="19"/>
    </row>
    <row r="2974" spans="1:4" x14ac:dyDescent="0.3">
      <c r="A2974" s="20">
        <v>45452.631944000001</v>
      </c>
      <c r="B2974" s="17">
        <v>61.418367000000003</v>
      </c>
      <c r="C2974" s="18"/>
      <c r="D2974" s="19"/>
    </row>
    <row r="2975" spans="1:4" x14ac:dyDescent="0.3">
      <c r="A2975" s="20">
        <v>45452.632639000003</v>
      </c>
      <c r="B2975" s="17">
        <v>61.867761000000002</v>
      </c>
      <c r="C2975" s="18"/>
      <c r="D2975" s="19"/>
    </row>
    <row r="2976" spans="1:4" x14ac:dyDescent="0.3">
      <c r="A2976" s="20">
        <v>45452.633332999998</v>
      </c>
      <c r="B2976" s="17">
        <v>61.250081999999999</v>
      </c>
      <c r="C2976" s="18"/>
      <c r="D2976" s="19"/>
    </row>
    <row r="2977" spans="1:4" x14ac:dyDescent="0.3">
      <c r="A2977" s="20">
        <v>45452.634028</v>
      </c>
      <c r="B2977" s="17">
        <v>61.114055999999998</v>
      </c>
      <c r="C2977" s="18"/>
      <c r="D2977" s="19"/>
    </row>
    <row r="2978" spans="1:4" x14ac:dyDescent="0.3">
      <c r="A2978" s="20">
        <v>45452.634722000003</v>
      </c>
      <c r="B2978" s="17">
        <v>61.121969</v>
      </c>
      <c r="C2978" s="18"/>
      <c r="D2978" s="19"/>
    </row>
    <row r="2979" spans="1:4" x14ac:dyDescent="0.3">
      <c r="A2979" s="20">
        <v>45452.635416999998</v>
      </c>
      <c r="B2979" s="17">
        <v>61.484738</v>
      </c>
      <c r="C2979" s="18"/>
      <c r="D2979" s="19"/>
    </row>
    <row r="2980" spans="1:4" x14ac:dyDescent="0.3">
      <c r="A2980" s="20">
        <v>45452.636111</v>
      </c>
      <c r="B2980" s="17">
        <v>61.257516000000003</v>
      </c>
      <c r="C2980" s="18"/>
      <c r="D2980" s="19"/>
    </row>
    <row r="2981" spans="1:4" x14ac:dyDescent="0.3">
      <c r="A2981" s="20">
        <v>45452.636806000002</v>
      </c>
      <c r="B2981" s="17">
        <v>61.519370000000002</v>
      </c>
      <c r="C2981" s="18"/>
      <c r="D2981" s="19"/>
    </row>
    <row r="2982" spans="1:4" x14ac:dyDescent="0.3">
      <c r="A2982" s="20">
        <v>45452.637499999997</v>
      </c>
      <c r="B2982" s="17">
        <v>61.074426000000003</v>
      </c>
      <c r="C2982" s="18"/>
      <c r="D2982" s="19"/>
    </row>
    <row r="2983" spans="1:4" x14ac:dyDescent="0.3">
      <c r="A2983" s="20">
        <v>45452.638193999999</v>
      </c>
      <c r="B2983" s="17">
        <v>61.406896000000003</v>
      </c>
      <c r="C2983" s="18"/>
      <c r="D2983" s="19"/>
    </row>
    <row r="2984" spans="1:4" x14ac:dyDescent="0.3">
      <c r="A2984" s="20">
        <v>45452.638889000002</v>
      </c>
      <c r="B2984" s="17">
        <v>61.273248000000002</v>
      </c>
      <c r="C2984" s="18"/>
      <c r="D2984" s="19"/>
    </row>
    <row r="2985" spans="1:4" x14ac:dyDescent="0.3">
      <c r="A2985" s="20">
        <v>45452.639582999996</v>
      </c>
      <c r="B2985" s="17">
        <v>61.703584999999997</v>
      </c>
      <c r="C2985" s="18"/>
      <c r="D2985" s="19"/>
    </row>
    <row r="2986" spans="1:4" x14ac:dyDescent="0.3">
      <c r="A2986" s="20">
        <v>45452.640277999999</v>
      </c>
      <c r="B2986" s="17">
        <v>61.639505999999997</v>
      </c>
      <c r="C2986" s="18"/>
      <c r="D2986" s="19"/>
    </row>
    <row r="2987" spans="1:4" x14ac:dyDescent="0.3">
      <c r="A2987" s="20">
        <v>45452.640972000001</v>
      </c>
      <c r="B2987" s="17">
        <v>60.940161000000003</v>
      </c>
      <c r="C2987" s="18"/>
      <c r="D2987" s="19"/>
    </row>
    <row r="2988" spans="1:4" x14ac:dyDescent="0.3">
      <c r="A2988" s="20">
        <v>45452.641667000004</v>
      </c>
      <c r="B2988" s="17">
        <v>61.354021000000003</v>
      </c>
      <c r="C2988" s="18"/>
      <c r="D2988" s="19"/>
    </row>
    <row r="2989" spans="1:4" x14ac:dyDescent="0.3">
      <c r="A2989" s="20">
        <v>45452.642360999998</v>
      </c>
      <c r="B2989" s="17">
        <v>61.279691999999997</v>
      </c>
      <c r="C2989" s="18"/>
      <c r="D2989" s="19"/>
    </row>
    <row r="2990" spans="1:4" x14ac:dyDescent="0.3">
      <c r="A2990" s="20">
        <v>45452.643056000001</v>
      </c>
      <c r="B2990" s="17">
        <v>61.288384999999998</v>
      </c>
      <c r="C2990" s="18"/>
      <c r="D2990" s="19"/>
    </row>
    <row r="2991" spans="1:4" x14ac:dyDescent="0.3">
      <c r="A2991" s="20">
        <v>45452.643750000003</v>
      </c>
      <c r="B2991" s="17">
        <v>61.127442000000002</v>
      </c>
      <c r="C2991" s="18"/>
      <c r="D2991" s="19"/>
    </row>
    <row r="2992" spans="1:4" x14ac:dyDescent="0.3">
      <c r="A2992" s="20">
        <v>45452.644443999998</v>
      </c>
      <c r="B2992" s="17">
        <v>61.026944999999998</v>
      </c>
      <c r="C2992" s="18"/>
      <c r="D2992" s="19"/>
    </row>
    <row r="2993" spans="1:4" x14ac:dyDescent="0.3">
      <c r="A2993" s="20">
        <v>45452.645139</v>
      </c>
      <c r="B2993" s="17">
        <v>61.112594999999999</v>
      </c>
      <c r="C2993" s="18"/>
      <c r="D2993" s="19"/>
    </row>
    <row r="2994" spans="1:4" x14ac:dyDescent="0.3">
      <c r="A2994" s="20">
        <v>45452.645833000002</v>
      </c>
      <c r="B2994" s="17">
        <v>60.677152</v>
      </c>
      <c r="C2994" s="18"/>
      <c r="D2994" s="19"/>
    </row>
    <row r="2995" spans="1:4" x14ac:dyDescent="0.3">
      <c r="A2995" s="20">
        <v>45452.646527999997</v>
      </c>
      <c r="B2995" s="17">
        <v>61.287802999999997</v>
      </c>
      <c r="C2995" s="18"/>
      <c r="D2995" s="19"/>
    </row>
    <row r="2996" spans="1:4" x14ac:dyDescent="0.3">
      <c r="A2996" s="20">
        <v>45452.647222</v>
      </c>
      <c r="B2996" s="17">
        <v>62.047550000000001</v>
      </c>
      <c r="C2996" s="18"/>
      <c r="D2996" s="19"/>
    </row>
    <row r="2997" spans="1:4" x14ac:dyDescent="0.3">
      <c r="A2997" s="20">
        <v>45452.647917000002</v>
      </c>
      <c r="B2997" s="17">
        <v>61.143738999999997</v>
      </c>
      <c r="C2997" s="18"/>
      <c r="D2997" s="19"/>
    </row>
    <row r="2998" spans="1:4" x14ac:dyDescent="0.3">
      <c r="A2998" s="20">
        <v>45452.648610999997</v>
      </c>
      <c r="B2998" s="17">
        <v>62.049923</v>
      </c>
      <c r="C2998" s="18"/>
      <c r="D2998" s="19"/>
    </row>
    <row r="2999" spans="1:4" x14ac:dyDescent="0.3">
      <c r="A2999" s="20">
        <v>45452.649305999999</v>
      </c>
      <c r="B2999" s="17">
        <v>60.869661999999998</v>
      </c>
      <c r="C2999" s="18"/>
      <c r="D2999" s="19"/>
    </row>
    <row r="3000" spans="1:4" x14ac:dyDescent="0.3">
      <c r="A3000" s="20">
        <v>45452.65</v>
      </c>
      <c r="B3000" s="17">
        <v>60.836402999999997</v>
      </c>
      <c r="C3000" s="18"/>
      <c r="D3000" s="19"/>
    </row>
    <row r="3001" spans="1:4" x14ac:dyDescent="0.3">
      <c r="A3001" s="20">
        <v>45452.650694000004</v>
      </c>
      <c r="B3001" s="17">
        <v>61.774030000000003</v>
      </c>
      <c r="C3001" s="18"/>
      <c r="D3001" s="19"/>
    </row>
    <row r="3002" spans="1:4" x14ac:dyDescent="0.3">
      <c r="A3002" s="20">
        <v>45452.651388999999</v>
      </c>
      <c r="B3002" s="17">
        <v>60.870002999999997</v>
      </c>
      <c r="C3002" s="18"/>
      <c r="D3002" s="19"/>
    </row>
    <row r="3003" spans="1:4" x14ac:dyDescent="0.3">
      <c r="A3003" s="20">
        <v>45452.652083000001</v>
      </c>
      <c r="B3003" s="17">
        <v>61.383856000000002</v>
      </c>
      <c r="C3003" s="18"/>
      <c r="D3003" s="19"/>
    </row>
    <row r="3004" spans="1:4" x14ac:dyDescent="0.3">
      <c r="A3004" s="20">
        <v>45452.652778000003</v>
      </c>
      <c r="B3004" s="17">
        <v>61.394426000000003</v>
      </c>
      <c r="C3004" s="18"/>
      <c r="D3004" s="19"/>
    </row>
    <row r="3005" spans="1:4" x14ac:dyDescent="0.3">
      <c r="A3005" s="20">
        <v>45452.653471999998</v>
      </c>
      <c r="B3005" s="17">
        <v>61.647067</v>
      </c>
      <c r="C3005" s="18"/>
      <c r="D3005" s="19"/>
    </row>
    <row r="3006" spans="1:4" x14ac:dyDescent="0.3">
      <c r="A3006" s="20">
        <v>45452.654167000001</v>
      </c>
      <c r="B3006" s="17">
        <v>61.951248999999997</v>
      </c>
      <c r="C3006" s="18"/>
      <c r="D3006" s="19"/>
    </row>
    <row r="3007" spans="1:4" x14ac:dyDescent="0.3">
      <c r="A3007" s="20">
        <v>45452.654861000003</v>
      </c>
      <c r="B3007" s="17">
        <v>61.299799</v>
      </c>
      <c r="C3007" s="18"/>
      <c r="D3007" s="19"/>
    </row>
    <row r="3008" spans="1:4" x14ac:dyDescent="0.3">
      <c r="A3008" s="20">
        <v>45452.655555999998</v>
      </c>
      <c r="B3008" s="17">
        <v>60.996153999999997</v>
      </c>
      <c r="C3008" s="18"/>
      <c r="D3008" s="19"/>
    </row>
    <row r="3009" spans="1:4" x14ac:dyDescent="0.3">
      <c r="A3009" s="20">
        <v>45452.65625</v>
      </c>
      <c r="B3009" s="17">
        <v>60.981208000000002</v>
      </c>
      <c r="C3009" s="18"/>
      <c r="D3009" s="19"/>
    </row>
    <row r="3010" spans="1:4" x14ac:dyDescent="0.3">
      <c r="A3010" s="20">
        <v>45452.656944000002</v>
      </c>
      <c r="B3010" s="17">
        <v>61.665486000000001</v>
      </c>
      <c r="C3010" s="18"/>
      <c r="D3010" s="19"/>
    </row>
    <row r="3011" spans="1:4" x14ac:dyDescent="0.3">
      <c r="A3011" s="20">
        <v>45452.657638999997</v>
      </c>
      <c r="B3011" s="17">
        <v>60.952182000000001</v>
      </c>
      <c r="C3011" s="18"/>
      <c r="D3011" s="19"/>
    </row>
    <row r="3012" spans="1:4" x14ac:dyDescent="0.3">
      <c r="A3012" s="20">
        <v>45452.658332999999</v>
      </c>
      <c r="B3012" s="17">
        <v>61.075938999999998</v>
      </c>
      <c r="C3012" s="18"/>
      <c r="D3012" s="19"/>
    </row>
    <row r="3013" spans="1:4" x14ac:dyDescent="0.3">
      <c r="A3013" s="20">
        <v>45452.659028000002</v>
      </c>
      <c r="B3013" s="17">
        <v>61.022731999999998</v>
      </c>
      <c r="C3013" s="18"/>
      <c r="D3013" s="19"/>
    </row>
    <row r="3014" spans="1:4" x14ac:dyDescent="0.3">
      <c r="A3014" s="20">
        <v>45452.659721999997</v>
      </c>
      <c r="B3014" s="17">
        <v>60.860684999999997</v>
      </c>
      <c r="C3014" s="18"/>
      <c r="D3014" s="19"/>
    </row>
    <row r="3015" spans="1:4" x14ac:dyDescent="0.3">
      <c r="A3015" s="20">
        <v>45452.660416999999</v>
      </c>
      <c r="B3015" s="17">
        <v>61.354725000000002</v>
      </c>
      <c r="C3015" s="18"/>
      <c r="D3015" s="19"/>
    </row>
    <row r="3016" spans="1:4" x14ac:dyDescent="0.3">
      <c r="A3016" s="20">
        <v>45452.661111000001</v>
      </c>
      <c r="B3016" s="17">
        <v>60.806002999999997</v>
      </c>
      <c r="C3016" s="18"/>
      <c r="D3016" s="19"/>
    </row>
    <row r="3017" spans="1:4" x14ac:dyDescent="0.3">
      <c r="A3017" s="20">
        <v>45452.661805999996</v>
      </c>
      <c r="B3017" s="17">
        <v>60.809296000000003</v>
      </c>
      <c r="C3017" s="18"/>
      <c r="D3017" s="19"/>
    </row>
    <row r="3018" spans="1:4" x14ac:dyDescent="0.3">
      <c r="A3018" s="20">
        <v>45452.662499999999</v>
      </c>
      <c r="B3018" s="17">
        <v>61.502122999999997</v>
      </c>
      <c r="C3018" s="18"/>
      <c r="D3018" s="19"/>
    </row>
    <row r="3019" spans="1:4" x14ac:dyDescent="0.3">
      <c r="A3019" s="20">
        <v>45452.663194000001</v>
      </c>
      <c r="B3019" s="17">
        <v>60.827047999999998</v>
      </c>
      <c r="C3019" s="18"/>
      <c r="D3019" s="19"/>
    </row>
    <row r="3020" spans="1:4" x14ac:dyDescent="0.3">
      <c r="A3020" s="20">
        <v>45452.663889000003</v>
      </c>
      <c r="B3020" s="17">
        <v>61.324046000000003</v>
      </c>
      <c r="C3020" s="18"/>
      <c r="D3020" s="19"/>
    </row>
    <row r="3021" spans="1:4" x14ac:dyDescent="0.3">
      <c r="A3021" s="20">
        <v>45452.664582999998</v>
      </c>
      <c r="B3021" s="17">
        <v>60.876738000000003</v>
      </c>
      <c r="C3021" s="18"/>
      <c r="D3021" s="19"/>
    </row>
    <row r="3022" spans="1:4" x14ac:dyDescent="0.3">
      <c r="A3022" s="20">
        <v>45452.665278</v>
      </c>
      <c r="B3022" s="17">
        <v>61.619574999999998</v>
      </c>
      <c r="C3022" s="18"/>
      <c r="D3022" s="19"/>
    </row>
    <row r="3023" spans="1:4" x14ac:dyDescent="0.3">
      <c r="A3023" s="20">
        <v>45452.665972000003</v>
      </c>
      <c r="B3023" s="17">
        <v>61.372349999999997</v>
      </c>
      <c r="C3023" s="18"/>
      <c r="D3023" s="19"/>
    </row>
    <row r="3024" spans="1:4" x14ac:dyDescent="0.3">
      <c r="A3024" s="20">
        <v>45452.666666999998</v>
      </c>
      <c r="B3024" s="17">
        <v>60.844800999999997</v>
      </c>
      <c r="C3024" s="18"/>
      <c r="D3024" s="19"/>
    </row>
    <row r="3025" spans="1:4" x14ac:dyDescent="0.3">
      <c r="A3025" s="20">
        <v>45452.667361</v>
      </c>
      <c r="B3025" s="17">
        <v>61.526465999999999</v>
      </c>
      <c r="C3025" s="18"/>
      <c r="D3025" s="19"/>
    </row>
    <row r="3026" spans="1:4" x14ac:dyDescent="0.3">
      <c r="A3026" s="20">
        <v>45452.668056000002</v>
      </c>
      <c r="B3026" s="17">
        <v>61.845032000000003</v>
      </c>
      <c r="C3026" s="18"/>
      <c r="D3026" s="19"/>
    </row>
    <row r="3027" spans="1:4" x14ac:dyDescent="0.3">
      <c r="A3027" s="20">
        <v>45452.668749999997</v>
      </c>
      <c r="B3027" s="17">
        <v>61.294471000000001</v>
      </c>
      <c r="C3027" s="18"/>
      <c r="D3027" s="19"/>
    </row>
    <row r="3028" spans="1:4" x14ac:dyDescent="0.3">
      <c r="A3028" s="20">
        <v>45452.669443999999</v>
      </c>
      <c r="B3028" s="17">
        <v>61.347189999999998</v>
      </c>
      <c r="C3028" s="18"/>
      <c r="D3028" s="19"/>
    </row>
    <row r="3029" spans="1:4" x14ac:dyDescent="0.3">
      <c r="A3029" s="20">
        <v>45452.670139000002</v>
      </c>
      <c r="B3029" s="17">
        <v>61.228074999999997</v>
      </c>
      <c r="C3029" s="18"/>
      <c r="D3029" s="19"/>
    </row>
    <row r="3030" spans="1:4" x14ac:dyDescent="0.3">
      <c r="A3030" s="20">
        <v>45452.670832999996</v>
      </c>
      <c r="B3030" s="17">
        <v>61.471228000000004</v>
      </c>
      <c r="C3030" s="18"/>
      <c r="D3030" s="19"/>
    </row>
    <row r="3031" spans="1:4" x14ac:dyDescent="0.3">
      <c r="A3031" s="20">
        <v>45452.671527999999</v>
      </c>
      <c r="B3031" s="17">
        <v>61.533301999999999</v>
      </c>
      <c r="C3031" s="18"/>
      <c r="D3031" s="19"/>
    </row>
    <row r="3032" spans="1:4" x14ac:dyDescent="0.3">
      <c r="A3032" s="20">
        <v>45452.672222000001</v>
      </c>
      <c r="B3032" s="17">
        <v>61.196598999999999</v>
      </c>
      <c r="C3032" s="18"/>
      <c r="D3032" s="19"/>
    </row>
    <row r="3033" spans="1:4" x14ac:dyDescent="0.3">
      <c r="A3033" s="20">
        <v>45452.672917000004</v>
      </c>
      <c r="B3033" s="17">
        <v>61.413778999999998</v>
      </c>
      <c r="C3033" s="18"/>
      <c r="D3033" s="19"/>
    </row>
    <row r="3034" spans="1:4" x14ac:dyDescent="0.3">
      <c r="A3034" s="20">
        <v>45452.673610999998</v>
      </c>
      <c r="B3034" s="17">
        <v>61.166907999999999</v>
      </c>
      <c r="C3034" s="18"/>
      <c r="D3034" s="19"/>
    </row>
    <row r="3035" spans="1:4" x14ac:dyDescent="0.3">
      <c r="A3035" s="20">
        <v>45452.674306000001</v>
      </c>
      <c r="B3035" s="17">
        <v>61.439214</v>
      </c>
      <c r="C3035" s="18"/>
      <c r="D3035" s="19"/>
    </row>
    <row r="3036" spans="1:4" x14ac:dyDescent="0.3">
      <c r="A3036" s="20">
        <v>45452.675000000003</v>
      </c>
      <c r="B3036" s="17">
        <v>61.413964999999997</v>
      </c>
      <c r="C3036" s="18"/>
      <c r="D3036" s="19"/>
    </row>
    <row r="3037" spans="1:4" x14ac:dyDescent="0.3">
      <c r="A3037" s="20">
        <v>45452.675693999998</v>
      </c>
      <c r="B3037" s="17">
        <v>60.732154999999999</v>
      </c>
      <c r="C3037" s="18"/>
      <c r="D3037" s="19"/>
    </row>
    <row r="3038" spans="1:4" x14ac:dyDescent="0.3">
      <c r="A3038" s="20">
        <v>45452.676389</v>
      </c>
      <c r="B3038" s="17">
        <v>61.186580999999997</v>
      </c>
      <c r="C3038" s="18"/>
      <c r="D3038" s="19"/>
    </row>
    <row r="3039" spans="1:4" x14ac:dyDescent="0.3">
      <c r="A3039" s="20">
        <v>45452.677083000002</v>
      </c>
      <c r="B3039" s="17">
        <v>61.461398000000003</v>
      </c>
      <c r="C3039" s="18"/>
      <c r="D3039" s="19"/>
    </row>
    <row r="3040" spans="1:4" x14ac:dyDescent="0.3">
      <c r="A3040" s="20">
        <v>45452.677777999997</v>
      </c>
      <c r="B3040" s="17">
        <v>61.497422999999998</v>
      </c>
      <c r="C3040" s="18"/>
      <c r="D3040" s="19"/>
    </row>
    <row r="3041" spans="1:4" x14ac:dyDescent="0.3">
      <c r="A3041" s="20">
        <v>45452.678472</v>
      </c>
      <c r="B3041" s="17">
        <v>61.254812999999999</v>
      </c>
      <c r="C3041" s="18"/>
      <c r="D3041" s="19"/>
    </row>
    <row r="3042" spans="1:4" x14ac:dyDescent="0.3">
      <c r="A3042" s="20">
        <v>45452.679167000002</v>
      </c>
      <c r="B3042" s="17">
        <v>61.693266999999999</v>
      </c>
      <c r="C3042" s="18"/>
      <c r="D3042" s="19"/>
    </row>
    <row r="3043" spans="1:4" x14ac:dyDescent="0.3">
      <c r="A3043" s="20">
        <v>45452.679860999997</v>
      </c>
      <c r="B3043" s="17">
        <v>60.798312000000003</v>
      </c>
      <c r="C3043" s="18"/>
      <c r="D3043" s="19"/>
    </row>
    <row r="3044" spans="1:4" x14ac:dyDescent="0.3">
      <c r="A3044" s="20">
        <v>45452.680555999999</v>
      </c>
      <c r="B3044" s="17">
        <v>61.512348000000003</v>
      </c>
      <c r="C3044" s="18"/>
      <c r="D3044" s="19"/>
    </row>
    <row r="3045" spans="1:4" x14ac:dyDescent="0.3">
      <c r="A3045" s="20">
        <v>45452.681250000001</v>
      </c>
      <c r="B3045" s="17">
        <v>61.410939999999997</v>
      </c>
      <c r="C3045" s="18"/>
      <c r="D3045" s="19"/>
    </row>
    <row r="3046" spans="1:4" x14ac:dyDescent="0.3">
      <c r="A3046" s="20">
        <v>45452.681944000004</v>
      </c>
      <c r="B3046" s="17">
        <v>61.724648999999999</v>
      </c>
      <c r="C3046" s="18"/>
      <c r="D3046" s="19"/>
    </row>
    <row r="3047" spans="1:4" x14ac:dyDescent="0.3">
      <c r="A3047" s="20">
        <v>45452.682638999999</v>
      </c>
      <c r="B3047" s="17">
        <v>61.207932</v>
      </c>
      <c r="C3047" s="18"/>
      <c r="D3047" s="19"/>
    </row>
    <row r="3048" spans="1:4" x14ac:dyDescent="0.3">
      <c r="A3048" s="20">
        <v>45452.683333000001</v>
      </c>
      <c r="B3048" s="17">
        <v>60.882196999999998</v>
      </c>
      <c r="C3048" s="18"/>
      <c r="D3048" s="19"/>
    </row>
    <row r="3049" spans="1:4" x14ac:dyDescent="0.3">
      <c r="A3049" s="20">
        <v>45452.684028000003</v>
      </c>
      <c r="B3049" s="17">
        <v>61.534629000000002</v>
      </c>
      <c r="C3049" s="18"/>
      <c r="D3049" s="19"/>
    </row>
    <row r="3050" spans="1:4" x14ac:dyDescent="0.3">
      <c r="A3050" s="20">
        <v>45452.684721999998</v>
      </c>
      <c r="B3050" s="17">
        <v>61.059249999999999</v>
      </c>
      <c r="C3050" s="18"/>
      <c r="D3050" s="19"/>
    </row>
    <row r="3051" spans="1:4" x14ac:dyDescent="0.3">
      <c r="A3051" s="20">
        <v>45452.685417000001</v>
      </c>
      <c r="B3051" s="17">
        <v>61.721147999999999</v>
      </c>
      <c r="C3051" s="18"/>
      <c r="D3051" s="19"/>
    </row>
    <row r="3052" spans="1:4" x14ac:dyDescent="0.3">
      <c r="A3052" s="20">
        <v>45452.686111000003</v>
      </c>
      <c r="B3052" s="17">
        <v>61.565340999999997</v>
      </c>
      <c r="C3052" s="18"/>
      <c r="D3052" s="19"/>
    </row>
    <row r="3053" spans="1:4" x14ac:dyDescent="0.3">
      <c r="A3053" s="20">
        <v>45452.686805999998</v>
      </c>
      <c r="B3053" s="17">
        <v>61.432631000000001</v>
      </c>
      <c r="C3053" s="18"/>
      <c r="D3053" s="19"/>
    </row>
    <row r="3054" spans="1:4" x14ac:dyDescent="0.3">
      <c r="A3054" s="20">
        <v>45452.6875</v>
      </c>
      <c r="B3054" s="17">
        <v>62.181983000000002</v>
      </c>
      <c r="C3054" s="18"/>
      <c r="D3054" s="19"/>
    </row>
    <row r="3055" spans="1:4" x14ac:dyDescent="0.3">
      <c r="A3055" s="20">
        <v>45452.688194000002</v>
      </c>
      <c r="B3055" s="17">
        <v>61.174985</v>
      </c>
      <c r="C3055" s="18"/>
      <c r="D3055" s="19"/>
    </row>
    <row r="3056" spans="1:4" x14ac:dyDescent="0.3">
      <c r="A3056" s="20">
        <v>45452.688888999997</v>
      </c>
      <c r="B3056" s="17">
        <v>62.199758000000003</v>
      </c>
      <c r="C3056" s="18"/>
      <c r="D3056" s="19"/>
    </row>
    <row r="3057" spans="1:4" x14ac:dyDescent="0.3">
      <c r="A3057" s="20">
        <v>45452.689582999999</v>
      </c>
      <c r="B3057" s="17">
        <v>61.904046000000001</v>
      </c>
      <c r="C3057" s="18"/>
      <c r="D3057" s="19"/>
    </row>
    <row r="3058" spans="1:4" x14ac:dyDescent="0.3">
      <c r="A3058" s="20">
        <v>45452.690278000002</v>
      </c>
      <c r="B3058" s="17">
        <v>61.494829000000003</v>
      </c>
      <c r="C3058" s="18"/>
      <c r="D3058" s="19"/>
    </row>
    <row r="3059" spans="1:4" x14ac:dyDescent="0.3">
      <c r="A3059" s="20">
        <v>45452.690971999997</v>
      </c>
      <c r="B3059" s="17">
        <v>62.552339000000003</v>
      </c>
      <c r="C3059" s="18"/>
      <c r="D3059" s="19"/>
    </row>
    <row r="3060" spans="1:4" x14ac:dyDescent="0.3">
      <c r="A3060" s="20">
        <v>45452.691666999999</v>
      </c>
      <c r="B3060" s="17">
        <v>61.017502</v>
      </c>
      <c r="C3060" s="18"/>
      <c r="D3060" s="19"/>
    </row>
    <row r="3061" spans="1:4" x14ac:dyDescent="0.3">
      <c r="A3061" s="20">
        <v>45452.692361000001</v>
      </c>
      <c r="B3061" s="17">
        <v>61.821435000000001</v>
      </c>
      <c r="C3061" s="18"/>
      <c r="D3061" s="19"/>
    </row>
    <row r="3062" spans="1:4" x14ac:dyDescent="0.3">
      <c r="A3062" s="20">
        <v>45452.693055999996</v>
      </c>
      <c r="B3062" s="17">
        <v>61.683065999999997</v>
      </c>
      <c r="C3062" s="18"/>
      <c r="D3062" s="19"/>
    </row>
    <row r="3063" spans="1:4" x14ac:dyDescent="0.3">
      <c r="A3063" s="20">
        <v>45452.693749999999</v>
      </c>
      <c r="B3063" s="17">
        <v>61.433027000000003</v>
      </c>
      <c r="C3063" s="18"/>
      <c r="D3063" s="19"/>
    </row>
    <row r="3064" spans="1:4" x14ac:dyDescent="0.3">
      <c r="A3064" s="20">
        <v>45452.694444000001</v>
      </c>
      <c r="B3064" s="17">
        <v>61.383226999999998</v>
      </c>
      <c r="C3064" s="18"/>
      <c r="D3064" s="19"/>
    </row>
    <row r="3065" spans="1:4" x14ac:dyDescent="0.3">
      <c r="A3065" s="20">
        <v>45452.695139000003</v>
      </c>
      <c r="B3065" s="17">
        <v>61.879447999999996</v>
      </c>
      <c r="C3065" s="18"/>
      <c r="D3065" s="19"/>
    </row>
    <row r="3066" spans="1:4" x14ac:dyDescent="0.3">
      <c r="A3066" s="20">
        <v>45452.695832999998</v>
      </c>
      <c r="B3066" s="17">
        <v>61.778976</v>
      </c>
      <c r="C3066" s="18"/>
      <c r="D3066" s="19"/>
    </row>
    <row r="3067" spans="1:4" x14ac:dyDescent="0.3">
      <c r="A3067" s="20">
        <v>45452.696528</v>
      </c>
      <c r="B3067" s="17">
        <v>60.978482999999997</v>
      </c>
      <c r="C3067" s="18"/>
      <c r="D3067" s="19"/>
    </row>
    <row r="3068" spans="1:4" x14ac:dyDescent="0.3">
      <c r="A3068" s="20">
        <v>45452.697222000003</v>
      </c>
      <c r="B3068" s="17">
        <v>61.707211999999998</v>
      </c>
      <c r="C3068" s="18"/>
      <c r="D3068" s="19"/>
    </row>
    <row r="3069" spans="1:4" x14ac:dyDescent="0.3">
      <c r="A3069" s="20">
        <v>45452.697916999998</v>
      </c>
      <c r="B3069" s="17">
        <v>61.164352000000001</v>
      </c>
      <c r="C3069" s="18"/>
      <c r="D3069" s="19"/>
    </row>
    <row r="3070" spans="1:4" x14ac:dyDescent="0.3">
      <c r="A3070" s="20">
        <v>45452.698611</v>
      </c>
      <c r="B3070" s="17">
        <v>61.623583000000004</v>
      </c>
      <c r="C3070" s="18"/>
      <c r="D3070" s="19"/>
    </row>
    <row r="3071" spans="1:4" x14ac:dyDescent="0.3">
      <c r="A3071" s="20">
        <v>45452.699306000002</v>
      </c>
      <c r="B3071" s="17">
        <v>61.590378999999999</v>
      </c>
      <c r="C3071" s="18"/>
      <c r="D3071" s="19"/>
    </row>
    <row r="3072" spans="1:4" x14ac:dyDescent="0.3">
      <c r="A3072" s="20">
        <v>45452.7</v>
      </c>
      <c r="B3072" s="17">
        <v>61.129022999999997</v>
      </c>
      <c r="C3072" s="18"/>
      <c r="D3072" s="19"/>
    </row>
    <row r="3073" spans="1:4" x14ac:dyDescent="0.3">
      <c r="A3073" s="20">
        <v>45452.700693999999</v>
      </c>
      <c r="B3073" s="17">
        <v>61.608381000000001</v>
      </c>
      <c r="C3073" s="18"/>
      <c r="D3073" s="19"/>
    </row>
    <row r="3074" spans="1:4" x14ac:dyDescent="0.3">
      <c r="A3074" s="20">
        <v>45452.701389000002</v>
      </c>
      <c r="B3074" s="17">
        <v>61.128152999999998</v>
      </c>
      <c r="C3074" s="18"/>
      <c r="D3074" s="19"/>
    </row>
    <row r="3075" spans="1:4" x14ac:dyDescent="0.3">
      <c r="A3075" s="20">
        <v>45452.702082999996</v>
      </c>
      <c r="B3075" s="17">
        <v>61.531830999999997</v>
      </c>
      <c r="C3075" s="18"/>
      <c r="D3075" s="19"/>
    </row>
    <row r="3076" spans="1:4" x14ac:dyDescent="0.3">
      <c r="A3076" s="20">
        <v>45452.702777999999</v>
      </c>
      <c r="B3076" s="17">
        <v>61.100413000000003</v>
      </c>
      <c r="C3076" s="18"/>
      <c r="D3076" s="19"/>
    </row>
    <row r="3077" spans="1:4" x14ac:dyDescent="0.3">
      <c r="A3077" s="20">
        <v>45452.703472000001</v>
      </c>
      <c r="B3077" s="17">
        <v>61.002890000000001</v>
      </c>
      <c r="C3077" s="18"/>
      <c r="D3077" s="19"/>
    </row>
    <row r="3078" spans="1:4" x14ac:dyDescent="0.3">
      <c r="A3078" s="20">
        <v>45452.704167000004</v>
      </c>
      <c r="B3078" s="17">
        <v>61.337803999999998</v>
      </c>
      <c r="C3078" s="18"/>
      <c r="D3078" s="19"/>
    </row>
    <row r="3079" spans="1:4" x14ac:dyDescent="0.3">
      <c r="A3079" s="20">
        <v>45452.704860999998</v>
      </c>
      <c r="B3079" s="17">
        <v>61.286887</v>
      </c>
      <c r="C3079" s="18"/>
      <c r="D3079" s="19"/>
    </row>
    <row r="3080" spans="1:4" x14ac:dyDescent="0.3">
      <c r="A3080" s="20">
        <v>45452.705556000001</v>
      </c>
      <c r="B3080" s="17">
        <v>61.089796</v>
      </c>
      <c r="C3080" s="18"/>
      <c r="D3080" s="19"/>
    </row>
    <row r="3081" spans="1:4" x14ac:dyDescent="0.3">
      <c r="A3081" s="20">
        <v>45452.706250000003</v>
      </c>
      <c r="B3081" s="17">
        <v>61.578727000000001</v>
      </c>
      <c r="C3081" s="18"/>
      <c r="D3081" s="19"/>
    </row>
    <row r="3082" spans="1:4" x14ac:dyDescent="0.3">
      <c r="A3082" s="20">
        <v>45452.706943999998</v>
      </c>
      <c r="B3082" s="17">
        <v>62.109886000000003</v>
      </c>
      <c r="C3082" s="18"/>
      <c r="D3082" s="19"/>
    </row>
    <row r="3083" spans="1:4" x14ac:dyDescent="0.3">
      <c r="A3083" s="20">
        <v>45452.707639</v>
      </c>
      <c r="B3083" s="17">
        <v>61.339016999999998</v>
      </c>
      <c r="C3083" s="18"/>
      <c r="D3083" s="19"/>
    </row>
    <row r="3084" spans="1:4" x14ac:dyDescent="0.3">
      <c r="A3084" s="20">
        <v>45452.708333000002</v>
      </c>
      <c r="B3084" s="17">
        <v>61.035964999999997</v>
      </c>
      <c r="C3084" s="18"/>
      <c r="D3084" s="19"/>
    </row>
    <row r="3085" spans="1:4" x14ac:dyDescent="0.3">
      <c r="A3085" s="20">
        <v>45452.709027999997</v>
      </c>
      <c r="B3085" s="17">
        <v>61.665470999999997</v>
      </c>
      <c r="C3085" s="18"/>
      <c r="D3085" s="19"/>
    </row>
    <row r="3086" spans="1:4" x14ac:dyDescent="0.3">
      <c r="A3086" s="20">
        <v>45452.709722</v>
      </c>
      <c r="B3086" s="17">
        <v>61.829068999999997</v>
      </c>
      <c r="C3086" s="18"/>
      <c r="D3086" s="19"/>
    </row>
    <row r="3087" spans="1:4" x14ac:dyDescent="0.3">
      <c r="A3087" s="20">
        <v>45452.710417000002</v>
      </c>
      <c r="B3087" s="17">
        <v>62.165956000000001</v>
      </c>
      <c r="C3087" s="18"/>
      <c r="D3087" s="19"/>
    </row>
    <row r="3088" spans="1:4" x14ac:dyDescent="0.3">
      <c r="A3088" s="20">
        <v>45452.711110999997</v>
      </c>
      <c r="B3088" s="17">
        <v>61.505777999999999</v>
      </c>
      <c r="C3088" s="18"/>
      <c r="D3088" s="19"/>
    </row>
    <row r="3089" spans="1:4" x14ac:dyDescent="0.3">
      <c r="A3089" s="20">
        <v>45452.711805999999</v>
      </c>
      <c r="B3089" s="17">
        <v>61.248561000000002</v>
      </c>
      <c r="C3089" s="18"/>
      <c r="D3089" s="19"/>
    </row>
    <row r="3090" spans="1:4" x14ac:dyDescent="0.3">
      <c r="A3090" s="20">
        <v>45452.712500000001</v>
      </c>
      <c r="B3090" s="17">
        <v>61.214111000000003</v>
      </c>
      <c r="C3090" s="18"/>
      <c r="D3090" s="19"/>
    </row>
    <row r="3091" spans="1:4" x14ac:dyDescent="0.3">
      <c r="A3091" s="20">
        <v>45452.713194000004</v>
      </c>
      <c r="B3091" s="17">
        <v>61.568807</v>
      </c>
      <c r="C3091" s="18"/>
      <c r="D3091" s="19"/>
    </row>
    <row r="3092" spans="1:4" x14ac:dyDescent="0.3">
      <c r="A3092" s="20">
        <v>45452.713888999999</v>
      </c>
      <c r="B3092" s="17">
        <v>61.177954</v>
      </c>
      <c r="C3092" s="18"/>
      <c r="D3092" s="19"/>
    </row>
    <row r="3093" spans="1:4" x14ac:dyDescent="0.3">
      <c r="A3093" s="20">
        <v>45452.714583000001</v>
      </c>
      <c r="B3093" s="17">
        <v>61.144176000000002</v>
      </c>
      <c r="C3093" s="18"/>
      <c r="D3093" s="19"/>
    </row>
    <row r="3094" spans="1:4" x14ac:dyDescent="0.3">
      <c r="A3094" s="20">
        <v>45452.715278000003</v>
      </c>
      <c r="B3094" s="17">
        <v>61.398716</v>
      </c>
      <c r="C3094" s="18"/>
      <c r="D3094" s="19"/>
    </row>
    <row r="3095" spans="1:4" x14ac:dyDescent="0.3">
      <c r="A3095" s="20">
        <v>45452.715971999998</v>
      </c>
      <c r="B3095" s="17">
        <v>61.419694999999997</v>
      </c>
      <c r="C3095" s="18"/>
      <c r="D3095" s="19"/>
    </row>
    <row r="3096" spans="1:4" x14ac:dyDescent="0.3">
      <c r="A3096" s="20">
        <v>45452.716667000001</v>
      </c>
      <c r="B3096" s="17">
        <v>61.999637999999997</v>
      </c>
      <c r="C3096" s="18"/>
      <c r="D3096" s="19"/>
    </row>
    <row r="3097" spans="1:4" x14ac:dyDescent="0.3">
      <c r="A3097" s="20">
        <v>45452.717361000003</v>
      </c>
      <c r="B3097" s="17">
        <v>61.708961000000002</v>
      </c>
      <c r="C3097" s="18"/>
      <c r="D3097" s="19"/>
    </row>
    <row r="3098" spans="1:4" x14ac:dyDescent="0.3">
      <c r="A3098" s="20">
        <v>45452.718055999998</v>
      </c>
      <c r="B3098" s="17">
        <v>61.294108000000001</v>
      </c>
      <c r="C3098" s="18"/>
      <c r="D3098" s="19"/>
    </row>
    <row r="3099" spans="1:4" x14ac:dyDescent="0.3">
      <c r="A3099" s="20">
        <v>45452.71875</v>
      </c>
      <c r="B3099" s="17">
        <v>61.355922</v>
      </c>
      <c r="C3099" s="18"/>
      <c r="D3099" s="19"/>
    </row>
    <row r="3100" spans="1:4" x14ac:dyDescent="0.3">
      <c r="A3100" s="20">
        <v>45452.719444000002</v>
      </c>
      <c r="B3100" s="17">
        <v>61.287421999999999</v>
      </c>
      <c r="C3100" s="18"/>
      <c r="D3100" s="19"/>
    </row>
    <row r="3101" spans="1:4" x14ac:dyDescent="0.3">
      <c r="A3101" s="20">
        <v>45452.720138999997</v>
      </c>
      <c r="B3101" s="17">
        <v>61.091368000000003</v>
      </c>
      <c r="C3101" s="18"/>
      <c r="D3101" s="19"/>
    </row>
    <row r="3102" spans="1:4" x14ac:dyDescent="0.3">
      <c r="A3102" s="20">
        <v>45452.720832999999</v>
      </c>
      <c r="B3102" s="17">
        <v>61.239671999999999</v>
      </c>
      <c r="C3102" s="18"/>
      <c r="D3102" s="19"/>
    </row>
    <row r="3103" spans="1:4" x14ac:dyDescent="0.3">
      <c r="A3103" s="20">
        <v>45452.721528000002</v>
      </c>
      <c r="B3103" s="17">
        <v>61.145094</v>
      </c>
      <c r="C3103" s="18"/>
      <c r="D3103" s="19"/>
    </row>
    <row r="3104" spans="1:4" x14ac:dyDescent="0.3">
      <c r="A3104" s="20">
        <v>45452.722221999997</v>
      </c>
      <c r="B3104" s="17">
        <v>61.208869999999997</v>
      </c>
      <c r="C3104" s="18"/>
      <c r="D3104" s="19"/>
    </row>
    <row r="3105" spans="1:4" x14ac:dyDescent="0.3">
      <c r="A3105" s="20">
        <v>45452.722916999999</v>
      </c>
      <c r="B3105" s="17">
        <v>61.207050000000002</v>
      </c>
      <c r="C3105" s="18"/>
      <c r="D3105" s="19"/>
    </row>
    <row r="3106" spans="1:4" x14ac:dyDescent="0.3">
      <c r="A3106" s="20">
        <v>45452.723611000001</v>
      </c>
      <c r="B3106" s="17">
        <v>61.478133999999997</v>
      </c>
      <c r="C3106" s="18"/>
      <c r="D3106" s="19"/>
    </row>
    <row r="3107" spans="1:4" x14ac:dyDescent="0.3">
      <c r="A3107" s="20">
        <v>45452.724305999996</v>
      </c>
      <c r="B3107" s="17">
        <v>61.303939999999997</v>
      </c>
      <c r="C3107" s="18"/>
      <c r="D3107" s="19"/>
    </row>
    <row r="3108" spans="1:4" x14ac:dyDescent="0.3">
      <c r="A3108" s="20">
        <v>45452.724999999999</v>
      </c>
      <c r="B3108" s="17">
        <v>61.467053999999997</v>
      </c>
      <c r="C3108" s="18"/>
      <c r="D3108" s="19"/>
    </row>
    <row r="3109" spans="1:4" x14ac:dyDescent="0.3">
      <c r="A3109" s="20">
        <v>45452.725694000001</v>
      </c>
      <c r="B3109" s="17">
        <v>61.420752999999998</v>
      </c>
      <c r="C3109" s="18"/>
      <c r="D3109" s="19"/>
    </row>
    <row r="3110" spans="1:4" x14ac:dyDescent="0.3">
      <c r="A3110" s="20">
        <v>45452.726389000003</v>
      </c>
      <c r="B3110" s="17">
        <v>61.210388999999999</v>
      </c>
      <c r="C3110" s="18"/>
      <c r="D3110" s="19"/>
    </row>
    <row r="3111" spans="1:4" x14ac:dyDescent="0.3">
      <c r="A3111" s="20">
        <v>45452.727082999998</v>
      </c>
      <c r="B3111" s="17">
        <v>62.047955000000002</v>
      </c>
      <c r="C3111" s="18"/>
      <c r="D3111" s="19"/>
    </row>
    <row r="3112" spans="1:4" x14ac:dyDescent="0.3">
      <c r="A3112" s="20">
        <v>45452.727778</v>
      </c>
      <c r="B3112" s="17">
        <v>61.102739999999997</v>
      </c>
      <c r="C3112" s="18"/>
      <c r="D3112" s="19"/>
    </row>
    <row r="3113" spans="1:4" x14ac:dyDescent="0.3">
      <c r="A3113" s="20">
        <v>45452.728472000003</v>
      </c>
      <c r="B3113" s="17">
        <v>61.101689999999998</v>
      </c>
      <c r="C3113" s="18"/>
      <c r="D3113" s="19"/>
    </row>
    <row r="3114" spans="1:4" x14ac:dyDescent="0.3">
      <c r="A3114" s="20">
        <v>45452.729166999998</v>
      </c>
      <c r="B3114" s="17">
        <v>61.719518000000001</v>
      </c>
      <c r="C3114" s="18"/>
      <c r="D3114" s="19"/>
    </row>
    <row r="3115" spans="1:4" x14ac:dyDescent="0.3">
      <c r="A3115" s="20">
        <v>45452.729861</v>
      </c>
      <c r="B3115" s="17">
        <v>61.559721000000003</v>
      </c>
      <c r="C3115" s="18"/>
      <c r="D3115" s="19"/>
    </row>
    <row r="3116" spans="1:4" x14ac:dyDescent="0.3">
      <c r="A3116" s="20">
        <v>45452.730556000002</v>
      </c>
      <c r="B3116" s="17">
        <v>60.871653000000002</v>
      </c>
      <c r="C3116" s="18"/>
      <c r="D3116" s="19"/>
    </row>
    <row r="3117" spans="1:4" x14ac:dyDescent="0.3">
      <c r="A3117" s="20">
        <v>45452.731249999997</v>
      </c>
      <c r="B3117" s="17">
        <v>61.793367000000003</v>
      </c>
      <c r="C3117" s="18"/>
      <c r="D3117" s="19"/>
    </row>
    <row r="3118" spans="1:4" x14ac:dyDescent="0.3">
      <c r="A3118" s="20">
        <v>45452.731943999999</v>
      </c>
      <c r="B3118" s="17">
        <v>61.570602999999998</v>
      </c>
      <c r="C3118" s="18"/>
      <c r="D3118" s="19"/>
    </row>
    <row r="3119" spans="1:4" x14ac:dyDescent="0.3">
      <c r="A3119" s="20">
        <v>45452.732639000002</v>
      </c>
      <c r="B3119" s="17">
        <v>60.903424000000001</v>
      </c>
      <c r="C3119" s="18"/>
      <c r="D3119" s="19"/>
    </row>
    <row r="3120" spans="1:4" x14ac:dyDescent="0.3">
      <c r="A3120" s="20">
        <v>45452.733332999996</v>
      </c>
      <c r="B3120" s="17">
        <v>61.257987</v>
      </c>
      <c r="C3120" s="18"/>
      <c r="D3120" s="19"/>
    </row>
    <row r="3121" spans="1:4" x14ac:dyDescent="0.3">
      <c r="A3121" s="20">
        <v>45452.734027999999</v>
      </c>
      <c r="B3121" s="17">
        <v>61.389541999999999</v>
      </c>
      <c r="C3121" s="18"/>
      <c r="D3121" s="19"/>
    </row>
    <row r="3122" spans="1:4" x14ac:dyDescent="0.3">
      <c r="A3122" s="20">
        <v>45452.734722000001</v>
      </c>
      <c r="B3122" s="17">
        <v>62.033355999999998</v>
      </c>
      <c r="C3122" s="18"/>
      <c r="D3122" s="19"/>
    </row>
    <row r="3123" spans="1:4" x14ac:dyDescent="0.3">
      <c r="A3123" s="20">
        <v>45452.735417000004</v>
      </c>
      <c r="B3123" s="17">
        <v>60.971555000000002</v>
      </c>
      <c r="C3123" s="18"/>
      <c r="D3123" s="19"/>
    </row>
    <row r="3124" spans="1:4" x14ac:dyDescent="0.3">
      <c r="A3124" s="20">
        <v>45452.736110999998</v>
      </c>
      <c r="B3124" s="17">
        <v>61.469023999999997</v>
      </c>
      <c r="C3124" s="18"/>
      <c r="D3124" s="19"/>
    </row>
    <row r="3125" spans="1:4" x14ac:dyDescent="0.3">
      <c r="A3125" s="20">
        <v>45452.736806000001</v>
      </c>
      <c r="B3125" s="17">
        <v>61.70232</v>
      </c>
      <c r="C3125" s="18"/>
      <c r="D3125" s="19"/>
    </row>
    <row r="3126" spans="1:4" x14ac:dyDescent="0.3">
      <c r="A3126" s="20">
        <v>45452.737500000003</v>
      </c>
      <c r="B3126" s="17">
        <v>61.284269999999999</v>
      </c>
      <c r="C3126" s="18"/>
      <c r="D3126" s="19"/>
    </row>
    <row r="3127" spans="1:4" x14ac:dyDescent="0.3">
      <c r="A3127" s="20">
        <v>45452.738193999998</v>
      </c>
      <c r="B3127" s="17">
        <v>61.692103000000003</v>
      </c>
      <c r="C3127" s="18"/>
      <c r="D3127" s="19"/>
    </row>
    <row r="3128" spans="1:4" x14ac:dyDescent="0.3">
      <c r="A3128" s="20">
        <v>45452.738889</v>
      </c>
      <c r="B3128" s="17">
        <v>61.383071000000001</v>
      </c>
      <c r="C3128" s="18"/>
      <c r="D3128" s="19"/>
    </row>
    <row r="3129" spans="1:4" x14ac:dyDescent="0.3">
      <c r="A3129" s="20">
        <v>45452.739583000002</v>
      </c>
      <c r="B3129" s="17">
        <v>61.741748999999999</v>
      </c>
      <c r="C3129" s="18"/>
      <c r="D3129" s="19"/>
    </row>
    <row r="3130" spans="1:4" x14ac:dyDescent="0.3">
      <c r="A3130" s="20">
        <v>45452.740277999997</v>
      </c>
      <c r="B3130" s="17">
        <v>61.698954999999998</v>
      </c>
      <c r="C3130" s="18"/>
      <c r="D3130" s="19"/>
    </row>
    <row r="3131" spans="1:4" x14ac:dyDescent="0.3">
      <c r="A3131" s="20">
        <v>45452.740972</v>
      </c>
      <c r="B3131" s="17">
        <v>61.492913999999999</v>
      </c>
      <c r="C3131" s="18"/>
      <c r="D3131" s="19"/>
    </row>
    <row r="3132" spans="1:4" x14ac:dyDescent="0.3">
      <c r="A3132" s="20">
        <v>45452.741667000002</v>
      </c>
      <c r="B3132" s="17">
        <v>61.571055000000001</v>
      </c>
      <c r="C3132" s="18"/>
      <c r="D3132" s="19"/>
    </row>
    <row r="3133" spans="1:4" x14ac:dyDescent="0.3">
      <c r="A3133" s="20">
        <v>45452.742360999997</v>
      </c>
      <c r="B3133" s="17">
        <v>61.649704999999997</v>
      </c>
      <c r="C3133" s="18"/>
      <c r="D3133" s="19"/>
    </row>
    <row r="3134" spans="1:4" x14ac:dyDescent="0.3">
      <c r="A3134" s="20">
        <v>45452.743055999999</v>
      </c>
      <c r="B3134" s="17">
        <v>61.774225000000001</v>
      </c>
      <c r="C3134" s="18"/>
      <c r="D3134" s="19"/>
    </row>
    <row r="3135" spans="1:4" x14ac:dyDescent="0.3">
      <c r="A3135" s="20">
        <v>45452.743750000001</v>
      </c>
      <c r="B3135" s="17">
        <v>61.259371000000002</v>
      </c>
      <c r="C3135" s="18"/>
      <c r="D3135" s="19"/>
    </row>
    <row r="3136" spans="1:4" x14ac:dyDescent="0.3">
      <c r="A3136" s="20">
        <v>45452.744444000004</v>
      </c>
      <c r="B3136" s="17">
        <v>61.565297000000001</v>
      </c>
      <c r="C3136" s="18"/>
      <c r="D3136" s="19"/>
    </row>
    <row r="3137" spans="1:4" x14ac:dyDescent="0.3">
      <c r="A3137" s="20">
        <v>45452.745138999999</v>
      </c>
      <c r="B3137" s="17">
        <v>61.586503</v>
      </c>
      <c r="C3137" s="18"/>
      <c r="D3137" s="19"/>
    </row>
    <row r="3138" spans="1:4" x14ac:dyDescent="0.3">
      <c r="A3138" s="20">
        <v>45452.745833000001</v>
      </c>
      <c r="B3138" s="17">
        <v>61.142291999999998</v>
      </c>
      <c r="C3138" s="18"/>
      <c r="D3138" s="19"/>
    </row>
    <row r="3139" spans="1:4" x14ac:dyDescent="0.3">
      <c r="A3139" s="20">
        <v>45452.746528000003</v>
      </c>
      <c r="B3139" s="17">
        <v>61.748114999999999</v>
      </c>
      <c r="C3139" s="18"/>
      <c r="D3139" s="19"/>
    </row>
    <row r="3140" spans="1:4" x14ac:dyDescent="0.3">
      <c r="A3140" s="20">
        <v>45452.747221999998</v>
      </c>
      <c r="B3140" s="17">
        <v>61.604401000000003</v>
      </c>
      <c r="C3140" s="18"/>
      <c r="D3140" s="19"/>
    </row>
    <row r="3141" spans="1:4" x14ac:dyDescent="0.3">
      <c r="A3141" s="20">
        <v>45452.747917000001</v>
      </c>
      <c r="B3141" s="17">
        <v>61.196246000000002</v>
      </c>
      <c r="C3141" s="18"/>
      <c r="D3141" s="19"/>
    </row>
    <row r="3142" spans="1:4" x14ac:dyDescent="0.3">
      <c r="A3142" s="20">
        <v>45452.748611000003</v>
      </c>
      <c r="B3142" s="17">
        <v>61.405498999999999</v>
      </c>
      <c r="C3142" s="18"/>
      <c r="D3142" s="19"/>
    </row>
    <row r="3143" spans="1:4" x14ac:dyDescent="0.3">
      <c r="A3143" s="20">
        <v>45452.749305999998</v>
      </c>
      <c r="B3143" s="17">
        <v>61.238337000000001</v>
      </c>
      <c r="C3143" s="18"/>
      <c r="D3143" s="19"/>
    </row>
    <row r="3144" spans="1:4" x14ac:dyDescent="0.3">
      <c r="A3144" s="20">
        <v>45452.75</v>
      </c>
      <c r="B3144" s="17">
        <v>60.813454</v>
      </c>
      <c r="C3144" s="18"/>
      <c r="D3144" s="19"/>
    </row>
    <row r="3145" spans="1:4" x14ac:dyDescent="0.3">
      <c r="A3145" s="20">
        <v>45452.750694000002</v>
      </c>
      <c r="B3145" s="17">
        <v>61.309866</v>
      </c>
      <c r="C3145" s="18"/>
      <c r="D3145" s="19"/>
    </row>
    <row r="3146" spans="1:4" x14ac:dyDescent="0.3">
      <c r="A3146" s="20">
        <v>45452.751388999997</v>
      </c>
      <c r="B3146" s="17">
        <v>61.908276000000001</v>
      </c>
      <c r="C3146" s="18"/>
      <c r="D3146" s="19"/>
    </row>
    <row r="3147" spans="1:4" x14ac:dyDescent="0.3">
      <c r="A3147" s="20">
        <v>45452.752082999999</v>
      </c>
      <c r="B3147" s="17">
        <v>61.678567999999999</v>
      </c>
      <c r="C3147" s="18"/>
      <c r="D3147" s="19"/>
    </row>
    <row r="3148" spans="1:4" x14ac:dyDescent="0.3">
      <c r="A3148" s="20">
        <v>45452.752778000002</v>
      </c>
      <c r="B3148" s="17">
        <v>61.436205999999999</v>
      </c>
      <c r="C3148" s="18"/>
      <c r="D3148" s="19"/>
    </row>
    <row r="3149" spans="1:4" x14ac:dyDescent="0.3">
      <c r="A3149" s="20">
        <v>45452.753471999997</v>
      </c>
      <c r="B3149" s="17">
        <v>61.006822</v>
      </c>
      <c r="C3149" s="18"/>
      <c r="D3149" s="19"/>
    </row>
    <row r="3150" spans="1:4" x14ac:dyDescent="0.3">
      <c r="A3150" s="20">
        <v>45452.754166999999</v>
      </c>
      <c r="B3150" s="17">
        <v>61.412770999999999</v>
      </c>
      <c r="C3150" s="18"/>
      <c r="D3150" s="19"/>
    </row>
    <row r="3151" spans="1:4" x14ac:dyDescent="0.3">
      <c r="A3151" s="20">
        <v>45452.754861000001</v>
      </c>
      <c r="B3151" s="17">
        <v>61.429440999999997</v>
      </c>
      <c r="C3151" s="18"/>
      <c r="D3151" s="19"/>
    </row>
    <row r="3152" spans="1:4" x14ac:dyDescent="0.3">
      <c r="A3152" s="20">
        <v>45452.755555999996</v>
      </c>
      <c r="B3152" s="17">
        <v>61.309804999999997</v>
      </c>
      <c r="C3152" s="18"/>
      <c r="D3152" s="19"/>
    </row>
    <row r="3153" spans="1:4" x14ac:dyDescent="0.3">
      <c r="A3153" s="20">
        <v>45452.756249999999</v>
      </c>
      <c r="B3153" s="17">
        <v>61.446688999999999</v>
      </c>
      <c r="C3153" s="18"/>
      <c r="D3153" s="19"/>
    </row>
    <row r="3154" spans="1:4" x14ac:dyDescent="0.3">
      <c r="A3154" s="20">
        <v>45452.756944000001</v>
      </c>
      <c r="B3154" s="17">
        <v>61.585209999999996</v>
      </c>
      <c r="C3154" s="18"/>
      <c r="D3154" s="19"/>
    </row>
    <row r="3155" spans="1:4" x14ac:dyDescent="0.3">
      <c r="A3155" s="20">
        <v>45452.757639000003</v>
      </c>
      <c r="B3155" s="17">
        <v>60.929966</v>
      </c>
      <c r="C3155" s="18"/>
      <c r="D3155" s="19"/>
    </row>
    <row r="3156" spans="1:4" x14ac:dyDescent="0.3">
      <c r="A3156" s="20">
        <v>45452.758332999998</v>
      </c>
      <c r="B3156" s="17">
        <v>61.901466999999997</v>
      </c>
      <c r="C3156" s="18"/>
      <c r="D3156" s="19"/>
    </row>
    <row r="3157" spans="1:4" x14ac:dyDescent="0.3">
      <c r="A3157" s="20">
        <v>45452.759028</v>
      </c>
      <c r="B3157" s="17">
        <v>61.960284999999999</v>
      </c>
      <c r="C3157" s="18"/>
      <c r="D3157" s="19"/>
    </row>
    <row r="3158" spans="1:4" x14ac:dyDescent="0.3">
      <c r="A3158" s="20">
        <v>45452.759722000003</v>
      </c>
      <c r="B3158" s="17">
        <v>61.762712000000001</v>
      </c>
      <c r="C3158" s="18"/>
      <c r="D3158" s="19"/>
    </row>
    <row r="3159" spans="1:4" x14ac:dyDescent="0.3">
      <c r="A3159" s="20">
        <v>45452.760416999998</v>
      </c>
      <c r="B3159" s="17">
        <v>61.225723000000002</v>
      </c>
      <c r="C3159" s="18"/>
      <c r="D3159" s="19"/>
    </row>
    <row r="3160" spans="1:4" x14ac:dyDescent="0.3">
      <c r="A3160" s="20">
        <v>45452.761111</v>
      </c>
      <c r="B3160" s="17">
        <v>61.210903999999999</v>
      </c>
      <c r="C3160" s="18"/>
      <c r="D3160" s="19"/>
    </row>
    <row r="3161" spans="1:4" x14ac:dyDescent="0.3">
      <c r="A3161" s="20">
        <v>45452.761806000002</v>
      </c>
      <c r="B3161" s="17">
        <v>61.316797000000001</v>
      </c>
      <c r="C3161" s="18"/>
      <c r="D3161" s="19"/>
    </row>
    <row r="3162" spans="1:4" x14ac:dyDescent="0.3">
      <c r="A3162" s="20">
        <v>45452.762499999997</v>
      </c>
      <c r="B3162" s="17">
        <v>61.770361000000001</v>
      </c>
      <c r="C3162" s="18"/>
      <c r="D3162" s="19"/>
    </row>
    <row r="3163" spans="1:4" x14ac:dyDescent="0.3">
      <c r="A3163" s="20">
        <v>45452.763193999999</v>
      </c>
      <c r="B3163" s="17">
        <v>61.575980999999999</v>
      </c>
      <c r="C3163" s="18"/>
      <c r="D3163" s="19"/>
    </row>
    <row r="3164" spans="1:4" x14ac:dyDescent="0.3">
      <c r="A3164" s="20">
        <v>45452.763889000002</v>
      </c>
      <c r="B3164" s="17">
        <v>61.124651</v>
      </c>
      <c r="C3164" s="18"/>
      <c r="D3164" s="19"/>
    </row>
    <row r="3165" spans="1:4" x14ac:dyDescent="0.3">
      <c r="A3165" s="20">
        <v>45452.764582999996</v>
      </c>
      <c r="B3165" s="17">
        <v>60.896693999999997</v>
      </c>
      <c r="C3165" s="18"/>
      <c r="D3165" s="19"/>
    </row>
    <row r="3166" spans="1:4" x14ac:dyDescent="0.3">
      <c r="A3166" s="20">
        <v>45452.765277999999</v>
      </c>
      <c r="B3166" s="17">
        <v>61.406098</v>
      </c>
      <c r="C3166" s="18"/>
      <c r="D3166" s="19"/>
    </row>
    <row r="3167" spans="1:4" x14ac:dyDescent="0.3">
      <c r="A3167" s="20">
        <v>45452.765972000001</v>
      </c>
      <c r="B3167" s="17">
        <v>61.051732000000001</v>
      </c>
      <c r="C3167" s="18"/>
      <c r="D3167" s="19"/>
    </row>
    <row r="3168" spans="1:4" x14ac:dyDescent="0.3">
      <c r="A3168" s="20">
        <v>45452.766667000004</v>
      </c>
      <c r="B3168" s="17">
        <v>61.123882000000002</v>
      </c>
      <c r="C3168" s="18"/>
      <c r="D3168" s="19"/>
    </row>
    <row r="3169" spans="1:4" x14ac:dyDescent="0.3">
      <c r="A3169" s="20">
        <v>45452.767360999998</v>
      </c>
      <c r="B3169" s="17">
        <v>61.659573999999999</v>
      </c>
      <c r="C3169" s="18"/>
      <c r="D3169" s="19"/>
    </row>
    <row r="3170" spans="1:4" x14ac:dyDescent="0.3">
      <c r="A3170" s="20">
        <v>45452.768056000001</v>
      </c>
      <c r="B3170" s="17">
        <v>61.421275000000001</v>
      </c>
      <c r="C3170" s="18"/>
      <c r="D3170" s="19"/>
    </row>
    <row r="3171" spans="1:4" x14ac:dyDescent="0.3">
      <c r="A3171" s="20">
        <v>45452.768750000003</v>
      </c>
      <c r="B3171" s="17">
        <v>61.828806</v>
      </c>
      <c r="C3171" s="18"/>
      <c r="D3171" s="19"/>
    </row>
    <row r="3172" spans="1:4" x14ac:dyDescent="0.3">
      <c r="A3172" s="20">
        <v>45452.769443999998</v>
      </c>
      <c r="B3172" s="17">
        <v>62.072617999999999</v>
      </c>
      <c r="C3172" s="18"/>
      <c r="D3172" s="19"/>
    </row>
    <row r="3173" spans="1:4" x14ac:dyDescent="0.3">
      <c r="A3173" s="20">
        <v>45452.770139</v>
      </c>
      <c r="B3173" s="17">
        <v>62.023547000000001</v>
      </c>
      <c r="C3173" s="18"/>
      <c r="D3173" s="19"/>
    </row>
    <row r="3174" spans="1:4" x14ac:dyDescent="0.3">
      <c r="A3174" s="20">
        <v>45452.770833000002</v>
      </c>
      <c r="B3174" s="17">
        <v>61.683746999999997</v>
      </c>
      <c r="C3174" s="18"/>
      <c r="D3174" s="19"/>
    </row>
    <row r="3175" spans="1:4" x14ac:dyDescent="0.3">
      <c r="A3175" s="20">
        <v>45452.771527999997</v>
      </c>
      <c r="B3175" s="17">
        <v>61.782335000000003</v>
      </c>
      <c r="C3175" s="18"/>
      <c r="D3175" s="19"/>
    </row>
    <row r="3176" spans="1:4" x14ac:dyDescent="0.3">
      <c r="A3176" s="20">
        <v>45452.772222</v>
      </c>
      <c r="B3176" s="17">
        <v>61.326659999999997</v>
      </c>
      <c r="C3176" s="18"/>
      <c r="D3176" s="19"/>
    </row>
    <row r="3177" spans="1:4" x14ac:dyDescent="0.3">
      <c r="A3177" s="20">
        <v>45452.772917000002</v>
      </c>
      <c r="B3177" s="17">
        <v>61.552416999999998</v>
      </c>
      <c r="C3177" s="18"/>
      <c r="D3177" s="19"/>
    </row>
    <row r="3178" spans="1:4" x14ac:dyDescent="0.3">
      <c r="A3178" s="20">
        <v>45452.773610999997</v>
      </c>
      <c r="B3178" s="17">
        <v>61.633498000000003</v>
      </c>
      <c r="C3178" s="18"/>
      <c r="D3178" s="19"/>
    </row>
    <row r="3179" spans="1:4" x14ac:dyDescent="0.3">
      <c r="A3179" s="20">
        <v>45452.774305999999</v>
      </c>
      <c r="B3179" s="17">
        <v>61.024410000000003</v>
      </c>
      <c r="C3179" s="18"/>
      <c r="D3179" s="19"/>
    </row>
    <row r="3180" spans="1:4" x14ac:dyDescent="0.3">
      <c r="A3180" s="20">
        <v>45452.775000000001</v>
      </c>
      <c r="B3180" s="17">
        <v>61.048836000000001</v>
      </c>
      <c r="C3180" s="18"/>
      <c r="D3180" s="19"/>
    </row>
    <row r="3181" spans="1:4" x14ac:dyDescent="0.3">
      <c r="A3181" s="20">
        <v>45452.775694000004</v>
      </c>
      <c r="B3181" s="17">
        <v>61.267035</v>
      </c>
      <c r="C3181" s="18"/>
      <c r="D3181" s="19"/>
    </row>
    <row r="3182" spans="1:4" x14ac:dyDescent="0.3">
      <c r="A3182" s="20">
        <v>45452.776388999999</v>
      </c>
      <c r="B3182" s="17">
        <v>60.790551000000001</v>
      </c>
      <c r="C3182" s="18"/>
      <c r="D3182" s="19"/>
    </row>
    <row r="3183" spans="1:4" x14ac:dyDescent="0.3">
      <c r="A3183" s="20">
        <v>45452.777083000001</v>
      </c>
      <c r="B3183" s="17">
        <v>61.949441</v>
      </c>
      <c r="C3183" s="18"/>
      <c r="D3183" s="19"/>
    </row>
    <row r="3184" spans="1:4" x14ac:dyDescent="0.3">
      <c r="A3184" s="20">
        <v>45452.777778000003</v>
      </c>
      <c r="B3184" s="17">
        <v>61.211973</v>
      </c>
      <c r="C3184" s="18"/>
      <c r="D3184" s="19"/>
    </row>
    <row r="3185" spans="1:4" x14ac:dyDescent="0.3">
      <c r="A3185" s="20">
        <v>45452.778471999998</v>
      </c>
      <c r="B3185" s="17">
        <v>62.235152999999997</v>
      </c>
      <c r="C3185" s="18"/>
      <c r="D3185" s="19"/>
    </row>
    <row r="3186" spans="1:4" x14ac:dyDescent="0.3">
      <c r="A3186" s="20">
        <v>45452.779167000001</v>
      </c>
      <c r="B3186" s="17">
        <v>61.365941999999997</v>
      </c>
      <c r="C3186" s="18"/>
      <c r="D3186" s="19"/>
    </row>
    <row r="3187" spans="1:4" x14ac:dyDescent="0.3">
      <c r="A3187" s="20">
        <v>45452.779861000003</v>
      </c>
      <c r="B3187" s="17">
        <v>62.076568000000002</v>
      </c>
      <c r="C3187" s="18"/>
      <c r="D3187" s="19"/>
    </row>
    <row r="3188" spans="1:4" x14ac:dyDescent="0.3">
      <c r="A3188" s="20">
        <v>45452.780555999998</v>
      </c>
      <c r="B3188" s="17">
        <v>61.152467999999999</v>
      </c>
      <c r="C3188" s="18"/>
      <c r="D3188" s="19"/>
    </row>
    <row r="3189" spans="1:4" x14ac:dyDescent="0.3">
      <c r="A3189" s="20">
        <v>45452.78125</v>
      </c>
      <c r="B3189" s="17">
        <v>61.228388000000002</v>
      </c>
      <c r="C3189" s="18"/>
      <c r="D3189" s="19"/>
    </row>
    <row r="3190" spans="1:4" x14ac:dyDescent="0.3">
      <c r="A3190" s="20">
        <v>45452.781944000002</v>
      </c>
      <c r="B3190" s="17">
        <v>61.385944000000002</v>
      </c>
      <c r="C3190" s="18"/>
      <c r="D3190" s="19"/>
    </row>
    <row r="3191" spans="1:4" x14ac:dyDescent="0.3">
      <c r="A3191" s="20">
        <v>45452.782638999997</v>
      </c>
      <c r="B3191" s="17">
        <v>61.562980000000003</v>
      </c>
      <c r="C3191" s="18"/>
      <c r="D3191" s="19"/>
    </row>
    <row r="3192" spans="1:4" x14ac:dyDescent="0.3">
      <c r="A3192" s="20">
        <v>45452.783332999999</v>
      </c>
      <c r="B3192" s="17">
        <v>61.518461000000002</v>
      </c>
      <c r="C3192" s="18"/>
      <c r="D3192" s="19"/>
    </row>
    <row r="3193" spans="1:4" x14ac:dyDescent="0.3">
      <c r="A3193" s="20">
        <v>45452.784028000002</v>
      </c>
      <c r="B3193" s="17">
        <v>61.277788999999999</v>
      </c>
      <c r="C3193" s="18"/>
      <c r="D3193" s="19"/>
    </row>
    <row r="3194" spans="1:4" x14ac:dyDescent="0.3">
      <c r="A3194" s="20">
        <v>45452.784721999997</v>
      </c>
      <c r="B3194" s="17">
        <v>62.007683</v>
      </c>
      <c r="C3194" s="18"/>
      <c r="D3194" s="19"/>
    </row>
    <row r="3195" spans="1:4" x14ac:dyDescent="0.3">
      <c r="A3195" s="20">
        <v>45452.785416999999</v>
      </c>
      <c r="B3195" s="17">
        <v>62.287264</v>
      </c>
      <c r="C3195" s="18"/>
      <c r="D3195" s="19"/>
    </row>
    <row r="3196" spans="1:4" x14ac:dyDescent="0.3">
      <c r="A3196" s="20">
        <v>45452.786111000001</v>
      </c>
      <c r="B3196" s="17">
        <v>62.032470000000004</v>
      </c>
      <c r="C3196" s="18"/>
      <c r="D3196" s="19"/>
    </row>
    <row r="3197" spans="1:4" x14ac:dyDescent="0.3">
      <c r="A3197" s="20">
        <v>45452.786805999996</v>
      </c>
      <c r="B3197" s="17">
        <v>62.026384</v>
      </c>
      <c r="C3197" s="18"/>
      <c r="D3197" s="19"/>
    </row>
    <row r="3198" spans="1:4" x14ac:dyDescent="0.3">
      <c r="A3198" s="20">
        <v>45452.787499999999</v>
      </c>
      <c r="B3198" s="17">
        <v>61.817438000000003</v>
      </c>
      <c r="C3198" s="18"/>
      <c r="D3198" s="19"/>
    </row>
    <row r="3199" spans="1:4" x14ac:dyDescent="0.3">
      <c r="A3199" s="20">
        <v>45452.788194000001</v>
      </c>
      <c r="B3199" s="17">
        <v>61.648721000000002</v>
      </c>
      <c r="C3199" s="18"/>
      <c r="D3199" s="19"/>
    </row>
    <row r="3200" spans="1:4" x14ac:dyDescent="0.3">
      <c r="A3200" s="20">
        <v>45452.788889000003</v>
      </c>
      <c r="B3200" s="17">
        <v>61.261310999999999</v>
      </c>
      <c r="C3200" s="18"/>
      <c r="D3200" s="19"/>
    </row>
    <row r="3201" spans="1:4" x14ac:dyDescent="0.3">
      <c r="A3201" s="20">
        <v>45452.789582999998</v>
      </c>
      <c r="B3201" s="17">
        <v>61.214635000000001</v>
      </c>
      <c r="C3201" s="18"/>
      <c r="D3201" s="19"/>
    </row>
    <row r="3202" spans="1:4" x14ac:dyDescent="0.3">
      <c r="A3202" s="20">
        <v>45452.790278</v>
      </c>
      <c r="B3202" s="17">
        <v>61.212235</v>
      </c>
      <c r="C3202" s="18"/>
      <c r="D3202" s="19"/>
    </row>
    <row r="3203" spans="1:4" x14ac:dyDescent="0.3">
      <c r="A3203" s="20">
        <v>45452.790972000003</v>
      </c>
      <c r="B3203" s="17">
        <v>61.783093999999998</v>
      </c>
      <c r="C3203" s="18"/>
      <c r="D3203" s="19"/>
    </row>
    <row r="3204" spans="1:4" x14ac:dyDescent="0.3">
      <c r="A3204" s="20">
        <v>45452.791666999998</v>
      </c>
      <c r="B3204" s="17">
        <v>60.641717</v>
      </c>
      <c r="C3204" s="18"/>
      <c r="D3204" s="19"/>
    </row>
    <row r="3205" spans="1:4" x14ac:dyDescent="0.3">
      <c r="A3205" s="20">
        <v>45452.792361</v>
      </c>
      <c r="B3205" s="17">
        <v>61.650423000000004</v>
      </c>
      <c r="C3205" s="18"/>
      <c r="D3205" s="19"/>
    </row>
    <row r="3206" spans="1:4" x14ac:dyDescent="0.3">
      <c r="A3206" s="20">
        <v>45452.793056000002</v>
      </c>
      <c r="B3206" s="17">
        <v>61.997588</v>
      </c>
      <c r="C3206" s="18"/>
      <c r="D3206" s="19"/>
    </row>
    <row r="3207" spans="1:4" x14ac:dyDescent="0.3">
      <c r="A3207" s="20">
        <v>45452.793749999997</v>
      </c>
      <c r="B3207" s="17">
        <v>61.531460000000003</v>
      </c>
      <c r="C3207" s="18"/>
      <c r="D3207" s="19"/>
    </row>
    <row r="3208" spans="1:4" x14ac:dyDescent="0.3">
      <c r="A3208" s="20">
        <v>45452.794443999999</v>
      </c>
      <c r="B3208" s="17">
        <v>61.496398999999997</v>
      </c>
      <c r="C3208" s="18"/>
      <c r="D3208" s="19"/>
    </row>
    <row r="3209" spans="1:4" x14ac:dyDescent="0.3">
      <c r="A3209" s="20">
        <v>45452.795139000002</v>
      </c>
      <c r="B3209" s="17">
        <v>61.402388999999999</v>
      </c>
      <c r="C3209" s="18"/>
      <c r="D3209" s="19"/>
    </row>
    <row r="3210" spans="1:4" x14ac:dyDescent="0.3">
      <c r="A3210" s="20">
        <v>45452.795832999996</v>
      </c>
      <c r="B3210" s="17">
        <v>61.782981999999997</v>
      </c>
      <c r="C3210" s="18"/>
      <c r="D3210" s="19"/>
    </row>
    <row r="3211" spans="1:4" x14ac:dyDescent="0.3">
      <c r="A3211" s="20">
        <v>45452.796527999999</v>
      </c>
      <c r="B3211" s="17">
        <v>61.546818999999999</v>
      </c>
      <c r="C3211" s="18"/>
      <c r="D3211" s="19"/>
    </row>
    <row r="3212" spans="1:4" x14ac:dyDescent="0.3">
      <c r="A3212" s="20">
        <v>45452.797222000001</v>
      </c>
      <c r="B3212" s="17">
        <v>61.291231000000003</v>
      </c>
      <c r="C3212" s="18"/>
      <c r="D3212" s="19"/>
    </row>
    <row r="3213" spans="1:4" x14ac:dyDescent="0.3">
      <c r="A3213" s="20">
        <v>45452.797917000004</v>
      </c>
      <c r="B3213" s="17">
        <v>61.588245999999998</v>
      </c>
      <c r="C3213" s="18"/>
      <c r="D3213" s="19"/>
    </row>
    <row r="3214" spans="1:4" x14ac:dyDescent="0.3">
      <c r="A3214" s="20">
        <v>45452.798610999998</v>
      </c>
      <c r="B3214" s="17">
        <v>61.307732999999999</v>
      </c>
      <c r="C3214" s="18"/>
      <c r="D3214" s="19"/>
    </row>
    <row r="3215" spans="1:4" x14ac:dyDescent="0.3">
      <c r="A3215" s="20">
        <v>45452.799306000001</v>
      </c>
      <c r="B3215" s="17">
        <v>62.065829000000001</v>
      </c>
      <c r="C3215" s="18"/>
      <c r="D3215" s="19"/>
    </row>
    <row r="3216" spans="1:4" x14ac:dyDescent="0.3">
      <c r="A3216" s="20">
        <v>45452.800000000003</v>
      </c>
      <c r="B3216" s="17">
        <v>61.574993999999997</v>
      </c>
      <c r="C3216" s="18"/>
      <c r="D3216" s="19"/>
    </row>
    <row r="3217" spans="1:4" x14ac:dyDescent="0.3">
      <c r="A3217" s="20">
        <v>45452.800693999998</v>
      </c>
      <c r="B3217" s="17">
        <v>61.857441999999999</v>
      </c>
      <c r="C3217" s="18"/>
      <c r="D3217" s="19"/>
    </row>
    <row r="3218" spans="1:4" x14ac:dyDescent="0.3">
      <c r="A3218" s="20">
        <v>45452.801389</v>
      </c>
      <c r="B3218" s="17">
        <v>61.270220000000002</v>
      </c>
      <c r="C3218" s="18"/>
      <c r="D3218" s="19"/>
    </row>
    <row r="3219" spans="1:4" x14ac:dyDescent="0.3">
      <c r="A3219" s="20">
        <v>45452.802083000002</v>
      </c>
      <c r="B3219" s="17">
        <v>61.481180999999999</v>
      </c>
      <c r="C3219" s="18"/>
      <c r="D3219" s="19"/>
    </row>
    <row r="3220" spans="1:4" x14ac:dyDescent="0.3">
      <c r="A3220" s="20">
        <v>45452.802777999997</v>
      </c>
      <c r="B3220" s="17">
        <v>61.405349999999999</v>
      </c>
      <c r="C3220" s="18"/>
      <c r="D3220" s="19"/>
    </row>
    <row r="3221" spans="1:4" x14ac:dyDescent="0.3">
      <c r="A3221" s="20">
        <v>45452.803472</v>
      </c>
      <c r="B3221" s="17">
        <v>61.577312999999997</v>
      </c>
      <c r="C3221" s="18"/>
      <c r="D3221" s="19"/>
    </row>
    <row r="3222" spans="1:4" x14ac:dyDescent="0.3">
      <c r="A3222" s="20">
        <v>45452.804167000002</v>
      </c>
      <c r="B3222" s="17">
        <v>60.934837999999999</v>
      </c>
      <c r="C3222" s="18"/>
      <c r="D3222" s="19"/>
    </row>
    <row r="3223" spans="1:4" x14ac:dyDescent="0.3">
      <c r="A3223" s="20">
        <v>45452.804860999997</v>
      </c>
      <c r="B3223" s="17">
        <v>61.715304000000003</v>
      </c>
      <c r="C3223" s="18"/>
      <c r="D3223" s="19"/>
    </row>
    <row r="3224" spans="1:4" x14ac:dyDescent="0.3">
      <c r="A3224" s="20">
        <v>45452.805555999999</v>
      </c>
      <c r="B3224" s="17">
        <v>61.373553000000001</v>
      </c>
      <c r="C3224" s="18"/>
      <c r="D3224" s="19"/>
    </row>
    <row r="3225" spans="1:4" x14ac:dyDescent="0.3">
      <c r="A3225" s="20">
        <v>45452.806250000001</v>
      </c>
      <c r="B3225" s="17">
        <v>61.695441000000002</v>
      </c>
      <c r="C3225" s="18"/>
      <c r="D3225" s="19"/>
    </row>
    <row r="3226" spans="1:4" x14ac:dyDescent="0.3">
      <c r="A3226" s="20">
        <v>45452.806944000004</v>
      </c>
      <c r="B3226" s="17">
        <v>60.848613999999998</v>
      </c>
      <c r="C3226" s="18"/>
      <c r="D3226" s="19"/>
    </row>
    <row r="3227" spans="1:4" x14ac:dyDescent="0.3">
      <c r="A3227" s="20">
        <v>45452.807638999999</v>
      </c>
      <c r="B3227" s="17">
        <v>61.074666999999998</v>
      </c>
      <c r="C3227" s="18"/>
      <c r="D3227" s="19"/>
    </row>
    <row r="3228" spans="1:4" x14ac:dyDescent="0.3">
      <c r="A3228" s="20">
        <v>45452.808333000001</v>
      </c>
      <c r="B3228" s="17">
        <v>61.423523000000003</v>
      </c>
      <c r="C3228" s="18"/>
      <c r="D3228" s="19"/>
    </row>
    <row r="3229" spans="1:4" x14ac:dyDescent="0.3">
      <c r="A3229" s="20">
        <v>45452.809028000003</v>
      </c>
      <c r="B3229" s="17">
        <v>61.158831999999997</v>
      </c>
      <c r="C3229" s="18"/>
      <c r="D3229" s="19"/>
    </row>
    <row r="3230" spans="1:4" x14ac:dyDescent="0.3">
      <c r="A3230" s="20">
        <v>45452.809721999998</v>
      </c>
      <c r="B3230" s="17">
        <v>61.292831999999997</v>
      </c>
      <c r="C3230" s="18"/>
      <c r="D3230" s="19"/>
    </row>
    <row r="3231" spans="1:4" x14ac:dyDescent="0.3">
      <c r="A3231" s="20">
        <v>45452.810417000001</v>
      </c>
      <c r="B3231" s="17">
        <v>61.524769999999997</v>
      </c>
      <c r="C3231" s="18"/>
      <c r="D3231" s="19"/>
    </row>
    <row r="3232" spans="1:4" x14ac:dyDescent="0.3">
      <c r="A3232" s="20">
        <v>45452.811111000003</v>
      </c>
      <c r="B3232" s="17">
        <v>61.279758999999999</v>
      </c>
      <c r="C3232" s="18"/>
      <c r="D3232" s="19"/>
    </row>
    <row r="3233" spans="1:4" x14ac:dyDescent="0.3">
      <c r="A3233" s="20">
        <v>45452.811805999998</v>
      </c>
      <c r="B3233" s="17">
        <v>61.607695</v>
      </c>
      <c r="C3233" s="18"/>
      <c r="D3233" s="19"/>
    </row>
    <row r="3234" spans="1:4" x14ac:dyDescent="0.3">
      <c r="A3234" s="20">
        <v>45452.8125</v>
      </c>
      <c r="B3234" s="17">
        <v>61.360768999999998</v>
      </c>
      <c r="C3234" s="18"/>
      <c r="D3234" s="19"/>
    </row>
    <row r="3235" spans="1:4" x14ac:dyDescent="0.3">
      <c r="A3235" s="20">
        <v>45452.813194000002</v>
      </c>
      <c r="B3235" s="17">
        <v>61.308224000000003</v>
      </c>
      <c r="C3235" s="18"/>
      <c r="D3235" s="19"/>
    </row>
    <row r="3236" spans="1:4" x14ac:dyDescent="0.3">
      <c r="A3236" s="20">
        <v>45452.813888999997</v>
      </c>
      <c r="B3236" s="17">
        <v>61.221620999999999</v>
      </c>
      <c r="C3236" s="18"/>
      <c r="D3236" s="19"/>
    </row>
    <row r="3237" spans="1:4" x14ac:dyDescent="0.3">
      <c r="A3237" s="20">
        <v>45452.814582999999</v>
      </c>
      <c r="B3237" s="17">
        <v>61.022803000000003</v>
      </c>
      <c r="C3237" s="18"/>
      <c r="D3237" s="19"/>
    </row>
    <row r="3238" spans="1:4" x14ac:dyDescent="0.3">
      <c r="A3238" s="20">
        <v>45452.815278000002</v>
      </c>
      <c r="B3238" s="17">
        <v>61.388075000000001</v>
      </c>
      <c r="C3238" s="18"/>
      <c r="D3238" s="19"/>
    </row>
    <row r="3239" spans="1:4" x14ac:dyDescent="0.3">
      <c r="A3239" s="20">
        <v>45452.815971999997</v>
      </c>
      <c r="B3239" s="17">
        <v>60.915641000000001</v>
      </c>
      <c r="C3239" s="18"/>
      <c r="D3239" s="19"/>
    </row>
    <row r="3240" spans="1:4" x14ac:dyDescent="0.3">
      <c r="A3240" s="20">
        <v>45452.816666999999</v>
      </c>
      <c r="B3240" s="17">
        <v>61.676982000000002</v>
      </c>
      <c r="C3240" s="18"/>
      <c r="D3240" s="19"/>
    </row>
    <row r="3241" spans="1:4" x14ac:dyDescent="0.3">
      <c r="A3241" s="20">
        <v>45452.817361000001</v>
      </c>
      <c r="B3241" s="17">
        <v>61.509416000000002</v>
      </c>
      <c r="C3241" s="18"/>
      <c r="D3241" s="19"/>
    </row>
    <row r="3242" spans="1:4" x14ac:dyDescent="0.3">
      <c r="A3242" s="20">
        <v>45452.818055999996</v>
      </c>
      <c r="B3242" s="17">
        <v>61.647633999999996</v>
      </c>
      <c r="C3242" s="18"/>
      <c r="D3242" s="19"/>
    </row>
    <row r="3243" spans="1:4" x14ac:dyDescent="0.3">
      <c r="A3243" s="20">
        <v>45452.818749999999</v>
      </c>
      <c r="B3243" s="17">
        <v>61.062392000000003</v>
      </c>
      <c r="C3243" s="18"/>
      <c r="D3243" s="19"/>
    </row>
    <row r="3244" spans="1:4" x14ac:dyDescent="0.3">
      <c r="A3244" s="20">
        <v>45452.819444000001</v>
      </c>
      <c r="B3244" s="17">
        <v>61.745452</v>
      </c>
      <c r="C3244" s="18"/>
      <c r="D3244" s="19"/>
    </row>
    <row r="3245" spans="1:4" x14ac:dyDescent="0.3">
      <c r="A3245" s="20">
        <v>45452.820139000003</v>
      </c>
      <c r="B3245" s="17">
        <v>61.273682999999998</v>
      </c>
      <c r="C3245" s="18"/>
      <c r="D3245" s="19"/>
    </row>
    <row r="3246" spans="1:4" x14ac:dyDescent="0.3">
      <c r="A3246" s="20">
        <v>45452.820832999998</v>
      </c>
      <c r="B3246" s="17">
        <v>61.192852999999999</v>
      </c>
      <c r="C3246" s="18"/>
      <c r="D3246" s="19"/>
    </row>
    <row r="3247" spans="1:4" x14ac:dyDescent="0.3">
      <c r="A3247" s="20">
        <v>45452.821528</v>
      </c>
      <c r="B3247" s="17">
        <v>61.390996000000001</v>
      </c>
      <c r="C3247" s="18"/>
      <c r="D3247" s="19"/>
    </row>
    <row r="3248" spans="1:4" x14ac:dyDescent="0.3">
      <c r="A3248" s="20">
        <v>45452.822222000003</v>
      </c>
      <c r="B3248" s="17">
        <v>62.079937999999999</v>
      </c>
      <c r="C3248" s="18"/>
      <c r="D3248" s="19"/>
    </row>
    <row r="3249" spans="1:4" x14ac:dyDescent="0.3">
      <c r="A3249" s="20">
        <v>45452.822916999998</v>
      </c>
      <c r="B3249" s="17">
        <v>61.585012999999996</v>
      </c>
      <c r="C3249" s="18"/>
      <c r="D3249" s="19"/>
    </row>
    <row r="3250" spans="1:4" x14ac:dyDescent="0.3">
      <c r="A3250" s="20">
        <v>45452.823611</v>
      </c>
      <c r="B3250" s="17">
        <v>61.141821</v>
      </c>
      <c r="C3250" s="18"/>
      <c r="D3250" s="19"/>
    </row>
    <row r="3251" spans="1:4" x14ac:dyDescent="0.3">
      <c r="A3251" s="20">
        <v>45452.824306000002</v>
      </c>
      <c r="B3251" s="17">
        <v>60.949337</v>
      </c>
      <c r="C3251" s="18"/>
      <c r="D3251" s="19"/>
    </row>
    <row r="3252" spans="1:4" x14ac:dyDescent="0.3">
      <c r="A3252" s="20">
        <v>45452.824999999997</v>
      </c>
      <c r="B3252" s="17">
        <v>61.699178000000003</v>
      </c>
      <c r="C3252" s="18"/>
      <c r="D3252" s="19"/>
    </row>
    <row r="3253" spans="1:4" x14ac:dyDescent="0.3">
      <c r="A3253" s="20">
        <v>45452.825693999999</v>
      </c>
      <c r="B3253" s="17">
        <v>61.234034999999999</v>
      </c>
      <c r="C3253" s="18"/>
      <c r="D3253" s="19"/>
    </row>
    <row r="3254" spans="1:4" x14ac:dyDescent="0.3">
      <c r="A3254" s="20">
        <v>45452.826389000002</v>
      </c>
      <c r="B3254" s="17">
        <v>60.904687000000003</v>
      </c>
      <c r="C3254" s="18"/>
      <c r="D3254" s="19"/>
    </row>
    <row r="3255" spans="1:4" x14ac:dyDescent="0.3">
      <c r="A3255" s="20">
        <v>45452.827082999996</v>
      </c>
      <c r="B3255" s="17">
        <v>61.401417000000002</v>
      </c>
      <c r="C3255" s="18"/>
      <c r="D3255" s="19"/>
    </row>
    <row r="3256" spans="1:4" x14ac:dyDescent="0.3">
      <c r="A3256" s="20">
        <v>45452.827777999999</v>
      </c>
      <c r="B3256" s="17">
        <v>61.054698999999999</v>
      </c>
      <c r="C3256" s="18"/>
      <c r="D3256" s="19"/>
    </row>
    <row r="3257" spans="1:4" x14ac:dyDescent="0.3">
      <c r="A3257" s="20">
        <v>45452.828472000001</v>
      </c>
      <c r="B3257" s="17">
        <v>61.633330999999998</v>
      </c>
      <c r="C3257" s="18"/>
      <c r="D3257" s="19"/>
    </row>
    <row r="3258" spans="1:4" x14ac:dyDescent="0.3">
      <c r="A3258" s="20">
        <v>45452.829167000004</v>
      </c>
      <c r="B3258" s="17">
        <v>61.277244000000003</v>
      </c>
      <c r="C3258" s="18"/>
      <c r="D3258" s="19"/>
    </row>
    <row r="3259" spans="1:4" x14ac:dyDescent="0.3">
      <c r="A3259" s="20">
        <v>45452.829860999998</v>
      </c>
      <c r="B3259" s="17">
        <v>62.192934000000001</v>
      </c>
      <c r="C3259" s="18"/>
      <c r="D3259" s="19"/>
    </row>
    <row r="3260" spans="1:4" x14ac:dyDescent="0.3">
      <c r="A3260" s="20">
        <v>45452.830556000001</v>
      </c>
      <c r="B3260" s="17">
        <v>60.869531000000002</v>
      </c>
      <c r="C3260" s="18"/>
      <c r="D3260" s="19"/>
    </row>
    <row r="3261" spans="1:4" x14ac:dyDescent="0.3">
      <c r="A3261" s="20">
        <v>45452.831250000003</v>
      </c>
      <c r="B3261" s="17">
        <v>61.497881</v>
      </c>
      <c r="C3261" s="18"/>
      <c r="D3261" s="19"/>
    </row>
    <row r="3262" spans="1:4" x14ac:dyDescent="0.3">
      <c r="A3262" s="20">
        <v>45452.831943999998</v>
      </c>
      <c r="B3262" s="17">
        <v>62.015816000000001</v>
      </c>
      <c r="C3262" s="18"/>
      <c r="D3262" s="19"/>
    </row>
    <row r="3263" spans="1:4" x14ac:dyDescent="0.3">
      <c r="A3263" s="20">
        <v>45452.832639</v>
      </c>
      <c r="B3263" s="17">
        <v>61.345292000000001</v>
      </c>
      <c r="C3263" s="18"/>
      <c r="D3263" s="19"/>
    </row>
    <row r="3264" spans="1:4" x14ac:dyDescent="0.3">
      <c r="A3264" s="20">
        <v>45452.833333000002</v>
      </c>
      <c r="B3264" s="17">
        <v>61.004379</v>
      </c>
      <c r="C3264" s="18"/>
      <c r="D3264" s="19"/>
    </row>
    <row r="3265" spans="1:4" x14ac:dyDescent="0.3">
      <c r="A3265" s="20">
        <v>45452.834027999997</v>
      </c>
      <c r="B3265" s="17">
        <v>61.232954999999997</v>
      </c>
      <c r="C3265" s="18"/>
      <c r="D3265" s="19"/>
    </row>
    <row r="3266" spans="1:4" x14ac:dyDescent="0.3">
      <c r="A3266" s="20">
        <v>45452.834722</v>
      </c>
      <c r="B3266" s="17">
        <v>61.084842999999999</v>
      </c>
      <c r="C3266" s="18"/>
      <c r="D3266" s="19"/>
    </row>
    <row r="3267" spans="1:4" x14ac:dyDescent="0.3">
      <c r="A3267" s="20">
        <v>45452.835417000002</v>
      </c>
      <c r="B3267" s="17">
        <v>60.917620999999997</v>
      </c>
      <c r="C3267" s="18"/>
      <c r="D3267" s="19"/>
    </row>
    <row r="3268" spans="1:4" x14ac:dyDescent="0.3">
      <c r="A3268" s="20">
        <v>45452.836110999997</v>
      </c>
      <c r="B3268" s="17">
        <v>61.434463000000001</v>
      </c>
      <c r="C3268" s="18"/>
      <c r="D3268" s="19"/>
    </row>
    <row r="3269" spans="1:4" x14ac:dyDescent="0.3">
      <c r="A3269" s="20">
        <v>45452.836805999999</v>
      </c>
      <c r="B3269" s="17">
        <v>61.499640999999997</v>
      </c>
      <c r="C3269" s="18"/>
      <c r="D3269" s="19"/>
    </row>
    <row r="3270" spans="1:4" x14ac:dyDescent="0.3">
      <c r="A3270" s="20">
        <v>45452.837500000001</v>
      </c>
      <c r="B3270" s="17">
        <v>61.850293000000001</v>
      </c>
      <c r="C3270" s="18"/>
      <c r="D3270" s="19"/>
    </row>
    <row r="3271" spans="1:4" x14ac:dyDescent="0.3">
      <c r="A3271" s="20">
        <v>45452.838194000004</v>
      </c>
      <c r="B3271" s="17">
        <v>61.494382000000002</v>
      </c>
      <c r="C3271" s="18"/>
      <c r="D3271" s="19"/>
    </row>
    <row r="3272" spans="1:4" x14ac:dyDescent="0.3">
      <c r="A3272" s="20">
        <v>45452.838888999999</v>
      </c>
      <c r="B3272" s="17">
        <v>61.770041999999997</v>
      </c>
      <c r="C3272" s="18"/>
      <c r="D3272" s="19"/>
    </row>
    <row r="3273" spans="1:4" x14ac:dyDescent="0.3">
      <c r="A3273" s="20">
        <v>45452.839583000001</v>
      </c>
      <c r="B3273" s="17">
        <v>62.298098000000003</v>
      </c>
      <c r="C3273" s="18"/>
      <c r="D3273" s="19"/>
    </row>
    <row r="3274" spans="1:4" x14ac:dyDescent="0.3">
      <c r="A3274" s="20">
        <v>45452.840278000003</v>
      </c>
      <c r="B3274" s="17">
        <v>61.599311999999998</v>
      </c>
      <c r="C3274" s="18"/>
      <c r="D3274" s="19"/>
    </row>
    <row r="3275" spans="1:4" x14ac:dyDescent="0.3">
      <c r="A3275" s="20">
        <v>45452.840971999998</v>
      </c>
      <c r="B3275" s="17">
        <v>61.195003999999997</v>
      </c>
      <c r="C3275" s="18"/>
      <c r="D3275" s="19"/>
    </row>
    <row r="3276" spans="1:4" x14ac:dyDescent="0.3">
      <c r="A3276" s="20">
        <v>45452.841667000001</v>
      </c>
      <c r="B3276" s="17">
        <v>61.593696999999999</v>
      </c>
      <c r="C3276" s="18"/>
      <c r="D3276" s="19"/>
    </row>
    <row r="3277" spans="1:4" x14ac:dyDescent="0.3">
      <c r="A3277" s="20">
        <v>45452.842361000003</v>
      </c>
      <c r="B3277" s="17">
        <v>61.625534999999999</v>
      </c>
      <c r="C3277" s="18"/>
      <c r="D3277" s="19"/>
    </row>
    <row r="3278" spans="1:4" x14ac:dyDescent="0.3">
      <c r="A3278" s="20">
        <v>45452.843055999998</v>
      </c>
      <c r="B3278" s="17">
        <v>61.779111999999998</v>
      </c>
      <c r="C3278" s="18"/>
      <c r="D3278" s="19"/>
    </row>
    <row r="3279" spans="1:4" x14ac:dyDescent="0.3">
      <c r="A3279" s="20">
        <v>45452.84375</v>
      </c>
      <c r="B3279" s="17">
        <v>61.479731000000001</v>
      </c>
      <c r="C3279" s="18"/>
      <c r="D3279" s="19"/>
    </row>
    <row r="3280" spans="1:4" x14ac:dyDescent="0.3">
      <c r="A3280" s="20">
        <v>45452.844444000002</v>
      </c>
      <c r="B3280" s="17">
        <v>61.347904999999997</v>
      </c>
      <c r="C3280" s="18"/>
      <c r="D3280" s="19"/>
    </row>
    <row r="3281" spans="1:4" x14ac:dyDescent="0.3">
      <c r="A3281" s="20">
        <v>45452.845138999997</v>
      </c>
      <c r="B3281" s="17">
        <v>61.519359000000001</v>
      </c>
      <c r="C3281" s="18"/>
      <c r="D3281" s="19"/>
    </row>
    <row r="3282" spans="1:4" x14ac:dyDescent="0.3">
      <c r="A3282" s="20">
        <v>45452.845832999999</v>
      </c>
      <c r="B3282" s="17">
        <v>60.926594000000001</v>
      </c>
      <c r="C3282" s="18"/>
      <c r="D3282" s="19"/>
    </row>
    <row r="3283" spans="1:4" x14ac:dyDescent="0.3">
      <c r="A3283" s="20">
        <v>45452.846528000002</v>
      </c>
      <c r="B3283" s="17">
        <v>61.573715999999997</v>
      </c>
      <c r="C3283" s="18"/>
      <c r="D3283" s="19"/>
    </row>
    <row r="3284" spans="1:4" x14ac:dyDescent="0.3">
      <c r="A3284" s="20">
        <v>45452.847221999997</v>
      </c>
      <c r="B3284" s="17">
        <v>61.507742999999998</v>
      </c>
      <c r="C3284" s="18"/>
      <c r="D3284" s="19"/>
    </row>
    <row r="3285" spans="1:4" x14ac:dyDescent="0.3">
      <c r="A3285" s="20">
        <v>45452.847916999999</v>
      </c>
      <c r="B3285" s="17">
        <v>61.883698000000003</v>
      </c>
      <c r="C3285" s="18"/>
      <c r="D3285" s="19"/>
    </row>
    <row r="3286" spans="1:4" x14ac:dyDescent="0.3">
      <c r="A3286" s="20">
        <v>45452.848611000001</v>
      </c>
      <c r="B3286" s="17">
        <v>61.203633000000004</v>
      </c>
      <c r="C3286" s="18"/>
      <c r="D3286" s="19"/>
    </row>
    <row r="3287" spans="1:4" x14ac:dyDescent="0.3">
      <c r="A3287" s="20">
        <v>45452.849305999996</v>
      </c>
      <c r="B3287" s="17">
        <v>61.514620000000001</v>
      </c>
      <c r="C3287" s="18"/>
      <c r="D3287" s="19"/>
    </row>
    <row r="3288" spans="1:4" x14ac:dyDescent="0.3">
      <c r="A3288" s="20">
        <v>45452.85</v>
      </c>
      <c r="B3288" s="17">
        <v>61.250284999999998</v>
      </c>
      <c r="C3288" s="18"/>
      <c r="D3288" s="19"/>
    </row>
    <row r="3289" spans="1:4" x14ac:dyDescent="0.3">
      <c r="A3289" s="20">
        <v>45452.850694000001</v>
      </c>
      <c r="B3289" s="17">
        <v>61.629404999999998</v>
      </c>
      <c r="C3289" s="18"/>
      <c r="D3289" s="19"/>
    </row>
    <row r="3290" spans="1:4" x14ac:dyDescent="0.3">
      <c r="A3290" s="20">
        <v>45452.851389000003</v>
      </c>
      <c r="B3290" s="17">
        <v>61.495534999999997</v>
      </c>
      <c r="C3290" s="18"/>
      <c r="D3290" s="19"/>
    </row>
    <row r="3291" spans="1:4" x14ac:dyDescent="0.3">
      <c r="A3291" s="20">
        <v>45452.852082999998</v>
      </c>
      <c r="B3291" s="17">
        <v>61.415883999999998</v>
      </c>
      <c r="C3291" s="18"/>
      <c r="D3291" s="19"/>
    </row>
    <row r="3292" spans="1:4" x14ac:dyDescent="0.3">
      <c r="A3292" s="20">
        <v>45452.852778</v>
      </c>
      <c r="B3292" s="17">
        <v>61.289591999999999</v>
      </c>
      <c r="C3292" s="18"/>
      <c r="D3292" s="19"/>
    </row>
    <row r="3293" spans="1:4" x14ac:dyDescent="0.3">
      <c r="A3293" s="20">
        <v>45452.853472000003</v>
      </c>
      <c r="B3293" s="17">
        <v>60.552489000000001</v>
      </c>
      <c r="C3293" s="18"/>
      <c r="D3293" s="19"/>
    </row>
    <row r="3294" spans="1:4" x14ac:dyDescent="0.3">
      <c r="A3294" s="20">
        <v>45452.854166999998</v>
      </c>
      <c r="B3294" s="17">
        <v>62.030186999999998</v>
      </c>
      <c r="C3294" s="18"/>
      <c r="D3294" s="19"/>
    </row>
    <row r="3295" spans="1:4" x14ac:dyDescent="0.3">
      <c r="A3295" s="20">
        <v>45452.854861</v>
      </c>
      <c r="B3295" s="17">
        <v>61.013094000000002</v>
      </c>
      <c r="C3295" s="18"/>
      <c r="D3295" s="19"/>
    </row>
    <row r="3296" spans="1:4" x14ac:dyDescent="0.3">
      <c r="A3296" s="20">
        <v>45452.855556000002</v>
      </c>
      <c r="B3296" s="17">
        <v>61.126175000000003</v>
      </c>
      <c r="C3296" s="18"/>
      <c r="D3296" s="19"/>
    </row>
    <row r="3297" spans="1:4" x14ac:dyDescent="0.3">
      <c r="A3297" s="20">
        <v>45452.856249999997</v>
      </c>
      <c r="B3297" s="17">
        <v>61.32835</v>
      </c>
      <c r="C3297" s="18"/>
      <c r="D3297" s="19"/>
    </row>
    <row r="3298" spans="1:4" x14ac:dyDescent="0.3">
      <c r="A3298" s="20">
        <v>45452.856943999999</v>
      </c>
      <c r="B3298" s="17">
        <v>62.031314000000002</v>
      </c>
      <c r="C3298" s="18"/>
      <c r="D3298" s="19"/>
    </row>
    <row r="3299" spans="1:4" x14ac:dyDescent="0.3">
      <c r="A3299" s="20">
        <v>45452.857639000002</v>
      </c>
      <c r="B3299" s="17">
        <v>61.593808000000003</v>
      </c>
      <c r="C3299" s="18"/>
      <c r="D3299" s="19"/>
    </row>
    <row r="3300" spans="1:4" x14ac:dyDescent="0.3">
      <c r="A3300" s="20">
        <v>45452.858332999996</v>
      </c>
      <c r="B3300" s="17">
        <v>61.549550000000004</v>
      </c>
      <c r="C3300" s="18"/>
      <c r="D3300" s="19"/>
    </row>
    <row r="3301" spans="1:4" x14ac:dyDescent="0.3">
      <c r="A3301" s="20">
        <v>45452.859027999999</v>
      </c>
      <c r="B3301" s="17">
        <v>61.996003000000002</v>
      </c>
      <c r="C3301" s="18"/>
      <c r="D3301" s="19"/>
    </row>
    <row r="3302" spans="1:4" x14ac:dyDescent="0.3">
      <c r="A3302" s="20">
        <v>45452.859722000001</v>
      </c>
      <c r="B3302" s="17">
        <v>61.298932999999998</v>
      </c>
      <c r="C3302" s="18"/>
      <c r="D3302" s="19"/>
    </row>
    <row r="3303" spans="1:4" x14ac:dyDescent="0.3">
      <c r="A3303" s="20">
        <v>45452.860417000004</v>
      </c>
      <c r="B3303" s="17">
        <v>61.447508999999997</v>
      </c>
      <c r="C3303" s="18"/>
      <c r="D3303" s="19"/>
    </row>
    <row r="3304" spans="1:4" x14ac:dyDescent="0.3">
      <c r="A3304" s="20">
        <v>45452.861110999998</v>
      </c>
      <c r="B3304" s="17">
        <v>62.040925999999999</v>
      </c>
      <c r="C3304" s="18"/>
      <c r="D3304" s="19"/>
    </row>
    <row r="3305" spans="1:4" x14ac:dyDescent="0.3">
      <c r="A3305" s="20">
        <v>45452.861806000001</v>
      </c>
      <c r="B3305" s="17">
        <v>60.891241999999998</v>
      </c>
      <c r="C3305" s="18"/>
      <c r="D3305" s="19"/>
    </row>
    <row r="3306" spans="1:4" x14ac:dyDescent="0.3">
      <c r="A3306" s="20">
        <v>45452.862500000003</v>
      </c>
      <c r="B3306" s="17">
        <v>61.555031999999997</v>
      </c>
      <c r="C3306" s="18"/>
      <c r="D3306" s="19"/>
    </row>
    <row r="3307" spans="1:4" x14ac:dyDescent="0.3">
      <c r="A3307" s="20">
        <v>45452.863193999998</v>
      </c>
      <c r="B3307" s="17">
        <v>61.775897000000001</v>
      </c>
      <c r="C3307" s="18"/>
      <c r="D3307" s="19"/>
    </row>
    <row r="3308" spans="1:4" x14ac:dyDescent="0.3">
      <c r="A3308" s="20">
        <v>45452.863889</v>
      </c>
      <c r="B3308" s="17">
        <v>61.980612000000001</v>
      </c>
      <c r="C3308" s="18"/>
      <c r="D3308" s="19"/>
    </row>
    <row r="3309" spans="1:4" x14ac:dyDescent="0.3">
      <c r="A3309" s="20">
        <v>45452.864583000002</v>
      </c>
      <c r="B3309" s="17">
        <v>60.862847000000002</v>
      </c>
      <c r="C3309" s="18"/>
      <c r="D3309" s="19"/>
    </row>
    <row r="3310" spans="1:4" x14ac:dyDescent="0.3">
      <c r="A3310" s="20">
        <v>45452.865277999997</v>
      </c>
      <c r="B3310" s="17">
        <v>62.506399000000002</v>
      </c>
      <c r="C3310" s="18"/>
      <c r="D3310" s="19"/>
    </row>
    <row r="3311" spans="1:4" x14ac:dyDescent="0.3">
      <c r="A3311" s="20">
        <v>45452.865972</v>
      </c>
      <c r="B3311" s="17">
        <v>61.649394000000001</v>
      </c>
      <c r="C3311" s="18"/>
      <c r="D3311" s="19"/>
    </row>
    <row r="3312" spans="1:4" x14ac:dyDescent="0.3">
      <c r="A3312" s="20">
        <v>45452.866667000002</v>
      </c>
      <c r="B3312" s="17">
        <v>61.552349999999997</v>
      </c>
      <c r="C3312" s="18"/>
      <c r="D3312" s="19"/>
    </row>
    <row r="3313" spans="1:4" x14ac:dyDescent="0.3">
      <c r="A3313" s="20">
        <v>45452.867360999997</v>
      </c>
      <c r="B3313" s="17">
        <v>61.392443</v>
      </c>
      <c r="C3313" s="18"/>
      <c r="D3313" s="19"/>
    </row>
    <row r="3314" spans="1:4" x14ac:dyDescent="0.3">
      <c r="A3314" s="20">
        <v>45452.868055999999</v>
      </c>
      <c r="B3314" s="17">
        <v>61.050894</v>
      </c>
      <c r="C3314" s="18"/>
      <c r="D3314" s="19"/>
    </row>
    <row r="3315" spans="1:4" x14ac:dyDescent="0.3">
      <c r="A3315" s="20">
        <v>45452.868750000001</v>
      </c>
      <c r="B3315" s="17">
        <v>61.563459000000002</v>
      </c>
      <c r="C3315" s="18"/>
      <c r="D3315" s="19"/>
    </row>
    <row r="3316" spans="1:4" x14ac:dyDescent="0.3">
      <c r="A3316" s="20">
        <v>45452.869444000004</v>
      </c>
      <c r="B3316" s="17">
        <v>61.590415</v>
      </c>
      <c r="C3316" s="18"/>
      <c r="D3316" s="19"/>
    </row>
    <row r="3317" spans="1:4" x14ac:dyDescent="0.3">
      <c r="A3317" s="20">
        <v>45452.870138999999</v>
      </c>
      <c r="B3317" s="17">
        <v>61.685119</v>
      </c>
      <c r="C3317" s="18"/>
      <c r="D3317" s="19"/>
    </row>
    <row r="3318" spans="1:4" x14ac:dyDescent="0.3">
      <c r="A3318" s="20">
        <v>45452.870833000001</v>
      </c>
      <c r="B3318" s="17">
        <v>61.657138000000003</v>
      </c>
      <c r="C3318" s="18"/>
      <c r="D3318" s="19"/>
    </row>
    <row r="3319" spans="1:4" x14ac:dyDescent="0.3">
      <c r="A3319" s="20">
        <v>45452.871528000003</v>
      </c>
      <c r="B3319" s="17">
        <v>60.914791000000001</v>
      </c>
      <c r="C3319" s="18"/>
      <c r="D3319" s="19"/>
    </row>
    <row r="3320" spans="1:4" x14ac:dyDescent="0.3">
      <c r="A3320" s="20">
        <v>45452.872221999998</v>
      </c>
      <c r="B3320" s="17">
        <v>60.936585000000001</v>
      </c>
      <c r="C3320" s="18"/>
      <c r="D3320" s="19"/>
    </row>
    <row r="3321" spans="1:4" x14ac:dyDescent="0.3">
      <c r="A3321" s="20">
        <v>45452.872917000001</v>
      </c>
      <c r="B3321" s="17">
        <v>62.146312000000002</v>
      </c>
      <c r="C3321" s="18"/>
      <c r="D3321" s="19"/>
    </row>
    <row r="3322" spans="1:4" x14ac:dyDescent="0.3">
      <c r="A3322" s="20">
        <v>45452.873611000003</v>
      </c>
      <c r="B3322" s="17">
        <v>61.419578000000001</v>
      </c>
      <c r="C3322" s="18"/>
      <c r="D3322" s="19"/>
    </row>
    <row r="3323" spans="1:4" x14ac:dyDescent="0.3">
      <c r="A3323" s="20">
        <v>45452.874305999998</v>
      </c>
      <c r="B3323" s="17">
        <v>61.182104000000002</v>
      </c>
      <c r="C3323" s="18"/>
      <c r="D3323" s="19"/>
    </row>
    <row r="3324" spans="1:4" x14ac:dyDescent="0.3">
      <c r="A3324" s="20">
        <v>45452.875</v>
      </c>
      <c r="B3324" s="17">
        <v>61.213501000000001</v>
      </c>
      <c r="C3324" s="18"/>
      <c r="D3324" s="19"/>
    </row>
    <row r="3325" spans="1:4" x14ac:dyDescent="0.3">
      <c r="A3325" s="20">
        <v>45452.875694000002</v>
      </c>
      <c r="B3325" s="17">
        <v>62.530907999999997</v>
      </c>
      <c r="C3325" s="18"/>
      <c r="D3325" s="19"/>
    </row>
    <row r="3326" spans="1:4" x14ac:dyDescent="0.3">
      <c r="A3326" s="20">
        <v>45452.876388999997</v>
      </c>
      <c r="B3326" s="17">
        <v>61.218482999999999</v>
      </c>
      <c r="C3326" s="18"/>
      <c r="D3326" s="19"/>
    </row>
    <row r="3327" spans="1:4" x14ac:dyDescent="0.3">
      <c r="A3327" s="20">
        <v>45452.877082999999</v>
      </c>
      <c r="B3327" s="17">
        <v>62.010860000000001</v>
      </c>
      <c r="C3327" s="18"/>
      <c r="D3327" s="19"/>
    </row>
    <row r="3328" spans="1:4" x14ac:dyDescent="0.3">
      <c r="A3328" s="20">
        <v>45452.877778000002</v>
      </c>
      <c r="B3328" s="17">
        <v>61.509501999999998</v>
      </c>
      <c r="C3328" s="18"/>
      <c r="D3328" s="19"/>
    </row>
    <row r="3329" spans="1:4" x14ac:dyDescent="0.3">
      <c r="A3329" s="20">
        <v>45452.878471999997</v>
      </c>
      <c r="B3329" s="17">
        <v>62.193744000000002</v>
      </c>
      <c r="C3329" s="18"/>
      <c r="D3329" s="19"/>
    </row>
    <row r="3330" spans="1:4" x14ac:dyDescent="0.3">
      <c r="A3330" s="20">
        <v>45452.879166999999</v>
      </c>
      <c r="B3330" s="17">
        <v>61.994092000000002</v>
      </c>
      <c r="C3330" s="18"/>
      <c r="D3330" s="19"/>
    </row>
    <row r="3331" spans="1:4" x14ac:dyDescent="0.3">
      <c r="A3331" s="20">
        <v>45452.879861000001</v>
      </c>
      <c r="B3331" s="17">
        <v>61.799138999999997</v>
      </c>
      <c r="C3331" s="18"/>
      <c r="D3331" s="19"/>
    </row>
    <row r="3332" spans="1:4" x14ac:dyDescent="0.3">
      <c r="A3332" s="20">
        <v>45452.880555999996</v>
      </c>
      <c r="B3332" s="17">
        <v>60.948016000000003</v>
      </c>
      <c r="C3332" s="18"/>
      <c r="D3332" s="19"/>
    </row>
    <row r="3333" spans="1:4" x14ac:dyDescent="0.3">
      <c r="A3333" s="20">
        <v>45452.881249999999</v>
      </c>
      <c r="B3333" s="17">
        <v>62.013852</v>
      </c>
      <c r="C3333" s="18"/>
      <c r="D3333" s="19"/>
    </row>
    <row r="3334" spans="1:4" x14ac:dyDescent="0.3">
      <c r="A3334" s="20">
        <v>45452.881944000001</v>
      </c>
      <c r="B3334" s="17">
        <v>61.741599999999998</v>
      </c>
      <c r="C3334" s="18"/>
      <c r="D3334" s="19"/>
    </row>
    <row r="3335" spans="1:4" x14ac:dyDescent="0.3">
      <c r="A3335" s="20">
        <v>45452.882639000003</v>
      </c>
      <c r="B3335" s="17">
        <v>61.126640000000002</v>
      </c>
      <c r="C3335" s="18"/>
      <c r="D3335" s="19"/>
    </row>
    <row r="3336" spans="1:4" x14ac:dyDescent="0.3">
      <c r="A3336" s="20">
        <v>45452.883332999998</v>
      </c>
      <c r="B3336" s="17">
        <v>61.898822000000003</v>
      </c>
      <c r="C3336" s="18"/>
      <c r="D3336" s="19"/>
    </row>
    <row r="3337" spans="1:4" x14ac:dyDescent="0.3">
      <c r="A3337" s="20">
        <v>45452.884028</v>
      </c>
      <c r="B3337" s="17">
        <v>61.104990999999998</v>
      </c>
      <c r="C3337" s="18"/>
      <c r="D3337" s="19"/>
    </row>
    <row r="3338" spans="1:4" x14ac:dyDescent="0.3">
      <c r="A3338" s="20">
        <v>45452.884722000003</v>
      </c>
      <c r="B3338" s="17">
        <v>61.317939000000003</v>
      </c>
      <c r="C3338" s="18"/>
      <c r="D3338" s="19"/>
    </row>
    <row r="3339" spans="1:4" x14ac:dyDescent="0.3">
      <c r="A3339" s="20">
        <v>45452.885416999998</v>
      </c>
      <c r="B3339" s="17">
        <v>61.38006</v>
      </c>
      <c r="C3339" s="18"/>
      <c r="D3339" s="19"/>
    </row>
    <row r="3340" spans="1:4" x14ac:dyDescent="0.3">
      <c r="A3340" s="20">
        <v>45452.886111</v>
      </c>
      <c r="B3340" s="17">
        <v>61.389749999999999</v>
      </c>
      <c r="C3340" s="18"/>
      <c r="D3340" s="19"/>
    </row>
    <row r="3341" spans="1:4" x14ac:dyDescent="0.3">
      <c r="A3341" s="20">
        <v>45452.886806000002</v>
      </c>
      <c r="B3341" s="17">
        <v>61.610450999999998</v>
      </c>
      <c r="C3341" s="18"/>
      <c r="D3341" s="19"/>
    </row>
    <row r="3342" spans="1:4" x14ac:dyDescent="0.3">
      <c r="A3342" s="20">
        <v>45452.887499999997</v>
      </c>
      <c r="B3342" s="17">
        <v>61.510840000000002</v>
      </c>
      <c r="C3342" s="18"/>
      <c r="D3342" s="19"/>
    </row>
    <row r="3343" spans="1:4" x14ac:dyDescent="0.3">
      <c r="A3343" s="20">
        <v>45452.888193999999</v>
      </c>
      <c r="B3343" s="17">
        <v>61.721989000000001</v>
      </c>
      <c r="C3343" s="18"/>
      <c r="D3343" s="19"/>
    </row>
    <row r="3344" spans="1:4" x14ac:dyDescent="0.3">
      <c r="A3344" s="20">
        <v>45452.888889000002</v>
      </c>
      <c r="B3344" s="17">
        <v>62.070329000000001</v>
      </c>
      <c r="C3344" s="18"/>
      <c r="D3344" s="19"/>
    </row>
    <row r="3345" spans="1:4" x14ac:dyDescent="0.3">
      <c r="A3345" s="20">
        <v>45452.889582999996</v>
      </c>
      <c r="B3345" s="17">
        <v>61.994146999999998</v>
      </c>
      <c r="C3345" s="18"/>
      <c r="D3345" s="19"/>
    </row>
    <row r="3346" spans="1:4" x14ac:dyDescent="0.3">
      <c r="A3346" s="20">
        <v>45452.890277999999</v>
      </c>
      <c r="B3346" s="17">
        <v>60.925922</v>
      </c>
      <c r="C3346" s="18"/>
      <c r="D3346" s="19"/>
    </row>
    <row r="3347" spans="1:4" x14ac:dyDescent="0.3">
      <c r="A3347" s="20">
        <v>45452.890972000001</v>
      </c>
      <c r="B3347" s="17">
        <v>62.220987999999998</v>
      </c>
      <c r="C3347" s="18"/>
      <c r="D3347" s="19"/>
    </row>
    <row r="3348" spans="1:4" x14ac:dyDescent="0.3">
      <c r="A3348" s="20">
        <v>45452.891667000004</v>
      </c>
      <c r="B3348" s="17">
        <v>61.550362</v>
      </c>
      <c r="C3348" s="18"/>
      <c r="D3348" s="19"/>
    </row>
    <row r="3349" spans="1:4" x14ac:dyDescent="0.3">
      <c r="A3349" s="20">
        <v>45452.892360999998</v>
      </c>
      <c r="B3349" s="17">
        <v>61.321542999999998</v>
      </c>
      <c r="C3349" s="18"/>
      <c r="D3349" s="19"/>
    </row>
    <row r="3350" spans="1:4" x14ac:dyDescent="0.3">
      <c r="A3350" s="20">
        <v>45452.893056000001</v>
      </c>
      <c r="B3350" s="17">
        <v>61.485630999999998</v>
      </c>
      <c r="C3350" s="18"/>
      <c r="D3350" s="19"/>
    </row>
    <row r="3351" spans="1:4" x14ac:dyDescent="0.3">
      <c r="A3351" s="20">
        <v>45452.893750000003</v>
      </c>
      <c r="B3351" s="17">
        <v>60.844889000000002</v>
      </c>
      <c r="C3351" s="18"/>
      <c r="D3351" s="19"/>
    </row>
    <row r="3352" spans="1:4" x14ac:dyDescent="0.3">
      <c r="A3352" s="20">
        <v>45452.894443999998</v>
      </c>
      <c r="B3352" s="17">
        <v>61.230629999999998</v>
      </c>
      <c r="C3352" s="18"/>
      <c r="D3352" s="19"/>
    </row>
    <row r="3353" spans="1:4" x14ac:dyDescent="0.3">
      <c r="A3353" s="20">
        <v>45452.895139</v>
      </c>
      <c r="B3353" s="17">
        <v>61.427787000000002</v>
      </c>
      <c r="C3353" s="18"/>
      <c r="D3353" s="19"/>
    </row>
    <row r="3354" spans="1:4" x14ac:dyDescent="0.3">
      <c r="A3354" s="20">
        <v>45452.895833000002</v>
      </c>
      <c r="B3354" s="17">
        <v>61.505429999999997</v>
      </c>
      <c r="C3354" s="18"/>
      <c r="D3354" s="19"/>
    </row>
    <row r="3355" spans="1:4" x14ac:dyDescent="0.3">
      <c r="A3355" s="20">
        <v>45452.896527999997</v>
      </c>
      <c r="B3355" s="17">
        <v>61.846581999999998</v>
      </c>
      <c r="C3355" s="18"/>
      <c r="D3355" s="19"/>
    </row>
    <row r="3356" spans="1:4" x14ac:dyDescent="0.3">
      <c r="A3356" s="20">
        <v>45452.897222</v>
      </c>
      <c r="B3356" s="17">
        <v>62.228833999999999</v>
      </c>
      <c r="C3356" s="18"/>
      <c r="D3356" s="19"/>
    </row>
    <row r="3357" spans="1:4" x14ac:dyDescent="0.3">
      <c r="A3357" s="20">
        <v>45452.897917000002</v>
      </c>
      <c r="B3357" s="17">
        <v>61.524554000000002</v>
      </c>
      <c r="C3357" s="18"/>
      <c r="D3357" s="19"/>
    </row>
    <row r="3358" spans="1:4" x14ac:dyDescent="0.3">
      <c r="A3358" s="20">
        <v>45452.898610999997</v>
      </c>
      <c r="B3358" s="17">
        <v>62.044164000000002</v>
      </c>
      <c r="C3358" s="18"/>
      <c r="D3358" s="19"/>
    </row>
    <row r="3359" spans="1:4" x14ac:dyDescent="0.3">
      <c r="A3359" s="20">
        <v>45452.899305999999</v>
      </c>
      <c r="B3359" s="17">
        <v>61.701329999999999</v>
      </c>
      <c r="C3359" s="18"/>
      <c r="D3359" s="19"/>
    </row>
    <row r="3360" spans="1:4" x14ac:dyDescent="0.3">
      <c r="A3360" s="20">
        <v>45452.9</v>
      </c>
      <c r="B3360" s="17">
        <v>61.595790000000001</v>
      </c>
      <c r="C3360" s="18"/>
      <c r="D3360" s="19"/>
    </row>
    <row r="3361" spans="1:4" x14ac:dyDescent="0.3">
      <c r="A3361" s="20">
        <v>45452.900694000004</v>
      </c>
      <c r="B3361" s="17">
        <v>60.717742999999999</v>
      </c>
      <c r="C3361" s="18"/>
      <c r="D3361" s="19"/>
    </row>
    <row r="3362" spans="1:4" x14ac:dyDescent="0.3">
      <c r="A3362" s="20">
        <v>45452.901388999999</v>
      </c>
      <c r="B3362" s="17">
        <v>61.907938000000001</v>
      </c>
      <c r="C3362" s="18"/>
      <c r="D3362" s="19"/>
    </row>
    <row r="3363" spans="1:4" x14ac:dyDescent="0.3">
      <c r="A3363" s="20">
        <v>45452.902083000001</v>
      </c>
      <c r="B3363" s="17">
        <v>61.438662000000001</v>
      </c>
      <c r="C3363" s="18"/>
      <c r="D3363" s="19"/>
    </row>
    <row r="3364" spans="1:4" x14ac:dyDescent="0.3">
      <c r="A3364" s="20">
        <v>45452.902778000003</v>
      </c>
      <c r="B3364" s="17">
        <v>61.443632000000001</v>
      </c>
      <c r="C3364" s="18"/>
      <c r="D3364" s="19"/>
    </row>
    <row r="3365" spans="1:4" x14ac:dyDescent="0.3">
      <c r="A3365" s="20">
        <v>45452.903471999998</v>
      </c>
      <c r="B3365" s="17">
        <v>61.892178999999999</v>
      </c>
      <c r="C3365" s="18"/>
      <c r="D3365" s="19"/>
    </row>
    <row r="3366" spans="1:4" x14ac:dyDescent="0.3">
      <c r="A3366" s="20">
        <v>45452.904167000001</v>
      </c>
      <c r="B3366" s="17">
        <v>61.799674000000003</v>
      </c>
      <c r="C3366" s="18"/>
      <c r="D3366" s="19"/>
    </row>
    <row r="3367" spans="1:4" x14ac:dyDescent="0.3">
      <c r="A3367" s="20">
        <v>45452.904861000003</v>
      </c>
      <c r="B3367" s="17">
        <v>61.836598000000002</v>
      </c>
      <c r="C3367" s="18"/>
      <c r="D3367" s="19"/>
    </row>
    <row r="3368" spans="1:4" x14ac:dyDescent="0.3">
      <c r="A3368" s="20">
        <v>45452.905555999998</v>
      </c>
      <c r="B3368" s="17">
        <v>61.800051000000003</v>
      </c>
      <c r="C3368" s="18"/>
      <c r="D3368" s="19"/>
    </row>
    <row r="3369" spans="1:4" x14ac:dyDescent="0.3">
      <c r="A3369" s="20">
        <v>45452.90625</v>
      </c>
      <c r="B3369" s="17">
        <v>61.545507000000001</v>
      </c>
      <c r="C3369" s="18"/>
      <c r="D3369" s="19"/>
    </row>
    <row r="3370" spans="1:4" x14ac:dyDescent="0.3">
      <c r="A3370" s="20">
        <v>45452.906944000002</v>
      </c>
      <c r="B3370" s="17">
        <v>61.553339999999999</v>
      </c>
      <c r="C3370" s="18"/>
      <c r="D3370" s="19"/>
    </row>
    <row r="3371" spans="1:4" x14ac:dyDescent="0.3">
      <c r="A3371" s="20">
        <v>45452.907638999997</v>
      </c>
      <c r="B3371" s="17">
        <v>61.811360000000001</v>
      </c>
      <c r="C3371" s="18"/>
      <c r="D3371" s="19"/>
    </row>
    <row r="3372" spans="1:4" x14ac:dyDescent="0.3">
      <c r="A3372" s="20">
        <v>45452.908332999999</v>
      </c>
      <c r="B3372" s="17">
        <v>61.963346000000001</v>
      </c>
      <c r="C3372" s="18"/>
      <c r="D3372" s="19"/>
    </row>
    <row r="3373" spans="1:4" x14ac:dyDescent="0.3">
      <c r="A3373" s="20">
        <v>45452.909028000002</v>
      </c>
      <c r="B3373" s="17">
        <v>62.288260999999999</v>
      </c>
      <c r="C3373" s="18"/>
      <c r="D3373" s="19"/>
    </row>
    <row r="3374" spans="1:4" x14ac:dyDescent="0.3">
      <c r="A3374" s="20">
        <v>45452.909721999997</v>
      </c>
      <c r="B3374" s="17">
        <v>61.449997000000003</v>
      </c>
      <c r="C3374" s="18"/>
      <c r="D3374" s="19"/>
    </row>
    <row r="3375" spans="1:4" x14ac:dyDescent="0.3">
      <c r="A3375" s="20">
        <v>45452.910416999999</v>
      </c>
      <c r="B3375" s="17">
        <v>61.557855000000004</v>
      </c>
      <c r="C3375" s="18"/>
      <c r="D3375" s="19"/>
    </row>
    <row r="3376" spans="1:4" x14ac:dyDescent="0.3">
      <c r="A3376" s="20">
        <v>45452.911111000001</v>
      </c>
      <c r="B3376" s="17">
        <v>61.768867999999998</v>
      </c>
      <c r="C3376" s="18"/>
      <c r="D3376" s="19"/>
    </row>
    <row r="3377" spans="1:4" x14ac:dyDescent="0.3">
      <c r="A3377" s="20">
        <v>45452.911805999996</v>
      </c>
      <c r="B3377" s="17">
        <v>61.683087999999998</v>
      </c>
      <c r="C3377" s="18"/>
      <c r="D3377" s="19"/>
    </row>
    <row r="3378" spans="1:4" x14ac:dyDescent="0.3">
      <c r="A3378" s="20">
        <v>45452.912499999999</v>
      </c>
      <c r="B3378" s="17">
        <v>61.635043000000003</v>
      </c>
      <c r="C3378" s="18"/>
      <c r="D3378" s="19"/>
    </row>
    <row r="3379" spans="1:4" x14ac:dyDescent="0.3">
      <c r="A3379" s="20">
        <v>45452.913194000001</v>
      </c>
      <c r="B3379" s="17">
        <v>61.057487000000002</v>
      </c>
      <c r="C3379" s="18"/>
      <c r="D3379" s="19"/>
    </row>
    <row r="3380" spans="1:4" x14ac:dyDescent="0.3">
      <c r="A3380" s="20">
        <v>45452.913889000003</v>
      </c>
      <c r="B3380" s="17">
        <v>61.805456999999997</v>
      </c>
      <c r="C3380" s="18"/>
      <c r="D3380" s="19"/>
    </row>
    <row r="3381" spans="1:4" x14ac:dyDescent="0.3">
      <c r="A3381" s="20">
        <v>45452.914582999998</v>
      </c>
      <c r="B3381" s="17">
        <v>61.608705</v>
      </c>
      <c r="C3381" s="18"/>
      <c r="D3381" s="19"/>
    </row>
    <row r="3382" spans="1:4" x14ac:dyDescent="0.3">
      <c r="A3382" s="20">
        <v>45452.915278</v>
      </c>
      <c r="B3382" s="17">
        <v>61.365571000000003</v>
      </c>
      <c r="C3382" s="18"/>
      <c r="D3382" s="19"/>
    </row>
    <row r="3383" spans="1:4" x14ac:dyDescent="0.3">
      <c r="A3383" s="20">
        <v>45452.915972000003</v>
      </c>
      <c r="B3383" s="17">
        <v>61.339939000000001</v>
      </c>
      <c r="C3383" s="18"/>
      <c r="D3383" s="19"/>
    </row>
    <row r="3384" spans="1:4" x14ac:dyDescent="0.3">
      <c r="A3384" s="20">
        <v>45452.916666999998</v>
      </c>
      <c r="B3384" s="17">
        <v>61.601275000000001</v>
      </c>
      <c r="C3384" s="18"/>
      <c r="D3384" s="19"/>
    </row>
    <row r="3385" spans="1:4" x14ac:dyDescent="0.3">
      <c r="A3385" s="20">
        <v>45452.917361</v>
      </c>
      <c r="B3385" s="17">
        <v>62.002915000000002</v>
      </c>
      <c r="C3385" s="18"/>
      <c r="D3385" s="19"/>
    </row>
    <row r="3386" spans="1:4" x14ac:dyDescent="0.3">
      <c r="A3386" s="20">
        <v>45452.918056000002</v>
      </c>
      <c r="B3386" s="17">
        <v>61.629778999999999</v>
      </c>
      <c r="C3386" s="18"/>
      <c r="D3386" s="19"/>
    </row>
    <row r="3387" spans="1:4" x14ac:dyDescent="0.3">
      <c r="A3387" s="20">
        <v>45452.918749999997</v>
      </c>
      <c r="B3387" s="17">
        <v>61.946598999999999</v>
      </c>
      <c r="C3387" s="18"/>
      <c r="D3387" s="19"/>
    </row>
    <row r="3388" spans="1:4" x14ac:dyDescent="0.3">
      <c r="A3388" s="20">
        <v>45452.919443999999</v>
      </c>
      <c r="B3388" s="17">
        <v>61.561847</v>
      </c>
      <c r="C3388" s="18"/>
      <c r="D3388" s="19"/>
    </row>
    <row r="3389" spans="1:4" x14ac:dyDescent="0.3">
      <c r="A3389" s="20">
        <v>45452.920139000002</v>
      </c>
      <c r="B3389" s="17">
        <v>61.186895</v>
      </c>
      <c r="C3389" s="18"/>
      <c r="D3389" s="19"/>
    </row>
    <row r="3390" spans="1:4" x14ac:dyDescent="0.3">
      <c r="A3390" s="20">
        <v>45452.920832999996</v>
      </c>
      <c r="B3390" s="17">
        <v>61.537055000000002</v>
      </c>
      <c r="C3390" s="18"/>
      <c r="D3390" s="19"/>
    </row>
    <row r="3391" spans="1:4" x14ac:dyDescent="0.3">
      <c r="A3391" s="20">
        <v>45452.921527999999</v>
      </c>
      <c r="B3391" s="17">
        <v>61.107847999999997</v>
      </c>
      <c r="C3391" s="18"/>
      <c r="D3391" s="19"/>
    </row>
    <row r="3392" spans="1:4" x14ac:dyDescent="0.3">
      <c r="A3392" s="20">
        <v>45452.922222000001</v>
      </c>
      <c r="B3392" s="17">
        <v>62.006681999999998</v>
      </c>
      <c r="C3392" s="18"/>
      <c r="D3392" s="19"/>
    </row>
    <row r="3393" spans="1:4" x14ac:dyDescent="0.3">
      <c r="A3393" s="20">
        <v>45452.922917000004</v>
      </c>
      <c r="B3393" s="17">
        <v>62.417684000000001</v>
      </c>
      <c r="C3393" s="18"/>
      <c r="D3393" s="19"/>
    </row>
    <row r="3394" spans="1:4" x14ac:dyDescent="0.3">
      <c r="A3394" s="20">
        <v>45452.923610999998</v>
      </c>
      <c r="B3394" s="17">
        <v>61.050184999999999</v>
      </c>
      <c r="C3394" s="18"/>
      <c r="D3394" s="19"/>
    </row>
    <row r="3395" spans="1:4" x14ac:dyDescent="0.3">
      <c r="A3395" s="20">
        <v>45452.924306000001</v>
      </c>
      <c r="B3395" s="17">
        <v>61.157181000000001</v>
      </c>
      <c r="C3395" s="18"/>
      <c r="D3395" s="19"/>
    </row>
    <row r="3396" spans="1:4" x14ac:dyDescent="0.3">
      <c r="A3396" s="20">
        <v>45452.925000000003</v>
      </c>
      <c r="B3396" s="17">
        <v>61.90531</v>
      </c>
      <c r="C3396" s="18"/>
      <c r="D3396" s="19"/>
    </row>
    <row r="3397" spans="1:4" x14ac:dyDescent="0.3">
      <c r="A3397" s="20">
        <v>45452.925693999998</v>
      </c>
      <c r="B3397" s="17">
        <v>61.518188000000002</v>
      </c>
      <c r="C3397" s="18"/>
      <c r="D3397" s="19"/>
    </row>
    <row r="3398" spans="1:4" x14ac:dyDescent="0.3">
      <c r="A3398" s="20">
        <v>45452.926389</v>
      </c>
      <c r="B3398" s="17">
        <v>62.016232000000002</v>
      </c>
      <c r="C3398" s="18"/>
      <c r="D3398" s="19"/>
    </row>
    <row r="3399" spans="1:4" x14ac:dyDescent="0.3">
      <c r="A3399" s="20">
        <v>45452.927083000002</v>
      </c>
      <c r="B3399" s="17">
        <v>61.646158999999997</v>
      </c>
      <c r="C3399" s="18"/>
      <c r="D3399" s="19"/>
    </row>
    <row r="3400" spans="1:4" x14ac:dyDescent="0.3">
      <c r="A3400" s="20">
        <v>45452.927777999997</v>
      </c>
      <c r="B3400" s="17">
        <v>61.562541000000003</v>
      </c>
      <c r="C3400" s="18"/>
      <c r="D3400" s="19"/>
    </row>
    <row r="3401" spans="1:4" x14ac:dyDescent="0.3">
      <c r="A3401" s="20">
        <v>45452.928472</v>
      </c>
      <c r="B3401" s="17">
        <v>61.347378999999997</v>
      </c>
      <c r="C3401" s="18"/>
      <c r="D3401" s="19"/>
    </row>
    <row r="3402" spans="1:4" x14ac:dyDescent="0.3">
      <c r="A3402" s="20">
        <v>45452.929167000002</v>
      </c>
      <c r="B3402" s="17">
        <v>61.51661</v>
      </c>
      <c r="C3402" s="18"/>
      <c r="D3402" s="19"/>
    </row>
    <row r="3403" spans="1:4" x14ac:dyDescent="0.3">
      <c r="A3403" s="20">
        <v>45452.929860999997</v>
      </c>
      <c r="B3403" s="17">
        <v>61.815145999999999</v>
      </c>
      <c r="C3403" s="18"/>
      <c r="D3403" s="19"/>
    </row>
    <row r="3404" spans="1:4" x14ac:dyDescent="0.3">
      <c r="A3404" s="20">
        <v>45452.930555999999</v>
      </c>
      <c r="B3404" s="17">
        <v>61.458280000000002</v>
      </c>
      <c r="C3404" s="18"/>
      <c r="D3404" s="19"/>
    </row>
    <row r="3405" spans="1:4" x14ac:dyDescent="0.3">
      <c r="A3405" s="20">
        <v>45452.931250000001</v>
      </c>
      <c r="B3405" s="17">
        <v>61.891255000000001</v>
      </c>
      <c r="C3405" s="18"/>
      <c r="D3405" s="19"/>
    </row>
    <row r="3406" spans="1:4" x14ac:dyDescent="0.3">
      <c r="A3406" s="20">
        <v>45452.931944000004</v>
      </c>
      <c r="B3406" s="17">
        <v>62.257548</v>
      </c>
      <c r="C3406" s="18"/>
      <c r="D3406" s="19"/>
    </row>
    <row r="3407" spans="1:4" x14ac:dyDescent="0.3">
      <c r="A3407" s="20">
        <v>45452.932638999999</v>
      </c>
      <c r="B3407" s="17">
        <v>61.914020000000001</v>
      </c>
      <c r="C3407" s="18"/>
      <c r="D3407" s="19"/>
    </row>
    <row r="3408" spans="1:4" x14ac:dyDescent="0.3">
      <c r="A3408" s="20">
        <v>45452.933333000001</v>
      </c>
      <c r="B3408" s="17">
        <v>62.061397999999997</v>
      </c>
      <c r="C3408" s="18"/>
      <c r="D3408" s="19"/>
    </row>
    <row r="3409" spans="1:4" x14ac:dyDescent="0.3">
      <c r="A3409" s="20">
        <v>45452.934028000003</v>
      </c>
      <c r="B3409" s="17">
        <v>61.759990000000002</v>
      </c>
      <c r="C3409" s="18"/>
      <c r="D3409" s="19"/>
    </row>
    <row r="3410" spans="1:4" x14ac:dyDescent="0.3">
      <c r="A3410" s="20">
        <v>45452.934721999998</v>
      </c>
      <c r="B3410" s="17">
        <v>62.337130000000002</v>
      </c>
      <c r="C3410" s="18"/>
      <c r="D3410" s="19"/>
    </row>
    <row r="3411" spans="1:4" x14ac:dyDescent="0.3">
      <c r="A3411" s="20">
        <v>45452.935417000001</v>
      </c>
      <c r="B3411" s="17">
        <v>61.690066999999999</v>
      </c>
      <c r="C3411" s="18"/>
      <c r="D3411" s="19"/>
    </row>
    <row r="3412" spans="1:4" x14ac:dyDescent="0.3">
      <c r="A3412" s="20">
        <v>45452.936111000003</v>
      </c>
      <c r="B3412" s="17">
        <v>61.845187000000003</v>
      </c>
      <c r="C3412" s="18"/>
      <c r="D3412" s="19"/>
    </row>
    <row r="3413" spans="1:4" x14ac:dyDescent="0.3">
      <c r="A3413" s="20">
        <v>45452.936805999998</v>
      </c>
      <c r="B3413" s="17">
        <v>60.553871999999998</v>
      </c>
      <c r="C3413" s="18"/>
      <c r="D3413" s="19"/>
    </row>
    <row r="3414" spans="1:4" x14ac:dyDescent="0.3">
      <c r="A3414" s="20">
        <v>45452.9375</v>
      </c>
      <c r="B3414" s="17">
        <v>61.514674999999997</v>
      </c>
      <c r="C3414" s="18"/>
      <c r="D3414" s="19"/>
    </row>
    <row r="3415" spans="1:4" x14ac:dyDescent="0.3">
      <c r="A3415" s="20">
        <v>45452.938194000002</v>
      </c>
      <c r="B3415" s="17">
        <v>61.147222999999997</v>
      </c>
      <c r="C3415" s="18"/>
      <c r="D3415" s="19"/>
    </row>
    <row r="3416" spans="1:4" x14ac:dyDescent="0.3">
      <c r="A3416" s="20">
        <v>45452.938888999997</v>
      </c>
      <c r="B3416" s="17">
        <v>62.051622000000002</v>
      </c>
      <c r="C3416" s="18"/>
      <c r="D3416" s="19"/>
    </row>
    <row r="3417" spans="1:4" x14ac:dyDescent="0.3">
      <c r="A3417" s="20">
        <v>45452.939582999999</v>
      </c>
      <c r="B3417" s="17">
        <v>61.548017999999999</v>
      </c>
      <c r="C3417" s="18"/>
      <c r="D3417" s="19"/>
    </row>
    <row r="3418" spans="1:4" x14ac:dyDescent="0.3">
      <c r="A3418" s="20">
        <v>45452.940278000002</v>
      </c>
      <c r="B3418" s="17">
        <v>61.587918000000002</v>
      </c>
      <c r="C3418" s="18"/>
      <c r="D3418" s="19"/>
    </row>
    <row r="3419" spans="1:4" x14ac:dyDescent="0.3">
      <c r="A3419" s="20">
        <v>45452.940971999997</v>
      </c>
      <c r="B3419" s="17">
        <v>62.110304999999997</v>
      </c>
      <c r="C3419" s="18"/>
      <c r="D3419" s="19"/>
    </row>
    <row r="3420" spans="1:4" x14ac:dyDescent="0.3">
      <c r="A3420" s="20">
        <v>45452.941666999999</v>
      </c>
      <c r="B3420" s="17">
        <v>61.607709</v>
      </c>
      <c r="C3420" s="18"/>
      <c r="D3420" s="19"/>
    </row>
    <row r="3421" spans="1:4" x14ac:dyDescent="0.3">
      <c r="A3421" s="20">
        <v>45452.942361000001</v>
      </c>
      <c r="B3421" s="17">
        <v>61.353375999999997</v>
      </c>
      <c r="C3421" s="18"/>
      <c r="D3421" s="19"/>
    </row>
    <row r="3422" spans="1:4" x14ac:dyDescent="0.3">
      <c r="A3422" s="20">
        <v>45452.943055999996</v>
      </c>
      <c r="B3422" s="17">
        <v>61.047086999999998</v>
      </c>
      <c r="C3422" s="18"/>
      <c r="D3422" s="19"/>
    </row>
    <row r="3423" spans="1:4" x14ac:dyDescent="0.3">
      <c r="A3423" s="20">
        <v>45452.943749999999</v>
      </c>
      <c r="B3423" s="17">
        <v>61.596921000000002</v>
      </c>
      <c r="C3423" s="18"/>
      <c r="D3423" s="19"/>
    </row>
    <row r="3424" spans="1:4" x14ac:dyDescent="0.3">
      <c r="A3424" s="20">
        <v>45452.944444000001</v>
      </c>
      <c r="B3424" s="17">
        <v>61.132551999999997</v>
      </c>
      <c r="C3424" s="18"/>
      <c r="D3424" s="19"/>
    </row>
    <row r="3425" spans="1:4" x14ac:dyDescent="0.3">
      <c r="A3425" s="20">
        <v>45452.945139000003</v>
      </c>
      <c r="B3425" s="17">
        <v>60.905310999999998</v>
      </c>
      <c r="C3425" s="18"/>
      <c r="D3425" s="19"/>
    </row>
    <row r="3426" spans="1:4" x14ac:dyDescent="0.3">
      <c r="A3426" s="20">
        <v>45452.945832999998</v>
      </c>
      <c r="B3426" s="17">
        <v>61.452384000000002</v>
      </c>
      <c r="C3426" s="18"/>
      <c r="D3426" s="19"/>
    </row>
    <row r="3427" spans="1:4" x14ac:dyDescent="0.3">
      <c r="A3427" s="20">
        <v>45452.946528</v>
      </c>
      <c r="B3427" s="17">
        <v>61.439608</v>
      </c>
      <c r="C3427" s="18"/>
      <c r="D3427" s="19"/>
    </row>
    <row r="3428" spans="1:4" x14ac:dyDescent="0.3">
      <c r="A3428" s="20">
        <v>45452.947222000003</v>
      </c>
      <c r="B3428" s="17">
        <v>61.898397000000003</v>
      </c>
      <c r="C3428" s="18"/>
      <c r="D3428" s="19"/>
    </row>
    <row r="3429" spans="1:4" x14ac:dyDescent="0.3">
      <c r="A3429" s="20">
        <v>45452.947916999998</v>
      </c>
      <c r="B3429" s="17">
        <v>61.368411999999999</v>
      </c>
      <c r="C3429" s="18"/>
      <c r="D3429" s="19"/>
    </row>
    <row r="3430" spans="1:4" x14ac:dyDescent="0.3">
      <c r="A3430" s="20">
        <v>45452.948611</v>
      </c>
      <c r="B3430" s="17">
        <v>61.494900999999999</v>
      </c>
      <c r="C3430" s="18"/>
      <c r="D3430" s="19"/>
    </row>
    <row r="3431" spans="1:4" x14ac:dyDescent="0.3">
      <c r="A3431" s="20">
        <v>45452.949306000002</v>
      </c>
      <c r="B3431" s="17">
        <v>61.528519000000003</v>
      </c>
      <c r="C3431" s="18"/>
      <c r="D3431" s="19"/>
    </row>
    <row r="3432" spans="1:4" x14ac:dyDescent="0.3">
      <c r="A3432" s="20">
        <v>45452.95</v>
      </c>
      <c r="B3432" s="17">
        <v>61.302746999999997</v>
      </c>
      <c r="C3432" s="18"/>
      <c r="D3432" s="19"/>
    </row>
    <row r="3433" spans="1:4" x14ac:dyDescent="0.3">
      <c r="A3433" s="20">
        <v>45452.950693999999</v>
      </c>
      <c r="B3433" s="17">
        <v>61.138674000000002</v>
      </c>
      <c r="C3433" s="18"/>
      <c r="D3433" s="19"/>
    </row>
    <row r="3434" spans="1:4" x14ac:dyDescent="0.3">
      <c r="A3434" s="20">
        <v>45452.951389000002</v>
      </c>
      <c r="B3434" s="17">
        <v>61.957579000000003</v>
      </c>
      <c r="C3434" s="18"/>
      <c r="D3434" s="19"/>
    </row>
    <row r="3435" spans="1:4" x14ac:dyDescent="0.3">
      <c r="A3435" s="20">
        <v>45452.952082999996</v>
      </c>
      <c r="B3435" s="17">
        <v>61.657826</v>
      </c>
      <c r="C3435" s="18"/>
      <c r="D3435" s="19"/>
    </row>
    <row r="3436" spans="1:4" x14ac:dyDescent="0.3">
      <c r="A3436" s="20">
        <v>45452.952777999999</v>
      </c>
      <c r="B3436" s="17">
        <v>62.029519000000001</v>
      </c>
      <c r="C3436" s="18"/>
      <c r="D3436" s="19"/>
    </row>
    <row r="3437" spans="1:4" x14ac:dyDescent="0.3">
      <c r="A3437" s="20">
        <v>45452.953472000001</v>
      </c>
      <c r="B3437" s="17">
        <v>61.976018000000003</v>
      </c>
      <c r="C3437" s="18"/>
      <c r="D3437" s="19"/>
    </row>
    <row r="3438" spans="1:4" x14ac:dyDescent="0.3">
      <c r="A3438" s="20">
        <v>45452.954167000004</v>
      </c>
      <c r="B3438" s="17">
        <v>62.234856999999998</v>
      </c>
      <c r="C3438" s="18"/>
      <c r="D3438" s="19"/>
    </row>
    <row r="3439" spans="1:4" x14ac:dyDescent="0.3">
      <c r="A3439" s="20">
        <v>45452.954860999998</v>
      </c>
      <c r="B3439" s="17">
        <v>61.454583999999997</v>
      </c>
      <c r="C3439" s="18"/>
      <c r="D3439" s="19"/>
    </row>
    <row r="3440" spans="1:4" x14ac:dyDescent="0.3">
      <c r="A3440" s="20">
        <v>45452.955556000001</v>
      </c>
      <c r="B3440" s="17">
        <v>61.470908999999999</v>
      </c>
      <c r="C3440" s="18"/>
      <c r="D3440" s="19"/>
    </row>
    <row r="3441" spans="1:4" x14ac:dyDescent="0.3">
      <c r="A3441" s="20">
        <v>45452.956250000003</v>
      </c>
      <c r="B3441" s="17">
        <v>61.745992000000001</v>
      </c>
      <c r="C3441" s="18"/>
      <c r="D3441" s="19"/>
    </row>
    <row r="3442" spans="1:4" x14ac:dyDescent="0.3">
      <c r="A3442" s="20">
        <v>45452.956943999998</v>
      </c>
      <c r="B3442" s="17">
        <v>62.076771999999998</v>
      </c>
      <c r="C3442" s="18"/>
      <c r="D3442" s="19"/>
    </row>
    <row r="3443" spans="1:4" x14ac:dyDescent="0.3">
      <c r="A3443" s="20">
        <v>45452.957639</v>
      </c>
      <c r="B3443" s="17">
        <v>61.367171999999997</v>
      </c>
      <c r="C3443" s="18"/>
      <c r="D3443" s="19"/>
    </row>
    <row r="3444" spans="1:4" x14ac:dyDescent="0.3">
      <c r="A3444" s="20">
        <v>45452.958333000002</v>
      </c>
      <c r="B3444" s="17">
        <v>61.437351</v>
      </c>
      <c r="C3444" s="18"/>
      <c r="D3444" s="19"/>
    </row>
    <row r="3445" spans="1:4" x14ac:dyDescent="0.3">
      <c r="A3445" s="20">
        <v>45452.959027999997</v>
      </c>
      <c r="B3445" s="17">
        <v>61.419001000000002</v>
      </c>
      <c r="C3445" s="18"/>
      <c r="D3445" s="19"/>
    </row>
    <row r="3446" spans="1:4" x14ac:dyDescent="0.3">
      <c r="A3446" s="20">
        <v>45452.959722</v>
      </c>
      <c r="B3446" s="17">
        <v>61.877510999999998</v>
      </c>
      <c r="C3446" s="18"/>
      <c r="D3446" s="19"/>
    </row>
    <row r="3447" spans="1:4" x14ac:dyDescent="0.3">
      <c r="A3447" s="20">
        <v>45452.960417000002</v>
      </c>
      <c r="B3447" s="17">
        <v>61.509914000000002</v>
      </c>
      <c r="C3447" s="18"/>
      <c r="D3447" s="19"/>
    </row>
    <row r="3448" spans="1:4" x14ac:dyDescent="0.3">
      <c r="A3448" s="20">
        <v>45452.961110999997</v>
      </c>
      <c r="B3448" s="17">
        <v>61.255578</v>
      </c>
      <c r="C3448" s="18"/>
      <c r="D3448" s="19"/>
    </row>
    <row r="3449" spans="1:4" x14ac:dyDescent="0.3">
      <c r="A3449" s="20">
        <v>45452.961805999999</v>
      </c>
      <c r="B3449" s="17">
        <v>62.021124</v>
      </c>
      <c r="C3449" s="18"/>
      <c r="D3449" s="19"/>
    </row>
    <row r="3450" spans="1:4" x14ac:dyDescent="0.3">
      <c r="A3450" s="20">
        <v>45452.962500000001</v>
      </c>
      <c r="B3450" s="17">
        <v>61.539738</v>
      </c>
      <c r="C3450" s="18"/>
      <c r="D3450" s="19"/>
    </row>
    <row r="3451" spans="1:4" x14ac:dyDescent="0.3">
      <c r="A3451" s="20">
        <v>45452.963194000004</v>
      </c>
      <c r="B3451" s="17">
        <v>61.355460000000001</v>
      </c>
      <c r="C3451" s="18"/>
      <c r="D3451" s="19"/>
    </row>
    <row r="3452" spans="1:4" x14ac:dyDescent="0.3">
      <c r="A3452" s="20">
        <v>45452.963888999999</v>
      </c>
      <c r="B3452" s="17">
        <v>61.696452999999998</v>
      </c>
      <c r="C3452" s="18"/>
      <c r="D3452" s="19"/>
    </row>
    <row r="3453" spans="1:4" x14ac:dyDescent="0.3">
      <c r="A3453" s="20">
        <v>45452.964583000001</v>
      </c>
      <c r="B3453" s="17">
        <v>61.318635999999998</v>
      </c>
      <c r="C3453" s="18"/>
      <c r="D3453" s="19"/>
    </row>
    <row r="3454" spans="1:4" x14ac:dyDescent="0.3">
      <c r="A3454" s="20">
        <v>45452.965278000003</v>
      </c>
      <c r="B3454" s="17">
        <v>61.691104000000003</v>
      </c>
      <c r="C3454" s="18"/>
      <c r="D3454" s="19"/>
    </row>
    <row r="3455" spans="1:4" x14ac:dyDescent="0.3">
      <c r="A3455" s="20">
        <v>45452.965971999998</v>
      </c>
      <c r="B3455" s="17">
        <v>61.301597000000001</v>
      </c>
      <c r="C3455" s="18"/>
      <c r="D3455" s="19"/>
    </row>
    <row r="3456" spans="1:4" x14ac:dyDescent="0.3">
      <c r="A3456" s="20">
        <v>45452.966667000001</v>
      </c>
      <c r="B3456" s="17">
        <v>61.654518000000003</v>
      </c>
      <c r="C3456" s="18"/>
      <c r="D3456" s="19"/>
    </row>
    <row r="3457" spans="1:4" x14ac:dyDescent="0.3">
      <c r="A3457" s="20">
        <v>45452.967361000003</v>
      </c>
      <c r="B3457" s="17">
        <v>61.719112000000003</v>
      </c>
      <c r="C3457" s="18"/>
      <c r="D3457" s="19"/>
    </row>
    <row r="3458" spans="1:4" x14ac:dyDescent="0.3">
      <c r="A3458" s="20">
        <v>45452.968055999998</v>
      </c>
      <c r="B3458" s="17">
        <v>61.796264999999998</v>
      </c>
      <c r="C3458" s="18"/>
      <c r="D3458" s="19"/>
    </row>
    <row r="3459" spans="1:4" x14ac:dyDescent="0.3">
      <c r="A3459" s="20">
        <v>45452.96875</v>
      </c>
      <c r="B3459" s="17">
        <v>61.956501000000003</v>
      </c>
      <c r="C3459" s="18"/>
      <c r="D3459" s="19"/>
    </row>
    <row r="3460" spans="1:4" x14ac:dyDescent="0.3">
      <c r="A3460" s="20">
        <v>45452.969444000002</v>
      </c>
      <c r="B3460" s="17">
        <v>61.832962000000002</v>
      </c>
      <c r="C3460" s="18"/>
      <c r="D3460" s="19"/>
    </row>
    <row r="3461" spans="1:4" x14ac:dyDescent="0.3">
      <c r="A3461" s="20">
        <v>45452.970138999997</v>
      </c>
      <c r="B3461" s="17">
        <v>61.696697</v>
      </c>
      <c r="C3461" s="18"/>
      <c r="D3461" s="19"/>
    </row>
    <row r="3462" spans="1:4" x14ac:dyDescent="0.3">
      <c r="A3462" s="20">
        <v>45452.970832999999</v>
      </c>
      <c r="B3462" s="17">
        <v>61.319507000000002</v>
      </c>
      <c r="C3462" s="18"/>
      <c r="D3462" s="19"/>
    </row>
    <row r="3463" spans="1:4" x14ac:dyDescent="0.3">
      <c r="A3463" s="20">
        <v>45452.971528000002</v>
      </c>
      <c r="B3463" s="17">
        <v>61.608745999999996</v>
      </c>
      <c r="C3463" s="18"/>
      <c r="D3463" s="19"/>
    </row>
    <row r="3464" spans="1:4" x14ac:dyDescent="0.3">
      <c r="A3464" s="20">
        <v>45452.972221999997</v>
      </c>
      <c r="B3464" s="17">
        <v>62.007326999999997</v>
      </c>
      <c r="C3464" s="18"/>
      <c r="D3464" s="19"/>
    </row>
    <row r="3465" spans="1:4" x14ac:dyDescent="0.3">
      <c r="A3465" s="20">
        <v>45452.972916999999</v>
      </c>
      <c r="B3465" s="17">
        <v>61.336126999999998</v>
      </c>
      <c r="C3465" s="18"/>
      <c r="D3465" s="19"/>
    </row>
    <row r="3466" spans="1:4" x14ac:dyDescent="0.3">
      <c r="A3466" s="20">
        <v>45452.973611000001</v>
      </c>
      <c r="B3466" s="17">
        <v>61.577145000000002</v>
      </c>
      <c r="C3466" s="18"/>
      <c r="D3466" s="19"/>
    </row>
    <row r="3467" spans="1:4" x14ac:dyDescent="0.3">
      <c r="A3467" s="20">
        <v>45452.974305999996</v>
      </c>
      <c r="B3467" s="17">
        <v>61.334648000000001</v>
      </c>
      <c r="C3467" s="18"/>
      <c r="D3467" s="19"/>
    </row>
    <row r="3468" spans="1:4" x14ac:dyDescent="0.3">
      <c r="A3468" s="20">
        <v>45452.974999999999</v>
      </c>
      <c r="B3468" s="17">
        <v>61.694464000000004</v>
      </c>
      <c r="C3468" s="18"/>
      <c r="D3468" s="19"/>
    </row>
    <row r="3469" spans="1:4" x14ac:dyDescent="0.3">
      <c r="A3469" s="20">
        <v>45452.975694000001</v>
      </c>
      <c r="B3469" s="17">
        <v>61.528288000000003</v>
      </c>
      <c r="C3469" s="18"/>
      <c r="D3469" s="19"/>
    </row>
    <row r="3470" spans="1:4" x14ac:dyDescent="0.3">
      <c r="A3470" s="20">
        <v>45452.976389000003</v>
      </c>
      <c r="B3470" s="17">
        <v>61.677059</v>
      </c>
      <c r="C3470" s="18"/>
      <c r="D3470" s="19"/>
    </row>
    <row r="3471" spans="1:4" x14ac:dyDescent="0.3">
      <c r="A3471" s="20">
        <v>45452.977082999998</v>
      </c>
      <c r="B3471" s="17">
        <v>61.333634000000004</v>
      </c>
      <c r="C3471" s="18"/>
      <c r="D3471" s="19"/>
    </row>
    <row r="3472" spans="1:4" x14ac:dyDescent="0.3">
      <c r="A3472" s="20">
        <v>45452.977778</v>
      </c>
      <c r="B3472" s="17">
        <v>61.127035999999997</v>
      </c>
      <c r="C3472" s="18"/>
      <c r="D3472" s="19"/>
    </row>
    <row r="3473" spans="1:4" x14ac:dyDescent="0.3">
      <c r="A3473" s="20">
        <v>45452.978472000003</v>
      </c>
      <c r="B3473" s="17">
        <v>61.570672999999999</v>
      </c>
      <c r="C3473" s="18"/>
      <c r="D3473" s="19"/>
    </row>
    <row r="3474" spans="1:4" x14ac:dyDescent="0.3">
      <c r="A3474" s="20">
        <v>45452.979166999998</v>
      </c>
      <c r="B3474" s="17">
        <v>61.558779000000001</v>
      </c>
      <c r="C3474" s="18"/>
      <c r="D3474" s="19"/>
    </row>
    <row r="3475" spans="1:4" x14ac:dyDescent="0.3">
      <c r="A3475" s="20">
        <v>45452.979861</v>
      </c>
      <c r="B3475" s="17">
        <v>61.746811000000001</v>
      </c>
      <c r="C3475" s="18"/>
      <c r="D3475" s="19"/>
    </row>
    <row r="3476" spans="1:4" x14ac:dyDescent="0.3">
      <c r="A3476" s="20">
        <v>45452.980556000002</v>
      </c>
      <c r="B3476" s="17">
        <v>61.530957000000001</v>
      </c>
      <c r="C3476" s="18"/>
      <c r="D3476" s="19"/>
    </row>
    <row r="3477" spans="1:4" x14ac:dyDescent="0.3">
      <c r="A3477" s="20">
        <v>45452.981249999997</v>
      </c>
      <c r="B3477" s="17">
        <v>61.858879999999999</v>
      </c>
      <c r="C3477" s="18"/>
      <c r="D3477" s="19"/>
    </row>
    <row r="3478" spans="1:4" x14ac:dyDescent="0.3">
      <c r="A3478" s="20">
        <v>45452.981943999999</v>
      </c>
      <c r="B3478" s="17">
        <v>61.454087999999999</v>
      </c>
      <c r="C3478" s="18"/>
      <c r="D3478" s="19"/>
    </row>
    <row r="3479" spans="1:4" x14ac:dyDescent="0.3">
      <c r="A3479" s="20">
        <v>45452.982639000002</v>
      </c>
      <c r="B3479" s="17">
        <v>61.929504999999999</v>
      </c>
      <c r="C3479" s="18"/>
      <c r="D3479" s="19"/>
    </row>
    <row r="3480" spans="1:4" x14ac:dyDescent="0.3">
      <c r="A3480" s="20">
        <v>45452.983332999996</v>
      </c>
      <c r="B3480" s="17">
        <v>61.270477</v>
      </c>
      <c r="C3480" s="18"/>
      <c r="D3480" s="19"/>
    </row>
    <row r="3481" spans="1:4" x14ac:dyDescent="0.3">
      <c r="A3481" s="20">
        <v>45452.984027999999</v>
      </c>
      <c r="B3481" s="17">
        <v>61.546340000000001</v>
      </c>
      <c r="C3481" s="18"/>
      <c r="D3481" s="19"/>
    </row>
    <row r="3482" spans="1:4" x14ac:dyDescent="0.3">
      <c r="A3482" s="20">
        <v>45452.984722000001</v>
      </c>
      <c r="B3482" s="17">
        <v>61.902532999999998</v>
      </c>
      <c r="C3482" s="18"/>
      <c r="D3482" s="19"/>
    </row>
    <row r="3483" spans="1:4" x14ac:dyDescent="0.3">
      <c r="A3483" s="20">
        <v>45452.985417000004</v>
      </c>
      <c r="B3483" s="17">
        <v>61.691605000000003</v>
      </c>
      <c r="C3483" s="18"/>
      <c r="D3483" s="19"/>
    </row>
    <row r="3484" spans="1:4" x14ac:dyDescent="0.3">
      <c r="A3484" s="20">
        <v>45452.986110999998</v>
      </c>
      <c r="B3484" s="17">
        <v>61.757570000000001</v>
      </c>
      <c r="C3484" s="18"/>
      <c r="D3484" s="19"/>
    </row>
    <row r="3485" spans="1:4" x14ac:dyDescent="0.3">
      <c r="A3485" s="20">
        <v>45452.986806000001</v>
      </c>
      <c r="B3485" s="17">
        <v>61.568224999999998</v>
      </c>
      <c r="C3485" s="18"/>
      <c r="D3485" s="19"/>
    </row>
    <row r="3486" spans="1:4" x14ac:dyDescent="0.3">
      <c r="A3486" s="20">
        <v>45452.987500000003</v>
      </c>
      <c r="B3486" s="17">
        <v>61.676816000000002</v>
      </c>
      <c r="C3486" s="18"/>
      <c r="D3486" s="19"/>
    </row>
    <row r="3487" spans="1:4" x14ac:dyDescent="0.3">
      <c r="A3487" s="20">
        <v>45452.988193999998</v>
      </c>
      <c r="B3487" s="17">
        <v>60.985016000000002</v>
      </c>
      <c r="C3487" s="18"/>
      <c r="D3487" s="19"/>
    </row>
    <row r="3488" spans="1:4" x14ac:dyDescent="0.3">
      <c r="A3488" s="20">
        <v>45452.988889</v>
      </c>
      <c r="B3488" s="17">
        <v>61.482649000000002</v>
      </c>
      <c r="C3488" s="18"/>
      <c r="D3488" s="19"/>
    </row>
    <row r="3489" spans="1:4" x14ac:dyDescent="0.3">
      <c r="A3489" s="20">
        <v>45452.989583000002</v>
      </c>
      <c r="B3489" s="17">
        <v>61.947788000000003</v>
      </c>
      <c r="C3489" s="18"/>
      <c r="D3489" s="19"/>
    </row>
    <row r="3490" spans="1:4" x14ac:dyDescent="0.3">
      <c r="A3490" s="20">
        <v>45452.990277999997</v>
      </c>
      <c r="B3490" s="17">
        <v>61.501157999999997</v>
      </c>
      <c r="C3490" s="18"/>
      <c r="D3490" s="19"/>
    </row>
    <row r="3491" spans="1:4" x14ac:dyDescent="0.3">
      <c r="A3491" s="20">
        <v>45452.990972</v>
      </c>
      <c r="B3491" s="17">
        <v>62.059714</v>
      </c>
      <c r="C3491" s="18"/>
      <c r="D3491" s="19"/>
    </row>
    <row r="3492" spans="1:4" x14ac:dyDescent="0.3">
      <c r="A3492" s="20">
        <v>45452.991667000002</v>
      </c>
      <c r="B3492" s="17">
        <v>61.931435</v>
      </c>
      <c r="C3492" s="18"/>
      <c r="D3492" s="19"/>
    </row>
    <row r="3493" spans="1:4" x14ac:dyDescent="0.3">
      <c r="A3493" s="20">
        <v>45452.992360999997</v>
      </c>
      <c r="B3493" s="17">
        <v>61.475664999999999</v>
      </c>
      <c r="C3493" s="18"/>
      <c r="D3493" s="19"/>
    </row>
    <row r="3494" spans="1:4" x14ac:dyDescent="0.3">
      <c r="A3494" s="20">
        <v>45452.993055999999</v>
      </c>
      <c r="B3494" s="17">
        <v>61.233386000000003</v>
      </c>
      <c r="C3494" s="18"/>
      <c r="D3494" s="19"/>
    </row>
    <row r="3495" spans="1:4" x14ac:dyDescent="0.3">
      <c r="A3495" s="20">
        <v>45452.993750000001</v>
      </c>
      <c r="B3495" s="17">
        <v>61.473574999999997</v>
      </c>
      <c r="C3495" s="18"/>
      <c r="D3495" s="19"/>
    </row>
    <row r="3496" spans="1:4" x14ac:dyDescent="0.3">
      <c r="A3496" s="20">
        <v>45452.994444000004</v>
      </c>
      <c r="B3496" s="17">
        <v>61.876334</v>
      </c>
      <c r="C3496" s="18"/>
      <c r="D3496" s="19"/>
    </row>
    <row r="3497" spans="1:4" x14ac:dyDescent="0.3">
      <c r="A3497" s="20">
        <v>45452.995138999999</v>
      </c>
      <c r="B3497" s="17">
        <v>61.852733999999998</v>
      </c>
      <c r="C3497" s="18"/>
      <c r="D3497" s="19"/>
    </row>
    <row r="3498" spans="1:4" x14ac:dyDescent="0.3">
      <c r="A3498" s="20">
        <v>45452.995833000001</v>
      </c>
      <c r="B3498" s="17">
        <v>62.161327</v>
      </c>
      <c r="C3498" s="18"/>
      <c r="D3498" s="19"/>
    </row>
    <row r="3499" spans="1:4" x14ac:dyDescent="0.3">
      <c r="A3499" s="20">
        <v>45452.996528000003</v>
      </c>
      <c r="B3499" s="17">
        <v>61.201524999999997</v>
      </c>
      <c r="C3499" s="18"/>
      <c r="D3499" s="19"/>
    </row>
    <row r="3500" spans="1:4" x14ac:dyDescent="0.3">
      <c r="A3500" s="20">
        <v>45452.997221999998</v>
      </c>
      <c r="B3500" s="17">
        <v>61.945174000000002</v>
      </c>
      <c r="C3500" s="18"/>
      <c r="D3500" s="19"/>
    </row>
    <row r="3501" spans="1:4" x14ac:dyDescent="0.3">
      <c r="A3501" s="20">
        <v>45452.997917000001</v>
      </c>
      <c r="B3501" s="17">
        <v>61.595350000000003</v>
      </c>
      <c r="C3501" s="18"/>
      <c r="D3501" s="19"/>
    </row>
    <row r="3502" spans="1:4" x14ac:dyDescent="0.3">
      <c r="A3502" s="20">
        <v>45452.998611000003</v>
      </c>
      <c r="B3502" s="17">
        <v>61.504767999999999</v>
      </c>
      <c r="C3502" s="18"/>
      <c r="D3502" s="19"/>
    </row>
    <row r="3503" spans="1:4" x14ac:dyDescent="0.3">
      <c r="A3503" s="20">
        <v>45452.999305999998</v>
      </c>
      <c r="B3503" s="17">
        <v>61.510133000000003</v>
      </c>
      <c r="C3503" s="18"/>
      <c r="D3503" s="19"/>
    </row>
    <row r="3504" spans="1:4" x14ac:dyDescent="0.3">
      <c r="A3504" s="20">
        <v>45453</v>
      </c>
      <c r="B3504" s="17">
        <v>61.640739000000004</v>
      </c>
      <c r="C3504" s="18"/>
      <c r="D3504" s="19"/>
    </row>
    <row r="3505" spans="1:4" x14ac:dyDescent="0.3">
      <c r="A3505" s="20">
        <v>45453.000694000002</v>
      </c>
      <c r="B3505" s="17">
        <v>61.624206999999998</v>
      </c>
      <c r="C3505" s="18"/>
      <c r="D3505" s="19"/>
    </row>
    <row r="3506" spans="1:4" x14ac:dyDescent="0.3">
      <c r="A3506" s="20">
        <v>45453.001388999997</v>
      </c>
      <c r="B3506" s="17">
        <v>61.725411000000001</v>
      </c>
      <c r="C3506" s="18"/>
      <c r="D3506" s="19"/>
    </row>
    <row r="3507" spans="1:4" x14ac:dyDescent="0.3">
      <c r="A3507" s="20">
        <v>45453.002082999999</v>
      </c>
      <c r="B3507" s="17">
        <v>62.036003000000001</v>
      </c>
      <c r="C3507" s="18"/>
      <c r="D3507" s="19"/>
    </row>
    <row r="3508" spans="1:4" x14ac:dyDescent="0.3">
      <c r="A3508" s="20">
        <v>45453.002778000002</v>
      </c>
      <c r="B3508" s="17">
        <v>61.383125</v>
      </c>
      <c r="C3508" s="18"/>
      <c r="D3508" s="19"/>
    </row>
    <row r="3509" spans="1:4" x14ac:dyDescent="0.3">
      <c r="A3509" s="20">
        <v>45453.003471999997</v>
      </c>
      <c r="B3509" s="17">
        <v>61.833575000000003</v>
      </c>
      <c r="C3509" s="18"/>
      <c r="D3509" s="19"/>
    </row>
    <row r="3510" spans="1:4" x14ac:dyDescent="0.3">
      <c r="A3510" s="20">
        <v>45453.004166999999</v>
      </c>
      <c r="B3510" s="17">
        <v>61.345086000000002</v>
      </c>
      <c r="C3510" s="18"/>
      <c r="D3510" s="19"/>
    </row>
    <row r="3511" spans="1:4" x14ac:dyDescent="0.3">
      <c r="A3511" s="20">
        <v>45453.004861000001</v>
      </c>
      <c r="B3511" s="17">
        <v>61.762214</v>
      </c>
      <c r="C3511" s="18"/>
      <c r="D3511" s="19"/>
    </row>
    <row r="3512" spans="1:4" x14ac:dyDescent="0.3">
      <c r="A3512" s="20">
        <v>45453.005555999996</v>
      </c>
      <c r="B3512" s="17">
        <v>61.719115000000002</v>
      </c>
      <c r="C3512" s="18"/>
      <c r="D3512" s="19"/>
    </row>
    <row r="3513" spans="1:4" x14ac:dyDescent="0.3">
      <c r="A3513" s="20">
        <v>45453.006249999999</v>
      </c>
      <c r="B3513" s="17">
        <v>61.429150999999997</v>
      </c>
      <c r="C3513" s="18"/>
      <c r="D3513" s="19"/>
    </row>
    <row r="3514" spans="1:4" x14ac:dyDescent="0.3">
      <c r="A3514" s="20">
        <v>45453.006944000001</v>
      </c>
      <c r="B3514" s="17">
        <v>62.239552000000003</v>
      </c>
      <c r="C3514" s="18"/>
      <c r="D3514" s="19"/>
    </row>
    <row r="3515" spans="1:4" x14ac:dyDescent="0.3">
      <c r="A3515" s="20">
        <v>45453.007639000003</v>
      </c>
      <c r="B3515" s="17">
        <v>61.818212000000003</v>
      </c>
      <c r="C3515" s="18"/>
      <c r="D3515" s="19"/>
    </row>
    <row r="3516" spans="1:4" x14ac:dyDescent="0.3">
      <c r="A3516" s="20">
        <v>45453.008332999998</v>
      </c>
      <c r="B3516" s="17">
        <v>61.450518000000002</v>
      </c>
      <c r="C3516" s="18"/>
      <c r="D3516" s="19"/>
    </row>
    <row r="3517" spans="1:4" x14ac:dyDescent="0.3">
      <c r="A3517" s="20">
        <v>45453.009028</v>
      </c>
      <c r="B3517" s="17">
        <v>61.597060999999997</v>
      </c>
      <c r="C3517" s="18"/>
      <c r="D3517" s="19"/>
    </row>
    <row r="3518" spans="1:4" x14ac:dyDescent="0.3">
      <c r="A3518" s="20">
        <v>45453.009722000003</v>
      </c>
      <c r="B3518" s="17">
        <v>61.596196999999997</v>
      </c>
      <c r="C3518" s="18"/>
      <c r="D3518" s="19"/>
    </row>
    <row r="3519" spans="1:4" x14ac:dyDescent="0.3">
      <c r="A3519" s="20">
        <v>45453.010416999998</v>
      </c>
      <c r="B3519" s="17">
        <v>61.865454999999997</v>
      </c>
      <c r="C3519" s="18"/>
      <c r="D3519" s="19"/>
    </row>
    <row r="3520" spans="1:4" x14ac:dyDescent="0.3">
      <c r="A3520" s="20">
        <v>45453.011111</v>
      </c>
      <c r="B3520" s="17">
        <v>61.527658000000002</v>
      </c>
      <c r="C3520" s="18"/>
      <c r="D3520" s="19"/>
    </row>
    <row r="3521" spans="1:4" x14ac:dyDescent="0.3">
      <c r="A3521" s="20">
        <v>45453.011806000002</v>
      </c>
      <c r="B3521" s="17">
        <v>61.822451999999998</v>
      </c>
      <c r="C3521" s="18"/>
      <c r="D3521" s="19"/>
    </row>
    <row r="3522" spans="1:4" x14ac:dyDescent="0.3">
      <c r="A3522" s="20">
        <v>45453.012499999997</v>
      </c>
      <c r="B3522" s="17">
        <v>62.022450999999997</v>
      </c>
      <c r="C3522" s="18"/>
      <c r="D3522" s="19"/>
    </row>
    <row r="3523" spans="1:4" x14ac:dyDescent="0.3">
      <c r="A3523" s="20">
        <v>45453.013193999999</v>
      </c>
      <c r="B3523" s="17">
        <v>61.786098000000003</v>
      </c>
      <c r="C3523" s="18"/>
      <c r="D3523" s="19"/>
    </row>
    <row r="3524" spans="1:4" x14ac:dyDescent="0.3">
      <c r="A3524" s="20">
        <v>45453.013889000002</v>
      </c>
      <c r="B3524" s="17">
        <v>61.803514999999997</v>
      </c>
      <c r="C3524" s="18"/>
      <c r="D3524" s="19"/>
    </row>
    <row r="3525" spans="1:4" x14ac:dyDescent="0.3">
      <c r="A3525" s="20">
        <v>45453.014582999996</v>
      </c>
      <c r="B3525" s="17">
        <v>60.855269</v>
      </c>
      <c r="C3525" s="18"/>
      <c r="D3525" s="19"/>
    </row>
    <row r="3526" spans="1:4" x14ac:dyDescent="0.3">
      <c r="A3526" s="20">
        <v>45453.015277999999</v>
      </c>
      <c r="B3526" s="17">
        <v>61.880403999999999</v>
      </c>
      <c r="C3526" s="18"/>
      <c r="D3526" s="19"/>
    </row>
    <row r="3527" spans="1:4" x14ac:dyDescent="0.3">
      <c r="A3527" s="20">
        <v>45453.015972000001</v>
      </c>
      <c r="B3527" s="17">
        <v>61.251455999999997</v>
      </c>
      <c r="C3527" s="18"/>
      <c r="D3527" s="19"/>
    </row>
    <row r="3528" spans="1:4" x14ac:dyDescent="0.3">
      <c r="A3528" s="20">
        <v>45453.016667000004</v>
      </c>
      <c r="B3528" s="17">
        <v>61.314129000000001</v>
      </c>
      <c r="C3528" s="18"/>
      <c r="D3528" s="19"/>
    </row>
    <row r="3529" spans="1:4" x14ac:dyDescent="0.3">
      <c r="A3529" s="20">
        <v>45453.017360999998</v>
      </c>
      <c r="B3529" s="17">
        <v>61.641961999999999</v>
      </c>
      <c r="C3529" s="18"/>
      <c r="D3529" s="19"/>
    </row>
    <row r="3530" spans="1:4" x14ac:dyDescent="0.3">
      <c r="A3530" s="20">
        <v>45453.018056000001</v>
      </c>
      <c r="B3530" s="17">
        <v>61.379497000000001</v>
      </c>
      <c r="C3530" s="18"/>
      <c r="D3530" s="19"/>
    </row>
    <row r="3531" spans="1:4" x14ac:dyDescent="0.3">
      <c r="A3531" s="20">
        <v>45453.018750000003</v>
      </c>
      <c r="B3531" s="17">
        <v>61.336286999999999</v>
      </c>
      <c r="C3531" s="18"/>
      <c r="D3531" s="19"/>
    </row>
    <row r="3532" spans="1:4" x14ac:dyDescent="0.3">
      <c r="A3532" s="20">
        <v>45453.019443999998</v>
      </c>
      <c r="B3532" s="17">
        <v>61.247515999999997</v>
      </c>
      <c r="C3532" s="18"/>
      <c r="D3532" s="19"/>
    </row>
    <row r="3533" spans="1:4" x14ac:dyDescent="0.3">
      <c r="A3533" s="20">
        <v>45453.020139</v>
      </c>
      <c r="B3533" s="17">
        <v>61.502702999999997</v>
      </c>
      <c r="C3533" s="18"/>
      <c r="D3533" s="19"/>
    </row>
    <row r="3534" spans="1:4" x14ac:dyDescent="0.3">
      <c r="A3534" s="20">
        <v>45453.020833000002</v>
      </c>
      <c r="B3534" s="17">
        <v>61.262106000000003</v>
      </c>
      <c r="C3534" s="18"/>
      <c r="D3534" s="19"/>
    </row>
    <row r="3535" spans="1:4" x14ac:dyDescent="0.3">
      <c r="A3535" s="20">
        <v>45453.021527999997</v>
      </c>
      <c r="B3535" s="17">
        <v>61.531638999999998</v>
      </c>
      <c r="C3535" s="18"/>
      <c r="D3535" s="19"/>
    </row>
    <row r="3536" spans="1:4" x14ac:dyDescent="0.3">
      <c r="A3536" s="20">
        <v>45453.022222</v>
      </c>
      <c r="B3536" s="17">
        <v>61.560186000000002</v>
      </c>
      <c r="C3536" s="18"/>
      <c r="D3536" s="19"/>
    </row>
    <row r="3537" spans="1:4" x14ac:dyDescent="0.3">
      <c r="A3537" s="20">
        <v>45453.022917000002</v>
      </c>
      <c r="B3537" s="17">
        <v>62.208786000000003</v>
      </c>
      <c r="C3537" s="18"/>
      <c r="D3537" s="19"/>
    </row>
    <row r="3538" spans="1:4" x14ac:dyDescent="0.3">
      <c r="A3538" s="20">
        <v>45453.023610999997</v>
      </c>
      <c r="B3538" s="17">
        <v>61.542354000000003</v>
      </c>
      <c r="C3538" s="18"/>
      <c r="D3538" s="19"/>
    </row>
    <row r="3539" spans="1:4" x14ac:dyDescent="0.3">
      <c r="A3539" s="20">
        <v>45453.024305999999</v>
      </c>
      <c r="B3539" s="17">
        <v>61.803043000000002</v>
      </c>
      <c r="C3539" s="18"/>
      <c r="D3539" s="19"/>
    </row>
    <row r="3540" spans="1:4" x14ac:dyDescent="0.3">
      <c r="A3540" s="20">
        <v>45453.025000000001</v>
      </c>
      <c r="B3540" s="17">
        <v>61.997999</v>
      </c>
      <c r="C3540" s="18"/>
      <c r="D3540" s="19"/>
    </row>
    <row r="3541" spans="1:4" x14ac:dyDescent="0.3">
      <c r="A3541" s="20">
        <v>45453.025694000004</v>
      </c>
      <c r="B3541" s="17">
        <v>61.534578000000003</v>
      </c>
      <c r="C3541" s="18"/>
      <c r="D3541" s="19"/>
    </row>
    <row r="3542" spans="1:4" x14ac:dyDescent="0.3">
      <c r="A3542" s="20">
        <v>45453.026388999999</v>
      </c>
      <c r="B3542" s="17">
        <v>61.190787999999998</v>
      </c>
      <c r="C3542" s="18"/>
      <c r="D3542" s="19"/>
    </row>
    <row r="3543" spans="1:4" x14ac:dyDescent="0.3">
      <c r="A3543" s="20">
        <v>45453.027083000001</v>
      </c>
      <c r="B3543" s="17">
        <v>62.118442000000002</v>
      </c>
      <c r="C3543" s="18"/>
      <c r="D3543" s="19"/>
    </row>
    <row r="3544" spans="1:4" x14ac:dyDescent="0.3">
      <c r="A3544" s="20">
        <v>45453.027778000003</v>
      </c>
      <c r="B3544" s="17">
        <v>61.741070999999998</v>
      </c>
      <c r="C3544" s="18"/>
      <c r="D3544" s="19"/>
    </row>
    <row r="3545" spans="1:4" x14ac:dyDescent="0.3">
      <c r="A3545" s="20">
        <v>45453.028471999998</v>
      </c>
      <c r="B3545" s="17">
        <v>61.155479</v>
      </c>
      <c r="C3545" s="18"/>
      <c r="D3545" s="19"/>
    </row>
    <row r="3546" spans="1:4" x14ac:dyDescent="0.3">
      <c r="A3546" s="20">
        <v>45453.029167000001</v>
      </c>
      <c r="B3546" s="17">
        <v>61.754443999999999</v>
      </c>
      <c r="C3546" s="18"/>
      <c r="D3546" s="19"/>
    </row>
    <row r="3547" spans="1:4" x14ac:dyDescent="0.3">
      <c r="A3547" s="20">
        <v>45453.029861000003</v>
      </c>
      <c r="B3547" s="17">
        <v>61.745708999999998</v>
      </c>
      <c r="C3547" s="18"/>
      <c r="D3547" s="19"/>
    </row>
    <row r="3548" spans="1:4" x14ac:dyDescent="0.3">
      <c r="A3548" s="20">
        <v>45453.030555999998</v>
      </c>
      <c r="B3548" s="17">
        <v>62.033816999999999</v>
      </c>
      <c r="C3548" s="18"/>
      <c r="D3548" s="19"/>
    </row>
    <row r="3549" spans="1:4" x14ac:dyDescent="0.3">
      <c r="A3549" s="20">
        <v>45453.03125</v>
      </c>
      <c r="B3549" s="17">
        <v>61.603707</v>
      </c>
      <c r="C3549" s="18"/>
      <c r="D3549" s="19"/>
    </row>
    <row r="3550" spans="1:4" x14ac:dyDescent="0.3">
      <c r="A3550" s="20">
        <v>45453.031944000002</v>
      </c>
      <c r="B3550" s="17">
        <v>61.577488000000002</v>
      </c>
      <c r="C3550" s="18"/>
      <c r="D3550" s="19"/>
    </row>
    <row r="3551" spans="1:4" x14ac:dyDescent="0.3">
      <c r="A3551" s="20">
        <v>45453.032638999997</v>
      </c>
      <c r="B3551" s="17">
        <v>61.689312999999999</v>
      </c>
      <c r="C3551" s="18"/>
      <c r="D3551" s="19"/>
    </row>
    <row r="3552" spans="1:4" x14ac:dyDescent="0.3">
      <c r="A3552" s="20">
        <v>45453.033332999999</v>
      </c>
      <c r="B3552" s="17">
        <v>62.048617999999998</v>
      </c>
      <c r="C3552" s="18"/>
      <c r="D3552" s="19"/>
    </row>
    <row r="3553" spans="1:4" x14ac:dyDescent="0.3">
      <c r="A3553" s="20">
        <v>45453.034028000002</v>
      </c>
      <c r="B3553" s="17">
        <v>61.424840000000003</v>
      </c>
      <c r="C3553" s="18"/>
      <c r="D3553" s="19"/>
    </row>
    <row r="3554" spans="1:4" x14ac:dyDescent="0.3">
      <c r="A3554" s="20">
        <v>45453.034721999997</v>
      </c>
      <c r="B3554" s="17">
        <v>61.165390000000002</v>
      </c>
      <c r="C3554" s="18"/>
      <c r="D3554" s="19"/>
    </row>
    <row r="3555" spans="1:4" x14ac:dyDescent="0.3">
      <c r="A3555" s="20">
        <v>45453.035416999999</v>
      </c>
      <c r="B3555" s="17">
        <v>61.665348999999999</v>
      </c>
      <c r="C3555" s="18"/>
      <c r="D3555" s="19"/>
    </row>
    <row r="3556" spans="1:4" x14ac:dyDescent="0.3">
      <c r="A3556" s="20">
        <v>45453.036111000001</v>
      </c>
      <c r="B3556" s="17">
        <v>61.471459000000003</v>
      </c>
      <c r="C3556" s="18"/>
      <c r="D3556" s="19"/>
    </row>
    <row r="3557" spans="1:4" x14ac:dyDescent="0.3">
      <c r="A3557" s="20">
        <v>45453.036805999996</v>
      </c>
      <c r="B3557" s="17">
        <v>62.102252999999997</v>
      </c>
      <c r="C3557" s="18"/>
      <c r="D3557" s="19"/>
    </row>
    <row r="3558" spans="1:4" x14ac:dyDescent="0.3">
      <c r="A3558" s="20">
        <v>45453.037499999999</v>
      </c>
      <c r="B3558" s="17">
        <v>62.105502000000001</v>
      </c>
      <c r="C3558" s="18"/>
      <c r="D3558" s="19"/>
    </row>
    <row r="3559" spans="1:4" x14ac:dyDescent="0.3">
      <c r="A3559" s="20">
        <v>45453.038194000001</v>
      </c>
      <c r="B3559" s="17">
        <v>61.632792999999999</v>
      </c>
      <c r="C3559" s="18"/>
      <c r="D3559" s="19"/>
    </row>
    <row r="3560" spans="1:4" x14ac:dyDescent="0.3">
      <c r="A3560" s="20">
        <v>45453.038889000003</v>
      </c>
      <c r="B3560" s="17">
        <v>61.584356999999997</v>
      </c>
      <c r="C3560" s="18"/>
      <c r="D3560" s="19"/>
    </row>
    <row r="3561" spans="1:4" x14ac:dyDescent="0.3">
      <c r="A3561" s="20">
        <v>45453.039582999998</v>
      </c>
      <c r="B3561" s="17">
        <v>62.147098999999997</v>
      </c>
      <c r="C3561" s="18"/>
      <c r="D3561" s="19"/>
    </row>
    <row r="3562" spans="1:4" x14ac:dyDescent="0.3">
      <c r="A3562" s="20">
        <v>45453.040278</v>
      </c>
      <c r="B3562" s="17">
        <v>61.572746000000002</v>
      </c>
      <c r="C3562" s="18"/>
      <c r="D3562" s="19"/>
    </row>
    <row r="3563" spans="1:4" x14ac:dyDescent="0.3">
      <c r="A3563" s="20">
        <v>45453.040972000003</v>
      </c>
      <c r="B3563" s="17">
        <v>61.467478999999997</v>
      </c>
      <c r="C3563" s="18"/>
      <c r="D3563" s="19"/>
    </row>
    <row r="3564" spans="1:4" x14ac:dyDescent="0.3">
      <c r="A3564" s="20">
        <v>45453.041666999998</v>
      </c>
      <c r="B3564" s="17">
        <v>61.402901</v>
      </c>
      <c r="C3564" s="18"/>
      <c r="D3564" s="19"/>
    </row>
    <row r="3565" spans="1:4" x14ac:dyDescent="0.3">
      <c r="A3565" s="20">
        <v>45453.042361</v>
      </c>
      <c r="B3565" s="17">
        <v>61.910144000000003</v>
      </c>
      <c r="C3565" s="18"/>
      <c r="D3565" s="19"/>
    </row>
    <row r="3566" spans="1:4" x14ac:dyDescent="0.3">
      <c r="A3566" s="20">
        <v>45453.043056000002</v>
      </c>
      <c r="B3566" s="17">
        <v>61.684190000000001</v>
      </c>
      <c r="C3566" s="18"/>
      <c r="D3566" s="19"/>
    </row>
    <row r="3567" spans="1:4" x14ac:dyDescent="0.3">
      <c r="A3567" s="20">
        <v>45453.043749999997</v>
      </c>
      <c r="B3567" s="17">
        <v>61.857222999999998</v>
      </c>
      <c r="C3567" s="18"/>
      <c r="D3567" s="19"/>
    </row>
    <row r="3568" spans="1:4" x14ac:dyDescent="0.3">
      <c r="A3568" s="20">
        <v>45453.044443999999</v>
      </c>
      <c r="B3568" s="17">
        <v>61.673876</v>
      </c>
      <c r="C3568" s="18"/>
      <c r="D3568" s="19"/>
    </row>
    <row r="3569" spans="1:4" x14ac:dyDescent="0.3">
      <c r="A3569" s="20">
        <v>45453.045139000002</v>
      </c>
      <c r="B3569" s="17">
        <v>61.500444000000002</v>
      </c>
      <c r="C3569" s="18"/>
      <c r="D3569" s="19"/>
    </row>
    <row r="3570" spans="1:4" x14ac:dyDescent="0.3">
      <c r="A3570" s="20">
        <v>45453.045832999996</v>
      </c>
      <c r="B3570" s="17">
        <v>61.460149000000001</v>
      </c>
      <c r="C3570" s="18"/>
      <c r="D3570" s="19"/>
    </row>
    <row r="3571" spans="1:4" x14ac:dyDescent="0.3">
      <c r="A3571" s="20">
        <v>45453.046527999999</v>
      </c>
      <c r="B3571" s="17">
        <v>61.509754999999998</v>
      </c>
      <c r="C3571" s="18"/>
      <c r="D3571" s="19"/>
    </row>
    <row r="3572" spans="1:4" x14ac:dyDescent="0.3">
      <c r="A3572" s="20">
        <v>45453.047222000001</v>
      </c>
      <c r="B3572" s="17">
        <v>61.76435</v>
      </c>
      <c r="C3572" s="18"/>
      <c r="D3572" s="19"/>
    </row>
    <row r="3573" spans="1:4" x14ac:dyDescent="0.3">
      <c r="A3573" s="20">
        <v>45453.047917000004</v>
      </c>
      <c r="B3573" s="17">
        <v>61.746319999999997</v>
      </c>
      <c r="C3573" s="18"/>
      <c r="D3573" s="19"/>
    </row>
    <row r="3574" spans="1:4" x14ac:dyDescent="0.3">
      <c r="A3574" s="20">
        <v>45453.048610999998</v>
      </c>
      <c r="B3574" s="17">
        <v>61.902985999999999</v>
      </c>
      <c r="C3574" s="18"/>
      <c r="D3574" s="19"/>
    </row>
    <row r="3575" spans="1:4" x14ac:dyDescent="0.3">
      <c r="A3575" s="20">
        <v>45453.049306000001</v>
      </c>
      <c r="B3575" s="17">
        <v>61.867933000000001</v>
      </c>
      <c r="C3575" s="18"/>
      <c r="D3575" s="19"/>
    </row>
    <row r="3576" spans="1:4" x14ac:dyDescent="0.3">
      <c r="A3576" s="20">
        <v>45453.05</v>
      </c>
      <c r="B3576" s="17">
        <v>61.144911</v>
      </c>
      <c r="C3576" s="18"/>
      <c r="D3576" s="19"/>
    </row>
    <row r="3577" spans="1:4" x14ac:dyDescent="0.3">
      <c r="A3577" s="20">
        <v>45453.050693999998</v>
      </c>
      <c r="B3577" s="17">
        <v>61.919249000000001</v>
      </c>
      <c r="C3577" s="18"/>
      <c r="D3577" s="19"/>
    </row>
    <row r="3578" spans="1:4" x14ac:dyDescent="0.3">
      <c r="A3578" s="20">
        <v>45453.051389</v>
      </c>
      <c r="B3578" s="17">
        <v>61.661015999999996</v>
      </c>
      <c r="C3578" s="18"/>
      <c r="D3578" s="19"/>
    </row>
    <row r="3579" spans="1:4" x14ac:dyDescent="0.3">
      <c r="A3579" s="20">
        <v>45453.052083000002</v>
      </c>
      <c r="B3579" s="17">
        <v>62.137853999999997</v>
      </c>
      <c r="C3579" s="18"/>
      <c r="D3579" s="19"/>
    </row>
    <row r="3580" spans="1:4" x14ac:dyDescent="0.3">
      <c r="A3580" s="20">
        <v>45453.052777999997</v>
      </c>
      <c r="B3580" s="17">
        <v>61.222408000000001</v>
      </c>
      <c r="C3580" s="18"/>
      <c r="D3580" s="19"/>
    </row>
    <row r="3581" spans="1:4" x14ac:dyDescent="0.3">
      <c r="A3581" s="20">
        <v>45453.053472</v>
      </c>
      <c r="B3581" s="17">
        <v>61.575775999999998</v>
      </c>
      <c r="C3581" s="18"/>
      <c r="D3581" s="19"/>
    </row>
    <row r="3582" spans="1:4" x14ac:dyDescent="0.3">
      <c r="A3582" s="20">
        <v>45453.054167000002</v>
      </c>
      <c r="B3582" s="17">
        <v>61.651682000000001</v>
      </c>
      <c r="C3582" s="18"/>
      <c r="D3582" s="19"/>
    </row>
    <row r="3583" spans="1:4" x14ac:dyDescent="0.3">
      <c r="A3583" s="20">
        <v>45453.054860999997</v>
      </c>
      <c r="B3583" s="17">
        <v>61.389073000000003</v>
      </c>
      <c r="C3583" s="18"/>
      <c r="D3583" s="19"/>
    </row>
    <row r="3584" spans="1:4" x14ac:dyDescent="0.3">
      <c r="A3584" s="20">
        <v>45453.055555999999</v>
      </c>
      <c r="B3584" s="17">
        <v>61.726239</v>
      </c>
      <c r="C3584" s="18"/>
      <c r="D3584" s="19"/>
    </row>
    <row r="3585" spans="1:4" x14ac:dyDescent="0.3">
      <c r="A3585" s="20">
        <v>45453.056250000001</v>
      </c>
      <c r="B3585" s="17">
        <v>61.374912000000002</v>
      </c>
      <c r="C3585" s="18"/>
      <c r="D3585" s="19"/>
    </row>
    <row r="3586" spans="1:4" x14ac:dyDescent="0.3">
      <c r="A3586" s="20">
        <v>45453.056944000004</v>
      </c>
      <c r="B3586" s="17">
        <v>61.379094000000002</v>
      </c>
      <c r="C3586" s="18"/>
      <c r="D3586" s="19"/>
    </row>
    <row r="3587" spans="1:4" x14ac:dyDescent="0.3">
      <c r="A3587" s="20">
        <v>45453.057638999999</v>
      </c>
      <c r="B3587" s="17">
        <v>61.284790000000001</v>
      </c>
      <c r="C3587" s="18"/>
      <c r="D3587" s="19"/>
    </row>
    <row r="3588" spans="1:4" x14ac:dyDescent="0.3">
      <c r="A3588" s="20">
        <v>45453.058333000001</v>
      </c>
      <c r="B3588" s="17">
        <v>61.519748999999997</v>
      </c>
      <c r="C3588" s="18"/>
      <c r="D3588" s="19"/>
    </row>
    <row r="3589" spans="1:4" x14ac:dyDescent="0.3">
      <c r="A3589" s="20">
        <v>45453.059028000003</v>
      </c>
      <c r="B3589" s="17">
        <v>61.494886000000001</v>
      </c>
      <c r="C3589" s="18"/>
      <c r="D3589" s="19"/>
    </row>
    <row r="3590" spans="1:4" x14ac:dyDescent="0.3">
      <c r="A3590" s="20">
        <v>45453.059721999998</v>
      </c>
      <c r="B3590" s="17">
        <v>60.963324</v>
      </c>
      <c r="C3590" s="18"/>
      <c r="D3590" s="19"/>
    </row>
    <row r="3591" spans="1:4" x14ac:dyDescent="0.3">
      <c r="A3591" s="20">
        <v>45453.060417000001</v>
      </c>
      <c r="B3591" s="17">
        <v>61.815302000000003</v>
      </c>
      <c r="C3591" s="18"/>
      <c r="D3591" s="19"/>
    </row>
    <row r="3592" spans="1:4" x14ac:dyDescent="0.3">
      <c r="A3592" s="20">
        <v>45453.061111000003</v>
      </c>
      <c r="B3592" s="17">
        <v>61.444268000000001</v>
      </c>
      <c r="C3592" s="18"/>
      <c r="D3592" s="19"/>
    </row>
    <row r="3593" spans="1:4" x14ac:dyDescent="0.3">
      <c r="A3593" s="20">
        <v>45453.061805999998</v>
      </c>
      <c r="B3593" s="17">
        <v>61.290453999999997</v>
      </c>
      <c r="C3593" s="18"/>
      <c r="D3593" s="19"/>
    </row>
    <row r="3594" spans="1:4" x14ac:dyDescent="0.3">
      <c r="A3594" s="20">
        <v>45453.0625</v>
      </c>
      <c r="B3594" s="17">
        <v>61.955936999999999</v>
      </c>
      <c r="C3594" s="18"/>
      <c r="D3594" s="19"/>
    </row>
    <row r="3595" spans="1:4" x14ac:dyDescent="0.3">
      <c r="A3595" s="20">
        <v>45453.063194000002</v>
      </c>
      <c r="B3595" s="17">
        <v>61.765031999999998</v>
      </c>
      <c r="C3595" s="18"/>
      <c r="D3595" s="19"/>
    </row>
    <row r="3596" spans="1:4" x14ac:dyDescent="0.3">
      <c r="A3596" s="20">
        <v>45453.063888999997</v>
      </c>
      <c r="B3596" s="17">
        <v>61.348674000000003</v>
      </c>
      <c r="C3596" s="18"/>
      <c r="D3596" s="19"/>
    </row>
    <row r="3597" spans="1:4" x14ac:dyDescent="0.3">
      <c r="A3597" s="20">
        <v>45453.064582999999</v>
      </c>
      <c r="B3597" s="17">
        <v>61.839139000000003</v>
      </c>
      <c r="C3597" s="18"/>
      <c r="D3597" s="19"/>
    </row>
    <row r="3598" spans="1:4" x14ac:dyDescent="0.3">
      <c r="A3598" s="20">
        <v>45453.065278000002</v>
      </c>
      <c r="B3598" s="17">
        <v>61.286709999999999</v>
      </c>
      <c r="C3598" s="18"/>
      <c r="D3598" s="19"/>
    </row>
    <row r="3599" spans="1:4" x14ac:dyDescent="0.3">
      <c r="A3599" s="20">
        <v>45453.065971999997</v>
      </c>
      <c r="B3599" s="17">
        <v>61.714675999999997</v>
      </c>
      <c r="C3599" s="18"/>
      <c r="D3599" s="19"/>
    </row>
    <row r="3600" spans="1:4" x14ac:dyDescent="0.3">
      <c r="A3600" s="20">
        <v>45453.066666999999</v>
      </c>
      <c r="B3600" s="17">
        <v>61.870417000000003</v>
      </c>
      <c r="C3600" s="18"/>
      <c r="D3600" s="19"/>
    </row>
    <row r="3601" spans="1:4" x14ac:dyDescent="0.3">
      <c r="A3601" s="20">
        <v>45453.067361000001</v>
      </c>
      <c r="B3601" s="17">
        <v>61.929417000000001</v>
      </c>
      <c r="C3601" s="18"/>
      <c r="D3601" s="19"/>
    </row>
    <row r="3602" spans="1:4" x14ac:dyDescent="0.3">
      <c r="A3602" s="20">
        <v>45453.068055999996</v>
      </c>
      <c r="B3602" s="17">
        <v>61.746901999999999</v>
      </c>
      <c r="C3602" s="18"/>
      <c r="D3602" s="19"/>
    </row>
    <row r="3603" spans="1:4" x14ac:dyDescent="0.3">
      <c r="A3603" s="20">
        <v>45453.068749999999</v>
      </c>
      <c r="B3603" s="17">
        <v>61.593058999999997</v>
      </c>
      <c r="C3603" s="18"/>
      <c r="D3603" s="19"/>
    </row>
    <row r="3604" spans="1:4" x14ac:dyDescent="0.3">
      <c r="A3604" s="20">
        <v>45453.069444000001</v>
      </c>
      <c r="B3604" s="17">
        <v>61.183456999999997</v>
      </c>
      <c r="C3604" s="18"/>
      <c r="D3604" s="19"/>
    </row>
    <row r="3605" spans="1:4" x14ac:dyDescent="0.3">
      <c r="A3605" s="20">
        <v>45453.070139000003</v>
      </c>
      <c r="B3605" s="17">
        <v>61.445408999999998</v>
      </c>
      <c r="C3605" s="18"/>
      <c r="D3605" s="19"/>
    </row>
    <row r="3606" spans="1:4" x14ac:dyDescent="0.3">
      <c r="A3606" s="20">
        <v>45453.070832999998</v>
      </c>
      <c r="B3606" s="17">
        <v>61.329937000000001</v>
      </c>
      <c r="C3606" s="18"/>
      <c r="D3606" s="19"/>
    </row>
    <row r="3607" spans="1:4" x14ac:dyDescent="0.3">
      <c r="A3607" s="20">
        <v>45453.071528</v>
      </c>
      <c r="B3607" s="17">
        <v>61.683791999999997</v>
      </c>
      <c r="C3607" s="18"/>
      <c r="D3607" s="19"/>
    </row>
    <row r="3608" spans="1:4" x14ac:dyDescent="0.3">
      <c r="A3608" s="20">
        <v>45453.072222000003</v>
      </c>
      <c r="B3608" s="17">
        <v>61.597515999999999</v>
      </c>
      <c r="C3608" s="18"/>
      <c r="D3608" s="19"/>
    </row>
    <row r="3609" spans="1:4" x14ac:dyDescent="0.3">
      <c r="A3609" s="20">
        <v>45453.072916999998</v>
      </c>
      <c r="B3609" s="17">
        <v>61.536141999999998</v>
      </c>
      <c r="C3609" s="18"/>
      <c r="D3609" s="19"/>
    </row>
    <row r="3610" spans="1:4" x14ac:dyDescent="0.3">
      <c r="A3610" s="20">
        <v>45453.073611</v>
      </c>
      <c r="B3610" s="17">
        <v>61.522776</v>
      </c>
      <c r="C3610" s="18"/>
      <c r="D3610" s="19"/>
    </row>
    <row r="3611" spans="1:4" x14ac:dyDescent="0.3">
      <c r="A3611" s="20">
        <v>45453.074306000002</v>
      </c>
      <c r="B3611" s="17">
        <v>61.979908999999999</v>
      </c>
      <c r="C3611" s="18"/>
      <c r="D3611" s="19"/>
    </row>
    <row r="3612" spans="1:4" x14ac:dyDescent="0.3">
      <c r="A3612" s="20">
        <v>45453.074999999997</v>
      </c>
      <c r="B3612" s="17">
        <v>61.430900000000001</v>
      </c>
      <c r="C3612" s="18"/>
      <c r="D3612" s="19"/>
    </row>
    <row r="3613" spans="1:4" x14ac:dyDescent="0.3">
      <c r="A3613" s="20">
        <v>45453.075693999999</v>
      </c>
      <c r="B3613" s="17">
        <v>61.481644000000003</v>
      </c>
      <c r="C3613" s="18"/>
      <c r="D3613" s="19"/>
    </row>
    <row r="3614" spans="1:4" x14ac:dyDescent="0.3">
      <c r="A3614" s="20">
        <v>45453.076389000002</v>
      </c>
      <c r="B3614" s="17">
        <v>61.566229999999997</v>
      </c>
      <c r="C3614" s="18"/>
      <c r="D3614" s="19"/>
    </row>
    <row r="3615" spans="1:4" x14ac:dyDescent="0.3">
      <c r="A3615" s="20">
        <v>45453.077082999996</v>
      </c>
      <c r="B3615" s="17">
        <v>61.514077</v>
      </c>
      <c r="C3615" s="18"/>
      <c r="D3615" s="19"/>
    </row>
    <row r="3616" spans="1:4" x14ac:dyDescent="0.3">
      <c r="A3616" s="20">
        <v>45453.077777999999</v>
      </c>
      <c r="B3616" s="17">
        <v>61.750602999999998</v>
      </c>
      <c r="C3616" s="18"/>
      <c r="D3616" s="19"/>
    </row>
    <row r="3617" spans="1:4" x14ac:dyDescent="0.3">
      <c r="A3617" s="20">
        <v>45453.078472000001</v>
      </c>
      <c r="B3617" s="17">
        <v>61.613943999999996</v>
      </c>
      <c r="C3617" s="18"/>
      <c r="D3617" s="19"/>
    </row>
    <row r="3618" spans="1:4" x14ac:dyDescent="0.3">
      <c r="A3618" s="20">
        <v>45453.079167000004</v>
      </c>
      <c r="B3618" s="17">
        <v>60.990732999999999</v>
      </c>
      <c r="C3618" s="18"/>
      <c r="D3618" s="19"/>
    </row>
    <row r="3619" spans="1:4" x14ac:dyDescent="0.3">
      <c r="A3619" s="20">
        <v>45453.079860999998</v>
      </c>
      <c r="B3619" s="17">
        <v>61.979624999999999</v>
      </c>
      <c r="C3619" s="18"/>
      <c r="D3619" s="19"/>
    </row>
    <row r="3620" spans="1:4" x14ac:dyDescent="0.3">
      <c r="A3620" s="20">
        <v>45453.080556000001</v>
      </c>
      <c r="B3620" s="17">
        <v>61.494784000000003</v>
      </c>
      <c r="C3620" s="18"/>
      <c r="D3620" s="19"/>
    </row>
    <row r="3621" spans="1:4" x14ac:dyDescent="0.3">
      <c r="A3621" s="20">
        <v>45453.081250000003</v>
      </c>
      <c r="B3621" s="17">
        <v>61.958931999999997</v>
      </c>
      <c r="C3621" s="18"/>
      <c r="D3621" s="19"/>
    </row>
    <row r="3622" spans="1:4" x14ac:dyDescent="0.3">
      <c r="A3622" s="20">
        <v>45453.081943999998</v>
      </c>
      <c r="B3622" s="17">
        <v>62.031170000000003</v>
      </c>
      <c r="C3622" s="18"/>
      <c r="D3622" s="19"/>
    </row>
    <row r="3623" spans="1:4" x14ac:dyDescent="0.3">
      <c r="A3623" s="20">
        <v>45453.082639</v>
      </c>
      <c r="B3623" s="17">
        <v>61.507370000000002</v>
      </c>
      <c r="C3623" s="18"/>
      <c r="D3623" s="19"/>
    </row>
    <row r="3624" spans="1:4" x14ac:dyDescent="0.3">
      <c r="A3624" s="20">
        <v>45453.083333000002</v>
      </c>
      <c r="B3624" s="17">
        <v>61.801340000000003</v>
      </c>
      <c r="C3624" s="18"/>
      <c r="D3624" s="19"/>
    </row>
    <row r="3625" spans="1:4" x14ac:dyDescent="0.3">
      <c r="A3625" s="20">
        <v>45453.084027999997</v>
      </c>
      <c r="B3625" s="17">
        <v>60.966206</v>
      </c>
      <c r="C3625" s="18"/>
      <c r="D3625" s="19"/>
    </row>
    <row r="3626" spans="1:4" x14ac:dyDescent="0.3">
      <c r="A3626" s="20">
        <v>45453.084722</v>
      </c>
      <c r="B3626" s="17">
        <v>61.606887999999998</v>
      </c>
      <c r="C3626" s="18"/>
      <c r="D3626" s="19"/>
    </row>
    <row r="3627" spans="1:4" x14ac:dyDescent="0.3">
      <c r="A3627" s="20">
        <v>45453.085417000002</v>
      </c>
      <c r="B3627" s="17">
        <v>61.427008000000001</v>
      </c>
      <c r="C3627" s="18"/>
      <c r="D3627" s="19"/>
    </row>
    <row r="3628" spans="1:4" x14ac:dyDescent="0.3">
      <c r="A3628" s="20">
        <v>45453.086110999997</v>
      </c>
      <c r="B3628" s="17">
        <v>61.611369000000003</v>
      </c>
      <c r="C3628" s="18"/>
      <c r="D3628" s="19"/>
    </row>
    <row r="3629" spans="1:4" x14ac:dyDescent="0.3">
      <c r="A3629" s="20">
        <v>45453.086805999999</v>
      </c>
      <c r="B3629" s="17">
        <v>61.627847000000003</v>
      </c>
      <c r="C3629" s="18"/>
      <c r="D3629" s="19"/>
    </row>
    <row r="3630" spans="1:4" x14ac:dyDescent="0.3">
      <c r="A3630" s="20">
        <v>45453.087500000001</v>
      </c>
      <c r="B3630" s="17">
        <v>62.094754000000002</v>
      </c>
      <c r="C3630" s="18"/>
      <c r="D3630" s="19"/>
    </row>
    <row r="3631" spans="1:4" x14ac:dyDescent="0.3">
      <c r="A3631" s="20">
        <v>45453.088194000004</v>
      </c>
      <c r="B3631" s="17">
        <v>61.911324</v>
      </c>
      <c r="C3631" s="18"/>
      <c r="D3631" s="19"/>
    </row>
    <row r="3632" spans="1:4" x14ac:dyDescent="0.3">
      <c r="A3632" s="20">
        <v>45453.088888999999</v>
      </c>
      <c r="B3632" s="17">
        <v>61.568748999999997</v>
      </c>
      <c r="C3632" s="18"/>
      <c r="D3632" s="19"/>
    </row>
    <row r="3633" spans="1:4" x14ac:dyDescent="0.3">
      <c r="A3633" s="20">
        <v>45453.089583000001</v>
      </c>
      <c r="B3633" s="17">
        <v>61.601835000000001</v>
      </c>
      <c r="C3633" s="18"/>
      <c r="D3633" s="19"/>
    </row>
    <row r="3634" spans="1:4" x14ac:dyDescent="0.3">
      <c r="A3634" s="20">
        <v>45453.090278000003</v>
      </c>
      <c r="B3634" s="17">
        <v>61.456131999999997</v>
      </c>
      <c r="C3634" s="18"/>
      <c r="D3634" s="19"/>
    </row>
    <row r="3635" spans="1:4" x14ac:dyDescent="0.3">
      <c r="A3635" s="20">
        <v>45453.090971999998</v>
      </c>
      <c r="B3635" s="17">
        <v>61.680377999999997</v>
      </c>
      <c r="C3635" s="18"/>
      <c r="D3635" s="19"/>
    </row>
    <row r="3636" spans="1:4" x14ac:dyDescent="0.3">
      <c r="A3636" s="20">
        <v>45453.091667000001</v>
      </c>
      <c r="B3636" s="17">
        <v>61.568427</v>
      </c>
      <c r="C3636" s="18"/>
      <c r="D3636" s="19"/>
    </row>
    <row r="3637" spans="1:4" x14ac:dyDescent="0.3">
      <c r="A3637" s="20">
        <v>45453.092361000003</v>
      </c>
      <c r="B3637" s="17">
        <v>61.715403999999999</v>
      </c>
      <c r="C3637" s="18"/>
      <c r="D3637" s="19"/>
    </row>
    <row r="3638" spans="1:4" x14ac:dyDescent="0.3">
      <c r="A3638" s="20">
        <v>45453.093055999998</v>
      </c>
      <c r="B3638" s="17">
        <v>61.621400000000001</v>
      </c>
      <c r="C3638" s="18"/>
      <c r="D3638" s="19"/>
    </row>
    <row r="3639" spans="1:4" x14ac:dyDescent="0.3">
      <c r="A3639" s="20">
        <v>45453.09375</v>
      </c>
      <c r="B3639" s="17">
        <v>61.269846000000001</v>
      </c>
      <c r="C3639" s="18"/>
      <c r="D3639" s="19"/>
    </row>
    <row r="3640" spans="1:4" x14ac:dyDescent="0.3">
      <c r="A3640" s="20">
        <v>45453.094444000002</v>
      </c>
      <c r="B3640" s="17">
        <v>61.507291000000002</v>
      </c>
      <c r="C3640" s="18"/>
      <c r="D3640" s="19"/>
    </row>
    <row r="3641" spans="1:4" x14ac:dyDescent="0.3">
      <c r="A3641" s="20">
        <v>45453.095138999997</v>
      </c>
      <c r="B3641" s="17">
        <v>61.814326000000001</v>
      </c>
      <c r="C3641" s="18"/>
      <c r="D3641" s="19"/>
    </row>
    <row r="3642" spans="1:4" x14ac:dyDescent="0.3">
      <c r="A3642" s="20">
        <v>45453.095832999999</v>
      </c>
      <c r="B3642" s="17">
        <v>61.456645000000002</v>
      </c>
      <c r="C3642" s="18"/>
      <c r="D3642" s="19"/>
    </row>
    <row r="3643" spans="1:4" x14ac:dyDescent="0.3">
      <c r="A3643" s="20">
        <v>45453.096528000002</v>
      </c>
      <c r="B3643" s="17">
        <v>60.966579000000003</v>
      </c>
      <c r="C3643" s="18"/>
      <c r="D3643" s="19"/>
    </row>
    <row r="3644" spans="1:4" x14ac:dyDescent="0.3">
      <c r="A3644" s="20">
        <v>45453.097221999997</v>
      </c>
      <c r="B3644" s="17">
        <v>61.721091000000001</v>
      </c>
      <c r="C3644" s="18"/>
      <c r="D3644" s="19"/>
    </row>
    <row r="3645" spans="1:4" x14ac:dyDescent="0.3">
      <c r="A3645" s="20">
        <v>45453.097916999999</v>
      </c>
      <c r="B3645" s="17">
        <v>61.474274000000001</v>
      </c>
      <c r="C3645" s="18"/>
      <c r="D3645" s="19"/>
    </row>
    <row r="3646" spans="1:4" x14ac:dyDescent="0.3">
      <c r="A3646" s="20">
        <v>45453.098611000001</v>
      </c>
      <c r="B3646" s="17">
        <v>61.980854000000001</v>
      </c>
      <c r="C3646" s="18"/>
      <c r="D3646" s="19"/>
    </row>
    <row r="3647" spans="1:4" x14ac:dyDescent="0.3">
      <c r="A3647" s="20">
        <v>45453.099305999996</v>
      </c>
      <c r="B3647" s="17">
        <v>62.221136999999999</v>
      </c>
      <c r="C3647" s="18"/>
      <c r="D3647" s="19"/>
    </row>
    <row r="3648" spans="1:4" x14ac:dyDescent="0.3">
      <c r="A3648" s="20">
        <v>45453.1</v>
      </c>
      <c r="B3648" s="17">
        <v>61.974910999999999</v>
      </c>
      <c r="C3648" s="18"/>
      <c r="D3648" s="19"/>
    </row>
    <row r="3649" spans="1:4" x14ac:dyDescent="0.3">
      <c r="A3649" s="20">
        <v>45453.100694000001</v>
      </c>
      <c r="B3649" s="17">
        <v>61.948929999999997</v>
      </c>
      <c r="C3649" s="18"/>
      <c r="D3649" s="19"/>
    </row>
    <row r="3650" spans="1:4" x14ac:dyDescent="0.3">
      <c r="A3650" s="20">
        <v>45453.101389000003</v>
      </c>
      <c r="B3650" s="17">
        <v>61.295887999999998</v>
      </c>
      <c r="C3650" s="18"/>
      <c r="D3650" s="19"/>
    </row>
    <row r="3651" spans="1:4" x14ac:dyDescent="0.3">
      <c r="A3651" s="20">
        <v>45453.102082999998</v>
      </c>
      <c r="B3651" s="17">
        <v>61.761299999999999</v>
      </c>
      <c r="C3651" s="18"/>
      <c r="D3651" s="19"/>
    </row>
    <row r="3652" spans="1:4" x14ac:dyDescent="0.3">
      <c r="A3652" s="20">
        <v>45453.102778</v>
      </c>
      <c r="B3652" s="17">
        <v>61.525590999999999</v>
      </c>
      <c r="C3652" s="18"/>
      <c r="D3652" s="19"/>
    </row>
    <row r="3653" spans="1:4" x14ac:dyDescent="0.3">
      <c r="A3653" s="20">
        <v>45453.103472000003</v>
      </c>
      <c r="B3653" s="17">
        <v>61.542983999999997</v>
      </c>
      <c r="C3653" s="18"/>
      <c r="D3653" s="19"/>
    </row>
    <row r="3654" spans="1:4" x14ac:dyDescent="0.3">
      <c r="A3654" s="20">
        <v>45453.104166999998</v>
      </c>
      <c r="B3654" s="17">
        <v>61.397444999999998</v>
      </c>
      <c r="C3654" s="18"/>
      <c r="D3654" s="19"/>
    </row>
    <row r="3655" spans="1:4" x14ac:dyDescent="0.3">
      <c r="A3655" s="20">
        <v>45453.104861</v>
      </c>
      <c r="B3655" s="17">
        <v>61.876199</v>
      </c>
      <c r="C3655" s="18"/>
      <c r="D3655" s="19"/>
    </row>
    <row r="3656" spans="1:4" x14ac:dyDescent="0.3">
      <c r="A3656" s="20">
        <v>45453.105556000002</v>
      </c>
      <c r="B3656" s="17">
        <v>62.547277999999999</v>
      </c>
      <c r="C3656" s="18"/>
      <c r="D3656" s="19"/>
    </row>
    <row r="3657" spans="1:4" x14ac:dyDescent="0.3">
      <c r="A3657" s="20">
        <v>45453.106249999997</v>
      </c>
      <c r="B3657" s="17">
        <v>62.005156999999997</v>
      </c>
      <c r="C3657" s="18"/>
      <c r="D3657" s="19"/>
    </row>
    <row r="3658" spans="1:4" x14ac:dyDescent="0.3">
      <c r="A3658" s="20">
        <v>45453.106943999999</v>
      </c>
      <c r="B3658" s="17">
        <v>61.371544</v>
      </c>
      <c r="C3658" s="18"/>
      <c r="D3658" s="19"/>
    </row>
    <row r="3659" spans="1:4" x14ac:dyDescent="0.3">
      <c r="A3659" s="20">
        <v>45453.107639000002</v>
      </c>
      <c r="B3659" s="17">
        <v>61.740859</v>
      </c>
      <c r="C3659" s="18"/>
      <c r="D3659" s="19"/>
    </row>
    <row r="3660" spans="1:4" x14ac:dyDescent="0.3">
      <c r="A3660" s="20">
        <v>45453.108332999996</v>
      </c>
      <c r="B3660" s="17">
        <v>61.689888000000003</v>
      </c>
      <c r="C3660" s="18"/>
      <c r="D3660" s="19"/>
    </row>
    <row r="3661" spans="1:4" x14ac:dyDescent="0.3">
      <c r="A3661" s="20">
        <v>45453.109027999999</v>
      </c>
      <c r="B3661" s="17">
        <v>61.434488000000002</v>
      </c>
      <c r="C3661" s="18"/>
      <c r="D3661" s="19"/>
    </row>
    <row r="3662" spans="1:4" x14ac:dyDescent="0.3">
      <c r="A3662" s="20">
        <v>45453.109722000001</v>
      </c>
      <c r="B3662" s="17">
        <v>61.306893000000002</v>
      </c>
      <c r="C3662" s="18"/>
      <c r="D3662" s="19"/>
    </row>
    <row r="3663" spans="1:4" x14ac:dyDescent="0.3">
      <c r="A3663" s="20">
        <v>45453.110417000004</v>
      </c>
      <c r="B3663" s="17">
        <v>61.012501999999998</v>
      </c>
      <c r="C3663" s="18"/>
      <c r="D3663" s="19"/>
    </row>
    <row r="3664" spans="1:4" x14ac:dyDescent="0.3">
      <c r="A3664" s="20">
        <v>45453.111110999998</v>
      </c>
      <c r="B3664" s="17">
        <v>61.625227000000002</v>
      </c>
      <c r="C3664" s="18"/>
      <c r="D3664" s="19"/>
    </row>
    <row r="3665" spans="1:4" x14ac:dyDescent="0.3">
      <c r="A3665" s="20">
        <v>45453.111806000001</v>
      </c>
      <c r="B3665" s="17">
        <v>61.601281</v>
      </c>
      <c r="C3665" s="18"/>
      <c r="D3665" s="19"/>
    </row>
    <row r="3666" spans="1:4" x14ac:dyDescent="0.3">
      <c r="A3666" s="20">
        <v>45453.112500000003</v>
      </c>
      <c r="B3666" s="17">
        <v>60.964823000000003</v>
      </c>
      <c r="C3666" s="18"/>
      <c r="D3666" s="19"/>
    </row>
    <row r="3667" spans="1:4" x14ac:dyDescent="0.3">
      <c r="A3667" s="20">
        <v>45453.113193999998</v>
      </c>
      <c r="B3667" s="17">
        <v>61.869742000000002</v>
      </c>
      <c r="C3667" s="18"/>
      <c r="D3667" s="19"/>
    </row>
    <row r="3668" spans="1:4" x14ac:dyDescent="0.3">
      <c r="A3668" s="20">
        <v>45453.113889</v>
      </c>
      <c r="B3668" s="17">
        <v>61.431303999999997</v>
      </c>
      <c r="C3668" s="18"/>
      <c r="D3668" s="19"/>
    </row>
    <row r="3669" spans="1:4" x14ac:dyDescent="0.3">
      <c r="A3669" s="20">
        <v>45453.114583000002</v>
      </c>
      <c r="B3669" s="17">
        <v>61.490943000000001</v>
      </c>
      <c r="C3669" s="18"/>
      <c r="D3669" s="19"/>
    </row>
    <row r="3670" spans="1:4" x14ac:dyDescent="0.3">
      <c r="A3670" s="20">
        <v>45453.115277999997</v>
      </c>
      <c r="B3670" s="17">
        <v>61.202461999999997</v>
      </c>
      <c r="C3670" s="18"/>
      <c r="D3670" s="19"/>
    </row>
    <row r="3671" spans="1:4" x14ac:dyDescent="0.3">
      <c r="A3671" s="20">
        <v>45453.115972</v>
      </c>
      <c r="B3671" s="17">
        <v>61.938352000000002</v>
      </c>
      <c r="C3671" s="18"/>
      <c r="D3671" s="19"/>
    </row>
    <row r="3672" spans="1:4" x14ac:dyDescent="0.3">
      <c r="A3672" s="20">
        <v>45453.116667000002</v>
      </c>
      <c r="B3672" s="17">
        <v>61.420724</v>
      </c>
      <c r="C3672" s="18"/>
      <c r="D3672" s="19"/>
    </row>
    <row r="3673" spans="1:4" x14ac:dyDescent="0.3">
      <c r="A3673" s="20">
        <v>45453.117360999997</v>
      </c>
      <c r="B3673" s="17">
        <v>61.587733999999998</v>
      </c>
      <c r="C3673" s="18"/>
      <c r="D3673" s="19"/>
    </row>
    <row r="3674" spans="1:4" x14ac:dyDescent="0.3">
      <c r="A3674" s="20">
        <v>45453.118055999999</v>
      </c>
      <c r="B3674" s="17">
        <v>61.506931999999999</v>
      </c>
      <c r="C3674" s="18"/>
      <c r="D3674" s="19"/>
    </row>
    <row r="3675" spans="1:4" x14ac:dyDescent="0.3">
      <c r="A3675" s="20">
        <v>45453.118750000001</v>
      </c>
      <c r="B3675" s="17">
        <v>61.346688</v>
      </c>
      <c r="C3675" s="18"/>
      <c r="D3675" s="19"/>
    </row>
    <row r="3676" spans="1:4" x14ac:dyDescent="0.3">
      <c r="A3676" s="20">
        <v>45453.119444000004</v>
      </c>
      <c r="B3676" s="17">
        <v>62.249378999999998</v>
      </c>
      <c r="C3676" s="18"/>
      <c r="D3676" s="19"/>
    </row>
    <row r="3677" spans="1:4" x14ac:dyDescent="0.3">
      <c r="A3677" s="20">
        <v>45453.120138999999</v>
      </c>
      <c r="B3677" s="17">
        <v>61.481095000000003</v>
      </c>
      <c r="C3677" s="18"/>
      <c r="D3677" s="19"/>
    </row>
    <row r="3678" spans="1:4" x14ac:dyDescent="0.3">
      <c r="A3678" s="20">
        <v>45453.120833000001</v>
      </c>
      <c r="B3678" s="17">
        <v>62.012248</v>
      </c>
      <c r="C3678" s="18"/>
      <c r="D3678" s="19"/>
    </row>
    <row r="3679" spans="1:4" x14ac:dyDescent="0.3">
      <c r="A3679" s="20">
        <v>45453.121528000003</v>
      </c>
      <c r="B3679" s="17">
        <v>62.170862</v>
      </c>
      <c r="C3679" s="18"/>
      <c r="D3679" s="19"/>
    </row>
    <row r="3680" spans="1:4" x14ac:dyDescent="0.3">
      <c r="A3680" s="20">
        <v>45453.122221999998</v>
      </c>
      <c r="B3680" s="17">
        <v>61.665889</v>
      </c>
      <c r="C3680" s="18"/>
      <c r="D3680" s="19"/>
    </row>
    <row r="3681" spans="1:4" x14ac:dyDescent="0.3">
      <c r="A3681" s="20">
        <v>45453.122917000001</v>
      </c>
      <c r="B3681" s="17">
        <v>61.251297000000001</v>
      </c>
      <c r="C3681" s="18"/>
      <c r="D3681" s="19"/>
    </row>
    <row r="3682" spans="1:4" x14ac:dyDescent="0.3">
      <c r="A3682" s="20">
        <v>45453.123611000003</v>
      </c>
      <c r="B3682" s="17">
        <v>61.732379999999999</v>
      </c>
      <c r="C3682" s="18"/>
      <c r="D3682" s="19"/>
    </row>
    <row r="3683" spans="1:4" x14ac:dyDescent="0.3">
      <c r="A3683" s="20">
        <v>45453.124305999998</v>
      </c>
      <c r="B3683" s="17">
        <v>61.276848000000001</v>
      </c>
      <c r="C3683" s="18"/>
      <c r="D3683" s="19"/>
    </row>
    <row r="3684" spans="1:4" x14ac:dyDescent="0.3">
      <c r="A3684" s="20">
        <v>45453.125</v>
      </c>
      <c r="B3684" s="17">
        <v>61.651679999999999</v>
      </c>
      <c r="C3684" s="18"/>
      <c r="D3684" s="19"/>
    </row>
    <row r="3685" spans="1:4" x14ac:dyDescent="0.3">
      <c r="A3685" s="20">
        <v>45453.125694000002</v>
      </c>
      <c r="B3685" s="17">
        <v>61.734884999999998</v>
      </c>
      <c r="C3685" s="18"/>
      <c r="D3685" s="19"/>
    </row>
    <row r="3686" spans="1:4" x14ac:dyDescent="0.3">
      <c r="A3686" s="20">
        <v>45453.126388999997</v>
      </c>
      <c r="B3686" s="17">
        <v>61.614567999999998</v>
      </c>
      <c r="C3686" s="18"/>
      <c r="D3686" s="19"/>
    </row>
    <row r="3687" spans="1:4" x14ac:dyDescent="0.3">
      <c r="A3687" s="20">
        <v>45453.127082999999</v>
      </c>
      <c r="B3687" s="17">
        <v>62.427526999999998</v>
      </c>
      <c r="C3687" s="18"/>
      <c r="D3687" s="19"/>
    </row>
    <row r="3688" spans="1:4" x14ac:dyDescent="0.3">
      <c r="A3688" s="20">
        <v>45453.127778000002</v>
      </c>
      <c r="B3688" s="17">
        <v>61.665143999999998</v>
      </c>
      <c r="C3688" s="18"/>
      <c r="D3688" s="19"/>
    </row>
    <row r="3689" spans="1:4" x14ac:dyDescent="0.3">
      <c r="A3689" s="20">
        <v>45453.128471999997</v>
      </c>
      <c r="B3689" s="17">
        <v>61.926422000000002</v>
      </c>
      <c r="C3689" s="18"/>
      <c r="D3689" s="19"/>
    </row>
    <row r="3690" spans="1:4" x14ac:dyDescent="0.3">
      <c r="A3690" s="20">
        <v>45453.129166999999</v>
      </c>
      <c r="B3690" s="17">
        <v>62.354086000000002</v>
      </c>
      <c r="C3690" s="18"/>
      <c r="D3690" s="19"/>
    </row>
    <row r="3691" spans="1:4" x14ac:dyDescent="0.3">
      <c r="A3691" s="20">
        <v>45453.129861000001</v>
      </c>
      <c r="B3691" s="17">
        <v>61.552767000000003</v>
      </c>
      <c r="C3691" s="18"/>
      <c r="D3691" s="19"/>
    </row>
    <row r="3692" spans="1:4" x14ac:dyDescent="0.3">
      <c r="A3692" s="20">
        <v>45453.130555999996</v>
      </c>
      <c r="B3692" s="17">
        <v>61.212466999999997</v>
      </c>
      <c r="C3692" s="18"/>
      <c r="D3692" s="19"/>
    </row>
    <row r="3693" spans="1:4" x14ac:dyDescent="0.3">
      <c r="A3693" s="20">
        <v>45453.131249999999</v>
      </c>
      <c r="B3693" s="17">
        <v>61.596786999999999</v>
      </c>
      <c r="C3693" s="18"/>
      <c r="D3693" s="19"/>
    </row>
    <row r="3694" spans="1:4" x14ac:dyDescent="0.3">
      <c r="A3694" s="20">
        <v>45453.131944000001</v>
      </c>
      <c r="B3694" s="17">
        <v>61.101106000000001</v>
      </c>
      <c r="C3694" s="18"/>
      <c r="D3694" s="19"/>
    </row>
    <row r="3695" spans="1:4" x14ac:dyDescent="0.3">
      <c r="A3695" s="20">
        <v>45453.132639000003</v>
      </c>
      <c r="B3695" s="17">
        <v>61.838686000000003</v>
      </c>
      <c r="C3695" s="18"/>
      <c r="D3695" s="19"/>
    </row>
    <row r="3696" spans="1:4" x14ac:dyDescent="0.3">
      <c r="A3696" s="20">
        <v>45453.133332999998</v>
      </c>
      <c r="B3696" s="17">
        <v>61.437959999999997</v>
      </c>
      <c r="C3696" s="18"/>
      <c r="D3696" s="19"/>
    </row>
    <row r="3697" spans="1:4" x14ac:dyDescent="0.3">
      <c r="A3697" s="20">
        <v>45453.134028</v>
      </c>
      <c r="B3697" s="17">
        <v>61.680067999999999</v>
      </c>
      <c r="C3697" s="18"/>
      <c r="D3697" s="19"/>
    </row>
    <row r="3698" spans="1:4" x14ac:dyDescent="0.3">
      <c r="A3698" s="20">
        <v>45453.134722000003</v>
      </c>
      <c r="B3698" s="17">
        <v>61.314089000000003</v>
      </c>
      <c r="C3698" s="18"/>
      <c r="D3698" s="19"/>
    </row>
    <row r="3699" spans="1:4" x14ac:dyDescent="0.3">
      <c r="A3699" s="20">
        <v>45453.135416999998</v>
      </c>
      <c r="B3699" s="17">
        <v>61.643532999999998</v>
      </c>
      <c r="C3699" s="18"/>
      <c r="D3699" s="19"/>
    </row>
    <row r="3700" spans="1:4" x14ac:dyDescent="0.3">
      <c r="A3700" s="20">
        <v>45453.136111</v>
      </c>
      <c r="B3700" s="17">
        <v>62.182490999999999</v>
      </c>
      <c r="C3700" s="18"/>
      <c r="D3700" s="19"/>
    </row>
    <row r="3701" spans="1:4" x14ac:dyDescent="0.3">
      <c r="A3701" s="20">
        <v>45453.136806000002</v>
      </c>
      <c r="B3701" s="17">
        <v>62.000112999999999</v>
      </c>
      <c r="C3701" s="18"/>
      <c r="D3701" s="19"/>
    </row>
    <row r="3702" spans="1:4" x14ac:dyDescent="0.3">
      <c r="A3702" s="20">
        <v>45453.137499999997</v>
      </c>
      <c r="B3702" s="17">
        <v>61.632165999999998</v>
      </c>
      <c r="C3702" s="18"/>
      <c r="D3702" s="19"/>
    </row>
    <row r="3703" spans="1:4" x14ac:dyDescent="0.3">
      <c r="A3703" s="20">
        <v>45453.138193999999</v>
      </c>
      <c r="B3703" s="17">
        <v>61.659560999999997</v>
      </c>
      <c r="C3703" s="18"/>
      <c r="D3703" s="19"/>
    </row>
    <row r="3704" spans="1:4" x14ac:dyDescent="0.3">
      <c r="A3704" s="20">
        <v>45453.138889000002</v>
      </c>
      <c r="B3704" s="17">
        <v>61.085448</v>
      </c>
      <c r="C3704" s="18"/>
      <c r="D3704" s="19"/>
    </row>
    <row r="3705" spans="1:4" x14ac:dyDescent="0.3">
      <c r="A3705" s="20">
        <v>45453.139582999996</v>
      </c>
      <c r="B3705" s="17">
        <v>61.588282999999997</v>
      </c>
      <c r="C3705" s="18"/>
      <c r="D3705" s="19"/>
    </row>
    <row r="3706" spans="1:4" x14ac:dyDescent="0.3">
      <c r="A3706" s="20">
        <v>45453.140277999999</v>
      </c>
      <c r="B3706" s="17">
        <v>62.080646999999999</v>
      </c>
      <c r="C3706" s="18"/>
      <c r="D3706" s="19"/>
    </row>
    <row r="3707" spans="1:4" x14ac:dyDescent="0.3">
      <c r="A3707" s="20">
        <v>45453.140972000001</v>
      </c>
      <c r="B3707" s="17">
        <v>61.866608999999997</v>
      </c>
      <c r="C3707" s="18"/>
      <c r="D3707" s="19"/>
    </row>
    <row r="3708" spans="1:4" x14ac:dyDescent="0.3">
      <c r="A3708" s="20">
        <v>45453.141667000004</v>
      </c>
      <c r="B3708" s="17">
        <v>61.959045000000003</v>
      </c>
      <c r="C3708" s="18"/>
      <c r="D3708" s="19"/>
    </row>
    <row r="3709" spans="1:4" x14ac:dyDescent="0.3">
      <c r="A3709" s="20">
        <v>45453.142360999998</v>
      </c>
      <c r="B3709" s="17">
        <v>61.103490999999998</v>
      </c>
      <c r="C3709" s="18"/>
      <c r="D3709" s="19"/>
    </row>
    <row r="3710" spans="1:4" x14ac:dyDescent="0.3">
      <c r="A3710" s="20">
        <v>45453.143056000001</v>
      </c>
      <c r="B3710" s="17">
        <v>61.619543</v>
      </c>
      <c r="C3710" s="18"/>
      <c r="D3710" s="19"/>
    </row>
    <row r="3711" spans="1:4" x14ac:dyDescent="0.3">
      <c r="A3711" s="20">
        <v>45453.143750000003</v>
      </c>
      <c r="B3711" s="17">
        <v>61.971186000000003</v>
      </c>
      <c r="C3711" s="18"/>
      <c r="D3711" s="19"/>
    </row>
    <row r="3712" spans="1:4" x14ac:dyDescent="0.3">
      <c r="A3712" s="20">
        <v>45453.144443999998</v>
      </c>
      <c r="B3712" s="17">
        <v>60.826349</v>
      </c>
      <c r="C3712" s="18"/>
      <c r="D3712" s="19"/>
    </row>
    <row r="3713" spans="1:4" x14ac:dyDescent="0.3">
      <c r="A3713" s="20">
        <v>45453.145139</v>
      </c>
      <c r="B3713" s="17">
        <v>61.179226999999997</v>
      </c>
      <c r="C3713" s="18"/>
      <c r="D3713" s="19"/>
    </row>
    <row r="3714" spans="1:4" x14ac:dyDescent="0.3">
      <c r="A3714" s="20">
        <v>45453.145833000002</v>
      </c>
      <c r="B3714" s="17">
        <v>61.630070000000003</v>
      </c>
      <c r="C3714" s="18"/>
      <c r="D3714" s="19"/>
    </row>
    <row r="3715" spans="1:4" x14ac:dyDescent="0.3">
      <c r="A3715" s="20">
        <v>45453.146527999997</v>
      </c>
      <c r="B3715" s="17">
        <v>61.803275999999997</v>
      </c>
      <c r="C3715" s="18"/>
      <c r="D3715" s="19"/>
    </row>
    <row r="3716" spans="1:4" x14ac:dyDescent="0.3">
      <c r="A3716" s="20">
        <v>45453.147222</v>
      </c>
      <c r="B3716" s="17">
        <v>62.005955999999998</v>
      </c>
      <c r="C3716" s="18"/>
      <c r="D3716" s="19"/>
    </row>
    <row r="3717" spans="1:4" x14ac:dyDescent="0.3">
      <c r="A3717" s="20">
        <v>45453.147917000002</v>
      </c>
      <c r="B3717" s="17">
        <v>61.691198</v>
      </c>
      <c r="C3717" s="18"/>
      <c r="D3717" s="19"/>
    </row>
    <row r="3718" spans="1:4" x14ac:dyDescent="0.3">
      <c r="A3718" s="20">
        <v>45453.148610999997</v>
      </c>
      <c r="B3718" s="17">
        <v>62.160969999999999</v>
      </c>
      <c r="C3718" s="18"/>
      <c r="D3718" s="19"/>
    </row>
    <row r="3719" spans="1:4" x14ac:dyDescent="0.3">
      <c r="A3719" s="20">
        <v>45453.149305999999</v>
      </c>
      <c r="B3719" s="17">
        <v>61.662418000000002</v>
      </c>
      <c r="C3719" s="18"/>
      <c r="D3719" s="19"/>
    </row>
    <row r="3720" spans="1:4" x14ac:dyDescent="0.3">
      <c r="A3720" s="20">
        <v>45453.15</v>
      </c>
      <c r="B3720" s="17">
        <v>61.860914000000001</v>
      </c>
      <c r="C3720" s="18"/>
      <c r="D3720" s="19"/>
    </row>
    <row r="3721" spans="1:4" x14ac:dyDescent="0.3">
      <c r="A3721" s="20">
        <v>45453.150694000004</v>
      </c>
      <c r="B3721" s="17">
        <v>61.762118999999998</v>
      </c>
      <c r="C3721" s="18"/>
      <c r="D3721" s="19"/>
    </row>
    <row r="3722" spans="1:4" x14ac:dyDescent="0.3">
      <c r="A3722" s="20">
        <v>45453.151388999999</v>
      </c>
      <c r="B3722" s="17">
        <v>61.612090999999999</v>
      </c>
      <c r="C3722" s="18"/>
      <c r="D3722" s="19"/>
    </row>
    <row r="3723" spans="1:4" x14ac:dyDescent="0.3">
      <c r="A3723" s="20">
        <v>45453.152083000001</v>
      </c>
      <c r="B3723" s="17">
        <v>62.116294000000003</v>
      </c>
      <c r="C3723" s="18"/>
      <c r="D3723" s="19"/>
    </row>
    <row r="3724" spans="1:4" x14ac:dyDescent="0.3">
      <c r="A3724" s="20">
        <v>45453.152778000003</v>
      </c>
      <c r="B3724" s="17">
        <v>61.729069000000003</v>
      </c>
      <c r="C3724" s="18"/>
      <c r="D3724" s="19"/>
    </row>
    <row r="3725" spans="1:4" x14ac:dyDescent="0.3">
      <c r="A3725" s="20">
        <v>45453.153471999998</v>
      </c>
      <c r="B3725" s="17">
        <v>61.825736999999997</v>
      </c>
      <c r="C3725" s="18"/>
      <c r="D3725" s="19"/>
    </row>
    <row r="3726" spans="1:4" x14ac:dyDescent="0.3">
      <c r="A3726" s="20">
        <v>45453.154167000001</v>
      </c>
      <c r="B3726" s="17">
        <v>61.457073999999999</v>
      </c>
      <c r="C3726" s="18"/>
      <c r="D3726" s="19"/>
    </row>
    <row r="3727" spans="1:4" x14ac:dyDescent="0.3">
      <c r="A3727" s="20">
        <v>45453.154861000003</v>
      </c>
      <c r="B3727" s="17">
        <v>62.290500999999999</v>
      </c>
      <c r="C3727" s="18"/>
      <c r="D3727" s="19"/>
    </row>
    <row r="3728" spans="1:4" x14ac:dyDescent="0.3">
      <c r="A3728" s="20">
        <v>45453.155555999998</v>
      </c>
      <c r="B3728" s="17">
        <v>62.107467</v>
      </c>
      <c r="C3728" s="18"/>
      <c r="D3728" s="19"/>
    </row>
    <row r="3729" spans="1:4" x14ac:dyDescent="0.3">
      <c r="A3729" s="20">
        <v>45453.15625</v>
      </c>
      <c r="B3729" s="17">
        <v>61.600627000000003</v>
      </c>
      <c r="C3729" s="18"/>
      <c r="D3729" s="19"/>
    </row>
    <row r="3730" spans="1:4" x14ac:dyDescent="0.3">
      <c r="A3730" s="20">
        <v>45453.156944000002</v>
      </c>
      <c r="B3730" s="17">
        <v>61.633895000000003</v>
      </c>
      <c r="C3730" s="18"/>
      <c r="D3730" s="19"/>
    </row>
    <row r="3731" spans="1:4" x14ac:dyDescent="0.3">
      <c r="A3731" s="20">
        <v>45453.157638999997</v>
      </c>
      <c r="B3731" s="17">
        <v>61.445968000000001</v>
      </c>
      <c r="C3731" s="18"/>
      <c r="D3731" s="19"/>
    </row>
    <row r="3732" spans="1:4" x14ac:dyDescent="0.3">
      <c r="A3732" s="20">
        <v>45453.158332999999</v>
      </c>
      <c r="B3732" s="17">
        <v>61.609838000000003</v>
      </c>
      <c r="C3732" s="18"/>
      <c r="D3732" s="19"/>
    </row>
    <row r="3733" spans="1:4" x14ac:dyDescent="0.3">
      <c r="A3733" s="20">
        <v>45453.159028000002</v>
      </c>
      <c r="B3733" s="17">
        <v>61.236669999999997</v>
      </c>
      <c r="C3733" s="18"/>
      <c r="D3733" s="19"/>
    </row>
    <row r="3734" spans="1:4" x14ac:dyDescent="0.3">
      <c r="A3734" s="20">
        <v>45453.159721999997</v>
      </c>
      <c r="B3734" s="17">
        <v>61.060656999999999</v>
      </c>
      <c r="C3734" s="18"/>
      <c r="D3734" s="19"/>
    </row>
    <row r="3735" spans="1:4" x14ac:dyDescent="0.3">
      <c r="A3735" s="20">
        <v>45453.160416999999</v>
      </c>
      <c r="B3735" s="17">
        <v>62.490271</v>
      </c>
      <c r="C3735" s="18"/>
      <c r="D3735" s="19"/>
    </row>
    <row r="3736" spans="1:4" x14ac:dyDescent="0.3">
      <c r="A3736" s="20">
        <v>45453.161111000001</v>
      </c>
      <c r="B3736" s="17">
        <v>61.791308999999998</v>
      </c>
      <c r="C3736" s="18"/>
      <c r="D3736" s="19"/>
    </row>
    <row r="3737" spans="1:4" x14ac:dyDescent="0.3">
      <c r="A3737" s="20">
        <v>45453.161805999996</v>
      </c>
      <c r="B3737" s="17">
        <v>61.953696999999998</v>
      </c>
      <c r="C3737" s="18"/>
      <c r="D3737" s="19"/>
    </row>
    <row r="3738" spans="1:4" x14ac:dyDescent="0.3">
      <c r="A3738" s="20">
        <v>45453.162499999999</v>
      </c>
      <c r="B3738" s="17">
        <v>61.699331000000001</v>
      </c>
      <c r="C3738" s="18"/>
      <c r="D3738" s="19"/>
    </row>
    <row r="3739" spans="1:4" x14ac:dyDescent="0.3">
      <c r="A3739" s="20">
        <v>45453.163194000001</v>
      </c>
      <c r="B3739" s="17">
        <v>61.485557999999997</v>
      </c>
      <c r="C3739" s="18"/>
      <c r="D3739" s="19"/>
    </row>
    <row r="3740" spans="1:4" x14ac:dyDescent="0.3">
      <c r="A3740" s="20">
        <v>45453.163889000003</v>
      </c>
      <c r="B3740" s="17">
        <v>62.195841000000001</v>
      </c>
      <c r="C3740" s="18"/>
      <c r="D3740" s="19"/>
    </row>
    <row r="3741" spans="1:4" x14ac:dyDescent="0.3">
      <c r="A3741" s="20">
        <v>45453.164582999998</v>
      </c>
      <c r="B3741" s="17">
        <v>61.992545</v>
      </c>
      <c r="C3741" s="18"/>
      <c r="D3741" s="19"/>
    </row>
    <row r="3742" spans="1:4" x14ac:dyDescent="0.3">
      <c r="A3742" s="20">
        <v>45453.165278</v>
      </c>
      <c r="B3742" s="17">
        <v>61.762292000000002</v>
      </c>
      <c r="C3742" s="18"/>
      <c r="D3742" s="19"/>
    </row>
    <row r="3743" spans="1:4" x14ac:dyDescent="0.3">
      <c r="A3743" s="20">
        <v>45453.165972000003</v>
      </c>
      <c r="B3743" s="17">
        <v>61.829148000000004</v>
      </c>
      <c r="C3743" s="18"/>
      <c r="D3743" s="19"/>
    </row>
    <row r="3744" spans="1:4" x14ac:dyDescent="0.3">
      <c r="A3744" s="20">
        <v>45453.166666999998</v>
      </c>
      <c r="B3744" s="17">
        <v>61.695968999999998</v>
      </c>
      <c r="C3744" s="18"/>
      <c r="D3744" s="19"/>
    </row>
    <row r="3745" spans="1:4" x14ac:dyDescent="0.3">
      <c r="A3745" s="20">
        <v>45453.167361</v>
      </c>
      <c r="B3745" s="17">
        <v>61.572082999999999</v>
      </c>
      <c r="C3745" s="18"/>
      <c r="D3745" s="19"/>
    </row>
    <row r="3746" spans="1:4" x14ac:dyDescent="0.3">
      <c r="A3746" s="20">
        <v>45453.168056000002</v>
      </c>
      <c r="B3746" s="17">
        <v>61.719729000000001</v>
      </c>
      <c r="C3746" s="18"/>
      <c r="D3746" s="19"/>
    </row>
    <row r="3747" spans="1:4" x14ac:dyDescent="0.3">
      <c r="A3747" s="20">
        <v>45453.168749999997</v>
      </c>
      <c r="B3747" s="17">
        <v>61.905946</v>
      </c>
      <c r="C3747" s="18"/>
      <c r="D3747" s="19"/>
    </row>
    <row r="3748" spans="1:4" x14ac:dyDescent="0.3">
      <c r="A3748" s="20">
        <v>45453.169443999999</v>
      </c>
      <c r="B3748" s="17">
        <v>61.745474999999999</v>
      </c>
      <c r="C3748" s="18"/>
      <c r="D3748" s="19"/>
    </row>
    <row r="3749" spans="1:4" x14ac:dyDescent="0.3">
      <c r="A3749" s="20">
        <v>45453.170139000002</v>
      </c>
      <c r="B3749" s="17">
        <v>61.699756000000001</v>
      </c>
      <c r="C3749" s="18"/>
      <c r="D3749" s="19"/>
    </row>
    <row r="3750" spans="1:4" x14ac:dyDescent="0.3">
      <c r="A3750" s="20">
        <v>45453.170832999996</v>
      </c>
      <c r="B3750" s="17">
        <v>61.666922</v>
      </c>
      <c r="C3750" s="18"/>
      <c r="D3750" s="19"/>
    </row>
    <row r="3751" spans="1:4" x14ac:dyDescent="0.3">
      <c r="A3751" s="20">
        <v>45453.171527999999</v>
      </c>
      <c r="B3751" s="17">
        <v>61.743206999999998</v>
      </c>
      <c r="C3751" s="18"/>
      <c r="D3751" s="19"/>
    </row>
    <row r="3752" spans="1:4" x14ac:dyDescent="0.3">
      <c r="A3752" s="20">
        <v>45453.172222000001</v>
      </c>
      <c r="B3752" s="17">
        <v>61.523288999999998</v>
      </c>
      <c r="C3752" s="18"/>
      <c r="D3752" s="19"/>
    </row>
    <row r="3753" spans="1:4" x14ac:dyDescent="0.3">
      <c r="A3753" s="20">
        <v>45453.172917000004</v>
      </c>
      <c r="B3753" s="17">
        <v>61.472062999999999</v>
      </c>
      <c r="C3753" s="18"/>
      <c r="D3753" s="19"/>
    </row>
    <row r="3754" spans="1:4" x14ac:dyDescent="0.3">
      <c r="A3754" s="20">
        <v>45453.173610999998</v>
      </c>
      <c r="B3754" s="17">
        <v>61.476618999999999</v>
      </c>
      <c r="C3754" s="18"/>
      <c r="D3754" s="19"/>
    </row>
    <row r="3755" spans="1:4" x14ac:dyDescent="0.3">
      <c r="A3755" s="20">
        <v>45453.174306000001</v>
      </c>
      <c r="B3755" s="17">
        <v>61.347074999999997</v>
      </c>
      <c r="C3755" s="18"/>
      <c r="D3755" s="19"/>
    </row>
    <row r="3756" spans="1:4" x14ac:dyDescent="0.3">
      <c r="A3756" s="20">
        <v>45453.175000000003</v>
      </c>
      <c r="B3756" s="17">
        <v>61.307012</v>
      </c>
      <c r="C3756" s="18"/>
      <c r="D3756" s="19"/>
    </row>
    <row r="3757" spans="1:4" x14ac:dyDescent="0.3">
      <c r="A3757" s="20">
        <v>45453.175693999998</v>
      </c>
      <c r="B3757" s="17">
        <v>61.758391000000003</v>
      </c>
      <c r="C3757" s="18"/>
      <c r="D3757" s="19"/>
    </row>
    <row r="3758" spans="1:4" x14ac:dyDescent="0.3">
      <c r="A3758" s="20">
        <v>45453.176389</v>
      </c>
      <c r="B3758" s="17">
        <v>61.543874000000002</v>
      </c>
      <c r="C3758" s="18"/>
      <c r="D3758" s="19"/>
    </row>
    <row r="3759" spans="1:4" x14ac:dyDescent="0.3">
      <c r="A3759" s="20">
        <v>45453.177083000002</v>
      </c>
      <c r="B3759" s="17">
        <v>61.894787999999998</v>
      </c>
      <c r="C3759" s="18"/>
      <c r="D3759" s="19"/>
    </row>
    <row r="3760" spans="1:4" x14ac:dyDescent="0.3">
      <c r="A3760" s="20">
        <v>45453.177777999997</v>
      </c>
      <c r="B3760" s="17">
        <v>61.398741000000001</v>
      </c>
      <c r="C3760" s="18"/>
      <c r="D3760" s="19"/>
    </row>
    <row r="3761" spans="1:4" x14ac:dyDescent="0.3">
      <c r="A3761" s="20">
        <v>45453.178472</v>
      </c>
      <c r="B3761" s="17">
        <v>61.507323999999997</v>
      </c>
      <c r="C3761" s="18"/>
      <c r="D3761" s="19"/>
    </row>
    <row r="3762" spans="1:4" x14ac:dyDescent="0.3">
      <c r="A3762" s="20">
        <v>45453.179167000002</v>
      </c>
      <c r="B3762" s="17">
        <v>61.481828999999998</v>
      </c>
      <c r="C3762" s="18"/>
      <c r="D3762" s="19"/>
    </row>
    <row r="3763" spans="1:4" x14ac:dyDescent="0.3">
      <c r="A3763" s="20">
        <v>45453.179860999997</v>
      </c>
      <c r="B3763" s="17">
        <v>62.314554000000001</v>
      </c>
      <c r="C3763" s="18"/>
      <c r="D3763" s="19"/>
    </row>
    <row r="3764" spans="1:4" x14ac:dyDescent="0.3">
      <c r="A3764" s="20">
        <v>45453.180555999999</v>
      </c>
      <c r="B3764" s="17">
        <v>61.996504000000002</v>
      </c>
      <c r="C3764" s="18"/>
      <c r="D3764" s="19"/>
    </row>
    <row r="3765" spans="1:4" x14ac:dyDescent="0.3">
      <c r="A3765" s="20">
        <v>45453.181250000001</v>
      </c>
      <c r="B3765" s="17">
        <v>61.214315999999997</v>
      </c>
      <c r="C3765" s="18"/>
      <c r="D3765" s="19"/>
    </row>
    <row r="3766" spans="1:4" x14ac:dyDescent="0.3">
      <c r="A3766" s="20">
        <v>45453.181944000004</v>
      </c>
      <c r="B3766" s="17">
        <v>61.766551999999997</v>
      </c>
      <c r="C3766" s="18"/>
      <c r="D3766" s="19"/>
    </row>
    <row r="3767" spans="1:4" x14ac:dyDescent="0.3">
      <c r="A3767" s="20">
        <v>45453.182638999999</v>
      </c>
      <c r="B3767" s="17">
        <v>61.762743999999998</v>
      </c>
      <c r="C3767" s="18"/>
      <c r="D3767" s="19"/>
    </row>
    <row r="3768" spans="1:4" x14ac:dyDescent="0.3">
      <c r="A3768" s="20">
        <v>45453.183333000001</v>
      </c>
      <c r="B3768" s="17">
        <v>61.830829999999999</v>
      </c>
      <c r="C3768" s="18"/>
      <c r="D3768" s="19"/>
    </row>
    <row r="3769" spans="1:4" x14ac:dyDescent="0.3">
      <c r="A3769" s="20">
        <v>45453.184028000003</v>
      </c>
      <c r="B3769" s="17">
        <v>62.108491999999998</v>
      </c>
      <c r="C3769" s="18"/>
      <c r="D3769" s="19"/>
    </row>
    <row r="3770" spans="1:4" x14ac:dyDescent="0.3">
      <c r="A3770" s="20">
        <v>45453.184721999998</v>
      </c>
      <c r="B3770" s="17">
        <v>61.429020000000001</v>
      </c>
      <c r="C3770" s="18"/>
      <c r="D3770" s="19"/>
    </row>
    <row r="3771" spans="1:4" x14ac:dyDescent="0.3">
      <c r="A3771" s="20">
        <v>45453.185417000001</v>
      </c>
      <c r="B3771" s="17">
        <v>61.333613</v>
      </c>
      <c r="C3771" s="18"/>
      <c r="D3771" s="19"/>
    </row>
    <row r="3772" spans="1:4" x14ac:dyDescent="0.3">
      <c r="A3772" s="20">
        <v>45453.186111000003</v>
      </c>
      <c r="B3772" s="17">
        <v>61.841695000000001</v>
      </c>
      <c r="C3772" s="18"/>
      <c r="D3772" s="19"/>
    </row>
    <row r="3773" spans="1:4" x14ac:dyDescent="0.3">
      <c r="A3773" s="20">
        <v>45453.186805999998</v>
      </c>
      <c r="B3773" s="17">
        <v>62.242002999999997</v>
      </c>
      <c r="C3773" s="18"/>
      <c r="D3773" s="19"/>
    </row>
    <row r="3774" spans="1:4" x14ac:dyDescent="0.3">
      <c r="A3774" s="20">
        <v>45453.1875</v>
      </c>
      <c r="B3774" s="17">
        <v>61.965853000000003</v>
      </c>
      <c r="C3774" s="18"/>
      <c r="D3774" s="19"/>
    </row>
    <row r="3775" spans="1:4" x14ac:dyDescent="0.3">
      <c r="A3775" s="20">
        <v>45453.188194000002</v>
      </c>
      <c r="B3775" s="17">
        <v>61.303682999999999</v>
      </c>
      <c r="C3775" s="18"/>
      <c r="D3775" s="19"/>
    </row>
    <row r="3776" spans="1:4" x14ac:dyDescent="0.3">
      <c r="A3776" s="20">
        <v>45453.188888999997</v>
      </c>
      <c r="B3776" s="17">
        <v>61.707501000000001</v>
      </c>
      <c r="C3776" s="18"/>
      <c r="D3776" s="19"/>
    </row>
    <row r="3777" spans="1:4" x14ac:dyDescent="0.3">
      <c r="A3777" s="20">
        <v>45453.189582999999</v>
      </c>
      <c r="B3777" s="17">
        <v>61.712341000000002</v>
      </c>
      <c r="C3777" s="18"/>
      <c r="D3777" s="19"/>
    </row>
    <row r="3778" spans="1:4" x14ac:dyDescent="0.3">
      <c r="A3778" s="20">
        <v>45453.190278000002</v>
      </c>
      <c r="B3778" s="17">
        <v>61.834018</v>
      </c>
      <c r="C3778" s="18"/>
      <c r="D3778" s="19"/>
    </row>
    <row r="3779" spans="1:4" x14ac:dyDescent="0.3">
      <c r="A3779" s="20">
        <v>45453.190971999997</v>
      </c>
      <c r="B3779" s="17">
        <v>61.458032000000003</v>
      </c>
      <c r="C3779" s="18"/>
      <c r="D3779" s="19"/>
    </row>
    <row r="3780" spans="1:4" x14ac:dyDescent="0.3">
      <c r="A3780" s="20">
        <v>45453.191666999999</v>
      </c>
      <c r="B3780" s="17">
        <v>61.830699000000003</v>
      </c>
      <c r="C3780" s="18"/>
      <c r="D3780" s="19"/>
    </row>
    <row r="3781" spans="1:4" x14ac:dyDescent="0.3">
      <c r="A3781" s="20">
        <v>45453.192361000001</v>
      </c>
      <c r="B3781" s="17">
        <v>61.886902999999997</v>
      </c>
      <c r="C3781" s="18"/>
      <c r="D3781" s="19"/>
    </row>
    <row r="3782" spans="1:4" x14ac:dyDescent="0.3">
      <c r="A3782" s="20">
        <v>45453.193055999996</v>
      </c>
      <c r="B3782" s="17">
        <v>61.639679000000001</v>
      </c>
      <c r="C3782" s="18"/>
      <c r="D3782" s="19"/>
    </row>
    <row r="3783" spans="1:4" x14ac:dyDescent="0.3">
      <c r="A3783" s="20">
        <v>45453.193749999999</v>
      </c>
      <c r="B3783" s="17">
        <v>61.561607000000002</v>
      </c>
      <c r="C3783" s="18"/>
      <c r="D3783" s="19"/>
    </row>
    <row r="3784" spans="1:4" x14ac:dyDescent="0.3">
      <c r="A3784" s="20">
        <v>45453.194444000001</v>
      </c>
      <c r="B3784" s="17">
        <v>61.388399999999997</v>
      </c>
      <c r="C3784" s="18"/>
      <c r="D3784" s="19"/>
    </row>
    <row r="3785" spans="1:4" x14ac:dyDescent="0.3">
      <c r="A3785" s="20">
        <v>45453.195139000003</v>
      </c>
      <c r="B3785" s="17">
        <v>61.349200000000003</v>
      </c>
      <c r="C3785" s="18"/>
      <c r="D3785" s="19"/>
    </row>
    <row r="3786" spans="1:4" x14ac:dyDescent="0.3">
      <c r="A3786" s="20">
        <v>45453.195832999998</v>
      </c>
      <c r="B3786" s="17">
        <v>61.142412</v>
      </c>
      <c r="C3786" s="18"/>
      <c r="D3786" s="19"/>
    </row>
    <row r="3787" spans="1:4" x14ac:dyDescent="0.3">
      <c r="A3787" s="20">
        <v>45453.196528</v>
      </c>
      <c r="B3787" s="17">
        <v>62.047722</v>
      </c>
      <c r="C3787" s="18"/>
      <c r="D3787" s="19"/>
    </row>
    <row r="3788" spans="1:4" x14ac:dyDescent="0.3">
      <c r="A3788" s="20">
        <v>45453.197222000003</v>
      </c>
      <c r="B3788" s="17">
        <v>61.879632000000001</v>
      </c>
      <c r="C3788" s="18"/>
      <c r="D3788" s="19"/>
    </row>
    <row r="3789" spans="1:4" x14ac:dyDescent="0.3">
      <c r="A3789" s="20">
        <v>45453.197916999998</v>
      </c>
      <c r="B3789" s="17">
        <v>61.450077</v>
      </c>
      <c r="C3789" s="18"/>
      <c r="D3789" s="19"/>
    </row>
    <row r="3790" spans="1:4" x14ac:dyDescent="0.3">
      <c r="A3790" s="20">
        <v>45453.198611</v>
      </c>
      <c r="B3790" s="17">
        <v>61.869880999999999</v>
      </c>
      <c r="C3790" s="18"/>
      <c r="D3790" s="19"/>
    </row>
    <row r="3791" spans="1:4" x14ac:dyDescent="0.3">
      <c r="A3791" s="20">
        <v>45453.199306000002</v>
      </c>
      <c r="B3791" s="17">
        <v>61.698014999999998</v>
      </c>
      <c r="C3791" s="18"/>
      <c r="D3791" s="19"/>
    </row>
    <row r="3792" spans="1:4" x14ac:dyDescent="0.3">
      <c r="A3792" s="20">
        <v>45453.2</v>
      </c>
      <c r="B3792" s="17">
        <v>61.654629</v>
      </c>
      <c r="C3792" s="18"/>
      <c r="D3792" s="19"/>
    </row>
    <row r="3793" spans="1:4" x14ac:dyDescent="0.3">
      <c r="A3793" s="20">
        <v>45453.200693999999</v>
      </c>
      <c r="B3793" s="17">
        <v>62.097814</v>
      </c>
      <c r="C3793" s="18"/>
      <c r="D3793" s="19"/>
    </row>
    <row r="3794" spans="1:4" x14ac:dyDescent="0.3">
      <c r="A3794" s="20">
        <v>45453.201389000002</v>
      </c>
      <c r="B3794" s="17">
        <v>61.672153000000002</v>
      </c>
      <c r="C3794" s="18"/>
      <c r="D3794" s="19"/>
    </row>
    <row r="3795" spans="1:4" x14ac:dyDescent="0.3">
      <c r="A3795" s="20">
        <v>45453.202082999996</v>
      </c>
      <c r="B3795" s="17">
        <v>61.506183</v>
      </c>
      <c r="C3795" s="18"/>
      <c r="D3795" s="19"/>
    </row>
    <row r="3796" spans="1:4" x14ac:dyDescent="0.3">
      <c r="A3796" s="20">
        <v>45453.202777999999</v>
      </c>
      <c r="B3796" s="17">
        <v>61.704996000000001</v>
      </c>
      <c r="C3796" s="18"/>
      <c r="D3796" s="19"/>
    </row>
    <row r="3797" spans="1:4" x14ac:dyDescent="0.3">
      <c r="A3797" s="20">
        <v>45453.203472000001</v>
      </c>
      <c r="B3797" s="17">
        <v>61.054606</v>
      </c>
      <c r="C3797" s="18"/>
      <c r="D3797" s="19"/>
    </row>
    <row r="3798" spans="1:4" x14ac:dyDescent="0.3">
      <c r="A3798" s="20">
        <v>45453.204167000004</v>
      </c>
      <c r="B3798" s="17">
        <v>61.511423999999998</v>
      </c>
      <c r="C3798" s="18"/>
      <c r="D3798" s="19"/>
    </row>
    <row r="3799" spans="1:4" x14ac:dyDescent="0.3">
      <c r="A3799" s="20">
        <v>45453.204860999998</v>
      </c>
      <c r="B3799" s="17">
        <v>61.711413</v>
      </c>
      <c r="C3799" s="18"/>
      <c r="D3799" s="19"/>
    </row>
    <row r="3800" spans="1:4" x14ac:dyDescent="0.3">
      <c r="A3800" s="20">
        <v>45453.205556000001</v>
      </c>
      <c r="B3800" s="17">
        <v>61.696202999999997</v>
      </c>
      <c r="C3800" s="18"/>
      <c r="D3800" s="19"/>
    </row>
    <row r="3801" spans="1:4" x14ac:dyDescent="0.3">
      <c r="A3801" s="20">
        <v>45453.206250000003</v>
      </c>
      <c r="B3801" s="17">
        <v>61.607436999999997</v>
      </c>
      <c r="C3801" s="18"/>
      <c r="D3801" s="19"/>
    </row>
    <row r="3802" spans="1:4" x14ac:dyDescent="0.3">
      <c r="A3802" s="20">
        <v>45453.206943999998</v>
      </c>
      <c r="B3802" s="17">
        <v>61.455540999999997</v>
      </c>
      <c r="C3802" s="18"/>
      <c r="D3802" s="19"/>
    </row>
    <row r="3803" spans="1:4" x14ac:dyDescent="0.3">
      <c r="A3803" s="20">
        <v>45453.207639</v>
      </c>
      <c r="B3803" s="17">
        <v>61.793897000000001</v>
      </c>
      <c r="C3803" s="18"/>
      <c r="D3803" s="19"/>
    </row>
    <row r="3804" spans="1:4" x14ac:dyDescent="0.3">
      <c r="A3804" s="20">
        <v>45453.208333000002</v>
      </c>
      <c r="B3804" s="17">
        <v>61.738768</v>
      </c>
      <c r="C3804" s="18"/>
      <c r="D3804" s="19"/>
    </row>
    <row r="3805" spans="1:4" x14ac:dyDescent="0.3">
      <c r="A3805" s="20">
        <v>45453.209027999997</v>
      </c>
      <c r="B3805" s="17">
        <v>61.611952000000002</v>
      </c>
      <c r="C3805" s="18"/>
      <c r="D3805" s="19"/>
    </row>
    <row r="3806" spans="1:4" x14ac:dyDescent="0.3">
      <c r="A3806" s="20">
        <v>45453.209722</v>
      </c>
      <c r="B3806" s="17">
        <v>61.569336999999997</v>
      </c>
      <c r="C3806" s="18"/>
      <c r="D3806" s="19"/>
    </row>
    <row r="3807" spans="1:4" x14ac:dyDescent="0.3">
      <c r="A3807" s="20">
        <v>45453.210417000002</v>
      </c>
      <c r="B3807" s="17">
        <v>61.687157999999997</v>
      </c>
      <c r="C3807" s="18"/>
      <c r="D3807" s="19"/>
    </row>
    <row r="3808" spans="1:4" x14ac:dyDescent="0.3">
      <c r="A3808" s="20">
        <v>45453.211110999997</v>
      </c>
      <c r="B3808" s="17">
        <v>61.350532000000001</v>
      </c>
      <c r="C3808" s="18"/>
      <c r="D3808" s="19"/>
    </row>
    <row r="3809" spans="1:4" x14ac:dyDescent="0.3">
      <c r="A3809" s="20">
        <v>45453.211805999999</v>
      </c>
      <c r="B3809" s="17">
        <v>61.490501999999999</v>
      </c>
      <c r="C3809" s="18"/>
      <c r="D3809" s="19"/>
    </row>
    <row r="3810" spans="1:4" x14ac:dyDescent="0.3">
      <c r="A3810" s="20">
        <v>45453.212500000001</v>
      </c>
      <c r="B3810" s="17">
        <v>62.149887</v>
      </c>
      <c r="C3810" s="18"/>
      <c r="D3810" s="19"/>
    </row>
    <row r="3811" spans="1:4" x14ac:dyDescent="0.3">
      <c r="A3811" s="20">
        <v>45453.213194000004</v>
      </c>
      <c r="B3811" s="17">
        <v>61.788201999999998</v>
      </c>
      <c r="C3811" s="18"/>
      <c r="D3811" s="19"/>
    </row>
    <row r="3812" spans="1:4" x14ac:dyDescent="0.3">
      <c r="A3812" s="20">
        <v>45453.213888999999</v>
      </c>
      <c r="B3812" s="17">
        <v>61.897103000000001</v>
      </c>
      <c r="C3812" s="18"/>
      <c r="D3812" s="19"/>
    </row>
    <row r="3813" spans="1:4" x14ac:dyDescent="0.3">
      <c r="A3813" s="20">
        <v>45453.214583000001</v>
      </c>
      <c r="B3813" s="17">
        <v>62.112245999999999</v>
      </c>
      <c r="C3813" s="18"/>
      <c r="D3813" s="19"/>
    </row>
    <row r="3814" spans="1:4" x14ac:dyDescent="0.3">
      <c r="A3814" s="20">
        <v>45453.215278000003</v>
      </c>
      <c r="B3814" s="17">
        <v>61.129655999999997</v>
      </c>
      <c r="C3814" s="18"/>
      <c r="D3814" s="19"/>
    </row>
    <row r="3815" spans="1:4" x14ac:dyDescent="0.3">
      <c r="A3815" s="20">
        <v>45453.215971999998</v>
      </c>
      <c r="B3815" s="17">
        <v>61.814857000000003</v>
      </c>
      <c r="C3815" s="18"/>
      <c r="D3815" s="19"/>
    </row>
    <row r="3816" spans="1:4" x14ac:dyDescent="0.3">
      <c r="A3816" s="20">
        <v>45453.216667000001</v>
      </c>
      <c r="B3816" s="17">
        <v>62.257784000000001</v>
      </c>
      <c r="C3816" s="18"/>
      <c r="D3816" s="19"/>
    </row>
    <row r="3817" spans="1:4" x14ac:dyDescent="0.3">
      <c r="A3817" s="20">
        <v>45453.217361000003</v>
      </c>
      <c r="B3817" s="17">
        <v>62.134633000000001</v>
      </c>
      <c r="C3817" s="18"/>
      <c r="D3817" s="19"/>
    </row>
    <row r="3818" spans="1:4" x14ac:dyDescent="0.3">
      <c r="A3818" s="20">
        <v>45453.218055999998</v>
      </c>
      <c r="B3818" s="17">
        <v>61.999226999999998</v>
      </c>
      <c r="C3818" s="18"/>
      <c r="D3818" s="19"/>
    </row>
    <row r="3819" spans="1:4" x14ac:dyDescent="0.3">
      <c r="A3819" s="20">
        <v>45453.21875</v>
      </c>
      <c r="B3819" s="17">
        <v>62.134912999999997</v>
      </c>
      <c r="C3819" s="18"/>
      <c r="D3819" s="19"/>
    </row>
    <row r="3820" spans="1:4" x14ac:dyDescent="0.3">
      <c r="A3820" s="20">
        <v>45453.219444000002</v>
      </c>
      <c r="B3820" s="17">
        <v>61.834395999999998</v>
      </c>
      <c r="C3820" s="18"/>
      <c r="D3820" s="19"/>
    </row>
    <row r="3821" spans="1:4" x14ac:dyDescent="0.3">
      <c r="A3821" s="20">
        <v>45453.220138999997</v>
      </c>
      <c r="B3821" s="17">
        <v>61.183154000000002</v>
      </c>
      <c r="C3821" s="18"/>
      <c r="D3821" s="19"/>
    </row>
    <row r="3822" spans="1:4" x14ac:dyDescent="0.3">
      <c r="A3822" s="20">
        <v>45453.220832999999</v>
      </c>
      <c r="B3822" s="17">
        <v>61.49521</v>
      </c>
      <c r="C3822" s="18"/>
      <c r="D3822" s="19"/>
    </row>
    <row r="3823" spans="1:4" x14ac:dyDescent="0.3">
      <c r="A3823" s="20">
        <v>45453.221528000002</v>
      </c>
      <c r="B3823" s="17">
        <v>62.121625999999999</v>
      </c>
      <c r="C3823" s="18"/>
      <c r="D3823" s="19"/>
    </row>
    <row r="3824" spans="1:4" x14ac:dyDescent="0.3">
      <c r="A3824" s="20">
        <v>45453.222221999997</v>
      </c>
      <c r="B3824" s="17">
        <v>61.522367000000003</v>
      </c>
      <c r="C3824" s="18"/>
      <c r="D3824" s="19"/>
    </row>
    <row r="3825" spans="1:4" x14ac:dyDescent="0.3">
      <c r="A3825" s="20">
        <v>45453.222916999999</v>
      </c>
      <c r="B3825" s="17">
        <v>61.830236999999997</v>
      </c>
      <c r="C3825" s="18"/>
      <c r="D3825" s="19"/>
    </row>
    <row r="3826" spans="1:4" x14ac:dyDescent="0.3">
      <c r="A3826" s="20">
        <v>45453.223611000001</v>
      </c>
      <c r="B3826" s="17">
        <v>61.153202999999998</v>
      </c>
      <c r="C3826" s="18"/>
      <c r="D3826" s="19"/>
    </row>
    <row r="3827" spans="1:4" x14ac:dyDescent="0.3">
      <c r="A3827" s="20">
        <v>45453.224305999996</v>
      </c>
      <c r="B3827" s="17">
        <v>61.671719000000003</v>
      </c>
      <c r="C3827" s="18"/>
      <c r="D3827" s="19"/>
    </row>
    <row r="3828" spans="1:4" x14ac:dyDescent="0.3">
      <c r="A3828" s="20">
        <v>45453.224999999999</v>
      </c>
      <c r="B3828" s="17">
        <v>61.930137999999999</v>
      </c>
      <c r="C3828" s="18"/>
      <c r="D3828" s="19"/>
    </row>
    <row r="3829" spans="1:4" x14ac:dyDescent="0.3">
      <c r="A3829" s="20">
        <v>45453.225694000001</v>
      </c>
      <c r="B3829" s="17">
        <v>61.895724000000001</v>
      </c>
      <c r="C3829" s="18"/>
      <c r="D3829" s="19"/>
    </row>
    <row r="3830" spans="1:4" x14ac:dyDescent="0.3">
      <c r="A3830" s="20">
        <v>45453.226389000003</v>
      </c>
      <c r="B3830" s="17">
        <v>61.768673999999997</v>
      </c>
      <c r="C3830" s="18"/>
      <c r="D3830" s="19"/>
    </row>
    <row r="3831" spans="1:4" x14ac:dyDescent="0.3">
      <c r="A3831" s="20">
        <v>45453.227082999998</v>
      </c>
      <c r="B3831" s="17">
        <v>61.675007999999998</v>
      </c>
      <c r="C3831" s="18"/>
      <c r="D3831" s="19"/>
    </row>
    <row r="3832" spans="1:4" x14ac:dyDescent="0.3">
      <c r="A3832" s="20">
        <v>45453.227778</v>
      </c>
      <c r="B3832" s="17">
        <v>61.396669000000003</v>
      </c>
      <c r="C3832" s="18"/>
      <c r="D3832" s="19"/>
    </row>
    <row r="3833" spans="1:4" x14ac:dyDescent="0.3">
      <c r="A3833" s="20">
        <v>45453.228472000003</v>
      </c>
      <c r="B3833" s="17">
        <v>61.958284999999997</v>
      </c>
      <c r="C3833" s="18"/>
      <c r="D3833" s="19"/>
    </row>
    <row r="3834" spans="1:4" x14ac:dyDescent="0.3">
      <c r="A3834" s="20">
        <v>45453.229166999998</v>
      </c>
      <c r="B3834" s="17">
        <v>62.207380000000001</v>
      </c>
      <c r="C3834" s="18"/>
      <c r="D3834" s="19"/>
    </row>
    <row r="3835" spans="1:4" x14ac:dyDescent="0.3">
      <c r="A3835" s="20">
        <v>45453.229861</v>
      </c>
      <c r="B3835" s="17">
        <v>61.946292999999997</v>
      </c>
      <c r="C3835" s="18"/>
      <c r="D3835" s="19"/>
    </row>
    <row r="3836" spans="1:4" x14ac:dyDescent="0.3">
      <c r="A3836" s="20">
        <v>45453.230556000002</v>
      </c>
      <c r="B3836" s="17">
        <v>62.251356000000001</v>
      </c>
      <c r="C3836" s="18"/>
      <c r="D3836" s="19"/>
    </row>
    <row r="3837" spans="1:4" x14ac:dyDescent="0.3">
      <c r="A3837" s="20">
        <v>45453.231249999997</v>
      </c>
      <c r="B3837" s="17">
        <v>61.860644999999998</v>
      </c>
      <c r="C3837" s="18"/>
      <c r="D3837" s="19"/>
    </row>
    <row r="3838" spans="1:4" x14ac:dyDescent="0.3">
      <c r="A3838" s="20">
        <v>45453.231943999999</v>
      </c>
      <c r="B3838" s="17">
        <v>61.562607</v>
      </c>
      <c r="C3838" s="18"/>
      <c r="D3838" s="19"/>
    </row>
    <row r="3839" spans="1:4" x14ac:dyDescent="0.3">
      <c r="A3839" s="20">
        <v>45453.232639000002</v>
      </c>
      <c r="B3839" s="17">
        <v>61.513612999999999</v>
      </c>
      <c r="C3839" s="18"/>
      <c r="D3839" s="19"/>
    </row>
    <row r="3840" spans="1:4" x14ac:dyDescent="0.3">
      <c r="A3840" s="20">
        <v>45453.233332999996</v>
      </c>
      <c r="B3840" s="17">
        <v>62.094678000000002</v>
      </c>
      <c r="C3840" s="18"/>
      <c r="D3840" s="19"/>
    </row>
    <row r="3841" spans="1:4" x14ac:dyDescent="0.3">
      <c r="A3841" s="20">
        <v>45453.234027999999</v>
      </c>
      <c r="B3841" s="17">
        <v>62.164025000000002</v>
      </c>
      <c r="C3841" s="18"/>
      <c r="D3841" s="19"/>
    </row>
    <row r="3842" spans="1:4" x14ac:dyDescent="0.3">
      <c r="A3842" s="20">
        <v>45453.234722000001</v>
      </c>
      <c r="B3842" s="17">
        <v>61.663775000000001</v>
      </c>
      <c r="C3842" s="18"/>
      <c r="D3842" s="19"/>
    </row>
    <row r="3843" spans="1:4" x14ac:dyDescent="0.3">
      <c r="A3843" s="20">
        <v>45453.235417000004</v>
      </c>
      <c r="B3843" s="17">
        <v>61.675322000000001</v>
      </c>
      <c r="C3843" s="18"/>
      <c r="D3843" s="19"/>
    </row>
    <row r="3844" spans="1:4" x14ac:dyDescent="0.3">
      <c r="A3844" s="20">
        <v>45453.236110999998</v>
      </c>
      <c r="B3844" s="17">
        <v>61.82338</v>
      </c>
      <c r="C3844" s="18"/>
      <c r="D3844" s="19"/>
    </row>
    <row r="3845" spans="1:4" x14ac:dyDescent="0.3">
      <c r="A3845" s="20">
        <v>45453.236806000001</v>
      </c>
      <c r="B3845" s="17">
        <v>62.639032</v>
      </c>
      <c r="C3845" s="18"/>
      <c r="D3845" s="19"/>
    </row>
    <row r="3846" spans="1:4" x14ac:dyDescent="0.3">
      <c r="A3846" s="20">
        <v>45453.237500000003</v>
      </c>
      <c r="B3846" s="17">
        <v>62.011203000000002</v>
      </c>
      <c r="C3846" s="18"/>
      <c r="D3846" s="19"/>
    </row>
    <row r="3847" spans="1:4" x14ac:dyDescent="0.3">
      <c r="A3847" s="20">
        <v>45453.238193999998</v>
      </c>
      <c r="B3847" s="17">
        <v>61.826180999999998</v>
      </c>
      <c r="C3847" s="18"/>
      <c r="D3847" s="19"/>
    </row>
    <row r="3848" spans="1:4" x14ac:dyDescent="0.3">
      <c r="A3848" s="20">
        <v>45453.238889</v>
      </c>
      <c r="B3848" s="17">
        <v>62.451141999999997</v>
      </c>
      <c r="C3848" s="18"/>
      <c r="D3848" s="19"/>
    </row>
    <row r="3849" spans="1:4" x14ac:dyDescent="0.3">
      <c r="A3849" s="20">
        <v>45453.239583000002</v>
      </c>
      <c r="B3849" s="17">
        <v>61.689165000000003</v>
      </c>
      <c r="C3849" s="18"/>
      <c r="D3849" s="19"/>
    </row>
    <row r="3850" spans="1:4" x14ac:dyDescent="0.3">
      <c r="A3850" s="20">
        <v>45453.240277999997</v>
      </c>
      <c r="B3850" s="17">
        <v>61.820411</v>
      </c>
      <c r="C3850" s="18"/>
      <c r="D3850" s="19"/>
    </row>
    <row r="3851" spans="1:4" x14ac:dyDescent="0.3">
      <c r="A3851" s="20">
        <v>45453.240972</v>
      </c>
      <c r="B3851" s="17">
        <v>61.382171</v>
      </c>
      <c r="C3851" s="18"/>
      <c r="D3851" s="19"/>
    </row>
    <row r="3852" spans="1:4" x14ac:dyDescent="0.3">
      <c r="A3852" s="20">
        <v>45453.241667000002</v>
      </c>
      <c r="B3852" s="17">
        <v>61.572982000000003</v>
      </c>
      <c r="C3852" s="18"/>
      <c r="D3852" s="19"/>
    </row>
    <row r="3853" spans="1:4" x14ac:dyDescent="0.3">
      <c r="A3853" s="20">
        <v>45453.242360999997</v>
      </c>
      <c r="B3853" s="17">
        <v>61.737847000000002</v>
      </c>
      <c r="C3853" s="18"/>
      <c r="D3853" s="19"/>
    </row>
    <row r="3854" spans="1:4" x14ac:dyDescent="0.3">
      <c r="A3854" s="20">
        <v>45453.243055999999</v>
      </c>
      <c r="B3854" s="17">
        <v>62.002755000000001</v>
      </c>
      <c r="C3854" s="18"/>
      <c r="D3854" s="19"/>
    </row>
    <row r="3855" spans="1:4" x14ac:dyDescent="0.3">
      <c r="A3855" s="20">
        <v>45453.243750000001</v>
      </c>
      <c r="B3855" s="17">
        <v>61.621374000000003</v>
      </c>
      <c r="C3855" s="18"/>
      <c r="D3855" s="19"/>
    </row>
    <row r="3856" spans="1:4" x14ac:dyDescent="0.3">
      <c r="A3856" s="20">
        <v>45453.244444000004</v>
      </c>
      <c r="B3856" s="17">
        <v>62.235481999999998</v>
      </c>
      <c r="C3856" s="18"/>
      <c r="D3856" s="19"/>
    </row>
    <row r="3857" spans="1:4" x14ac:dyDescent="0.3">
      <c r="A3857" s="20">
        <v>45453.245138999999</v>
      </c>
      <c r="B3857" s="17">
        <v>61.829996999999999</v>
      </c>
      <c r="C3857" s="18"/>
      <c r="D3857" s="19"/>
    </row>
    <row r="3858" spans="1:4" x14ac:dyDescent="0.3">
      <c r="A3858" s="20">
        <v>45453.245833000001</v>
      </c>
      <c r="B3858" s="17">
        <v>62.076447999999999</v>
      </c>
      <c r="C3858" s="18"/>
      <c r="D3858" s="19"/>
    </row>
    <row r="3859" spans="1:4" x14ac:dyDescent="0.3">
      <c r="A3859" s="20">
        <v>45453.246528000003</v>
      </c>
      <c r="B3859" s="17">
        <v>62.000222999999998</v>
      </c>
      <c r="C3859" s="18"/>
      <c r="D3859" s="19"/>
    </row>
    <row r="3860" spans="1:4" x14ac:dyDescent="0.3">
      <c r="A3860" s="20">
        <v>45453.247221999998</v>
      </c>
      <c r="B3860" s="17">
        <v>61.597402000000002</v>
      </c>
      <c r="C3860" s="18"/>
      <c r="D3860" s="19"/>
    </row>
    <row r="3861" spans="1:4" x14ac:dyDescent="0.3">
      <c r="A3861" s="20">
        <v>45453.247917000001</v>
      </c>
      <c r="B3861" s="17">
        <v>62.003203999999997</v>
      </c>
      <c r="C3861" s="18"/>
      <c r="D3861" s="19"/>
    </row>
    <row r="3862" spans="1:4" x14ac:dyDescent="0.3">
      <c r="A3862" s="20">
        <v>45453.248611000003</v>
      </c>
      <c r="B3862" s="17">
        <v>62.053871999999998</v>
      </c>
      <c r="C3862" s="18"/>
      <c r="D3862" s="19"/>
    </row>
    <row r="3863" spans="1:4" x14ac:dyDescent="0.3">
      <c r="A3863" s="20">
        <v>45453.249305999998</v>
      </c>
      <c r="B3863" s="17">
        <v>61.988419999999998</v>
      </c>
      <c r="C3863" s="18"/>
      <c r="D3863" s="19"/>
    </row>
    <row r="3864" spans="1:4" x14ac:dyDescent="0.3">
      <c r="A3864" s="20">
        <v>45453.25</v>
      </c>
      <c r="B3864" s="17">
        <v>62.256321</v>
      </c>
      <c r="C3864" s="18"/>
      <c r="D3864" s="19"/>
    </row>
    <row r="3865" spans="1:4" x14ac:dyDescent="0.3">
      <c r="A3865" s="20">
        <v>45453.250694000002</v>
      </c>
      <c r="B3865" s="17">
        <v>61.692003999999997</v>
      </c>
      <c r="C3865" s="18"/>
      <c r="D3865" s="19"/>
    </row>
    <row r="3866" spans="1:4" x14ac:dyDescent="0.3">
      <c r="A3866" s="20">
        <v>45453.251388999997</v>
      </c>
      <c r="B3866" s="17">
        <v>61.706358999999999</v>
      </c>
      <c r="C3866" s="18"/>
      <c r="D3866" s="19"/>
    </row>
    <row r="3867" spans="1:4" x14ac:dyDescent="0.3">
      <c r="A3867" s="20">
        <v>45453.252082999999</v>
      </c>
      <c r="B3867" s="17">
        <v>62.101495</v>
      </c>
      <c r="C3867" s="18"/>
      <c r="D3867" s="19"/>
    </row>
    <row r="3868" spans="1:4" x14ac:dyDescent="0.3">
      <c r="A3868" s="20">
        <v>45453.252778000002</v>
      </c>
      <c r="B3868" s="17">
        <v>61.884602999999998</v>
      </c>
      <c r="C3868" s="18"/>
      <c r="D3868" s="19"/>
    </row>
    <row r="3869" spans="1:4" x14ac:dyDescent="0.3">
      <c r="A3869" s="20">
        <v>45453.253471999997</v>
      </c>
      <c r="B3869" s="17">
        <v>61.927509999999998</v>
      </c>
      <c r="C3869" s="18"/>
      <c r="D3869" s="19"/>
    </row>
    <row r="3870" spans="1:4" x14ac:dyDescent="0.3">
      <c r="A3870" s="20">
        <v>45453.254166999999</v>
      </c>
      <c r="B3870" s="17">
        <v>62.264707000000001</v>
      </c>
      <c r="C3870" s="18"/>
      <c r="D3870" s="19"/>
    </row>
    <row r="3871" spans="1:4" x14ac:dyDescent="0.3">
      <c r="A3871" s="20">
        <v>45453.254861000001</v>
      </c>
      <c r="B3871" s="17">
        <v>62.093718000000003</v>
      </c>
      <c r="C3871" s="18"/>
      <c r="D3871" s="19"/>
    </row>
    <row r="3872" spans="1:4" x14ac:dyDescent="0.3">
      <c r="A3872" s="20">
        <v>45453.255555999996</v>
      </c>
      <c r="B3872" s="17">
        <v>61.999578999999997</v>
      </c>
      <c r="C3872" s="18"/>
      <c r="D3872" s="19"/>
    </row>
    <row r="3873" spans="1:4" x14ac:dyDescent="0.3">
      <c r="A3873" s="20">
        <v>45453.256249999999</v>
      </c>
      <c r="B3873" s="17">
        <v>62.126367999999999</v>
      </c>
      <c r="C3873" s="18"/>
      <c r="D3873" s="19"/>
    </row>
    <row r="3874" spans="1:4" x14ac:dyDescent="0.3">
      <c r="A3874" s="20">
        <v>45453.256944000001</v>
      </c>
      <c r="B3874" s="17">
        <v>61.611196999999997</v>
      </c>
      <c r="C3874" s="18"/>
      <c r="D3874" s="19"/>
    </row>
    <row r="3875" spans="1:4" x14ac:dyDescent="0.3">
      <c r="A3875" s="20">
        <v>45453.257639000003</v>
      </c>
      <c r="B3875" s="17">
        <v>61.474932000000003</v>
      </c>
      <c r="C3875" s="18"/>
      <c r="D3875" s="19"/>
    </row>
    <row r="3876" spans="1:4" x14ac:dyDescent="0.3">
      <c r="A3876" s="20">
        <v>45453.258332999998</v>
      </c>
      <c r="B3876" s="17">
        <v>61.570779000000002</v>
      </c>
      <c r="C3876" s="18"/>
      <c r="D3876" s="19"/>
    </row>
    <row r="3877" spans="1:4" x14ac:dyDescent="0.3">
      <c r="A3877" s="20">
        <v>45453.259028</v>
      </c>
      <c r="B3877" s="17">
        <v>62.355581000000001</v>
      </c>
      <c r="C3877" s="18"/>
      <c r="D3877" s="19"/>
    </row>
    <row r="3878" spans="1:4" x14ac:dyDescent="0.3">
      <c r="A3878" s="20">
        <v>45453.259722000003</v>
      </c>
      <c r="B3878" s="17">
        <v>61.574156000000002</v>
      </c>
      <c r="C3878" s="18"/>
      <c r="D3878" s="19"/>
    </row>
    <row r="3879" spans="1:4" x14ac:dyDescent="0.3">
      <c r="A3879" s="20">
        <v>45453.260416999998</v>
      </c>
      <c r="B3879" s="17">
        <v>61.613950000000003</v>
      </c>
      <c r="C3879" s="18"/>
      <c r="D3879" s="19"/>
    </row>
    <row r="3880" spans="1:4" x14ac:dyDescent="0.3">
      <c r="A3880" s="20">
        <v>45453.261111</v>
      </c>
      <c r="B3880" s="17">
        <v>62.023972999999998</v>
      </c>
      <c r="C3880" s="18"/>
      <c r="D3880" s="19"/>
    </row>
    <row r="3881" spans="1:4" x14ac:dyDescent="0.3">
      <c r="A3881" s="20">
        <v>45453.261806000002</v>
      </c>
      <c r="B3881" s="17">
        <v>61.614451000000003</v>
      </c>
      <c r="C3881" s="18"/>
      <c r="D3881" s="19"/>
    </row>
    <row r="3882" spans="1:4" x14ac:dyDescent="0.3">
      <c r="A3882" s="20">
        <v>45453.262499999997</v>
      </c>
      <c r="B3882" s="17">
        <v>61.567861999999998</v>
      </c>
      <c r="C3882" s="18"/>
      <c r="D3882" s="19"/>
    </row>
    <row r="3883" spans="1:4" x14ac:dyDescent="0.3">
      <c r="A3883" s="20">
        <v>45453.263193999999</v>
      </c>
      <c r="B3883" s="17">
        <v>62.112558999999997</v>
      </c>
      <c r="C3883" s="18"/>
      <c r="D3883" s="19"/>
    </row>
    <row r="3884" spans="1:4" x14ac:dyDescent="0.3">
      <c r="A3884" s="20">
        <v>45453.263889000002</v>
      </c>
      <c r="B3884" s="17">
        <v>61.379767999999999</v>
      </c>
      <c r="C3884" s="18"/>
      <c r="D3884" s="19"/>
    </row>
    <row r="3885" spans="1:4" x14ac:dyDescent="0.3">
      <c r="A3885" s="20">
        <v>45453.264582999996</v>
      </c>
      <c r="B3885" s="17">
        <v>61.657769000000002</v>
      </c>
      <c r="C3885" s="18"/>
      <c r="D3885" s="19"/>
    </row>
    <row r="3886" spans="1:4" x14ac:dyDescent="0.3">
      <c r="A3886" s="20">
        <v>45453.265277999999</v>
      </c>
      <c r="B3886" s="17">
        <v>61.481091999999997</v>
      </c>
      <c r="C3886" s="18"/>
      <c r="D3886" s="19"/>
    </row>
    <row r="3887" spans="1:4" x14ac:dyDescent="0.3">
      <c r="A3887" s="20">
        <v>45453.265972000001</v>
      </c>
      <c r="B3887" s="17">
        <v>61.821888999999999</v>
      </c>
      <c r="C3887" s="18"/>
      <c r="D3887" s="19"/>
    </row>
    <row r="3888" spans="1:4" x14ac:dyDescent="0.3">
      <c r="A3888" s="20">
        <v>45453.266667000004</v>
      </c>
      <c r="B3888" s="17">
        <v>62.161236000000002</v>
      </c>
      <c r="C3888" s="18"/>
      <c r="D3888" s="19"/>
    </row>
    <row r="3889" spans="1:4" x14ac:dyDescent="0.3">
      <c r="A3889" s="20">
        <v>45453.267360999998</v>
      </c>
      <c r="B3889" s="17">
        <v>61.98847</v>
      </c>
      <c r="C3889" s="18"/>
      <c r="D3889" s="19"/>
    </row>
    <row r="3890" spans="1:4" x14ac:dyDescent="0.3">
      <c r="A3890" s="20">
        <v>45453.268056000001</v>
      </c>
      <c r="B3890" s="17">
        <v>61.324137999999998</v>
      </c>
      <c r="C3890" s="18"/>
      <c r="D3890" s="19"/>
    </row>
    <row r="3891" spans="1:4" x14ac:dyDescent="0.3">
      <c r="A3891" s="20">
        <v>45453.268750000003</v>
      </c>
      <c r="B3891" s="17">
        <v>61.465395000000001</v>
      </c>
      <c r="C3891" s="18"/>
      <c r="D3891" s="19"/>
    </row>
    <row r="3892" spans="1:4" x14ac:dyDescent="0.3">
      <c r="A3892" s="20">
        <v>45453.269443999998</v>
      </c>
      <c r="B3892" s="17">
        <v>61.722082</v>
      </c>
      <c r="C3892" s="18"/>
      <c r="D3892" s="19"/>
    </row>
    <row r="3893" spans="1:4" x14ac:dyDescent="0.3">
      <c r="A3893" s="20">
        <v>45453.270139</v>
      </c>
      <c r="B3893" s="17">
        <v>61.841045000000001</v>
      </c>
      <c r="C3893" s="18"/>
      <c r="D3893" s="19"/>
    </row>
    <row r="3894" spans="1:4" x14ac:dyDescent="0.3">
      <c r="A3894" s="20">
        <v>45453.270833000002</v>
      </c>
      <c r="B3894" s="17">
        <v>61.850118999999999</v>
      </c>
      <c r="C3894" s="18"/>
      <c r="D3894" s="19"/>
    </row>
    <row r="3895" spans="1:4" x14ac:dyDescent="0.3">
      <c r="A3895" s="20">
        <v>45453.271527999997</v>
      </c>
      <c r="B3895" s="17">
        <v>61.681002999999997</v>
      </c>
      <c r="C3895" s="18"/>
      <c r="D3895" s="19"/>
    </row>
    <row r="3896" spans="1:4" x14ac:dyDescent="0.3">
      <c r="A3896" s="20">
        <v>45453.272222</v>
      </c>
      <c r="B3896" s="17">
        <v>61.576008999999999</v>
      </c>
      <c r="C3896" s="18"/>
      <c r="D3896" s="19"/>
    </row>
    <row r="3897" spans="1:4" x14ac:dyDescent="0.3">
      <c r="A3897" s="20">
        <v>45453.272917000002</v>
      </c>
      <c r="B3897" s="17">
        <v>61.721310000000003</v>
      </c>
      <c r="C3897" s="18"/>
      <c r="D3897" s="19"/>
    </row>
    <row r="3898" spans="1:4" x14ac:dyDescent="0.3">
      <c r="A3898" s="20">
        <v>45453.273610999997</v>
      </c>
      <c r="B3898" s="17">
        <v>61.818534999999997</v>
      </c>
      <c r="C3898" s="18"/>
      <c r="D3898" s="19"/>
    </row>
    <row r="3899" spans="1:4" x14ac:dyDescent="0.3">
      <c r="A3899" s="20">
        <v>45453.274305999999</v>
      </c>
      <c r="B3899" s="17">
        <v>61.667133</v>
      </c>
      <c r="C3899" s="18"/>
      <c r="D3899" s="19"/>
    </row>
    <row r="3900" spans="1:4" x14ac:dyDescent="0.3">
      <c r="A3900" s="20">
        <v>45453.275000000001</v>
      </c>
      <c r="B3900" s="17">
        <v>61.587846999999996</v>
      </c>
      <c r="C3900" s="18"/>
      <c r="D3900" s="19"/>
    </row>
    <row r="3901" spans="1:4" x14ac:dyDescent="0.3">
      <c r="A3901" s="20">
        <v>45453.275694000004</v>
      </c>
      <c r="B3901" s="17">
        <v>61.236955999999999</v>
      </c>
      <c r="C3901" s="18"/>
      <c r="D3901" s="19"/>
    </row>
    <row r="3902" spans="1:4" x14ac:dyDescent="0.3">
      <c r="A3902" s="20">
        <v>45453.276388999999</v>
      </c>
      <c r="B3902" s="17">
        <v>61.803652</v>
      </c>
      <c r="C3902" s="18"/>
      <c r="D3902" s="19"/>
    </row>
    <row r="3903" spans="1:4" x14ac:dyDescent="0.3">
      <c r="A3903" s="20">
        <v>45453.277083000001</v>
      </c>
      <c r="B3903" s="17">
        <v>61.574548</v>
      </c>
      <c r="C3903" s="18"/>
      <c r="D3903" s="19"/>
    </row>
    <row r="3904" spans="1:4" x14ac:dyDescent="0.3">
      <c r="A3904" s="20">
        <v>45453.277778000003</v>
      </c>
      <c r="B3904" s="17">
        <v>61.379545999999998</v>
      </c>
      <c r="C3904" s="18"/>
      <c r="D3904" s="19"/>
    </row>
    <row r="3905" spans="1:4" x14ac:dyDescent="0.3">
      <c r="A3905" s="20">
        <v>45453.278471999998</v>
      </c>
      <c r="B3905" s="17">
        <v>61.682214999999999</v>
      </c>
      <c r="C3905" s="18"/>
      <c r="D3905" s="19"/>
    </row>
    <row r="3906" spans="1:4" x14ac:dyDescent="0.3">
      <c r="A3906" s="20">
        <v>45453.279167000001</v>
      </c>
      <c r="B3906" s="17">
        <v>61.913049000000001</v>
      </c>
      <c r="C3906" s="18"/>
      <c r="D3906" s="19"/>
    </row>
    <row r="3907" spans="1:4" x14ac:dyDescent="0.3">
      <c r="A3907" s="20">
        <v>45453.279861000003</v>
      </c>
      <c r="B3907" s="17">
        <v>61.837454999999999</v>
      </c>
      <c r="C3907" s="18"/>
      <c r="D3907" s="19"/>
    </row>
    <row r="3908" spans="1:4" x14ac:dyDescent="0.3">
      <c r="A3908" s="20">
        <v>45453.280555999998</v>
      </c>
      <c r="B3908" s="17">
        <v>61.749758</v>
      </c>
      <c r="C3908" s="18"/>
      <c r="D3908" s="19"/>
    </row>
    <row r="3909" spans="1:4" x14ac:dyDescent="0.3">
      <c r="A3909" s="20">
        <v>45453.28125</v>
      </c>
      <c r="B3909" s="17">
        <v>62.245446999999999</v>
      </c>
      <c r="C3909" s="18"/>
      <c r="D3909" s="19"/>
    </row>
    <row r="3910" spans="1:4" x14ac:dyDescent="0.3">
      <c r="A3910" s="20">
        <v>45453.281944000002</v>
      </c>
      <c r="B3910" s="17">
        <v>61.518852000000003</v>
      </c>
      <c r="C3910" s="18"/>
      <c r="D3910" s="19"/>
    </row>
    <row r="3911" spans="1:4" x14ac:dyDescent="0.3">
      <c r="A3911" s="20">
        <v>45453.282638999997</v>
      </c>
      <c r="B3911" s="17">
        <v>61.521258000000003</v>
      </c>
      <c r="C3911" s="18"/>
      <c r="D3911" s="19"/>
    </row>
    <row r="3912" spans="1:4" x14ac:dyDescent="0.3">
      <c r="A3912" s="20">
        <v>45453.283332999999</v>
      </c>
      <c r="B3912" s="17">
        <v>61.915923999999997</v>
      </c>
      <c r="C3912" s="18"/>
      <c r="D3912" s="19"/>
    </row>
    <row r="3913" spans="1:4" x14ac:dyDescent="0.3">
      <c r="A3913" s="20">
        <v>45453.284028000002</v>
      </c>
      <c r="B3913" s="17">
        <v>61.663631000000002</v>
      </c>
      <c r="C3913" s="18"/>
      <c r="D3913" s="19"/>
    </row>
    <row r="3914" spans="1:4" x14ac:dyDescent="0.3">
      <c r="A3914" s="20">
        <v>45453.284721999997</v>
      </c>
      <c r="B3914" s="17">
        <v>62.242503999999997</v>
      </c>
      <c r="C3914" s="18"/>
      <c r="D3914" s="19"/>
    </row>
    <row r="3915" spans="1:4" x14ac:dyDescent="0.3">
      <c r="A3915" s="20">
        <v>45453.285416999999</v>
      </c>
      <c r="B3915" s="17">
        <v>61.557411999999999</v>
      </c>
      <c r="C3915" s="18"/>
      <c r="D3915" s="19"/>
    </row>
    <row r="3916" spans="1:4" x14ac:dyDescent="0.3">
      <c r="A3916" s="20">
        <v>45453.286111000001</v>
      </c>
      <c r="B3916" s="17">
        <v>61.439642999999997</v>
      </c>
      <c r="C3916" s="18"/>
      <c r="D3916" s="19"/>
    </row>
    <row r="3917" spans="1:4" x14ac:dyDescent="0.3">
      <c r="A3917" s="20">
        <v>45453.286805999996</v>
      </c>
      <c r="B3917" s="17">
        <v>62.462193999999997</v>
      </c>
      <c r="C3917" s="18"/>
      <c r="D3917" s="19"/>
    </row>
    <row r="3918" spans="1:4" x14ac:dyDescent="0.3">
      <c r="A3918" s="20">
        <v>45453.287499999999</v>
      </c>
      <c r="B3918" s="17">
        <v>61.423946999999998</v>
      </c>
      <c r="C3918" s="18"/>
      <c r="D3918" s="19"/>
    </row>
    <row r="3919" spans="1:4" x14ac:dyDescent="0.3">
      <c r="A3919" s="20">
        <v>45453.288194000001</v>
      </c>
      <c r="B3919" s="17">
        <v>61.664479</v>
      </c>
      <c r="C3919" s="18"/>
      <c r="D3919" s="19"/>
    </row>
    <row r="3920" spans="1:4" x14ac:dyDescent="0.3">
      <c r="A3920" s="20">
        <v>45453.288889000003</v>
      </c>
      <c r="B3920" s="17">
        <v>61.263230999999998</v>
      </c>
      <c r="C3920" s="18"/>
      <c r="D3920" s="19"/>
    </row>
    <row r="3921" spans="1:4" x14ac:dyDescent="0.3">
      <c r="A3921" s="20">
        <v>45453.289582999998</v>
      </c>
      <c r="B3921" s="17">
        <v>61.858497</v>
      </c>
      <c r="C3921" s="18"/>
      <c r="D3921" s="19"/>
    </row>
    <row r="3922" spans="1:4" x14ac:dyDescent="0.3">
      <c r="A3922" s="20">
        <v>45453.290278</v>
      </c>
      <c r="B3922" s="17">
        <v>61.496527</v>
      </c>
      <c r="C3922" s="18"/>
      <c r="D3922" s="19"/>
    </row>
    <row r="3923" spans="1:4" x14ac:dyDescent="0.3">
      <c r="A3923" s="20">
        <v>45453.290972000003</v>
      </c>
      <c r="B3923" s="17">
        <v>61.548537000000003</v>
      </c>
      <c r="C3923" s="18"/>
      <c r="D3923" s="19"/>
    </row>
    <row r="3924" spans="1:4" x14ac:dyDescent="0.3">
      <c r="A3924" s="20">
        <v>45453.291666999998</v>
      </c>
      <c r="B3924" s="17">
        <v>61.688161000000001</v>
      </c>
      <c r="C3924" s="18"/>
      <c r="D3924" s="19"/>
    </row>
    <row r="3925" spans="1:4" x14ac:dyDescent="0.3">
      <c r="A3925" s="20">
        <v>45453.292361</v>
      </c>
      <c r="B3925" s="17">
        <v>61.921104</v>
      </c>
      <c r="C3925" s="18"/>
      <c r="D3925" s="19"/>
    </row>
    <row r="3926" spans="1:4" x14ac:dyDescent="0.3">
      <c r="A3926" s="20">
        <v>45453.293056000002</v>
      </c>
      <c r="B3926" s="17">
        <v>61.849133000000002</v>
      </c>
      <c r="C3926" s="18"/>
      <c r="D3926" s="19"/>
    </row>
    <row r="3927" spans="1:4" x14ac:dyDescent="0.3">
      <c r="A3927" s="20">
        <v>45453.293749999997</v>
      </c>
      <c r="B3927" s="17">
        <v>61.696497000000001</v>
      </c>
      <c r="C3927" s="18"/>
      <c r="D3927" s="19"/>
    </row>
    <row r="3928" spans="1:4" x14ac:dyDescent="0.3">
      <c r="A3928" s="20">
        <v>45453.294443999999</v>
      </c>
      <c r="B3928" s="17">
        <v>62.005848</v>
      </c>
      <c r="C3928" s="18"/>
      <c r="D3928" s="19"/>
    </row>
    <row r="3929" spans="1:4" x14ac:dyDescent="0.3">
      <c r="A3929" s="20">
        <v>45453.295139000002</v>
      </c>
      <c r="B3929" s="17">
        <v>62.256841000000001</v>
      </c>
      <c r="C3929" s="18"/>
      <c r="D3929" s="19"/>
    </row>
    <row r="3930" spans="1:4" x14ac:dyDescent="0.3">
      <c r="A3930" s="20">
        <v>45453.295832999996</v>
      </c>
      <c r="B3930" s="17">
        <v>61.984056000000002</v>
      </c>
      <c r="C3930" s="18"/>
      <c r="D3930" s="19"/>
    </row>
    <row r="3931" spans="1:4" x14ac:dyDescent="0.3">
      <c r="A3931" s="20">
        <v>45453.296527999999</v>
      </c>
      <c r="B3931" s="17">
        <v>61.765571999999999</v>
      </c>
      <c r="C3931" s="18"/>
      <c r="D3931" s="19"/>
    </row>
    <row r="3932" spans="1:4" x14ac:dyDescent="0.3">
      <c r="A3932" s="20">
        <v>45453.297222000001</v>
      </c>
      <c r="B3932" s="17">
        <v>61.960196000000003</v>
      </c>
      <c r="C3932" s="18"/>
      <c r="D3932" s="19"/>
    </row>
    <row r="3933" spans="1:4" x14ac:dyDescent="0.3">
      <c r="A3933" s="20">
        <v>45453.297917000004</v>
      </c>
      <c r="B3933" s="17">
        <v>61.755170999999997</v>
      </c>
      <c r="C3933" s="18"/>
      <c r="D3933" s="19"/>
    </row>
    <row r="3934" spans="1:4" x14ac:dyDescent="0.3">
      <c r="A3934" s="20">
        <v>45453.298610999998</v>
      </c>
      <c r="B3934" s="17">
        <v>61.731963999999998</v>
      </c>
      <c r="C3934" s="18"/>
      <c r="D3934" s="19"/>
    </row>
    <row r="3935" spans="1:4" x14ac:dyDescent="0.3">
      <c r="A3935" s="20">
        <v>45453.299306000001</v>
      </c>
      <c r="B3935" s="17">
        <v>61.852379999999997</v>
      </c>
      <c r="C3935" s="18"/>
      <c r="D3935" s="19"/>
    </row>
    <row r="3936" spans="1:4" x14ac:dyDescent="0.3">
      <c r="A3936" s="20">
        <v>45453.3</v>
      </c>
      <c r="B3936" s="17">
        <v>61.699353000000002</v>
      </c>
      <c r="C3936" s="18"/>
      <c r="D3936" s="19"/>
    </row>
    <row r="3937" spans="1:4" x14ac:dyDescent="0.3">
      <c r="A3937" s="20">
        <v>45453.300693999998</v>
      </c>
      <c r="B3937" s="17">
        <v>61.750109999999999</v>
      </c>
      <c r="C3937" s="18"/>
      <c r="D3937" s="19"/>
    </row>
    <row r="3938" spans="1:4" x14ac:dyDescent="0.3">
      <c r="A3938" s="20">
        <v>45453.301389</v>
      </c>
      <c r="B3938" s="17">
        <v>61.951433999999999</v>
      </c>
      <c r="C3938" s="18"/>
      <c r="D3938" s="19"/>
    </row>
    <row r="3939" spans="1:4" x14ac:dyDescent="0.3">
      <c r="A3939" s="20">
        <v>45453.302083000002</v>
      </c>
      <c r="B3939" s="17">
        <v>62.184707000000003</v>
      </c>
      <c r="C3939" s="18"/>
      <c r="D3939" s="19"/>
    </row>
    <row r="3940" spans="1:4" x14ac:dyDescent="0.3">
      <c r="A3940" s="20">
        <v>45453.302777999997</v>
      </c>
      <c r="B3940" s="17">
        <v>61.471983999999999</v>
      </c>
      <c r="C3940" s="18"/>
      <c r="D3940" s="19"/>
    </row>
    <row r="3941" spans="1:4" x14ac:dyDescent="0.3">
      <c r="A3941" s="20">
        <v>45453.303472</v>
      </c>
      <c r="B3941" s="17">
        <v>62.367941999999999</v>
      </c>
      <c r="C3941" s="18"/>
      <c r="D3941" s="19"/>
    </row>
    <row r="3942" spans="1:4" x14ac:dyDescent="0.3">
      <c r="A3942" s="20">
        <v>45453.304167000002</v>
      </c>
      <c r="B3942" s="17">
        <v>62.167459000000001</v>
      </c>
      <c r="C3942" s="18"/>
      <c r="D3942" s="19"/>
    </row>
    <row r="3943" spans="1:4" x14ac:dyDescent="0.3">
      <c r="A3943" s="20">
        <v>45453.304860999997</v>
      </c>
      <c r="B3943" s="17">
        <v>61.751666</v>
      </c>
      <c r="C3943" s="18"/>
      <c r="D3943" s="19"/>
    </row>
    <row r="3944" spans="1:4" x14ac:dyDescent="0.3">
      <c r="A3944" s="20">
        <v>45453.305555999999</v>
      </c>
      <c r="B3944" s="17">
        <v>61.910018000000001</v>
      </c>
      <c r="C3944" s="18"/>
      <c r="D3944" s="19"/>
    </row>
    <row r="3945" spans="1:4" x14ac:dyDescent="0.3">
      <c r="A3945" s="20">
        <v>45453.306250000001</v>
      </c>
      <c r="B3945" s="17">
        <v>61.951673999999997</v>
      </c>
      <c r="C3945" s="18"/>
      <c r="D3945" s="19"/>
    </row>
    <row r="3946" spans="1:4" x14ac:dyDescent="0.3">
      <c r="A3946" s="20">
        <v>45453.306944000004</v>
      </c>
      <c r="B3946" s="17">
        <v>61.825789999999998</v>
      </c>
      <c r="C3946" s="18"/>
      <c r="D3946" s="19"/>
    </row>
    <row r="3947" spans="1:4" x14ac:dyDescent="0.3">
      <c r="A3947" s="20">
        <v>45453.307638999999</v>
      </c>
      <c r="B3947" s="17">
        <v>62.163077000000001</v>
      </c>
      <c r="C3947" s="18"/>
      <c r="D3947" s="19"/>
    </row>
    <row r="3948" spans="1:4" x14ac:dyDescent="0.3">
      <c r="A3948" s="20">
        <v>45453.308333000001</v>
      </c>
      <c r="B3948" s="17">
        <v>61.038773999999997</v>
      </c>
      <c r="C3948" s="18"/>
      <c r="D3948" s="19"/>
    </row>
    <row r="3949" spans="1:4" x14ac:dyDescent="0.3">
      <c r="A3949" s="20">
        <v>45453.309028000003</v>
      </c>
      <c r="B3949" s="17">
        <v>61.645569999999999</v>
      </c>
      <c r="C3949" s="18"/>
      <c r="D3949" s="19"/>
    </row>
    <row r="3950" spans="1:4" x14ac:dyDescent="0.3">
      <c r="A3950" s="20">
        <v>45453.309721999998</v>
      </c>
      <c r="B3950" s="17">
        <v>61.436492000000001</v>
      </c>
      <c r="C3950" s="18"/>
      <c r="D3950" s="19"/>
    </row>
    <row r="3951" spans="1:4" x14ac:dyDescent="0.3">
      <c r="A3951" s="20">
        <v>45453.310417000001</v>
      </c>
      <c r="B3951" s="17">
        <v>62.255215999999997</v>
      </c>
      <c r="C3951" s="18"/>
      <c r="D3951" s="19"/>
    </row>
    <row r="3952" spans="1:4" x14ac:dyDescent="0.3">
      <c r="A3952" s="20">
        <v>45453.311111000003</v>
      </c>
      <c r="B3952" s="17">
        <v>62.013672</v>
      </c>
      <c r="C3952" s="18"/>
      <c r="D3952" s="19"/>
    </row>
    <row r="3953" spans="1:4" x14ac:dyDescent="0.3">
      <c r="A3953" s="20">
        <v>45453.311805999998</v>
      </c>
      <c r="B3953" s="17">
        <v>61.373254000000003</v>
      </c>
      <c r="C3953" s="18"/>
      <c r="D3953" s="19"/>
    </row>
    <row r="3954" spans="1:4" x14ac:dyDescent="0.3">
      <c r="A3954" s="20">
        <v>45453.3125</v>
      </c>
      <c r="B3954" s="17">
        <v>61.848351000000001</v>
      </c>
      <c r="C3954" s="18"/>
      <c r="D3954" s="19"/>
    </row>
    <row r="3955" spans="1:4" x14ac:dyDescent="0.3">
      <c r="A3955" s="20">
        <v>45453.313194000002</v>
      </c>
      <c r="B3955" s="17">
        <v>61.628785000000001</v>
      </c>
      <c r="C3955" s="18"/>
      <c r="D3955" s="19"/>
    </row>
    <row r="3956" spans="1:4" x14ac:dyDescent="0.3">
      <c r="A3956" s="20">
        <v>45453.313888999997</v>
      </c>
      <c r="B3956" s="17">
        <v>62.034933000000002</v>
      </c>
      <c r="C3956" s="18"/>
      <c r="D3956" s="19"/>
    </row>
    <row r="3957" spans="1:4" x14ac:dyDescent="0.3">
      <c r="A3957" s="20">
        <v>45453.314582999999</v>
      </c>
      <c r="B3957" s="17">
        <v>61.615814</v>
      </c>
      <c r="C3957" s="18"/>
      <c r="D3957" s="19"/>
    </row>
    <row r="3958" spans="1:4" x14ac:dyDescent="0.3">
      <c r="A3958" s="20">
        <v>45453.315278000002</v>
      </c>
      <c r="B3958" s="17">
        <v>62.366129999999998</v>
      </c>
      <c r="C3958" s="18"/>
      <c r="D3958" s="19"/>
    </row>
    <row r="3959" spans="1:4" x14ac:dyDescent="0.3">
      <c r="A3959" s="20">
        <v>45453.315971999997</v>
      </c>
      <c r="B3959" s="17">
        <v>61.697192999999999</v>
      </c>
      <c r="C3959" s="18"/>
      <c r="D3959" s="19"/>
    </row>
    <row r="3960" spans="1:4" x14ac:dyDescent="0.3">
      <c r="A3960" s="20">
        <v>45453.316666999999</v>
      </c>
      <c r="B3960" s="17">
        <v>61.824981999999999</v>
      </c>
      <c r="C3960" s="18"/>
      <c r="D3960" s="19"/>
    </row>
    <row r="3961" spans="1:4" x14ac:dyDescent="0.3">
      <c r="A3961" s="20">
        <v>45453.317361000001</v>
      </c>
      <c r="B3961" s="17">
        <v>62.002077999999997</v>
      </c>
      <c r="C3961" s="18"/>
      <c r="D3961" s="19"/>
    </row>
    <row r="3962" spans="1:4" x14ac:dyDescent="0.3">
      <c r="A3962" s="20">
        <v>45453.318055999996</v>
      </c>
      <c r="B3962" s="17">
        <v>62.393830999999999</v>
      </c>
      <c r="C3962" s="18"/>
      <c r="D3962" s="19"/>
    </row>
    <row r="3963" spans="1:4" x14ac:dyDescent="0.3">
      <c r="A3963" s="20">
        <v>45453.318749999999</v>
      </c>
      <c r="B3963" s="17">
        <v>62.093037000000002</v>
      </c>
      <c r="C3963" s="18"/>
      <c r="D3963" s="19"/>
    </row>
    <row r="3964" spans="1:4" x14ac:dyDescent="0.3">
      <c r="A3964" s="20">
        <v>45453.319444000001</v>
      </c>
      <c r="B3964" s="17">
        <v>61.924599999999998</v>
      </c>
      <c r="C3964" s="18"/>
      <c r="D3964" s="19"/>
    </row>
    <row r="3965" spans="1:4" x14ac:dyDescent="0.3">
      <c r="A3965" s="20">
        <v>45453.320139000003</v>
      </c>
      <c r="B3965" s="17">
        <v>62.138972000000003</v>
      </c>
      <c r="C3965" s="18"/>
      <c r="D3965" s="19"/>
    </row>
    <row r="3966" spans="1:4" x14ac:dyDescent="0.3">
      <c r="A3966" s="20">
        <v>45453.320832999998</v>
      </c>
      <c r="B3966" s="17">
        <v>61.902284999999999</v>
      </c>
      <c r="C3966" s="18"/>
      <c r="D3966" s="19"/>
    </row>
    <row r="3967" spans="1:4" x14ac:dyDescent="0.3">
      <c r="A3967" s="20">
        <v>45453.321528</v>
      </c>
      <c r="B3967" s="17">
        <v>61.471010999999997</v>
      </c>
      <c r="C3967" s="18"/>
      <c r="D3967" s="19"/>
    </row>
    <row r="3968" spans="1:4" x14ac:dyDescent="0.3">
      <c r="A3968" s="20">
        <v>45453.322222000003</v>
      </c>
      <c r="B3968" s="17">
        <v>61.774369</v>
      </c>
      <c r="C3968" s="18"/>
      <c r="D3968" s="19"/>
    </row>
    <row r="3969" spans="1:4" x14ac:dyDescent="0.3">
      <c r="A3969" s="20">
        <v>45453.322916999998</v>
      </c>
      <c r="B3969" s="17">
        <v>61.936369999999997</v>
      </c>
      <c r="C3969" s="18"/>
      <c r="D3969" s="19"/>
    </row>
    <row r="3970" spans="1:4" x14ac:dyDescent="0.3">
      <c r="A3970" s="20">
        <v>45453.323611</v>
      </c>
      <c r="B3970" s="17">
        <v>61.596387</v>
      </c>
      <c r="C3970" s="18"/>
      <c r="D3970" s="19"/>
    </row>
    <row r="3971" spans="1:4" x14ac:dyDescent="0.3">
      <c r="A3971" s="20">
        <v>45453.324306000002</v>
      </c>
      <c r="B3971" s="17">
        <v>62.490966999999998</v>
      </c>
      <c r="C3971" s="18"/>
      <c r="D3971" s="19"/>
    </row>
    <row r="3972" spans="1:4" x14ac:dyDescent="0.3">
      <c r="A3972" s="20">
        <v>45453.324999999997</v>
      </c>
      <c r="B3972" s="17">
        <v>62.023615999999997</v>
      </c>
      <c r="C3972" s="18"/>
      <c r="D3972" s="19"/>
    </row>
    <row r="3973" spans="1:4" x14ac:dyDescent="0.3">
      <c r="A3973" s="20">
        <v>45453.325693999999</v>
      </c>
      <c r="B3973" s="17">
        <v>62.024486000000003</v>
      </c>
      <c r="C3973" s="18"/>
      <c r="D3973" s="19"/>
    </row>
    <row r="3974" spans="1:4" x14ac:dyDescent="0.3">
      <c r="A3974" s="20">
        <v>45453.326389000002</v>
      </c>
      <c r="B3974" s="17">
        <v>61.910006000000003</v>
      </c>
      <c r="C3974" s="18"/>
      <c r="D3974" s="19"/>
    </row>
    <row r="3975" spans="1:4" x14ac:dyDescent="0.3">
      <c r="A3975" s="20">
        <v>45453.327082999996</v>
      </c>
      <c r="B3975" s="17">
        <v>62.009042000000001</v>
      </c>
      <c r="C3975" s="18"/>
      <c r="D3975" s="19"/>
    </row>
    <row r="3976" spans="1:4" x14ac:dyDescent="0.3">
      <c r="A3976" s="20">
        <v>45453.327777999999</v>
      </c>
      <c r="B3976" s="17">
        <v>61.864294999999998</v>
      </c>
      <c r="C3976" s="18"/>
      <c r="D3976" s="19"/>
    </row>
    <row r="3977" spans="1:4" x14ac:dyDescent="0.3">
      <c r="A3977" s="20">
        <v>45453.328472000001</v>
      </c>
      <c r="B3977" s="17">
        <v>61.560262999999999</v>
      </c>
      <c r="C3977" s="18"/>
      <c r="D3977" s="19"/>
    </row>
    <row r="3978" spans="1:4" x14ac:dyDescent="0.3">
      <c r="A3978" s="20">
        <v>45453.329167000004</v>
      </c>
      <c r="B3978" s="17">
        <v>61.428353000000001</v>
      </c>
      <c r="C3978" s="18"/>
      <c r="D3978" s="19"/>
    </row>
    <row r="3979" spans="1:4" x14ac:dyDescent="0.3">
      <c r="A3979" s="20">
        <v>45453.329860999998</v>
      </c>
      <c r="B3979" s="17">
        <v>61.853971999999999</v>
      </c>
      <c r="C3979" s="18"/>
      <c r="D3979" s="19"/>
    </row>
    <row r="3980" spans="1:4" x14ac:dyDescent="0.3">
      <c r="A3980" s="20">
        <v>45453.330556000001</v>
      </c>
      <c r="B3980" s="17">
        <v>61.616435000000003</v>
      </c>
      <c r="C3980" s="18"/>
      <c r="D3980" s="19"/>
    </row>
    <row r="3981" spans="1:4" x14ac:dyDescent="0.3">
      <c r="A3981" s="20">
        <v>45453.331250000003</v>
      </c>
      <c r="B3981" s="17">
        <v>62.135995999999999</v>
      </c>
      <c r="C3981" s="18"/>
      <c r="D3981" s="19"/>
    </row>
    <row r="3982" spans="1:4" x14ac:dyDescent="0.3">
      <c r="A3982" s="20">
        <v>45453.331943999998</v>
      </c>
      <c r="B3982" s="17">
        <v>62.141981000000001</v>
      </c>
      <c r="C3982" s="18"/>
      <c r="D3982" s="19"/>
    </row>
    <row r="3983" spans="1:4" x14ac:dyDescent="0.3">
      <c r="A3983" s="20">
        <v>45453.332639</v>
      </c>
      <c r="B3983" s="17">
        <v>61.916479000000002</v>
      </c>
      <c r="C3983" s="18"/>
      <c r="D3983" s="19"/>
    </row>
    <row r="3984" spans="1:4" x14ac:dyDescent="0.3">
      <c r="A3984" s="20">
        <v>45453.333333000002</v>
      </c>
      <c r="B3984" s="17">
        <v>62.113889</v>
      </c>
      <c r="C3984" s="18"/>
      <c r="D3984" s="19"/>
    </row>
    <row r="3985" spans="1:4" x14ac:dyDescent="0.3">
      <c r="A3985" s="20">
        <v>45453.334027999997</v>
      </c>
      <c r="B3985" s="17">
        <v>61.537418000000002</v>
      </c>
      <c r="C3985" s="18"/>
      <c r="D3985" s="19"/>
    </row>
    <row r="3986" spans="1:4" x14ac:dyDescent="0.3">
      <c r="A3986" s="20">
        <v>45453.334722</v>
      </c>
      <c r="B3986" s="17">
        <v>62.216195999999997</v>
      </c>
      <c r="C3986" s="18"/>
      <c r="D3986" s="19"/>
    </row>
    <row r="3987" spans="1:4" x14ac:dyDescent="0.3">
      <c r="A3987" s="20">
        <v>45453.335417000002</v>
      </c>
      <c r="B3987" s="17">
        <v>62.068595999999999</v>
      </c>
      <c r="C3987" s="18"/>
      <c r="D3987" s="19"/>
    </row>
    <row r="3988" spans="1:4" x14ac:dyDescent="0.3">
      <c r="A3988" s="20">
        <v>45453.336110999997</v>
      </c>
      <c r="B3988" s="17">
        <v>61.601111000000003</v>
      </c>
      <c r="C3988" s="18"/>
      <c r="D3988" s="19"/>
    </row>
    <row r="3989" spans="1:4" x14ac:dyDescent="0.3">
      <c r="A3989" s="20">
        <v>45453.336805999999</v>
      </c>
      <c r="B3989" s="17">
        <v>61.967480999999999</v>
      </c>
      <c r="C3989" s="18"/>
      <c r="D3989" s="19"/>
    </row>
    <row r="3990" spans="1:4" x14ac:dyDescent="0.3">
      <c r="A3990" s="20">
        <v>45453.337500000001</v>
      </c>
      <c r="B3990" s="17">
        <v>61.974527999999999</v>
      </c>
      <c r="C3990" s="18"/>
      <c r="D3990" s="19"/>
    </row>
    <row r="3991" spans="1:4" x14ac:dyDescent="0.3">
      <c r="A3991" s="20">
        <v>45453.338194000004</v>
      </c>
      <c r="B3991" s="17">
        <v>61.9983</v>
      </c>
      <c r="C3991" s="18"/>
      <c r="D3991" s="19"/>
    </row>
    <row r="3992" spans="1:4" x14ac:dyDescent="0.3">
      <c r="A3992" s="20">
        <v>45453.338888999999</v>
      </c>
      <c r="B3992" s="17">
        <v>61.884796000000001</v>
      </c>
      <c r="C3992" s="18"/>
      <c r="D3992" s="19"/>
    </row>
    <row r="3993" spans="1:4" x14ac:dyDescent="0.3">
      <c r="A3993" s="20">
        <v>45453.339583000001</v>
      </c>
      <c r="B3993" s="17">
        <v>62.128079999999997</v>
      </c>
      <c r="C3993" s="18"/>
      <c r="D3993" s="19"/>
    </row>
    <row r="3994" spans="1:4" x14ac:dyDescent="0.3">
      <c r="A3994" s="20">
        <v>45453.340278000003</v>
      </c>
      <c r="B3994" s="17">
        <v>61.983600000000003</v>
      </c>
      <c r="C3994" s="18"/>
      <c r="D3994" s="19"/>
    </row>
    <row r="3995" spans="1:4" x14ac:dyDescent="0.3">
      <c r="A3995" s="20">
        <v>45453.340971999998</v>
      </c>
      <c r="B3995" s="17">
        <v>61.737012999999997</v>
      </c>
      <c r="C3995" s="18"/>
      <c r="D3995" s="19"/>
    </row>
    <row r="3996" spans="1:4" x14ac:dyDescent="0.3">
      <c r="A3996" s="20">
        <v>45453.341667000001</v>
      </c>
      <c r="B3996" s="17">
        <v>62.376905999999998</v>
      </c>
      <c r="C3996" s="18"/>
      <c r="D3996" s="19"/>
    </row>
    <row r="3997" spans="1:4" x14ac:dyDescent="0.3">
      <c r="A3997" s="20">
        <v>45453.342361000003</v>
      </c>
      <c r="B3997" s="17">
        <v>62.103344999999997</v>
      </c>
      <c r="C3997" s="18"/>
      <c r="D3997" s="19"/>
    </row>
    <row r="3998" spans="1:4" x14ac:dyDescent="0.3">
      <c r="A3998" s="20">
        <v>45453.343055999998</v>
      </c>
      <c r="B3998" s="17">
        <v>62.51108</v>
      </c>
      <c r="C3998" s="18"/>
      <c r="D3998" s="19"/>
    </row>
    <row r="3999" spans="1:4" x14ac:dyDescent="0.3">
      <c r="A3999" s="20">
        <v>45453.34375</v>
      </c>
      <c r="B3999" s="17">
        <v>61.964136000000003</v>
      </c>
      <c r="C3999" s="18"/>
      <c r="D3999" s="19"/>
    </row>
    <row r="4000" spans="1:4" x14ac:dyDescent="0.3">
      <c r="A4000" s="20">
        <v>45453.344444000002</v>
      </c>
      <c r="B4000" s="17">
        <v>61.775723999999997</v>
      </c>
      <c r="C4000" s="18"/>
      <c r="D4000" s="19"/>
    </row>
    <row r="4001" spans="1:4" x14ac:dyDescent="0.3">
      <c r="A4001" s="20">
        <v>45453.345138999997</v>
      </c>
      <c r="B4001" s="17">
        <v>61.295025000000003</v>
      </c>
      <c r="C4001" s="18"/>
      <c r="D4001" s="19"/>
    </row>
    <row r="4002" spans="1:4" x14ac:dyDescent="0.3">
      <c r="A4002" s="20">
        <v>45453.345832999999</v>
      </c>
      <c r="B4002" s="17">
        <v>61.938021999999997</v>
      </c>
      <c r="C4002" s="18"/>
      <c r="D4002" s="19"/>
    </row>
    <row r="4003" spans="1:4" x14ac:dyDescent="0.3">
      <c r="A4003" s="20">
        <v>45453.346528000002</v>
      </c>
      <c r="B4003" s="17">
        <v>61.465197000000003</v>
      </c>
      <c r="C4003" s="18"/>
      <c r="D4003" s="19"/>
    </row>
    <row r="4004" spans="1:4" x14ac:dyDescent="0.3">
      <c r="A4004" s="20">
        <v>45453.347221999997</v>
      </c>
      <c r="B4004" s="17">
        <v>62.253641000000002</v>
      </c>
      <c r="C4004" s="18"/>
      <c r="D4004" s="19"/>
    </row>
    <row r="4005" spans="1:4" x14ac:dyDescent="0.3">
      <c r="A4005" s="20">
        <v>45453.347916999999</v>
      </c>
      <c r="B4005" s="17">
        <v>61.321128999999999</v>
      </c>
      <c r="C4005" s="18"/>
      <c r="D4005" s="19"/>
    </row>
    <row r="4006" spans="1:4" x14ac:dyDescent="0.3">
      <c r="A4006" s="20">
        <v>45453.348611000001</v>
      </c>
      <c r="B4006" s="17">
        <v>61.855110000000003</v>
      </c>
      <c r="C4006" s="18"/>
      <c r="D4006" s="19"/>
    </row>
    <row r="4007" spans="1:4" x14ac:dyDescent="0.3">
      <c r="A4007" s="20">
        <v>45453.349305999996</v>
      </c>
      <c r="B4007" s="17">
        <v>61.980410999999997</v>
      </c>
      <c r="C4007" s="18"/>
      <c r="D4007" s="19"/>
    </row>
    <row r="4008" spans="1:4" x14ac:dyDescent="0.3">
      <c r="A4008" s="20">
        <v>45453.35</v>
      </c>
      <c r="B4008" s="17">
        <v>61.496045000000002</v>
      </c>
      <c r="C4008" s="18"/>
      <c r="D4008" s="19"/>
    </row>
    <row r="4009" spans="1:4" x14ac:dyDescent="0.3">
      <c r="A4009" s="20">
        <v>45453.350694000001</v>
      </c>
      <c r="B4009" s="17">
        <v>61.957467999999999</v>
      </c>
      <c r="C4009" s="18"/>
      <c r="D4009" s="19"/>
    </row>
    <row r="4010" spans="1:4" x14ac:dyDescent="0.3">
      <c r="A4010" s="20">
        <v>45453.351389000003</v>
      </c>
      <c r="B4010" s="17">
        <v>62.115468</v>
      </c>
      <c r="C4010" s="18"/>
      <c r="D4010" s="19"/>
    </row>
    <row r="4011" spans="1:4" x14ac:dyDescent="0.3">
      <c r="A4011" s="20">
        <v>45453.352082999998</v>
      </c>
      <c r="B4011" s="17">
        <v>61.871495000000003</v>
      </c>
      <c r="C4011" s="18"/>
      <c r="D4011" s="19"/>
    </row>
    <row r="4012" spans="1:4" x14ac:dyDescent="0.3">
      <c r="A4012" s="20">
        <v>45453.352778</v>
      </c>
      <c r="B4012" s="17">
        <v>62.053358000000003</v>
      </c>
      <c r="C4012" s="18"/>
      <c r="D4012" s="19"/>
    </row>
    <row r="4013" spans="1:4" x14ac:dyDescent="0.3">
      <c r="A4013" s="20">
        <v>45453.353472000003</v>
      </c>
      <c r="B4013" s="17">
        <v>61.737906000000002</v>
      </c>
      <c r="C4013" s="18"/>
      <c r="D4013" s="19"/>
    </row>
    <row r="4014" spans="1:4" x14ac:dyDescent="0.3">
      <c r="A4014" s="20">
        <v>45453.354166999998</v>
      </c>
      <c r="B4014" s="17">
        <v>62.257147000000003</v>
      </c>
      <c r="C4014" s="18"/>
      <c r="D4014" s="19"/>
    </row>
    <row r="4015" spans="1:4" x14ac:dyDescent="0.3">
      <c r="A4015" s="20">
        <v>45453.354861</v>
      </c>
      <c r="B4015" s="17">
        <v>62.373646999999998</v>
      </c>
      <c r="C4015" s="18"/>
      <c r="D4015" s="19"/>
    </row>
    <row r="4016" spans="1:4" x14ac:dyDescent="0.3">
      <c r="A4016" s="20">
        <v>45453.355556000002</v>
      </c>
      <c r="B4016" s="17">
        <v>62.642479999999999</v>
      </c>
      <c r="C4016" s="18"/>
      <c r="D4016" s="19"/>
    </row>
    <row r="4017" spans="1:4" x14ac:dyDescent="0.3">
      <c r="A4017" s="20">
        <v>45453.356249999997</v>
      </c>
      <c r="B4017" s="17">
        <v>62.242426999999999</v>
      </c>
      <c r="C4017" s="18"/>
      <c r="D4017" s="19"/>
    </row>
    <row r="4018" spans="1:4" x14ac:dyDescent="0.3">
      <c r="A4018" s="20">
        <v>45453.356943999999</v>
      </c>
      <c r="B4018" s="17">
        <v>62.112613000000003</v>
      </c>
      <c r="C4018" s="18"/>
      <c r="D4018" s="19"/>
    </row>
    <row r="4019" spans="1:4" x14ac:dyDescent="0.3">
      <c r="A4019" s="20">
        <v>45453.357639000002</v>
      </c>
      <c r="B4019" s="17">
        <v>61.894154999999998</v>
      </c>
      <c r="C4019" s="18"/>
      <c r="D4019" s="19"/>
    </row>
    <row r="4020" spans="1:4" x14ac:dyDescent="0.3">
      <c r="A4020" s="20">
        <v>45453.358332999996</v>
      </c>
      <c r="B4020" s="17">
        <v>62.183796000000001</v>
      </c>
      <c r="C4020" s="18"/>
      <c r="D4020" s="19"/>
    </row>
    <row r="4021" spans="1:4" x14ac:dyDescent="0.3">
      <c r="A4021" s="20">
        <v>45453.359027999999</v>
      </c>
      <c r="B4021" s="17">
        <v>61.873365</v>
      </c>
      <c r="C4021" s="18"/>
      <c r="D4021" s="19"/>
    </row>
    <row r="4022" spans="1:4" x14ac:dyDescent="0.3">
      <c r="A4022" s="20">
        <v>45453.359722000001</v>
      </c>
      <c r="B4022" s="17">
        <v>61.453792999999997</v>
      </c>
      <c r="C4022" s="18"/>
      <c r="D4022" s="19"/>
    </row>
    <row r="4023" spans="1:4" x14ac:dyDescent="0.3">
      <c r="A4023" s="20">
        <v>45453.360417000004</v>
      </c>
      <c r="B4023" s="17">
        <v>62.437365</v>
      </c>
      <c r="C4023" s="18"/>
      <c r="D4023" s="19"/>
    </row>
    <row r="4024" spans="1:4" x14ac:dyDescent="0.3">
      <c r="A4024" s="20">
        <v>45453.361110999998</v>
      </c>
      <c r="B4024" s="17">
        <v>62.218865000000001</v>
      </c>
      <c r="C4024" s="18"/>
      <c r="D4024" s="19"/>
    </row>
    <row r="4025" spans="1:4" x14ac:dyDescent="0.3">
      <c r="A4025" s="20">
        <v>45453.361806000001</v>
      </c>
      <c r="B4025" s="17">
        <v>62.330984000000001</v>
      </c>
      <c r="C4025" s="18"/>
      <c r="D4025" s="19"/>
    </row>
    <row r="4026" spans="1:4" x14ac:dyDescent="0.3">
      <c r="A4026" s="20">
        <v>45453.362500000003</v>
      </c>
      <c r="B4026" s="17">
        <v>62.064864999999998</v>
      </c>
      <c r="C4026" s="18"/>
      <c r="D4026" s="19"/>
    </row>
    <row r="4027" spans="1:4" x14ac:dyDescent="0.3">
      <c r="A4027" s="20">
        <v>45453.363193999998</v>
      </c>
      <c r="B4027" s="17">
        <v>62.097135000000002</v>
      </c>
      <c r="C4027" s="18"/>
      <c r="D4027" s="19"/>
    </row>
    <row r="4028" spans="1:4" x14ac:dyDescent="0.3">
      <c r="A4028" s="20">
        <v>45453.363889</v>
      </c>
      <c r="B4028" s="17">
        <v>61.415354000000001</v>
      </c>
      <c r="C4028" s="18"/>
      <c r="D4028" s="19"/>
    </row>
    <row r="4029" spans="1:4" x14ac:dyDescent="0.3">
      <c r="A4029" s="20">
        <v>45453.364583000002</v>
      </c>
      <c r="B4029" s="17">
        <v>62.296008</v>
      </c>
      <c r="C4029" s="18"/>
      <c r="D4029" s="19"/>
    </row>
    <row r="4030" spans="1:4" x14ac:dyDescent="0.3">
      <c r="A4030" s="20">
        <v>45453.365277999997</v>
      </c>
      <c r="B4030" s="17">
        <v>62.077216</v>
      </c>
      <c r="C4030" s="18"/>
      <c r="D4030" s="19"/>
    </row>
    <row r="4031" spans="1:4" x14ac:dyDescent="0.3">
      <c r="A4031" s="20">
        <v>45453.365972</v>
      </c>
      <c r="B4031" s="17">
        <v>61.868276000000002</v>
      </c>
      <c r="C4031" s="18"/>
      <c r="D4031" s="19"/>
    </row>
    <row r="4032" spans="1:4" x14ac:dyDescent="0.3">
      <c r="A4032" s="20">
        <v>45453.366667000002</v>
      </c>
      <c r="B4032" s="17">
        <v>61.719071</v>
      </c>
      <c r="C4032" s="18"/>
      <c r="D4032" s="19"/>
    </row>
    <row r="4033" spans="1:4" x14ac:dyDescent="0.3">
      <c r="A4033" s="20">
        <v>45453.367360999997</v>
      </c>
      <c r="B4033" s="17">
        <v>62.046408999999997</v>
      </c>
      <c r="C4033" s="18"/>
      <c r="D4033" s="19"/>
    </row>
    <row r="4034" spans="1:4" x14ac:dyDescent="0.3">
      <c r="A4034" s="20">
        <v>45453.368055999999</v>
      </c>
      <c r="B4034" s="17">
        <v>62.139485000000001</v>
      </c>
      <c r="C4034" s="18"/>
      <c r="D4034" s="19"/>
    </row>
    <row r="4035" spans="1:4" x14ac:dyDescent="0.3">
      <c r="A4035" s="20">
        <v>45453.368750000001</v>
      </c>
      <c r="B4035" s="17">
        <v>61.842174999999997</v>
      </c>
      <c r="C4035" s="18"/>
      <c r="D4035" s="19"/>
    </row>
    <row r="4036" spans="1:4" x14ac:dyDescent="0.3">
      <c r="A4036" s="20">
        <v>45453.369444000004</v>
      </c>
      <c r="B4036" s="17">
        <v>61.575570999999997</v>
      </c>
      <c r="C4036" s="18"/>
      <c r="D4036" s="19"/>
    </row>
    <row r="4037" spans="1:4" x14ac:dyDescent="0.3">
      <c r="A4037" s="20">
        <v>45453.370138999999</v>
      </c>
      <c r="B4037" s="17">
        <v>62.441048000000002</v>
      </c>
      <c r="C4037" s="18"/>
      <c r="D4037" s="19"/>
    </row>
    <row r="4038" spans="1:4" x14ac:dyDescent="0.3">
      <c r="A4038" s="20">
        <v>45453.370833000001</v>
      </c>
      <c r="B4038" s="17">
        <v>62.041471000000001</v>
      </c>
      <c r="C4038" s="18"/>
      <c r="D4038" s="19"/>
    </row>
    <row r="4039" spans="1:4" x14ac:dyDescent="0.3">
      <c r="A4039" s="20">
        <v>45453.371528000003</v>
      </c>
      <c r="B4039" s="17">
        <v>61.956674</v>
      </c>
      <c r="C4039" s="18"/>
      <c r="D4039" s="19"/>
    </row>
    <row r="4040" spans="1:4" x14ac:dyDescent="0.3">
      <c r="A4040" s="20">
        <v>45453.372221999998</v>
      </c>
      <c r="B4040" s="17">
        <v>62.008809999999997</v>
      </c>
      <c r="C4040" s="18"/>
      <c r="D4040" s="19"/>
    </row>
    <row r="4041" spans="1:4" x14ac:dyDescent="0.3">
      <c r="A4041" s="20">
        <v>45453.372917000001</v>
      </c>
      <c r="B4041" s="17">
        <v>61.889187</v>
      </c>
      <c r="C4041" s="18"/>
      <c r="D4041" s="19"/>
    </row>
    <row r="4042" spans="1:4" x14ac:dyDescent="0.3">
      <c r="A4042" s="20">
        <v>45453.373611000003</v>
      </c>
      <c r="B4042" s="17">
        <v>61.545020000000001</v>
      </c>
      <c r="C4042" s="18"/>
      <c r="D4042" s="19"/>
    </row>
    <row r="4043" spans="1:4" x14ac:dyDescent="0.3">
      <c r="A4043" s="20">
        <v>45453.374305999998</v>
      </c>
      <c r="B4043" s="17">
        <v>62.022036999999997</v>
      </c>
      <c r="C4043" s="18"/>
      <c r="D4043" s="19"/>
    </row>
    <row r="4044" spans="1:4" x14ac:dyDescent="0.3">
      <c r="A4044" s="20">
        <v>45453.375</v>
      </c>
      <c r="B4044" s="17">
        <v>62.890400999999997</v>
      </c>
      <c r="C4044" s="18"/>
      <c r="D4044" s="19"/>
    </row>
    <row r="4045" spans="1:4" x14ac:dyDescent="0.3">
      <c r="A4045" s="20">
        <v>45453.375694000002</v>
      </c>
      <c r="B4045" s="17">
        <v>62.077874000000001</v>
      </c>
      <c r="C4045" s="18"/>
      <c r="D4045" s="19"/>
    </row>
    <row r="4046" spans="1:4" x14ac:dyDescent="0.3">
      <c r="A4046" s="20">
        <v>45453.376388999997</v>
      </c>
      <c r="B4046" s="17">
        <v>62.117151999999997</v>
      </c>
      <c r="C4046" s="18"/>
      <c r="D4046" s="19"/>
    </row>
    <row r="4047" spans="1:4" x14ac:dyDescent="0.3">
      <c r="A4047" s="20">
        <v>45453.377082999999</v>
      </c>
      <c r="B4047" s="17">
        <v>62.477758000000001</v>
      </c>
      <c r="C4047" s="18"/>
      <c r="D4047" s="19"/>
    </row>
    <row r="4048" spans="1:4" x14ac:dyDescent="0.3">
      <c r="A4048" s="20">
        <v>45453.377778000002</v>
      </c>
      <c r="B4048" s="17">
        <v>62.140920999999999</v>
      </c>
      <c r="C4048" s="18"/>
      <c r="D4048" s="19"/>
    </row>
    <row r="4049" spans="1:4" x14ac:dyDescent="0.3">
      <c r="A4049" s="20">
        <v>45453.378471999997</v>
      </c>
      <c r="B4049" s="17">
        <v>62.243028000000002</v>
      </c>
      <c r="C4049" s="18"/>
      <c r="D4049" s="19"/>
    </row>
    <row r="4050" spans="1:4" x14ac:dyDescent="0.3">
      <c r="A4050" s="20">
        <v>45453.379166999999</v>
      </c>
      <c r="B4050" s="17">
        <v>62.249051000000001</v>
      </c>
      <c r="C4050" s="18"/>
      <c r="D4050" s="19"/>
    </row>
    <row r="4051" spans="1:4" x14ac:dyDescent="0.3">
      <c r="A4051" s="20">
        <v>45453.379861000001</v>
      </c>
      <c r="B4051" s="17">
        <v>62.507596999999997</v>
      </c>
      <c r="C4051" s="18"/>
      <c r="D4051" s="19"/>
    </row>
    <row r="4052" spans="1:4" x14ac:dyDescent="0.3">
      <c r="A4052" s="20">
        <v>45453.380555999996</v>
      </c>
      <c r="B4052" s="17">
        <v>62.424630999999998</v>
      </c>
      <c r="C4052" s="18"/>
      <c r="D4052" s="19"/>
    </row>
    <row r="4053" spans="1:4" x14ac:dyDescent="0.3">
      <c r="A4053" s="20">
        <v>45453.381249999999</v>
      </c>
      <c r="B4053" s="17">
        <v>62.460194999999999</v>
      </c>
      <c r="C4053" s="18"/>
      <c r="D4053" s="19"/>
    </row>
    <row r="4054" spans="1:4" x14ac:dyDescent="0.3">
      <c r="A4054" s="20">
        <v>45453.381944000001</v>
      </c>
      <c r="B4054" s="17">
        <v>62.113360999999998</v>
      </c>
      <c r="C4054" s="18"/>
      <c r="D4054" s="19"/>
    </row>
    <row r="4055" spans="1:4" x14ac:dyDescent="0.3">
      <c r="A4055" s="20">
        <v>45453.382639000003</v>
      </c>
      <c r="B4055" s="17">
        <v>61.774557000000001</v>
      </c>
      <c r="C4055" s="18"/>
      <c r="D4055" s="19"/>
    </row>
    <row r="4056" spans="1:4" x14ac:dyDescent="0.3">
      <c r="A4056" s="20">
        <v>45453.383332999998</v>
      </c>
      <c r="B4056" s="17">
        <v>61.742201999999999</v>
      </c>
      <c r="C4056" s="18"/>
      <c r="D4056" s="19"/>
    </row>
    <row r="4057" spans="1:4" x14ac:dyDescent="0.3">
      <c r="A4057" s="20">
        <v>45453.384028</v>
      </c>
      <c r="B4057" s="17">
        <v>62.161017999999999</v>
      </c>
      <c r="C4057" s="18"/>
      <c r="D4057" s="19"/>
    </row>
    <row r="4058" spans="1:4" x14ac:dyDescent="0.3">
      <c r="A4058" s="20">
        <v>45453.384722000003</v>
      </c>
      <c r="B4058" s="17">
        <v>62.615709000000003</v>
      </c>
      <c r="C4058" s="18"/>
      <c r="D4058" s="19"/>
    </row>
    <row r="4059" spans="1:4" x14ac:dyDescent="0.3">
      <c r="A4059" s="20">
        <v>45453.385416999998</v>
      </c>
      <c r="B4059" s="17">
        <v>61.970844</v>
      </c>
      <c r="C4059" s="18"/>
      <c r="D4059" s="19"/>
    </row>
    <row r="4060" spans="1:4" x14ac:dyDescent="0.3">
      <c r="A4060" s="20">
        <v>45453.386111</v>
      </c>
      <c r="B4060" s="17">
        <v>62.476875</v>
      </c>
      <c r="C4060" s="18"/>
      <c r="D4060" s="19"/>
    </row>
    <row r="4061" spans="1:4" x14ac:dyDescent="0.3">
      <c r="A4061" s="20">
        <v>45453.386806000002</v>
      </c>
      <c r="B4061" s="17">
        <v>62.51529</v>
      </c>
      <c r="C4061" s="18"/>
      <c r="D4061" s="19"/>
    </row>
    <row r="4062" spans="1:4" x14ac:dyDescent="0.3">
      <c r="A4062" s="20">
        <v>45453.387499999997</v>
      </c>
      <c r="B4062" s="17">
        <v>62.265692000000001</v>
      </c>
      <c r="C4062" s="18"/>
      <c r="D4062" s="19"/>
    </row>
    <row r="4063" spans="1:4" x14ac:dyDescent="0.3">
      <c r="A4063" s="20">
        <v>45453.388193999999</v>
      </c>
      <c r="B4063" s="17">
        <v>61.305549999999997</v>
      </c>
      <c r="C4063" s="18"/>
      <c r="D4063" s="19"/>
    </row>
    <row r="4064" spans="1:4" x14ac:dyDescent="0.3">
      <c r="A4064" s="20">
        <v>45453.388889000002</v>
      </c>
      <c r="B4064" s="17">
        <v>62.159114000000002</v>
      </c>
      <c r="C4064" s="18"/>
      <c r="D4064" s="19"/>
    </row>
    <row r="4065" spans="1:4" x14ac:dyDescent="0.3">
      <c r="A4065" s="20">
        <v>45453.389582999996</v>
      </c>
      <c r="B4065" s="17">
        <v>62.119585000000001</v>
      </c>
      <c r="C4065" s="18"/>
      <c r="D4065" s="19"/>
    </row>
    <row r="4066" spans="1:4" x14ac:dyDescent="0.3">
      <c r="A4066" s="20">
        <v>45453.390277999999</v>
      </c>
      <c r="B4066" s="17">
        <v>62.525936999999999</v>
      </c>
      <c r="C4066" s="18"/>
      <c r="D4066" s="19"/>
    </row>
    <row r="4067" spans="1:4" x14ac:dyDescent="0.3">
      <c r="A4067" s="20">
        <v>45453.390972000001</v>
      </c>
      <c r="B4067" s="17">
        <v>62.365786</v>
      </c>
      <c r="C4067" s="18"/>
      <c r="D4067" s="19"/>
    </row>
    <row r="4068" spans="1:4" x14ac:dyDescent="0.3">
      <c r="A4068" s="20">
        <v>45453.391667000004</v>
      </c>
      <c r="B4068" s="17">
        <v>62.289791000000001</v>
      </c>
      <c r="C4068" s="18"/>
      <c r="D4068" s="19"/>
    </row>
    <row r="4069" spans="1:4" x14ac:dyDescent="0.3">
      <c r="A4069" s="20">
        <v>45453.392360999998</v>
      </c>
      <c r="B4069" s="17">
        <v>50.404026999999999</v>
      </c>
      <c r="C4069" s="18"/>
      <c r="D4069" s="19"/>
    </row>
    <row r="4070" spans="1:4" x14ac:dyDescent="0.3">
      <c r="A4070" s="20">
        <v>45453.393056000001</v>
      </c>
      <c r="B4070" s="17">
        <v>0.793126</v>
      </c>
      <c r="C4070" s="18"/>
      <c r="D4070" s="19"/>
    </row>
    <row r="4071" spans="1:4" x14ac:dyDescent="0.3">
      <c r="A4071" s="20">
        <v>45453.393750000003</v>
      </c>
      <c r="B4071" s="17">
        <v>0.793126</v>
      </c>
      <c r="C4071" s="18"/>
      <c r="D4071" s="19"/>
    </row>
    <row r="4072" spans="1:4" x14ac:dyDescent="0.3">
      <c r="A4072" s="20">
        <v>45453.394443999998</v>
      </c>
      <c r="B4072" s="17">
        <v>0.793126</v>
      </c>
      <c r="C4072" s="18"/>
      <c r="D4072" s="19"/>
    </row>
    <row r="4073" spans="1:4" x14ac:dyDescent="0.3">
      <c r="A4073" s="20">
        <v>45453.395139</v>
      </c>
      <c r="B4073" s="17">
        <v>0.793126</v>
      </c>
      <c r="C4073" s="18"/>
      <c r="D4073" s="19"/>
    </row>
    <row r="4074" spans="1:4" x14ac:dyDescent="0.3">
      <c r="A4074" s="20">
        <v>45453.395833000002</v>
      </c>
      <c r="B4074" s="17">
        <v>0.793126</v>
      </c>
      <c r="C4074" s="18"/>
      <c r="D4074" s="19"/>
    </row>
    <row r="4075" spans="1:4" x14ac:dyDescent="0.3">
      <c r="A4075" s="20">
        <v>45453.396527999997</v>
      </c>
      <c r="B4075" s="17">
        <v>0.793126</v>
      </c>
      <c r="C4075" s="18"/>
      <c r="D4075" s="19"/>
    </row>
    <row r="4076" spans="1:4" x14ac:dyDescent="0.3">
      <c r="A4076" s="20">
        <v>45453.397222</v>
      </c>
      <c r="B4076" s="17">
        <v>0.793126</v>
      </c>
      <c r="C4076" s="18"/>
      <c r="D4076" s="19"/>
    </row>
    <row r="4077" spans="1:4" x14ac:dyDescent="0.3">
      <c r="A4077" s="20">
        <v>45453.397917000002</v>
      </c>
      <c r="B4077" s="17">
        <v>0.793126</v>
      </c>
      <c r="C4077" s="18"/>
      <c r="D4077" s="19"/>
    </row>
    <row r="4078" spans="1:4" x14ac:dyDescent="0.3">
      <c r="A4078" s="20">
        <v>45453.398610999997</v>
      </c>
      <c r="B4078" s="17">
        <v>0.793126</v>
      </c>
      <c r="C4078" s="18"/>
      <c r="D4078" s="19"/>
    </row>
    <row r="4079" spans="1:4" x14ac:dyDescent="0.3">
      <c r="A4079" s="20">
        <v>45453.399305999999</v>
      </c>
      <c r="B4079" s="17">
        <v>0.793126</v>
      </c>
      <c r="C4079" s="18"/>
      <c r="D4079" s="19"/>
    </row>
    <row r="4080" spans="1:4" x14ac:dyDescent="0.3">
      <c r="A4080" s="20">
        <v>45453.4</v>
      </c>
      <c r="B4080" s="17">
        <v>0.793126</v>
      </c>
      <c r="C4080" s="18"/>
      <c r="D4080" s="19"/>
    </row>
    <row r="4081" spans="1:4" x14ac:dyDescent="0.3">
      <c r="A4081" s="20">
        <v>45453.400694000004</v>
      </c>
      <c r="B4081" s="17">
        <v>13.996783000000001</v>
      </c>
      <c r="C4081" s="18"/>
      <c r="D4081" s="19"/>
    </row>
    <row r="4082" spans="1:4" x14ac:dyDescent="0.3">
      <c r="A4082" s="20">
        <v>45453.401388999999</v>
      </c>
      <c r="B4082" s="17">
        <v>20.578778</v>
      </c>
      <c r="C4082" s="18"/>
      <c r="D4082" s="19"/>
    </row>
    <row r="4083" spans="1:4" x14ac:dyDescent="0.3">
      <c r="A4083" s="20">
        <v>45453.402083000001</v>
      </c>
      <c r="B4083" s="17">
        <v>20.432614999999998</v>
      </c>
      <c r="C4083" s="18"/>
      <c r="D4083" s="19"/>
    </row>
    <row r="4084" spans="1:4" x14ac:dyDescent="0.3">
      <c r="A4084" s="20">
        <v>45453.402778000003</v>
      </c>
      <c r="B4084" s="17">
        <v>20.378395999999999</v>
      </c>
      <c r="C4084" s="18"/>
      <c r="D4084" s="19"/>
    </row>
    <row r="4085" spans="1:4" x14ac:dyDescent="0.3">
      <c r="A4085" s="20">
        <v>45453.403471999998</v>
      </c>
      <c r="B4085" s="17">
        <v>20.217041999999999</v>
      </c>
      <c r="C4085" s="18"/>
      <c r="D4085" s="19"/>
    </row>
    <row r="4086" spans="1:4" x14ac:dyDescent="0.3">
      <c r="A4086" s="20">
        <v>45453.404167000001</v>
      </c>
      <c r="B4086" s="17">
        <v>20.381867</v>
      </c>
      <c r="C4086" s="18"/>
      <c r="D4086" s="19"/>
    </row>
    <row r="4087" spans="1:4" x14ac:dyDescent="0.3">
      <c r="A4087" s="20">
        <v>45453.404861000003</v>
      </c>
      <c r="B4087" s="17">
        <v>20.005164000000001</v>
      </c>
      <c r="C4087" s="18"/>
      <c r="D4087" s="19"/>
    </row>
    <row r="4088" spans="1:4" x14ac:dyDescent="0.3">
      <c r="A4088" s="20">
        <v>45453.405555999998</v>
      </c>
      <c r="B4088" s="17">
        <v>20.304040000000001</v>
      </c>
      <c r="C4088" s="18"/>
      <c r="D4088" s="19"/>
    </row>
    <row r="4089" spans="1:4" x14ac:dyDescent="0.3">
      <c r="A4089" s="20">
        <v>45453.40625</v>
      </c>
      <c r="B4089" s="17">
        <v>20.385612999999999</v>
      </c>
      <c r="C4089" s="18"/>
      <c r="D4089" s="19"/>
    </row>
    <row r="4090" spans="1:4" x14ac:dyDescent="0.3">
      <c r="A4090" s="20">
        <v>45453.406944000002</v>
      </c>
      <c r="B4090" s="17">
        <v>20.606261</v>
      </c>
      <c r="C4090" s="18"/>
      <c r="D4090" s="19"/>
    </row>
    <row r="4091" spans="1:4" x14ac:dyDescent="0.3">
      <c r="A4091" s="20">
        <v>45453.407638999997</v>
      </c>
      <c r="B4091" s="17">
        <v>20.347449999999998</v>
      </c>
      <c r="C4091" s="18"/>
      <c r="D4091" s="19"/>
    </row>
    <row r="4092" spans="1:4" x14ac:dyDescent="0.3">
      <c r="A4092" s="20">
        <v>45453.408332999999</v>
      </c>
      <c r="B4092" s="17">
        <v>20.692231</v>
      </c>
      <c r="C4092" s="18"/>
      <c r="D4092" s="19"/>
    </row>
    <row r="4093" spans="1:4" x14ac:dyDescent="0.3">
      <c r="A4093" s="20">
        <v>45453.409028000002</v>
      </c>
      <c r="B4093" s="17">
        <v>20.735396000000001</v>
      </c>
      <c r="C4093" s="18"/>
      <c r="D4093" s="19"/>
    </row>
    <row r="4094" spans="1:4" x14ac:dyDescent="0.3">
      <c r="A4094" s="20">
        <v>45453.409721999997</v>
      </c>
      <c r="B4094" s="17">
        <v>20.494505</v>
      </c>
      <c r="C4094" s="18"/>
      <c r="D4094" s="19"/>
    </row>
    <row r="4095" spans="1:4" x14ac:dyDescent="0.3">
      <c r="A4095" s="20">
        <v>45453.410416999999</v>
      </c>
      <c r="B4095" s="17">
        <v>20.204436000000001</v>
      </c>
      <c r="C4095" s="18"/>
      <c r="D4095" s="19"/>
    </row>
    <row r="4096" spans="1:4" x14ac:dyDescent="0.3">
      <c r="A4096" s="20">
        <v>45453.411111000001</v>
      </c>
      <c r="B4096" s="17">
        <v>20.336901000000001</v>
      </c>
      <c r="C4096" s="18"/>
      <c r="D4096" s="19"/>
    </row>
    <row r="4097" spans="1:4" x14ac:dyDescent="0.3">
      <c r="A4097" s="20">
        <v>45453.411805999996</v>
      </c>
      <c r="B4097" s="17">
        <v>20.745819999999998</v>
      </c>
      <c r="C4097" s="18"/>
      <c r="D4097" s="19"/>
    </row>
    <row r="4098" spans="1:4" x14ac:dyDescent="0.3">
      <c r="A4098" s="20">
        <v>45453.412499999999</v>
      </c>
      <c r="B4098" s="17">
        <v>20.374464</v>
      </c>
      <c r="C4098" s="18"/>
      <c r="D4098" s="19"/>
    </row>
    <row r="4099" spans="1:4" x14ac:dyDescent="0.3">
      <c r="A4099" s="20">
        <v>45453.413194000001</v>
      </c>
      <c r="B4099" s="17">
        <v>20.342500000000001</v>
      </c>
      <c r="C4099" s="18"/>
      <c r="D4099" s="19"/>
    </row>
    <row r="4100" spans="1:4" x14ac:dyDescent="0.3">
      <c r="A4100" s="20">
        <v>45453.413889000003</v>
      </c>
      <c r="B4100" s="17">
        <v>20.305451999999999</v>
      </c>
      <c r="C4100" s="18"/>
      <c r="D4100" s="19"/>
    </row>
    <row r="4101" spans="1:4" x14ac:dyDescent="0.3">
      <c r="A4101" s="20">
        <v>45453.414582999998</v>
      </c>
      <c r="B4101" s="17">
        <v>20.474444999999999</v>
      </c>
      <c r="C4101" s="18"/>
      <c r="D4101" s="19"/>
    </row>
    <row r="4102" spans="1:4" x14ac:dyDescent="0.3">
      <c r="A4102" s="20">
        <v>45453.415278</v>
      </c>
      <c r="B4102" s="17">
        <v>20.591681999999999</v>
      </c>
      <c r="C4102" s="18"/>
      <c r="D4102" s="19"/>
    </row>
    <row r="4103" spans="1:4" x14ac:dyDescent="0.3">
      <c r="A4103" s="20">
        <v>45453.415972000003</v>
      </c>
      <c r="B4103" s="17">
        <v>20.299685</v>
      </c>
      <c r="C4103" s="18"/>
      <c r="D4103" s="19"/>
    </row>
    <row r="4104" spans="1:4" x14ac:dyDescent="0.3">
      <c r="A4104" s="20">
        <v>45453.416666999998</v>
      </c>
      <c r="B4104" s="17">
        <v>20.716418000000001</v>
      </c>
      <c r="C4104" s="18"/>
      <c r="D4104" s="19"/>
    </row>
    <row r="4105" spans="1:4" x14ac:dyDescent="0.3">
      <c r="A4105" s="20">
        <v>45453.417361</v>
      </c>
      <c r="B4105" s="17">
        <v>20.519981999999999</v>
      </c>
      <c r="C4105" s="18"/>
      <c r="D4105" s="19"/>
    </row>
    <row r="4106" spans="1:4" x14ac:dyDescent="0.3">
      <c r="A4106" s="20">
        <v>45453.418056000002</v>
      </c>
      <c r="B4106" s="17">
        <v>20.557459000000001</v>
      </c>
      <c r="C4106" s="18"/>
      <c r="D4106" s="19"/>
    </row>
    <row r="4107" spans="1:4" x14ac:dyDescent="0.3">
      <c r="A4107" s="20">
        <v>45453.418749999997</v>
      </c>
      <c r="B4107" s="17">
        <v>20.974585999999999</v>
      </c>
      <c r="C4107" s="18"/>
      <c r="D4107" s="19"/>
    </row>
    <row r="4108" spans="1:4" x14ac:dyDescent="0.3">
      <c r="A4108" s="20">
        <v>45453.419443999999</v>
      </c>
      <c r="B4108" s="17">
        <v>20.628318</v>
      </c>
      <c r="C4108" s="18"/>
      <c r="D4108" s="19"/>
    </row>
    <row r="4109" spans="1:4" x14ac:dyDescent="0.3">
      <c r="A4109" s="20">
        <v>45453.420139000002</v>
      </c>
      <c r="B4109" s="17">
        <v>20.462384</v>
      </c>
      <c r="C4109" s="18"/>
      <c r="D4109" s="19"/>
    </row>
    <row r="4110" spans="1:4" x14ac:dyDescent="0.3">
      <c r="A4110" s="20">
        <v>45453.420832999996</v>
      </c>
      <c r="B4110" s="17">
        <v>20.262931999999999</v>
      </c>
      <c r="C4110" s="18"/>
      <c r="D4110" s="19"/>
    </row>
    <row r="4111" spans="1:4" x14ac:dyDescent="0.3">
      <c r="A4111" s="20">
        <v>45453.421527999999</v>
      </c>
      <c r="B4111" s="17">
        <v>20.721529</v>
      </c>
      <c r="C4111" s="18"/>
      <c r="D4111" s="19"/>
    </row>
    <row r="4112" spans="1:4" x14ac:dyDescent="0.3">
      <c r="A4112" s="20">
        <v>45453.422222000001</v>
      </c>
      <c r="B4112" s="17">
        <v>20.283480999999998</v>
      </c>
      <c r="C4112" s="18"/>
      <c r="D4112" s="19"/>
    </row>
    <row r="4113" spans="1:4" x14ac:dyDescent="0.3">
      <c r="A4113" s="20">
        <v>45453.422917000004</v>
      </c>
      <c r="B4113" s="17">
        <v>20.438192999999998</v>
      </c>
      <c r="C4113" s="18"/>
      <c r="D4113" s="19"/>
    </row>
    <row r="4114" spans="1:4" x14ac:dyDescent="0.3">
      <c r="A4114" s="20">
        <v>45453.423610999998</v>
      </c>
      <c r="B4114" s="17">
        <v>20.285142</v>
      </c>
      <c r="C4114" s="18"/>
      <c r="D4114" s="19"/>
    </row>
    <row r="4115" spans="1:4" x14ac:dyDescent="0.3">
      <c r="A4115" s="20">
        <v>45453.424306000001</v>
      </c>
      <c r="B4115" s="17">
        <v>20.464193999999999</v>
      </c>
      <c r="C4115" s="18"/>
      <c r="D4115" s="19"/>
    </row>
    <row r="4116" spans="1:4" x14ac:dyDescent="0.3">
      <c r="A4116" s="20">
        <v>45453.425000000003</v>
      </c>
      <c r="B4116" s="17">
        <v>20.630068999999999</v>
      </c>
      <c r="C4116" s="18"/>
      <c r="D4116" s="19"/>
    </row>
    <row r="4117" spans="1:4" x14ac:dyDescent="0.3">
      <c r="A4117" s="20">
        <v>45453.425693999998</v>
      </c>
      <c r="B4117" s="17">
        <v>20.622592000000001</v>
      </c>
      <c r="C4117" s="18"/>
      <c r="D4117" s="19"/>
    </row>
    <row r="4118" spans="1:4" x14ac:dyDescent="0.3">
      <c r="A4118" s="20">
        <v>45453.426389</v>
      </c>
      <c r="B4118" s="17">
        <v>20.420532999999999</v>
      </c>
      <c r="C4118" s="18"/>
      <c r="D4118" s="19"/>
    </row>
    <row r="4119" spans="1:4" x14ac:dyDescent="0.3">
      <c r="A4119" s="20">
        <v>45453.427083000002</v>
      </c>
      <c r="B4119" s="17">
        <v>20.253577</v>
      </c>
      <c r="C4119" s="18"/>
      <c r="D4119" s="19"/>
    </row>
    <row r="4120" spans="1:4" x14ac:dyDescent="0.3">
      <c r="A4120" s="20">
        <v>45453.427777999997</v>
      </c>
      <c r="B4120" s="17">
        <v>20.484786</v>
      </c>
      <c r="C4120" s="18"/>
      <c r="D4120" s="19"/>
    </row>
    <row r="4121" spans="1:4" x14ac:dyDescent="0.3">
      <c r="A4121" s="20">
        <v>45453.428472</v>
      </c>
      <c r="B4121" s="17">
        <v>20.669909000000001</v>
      </c>
      <c r="C4121" s="18"/>
      <c r="D4121" s="19"/>
    </row>
    <row r="4122" spans="1:4" x14ac:dyDescent="0.3">
      <c r="A4122" s="20">
        <v>45453.429167000002</v>
      </c>
      <c r="B4122" s="17">
        <v>20.512394</v>
      </c>
      <c r="C4122" s="18"/>
      <c r="D4122" s="19"/>
    </row>
    <row r="4123" spans="1:4" x14ac:dyDescent="0.3">
      <c r="A4123" s="20">
        <v>45453.429860999997</v>
      </c>
      <c r="B4123" s="17">
        <v>20.463894</v>
      </c>
      <c r="C4123" s="18"/>
      <c r="D4123" s="19"/>
    </row>
    <row r="4124" spans="1:4" x14ac:dyDescent="0.3">
      <c r="A4124" s="20">
        <v>45453.430555999999</v>
      </c>
      <c r="B4124" s="17">
        <v>20.436150999999999</v>
      </c>
      <c r="C4124" s="18"/>
      <c r="D4124" s="19"/>
    </row>
    <row r="4125" spans="1:4" x14ac:dyDescent="0.3">
      <c r="A4125" s="20">
        <v>45453.431250000001</v>
      </c>
      <c r="B4125" s="17">
        <v>20.787087</v>
      </c>
      <c r="C4125" s="18"/>
      <c r="D4125" s="19"/>
    </row>
    <row r="4126" spans="1:4" x14ac:dyDescent="0.3">
      <c r="A4126" s="20">
        <v>45453.431944000004</v>
      </c>
      <c r="B4126" s="17">
        <v>20.356413</v>
      </c>
      <c r="C4126" s="18"/>
      <c r="D4126" s="19"/>
    </row>
    <row r="4127" spans="1:4" x14ac:dyDescent="0.3">
      <c r="A4127" s="20">
        <v>45453.432638999999</v>
      </c>
      <c r="B4127" s="17">
        <v>20.775205</v>
      </c>
      <c r="C4127" s="18"/>
      <c r="D4127" s="19"/>
    </row>
    <row r="4128" spans="1:4" x14ac:dyDescent="0.3">
      <c r="A4128" s="20">
        <v>45453.433333000001</v>
      </c>
      <c r="B4128" s="17">
        <v>20.619264999999999</v>
      </c>
      <c r="C4128" s="18"/>
      <c r="D4128" s="19"/>
    </row>
    <row r="4129" spans="1:4" x14ac:dyDescent="0.3">
      <c r="A4129" s="20">
        <v>45453.434028000003</v>
      </c>
      <c r="B4129" s="17">
        <v>20.529999</v>
      </c>
      <c r="C4129" s="18"/>
      <c r="D4129" s="19"/>
    </row>
    <row r="4130" spans="1:4" x14ac:dyDescent="0.3">
      <c r="A4130" s="20">
        <v>45453.434721999998</v>
      </c>
      <c r="B4130" s="17">
        <v>20.591125999999999</v>
      </c>
      <c r="C4130" s="18"/>
      <c r="D4130" s="19"/>
    </row>
    <row r="4131" spans="1:4" x14ac:dyDescent="0.3">
      <c r="A4131" s="20">
        <v>45453.435417000001</v>
      </c>
      <c r="B4131" s="17">
        <v>20.287239</v>
      </c>
      <c r="C4131" s="18"/>
      <c r="D4131" s="19"/>
    </row>
    <row r="4132" spans="1:4" x14ac:dyDescent="0.3">
      <c r="A4132" s="20">
        <v>45453.436111000003</v>
      </c>
      <c r="B4132" s="17">
        <v>20.317084999999999</v>
      </c>
      <c r="C4132" s="18"/>
      <c r="D4132" s="19"/>
    </row>
    <row r="4133" spans="1:4" x14ac:dyDescent="0.3">
      <c r="A4133" s="20">
        <v>45453.436805999998</v>
      </c>
      <c r="B4133" s="17">
        <v>20.488662000000001</v>
      </c>
      <c r="C4133" s="18"/>
      <c r="D4133" s="19"/>
    </row>
    <row r="4134" spans="1:4" x14ac:dyDescent="0.3">
      <c r="A4134" s="20">
        <v>45453.4375</v>
      </c>
      <c r="B4134" s="17">
        <v>20.261541000000001</v>
      </c>
      <c r="C4134" s="18"/>
      <c r="D4134" s="19"/>
    </row>
    <row r="4135" spans="1:4" x14ac:dyDescent="0.3">
      <c r="A4135" s="20">
        <v>45453.438194000002</v>
      </c>
      <c r="B4135" s="17">
        <v>20.340814999999999</v>
      </c>
      <c r="C4135" s="18"/>
      <c r="D4135" s="19"/>
    </row>
    <row r="4136" spans="1:4" x14ac:dyDescent="0.3">
      <c r="A4136" s="20">
        <v>45453.438888999997</v>
      </c>
      <c r="B4136" s="17">
        <v>20.344336999999999</v>
      </c>
      <c r="C4136" s="18"/>
      <c r="D4136" s="19"/>
    </row>
    <row r="4137" spans="1:4" x14ac:dyDescent="0.3">
      <c r="A4137" s="20">
        <v>45453.439582999999</v>
      </c>
      <c r="B4137" s="17">
        <v>20.245353999999999</v>
      </c>
      <c r="C4137" s="18"/>
      <c r="D4137" s="19"/>
    </row>
    <row r="4138" spans="1:4" x14ac:dyDescent="0.3">
      <c r="A4138" s="20">
        <v>45453.440278000002</v>
      </c>
      <c r="B4138" s="17">
        <v>20.450776999999999</v>
      </c>
      <c r="C4138" s="18"/>
      <c r="D4138" s="19"/>
    </row>
    <row r="4139" spans="1:4" x14ac:dyDescent="0.3">
      <c r="A4139" s="20">
        <v>45453.440971999997</v>
      </c>
      <c r="B4139" s="17">
        <v>20.338767000000001</v>
      </c>
      <c r="C4139" s="18"/>
      <c r="D4139" s="19"/>
    </row>
    <row r="4140" spans="1:4" x14ac:dyDescent="0.3">
      <c r="A4140" s="20">
        <v>45453.441666999999</v>
      </c>
      <c r="B4140" s="17">
        <v>20.14141</v>
      </c>
      <c r="C4140" s="18"/>
      <c r="D4140" s="19"/>
    </row>
    <row r="4141" spans="1:4" x14ac:dyDescent="0.3">
      <c r="A4141" s="20">
        <v>45453.442361000001</v>
      </c>
      <c r="B4141" s="17">
        <v>20.741046000000001</v>
      </c>
      <c r="C4141" s="18"/>
      <c r="D4141" s="19"/>
    </row>
    <row r="4142" spans="1:4" x14ac:dyDescent="0.3">
      <c r="A4142" s="20">
        <v>45453.443055999996</v>
      </c>
      <c r="B4142" s="17">
        <v>20.567221</v>
      </c>
      <c r="C4142" s="18"/>
      <c r="D4142" s="19"/>
    </row>
    <row r="4143" spans="1:4" x14ac:dyDescent="0.3">
      <c r="A4143" s="20">
        <v>45453.443749999999</v>
      </c>
      <c r="B4143" s="17">
        <v>20.498477000000001</v>
      </c>
      <c r="C4143" s="18"/>
      <c r="D4143" s="19"/>
    </row>
    <row r="4144" spans="1:4" x14ac:dyDescent="0.3">
      <c r="A4144" s="20">
        <v>45453.444444000001</v>
      </c>
      <c r="B4144" s="17">
        <v>20.664159000000001</v>
      </c>
      <c r="C4144" s="18"/>
      <c r="D4144" s="19"/>
    </row>
    <row r="4145" spans="1:4" x14ac:dyDescent="0.3">
      <c r="A4145" s="20">
        <v>45453.445139000003</v>
      </c>
      <c r="B4145" s="17">
        <v>20.330138999999999</v>
      </c>
      <c r="C4145" s="18"/>
      <c r="D4145" s="19"/>
    </row>
    <row r="4146" spans="1:4" x14ac:dyDescent="0.3">
      <c r="A4146" s="20">
        <v>45453.445832999998</v>
      </c>
      <c r="B4146" s="17">
        <v>20.645578</v>
      </c>
      <c r="C4146" s="18"/>
      <c r="D4146" s="19"/>
    </row>
    <row r="4147" spans="1:4" x14ac:dyDescent="0.3">
      <c r="A4147" s="20">
        <v>45453.446528</v>
      </c>
      <c r="B4147" s="17">
        <v>20.326062</v>
      </c>
      <c r="C4147" s="18"/>
      <c r="D4147" s="19"/>
    </row>
    <row r="4148" spans="1:4" x14ac:dyDescent="0.3">
      <c r="A4148" s="20">
        <v>45453.447222000003</v>
      </c>
      <c r="B4148" s="17">
        <v>20.452673999999998</v>
      </c>
      <c r="C4148" s="18"/>
      <c r="D4148" s="19"/>
    </row>
    <row r="4149" spans="1:4" x14ac:dyDescent="0.3">
      <c r="A4149" s="20">
        <v>45453.447916999998</v>
      </c>
      <c r="B4149" s="17">
        <v>20.947509</v>
      </c>
      <c r="C4149" s="18"/>
      <c r="D4149" s="19"/>
    </row>
    <row r="4150" spans="1:4" x14ac:dyDescent="0.3">
      <c r="A4150" s="20">
        <v>45453.448611</v>
      </c>
      <c r="B4150" s="17">
        <v>20.524768999999999</v>
      </c>
      <c r="C4150" s="18"/>
      <c r="D4150" s="19"/>
    </row>
    <row r="4151" spans="1:4" x14ac:dyDescent="0.3">
      <c r="A4151" s="20">
        <v>45453.449306000002</v>
      </c>
      <c r="B4151" s="17">
        <v>20.562384999999999</v>
      </c>
      <c r="C4151" s="18"/>
      <c r="D4151" s="19"/>
    </row>
    <row r="4152" spans="1:4" x14ac:dyDescent="0.3">
      <c r="A4152" s="20">
        <v>45453.45</v>
      </c>
      <c r="B4152" s="17">
        <v>20.228674000000002</v>
      </c>
      <c r="C4152" s="18"/>
      <c r="D4152" s="19"/>
    </row>
    <row r="4153" spans="1:4" x14ac:dyDescent="0.3">
      <c r="A4153" s="20">
        <v>45453.450693999999</v>
      </c>
      <c r="B4153" s="17">
        <v>20.455375</v>
      </c>
      <c r="C4153" s="18"/>
      <c r="D4153" s="19"/>
    </row>
    <row r="4154" spans="1:4" x14ac:dyDescent="0.3">
      <c r="A4154" s="20">
        <v>45453.451389000002</v>
      </c>
      <c r="B4154" s="17">
        <v>11.454017</v>
      </c>
      <c r="C4154" s="18"/>
      <c r="D4154" s="19"/>
    </row>
    <row r="4155" spans="1:4" x14ac:dyDescent="0.3">
      <c r="A4155" s="20">
        <v>45453.452082999996</v>
      </c>
      <c r="B4155" s="17">
        <v>0</v>
      </c>
      <c r="C4155" s="18"/>
      <c r="D4155" s="19"/>
    </row>
    <row r="4156" spans="1:4" x14ac:dyDescent="0.3">
      <c r="A4156" s="20">
        <v>45453.452777999999</v>
      </c>
      <c r="B4156" s="17">
        <v>0</v>
      </c>
      <c r="C4156" s="18"/>
      <c r="D4156" s="19"/>
    </row>
    <row r="4157" spans="1:4" x14ac:dyDescent="0.3">
      <c r="A4157" s="20">
        <v>45453.453472000001</v>
      </c>
      <c r="B4157" s="17">
        <v>0</v>
      </c>
      <c r="C4157" s="18"/>
      <c r="D4157" s="19"/>
    </row>
    <row r="4158" spans="1:4" x14ac:dyDescent="0.3">
      <c r="A4158" s="20">
        <v>45453.454167000004</v>
      </c>
      <c r="B4158" s="17">
        <v>0</v>
      </c>
      <c r="C4158" s="18"/>
      <c r="D4158" s="19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e2777ed-8237-4ab9-9278-2c144d6f6da3}" enabled="0" method="" siteId="{9e2777ed-8237-4ab9-9278-2c144d6f6da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Flow 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Paulina Govea Alvarez</dc:creator>
  <cp:lastModifiedBy>Paulina Govea Alvarez</cp:lastModifiedBy>
  <dcterms:created xsi:type="dcterms:W3CDTF">2024-05-17T15:35:51Z</dcterms:created>
  <dcterms:modified xsi:type="dcterms:W3CDTF">2026-08-10T14:53:03Z</dcterms:modified>
</cp:coreProperties>
</file>