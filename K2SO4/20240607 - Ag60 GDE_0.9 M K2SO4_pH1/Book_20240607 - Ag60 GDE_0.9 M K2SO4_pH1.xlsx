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K2SO4/20240607 - Ag60 GDE_0.9 M K2SO4_pH1/"/>
    </mc:Choice>
  </mc:AlternateContent>
  <xr:revisionPtr revIDLastSave="190" documentId="8_{99172C6E-3916-40BE-A50D-EF70DFCC63BC}" xr6:coauthVersionLast="47" xr6:coauthVersionMax="47" xr10:uidLastSave="{159023A6-295C-45D3-8C9B-B3DA70EEC93D}"/>
  <bookViews>
    <workbookView xWindow="-108" yWindow="-108" windowWidth="23256" windowHeight="12456" xr2:uid="{15374DF8-AA4F-49FF-8BB1-7BFD50C5D9E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P4" i="1"/>
  <c r="Q4" i="1"/>
  <c r="R4" i="1"/>
  <c r="S4" i="1"/>
  <c r="P5" i="1"/>
  <c r="Q5" i="1"/>
  <c r="R5" i="1"/>
  <c r="S5" i="1"/>
  <c r="P6" i="1"/>
  <c r="Q6" i="1"/>
  <c r="R6" i="1"/>
  <c r="S6" i="1"/>
  <c r="P7" i="1"/>
  <c r="Q7" i="1"/>
  <c r="R7" i="1"/>
  <c r="S7" i="1"/>
  <c r="P8" i="1"/>
  <c r="Q8" i="1"/>
  <c r="R8" i="1"/>
  <c r="S8" i="1"/>
  <c r="P9" i="1"/>
  <c r="Q9" i="1"/>
  <c r="R9" i="1"/>
  <c r="S9" i="1"/>
  <c r="P10" i="1"/>
  <c r="Q10" i="1"/>
  <c r="R10" i="1"/>
  <c r="S10" i="1"/>
  <c r="P11" i="1"/>
  <c r="Q11" i="1"/>
  <c r="R11" i="1"/>
  <c r="S11" i="1"/>
  <c r="P12" i="1"/>
  <c r="Q12" i="1"/>
  <c r="R12" i="1"/>
  <c r="S12" i="1"/>
  <c r="P13" i="1"/>
  <c r="Q13" i="1"/>
  <c r="R13" i="1"/>
  <c r="S13" i="1"/>
  <c r="P14" i="1"/>
  <c r="Q14" i="1"/>
  <c r="R14" i="1"/>
  <c r="S14" i="1"/>
  <c r="P15" i="1"/>
  <c r="Q15" i="1"/>
  <c r="R15" i="1"/>
  <c r="S15" i="1"/>
  <c r="P16" i="1"/>
  <c r="Q16" i="1"/>
  <c r="R16" i="1"/>
  <c r="S16" i="1"/>
  <c r="P17" i="1"/>
  <c r="Q17" i="1"/>
  <c r="R17" i="1"/>
  <c r="S17" i="1"/>
  <c r="P18" i="1"/>
  <c r="Q18" i="1"/>
  <c r="R18" i="1"/>
  <c r="S18" i="1"/>
  <c r="P19" i="1"/>
  <c r="Q19" i="1"/>
  <c r="R19" i="1"/>
  <c r="S19" i="1"/>
  <c r="P20" i="1"/>
  <c r="Q20" i="1"/>
  <c r="R20" i="1"/>
  <c r="S20" i="1"/>
  <c r="P21" i="1"/>
  <c r="Q21" i="1"/>
  <c r="R21" i="1"/>
  <c r="S21" i="1"/>
  <c r="P22" i="1"/>
  <c r="Q22" i="1"/>
  <c r="R22" i="1"/>
  <c r="S22" i="1"/>
  <c r="P23" i="1"/>
  <c r="Q23" i="1"/>
  <c r="R23" i="1"/>
  <c r="S23" i="1"/>
  <c r="P24" i="1"/>
  <c r="Q24" i="1"/>
  <c r="R24" i="1"/>
  <c r="S24" i="1"/>
  <c r="P25" i="1"/>
  <c r="Q25" i="1"/>
  <c r="R25" i="1"/>
  <c r="S25" i="1"/>
  <c r="P26" i="1"/>
  <c r="Q26" i="1"/>
  <c r="R26" i="1"/>
  <c r="S26" i="1"/>
  <c r="P27" i="1"/>
  <c r="Q27" i="1"/>
  <c r="U27" i="1" s="1"/>
  <c r="R27" i="1"/>
  <c r="S27" i="1"/>
  <c r="P28" i="1"/>
  <c r="Q28" i="1"/>
  <c r="R28" i="1"/>
  <c r="S28" i="1"/>
  <c r="P29" i="1"/>
  <c r="Q29" i="1"/>
  <c r="R29" i="1"/>
  <c r="S29" i="1"/>
  <c r="P30" i="1"/>
  <c r="Q30" i="1"/>
  <c r="R30" i="1"/>
  <c r="S30" i="1"/>
  <c r="P31" i="1"/>
  <c r="Q31" i="1"/>
  <c r="R31" i="1"/>
  <c r="S31" i="1"/>
  <c r="P32" i="1"/>
  <c r="Q32" i="1"/>
  <c r="R32" i="1"/>
  <c r="S32" i="1"/>
  <c r="P33" i="1"/>
  <c r="Q33" i="1"/>
  <c r="R33" i="1"/>
  <c r="S33" i="1"/>
  <c r="P34" i="1"/>
  <c r="Q34" i="1"/>
  <c r="R34" i="1"/>
  <c r="S34" i="1"/>
  <c r="P35" i="1"/>
  <c r="Q35" i="1"/>
  <c r="R35" i="1"/>
  <c r="S35" i="1"/>
  <c r="P36" i="1"/>
  <c r="Q36" i="1"/>
  <c r="R36" i="1"/>
  <c r="S36" i="1"/>
  <c r="P37" i="1"/>
  <c r="Q37" i="1"/>
  <c r="R37" i="1"/>
  <c r="S37" i="1"/>
  <c r="P38" i="1"/>
  <c r="Q38" i="1"/>
  <c r="R38" i="1"/>
  <c r="S38" i="1"/>
  <c r="P39" i="1"/>
  <c r="Q39" i="1"/>
  <c r="R39" i="1"/>
  <c r="S39" i="1"/>
  <c r="P40" i="1"/>
  <c r="Q40" i="1"/>
  <c r="R40" i="1"/>
  <c r="S40" i="1"/>
  <c r="P41" i="1"/>
  <c r="Q41" i="1"/>
  <c r="R41" i="1"/>
  <c r="S41" i="1"/>
  <c r="P42" i="1"/>
  <c r="Q42" i="1"/>
  <c r="R42" i="1"/>
  <c r="S42" i="1"/>
  <c r="P43" i="1"/>
  <c r="Q43" i="1"/>
  <c r="R43" i="1"/>
  <c r="S43" i="1"/>
  <c r="P44" i="1"/>
  <c r="Q44" i="1"/>
  <c r="R44" i="1"/>
  <c r="S44" i="1"/>
  <c r="P45" i="1"/>
  <c r="Q45" i="1"/>
  <c r="R45" i="1"/>
  <c r="S45" i="1"/>
  <c r="P46" i="1"/>
  <c r="Q46" i="1"/>
  <c r="R46" i="1"/>
  <c r="S46" i="1"/>
  <c r="P47" i="1"/>
  <c r="Q47" i="1"/>
  <c r="R47" i="1"/>
  <c r="S47" i="1"/>
  <c r="P48" i="1"/>
  <c r="Q48" i="1"/>
  <c r="R48" i="1"/>
  <c r="S48" i="1"/>
  <c r="P49" i="1"/>
  <c r="Q49" i="1"/>
  <c r="R49" i="1"/>
  <c r="S49" i="1"/>
  <c r="P50" i="1"/>
  <c r="Q50" i="1"/>
  <c r="R50" i="1"/>
  <c r="S50" i="1"/>
  <c r="P51" i="1"/>
  <c r="Q51" i="1"/>
  <c r="R51" i="1"/>
  <c r="S51" i="1"/>
  <c r="P52" i="1"/>
  <c r="Q52" i="1"/>
  <c r="R52" i="1"/>
  <c r="S52" i="1"/>
  <c r="P53" i="1"/>
  <c r="Q53" i="1"/>
  <c r="R53" i="1"/>
  <c r="S53" i="1"/>
  <c r="P54" i="1"/>
  <c r="Q54" i="1"/>
  <c r="R54" i="1"/>
  <c r="S54" i="1"/>
  <c r="P55" i="1"/>
  <c r="Q55" i="1"/>
  <c r="R55" i="1"/>
  <c r="S55" i="1"/>
  <c r="P56" i="1"/>
  <c r="Q56" i="1"/>
  <c r="R56" i="1"/>
  <c r="S56" i="1"/>
  <c r="P57" i="1"/>
  <c r="Q57" i="1"/>
  <c r="R57" i="1"/>
  <c r="S57" i="1"/>
  <c r="P58" i="1"/>
  <c r="Q58" i="1"/>
  <c r="R58" i="1"/>
  <c r="S58" i="1"/>
  <c r="P59" i="1"/>
  <c r="Q59" i="1"/>
  <c r="R59" i="1"/>
  <c r="S59" i="1"/>
  <c r="P60" i="1"/>
  <c r="Q60" i="1"/>
  <c r="U60" i="1" s="1"/>
  <c r="R60" i="1"/>
  <c r="S60" i="1"/>
  <c r="P61" i="1"/>
  <c r="Q61" i="1"/>
  <c r="R61" i="1"/>
  <c r="S61" i="1"/>
  <c r="P62" i="1"/>
  <c r="Q62" i="1"/>
  <c r="R62" i="1"/>
  <c r="S62" i="1"/>
  <c r="P63" i="1"/>
  <c r="Q63" i="1"/>
  <c r="R63" i="1"/>
  <c r="S63" i="1"/>
  <c r="P64" i="1"/>
  <c r="Q64" i="1"/>
  <c r="R64" i="1"/>
  <c r="S64" i="1"/>
  <c r="P65" i="1"/>
  <c r="Q65" i="1"/>
  <c r="R65" i="1"/>
  <c r="S65" i="1"/>
  <c r="P66" i="1"/>
  <c r="Q66" i="1"/>
  <c r="R66" i="1"/>
  <c r="S66" i="1"/>
  <c r="P67" i="1"/>
  <c r="Q67" i="1"/>
  <c r="R67" i="1"/>
  <c r="S67" i="1"/>
  <c r="P68" i="1"/>
  <c r="Q68" i="1"/>
  <c r="R68" i="1"/>
  <c r="S68" i="1"/>
  <c r="P69" i="1"/>
  <c r="Q69" i="1"/>
  <c r="R69" i="1"/>
  <c r="S69" i="1"/>
  <c r="P70" i="1"/>
  <c r="Q70" i="1"/>
  <c r="R70" i="1"/>
  <c r="S70" i="1"/>
  <c r="P71" i="1"/>
  <c r="Q71" i="1"/>
  <c r="R71" i="1"/>
  <c r="S71" i="1"/>
  <c r="P72" i="1"/>
  <c r="Q72" i="1"/>
  <c r="R72" i="1"/>
  <c r="S72" i="1"/>
  <c r="P73" i="1"/>
  <c r="Q73" i="1"/>
  <c r="R73" i="1"/>
  <c r="S73" i="1"/>
  <c r="P74" i="1"/>
  <c r="Q74" i="1"/>
  <c r="R74" i="1"/>
  <c r="S74" i="1"/>
  <c r="P75" i="1"/>
  <c r="Q75" i="1"/>
  <c r="R75" i="1"/>
  <c r="S75" i="1"/>
  <c r="P76" i="1"/>
  <c r="Q76" i="1"/>
  <c r="R76" i="1"/>
  <c r="S76" i="1"/>
  <c r="P77" i="1"/>
  <c r="Q77" i="1"/>
  <c r="R77" i="1"/>
  <c r="S77" i="1"/>
  <c r="P78" i="1"/>
  <c r="Q78" i="1"/>
  <c r="R78" i="1"/>
  <c r="S78" i="1"/>
  <c r="P79" i="1"/>
  <c r="Q79" i="1"/>
  <c r="R79" i="1"/>
  <c r="S79" i="1"/>
  <c r="P80" i="1"/>
  <c r="Q80" i="1"/>
  <c r="R80" i="1"/>
  <c r="S80" i="1"/>
  <c r="P81" i="1"/>
  <c r="Q81" i="1"/>
  <c r="R81" i="1"/>
  <c r="S81" i="1"/>
  <c r="P82" i="1"/>
  <c r="Q82" i="1"/>
  <c r="R82" i="1"/>
  <c r="S82" i="1"/>
  <c r="P83" i="1"/>
  <c r="Q83" i="1"/>
  <c r="R83" i="1"/>
  <c r="S83" i="1"/>
  <c r="P84" i="1"/>
  <c r="Q84" i="1"/>
  <c r="R84" i="1"/>
  <c r="S84" i="1"/>
  <c r="P85" i="1"/>
  <c r="Q85" i="1"/>
  <c r="R85" i="1"/>
  <c r="S85" i="1"/>
  <c r="P86" i="1"/>
  <c r="Q86" i="1"/>
  <c r="R86" i="1"/>
  <c r="S86" i="1"/>
  <c r="P87" i="1"/>
  <c r="Q87" i="1"/>
  <c r="R87" i="1"/>
  <c r="S87" i="1"/>
  <c r="P88" i="1"/>
  <c r="Q88" i="1"/>
  <c r="R88" i="1"/>
  <c r="S88" i="1"/>
  <c r="P89" i="1"/>
  <c r="Q89" i="1"/>
  <c r="R89" i="1"/>
  <c r="S89" i="1"/>
  <c r="P90" i="1"/>
  <c r="Q90" i="1"/>
  <c r="R90" i="1"/>
  <c r="S90" i="1"/>
  <c r="P91" i="1"/>
  <c r="Q91" i="1"/>
  <c r="R91" i="1"/>
  <c r="S91" i="1"/>
  <c r="P92" i="1"/>
  <c r="Q92" i="1"/>
  <c r="R92" i="1"/>
  <c r="S92" i="1"/>
  <c r="P93" i="1"/>
  <c r="Q93" i="1"/>
  <c r="R93" i="1"/>
  <c r="S93" i="1"/>
  <c r="P94" i="1"/>
  <c r="Q94" i="1"/>
  <c r="R94" i="1"/>
  <c r="S94" i="1"/>
  <c r="P95" i="1"/>
  <c r="Q95" i="1"/>
  <c r="R95" i="1"/>
  <c r="S95" i="1"/>
  <c r="P96" i="1"/>
  <c r="Q96" i="1"/>
  <c r="R96" i="1"/>
  <c r="S96" i="1"/>
  <c r="P97" i="1"/>
  <c r="Q97" i="1"/>
  <c r="R97" i="1"/>
  <c r="S97" i="1"/>
  <c r="P98" i="1"/>
  <c r="Q98" i="1"/>
  <c r="R98" i="1"/>
  <c r="S98" i="1"/>
  <c r="P99" i="1"/>
  <c r="Q99" i="1"/>
  <c r="R99" i="1"/>
  <c r="S99" i="1"/>
  <c r="P100" i="1"/>
  <c r="Q100" i="1"/>
  <c r="R100" i="1"/>
  <c r="S100" i="1"/>
  <c r="P101" i="1"/>
  <c r="Q101" i="1"/>
  <c r="R101" i="1"/>
  <c r="S101" i="1"/>
  <c r="P102" i="1"/>
  <c r="Q102" i="1"/>
  <c r="R102" i="1"/>
  <c r="S102" i="1"/>
  <c r="P103" i="1"/>
  <c r="Q103" i="1"/>
  <c r="R103" i="1"/>
  <c r="S103" i="1"/>
  <c r="P104" i="1"/>
  <c r="Q104" i="1"/>
  <c r="R104" i="1"/>
  <c r="S104" i="1"/>
  <c r="P105" i="1"/>
  <c r="Q105" i="1"/>
  <c r="R105" i="1"/>
  <c r="S105" i="1"/>
  <c r="P106" i="1"/>
  <c r="Q106" i="1"/>
  <c r="R106" i="1"/>
  <c r="S106" i="1"/>
  <c r="P107" i="1"/>
  <c r="Q107" i="1"/>
  <c r="R107" i="1"/>
  <c r="S107" i="1"/>
  <c r="P108" i="1"/>
  <c r="Q108" i="1"/>
  <c r="R108" i="1"/>
  <c r="S108" i="1"/>
  <c r="P109" i="1"/>
  <c r="Q109" i="1"/>
  <c r="R109" i="1"/>
  <c r="S109" i="1"/>
  <c r="P110" i="1"/>
  <c r="Q110" i="1"/>
  <c r="R110" i="1"/>
  <c r="S110" i="1"/>
  <c r="P111" i="1"/>
  <c r="Q111" i="1"/>
  <c r="R111" i="1"/>
  <c r="S111" i="1"/>
  <c r="P112" i="1"/>
  <c r="Q112" i="1"/>
  <c r="R112" i="1"/>
  <c r="S112" i="1"/>
  <c r="P113" i="1"/>
  <c r="Q113" i="1"/>
  <c r="U113" i="1" s="1"/>
  <c r="R113" i="1"/>
  <c r="S113" i="1"/>
  <c r="P114" i="1"/>
  <c r="Q114" i="1"/>
  <c r="R114" i="1"/>
  <c r="S114" i="1"/>
  <c r="P115" i="1"/>
  <c r="Q115" i="1"/>
  <c r="R115" i="1"/>
  <c r="S115" i="1"/>
  <c r="P116" i="1"/>
  <c r="Q116" i="1"/>
  <c r="R116" i="1"/>
  <c r="S116" i="1"/>
  <c r="P117" i="1"/>
  <c r="Q117" i="1"/>
  <c r="R117" i="1"/>
  <c r="S117" i="1"/>
  <c r="P118" i="1"/>
  <c r="Q118" i="1"/>
  <c r="R118" i="1"/>
  <c r="S118" i="1"/>
  <c r="P119" i="1"/>
  <c r="Q119" i="1"/>
  <c r="R119" i="1"/>
  <c r="S119" i="1"/>
  <c r="P120" i="1"/>
  <c r="Q120" i="1"/>
  <c r="R120" i="1"/>
  <c r="S120" i="1"/>
  <c r="P121" i="1"/>
  <c r="Q121" i="1"/>
  <c r="R121" i="1"/>
  <c r="S121" i="1"/>
  <c r="P122" i="1"/>
  <c r="Q122" i="1"/>
  <c r="R122" i="1"/>
  <c r="S122" i="1"/>
  <c r="P123" i="1"/>
  <c r="Q123" i="1"/>
  <c r="R123" i="1"/>
  <c r="S123" i="1"/>
  <c r="P124" i="1"/>
  <c r="Q124" i="1"/>
  <c r="R124" i="1"/>
  <c r="S124" i="1"/>
  <c r="P125" i="1"/>
  <c r="Q125" i="1"/>
  <c r="R125" i="1"/>
  <c r="S125" i="1"/>
  <c r="P126" i="1"/>
  <c r="Q126" i="1"/>
  <c r="R126" i="1"/>
  <c r="S126" i="1"/>
  <c r="P127" i="1"/>
  <c r="Q127" i="1"/>
  <c r="R127" i="1"/>
  <c r="S127" i="1"/>
  <c r="Q3" i="1"/>
  <c r="R3" i="1"/>
  <c r="P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3" i="1"/>
  <c r="C3" i="1"/>
  <c r="C4" i="1"/>
  <c r="C5" i="1"/>
  <c r="C6" i="1"/>
  <c r="C7" i="1"/>
  <c r="U7" i="1" s="1"/>
  <c r="C8" i="1"/>
  <c r="C9" i="1"/>
  <c r="C10" i="1"/>
  <c r="C11" i="1"/>
  <c r="C12" i="1"/>
  <c r="C13" i="1"/>
  <c r="C14" i="1"/>
  <c r="C15" i="1"/>
  <c r="C16" i="1"/>
  <c r="C17" i="1"/>
  <c r="C18" i="1"/>
  <c r="C19" i="1"/>
  <c r="T19" i="1" s="1"/>
  <c r="C20" i="1"/>
  <c r="U20" i="1" s="1"/>
  <c r="C21" i="1"/>
  <c r="C22" i="1"/>
  <c r="T22" i="1" s="1"/>
  <c r="C23" i="1"/>
  <c r="C24" i="1"/>
  <c r="C25" i="1"/>
  <c r="C26" i="1"/>
  <c r="C27" i="1"/>
  <c r="C28" i="1"/>
  <c r="U28" i="1" s="1"/>
  <c r="C29" i="1"/>
  <c r="C30" i="1"/>
  <c r="C31" i="1"/>
  <c r="U31" i="1" s="1"/>
  <c r="C32" i="1"/>
  <c r="U32" i="1" s="1"/>
  <c r="C33" i="1"/>
  <c r="C34" i="1"/>
  <c r="C35" i="1"/>
  <c r="C36" i="1"/>
  <c r="C37" i="1"/>
  <c r="C38" i="1"/>
  <c r="C39" i="1"/>
  <c r="C40" i="1"/>
  <c r="U40" i="1" s="1"/>
  <c r="C41" i="1"/>
  <c r="C42" i="1"/>
  <c r="C43" i="1"/>
  <c r="C44" i="1"/>
  <c r="U44" i="1" s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T67" i="1" s="1"/>
  <c r="C68" i="1"/>
  <c r="U68" i="1" s="1"/>
  <c r="C69" i="1"/>
  <c r="C70" i="1"/>
  <c r="C71" i="1"/>
  <c r="C72" i="1"/>
  <c r="C73" i="1"/>
  <c r="C74" i="1"/>
  <c r="C75" i="1"/>
  <c r="C76" i="1"/>
  <c r="C77" i="1"/>
  <c r="C78" i="1"/>
  <c r="C79" i="1"/>
  <c r="T79" i="1" s="1"/>
  <c r="C80" i="1"/>
  <c r="C81" i="1"/>
  <c r="C82" i="1"/>
  <c r="C83" i="1"/>
  <c r="C84" i="1"/>
  <c r="C85" i="1"/>
  <c r="C86" i="1"/>
  <c r="C87" i="1"/>
  <c r="C88" i="1"/>
  <c r="C89" i="1"/>
  <c r="C90" i="1"/>
  <c r="C91" i="1"/>
  <c r="T91" i="1" s="1"/>
  <c r="C92" i="1"/>
  <c r="U92" i="1" s="1"/>
  <c r="C93" i="1"/>
  <c r="C94" i="1"/>
  <c r="T94" i="1" s="1"/>
  <c r="C95" i="1"/>
  <c r="C96" i="1"/>
  <c r="C97" i="1"/>
  <c r="C98" i="1"/>
  <c r="C99" i="1"/>
  <c r="C100" i="1"/>
  <c r="U100" i="1" s="1"/>
  <c r="C101" i="1"/>
  <c r="C102" i="1"/>
  <c r="C103" i="1"/>
  <c r="C104" i="1"/>
  <c r="C105" i="1"/>
  <c r="C106" i="1"/>
  <c r="T106" i="1" s="1"/>
  <c r="C107" i="1"/>
  <c r="C108" i="1"/>
  <c r="C109" i="1"/>
  <c r="C110" i="1"/>
  <c r="C111" i="1"/>
  <c r="C112" i="1"/>
  <c r="C113" i="1"/>
  <c r="C114" i="1"/>
  <c r="C115" i="1"/>
  <c r="T115" i="1" s="1"/>
  <c r="C116" i="1"/>
  <c r="T116" i="1" s="1"/>
  <c r="C117" i="1"/>
  <c r="C118" i="1"/>
  <c r="C119" i="1"/>
  <c r="C120" i="1"/>
  <c r="C121" i="1"/>
  <c r="C122" i="1"/>
  <c r="C123" i="1"/>
  <c r="C124" i="1"/>
  <c r="U124" i="1" s="1"/>
  <c r="C125" i="1"/>
  <c r="C126" i="1"/>
  <c r="C127" i="1"/>
  <c r="C2" i="1"/>
  <c r="X127" i="1"/>
  <c r="Y126" i="1"/>
  <c r="X126" i="1"/>
  <c r="X125" i="1"/>
  <c r="Y124" i="1"/>
  <c r="X124" i="1"/>
  <c r="X123" i="1"/>
  <c r="Y122" i="1"/>
  <c r="X122" i="1"/>
  <c r="X121" i="1"/>
  <c r="Y120" i="1"/>
  <c r="X120" i="1"/>
  <c r="X119" i="1"/>
  <c r="Y118" i="1"/>
  <c r="X118" i="1"/>
  <c r="X117" i="1"/>
  <c r="Y116" i="1"/>
  <c r="X116" i="1"/>
  <c r="X115" i="1"/>
  <c r="Y114" i="1"/>
  <c r="X114" i="1"/>
  <c r="X113" i="1"/>
  <c r="Y112" i="1"/>
  <c r="X112" i="1"/>
  <c r="X111" i="1"/>
  <c r="Y110" i="1"/>
  <c r="X110" i="1"/>
  <c r="X109" i="1"/>
  <c r="Y108" i="1"/>
  <c r="X108" i="1"/>
  <c r="X107" i="1"/>
  <c r="Y106" i="1"/>
  <c r="X106" i="1"/>
  <c r="X105" i="1"/>
  <c r="Y104" i="1"/>
  <c r="X104" i="1"/>
  <c r="X103" i="1"/>
  <c r="Y102" i="1"/>
  <c r="X102" i="1"/>
  <c r="X101" i="1"/>
  <c r="Y100" i="1"/>
  <c r="X100" i="1"/>
  <c r="X99" i="1"/>
  <c r="Y98" i="1"/>
  <c r="X98" i="1"/>
  <c r="X97" i="1"/>
  <c r="Y96" i="1"/>
  <c r="X96" i="1"/>
  <c r="X95" i="1"/>
  <c r="Y94" i="1"/>
  <c r="X94" i="1"/>
  <c r="X93" i="1"/>
  <c r="Y92" i="1"/>
  <c r="X92" i="1"/>
  <c r="X91" i="1"/>
  <c r="Y90" i="1"/>
  <c r="X90" i="1"/>
  <c r="X89" i="1"/>
  <c r="Y88" i="1"/>
  <c r="X88" i="1"/>
  <c r="X87" i="1"/>
  <c r="Y86" i="1"/>
  <c r="X86" i="1"/>
  <c r="X85" i="1"/>
  <c r="Y84" i="1"/>
  <c r="X84" i="1"/>
  <c r="X83" i="1"/>
  <c r="Y82" i="1"/>
  <c r="X82" i="1"/>
  <c r="X81" i="1"/>
  <c r="Y80" i="1"/>
  <c r="X80" i="1"/>
  <c r="X79" i="1"/>
  <c r="Y78" i="1"/>
  <c r="X78" i="1"/>
  <c r="X77" i="1"/>
  <c r="Y76" i="1"/>
  <c r="X76" i="1"/>
  <c r="U76" i="1"/>
  <c r="X75" i="1"/>
  <c r="Y74" i="1"/>
  <c r="X74" i="1"/>
  <c r="X73" i="1"/>
  <c r="Y72" i="1"/>
  <c r="X72" i="1"/>
  <c r="X71" i="1"/>
  <c r="Y70" i="1"/>
  <c r="X70" i="1"/>
  <c r="X69" i="1"/>
  <c r="Y68" i="1"/>
  <c r="X68" i="1"/>
  <c r="X67" i="1"/>
  <c r="Y66" i="1"/>
  <c r="X66" i="1"/>
  <c r="X65" i="1"/>
  <c r="Y64" i="1"/>
  <c r="X64" i="1"/>
  <c r="X63" i="1"/>
  <c r="Y62" i="1"/>
  <c r="X62" i="1"/>
  <c r="X61" i="1"/>
  <c r="Y60" i="1"/>
  <c r="X60" i="1"/>
  <c r="X59" i="1"/>
  <c r="Y58" i="1"/>
  <c r="X58" i="1"/>
  <c r="X57" i="1"/>
  <c r="Y56" i="1"/>
  <c r="X56" i="1"/>
  <c r="X55" i="1"/>
  <c r="Y54" i="1"/>
  <c r="X54" i="1"/>
  <c r="X53" i="1"/>
  <c r="Y52" i="1"/>
  <c r="X52" i="1"/>
  <c r="X51" i="1"/>
  <c r="Y50" i="1"/>
  <c r="X50" i="1"/>
  <c r="X49" i="1"/>
  <c r="Y48" i="1"/>
  <c r="X48" i="1"/>
  <c r="X47" i="1"/>
  <c r="Y46" i="1"/>
  <c r="X46" i="1"/>
  <c r="X45" i="1"/>
  <c r="Y44" i="1"/>
  <c r="X44" i="1"/>
  <c r="X43" i="1"/>
  <c r="Y42" i="1"/>
  <c r="X42" i="1"/>
  <c r="X41" i="1"/>
  <c r="Y40" i="1"/>
  <c r="X40" i="1"/>
  <c r="X39" i="1"/>
  <c r="Y38" i="1"/>
  <c r="X38" i="1"/>
  <c r="X37" i="1"/>
  <c r="Y36" i="1"/>
  <c r="X36" i="1"/>
  <c r="X35" i="1"/>
  <c r="Y34" i="1"/>
  <c r="X34" i="1"/>
  <c r="X33" i="1"/>
  <c r="Y32" i="1"/>
  <c r="X32" i="1"/>
  <c r="X31" i="1"/>
  <c r="Y30" i="1"/>
  <c r="X30" i="1"/>
  <c r="X29" i="1"/>
  <c r="Y28" i="1"/>
  <c r="X28" i="1"/>
  <c r="X27" i="1"/>
  <c r="Y26" i="1"/>
  <c r="X26" i="1"/>
  <c r="X25" i="1"/>
  <c r="Y24" i="1"/>
  <c r="X24" i="1"/>
  <c r="X23" i="1"/>
  <c r="Y22" i="1"/>
  <c r="X22" i="1"/>
  <c r="X21" i="1"/>
  <c r="Y20" i="1"/>
  <c r="X20" i="1"/>
  <c r="X19" i="1"/>
  <c r="Y18" i="1"/>
  <c r="X18" i="1"/>
  <c r="X17" i="1"/>
  <c r="Y16" i="1"/>
  <c r="X16" i="1"/>
  <c r="X15" i="1"/>
  <c r="Y14" i="1"/>
  <c r="X14" i="1"/>
  <c r="X13" i="1"/>
  <c r="Y12" i="1"/>
  <c r="X12" i="1"/>
  <c r="X11" i="1"/>
  <c r="Y10" i="1"/>
  <c r="X10" i="1"/>
  <c r="X9" i="1"/>
  <c r="Y8" i="1"/>
  <c r="X8" i="1"/>
  <c r="X7" i="1"/>
  <c r="Y6" i="1"/>
  <c r="X6" i="1"/>
  <c r="X5" i="1"/>
  <c r="Y4" i="1"/>
  <c r="X4" i="1"/>
  <c r="X3" i="1"/>
  <c r="Y2" i="1"/>
  <c r="S2" i="1"/>
  <c r="R2" i="1"/>
  <c r="Q2" i="1"/>
  <c r="P2" i="1"/>
  <c r="U108" i="1" l="1"/>
  <c r="U99" i="1"/>
  <c r="U96" i="1"/>
  <c r="U87" i="1"/>
  <c r="U84" i="1"/>
  <c r="U72" i="1"/>
  <c r="U66" i="1"/>
  <c r="U54" i="1"/>
  <c r="U48" i="1"/>
  <c r="W48" i="1" s="1"/>
  <c r="U39" i="1"/>
  <c r="U36" i="1"/>
  <c r="W36" i="1" s="1"/>
  <c r="U24" i="1"/>
  <c r="U15" i="1"/>
  <c r="U12" i="1"/>
  <c r="U6" i="1"/>
  <c r="T120" i="1"/>
  <c r="T108" i="1"/>
  <c r="W108" i="1" s="1"/>
  <c r="T96" i="1"/>
  <c r="W96" i="1" s="1"/>
  <c r="T84" i="1"/>
  <c r="W84" i="1" s="1"/>
  <c r="T75" i="1"/>
  <c r="T72" i="1"/>
  <c r="W72" i="1" s="1"/>
  <c r="T63" i="1"/>
  <c r="T60" i="1"/>
  <c r="W60" i="1" s="1"/>
  <c r="T54" i="1"/>
  <c r="W54" i="1" s="1"/>
  <c r="T48" i="1"/>
  <c r="T36" i="1"/>
  <c r="T12" i="1"/>
  <c r="T3" i="1"/>
  <c r="U74" i="1"/>
  <c r="U29" i="1"/>
  <c r="U17" i="1"/>
  <c r="U11" i="1"/>
  <c r="U5" i="1"/>
  <c r="W5" i="1" s="1"/>
  <c r="T125" i="1"/>
  <c r="T17" i="1"/>
  <c r="W17" i="1" s="1"/>
  <c r="T14" i="1"/>
  <c r="T5" i="1"/>
  <c r="U19" i="1"/>
  <c r="T103" i="1"/>
  <c r="T43" i="1"/>
  <c r="U4" i="1"/>
  <c r="T76" i="1"/>
  <c r="W76" i="1" s="1"/>
  <c r="T52" i="1"/>
  <c r="T101" i="1"/>
  <c r="U34" i="1"/>
  <c r="W34" i="1" s="1"/>
  <c r="U109" i="1"/>
  <c r="U85" i="1"/>
  <c r="U61" i="1"/>
  <c r="U37" i="1"/>
  <c r="U13" i="1"/>
  <c r="U119" i="1"/>
  <c r="T107" i="1"/>
  <c r="U95" i="1"/>
  <c r="T83" i="1"/>
  <c r="T71" i="1"/>
  <c r="T59" i="1"/>
  <c r="T47" i="1"/>
  <c r="T35" i="1"/>
  <c r="U23" i="1"/>
  <c r="T11" i="1"/>
  <c r="W11" i="1" s="1"/>
  <c r="T34" i="1"/>
  <c r="U94" i="1"/>
  <c r="W94" i="1" s="1"/>
  <c r="U106" i="1"/>
  <c r="W106" i="1" s="1"/>
  <c r="T119" i="1"/>
  <c r="T24" i="1"/>
  <c r="T95" i="1"/>
  <c r="W95" i="1" s="1"/>
  <c r="U83" i="1"/>
  <c r="U71" i="1"/>
  <c r="U59" i="1"/>
  <c r="U47" i="1"/>
  <c r="U35" i="1"/>
  <c r="W35" i="1" s="1"/>
  <c r="U26" i="1"/>
  <c r="T92" i="1"/>
  <c r="U107" i="1"/>
  <c r="U45" i="1"/>
  <c r="T30" i="1"/>
  <c r="T6" i="1"/>
  <c r="W6" i="1" s="1"/>
  <c r="U93" i="1"/>
  <c r="T69" i="1"/>
  <c r="U125" i="1"/>
  <c r="U77" i="1"/>
  <c r="U53" i="1"/>
  <c r="T29" i="1"/>
  <c r="W29" i="1" s="1"/>
  <c r="T117" i="1"/>
  <c r="T123" i="1"/>
  <c r="T111" i="1"/>
  <c r="T99" i="1"/>
  <c r="W99" i="1" s="1"/>
  <c r="T87" i="1"/>
  <c r="T51" i="1"/>
  <c r="T39" i="1"/>
  <c r="T27" i="1"/>
  <c r="W27" i="1" s="1"/>
  <c r="U21" i="1"/>
  <c r="U126" i="1"/>
  <c r="U91" i="1"/>
  <c r="W91" i="1" s="1"/>
  <c r="T18" i="1"/>
  <c r="U42" i="1"/>
  <c r="U89" i="1"/>
  <c r="U101" i="1"/>
  <c r="T114" i="1"/>
  <c r="T42" i="1"/>
  <c r="T89" i="1"/>
  <c r="U30" i="1"/>
  <c r="W30" i="1" s="1"/>
  <c r="T57" i="1"/>
  <c r="T65" i="1"/>
  <c r="U67" i="1"/>
  <c r="W67" i="1" s="1"/>
  <c r="U114" i="1"/>
  <c r="T55" i="1"/>
  <c r="U65" i="1"/>
  <c r="U79" i="1"/>
  <c r="W79" i="1" s="1"/>
  <c r="T102" i="1"/>
  <c r="U117" i="1"/>
  <c r="U55" i="1"/>
  <c r="T77" i="1"/>
  <c r="U102" i="1"/>
  <c r="U116" i="1"/>
  <c r="W116" i="1" s="1"/>
  <c r="T127" i="1"/>
  <c r="T20" i="1"/>
  <c r="W20" i="1" s="1"/>
  <c r="T53" i="1"/>
  <c r="W53" i="1" s="1"/>
  <c r="T66" i="1"/>
  <c r="W66" i="1" s="1"/>
  <c r="T112" i="1"/>
  <c r="T9" i="1"/>
  <c r="U63" i="1"/>
  <c r="U75" i="1"/>
  <c r="T104" i="1"/>
  <c r="U112" i="1"/>
  <c r="U57" i="1"/>
  <c r="U9" i="1"/>
  <c r="T28" i="1"/>
  <c r="W28" i="1" s="1"/>
  <c r="T45" i="1"/>
  <c r="T100" i="1"/>
  <c r="W100" i="1" s="1"/>
  <c r="U104" i="1"/>
  <c r="W2" i="1"/>
  <c r="T32" i="1"/>
  <c r="W32" i="1" s="1"/>
  <c r="T40" i="1"/>
  <c r="W40" i="1" s="1"/>
  <c r="T81" i="1"/>
  <c r="T124" i="1"/>
  <c r="W124" i="1" s="1"/>
  <c r="T56" i="1"/>
  <c r="T64" i="1"/>
  <c r="U69" i="1"/>
  <c r="T44" i="1"/>
  <c r="W44" i="1" s="1"/>
  <c r="U56" i="1"/>
  <c r="U64" i="1"/>
  <c r="U123" i="1"/>
  <c r="U81" i="1"/>
  <c r="T4" i="1"/>
  <c r="T8" i="1"/>
  <c r="T21" i="1"/>
  <c r="U8" i="1"/>
  <c r="T16" i="1"/>
  <c r="U18" i="1"/>
  <c r="U52" i="1"/>
  <c r="W52" i="1" s="1"/>
  <c r="T68" i="1"/>
  <c r="W68" i="1" s="1"/>
  <c r="T90" i="1"/>
  <c r="T93" i="1"/>
  <c r="U105" i="1"/>
  <c r="U111" i="1"/>
  <c r="U3" i="1"/>
  <c r="U16" i="1"/>
  <c r="T33" i="1"/>
  <c r="T41" i="1"/>
  <c r="U43" i="1"/>
  <c r="W43" i="1" s="1"/>
  <c r="T78" i="1"/>
  <c r="T80" i="1"/>
  <c r="W80" i="1" s="1"/>
  <c r="T88" i="1"/>
  <c r="U90" i="1"/>
  <c r="U103" i="1"/>
  <c r="W103" i="1" s="1"/>
  <c r="T105" i="1"/>
  <c r="U33" i="1"/>
  <c r="U41" i="1"/>
  <c r="U51" i="1"/>
  <c r="U78" i="1"/>
  <c r="U80" i="1"/>
  <c r="U88" i="1"/>
  <c r="W92" i="1"/>
  <c r="W12" i="1"/>
  <c r="U120" i="1"/>
  <c r="U118" i="1"/>
  <c r="T126" i="1"/>
  <c r="T113" i="1"/>
  <c r="W113" i="1" s="1"/>
  <c r="U115" i="1"/>
  <c r="W115" i="1" s="1"/>
  <c r="T58" i="1"/>
  <c r="T46" i="1"/>
  <c r="U58" i="1"/>
  <c r="T118" i="1"/>
  <c r="T10" i="1"/>
  <c r="U46" i="1"/>
  <c r="U10" i="1"/>
  <c r="T70" i="1"/>
  <c r="U70" i="1"/>
  <c r="T82" i="1"/>
  <c r="T85" i="1"/>
  <c r="U97" i="1"/>
  <c r="U82" i="1"/>
  <c r="T49" i="1"/>
  <c r="U22" i="1"/>
  <c r="W22" i="1" s="1"/>
  <c r="U49" i="1"/>
  <c r="U127" i="1"/>
  <c r="T37" i="1"/>
  <c r="T13" i="1"/>
  <c r="T86" i="1"/>
  <c r="T121" i="1"/>
  <c r="T25" i="1"/>
  <c r="T73" i="1"/>
  <c r="U86" i="1"/>
  <c r="T98" i="1"/>
  <c r="U121" i="1"/>
  <c r="U25" i="1"/>
  <c r="T38" i="1"/>
  <c r="T50" i="1"/>
  <c r="T61" i="1"/>
  <c r="U73" i="1"/>
  <c r="U98" i="1"/>
  <c r="T109" i="1"/>
  <c r="U38" i="1"/>
  <c r="U50" i="1"/>
  <c r="U14" i="1"/>
  <c r="T62" i="1"/>
  <c r="T110" i="1"/>
  <c r="T122" i="1"/>
  <c r="T26" i="1"/>
  <c r="U62" i="1"/>
  <c r="T74" i="1"/>
  <c r="W74" i="1" s="1"/>
  <c r="T97" i="1"/>
  <c r="U110" i="1"/>
  <c r="U122" i="1"/>
  <c r="W19" i="1"/>
  <c r="T7" i="1"/>
  <c r="W7" i="1" s="1"/>
  <c r="T15" i="1"/>
  <c r="W15" i="1" s="1"/>
  <c r="T23" i="1"/>
  <c r="T31" i="1"/>
  <c r="W31" i="1" s="1"/>
  <c r="W14" i="1" l="1"/>
  <c r="W125" i="1"/>
  <c r="W87" i="1"/>
  <c r="W75" i="1"/>
  <c r="W85" i="1"/>
  <c r="W24" i="1"/>
  <c r="W61" i="1"/>
  <c r="W63" i="1"/>
  <c r="W109" i="1"/>
  <c r="W39" i="1"/>
  <c r="W23" i="1"/>
  <c r="W120" i="1"/>
  <c r="W3" i="1"/>
  <c r="W4" i="1"/>
  <c r="W119" i="1"/>
  <c r="W13" i="1"/>
  <c r="W107" i="1"/>
  <c r="W71" i="1"/>
  <c r="W37" i="1"/>
  <c r="W101" i="1"/>
  <c r="W69" i="1"/>
  <c r="W59" i="1"/>
  <c r="W83" i="1"/>
  <c r="W45" i="1"/>
  <c r="W88" i="1"/>
  <c r="W51" i="1"/>
  <c r="W81" i="1"/>
  <c r="W117" i="1"/>
  <c r="W55" i="1"/>
  <c r="W93" i="1"/>
  <c r="W47" i="1"/>
  <c r="W110" i="1"/>
  <c r="W111" i="1"/>
  <c r="W26" i="1"/>
  <c r="W123" i="1"/>
  <c r="W18" i="1"/>
  <c r="W102" i="1"/>
  <c r="W16" i="1"/>
  <c r="W77" i="1"/>
  <c r="W89" i="1"/>
  <c r="W65" i="1"/>
  <c r="W42" i="1"/>
  <c r="W21" i="1"/>
  <c r="W114" i="1"/>
  <c r="W57" i="1"/>
  <c r="W127" i="1"/>
  <c r="W126" i="1"/>
  <c r="W104" i="1"/>
  <c r="W64" i="1"/>
  <c r="W56" i="1"/>
  <c r="W90" i="1"/>
  <c r="W112" i="1"/>
  <c r="W78" i="1"/>
  <c r="W33" i="1"/>
  <c r="W41" i="1"/>
  <c r="W8" i="1"/>
  <c r="W105" i="1"/>
  <c r="W9" i="1"/>
  <c r="W10" i="1"/>
  <c r="W46" i="1"/>
  <c r="W98" i="1"/>
  <c r="W25" i="1"/>
  <c r="W118" i="1"/>
  <c r="W121" i="1"/>
  <c r="W50" i="1"/>
  <c r="W38" i="1"/>
  <c r="W82" i="1"/>
  <c r="W58" i="1"/>
  <c r="W62" i="1"/>
  <c r="W73" i="1"/>
  <c r="W70" i="1"/>
  <c r="W97" i="1"/>
  <c r="W49" i="1"/>
  <c r="W86" i="1"/>
  <c r="W122" i="1"/>
</calcChain>
</file>

<file path=xl/sharedStrings.xml><?xml version="1.0" encoding="utf-8"?>
<sst xmlns="http://schemas.openxmlformats.org/spreadsheetml/2006/main" count="528" uniqueCount="28">
  <si>
    <t>Electrode</t>
  </si>
  <si>
    <t>Inlet flow rate</t>
  </si>
  <si>
    <t>Flow rate (ml min-1)</t>
  </si>
  <si>
    <t>Catholyte</t>
  </si>
  <si>
    <t>Anolyte</t>
  </si>
  <si>
    <t>Membrane</t>
  </si>
  <si>
    <t>Applied current / A</t>
  </si>
  <si>
    <t>Duration / h</t>
  </si>
  <si>
    <t>area(H2)</t>
  </si>
  <si>
    <t>area(CO)</t>
  </si>
  <si>
    <t>area(CO2)</t>
  </si>
  <si>
    <t>area(CH4)</t>
  </si>
  <si>
    <t>area(O2)</t>
  </si>
  <si>
    <t>area(N2)</t>
  </si>
  <si>
    <t>c(H2)</t>
  </si>
  <si>
    <t>c(CO)</t>
  </si>
  <si>
    <t>c(CO2)</t>
  </si>
  <si>
    <t>c(O2)</t>
  </si>
  <si>
    <t>FE(H2)</t>
  </si>
  <si>
    <t>FE(CO)</t>
  </si>
  <si>
    <t>FE(CH4)</t>
  </si>
  <si>
    <t>Total FE</t>
  </si>
  <si>
    <t>Carbon efficiency</t>
  </si>
  <si>
    <t>Ag60 GDE in PTFE holder</t>
  </si>
  <si>
    <t>CCM-CEM</t>
  </si>
  <si>
    <t>Time</t>
  </si>
  <si>
    <t>Deionized wated</t>
  </si>
  <si>
    <r>
      <t>0.3 M K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</si>
</sst>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/d/yy\ h:mm\ AM/PM;@"/>
    <numFmt numFmtId="165" formatCode="0.0"/>
    <numFmt numFmtId="166" formatCode="0.0000"/>
  </numFmts>
  <fonts count="8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indexed="72"/>
      <name val="SansSerif"/>
    </font>
    <font>
      <sz val="9"/>
      <color rgb="FF000000"/>
      <name val="SansSerif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3" fillId="5" borderId="0" xfId="0" applyNumberFormat="1" applyFont="1" applyFill="1" applyAlignment="1">
      <alignment horizontal="center"/>
    </xf>
    <xf numFmtId="10" fontId="2" fillId="6" borderId="0" xfId="0" applyNumberFormat="1" applyFont="1" applyFill="1" applyAlignment="1">
      <alignment horizontal="center" vertical="center"/>
    </xf>
    <xf numFmtId="22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/>
    <xf numFmtId="164" fontId="0" fillId="0" borderId="0" xfId="0" applyNumberFormat="1"/>
    <xf numFmtId="166" fontId="0" fillId="7" borderId="1" xfId="0" applyNumberFormat="1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OVEAALP\Downloads\Summary%20of%20Ag%20GDE_acidic%20catholyte_screening%20work.xlsx" TargetMode="External"/><Relationship Id="rId1" Type="http://schemas.openxmlformats.org/officeDocument/2006/relationships/externalLinkPath" Target="file:///C:\Users\GOVEAALP\Downloads\Summary%20of%20Ag%20GDE_acidic%20catholyte_screening%20wor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idic catholyte_Na2SO4"/>
      <sheetName val="Flow rate"/>
    </sheetNames>
    <sheetDataSet>
      <sheetData sheetId="0"/>
      <sheetData sheetId="1">
        <row r="1989">
          <cell r="E1989" t="str">
            <v>67.7</v>
          </cell>
        </row>
        <row r="1990">
          <cell r="E1990" t="str">
            <v>67.7</v>
          </cell>
        </row>
        <row r="1991">
          <cell r="E1991" t="str">
            <v>70.4</v>
          </cell>
        </row>
        <row r="1992">
          <cell r="E1992" t="str">
            <v>68.9</v>
          </cell>
        </row>
        <row r="1993">
          <cell r="E1993" t="str">
            <v>69.9</v>
          </cell>
        </row>
        <row r="1994">
          <cell r="E1994" t="str">
            <v>69.9</v>
          </cell>
        </row>
        <row r="1995">
          <cell r="E1995" t="str">
            <v>67.9</v>
          </cell>
        </row>
        <row r="1996">
          <cell r="E1996" t="str">
            <v>68.7</v>
          </cell>
        </row>
        <row r="1997">
          <cell r="E1997" t="str">
            <v>68.7</v>
          </cell>
        </row>
        <row r="1998">
          <cell r="E1998" t="str">
            <v>68.6</v>
          </cell>
        </row>
        <row r="1999">
          <cell r="E1999" t="str">
            <v>69.4</v>
          </cell>
        </row>
        <row r="2000">
          <cell r="E2000" t="str">
            <v>69.4</v>
          </cell>
        </row>
        <row r="2001">
          <cell r="E2001" t="str">
            <v>68.9</v>
          </cell>
        </row>
        <row r="2002">
          <cell r="E2002" t="str">
            <v>70.5</v>
          </cell>
        </row>
        <row r="2003">
          <cell r="E2003" t="str">
            <v>70.5</v>
          </cell>
        </row>
        <row r="2004">
          <cell r="E2004" t="str">
            <v>69.7</v>
          </cell>
        </row>
        <row r="2005">
          <cell r="E2005" t="str">
            <v>69.3</v>
          </cell>
        </row>
        <row r="2006">
          <cell r="E2006" t="str">
            <v>69.3</v>
          </cell>
        </row>
        <row r="2007">
          <cell r="E2007" t="str">
            <v>69.1</v>
          </cell>
        </row>
        <row r="2008">
          <cell r="E2008" t="str">
            <v>69.3</v>
          </cell>
        </row>
        <row r="2009">
          <cell r="E2009" t="str">
            <v>69.3</v>
          </cell>
        </row>
        <row r="2010">
          <cell r="E2010" t="str">
            <v>69.3</v>
          </cell>
        </row>
        <row r="2011">
          <cell r="E2011" t="str">
            <v>67.6</v>
          </cell>
        </row>
        <row r="2012">
          <cell r="E2012" t="str">
            <v>67.7</v>
          </cell>
        </row>
        <row r="2013">
          <cell r="E2013" t="str">
            <v>67.7</v>
          </cell>
        </row>
        <row r="2014">
          <cell r="E2014" t="str">
            <v>68.8</v>
          </cell>
        </row>
        <row r="2015">
          <cell r="E2015" t="str">
            <v>69.7</v>
          </cell>
        </row>
        <row r="2016">
          <cell r="E2016" t="str">
            <v>69.7</v>
          </cell>
        </row>
        <row r="2017">
          <cell r="E2017" t="str">
            <v>68.8</v>
          </cell>
        </row>
        <row r="2018">
          <cell r="E2018" t="str">
            <v>69.0</v>
          </cell>
        </row>
        <row r="2019">
          <cell r="E2019" t="str">
            <v>69.0</v>
          </cell>
        </row>
        <row r="2020">
          <cell r="E2020" t="str">
            <v>68.2</v>
          </cell>
        </row>
        <row r="2021">
          <cell r="E2021" t="str">
            <v>69.5</v>
          </cell>
        </row>
        <row r="2022">
          <cell r="E2022" t="str">
            <v>69.5</v>
          </cell>
        </row>
        <row r="2023">
          <cell r="E2023" t="str">
            <v>68.8</v>
          </cell>
        </row>
        <row r="2024">
          <cell r="E2024" t="str">
            <v>68.4</v>
          </cell>
        </row>
        <row r="2025">
          <cell r="E2025" t="str">
            <v>68.0</v>
          </cell>
        </row>
        <row r="2026">
          <cell r="E2026" t="str">
            <v>68.0</v>
          </cell>
        </row>
        <row r="2027">
          <cell r="E2027" t="str">
            <v>70.4</v>
          </cell>
        </row>
        <row r="2028">
          <cell r="E2028" t="str">
            <v>68.3</v>
          </cell>
        </row>
        <row r="2029">
          <cell r="E2029" t="str">
            <v>68.3</v>
          </cell>
        </row>
        <row r="2030">
          <cell r="E2030" t="str">
            <v>68.4</v>
          </cell>
        </row>
        <row r="2031">
          <cell r="E2031" t="str">
            <v>69.4</v>
          </cell>
        </row>
        <row r="2032">
          <cell r="E2032" t="str">
            <v>69.4</v>
          </cell>
        </row>
        <row r="2033">
          <cell r="E2033" t="str">
            <v>69.2</v>
          </cell>
        </row>
        <row r="2034">
          <cell r="E2034" t="str">
            <v>68.9</v>
          </cell>
        </row>
        <row r="2035">
          <cell r="E2035" t="str">
            <v>68.9</v>
          </cell>
        </row>
        <row r="2036">
          <cell r="E2036" t="str">
            <v>67.9</v>
          </cell>
        </row>
        <row r="2037">
          <cell r="E2037" t="str">
            <v>68.8</v>
          </cell>
        </row>
        <row r="2038">
          <cell r="E2038" t="str">
            <v>69.1</v>
          </cell>
        </row>
        <row r="2039">
          <cell r="E2039" t="str">
            <v>69.1</v>
          </cell>
        </row>
        <row r="2040">
          <cell r="E2040" t="str">
            <v>68.1</v>
          </cell>
        </row>
        <row r="2041">
          <cell r="E2041" t="str">
            <v>69.9</v>
          </cell>
        </row>
        <row r="2042">
          <cell r="E2042" t="str">
            <v>69.9</v>
          </cell>
        </row>
        <row r="2043">
          <cell r="E2043" t="str">
            <v>68.9</v>
          </cell>
        </row>
        <row r="2044">
          <cell r="E2044" t="str">
            <v>68.4</v>
          </cell>
        </row>
        <row r="2045">
          <cell r="E2045" t="str">
            <v>68.4</v>
          </cell>
        </row>
        <row r="2046">
          <cell r="E2046" t="str">
            <v>69.1</v>
          </cell>
        </row>
        <row r="2047">
          <cell r="E2047" t="str">
            <v>68.4</v>
          </cell>
        </row>
        <row r="2048">
          <cell r="E2048" t="str">
            <v>68.4</v>
          </cell>
        </row>
        <row r="2049">
          <cell r="E2049" t="str">
            <v>69.6</v>
          </cell>
        </row>
        <row r="2050">
          <cell r="E2050" t="str">
            <v>69.1</v>
          </cell>
        </row>
        <row r="2051">
          <cell r="E2051" t="str">
            <v>69.1</v>
          </cell>
        </row>
        <row r="2052">
          <cell r="E2052" t="str">
            <v>68.6</v>
          </cell>
        </row>
        <row r="2053">
          <cell r="E2053" t="str">
            <v>69.2</v>
          </cell>
        </row>
        <row r="2054">
          <cell r="E2054" t="str">
            <v>68.5</v>
          </cell>
        </row>
        <row r="2055">
          <cell r="E2055" t="str">
            <v>68.5</v>
          </cell>
        </row>
        <row r="2056">
          <cell r="E2056" t="str">
            <v>69.8</v>
          </cell>
        </row>
        <row r="2057">
          <cell r="E2057" t="str">
            <v>70.2</v>
          </cell>
        </row>
        <row r="2058">
          <cell r="E2058" t="str">
            <v>70.2</v>
          </cell>
        </row>
        <row r="2059">
          <cell r="E2059" t="str">
            <v>68.7</v>
          </cell>
        </row>
        <row r="2060">
          <cell r="E2060" t="str">
            <v>69.7</v>
          </cell>
        </row>
        <row r="2061">
          <cell r="E2061" t="str">
            <v>69.7</v>
          </cell>
        </row>
        <row r="2062">
          <cell r="E2062" t="str">
            <v>69.4</v>
          </cell>
        </row>
        <row r="2063">
          <cell r="E2063" t="str">
            <v>68.9</v>
          </cell>
        </row>
        <row r="2064">
          <cell r="E2064" t="str">
            <v>68.9</v>
          </cell>
        </row>
        <row r="2065">
          <cell r="E2065" t="str">
            <v>70.0</v>
          </cell>
        </row>
        <row r="2066">
          <cell r="E2066" t="str">
            <v>68.6</v>
          </cell>
        </row>
        <row r="2067">
          <cell r="E2067" t="str">
            <v>68.6</v>
          </cell>
        </row>
        <row r="2068">
          <cell r="E2068" t="str">
            <v>68.3</v>
          </cell>
        </row>
        <row r="2069">
          <cell r="E2069" t="str">
            <v>69.1</v>
          </cell>
        </row>
        <row r="2070">
          <cell r="E2070" t="str">
            <v>68.4</v>
          </cell>
        </row>
        <row r="2071">
          <cell r="E2071" t="str">
            <v>68.4</v>
          </cell>
        </row>
        <row r="2072">
          <cell r="E2072" t="str">
            <v>69.2</v>
          </cell>
        </row>
        <row r="2073">
          <cell r="E2073" t="str">
            <v>68.3</v>
          </cell>
        </row>
        <row r="2074">
          <cell r="E2074" t="str">
            <v>68.3</v>
          </cell>
        </row>
        <row r="2075">
          <cell r="E2075" t="str">
            <v>68.5</v>
          </cell>
        </row>
        <row r="2076">
          <cell r="E2076" t="str">
            <v>69.5</v>
          </cell>
        </row>
        <row r="2077">
          <cell r="E2077" t="str">
            <v>69.5</v>
          </cell>
        </row>
        <row r="2078">
          <cell r="E2078" t="str">
            <v>68.9</v>
          </cell>
        </row>
        <row r="2079">
          <cell r="E2079" t="str">
            <v>69.3</v>
          </cell>
        </row>
        <row r="2080">
          <cell r="E2080" t="str">
            <v>69.3</v>
          </cell>
        </row>
        <row r="2081">
          <cell r="E2081" t="str">
            <v>73.5</v>
          </cell>
        </row>
        <row r="2082">
          <cell r="E2082" t="str">
            <v>73.5</v>
          </cell>
        </row>
        <row r="2083">
          <cell r="E2083" t="str">
            <v>73.0</v>
          </cell>
        </row>
        <row r="2084">
          <cell r="E2084" t="str">
            <v>73.0</v>
          </cell>
        </row>
        <row r="2085">
          <cell r="E2085" t="str">
            <v>73.3</v>
          </cell>
        </row>
        <row r="2086">
          <cell r="E2086" t="str">
            <v>74.2</v>
          </cell>
        </row>
        <row r="2087">
          <cell r="E2087" t="str">
            <v>74.2</v>
          </cell>
        </row>
        <row r="2088">
          <cell r="E2088" t="str">
            <v>73.5</v>
          </cell>
        </row>
        <row r="2089">
          <cell r="E2089" t="str">
            <v>74.0</v>
          </cell>
        </row>
        <row r="2090">
          <cell r="E2090" t="str">
            <v>74.0</v>
          </cell>
        </row>
        <row r="2091">
          <cell r="E2091" t="str">
            <v>75.0</v>
          </cell>
        </row>
        <row r="2092">
          <cell r="E2092" t="str">
            <v>73.1</v>
          </cell>
        </row>
        <row r="2093">
          <cell r="E2093" t="str">
            <v>73.1</v>
          </cell>
        </row>
        <row r="2094">
          <cell r="E2094" t="str">
            <v>73.1</v>
          </cell>
        </row>
        <row r="2095">
          <cell r="E2095" t="str">
            <v>75.1</v>
          </cell>
        </row>
        <row r="2096">
          <cell r="E2096" t="str">
            <v>75.1</v>
          </cell>
        </row>
        <row r="2097">
          <cell r="E2097" t="str">
            <v>72.7</v>
          </cell>
        </row>
        <row r="2098">
          <cell r="E2098" t="str">
            <v>72.4</v>
          </cell>
        </row>
        <row r="2099">
          <cell r="E2099" t="str">
            <v>74.4</v>
          </cell>
        </row>
        <row r="2100">
          <cell r="E2100" t="str">
            <v>74.4</v>
          </cell>
        </row>
        <row r="2101">
          <cell r="E2101" t="str">
            <v>72.5</v>
          </cell>
        </row>
        <row r="2102">
          <cell r="E2102" t="str">
            <v>74.5</v>
          </cell>
        </row>
        <row r="2103">
          <cell r="E2103" t="str">
            <v>74.5</v>
          </cell>
        </row>
        <row r="2104">
          <cell r="E2104" t="str">
            <v>73.0</v>
          </cell>
        </row>
        <row r="2105">
          <cell r="E2105" t="str">
            <v>74.0</v>
          </cell>
        </row>
        <row r="2106">
          <cell r="E2106" t="str">
            <v>74.0</v>
          </cell>
        </row>
        <row r="2107">
          <cell r="E2107" t="str">
            <v>72.7</v>
          </cell>
        </row>
        <row r="2108">
          <cell r="E2108" t="str">
            <v>74.3</v>
          </cell>
        </row>
        <row r="2109">
          <cell r="E2109" t="str">
            <v>74.3</v>
          </cell>
        </row>
        <row r="2110">
          <cell r="E2110" t="str">
            <v>74.5</v>
          </cell>
        </row>
        <row r="2111">
          <cell r="E2111" t="str">
            <v>73.9</v>
          </cell>
        </row>
        <row r="2112">
          <cell r="E2112" t="str">
            <v>73.9</v>
          </cell>
        </row>
        <row r="2113">
          <cell r="E2113" t="str">
            <v>73.3</v>
          </cell>
        </row>
        <row r="2114">
          <cell r="E2114" t="str">
            <v>73.0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EDDA-4846-4EA0-B855-5F628FF13338}">
  <dimension ref="A1:Y127"/>
  <sheetViews>
    <sheetView tabSelected="1" topLeftCell="F1" zoomScale="70" zoomScaleNormal="70" workbookViewId="0">
      <selection activeCell="Y14" sqref="Y14"/>
    </sheetView>
  </sheetViews>
  <sheetFormatPr defaultRowHeight="14.4" x14ac:dyDescent="0.3"/>
  <cols>
    <col min="1" max="1" width="25.6640625" customWidth="1"/>
    <col min="2" max="2" width="6.5546875" customWidth="1"/>
    <col min="3" max="3" width="18.88671875" customWidth="1"/>
    <col min="4" max="4" width="13.77734375" customWidth="1"/>
    <col min="5" max="5" width="15.77734375" customWidth="1"/>
    <col min="6" max="6" width="13.5546875" customWidth="1"/>
    <col min="7" max="7" width="14.88671875" customWidth="1"/>
    <col min="8" max="8" width="23.5546875" bestFit="1" customWidth="1"/>
    <col min="9" max="9" width="15.109375" customWidth="1"/>
    <col min="12" max="12" width="9.33203125" bestFit="1" customWidth="1"/>
  </cols>
  <sheetData>
    <row r="1" spans="1:25" s="11" customFormat="1" ht="34.200000000000003" x14ac:dyDescent="0.25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25</v>
      </c>
      <c r="I1" s="7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7" t="s">
        <v>21</v>
      </c>
      <c r="X1" s="7" t="s">
        <v>22</v>
      </c>
      <c r="Y1" s="7"/>
    </row>
    <row r="2" spans="1:25" ht="15.6" x14ac:dyDescent="0.3">
      <c r="A2" s="1" t="s">
        <v>23</v>
      </c>
      <c r="B2" s="1">
        <v>60</v>
      </c>
      <c r="C2" s="12" t="str">
        <f>+'[1]Flow rate'!E1989</f>
        <v>67.7</v>
      </c>
      <c r="D2" s="1" t="s">
        <v>27</v>
      </c>
      <c r="E2" s="1" t="s">
        <v>26</v>
      </c>
      <c r="F2" s="1" t="s">
        <v>24</v>
      </c>
      <c r="G2" s="1">
        <v>0</v>
      </c>
      <c r="H2" s="15">
        <v>45450.703836562498</v>
      </c>
      <c r="I2" s="2">
        <v>0</v>
      </c>
      <c r="J2" s="13">
        <v>0</v>
      </c>
      <c r="K2" s="13">
        <v>0</v>
      </c>
      <c r="L2">
        <v>0</v>
      </c>
      <c r="N2">
        <v>0</v>
      </c>
      <c r="O2">
        <v>0</v>
      </c>
      <c r="P2" s="3">
        <f t="shared" ref="P2:R2" si="0">+J2/100</f>
        <v>0</v>
      </c>
      <c r="Q2" s="3">
        <f t="shared" si="0"/>
        <v>0</v>
      </c>
      <c r="R2" s="3">
        <f t="shared" si="0"/>
        <v>0</v>
      </c>
      <c r="S2" s="3">
        <f t="shared" ref="S2" si="1">+N2/100</f>
        <v>0</v>
      </c>
      <c r="T2" s="4">
        <v>0</v>
      </c>
      <c r="U2" s="5">
        <v>0</v>
      </c>
      <c r="V2" s="14"/>
      <c r="W2" s="3">
        <f t="shared" ref="W2:W65" si="2">+T2+U2</f>
        <v>0</v>
      </c>
      <c r="X2" s="3">
        <v>0</v>
      </c>
      <c r="Y2">
        <f t="shared" ref="Y2" si="3">+SUM(K2:L2)</f>
        <v>0</v>
      </c>
    </row>
    <row r="3" spans="1:25" ht="15.6" x14ac:dyDescent="0.3">
      <c r="A3" s="1" t="s">
        <v>23</v>
      </c>
      <c r="B3" s="1">
        <v>60</v>
      </c>
      <c r="C3" s="12" t="str">
        <f>+'[1]Flow rate'!E1990</f>
        <v>67.7</v>
      </c>
      <c r="D3" s="1" t="s">
        <v>27</v>
      </c>
      <c r="E3" s="1" t="s">
        <v>26</v>
      </c>
      <c r="F3" s="1" t="s">
        <v>24</v>
      </c>
      <c r="G3" s="1">
        <v>-9.9000000000000005E-2</v>
      </c>
      <c r="H3" s="15">
        <v>45450.716828703706</v>
      </c>
      <c r="I3" s="2">
        <f>+(H3-H$2)*24</f>
        <v>0.31181138899410143</v>
      </c>
      <c r="J3" s="16">
        <v>1.4242889167784301</v>
      </c>
      <c r="K3" s="16">
        <v>9.022791307540478E-3</v>
      </c>
      <c r="L3" s="16">
        <v>101.25709207700598</v>
      </c>
      <c r="N3" s="16">
        <v>0.1114653201586604</v>
      </c>
      <c r="O3" s="16">
        <v>0.31026887096081712</v>
      </c>
      <c r="P3" s="3">
        <f>+J3/SUM($J3:$O3)</f>
        <v>1.3813009260917681E-2</v>
      </c>
      <c r="Q3" s="3">
        <f t="shared" ref="Q3:R3" si="4">+K3/SUM($J3:$O3)</f>
        <v>8.7504647703280964E-5</v>
      </c>
      <c r="R3" s="3">
        <f t="shared" si="4"/>
        <v>0.98200943229754967</v>
      </c>
      <c r="S3" s="3">
        <f>+N3/SUM($J3:$O3)</f>
        <v>1.0810106583608624E-3</v>
      </c>
      <c r="T3" s="4">
        <f t="shared" ref="T3:T65" si="5">+P3*C3/1000/60/24.3*2*96485/-1/G3</f>
        <v>1.2501843266843162</v>
      </c>
      <c r="U3" s="5">
        <f t="shared" ref="U3:U65" si="6">+Q3*C3/1000/60/24.3*2*96485/-1/G3</f>
        <v>7.9198483838131255E-3</v>
      </c>
      <c r="V3" s="14"/>
      <c r="W3" s="3">
        <f t="shared" si="2"/>
        <v>1.2581041750681294</v>
      </c>
      <c r="X3" s="3">
        <f t="shared" ref="X3:X66" si="7">+K3/(K3+L3)</f>
        <v>8.9099807169196901E-5</v>
      </c>
    </row>
    <row r="4" spans="1:25" ht="15.6" x14ac:dyDescent="0.3">
      <c r="A4" s="1" t="s">
        <v>23</v>
      </c>
      <c r="B4" s="1">
        <v>60</v>
      </c>
      <c r="C4" s="12" t="str">
        <f>+'[1]Flow rate'!E1991</f>
        <v>70.4</v>
      </c>
      <c r="D4" s="1" t="s">
        <v>27</v>
      </c>
      <c r="E4" s="1" t="s">
        <v>26</v>
      </c>
      <c r="F4" s="1" t="s">
        <v>24</v>
      </c>
      <c r="G4" s="1">
        <v>-9.9000000000000005E-2</v>
      </c>
      <c r="H4" s="15">
        <v>45450.732465277775</v>
      </c>
      <c r="I4" s="2">
        <f t="shared" ref="I4:I67" si="8">+(H4-H$2)*24</f>
        <v>0.68708916666219011</v>
      </c>
      <c r="J4" s="16">
        <v>1.46806904211005</v>
      </c>
      <c r="K4" s="16">
        <v>5.4063361712913737E-3</v>
      </c>
      <c r="L4" s="16">
        <v>101.19292234191741</v>
      </c>
      <c r="N4" s="16">
        <v>9.5128594463013028E-2</v>
      </c>
      <c r="O4" s="16">
        <v>0.27664326243469589</v>
      </c>
      <c r="P4" s="3">
        <f t="shared" ref="P4:P67" si="9">+J4/SUM($J4:$O4)</f>
        <v>1.4247817562515934E-2</v>
      </c>
      <c r="Q4" s="3">
        <f t="shared" ref="Q4:Q67" si="10">+K4/SUM($J4:$O4)</f>
        <v>5.246925671797945E-5</v>
      </c>
      <c r="R4" s="3">
        <f t="shared" ref="R4:R67" si="11">+L4/SUM($J4:$O4)</f>
        <v>0.98209161476031104</v>
      </c>
      <c r="S4" s="3">
        <f t="shared" ref="S4:S67" si="12">+N4/SUM($J4:$O4)</f>
        <v>9.2323645551403905E-4</v>
      </c>
      <c r="T4" s="4">
        <f t="shared" si="5"/>
        <v>1.3409669770040908</v>
      </c>
      <c r="U4" s="5">
        <f t="shared" si="6"/>
        <v>4.9382679317755201E-3</v>
      </c>
      <c r="V4" s="14"/>
      <c r="W4" s="3">
        <f t="shared" si="2"/>
        <v>1.3459052449358664</v>
      </c>
      <c r="X4" s="3">
        <f t="shared" si="7"/>
        <v>5.3423176468545228E-5</v>
      </c>
      <c r="Y4">
        <f t="shared" ref="Y4" si="13">+SUM(K4:L4)</f>
        <v>101.1983286780887</v>
      </c>
    </row>
    <row r="5" spans="1:25" ht="15.6" x14ac:dyDescent="0.3">
      <c r="A5" s="1" t="s">
        <v>23</v>
      </c>
      <c r="B5" s="1">
        <v>60</v>
      </c>
      <c r="C5" s="12" t="str">
        <f>+'[1]Flow rate'!E1992</f>
        <v>68.9</v>
      </c>
      <c r="D5" s="1" t="s">
        <v>27</v>
      </c>
      <c r="E5" s="1" t="s">
        <v>26</v>
      </c>
      <c r="F5" s="1" t="s">
        <v>24</v>
      </c>
      <c r="G5" s="1">
        <v>-9.9000000000000005E-2</v>
      </c>
      <c r="H5" s="15">
        <v>45450.748101851852</v>
      </c>
      <c r="I5" s="2">
        <f t="shared" si="8"/>
        <v>1.0623669445049018</v>
      </c>
      <c r="J5" s="16">
        <v>1.4512061754739001</v>
      </c>
      <c r="K5" s="16">
        <v>3.8098511593134881E-3</v>
      </c>
      <c r="L5" s="16">
        <v>101.09688237804941</v>
      </c>
      <c r="N5" s="16">
        <v>8.5841848254004274E-2</v>
      </c>
      <c r="O5" s="16">
        <v>0.24320921678917912</v>
      </c>
      <c r="P5" s="3">
        <f t="shared" si="9"/>
        <v>1.4105684122801939E-2</v>
      </c>
      <c r="Q5" s="3">
        <f t="shared" si="10"/>
        <v>3.7031648511706154E-5</v>
      </c>
      <c r="R5" s="3">
        <f t="shared" si="11"/>
        <v>0.98265891692415419</v>
      </c>
      <c r="S5" s="3">
        <f t="shared" si="12"/>
        <v>8.3438040469547236E-4</v>
      </c>
      <c r="T5" s="4">
        <f t="shared" si="5"/>
        <v>1.2993030393835581</v>
      </c>
      <c r="U5" s="5">
        <f t="shared" si="6"/>
        <v>3.4110598993823084E-3</v>
      </c>
      <c r="V5" s="14"/>
      <c r="W5" s="3">
        <f t="shared" si="2"/>
        <v>1.3027140992829405</v>
      </c>
      <c r="X5" s="3">
        <f t="shared" si="7"/>
        <v>3.7683729708556775E-5</v>
      </c>
    </row>
    <row r="6" spans="1:25" ht="15.6" x14ac:dyDescent="0.3">
      <c r="A6" s="1" t="s">
        <v>23</v>
      </c>
      <c r="B6" s="1">
        <v>60</v>
      </c>
      <c r="C6" s="12" t="str">
        <f>+'[1]Flow rate'!E1993</f>
        <v>69.9</v>
      </c>
      <c r="D6" s="1" t="s">
        <v>27</v>
      </c>
      <c r="E6" s="1" t="s">
        <v>26</v>
      </c>
      <c r="F6" s="1" t="s">
        <v>24</v>
      </c>
      <c r="G6" s="1">
        <v>-9.9000000000000005E-2</v>
      </c>
      <c r="H6" s="15">
        <v>45450.763726851852</v>
      </c>
      <c r="I6" s="2">
        <f t="shared" si="8"/>
        <v>1.4373669445049018</v>
      </c>
      <c r="J6" s="16">
        <v>1.43054652518118</v>
      </c>
      <c r="K6" s="16">
        <v>5.9737321623632997E-3</v>
      </c>
      <c r="L6" s="16">
        <v>100.50092705532404</v>
      </c>
      <c r="N6" s="16">
        <v>7.6299125363717454E-2</v>
      </c>
      <c r="O6" s="16">
        <v>1.3701242480368414E-3</v>
      </c>
      <c r="P6" s="3">
        <f t="shared" si="9"/>
        <v>1.4022887718878836E-2</v>
      </c>
      <c r="Q6" s="3">
        <f t="shared" si="10"/>
        <v>5.8557323303320329E-5</v>
      </c>
      <c r="R6" s="3">
        <f t="shared" si="11"/>
        <v>0.98515720455967026</v>
      </c>
      <c r="S6" s="3">
        <f t="shared" si="12"/>
        <v>7.4791979791678711E-4</v>
      </c>
      <c r="T6" s="4">
        <f t="shared" si="5"/>
        <v>1.3104236144263779</v>
      </c>
      <c r="U6" s="5">
        <f t="shared" si="6"/>
        <v>5.472118210785055E-3</v>
      </c>
      <c r="V6" s="14"/>
      <c r="W6" s="3">
        <f t="shared" si="2"/>
        <v>1.315895732637163</v>
      </c>
      <c r="X6" s="3">
        <f t="shared" si="7"/>
        <v>5.9436039869483852E-5</v>
      </c>
      <c r="Y6">
        <f t="shared" ref="Y6" si="14">+SUM(K6:L6)</f>
        <v>100.5069007874864</v>
      </c>
    </row>
    <row r="7" spans="1:25" ht="15.6" x14ac:dyDescent="0.3">
      <c r="A7" s="1" t="s">
        <v>23</v>
      </c>
      <c r="B7" s="1">
        <v>60</v>
      </c>
      <c r="C7" s="12" t="str">
        <f>+'[1]Flow rate'!E1994</f>
        <v>69.9</v>
      </c>
      <c r="D7" s="1" t="s">
        <v>27</v>
      </c>
      <c r="E7" s="1" t="s">
        <v>26</v>
      </c>
      <c r="F7" s="1" t="s">
        <v>24</v>
      </c>
      <c r="G7" s="1">
        <v>-9.9000000000000005E-2</v>
      </c>
      <c r="H7" s="15">
        <v>45450.786666666667</v>
      </c>
      <c r="I7" s="2">
        <f t="shared" si="8"/>
        <v>1.9879225000622682</v>
      </c>
      <c r="J7" s="16">
        <v>1.40764437243175</v>
      </c>
      <c r="K7" s="16">
        <v>5.9723856278238677E-3</v>
      </c>
      <c r="L7" s="16">
        <v>100.37340774953411</v>
      </c>
      <c r="N7" s="16">
        <v>8.1902986711605869E-2</v>
      </c>
      <c r="O7" s="16">
        <v>1.5687303998611624E-3</v>
      </c>
      <c r="P7" s="3">
        <f t="shared" si="9"/>
        <v>1.3817978949732204E-2</v>
      </c>
      <c r="Q7" s="3">
        <f t="shared" si="10"/>
        <v>5.8627236041434655E-5</v>
      </c>
      <c r="R7" s="3">
        <f t="shared" si="11"/>
        <v>0.98530400331153012</v>
      </c>
      <c r="S7" s="3">
        <f t="shared" si="12"/>
        <v>8.0399124130057131E-4</v>
      </c>
      <c r="T7" s="4">
        <f t="shared" si="5"/>
        <v>1.2912751126858062</v>
      </c>
      <c r="U7" s="5">
        <f t="shared" si="6"/>
        <v>5.4786514801665733E-3</v>
      </c>
      <c r="V7" s="14"/>
      <c r="W7" s="3">
        <f t="shared" si="2"/>
        <v>1.2967537641659728</v>
      </c>
      <c r="X7" s="3">
        <f t="shared" si="7"/>
        <v>5.9498132183940414E-5</v>
      </c>
    </row>
    <row r="8" spans="1:25" ht="15.6" x14ac:dyDescent="0.3">
      <c r="A8" s="1" t="s">
        <v>23</v>
      </c>
      <c r="B8" s="1">
        <v>60</v>
      </c>
      <c r="C8" s="12" t="str">
        <f>+'[1]Flow rate'!E1995</f>
        <v>67.9</v>
      </c>
      <c r="D8" s="1" t="s">
        <v>27</v>
      </c>
      <c r="E8" s="1" t="s">
        <v>26</v>
      </c>
      <c r="F8" s="1" t="s">
        <v>24</v>
      </c>
      <c r="G8" s="1">
        <v>-0.27500000000000002</v>
      </c>
      <c r="H8" s="15">
        <v>45450.80228009259</v>
      </c>
      <c r="I8" s="2">
        <f t="shared" si="8"/>
        <v>2.3626447222195566</v>
      </c>
      <c r="J8" s="16">
        <v>3.2852147716625701</v>
      </c>
      <c r="K8" s="16">
        <v>4.1106333117960749E-3</v>
      </c>
      <c r="L8" s="16">
        <v>98.755912242493608</v>
      </c>
      <c r="N8" s="16">
        <v>6.3252713148216705E-2</v>
      </c>
      <c r="O8" s="16">
        <v>1.3637329391323894E-3</v>
      </c>
      <c r="P8" s="3">
        <f t="shared" si="9"/>
        <v>3.2173337243754978E-2</v>
      </c>
      <c r="Q8" s="3">
        <f t="shared" si="10"/>
        <v>4.0256969792845078E-5</v>
      </c>
      <c r="R8" s="3">
        <f t="shared" si="11"/>
        <v>0.96715359275718138</v>
      </c>
      <c r="S8" s="3">
        <f t="shared" si="12"/>
        <v>6.1945748243125653E-4</v>
      </c>
      <c r="T8" s="4">
        <f t="shared" si="5"/>
        <v>1.0513939281463283</v>
      </c>
      <c r="U8" s="5">
        <f t="shared" si="6"/>
        <v>1.3155593181115573E-3</v>
      </c>
      <c r="V8" s="14"/>
      <c r="W8" s="3">
        <f t="shared" si="2"/>
        <v>1.0527094874644398</v>
      </c>
      <c r="X8" s="3">
        <f t="shared" si="7"/>
        <v>4.1622441875751256E-5</v>
      </c>
      <c r="Y8">
        <f t="shared" ref="Y8" si="15">+SUM(K8:L8)</f>
        <v>98.760022875805404</v>
      </c>
    </row>
    <row r="9" spans="1:25" ht="15.6" x14ac:dyDescent="0.3">
      <c r="A9" s="1" t="s">
        <v>23</v>
      </c>
      <c r="B9" s="1">
        <v>60</v>
      </c>
      <c r="C9" s="12" t="str">
        <f>+'[1]Flow rate'!E1996</f>
        <v>68.7</v>
      </c>
      <c r="D9" s="1" t="s">
        <v>27</v>
      </c>
      <c r="E9" s="1" t="s">
        <v>26</v>
      </c>
      <c r="F9" s="1" t="s">
        <v>24</v>
      </c>
      <c r="G9" s="1">
        <v>-0.27500000000000002</v>
      </c>
      <c r="H9" s="15">
        <v>45450.817916666667</v>
      </c>
      <c r="I9" s="2">
        <f t="shared" si="8"/>
        <v>2.7379225000622682</v>
      </c>
      <c r="J9" s="16">
        <v>3.3033969700148762</v>
      </c>
      <c r="K9" s="16">
        <v>4.9023956203175234E-3</v>
      </c>
      <c r="L9" s="16">
        <v>98.752106422576944</v>
      </c>
      <c r="N9" s="16">
        <v>5.8934965048795057E-2</v>
      </c>
      <c r="O9" s="16">
        <v>1.3374337760313493E-3</v>
      </c>
      <c r="P9" s="3">
        <f t="shared" si="9"/>
        <v>3.2347973286708985E-2</v>
      </c>
      <c r="Q9" s="3">
        <f t="shared" si="10"/>
        <v>4.8005905438060694E-5</v>
      </c>
      <c r="R9" s="3">
        <f t="shared" si="11"/>
        <v>0.96701381322311253</v>
      </c>
      <c r="S9" s="3">
        <f t="shared" si="12"/>
        <v>5.7711098374076575E-4</v>
      </c>
      <c r="T9" s="4">
        <f t="shared" si="5"/>
        <v>1.069555663880432</v>
      </c>
      <c r="U9" s="5">
        <f t="shared" si="6"/>
        <v>1.5872706338014282E-3</v>
      </c>
      <c r="V9" s="14"/>
      <c r="W9" s="3">
        <f t="shared" si="2"/>
        <v>1.0711429345142334</v>
      </c>
      <c r="X9" s="3">
        <f t="shared" si="7"/>
        <v>4.964098932302001E-5</v>
      </c>
    </row>
    <row r="10" spans="1:25" ht="15.6" x14ac:dyDescent="0.3">
      <c r="A10" s="1" t="s">
        <v>23</v>
      </c>
      <c r="B10" s="1">
        <v>60</v>
      </c>
      <c r="C10" s="12" t="str">
        <f>+'[1]Flow rate'!E1997</f>
        <v>68.7</v>
      </c>
      <c r="D10" s="1" t="s">
        <v>27</v>
      </c>
      <c r="E10" s="1" t="s">
        <v>26</v>
      </c>
      <c r="F10" s="1" t="s">
        <v>24</v>
      </c>
      <c r="G10" s="1">
        <v>-0.27500000000000002</v>
      </c>
      <c r="H10" s="15">
        <v>45450.833541666667</v>
      </c>
      <c r="I10" s="2">
        <f t="shared" si="8"/>
        <v>3.1129225000622682</v>
      </c>
      <c r="J10" s="16">
        <v>3.3031251515352724</v>
      </c>
      <c r="K10" s="16">
        <v>4.4962471402031226E-3</v>
      </c>
      <c r="L10" s="16">
        <v>98.752091176520238</v>
      </c>
      <c r="N10" s="16">
        <v>6.4364524052781175E-2</v>
      </c>
      <c r="O10" s="16">
        <v>0.20354469383503404</v>
      </c>
      <c r="P10" s="3">
        <f t="shared" si="9"/>
        <v>3.2279897584393341E-2</v>
      </c>
      <c r="Q10" s="3">
        <f t="shared" si="10"/>
        <v>4.393972088293985E-5</v>
      </c>
      <c r="R10" s="3">
        <f t="shared" si="11"/>
        <v>0.96505801118105372</v>
      </c>
      <c r="S10" s="3">
        <f t="shared" si="12"/>
        <v>6.2900439710142537E-4</v>
      </c>
      <c r="T10" s="4">
        <f t="shared" si="5"/>
        <v>1.0673048040711022</v>
      </c>
      <c r="U10" s="5">
        <f t="shared" si="6"/>
        <v>1.4528260216841202E-3</v>
      </c>
      <c r="V10" s="14"/>
      <c r="W10" s="3">
        <f t="shared" si="2"/>
        <v>1.0687576300927863</v>
      </c>
      <c r="X10" s="3">
        <f t="shared" si="7"/>
        <v>4.5528579485178689E-5</v>
      </c>
      <c r="Y10">
        <f t="shared" ref="Y10" si="16">+SUM(K10:L10)</f>
        <v>98.756587423660449</v>
      </c>
    </row>
    <row r="11" spans="1:25" ht="15.6" x14ac:dyDescent="0.3">
      <c r="A11" s="1" t="s">
        <v>23</v>
      </c>
      <c r="B11" s="1">
        <v>60</v>
      </c>
      <c r="C11" s="12" t="str">
        <f>+'[1]Flow rate'!E1998</f>
        <v>68.6</v>
      </c>
      <c r="D11" s="1" t="s">
        <v>27</v>
      </c>
      <c r="E11" s="1" t="s">
        <v>26</v>
      </c>
      <c r="F11" s="1" t="s">
        <v>24</v>
      </c>
      <c r="G11" s="1">
        <v>-0.27500000000000002</v>
      </c>
      <c r="H11" s="15">
        <v>45450.849178240744</v>
      </c>
      <c r="I11" s="2">
        <f t="shared" si="8"/>
        <v>3.4882002779049799</v>
      </c>
      <c r="J11" s="16">
        <v>3.3071677284978631</v>
      </c>
      <c r="K11" s="16">
        <v>4.016712527747936E-3</v>
      </c>
      <c r="L11" s="16">
        <v>98.727626214743509</v>
      </c>
      <c r="N11" s="16">
        <v>5.607671136672164E-2</v>
      </c>
      <c r="O11" s="16">
        <v>1.2961553207821996E-3</v>
      </c>
      <c r="P11" s="3">
        <f t="shared" si="9"/>
        <v>3.2392667525818264E-2</v>
      </c>
      <c r="Q11" s="3">
        <f t="shared" si="10"/>
        <v>3.9342435624583725E-5</v>
      </c>
      <c r="R11" s="3">
        <f t="shared" si="11"/>
        <v>0.96700604085781328</v>
      </c>
      <c r="S11" s="3">
        <f t="shared" si="12"/>
        <v>5.4925374712353717E-4</v>
      </c>
      <c r="T11" s="4">
        <f t="shared" si="5"/>
        <v>1.0694744367092168</v>
      </c>
      <c r="U11" s="5">
        <f t="shared" si="6"/>
        <v>1.2989275781265697E-3</v>
      </c>
      <c r="V11" s="14"/>
      <c r="W11" s="3">
        <f t="shared" si="2"/>
        <v>1.0707733642873434</v>
      </c>
      <c r="X11" s="3">
        <f t="shared" si="7"/>
        <v>4.0683132668082605E-5</v>
      </c>
    </row>
    <row r="12" spans="1:25" ht="15.6" x14ac:dyDescent="0.3">
      <c r="A12" s="1" t="s">
        <v>23</v>
      </c>
      <c r="B12" s="1">
        <v>60</v>
      </c>
      <c r="C12" s="12" t="str">
        <f>+'[1]Flow rate'!E1999</f>
        <v>69.4</v>
      </c>
      <c r="D12" s="1" t="s">
        <v>27</v>
      </c>
      <c r="E12" s="1" t="s">
        <v>26</v>
      </c>
      <c r="F12" s="1" t="s">
        <v>24</v>
      </c>
      <c r="G12" s="1">
        <v>-0.27500000000000002</v>
      </c>
      <c r="H12" s="15">
        <v>45450.864803240744</v>
      </c>
      <c r="I12" s="2">
        <f t="shared" si="8"/>
        <v>3.8632002779049799</v>
      </c>
      <c r="J12" s="16">
        <v>3.303495287337284</v>
      </c>
      <c r="K12" s="16">
        <v>4.1335243989487529E-3</v>
      </c>
      <c r="L12" s="16">
        <v>98.736075285581819</v>
      </c>
      <c r="N12" s="16">
        <v>5.7304134653425584E-2</v>
      </c>
      <c r="O12" s="16">
        <v>1.6479550642000129E-3</v>
      </c>
      <c r="P12" s="3">
        <f t="shared" si="9"/>
        <v>3.235464590936607E-2</v>
      </c>
      <c r="Q12" s="3">
        <f t="shared" si="10"/>
        <v>4.0484004562788258E-5</v>
      </c>
      <c r="R12" s="3">
        <f t="shared" si="11"/>
        <v>0.96702748951715001</v>
      </c>
      <c r="S12" s="3">
        <f t="shared" si="12"/>
        <v>5.612403907343371E-4</v>
      </c>
      <c r="T12" s="4">
        <f t="shared" si="5"/>
        <v>1.0806764830189493</v>
      </c>
      <c r="U12" s="5">
        <f t="shared" si="6"/>
        <v>1.3522049288375076E-3</v>
      </c>
      <c r="V12" s="14"/>
      <c r="W12" s="3">
        <f t="shared" si="2"/>
        <v>1.0820286879477867</v>
      </c>
      <c r="X12" s="3">
        <f t="shared" si="7"/>
        <v>4.1862625659456088E-5</v>
      </c>
      <c r="Y12">
        <f t="shared" ref="Y12" si="17">+SUM(K12:L12)</f>
        <v>98.740208809980771</v>
      </c>
    </row>
    <row r="13" spans="1:25" ht="15.6" x14ac:dyDescent="0.3">
      <c r="A13" s="1" t="s">
        <v>23</v>
      </c>
      <c r="B13" s="1">
        <v>60</v>
      </c>
      <c r="C13" s="12" t="str">
        <f>+'[1]Flow rate'!E2000</f>
        <v>69.4</v>
      </c>
      <c r="D13" s="1" t="s">
        <v>27</v>
      </c>
      <c r="E13" s="1" t="s">
        <v>26</v>
      </c>
      <c r="F13" s="1" t="s">
        <v>24</v>
      </c>
      <c r="G13" s="1">
        <v>-0.52500000000000002</v>
      </c>
      <c r="H13" s="15">
        <v>45450.880439814813</v>
      </c>
      <c r="I13" s="2">
        <f t="shared" si="8"/>
        <v>4.2384780555730686</v>
      </c>
      <c r="J13" s="16">
        <v>5.7893656484825238</v>
      </c>
      <c r="K13" s="16">
        <v>3.9019204583632273E-3</v>
      </c>
      <c r="L13" s="16">
        <v>96.492717202785897</v>
      </c>
      <c r="N13" s="16">
        <v>5.3501085287922745E-2</v>
      </c>
      <c r="O13" s="16">
        <v>1.1426001628921933E-3</v>
      </c>
      <c r="P13" s="3">
        <f t="shared" si="9"/>
        <v>5.6569572961973444E-2</v>
      </c>
      <c r="Q13" s="3">
        <f t="shared" si="10"/>
        <v>3.8126797902124554E-5</v>
      </c>
      <c r="R13" s="3">
        <f t="shared" si="11"/>
        <v>0.94285836092125774</v>
      </c>
      <c r="S13" s="3">
        <f t="shared" si="12"/>
        <v>5.2277464086815926E-4</v>
      </c>
      <c r="T13" s="4">
        <f t="shared" si="5"/>
        <v>0.98972682254406918</v>
      </c>
      <c r="U13" s="5">
        <f t="shared" si="6"/>
        <v>6.6705673325155731E-4</v>
      </c>
      <c r="V13" s="14"/>
      <c r="W13" s="3">
        <f t="shared" si="2"/>
        <v>0.9903938792773207</v>
      </c>
      <c r="X13" s="3">
        <f t="shared" si="7"/>
        <v>4.0435825563792487E-5</v>
      </c>
    </row>
    <row r="14" spans="1:25" ht="15.6" x14ac:dyDescent="0.3">
      <c r="A14" s="1" t="s">
        <v>23</v>
      </c>
      <c r="B14" s="1">
        <v>60</v>
      </c>
      <c r="C14" s="12" t="str">
        <f>+'[1]Flow rate'!E2001</f>
        <v>68.9</v>
      </c>
      <c r="D14" s="1" t="s">
        <v>27</v>
      </c>
      <c r="E14" s="1" t="s">
        <v>26</v>
      </c>
      <c r="F14" s="1" t="s">
        <v>24</v>
      </c>
      <c r="G14" s="1">
        <v>-0.52500000000000002</v>
      </c>
      <c r="H14" s="15">
        <v>45450.89607638889</v>
      </c>
      <c r="I14" s="2">
        <f t="shared" si="8"/>
        <v>4.6137558334157802</v>
      </c>
      <c r="J14" s="16">
        <v>5.9844713143531507</v>
      </c>
      <c r="K14" s="16">
        <v>3.6810887940792467E-3</v>
      </c>
      <c r="L14" s="16">
        <v>96.326822745164733</v>
      </c>
      <c r="N14" s="16">
        <v>5.3402642814618394E-2</v>
      </c>
      <c r="O14" s="16">
        <v>1.1068691609410486E-3</v>
      </c>
      <c r="P14" s="3">
        <f t="shared" si="9"/>
        <v>5.84595236970527E-2</v>
      </c>
      <c r="Q14" s="3">
        <f t="shared" si="10"/>
        <v>3.5958848540606768E-5</v>
      </c>
      <c r="R14" s="3">
        <f t="shared" si="11"/>
        <v>0.94097203932231066</v>
      </c>
      <c r="S14" s="3">
        <f t="shared" si="12"/>
        <v>5.2166564080921899E-4</v>
      </c>
      <c r="T14" s="4">
        <f t="shared" si="5"/>
        <v>1.0154240935800065</v>
      </c>
      <c r="U14" s="5">
        <f t="shared" si="6"/>
        <v>6.2459422992813796E-4</v>
      </c>
      <c r="V14" s="14"/>
      <c r="W14" s="3">
        <f t="shared" si="2"/>
        <v>1.0160486878099346</v>
      </c>
      <c r="X14" s="3">
        <f t="shared" si="7"/>
        <v>3.8213116796567347E-5</v>
      </c>
      <c r="Y14">
        <f t="shared" ref="Y14" si="18">+SUM(K14:L14)</f>
        <v>96.330503833958815</v>
      </c>
    </row>
    <row r="15" spans="1:25" ht="15.6" x14ac:dyDescent="0.3">
      <c r="A15" s="1" t="s">
        <v>23</v>
      </c>
      <c r="B15" s="1">
        <v>60</v>
      </c>
      <c r="C15" s="12" t="str">
        <f>+'[1]Flow rate'!E2002</f>
        <v>70.5</v>
      </c>
      <c r="D15" s="1" t="s">
        <v>27</v>
      </c>
      <c r="E15" s="1" t="s">
        <v>26</v>
      </c>
      <c r="F15" s="1" t="s">
        <v>24</v>
      </c>
      <c r="G15" s="1">
        <v>-0.52500000000000002</v>
      </c>
      <c r="H15" s="15">
        <v>45450.91170138889</v>
      </c>
      <c r="I15" s="2">
        <f t="shared" si="8"/>
        <v>4.9887558334157802</v>
      </c>
      <c r="J15" s="16">
        <v>5.9960380581659907</v>
      </c>
      <c r="K15" s="16">
        <v>4.5112273369433105E-3</v>
      </c>
      <c r="L15" s="16">
        <v>96.257632740698156</v>
      </c>
      <c r="N15" s="16">
        <v>5.3048929070925885E-2</v>
      </c>
      <c r="O15" s="16">
        <v>1.3790755974715796E-3</v>
      </c>
      <c r="P15" s="3">
        <f t="shared" si="9"/>
        <v>5.8605073767122963E-2</v>
      </c>
      <c r="Q15" s="3">
        <f t="shared" si="10"/>
        <v>4.4092583852393126E-5</v>
      </c>
      <c r="R15" s="3">
        <f t="shared" si="11"/>
        <v>0.94081885616695315</v>
      </c>
      <c r="S15" s="3">
        <f t="shared" si="12"/>
        <v>5.184984436905686E-4</v>
      </c>
      <c r="T15" s="4">
        <f t="shared" si="5"/>
        <v>1.0415912031894194</v>
      </c>
      <c r="U15" s="5">
        <f t="shared" si="6"/>
        <v>7.8365992079526959E-4</v>
      </c>
      <c r="V15" s="14"/>
      <c r="W15" s="3">
        <f t="shared" si="2"/>
        <v>1.0423748631102148</v>
      </c>
      <c r="X15" s="3">
        <f t="shared" si="7"/>
        <v>4.6863981529866121E-5</v>
      </c>
    </row>
    <row r="16" spans="1:25" ht="15.6" x14ac:dyDescent="0.3">
      <c r="A16" s="1" t="s">
        <v>23</v>
      </c>
      <c r="B16" s="1">
        <v>60</v>
      </c>
      <c r="C16" s="12" t="str">
        <f>+'[1]Flow rate'!E2003</f>
        <v>70.5</v>
      </c>
      <c r="D16" s="1" t="s">
        <v>27</v>
      </c>
      <c r="E16" s="1" t="s">
        <v>26</v>
      </c>
      <c r="F16" s="1" t="s">
        <v>24</v>
      </c>
      <c r="G16" s="1">
        <v>-0.52500000000000002</v>
      </c>
      <c r="H16" s="15">
        <v>45450.934652777774</v>
      </c>
      <c r="I16" s="2">
        <f t="shared" si="8"/>
        <v>5.5395891666412354</v>
      </c>
      <c r="J16" s="16">
        <v>6.0021901200314502</v>
      </c>
      <c r="K16" s="16">
        <v>5.4265341893533362E-3</v>
      </c>
      <c r="L16" s="16">
        <v>96.334093001904122</v>
      </c>
      <c r="N16" s="16">
        <v>5.6518252619290874E-2</v>
      </c>
      <c r="O16" s="16">
        <v>1.355787813219711E-3</v>
      </c>
      <c r="P16" s="3">
        <f t="shared" si="9"/>
        <v>5.861537618959322E-2</v>
      </c>
      <c r="Q16" s="3">
        <f t="shared" si="10"/>
        <v>5.2993713386900916E-5</v>
      </c>
      <c r="R16" s="3">
        <f t="shared" si="11"/>
        <v>0.94076645162320882</v>
      </c>
      <c r="S16" s="3">
        <f t="shared" si="12"/>
        <v>5.5193830462018723E-4</v>
      </c>
      <c r="T16" s="4">
        <f t="shared" si="5"/>
        <v>1.0417743087112927</v>
      </c>
      <c r="U16" s="5">
        <f t="shared" si="6"/>
        <v>9.4186018615853941E-4</v>
      </c>
      <c r="V16" s="14"/>
      <c r="W16" s="3">
        <f t="shared" si="2"/>
        <v>1.0427161688974513</v>
      </c>
      <c r="X16" s="3">
        <f t="shared" si="7"/>
        <v>5.6327187591176348E-5</v>
      </c>
      <c r="Y16">
        <f t="shared" ref="Y16" si="19">+SUM(K16:L16)</f>
        <v>96.339519536093476</v>
      </c>
    </row>
    <row r="17" spans="1:25" ht="15.6" x14ac:dyDescent="0.3">
      <c r="A17" s="1" t="s">
        <v>23</v>
      </c>
      <c r="B17" s="1">
        <v>60</v>
      </c>
      <c r="C17" s="12" t="str">
        <f>+'[1]Flow rate'!E2004</f>
        <v>69.7</v>
      </c>
      <c r="D17" s="1" t="s">
        <v>27</v>
      </c>
      <c r="E17" s="1" t="s">
        <v>26</v>
      </c>
      <c r="F17" s="1" t="s">
        <v>24</v>
      </c>
      <c r="G17" s="1">
        <v>-0.52500000000000002</v>
      </c>
      <c r="H17" s="15">
        <v>45450.950312499997</v>
      </c>
      <c r="I17" s="2">
        <f t="shared" si="8"/>
        <v>5.9154224999947473</v>
      </c>
      <c r="J17" s="16">
        <v>5.9985205705568294</v>
      </c>
      <c r="K17" s="16">
        <v>6.3445341108407218E-3</v>
      </c>
      <c r="L17" s="16">
        <v>96.155686123747103</v>
      </c>
      <c r="N17" s="16">
        <v>5.3229619087611459E-2</v>
      </c>
      <c r="O17" s="16">
        <v>1.4808909167530193E-3</v>
      </c>
      <c r="P17" s="3">
        <f t="shared" si="9"/>
        <v>5.8685175467316691E-2</v>
      </c>
      <c r="Q17" s="3">
        <f t="shared" si="10"/>
        <v>6.2070321035591821E-5</v>
      </c>
      <c r="R17" s="3">
        <f t="shared" si="11"/>
        <v>0.94071750625479778</v>
      </c>
      <c r="S17" s="3">
        <f t="shared" si="12"/>
        <v>5.2075999398047137E-4</v>
      </c>
      <c r="T17" s="4">
        <f t="shared" si="5"/>
        <v>1.0311792255561938</v>
      </c>
      <c r="U17" s="5">
        <f t="shared" si="6"/>
        <v>1.0906608877935848E-3</v>
      </c>
      <c r="V17" s="14"/>
      <c r="W17" s="3">
        <f t="shared" si="2"/>
        <v>1.0322698864439874</v>
      </c>
      <c r="X17" s="3">
        <f t="shared" si="7"/>
        <v>6.5977538821059353E-5</v>
      </c>
    </row>
    <row r="18" spans="1:25" ht="15.6" x14ac:dyDescent="0.3">
      <c r="A18" s="1" t="s">
        <v>23</v>
      </c>
      <c r="B18" s="1">
        <v>60</v>
      </c>
      <c r="C18" s="12" t="str">
        <f>+'[1]Flow rate'!E2005</f>
        <v>69.3</v>
      </c>
      <c r="D18" s="1" t="s">
        <v>27</v>
      </c>
      <c r="E18" s="1" t="s">
        <v>26</v>
      </c>
      <c r="F18" s="1" t="s">
        <v>24</v>
      </c>
      <c r="G18" s="1">
        <v>-0.77</v>
      </c>
      <c r="H18" s="15">
        <v>45450.965949074074</v>
      </c>
      <c r="I18" s="2">
        <f t="shared" si="8"/>
        <v>6.290700277837459</v>
      </c>
      <c r="J18" s="16">
        <v>8.4259044145338962</v>
      </c>
      <c r="K18" s="16">
        <v>4.2314847865862221E-3</v>
      </c>
      <c r="L18" s="16">
        <v>93.868698142735141</v>
      </c>
      <c r="N18" s="16">
        <v>5.2054032901897293E-2</v>
      </c>
      <c r="O18" s="16">
        <v>1.4754449887529053E-3</v>
      </c>
      <c r="P18" s="3">
        <f t="shared" si="9"/>
        <v>8.2322519234173511E-2</v>
      </c>
      <c r="Q18" s="3">
        <f t="shared" si="10"/>
        <v>4.1342326069115114E-5</v>
      </c>
      <c r="R18" s="3">
        <f t="shared" si="11"/>
        <v>0.91711314633630459</v>
      </c>
      <c r="S18" s="3">
        <f t="shared" si="12"/>
        <v>5.0857675496426694E-4</v>
      </c>
      <c r="T18" s="4">
        <f t="shared" si="5"/>
        <v>0.98060348991471979</v>
      </c>
      <c r="U18" s="5">
        <f t="shared" si="6"/>
        <v>4.9245855935537916E-4</v>
      </c>
      <c r="V18" s="14"/>
      <c r="W18" s="3">
        <f t="shared" si="2"/>
        <v>0.98109594847407522</v>
      </c>
      <c r="X18" s="3">
        <f t="shared" si="7"/>
        <v>4.5076730889046768E-5</v>
      </c>
      <c r="Y18">
        <f t="shared" ref="Y18" si="20">+SUM(K18:L18)</f>
        <v>93.872929627521728</v>
      </c>
    </row>
    <row r="19" spans="1:25" ht="15.6" x14ac:dyDescent="0.3">
      <c r="A19" s="1" t="s">
        <v>23</v>
      </c>
      <c r="B19" s="1">
        <v>60</v>
      </c>
      <c r="C19" s="12" t="str">
        <f>+'[1]Flow rate'!E2006</f>
        <v>69.3</v>
      </c>
      <c r="D19" s="1" t="s">
        <v>27</v>
      </c>
      <c r="E19" s="1" t="s">
        <v>26</v>
      </c>
      <c r="F19" s="1" t="s">
        <v>24</v>
      </c>
      <c r="G19" s="1">
        <v>-0.77</v>
      </c>
      <c r="H19" s="15">
        <v>45450.981585648151</v>
      </c>
      <c r="I19" s="2">
        <f t="shared" si="8"/>
        <v>6.6659780556801707</v>
      </c>
      <c r="J19" s="16">
        <v>8.4883156724620594</v>
      </c>
      <c r="K19" s="16">
        <v>4.5825936674704307E-3</v>
      </c>
      <c r="L19" s="16">
        <v>93.813929530448249</v>
      </c>
      <c r="N19" s="16">
        <v>5.3374173109383125E-2</v>
      </c>
      <c r="O19" s="16">
        <v>1.45311742103027E-3</v>
      </c>
      <c r="P19" s="3">
        <f t="shared" si="9"/>
        <v>8.2924759913647672E-2</v>
      </c>
      <c r="Q19" s="3">
        <f t="shared" si="10"/>
        <v>4.4768655445935431E-5</v>
      </c>
      <c r="R19" s="3">
        <f t="shared" si="11"/>
        <v>0.91649484810121551</v>
      </c>
      <c r="S19" s="3">
        <f t="shared" si="12"/>
        <v>5.2142741404447317E-4</v>
      </c>
      <c r="T19" s="4">
        <f t="shared" si="5"/>
        <v>0.98777721731707335</v>
      </c>
      <c r="U19" s="5">
        <f t="shared" si="6"/>
        <v>5.3327206428408391E-4</v>
      </c>
      <c r="V19" s="14"/>
      <c r="W19" s="3">
        <f t="shared" si="2"/>
        <v>0.98831048938135746</v>
      </c>
      <c r="X19" s="3">
        <f t="shared" si="7"/>
        <v>4.8845303167971383E-5</v>
      </c>
    </row>
    <row r="20" spans="1:25" ht="15.6" x14ac:dyDescent="0.3">
      <c r="A20" s="1" t="s">
        <v>23</v>
      </c>
      <c r="B20" s="1">
        <v>60</v>
      </c>
      <c r="C20" s="12" t="str">
        <f>+'[1]Flow rate'!E2007</f>
        <v>69.1</v>
      </c>
      <c r="D20" s="1" t="s">
        <v>27</v>
      </c>
      <c r="E20" s="1" t="s">
        <v>26</v>
      </c>
      <c r="F20" s="1" t="s">
        <v>24</v>
      </c>
      <c r="G20" s="1">
        <v>-0.77</v>
      </c>
      <c r="H20" s="15">
        <v>45450.99722222222</v>
      </c>
      <c r="I20" s="2">
        <f t="shared" si="8"/>
        <v>7.0412558333482593</v>
      </c>
      <c r="J20" s="16">
        <v>8.5127171643782358</v>
      </c>
      <c r="K20" s="16">
        <v>4.2658214173374375E-3</v>
      </c>
      <c r="L20" s="16">
        <v>93.261138182766146</v>
      </c>
      <c r="N20" s="16">
        <v>5.1623623214739206E-2</v>
      </c>
      <c r="O20" s="16">
        <v>1.5173890574255999E-3</v>
      </c>
      <c r="P20" s="3">
        <f t="shared" si="9"/>
        <v>8.3596304141464836E-2</v>
      </c>
      <c r="Q20" s="3">
        <f t="shared" si="10"/>
        <v>4.1891078692141822E-5</v>
      </c>
      <c r="R20" s="3">
        <f t="shared" si="11"/>
        <v>0.91583995116500905</v>
      </c>
      <c r="S20" s="3">
        <f t="shared" si="12"/>
        <v>5.0695260089249404E-4</v>
      </c>
      <c r="T20" s="4">
        <f t="shared" si="5"/>
        <v>0.99290265599854999</v>
      </c>
      <c r="U20" s="5">
        <f t="shared" si="6"/>
        <v>4.9755505010945619E-4</v>
      </c>
      <c r="V20" s="14"/>
      <c r="W20" s="3">
        <f t="shared" si="2"/>
        <v>0.9934002110486595</v>
      </c>
      <c r="X20" s="3">
        <f t="shared" si="7"/>
        <v>4.5738518616679036E-5</v>
      </c>
      <c r="Y20">
        <f t="shared" ref="Y20" si="21">+SUM(K20:L20)</f>
        <v>93.26540400418348</v>
      </c>
    </row>
    <row r="21" spans="1:25" ht="15.6" x14ac:dyDescent="0.3">
      <c r="A21" s="1" t="s">
        <v>23</v>
      </c>
      <c r="B21" s="1">
        <v>60</v>
      </c>
      <c r="C21" s="12" t="str">
        <f>+'[1]Flow rate'!E2008</f>
        <v>69.3</v>
      </c>
      <c r="D21" s="1" t="s">
        <v>27</v>
      </c>
      <c r="E21" s="1" t="s">
        <v>26</v>
      </c>
      <c r="F21" s="1" t="s">
        <v>24</v>
      </c>
      <c r="G21" s="1">
        <v>-0.77</v>
      </c>
      <c r="H21" s="15">
        <v>45451.012858796297</v>
      </c>
      <c r="I21" s="2">
        <f t="shared" si="8"/>
        <v>7.416533611190971</v>
      </c>
      <c r="J21" s="16">
        <v>8.5406573569796578</v>
      </c>
      <c r="K21" s="16">
        <v>5.6729500098731886E-3</v>
      </c>
      <c r="L21" s="16">
        <v>93.755887699956205</v>
      </c>
      <c r="N21" s="16">
        <v>5.1364861647737958E-2</v>
      </c>
      <c r="O21" s="16">
        <v>1.223181396071249E-3</v>
      </c>
      <c r="P21" s="3">
        <f t="shared" si="9"/>
        <v>8.3441683752577725E-2</v>
      </c>
      <c r="Q21" s="3">
        <f t="shared" si="10"/>
        <v>5.5424363826184671E-5</v>
      </c>
      <c r="R21" s="3">
        <f t="shared" si="11"/>
        <v>0.91598911001957561</v>
      </c>
      <c r="S21" s="3">
        <f t="shared" si="12"/>
        <v>5.0183145892193507E-4</v>
      </c>
      <c r="T21" s="4">
        <f t="shared" si="5"/>
        <v>0.9939346736873409</v>
      </c>
      <c r="U21" s="5">
        <f t="shared" si="6"/>
        <v>6.6019996836659599E-4</v>
      </c>
      <c r="V21" s="14"/>
      <c r="W21" s="3">
        <f t="shared" si="2"/>
        <v>0.99459487365570753</v>
      </c>
      <c r="X21" s="3">
        <f t="shared" si="7"/>
        <v>6.0504005805232314E-5</v>
      </c>
    </row>
    <row r="22" spans="1:25" ht="15.6" x14ac:dyDescent="0.3">
      <c r="A22" s="1" t="s">
        <v>23</v>
      </c>
      <c r="B22" s="1">
        <v>60</v>
      </c>
      <c r="C22" s="12" t="str">
        <f>+'[1]Flow rate'!E2009</f>
        <v>69.3</v>
      </c>
      <c r="D22" s="1" t="s">
        <v>27</v>
      </c>
      <c r="E22" s="1" t="s">
        <v>26</v>
      </c>
      <c r="F22" s="1" t="s">
        <v>24</v>
      </c>
      <c r="G22" s="1">
        <v>-0.77</v>
      </c>
      <c r="H22" s="15">
        <v>45451.028495370374</v>
      </c>
      <c r="I22" s="2">
        <f t="shared" si="8"/>
        <v>7.7918113890336826</v>
      </c>
      <c r="J22" s="16">
        <v>8.5747741907771271</v>
      </c>
      <c r="K22" s="16">
        <v>3.4478016853252604E-3</v>
      </c>
      <c r="L22" s="16">
        <v>94.067679115470554</v>
      </c>
      <c r="N22" s="16">
        <v>5.1964464908788421E-2</v>
      </c>
      <c r="O22" s="16">
        <v>1.0140686889073547E-3</v>
      </c>
      <c r="P22" s="3">
        <f t="shared" si="9"/>
        <v>8.3494330422174814E-2</v>
      </c>
      <c r="Q22" s="3">
        <f t="shared" si="10"/>
        <v>3.357195032078026E-5</v>
      </c>
      <c r="R22" s="3">
        <f t="shared" si="11"/>
        <v>0.91595623480813748</v>
      </c>
      <c r="S22" s="3">
        <f t="shared" si="12"/>
        <v>5.0598862509668857E-4</v>
      </c>
      <c r="T22" s="4">
        <f t="shared" si="5"/>
        <v>0.99456178651648597</v>
      </c>
      <c r="U22" s="5">
        <f t="shared" si="6"/>
        <v>3.9989995391363981E-4</v>
      </c>
      <c r="V22" s="14"/>
      <c r="W22" s="3">
        <f t="shared" si="2"/>
        <v>0.99496168647039962</v>
      </c>
      <c r="X22" s="3">
        <f t="shared" si="7"/>
        <v>3.6651008639043743E-5</v>
      </c>
      <c r="Y22">
        <f t="shared" ref="Y22" si="22">+SUM(K22:L22)</f>
        <v>94.07112691715588</v>
      </c>
    </row>
    <row r="23" spans="1:25" ht="15.6" x14ac:dyDescent="0.3">
      <c r="A23" s="1" t="s">
        <v>23</v>
      </c>
      <c r="B23" s="1">
        <v>60</v>
      </c>
      <c r="C23" s="12" t="str">
        <f>+'[1]Flow rate'!E2010</f>
        <v>69.3</v>
      </c>
      <c r="D23" s="1" t="s">
        <v>27</v>
      </c>
      <c r="E23" s="1" t="s">
        <v>26</v>
      </c>
      <c r="F23" s="1" t="s">
        <v>24</v>
      </c>
      <c r="G23" s="1">
        <v>-1.1000000000000001</v>
      </c>
      <c r="H23" s="15">
        <v>45451.044131944444</v>
      </c>
      <c r="I23" s="2">
        <f t="shared" si="8"/>
        <v>8.1670891667017713</v>
      </c>
      <c r="J23" s="16">
        <v>10.492025594847323</v>
      </c>
      <c r="K23" s="16">
        <v>1.3183246397276385E-2</v>
      </c>
      <c r="L23" s="16">
        <v>92.159087796730986</v>
      </c>
      <c r="N23" s="16">
        <v>5.3843099127954944E-2</v>
      </c>
      <c r="O23" s="16">
        <v>1.1005548471673121E-3</v>
      </c>
      <c r="P23" s="3">
        <f t="shared" si="9"/>
        <v>0.10214274915806108</v>
      </c>
      <c r="Q23" s="3">
        <f t="shared" si="10"/>
        <v>1.2834252239217009E-4</v>
      </c>
      <c r="R23" s="3">
        <f t="shared" si="11"/>
        <v>0.89719401676642618</v>
      </c>
      <c r="S23" s="3">
        <f t="shared" si="12"/>
        <v>5.2417734958826602E-4</v>
      </c>
      <c r="T23" s="4">
        <f t="shared" si="5"/>
        <v>0.85168767984702054</v>
      </c>
      <c r="U23" s="5">
        <f t="shared" si="6"/>
        <v>1.0701468877908605E-3</v>
      </c>
      <c r="V23" s="14"/>
      <c r="W23" s="3">
        <f t="shared" si="2"/>
        <v>0.85275782673481137</v>
      </c>
      <c r="X23" s="3">
        <f t="shared" si="7"/>
        <v>1.4302833431442544E-4</v>
      </c>
    </row>
    <row r="24" spans="1:25" ht="15.6" x14ac:dyDescent="0.3">
      <c r="A24" s="1" t="s">
        <v>23</v>
      </c>
      <c r="B24" s="1">
        <v>60</v>
      </c>
      <c r="C24" s="12" t="str">
        <f>+'[1]Flow rate'!E2011</f>
        <v>67.6</v>
      </c>
      <c r="D24" s="1" t="s">
        <v>27</v>
      </c>
      <c r="E24" s="1" t="s">
        <v>26</v>
      </c>
      <c r="F24" s="1" t="s">
        <v>24</v>
      </c>
      <c r="G24" s="1">
        <v>-1.1000000000000001</v>
      </c>
      <c r="H24" s="15">
        <v>45451.05976851852</v>
      </c>
      <c r="I24" s="2">
        <f t="shared" si="8"/>
        <v>8.542366944544483</v>
      </c>
      <c r="J24" s="16">
        <v>10.933236868823872</v>
      </c>
      <c r="K24" s="16">
        <v>3.561062071682039E-2</v>
      </c>
      <c r="L24" s="16">
        <v>91.718668889144851</v>
      </c>
      <c r="N24" s="16">
        <v>5.2280933417158573E-2</v>
      </c>
      <c r="O24" s="16">
        <v>0.16178773281463038</v>
      </c>
      <c r="P24" s="3">
        <f t="shared" si="9"/>
        <v>0.10624945052159721</v>
      </c>
      <c r="Q24" s="3">
        <f t="shared" si="10"/>
        <v>3.4606484148204402E-4</v>
      </c>
      <c r="R24" s="3">
        <f t="shared" si="11"/>
        <v>0.89132416035291329</v>
      </c>
      <c r="S24" s="3">
        <f t="shared" si="12"/>
        <v>5.0806732854831677E-4</v>
      </c>
      <c r="T24" s="4">
        <f t="shared" si="5"/>
        <v>0.86419744181289215</v>
      </c>
      <c r="U24" s="5">
        <f t="shared" si="6"/>
        <v>2.814775504644847E-3</v>
      </c>
      <c r="V24" s="14"/>
      <c r="W24" s="3">
        <f t="shared" si="2"/>
        <v>0.86701221731753697</v>
      </c>
      <c r="X24" s="3">
        <f t="shared" si="7"/>
        <v>3.881085537050399E-4</v>
      </c>
      <c r="Y24">
        <f t="shared" ref="Y24" si="23">+SUM(K24:L24)</f>
        <v>91.754279509861675</v>
      </c>
    </row>
    <row r="25" spans="1:25" ht="15.6" x14ac:dyDescent="0.3">
      <c r="A25" s="1" t="s">
        <v>23</v>
      </c>
      <c r="B25" s="1">
        <v>60</v>
      </c>
      <c r="C25" s="12" t="str">
        <f>+'[1]Flow rate'!E2012</f>
        <v>67.7</v>
      </c>
      <c r="D25" s="1" t="s">
        <v>27</v>
      </c>
      <c r="E25" s="1" t="s">
        <v>26</v>
      </c>
      <c r="F25" s="1" t="s">
        <v>24</v>
      </c>
      <c r="G25" s="1">
        <v>-1.1000000000000001</v>
      </c>
      <c r="H25" s="15">
        <v>45451.082685185182</v>
      </c>
      <c r="I25" s="2">
        <f t="shared" si="8"/>
        <v>9.0923669444164261</v>
      </c>
      <c r="J25" s="16">
        <v>10.945074708194838</v>
      </c>
      <c r="K25" s="16">
        <v>9.6506803627538995E-2</v>
      </c>
      <c r="L25" s="16">
        <v>91.690032936835664</v>
      </c>
      <c r="N25" s="16">
        <v>5.4392398733230832E-2</v>
      </c>
      <c r="O25" s="16">
        <v>1.2008228610450034E-3</v>
      </c>
      <c r="P25" s="3">
        <f t="shared" si="9"/>
        <v>0.10648284894855117</v>
      </c>
      <c r="Q25" s="3">
        <f t="shared" si="10"/>
        <v>9.3889897210885193E-4</v>
      </c>
      <c r="R25" s="3">
        <f t="shared" si="11"/>
        <v>0.89203739468225396</v>
      </c>
      <c r="S25" s="3">
        <f t="shared" si="12"/>
        <v>5.2917478707783356E-4</v>
      </c>
      <c r="T25" s="4">
        <f t="shared" si="5"/>
        <v>0.86737703328373228</v>
      </c>
      <c r="U25" s="5">
        <f t="shared" si="6"/>
        <v>7.6479866290429695E-3</v>
      </c>
      <c r="V25" s="14"/>
      <c r="W25" s="3">
        <f t="shared" si="2"/>
        <v>0.87502501991277526</v>
      </c>
      <c r="X25" s="3">
        <f t="shared" si="7"/>
        <v>1.0514265370545929E-3</v>
      </c>
    </row>
    <row r="26" spans="1:25" ht="15.6" x14ac:dyDescent="0.3">
      <c r="A26" s="1" t="s">
        <v>23</v>
      </c>
      <c r="B26" s="1">
        <v>60</v>
      </c>
      <c r="C26" s="12" t="str">
        <f>+'[1]Flow rate'!E2013</f>
        <v>67.7</v>
      </c>
      <c r="D26" s="1" t="s">
        <v>27</v>
      </c>
      <c r="E26" s="1" t="s">
        <v>26</v>
      </c>
      <c r="F26" s="1" t="s">
        <v>24</v>
      </c>
      <c r="G26" s="1">
        <v>-1.1000000000000001</v>
      </c>
      <c r="H26" s="15">
        <v>45451.098321759258</v>
      </c>
      <c r="I26" s="2">
        <f t="shared" si="8"/>
        <v>9.4676447222591378</v>
      </c>
      <c r="J26" s="16">
        <v>10.948800645545546</v>
      </c>
      <c r="K26" s="16">
        <v>0.10778453533629777</v>
      </c>
      <c r="L26" s="16">
        <v>91.655995655569896</v>
      </c>
      <c r="N26" s="16">
        <v>5.207036790149408E-2</v>
      </c>
      <c r="O26" s="16">
        <v>1.0852362702583052E-3</v>
      </c>
      <c r="P26" s="3">
        <f t="shared" si="9"/>
        <v>0.10654135341959624</v>
      </c>
      <c r="Q26" s="3">
        <f t="shared" si="10"/>
        <v>1.0488372785473501E-3</v>
      </c>
      <c r="R26" s="3">
        <f t="shared" si="11"/>
        <v>0.891892559039144</v>
      </c>
      <c r="S26" s="3">
        <f t="shared" si="12"/>
        <v>5.0668996987706663E-4</v>
      </c>
      <c r="T26" s="4">
        <f t="shared" si="5"/>
        <v>0.86785359298353348</v>
      </c>
      <c r="U26" s="5">
        <f t="shared" si="6"/>
        <v>8.5435107723623917E-3</v>
      </c>
      <c r="V26" s="14"/>
      <c r="W26" s="3">
        <f t="shared" si="2"/>
        <v>0.87639710375589586</v>
      </c>
      <c r="X26" s="3">
        <f t="shared" si="7"/>
        <v>1.1745869133994028E-3</v>
      </c>
      <c r="Y26">
        <f t="shared" ref="Y26" si="24">+SUM(K26:L26)</f>
        <v>91.763780190906189</v>
      </c>
    </row>
    <row r="27" spans="1:25" ht="15.6" x14ac:dyDescent="0.3">
      <c r="A27" s="1" t="s">
        <v>23</v>
      </c>
      <c r="B27" s="1">
        <v>60</v>
      </c>
      <c r="C27" s="12" t="str">
        <f>+'[1]Flow rate'!E2014</f>
        <v>68.8</v>
      </c>
      <c r="D27" s="1" t="s">
        <v>27</v>
      </c>
      <c r="E27" s="1" t="s">
        <v>26</v>
      </c>
      <c r="F27" s="1" t="s">
        <v>24</v>
      </c>
      <c r="G27" s="1">
        <v>-1.1000000000000001</v>
      </c>
      <c r="H27" s="15">
        <v>45451.113946759258</v>
      </c>
      <c r="I27" s="2">
        <f t="shared" si="8"/>
        <v>9.8426447222591378</v>
      </c>
      <c r="J27" s="16">
        <v>10.962642423282077</v>
      </c>
      <c r="K27" s="16">
        <v>0.12381923693525791</v>
      </c>
      <c r="L27" s="16">
        <v>91.578069568651941</v>
      </c>
      <c r="N27" s="16">
        <v>5.1016688411424531E-2</v>
      </c>
      <c r="O27" s="16">
        <v>0.15349572978722692</v>
      </c>
      <c r="P27" s="3">
        <f t="shared" si="9"/>
        <v>0.10656891553200072</v>
      </c>
      <c r="Q27" s="3">
        <f t="shared" si="10"/>
        <v>1.2036588709822922E-3</v>
      </c>
      <c r="R27" s="3">
        <f t="shared" si="11"/>
        <v>0.89023934044576092</v>
      </c>
      <c r="S27" s="3">
        <f t="shared" si="12"/>
        <v>4.9593820067441309E-4</v>
      </c>
      <c r="T27" s="4">
        <f t="shared" si="5"/>
        <v>0.88218277201550066</v>
      </c>
      <c r="U27" s="5">
        <f t="shared" si="6"/>
        <v>9.9639478741373969E-3</v>
      </c>
      <c r="V27" s="14"/>
      <c r="W27" s="3">
        <f t="shared" si="2"/>
        <v>0.89214671988963801</v>
      </c>
      <c r="X27" s="3">
        <f t="shared" si="7"/>
        <v>1.3502364951038376E-3</v>
      </c>
    </row>
    <row r="28" spans="1:25" ht="15.6" x14ac:dyDescent="0.3">
      <c r="A28" s="1" t="s">
        <v>23</v>
      </c>
      <c r="B28" s="1">
        <v>60</v>
      </c>
      <c r="C28" s="12" t="str">
        <f>+'[1]Flow rate'!E2015</f>
        <v>69.7</v>
      </c>
      <c r="D28" s="1" t="s">
        <v>27</v>
      </c>
      <c r="E28" s="1" t="s">
        <v>26</v>
      </c>
      <c r="F28" s="1" t="s">
        <v>24</v>
      </c>
      <c r="G28" s="1">
        <v>-1.52</v>
      </c>
      <c r="H28" s="15">
        <v>45451.129560185182</v>
      </c>
      <c r="I28" s="2">
        <f t="shared" si="8"/>
        <v>10.217366944416426</v>
      </c>
      <c r="J28" s="16">
        <v>14.277940849758886</v>
      </c>
      <c r="K28" s="16">
        <v>1.0849540458242553</v>
      </c>
      <c r="L28" s="16">
        <v>87.465139418929198</v>
      </c>
      <c r="N28" s="16">
        <v>5.9727404310998433E-2</v>
      </c>
      <c r="O28" s="16">
        <v>1.0078172017987663E-3</v>
      </c>
      <c r="P28" s="3">
        <f t="shared" si="9"/>
        <v>0.13877064439729406</v>
      </c>
      <c r="Q28" s="3">
        <f t="shared" si="10"/>
        <v>1.0544921964922255E-2</v>
      </c>
      <c r="R28" s="3">
        <f t="shared" si="11"/>
        <v>0.85009413382385179</v>
      </c>
      <c r="S28" s="3">
        <f t="shared" si="12"/>
        <v>5.8050460298376559E-4</v>
      </c>
      <c r="T28" s="4">
        <f t="shared" si="5"/>
        <v>0.84220742910232316</v>
      </c>
      <c r="U28" s="5">
        <f t="shared" si="6"/>
        <v>6.3997768812947622E-2</v>
      </c>
      <c r="V28" s="14"/>
      <c r="W28" s="3">
        <f t="shared" si="2"/>
        <v>0.90620519791527077</v>
      </c>
      <c r="X28" s="3">
        <f t="shared" si="7"/>
        <v>1.2252432531379667E-2</v>
      </c>
      <c r="Y28">
        <f t="shared" ref="Y28" si="25">+SUM(K28:L28)</f>
        <v>88.550093464753459</v>
      </c>
    </row>
    <row r="29" spans="1:25" ht="15.6" x14ac:dyDescent="0.3">
      <c r="A29" s="1" t="s">
        <v>23</v>
      </c>
      <c r="B29" s="1">
        <v>60</v>
      </c>
      <c r="C29" s="12" t="str">
        <f>+'[1]Flow rate'!E2016</f>
        <v>69.7</v>
      </c>
      <c r="D29" s="1" t="s">
        <v>27</v>
      </c>
      <c r="E29" s="1" t="s">
        <v>26</v>
      </c>
      <c r="F29" s="1" t="s">
        <v>24</v>
      </c>
      <c r="G29" s="1">
        <v>-1.52</v>
      </c>
      <c r="H29" s="15">
        <v>45451.145196759258</v>
      </c>
      <c r="I29" s="2">
        <f t="shared" si="8"/>
        <v>10.592644722259138</v>
      </c>
      <c r="J29" s="16">
        <v>14.192302124411546</v>
      </c>
      <c r="K29" s="16">
        <v>1.5459308875877957</v>
      </c>
      <c r="L29" s="16">
        <v>87.157277904191886</v>
      </c>
      <c r="N29" s="16">
        <v>5.9311309630386222E-2</v>
      </c>
      <c r="O29" s="16">
        <v>0.15363951903990464</v>
      </c>
      <c r="P29" s="3">
        <f t="shared" si="9"/>
        <v>0.13764439779472154</v>
      </c>
      <c r="Q29" s="3">
        <f t="shared" si="10"/>
        <v>1.4993249452340301E-2</v>
      </c>
      <c r="R29" s="3">
        <f t="shared" si="11"/>
        <v>0.84529704380480131</v>
      </c>
      <c r="S29" s="3">
        <f t="shared" si="12"/>
        <v>5.7523222271660011E-4</v>
      </c>
      <c r="T29" s="4">
        <f t="shared" si="5"/>
        <v>0.83537217039319556</v>
      </c>
      <c r="U29" s="5">
        <f t="shared" si="6"/>
        <v>9.0994937221690719E-2</v>
      </c>
      <c r="V29" s="14"/>
      <c r="W29" s="3">
        <f t="shared" si="2"/>
        <v>0.92636710761488628</v>
      </c>
      <c r="X29" s="3">
        <f t="shared" si="7"/>
        <v>1.7428128121235006E-2</v>
      </c>
    </row>
    <row r="30" spans="1:25" ht="15.6" x14ac:dyDescent="0.3">
      <c r="A30" s="1" t="s">
        <v>23</v>
      </c>
      <c r="B30" s="1">
        <v>60</v>
      </c>
      <c r="C30" s="12" t="str">
        <f>+'[1]Flow rate'!E2017</f>
        <v>68.8</v>
      </c>
      <c r="D30" s="1" t="s">
        <v>27</v>
      </c>
      <c r="E30" s="1" t="s">
        <v>26</v>
      </c>
      <c r="F30" s="1" t="s">
        <v>24</v>
      </c>
      <c r="G30" s="1">
        <v>-1.52</v>
      </c>
      <c r="H30" s="15">
        <v>45451.160821759258</v>
      </c>
      <c r="I30" s="2">
        <f t="shared" si="8"/>
        <v>10.967644722259138</v>
      </c>
      <c r="J30" s="16">
        <v>13.709060195105076</v>
      </c>
      <c r="K30" s="16">
        <v>2.1193628880505631</v>
      </c>
      <c r="L30" s="16">
        <v>87.072452517304669</v>
      </c>
      <c r="N30" s="16">
        <v>5.8066365607641474E-2</v>
      </c>
      <c r="O30" s="16">
        <v>1.0171484774705308E-3</v>
      </c>
      <c r="P30" s="3">
        <f t="shared" si="9"/>
        <v>0.13314943316802813</v>
      </c>
      <c r="Q30" s="3">
        <f t="shared" si="10"/>
        <v>2.0584340808573177E-2</v>
      </c>
      <c r="R30" s="3">
        <f t="shared" si="11"/>
        <v>0.84569237659112195</v>
      </c>
      <c r="S30" s="3">
        <f t="shared" si="12"/>
        <v>5.6397036388720055E-4</v>
      </c>
      <c r="T30" s="4">
        <f t="shared" si="5"/>
        <v>0.79765748544702808</v>
      </c>
      <c r="U30" s="5">
        <f t="shared" si="6"/>
        <v>0.12331448312086184</v>
      </c>
      <c r="V30" s="14"/>
      <c r="W30" s="3">
        <f t="shared" si="2"/>
        <v>0.92097196856788988</v>
      </c>
      <c r="X30" s="3">
        <f t="shared" si="7"/>
        <v>2.37618539147182E-2</v>
      </c>
      <c r="Y30">
        <f t="shared" ref="Y30" si="26">+SUM(K30:L30)</f>
        <v>89.191815405355229</v>
      </c>
    </row>
    <row r="31" spans="1:25" ht="15.6" x14ac:dyDescent="0.3">
      <c r="A31" s="1" t="s">
        <v>23</v>
      </c>
      <c r="B31" s="1">
        <v>60</v>
      </c>
      <c r="C31" s="12" t="str">
        <f>+'[1]Flow rate'!E2018</f>
        <v>69.0</v>
      </c>
      <c r="D31" s="1" t="s">
        <v>27</v>
      </c>
      <c r="E31" s="1" t="s">
        <v>26</v>
      </c>
      <c r="F31" s="1" t="s">
        <v>24</v>
      </c>
      <c r="G31" s="1">
        <v>-1.52</v>
      </c>
      <c r="H31" s="15">
        <v>45451.176446759258</v>
      </c>
      <c r="I31" s="2">
        <f t="shared" si="8"/>
        <v>11.342644722259138</v>
      </c>
      <c r="J31" s="16">
        <v>13.235415771477308</v>
      </c>
      <c r="K31" s="16">
        <v>2.6681921876471479</v>
      </c>
      <c r="L31" s="16">
        <v>86.987071200402667</v>
      </c>
      <c r="N31" s="16">
        <v>5.810399164462153E-2</v>
      </c>
      <c r="O31" s="16">
        <v>0.15506874674201415</v>
      </c>
      <c r="P31" s="3">
        <f t="shared" si="9"/>
        <v>0.12836975076917684</v>
      </c>
      <c r="Q31" s="3">
        <f t="shared" si="10"/>
        <v>2.5878685796230056E-2</v>
      </c>
      <c r="R31" s="3">
        <f t="shared" si="11"/>
        <v>0.84368400985184533</v>
      </c>
      <c r="S31" s="3">
        <f t="shared" si="12"/>
        <v>5.6354821449495455E-4</v>
      </c>
      <c r="T31" s="4">
        <f t="shared" si="5"/>
        <v>0.77125940618413646</v>
      </c>
      <c r="U31" s="5">
        <f t="shared" si="6"/>
        <v>0.15548195521478481</v>
      </c>
      <c r="V31" s="14"/>
      <c r="W31" s="3">
        <f t="shared" si="2"/>
        <v>0.92674136139892127</v>
      </c>
      <c r="X31" s="3">
        <f t="shared" si="7"/>
        <v>2.9760574971472251E-2</v>
      </c>
    </row>
    <row r="32" spans="1:25" ht="15.6" x14ac:dyDescent="0.3">
      <c r="A32" s="1" t="s">
        <v>23</v>
      </c>
      <c r="B32" s="1">
        <v>60</v>
      </c>
      <c r="C32" s="12" t="str">
        <f>+'[1]Flow rate'!E2019</f>
        <v>69.0</v>
      </c>
      <c r="D32" s="1" t="s">
        <v>27</v>
      </c>
      <c r="E32" s="1" t="s">
        <v>26</v>
      </c>
      <c r="F32" s="1" t="s">
        <v>24</v>
      </c>
      <c r="G32" s="1">
        <v>-1.52</v>
      </c>
      <c r="H32" s="15">
        <v>45451.192083333335</v>
      </c>
      <c r="I32" s="2">
        <f t="shared" si="8"/>
        <v>11.717922500101849</v>
      </c>
      <c r="J32" s="16">
        <v>13.196543560129784</v>
      </c>
      <c r="K32" s="16">
        <v>2.7246828461821764</v>
      </c>
      <c r="L32" s="16">
        <v>86.84194040279047</v>
      </c>
      <c r="N32" s="16">
        <v>5.8832021752791883E-2</v>
      </c>
      <c r="O32" s="16">
        <v>1.2466270873470187E-3</v>
      </c>
      <c r="P32" s="3">
        <f t="shared" si="9"/>
        <v>0.12834202520409183</v>
      </c>
      <c r="Q32" s="3">
        <f t="shared" si="10"/>
        <v>2.6498704977141029E-2</v>
      </c>
      <c r="R32" s="3">
        <f t="shared" si="11"/>
        <v>0.84457497928628533</v>
      </c>
      <c r="S32" s="3">
        <f t="shared" si="12"/>
        <v>5.7216655135492432E-4</v>
      </c>
      <c r="T32" s="4">
        <f t="shared" si="5"/>
        <v>0.77109282797754586</v>
      </c>
      <c r="U32" s="5">
        <f t="shared" si="6"/>
        <v>0.15920709780037742</v>
      </c>
      <c r="V32" s="14"/>
      <c r="W32" s="3">
        <f t="shared" si="2"/>
        <v>0.93029992577792331</v>
      </c>
      <c r="X32" s="3">
        <f t="shared" si="7"/>
        <v>3.0420738745595494E-2</v>
      </c>
      <c r="Y32">
        <f t="shared" ref="Y32" si="27">+SUM(K32:L32)</f>
        <v>89.566623248972647</v>
      </c>
    </row>
    <row r="33" spans="1:25" ht="15.6" x14ac:dyDescent="0.3">
      <c r="A33" s="1" t="s">
        <v>23</v>
      </c>
      <c r="B33" s="1">
        <v>60</v>
      </c>
      <c r="C33" s="12" t="str">
        <f>+'[1]Flow rate'!E2020</f>
        <v>68.2</v>
      </c>
      <c r="D33" s="1" t="s">
        <v>27</v>
      </c>
      <c r="E33" s="1" t="s">
        <v>26</v>
      </c>
      <c r="F33" s="1" t="s">
        <v>24</v>
      </c>
      <c r="G33" s="1">
        <v>-2.1</v>
      </c>
      <c r="H33" s="15">
        <v>45451.207719907405</v>
      </c>
      <c r="I33" s="2">
        <f t="shared" si="8"/>
        <v>12.093200277769938</v>
      </c>
      <c r="J33" s="16">
        <v>14.699911568324254</v>
      </c>
      <c r="K33" s="16">
        <v>3.1506120869827257</v>
      </c>
      <c r="L33" s="16">
        <v>85.037600059844394</v>
      </c>
      <c r="N33" s="16">
        <v>6.6718281070847332E-2</v>
      </c>
      <c r="O33" s="16">
        <v>9.5285934336647449E-4</v>
      </c>
      <c r="P33" s="3">
        <f t="shared" si="9"/>
        <v>0.14277886532707007</v>
      </c>
      <c r="Q33" s="3">
        <f t="shared" si="10"/>
        <v>3.0601600341220711E-2</v>
      </c>
      <c r="R33" s="3">
        <f t="shared" si="11"/>
        <v>0.82596225087807595</v>
      </c>
      <c r="S33" s="3">
        <f t="shared" si="12"/>
        <v>6.4802842000729471E-4</v>
      </c>
      <c r="T33" s="4">
        <f t="shared" si="5"/>
        <v>0.61370728564753851</v>
      </c>
      <c r="U33" s="5">
        <f t="shared" si="6"/>
        <v>0.13153504924457951</v>
      </c>
      <c r="V33" s="14"/>
      <c r="W33" s="3">
        <f t="shared" si="2"/>
        <v>0.745242334892118</v>
      </c>
      <c r="X33" s="3">
        <f t="shared" si="7"/>
        <v>3.5726000224805328E-2</v>
      </c>
    </row>
    <row r="34" spans="1:25" ht="15.6" x14ac:dyDescent="0.3">
      <c r="A34" s="1" t="s">
        <v>23</v>
      </c>
      <c r="B34" s="1">
        <v>60</v>
      </c>
      <c r="C34" s="12" t="str">
        <f>+'[1]Flow rate'!E2021</f>
        <v>69.5</v>
      </c>
      <c r="D34" s="1" t="s">
        <v>27</v>
      </c>
      <c r="E34" s="1" t="s">
        <v>26</v>
      </c>
      <c r="F34" s="1" t="s">
        <v>24</v>
      </c>
      <c r="G34" s="1">
        <v>-2.1</v>
      </c>
      <c r="H34" s="15">
        <v>45451.23064814815</v>
      </c>
      <c r="I34" s="2">
        <f t="shared" si="8"/>
        <v>12.643478055659216</v>
      </c>
      <c r="J34" s="16">
        <v>16.447402210982236</v>
      </c>
      <c r="K34" s="16">
        <v>3.7485622932693867</v>
      </c>
      <c r="L34" s="16">
        <v>82.781410307754598</v>
      </c>
      <c r="N34" s="16">
        <v>6.6696981330114369E-2</v>
      </c>
      <c r="O34" s="16">
        <v>0.15927142089276586</v>
      </c>
      <c r="P34" s="3">
        <f t="shared" si="9"/>
        <v>0.15936888959925247</v>
      </c>
      <c r="Q34" s="3">
        <f t="shared" si="10"/>
        <v>3.6322101363403858E-2</v>
      </c>
      <c r="R34" s="3">
        <f t="shared" si="11"/>
        <v>0.80211946366812237</v>
      </c>
      <c r="S34" s="3">
        <f t="shared" si="12"/>
        <v>6.4626764262534634E-4</v>
      </c>
      <c r="T34" s="4">
        <f t="shared" si="5"/>
        <v>0.69807378551987675</v>
      </c>
      <c r="U34" s="5">
        <f t="shared" si="6"/>
        <v>0.15909947581706022</v>
      </c>
      <c r="V34" s="14"/>
      <c r="W34" s="3">
        <f t="shared" si="2"/>
        <v>0.85717326133693694</v>
      </c>
      <c r="X34" s="3">
        <f t="shared" si="7"/>
        <v>4.3320969377321016E-2</v>
      </c>
      <c r="Y34">
        <f t="shared" ref="Y34" si="28">+SUM(K34:L34)</f>
        <v>86.529972601023985</v>
      </c>
    </row>
    <row r="35" spans="1:25" ht="15.6" x14ac:dyDescent="0.3">
      <c r="A35" s="1" t="s">
        <v>23</v>
      </c>
      <c r="B35" s="1">
        <v>60</v>
      </c>
      <c r="C35" s="12" t="str">
        <f>+'[1]Flow rate'!E2022</f>
        <v>69.5</v>
      </c>
      <c r="D35" s="1" t="s">
        <v>27</v>
      </c>
      <c r="E35" s="1" t="s">
        <v>26</v>
      </c>
      <c r="F35" s="1" t="s">
        <v>24</v>
      </c>
      <c r="G35" s="1">
        <v>-2.1</v>
      </c>
      <c r="H35" s="15">
        <v>45451.24627314815</v>
      </c>
      <c r="I35" s="2">
        <f t="shared" si="8"/>
        <v>13.018478055659216</v>
      </c>
      <c r="J35" s="16">
        <v>16.678310563561062</v>
      </c>
      <c r="K35" s="16">
        <v>3.65628461799303</v>
      </c>
      <c r="L35" s="16">
        <v>82.557779767372935</v>
      </c>
      <c r="N35" s="16">
        <v>6.4300941918669169E-2</v>
      </c>
      <c r="O35" s="16">
        <v>1.4414157990103593E-3</v>
      </c>
      <c r="P35" s="3">
        <f t="shared" si="9"/>
        <v>0.16199121545596365</v>
      </c>
      <c r="Q35" s="3">
        <f t="shared" si="10"/>
        <v>3.5512349231322439E-2</v>
      </c>
      <c r="R35" s="3">
        <f t="shared" si="11"/>
        <v>0.80185790034881321</v>
      </c>
      <c r="S35" s="3">
        <f t="shared" si="12"/>
        <v>6.2453494295315083E-4</v>
      </c>
      <c r="T35" s="4">
        <f t="shared" si="5"/>
        <v>0.70956019884850163</v>
      </c>
      <c r="U35" s="5">
        <f t="shared" si="6"/>
        <v>0.15555256815147828</v>
      </c>
      <c r="V35" s="14"/>
      <c r="W35" s="3">
        <f t="shared" si="2"/>
        <v>0.86511276699997985</v>
      </c>
      <c r="X35" s="3">
        <f t="shared" si="7"/>
        <v>4.2409375361888754E-2</v>
      </c>
    </row>
    <row r="36" spans="1:25" ht="15.6" x14ac:dyDescent="0.3">
      <c r="A36" s="1" t="s">
        <v>23</v>
      </c>
      <c r="B36" s="1">
        <v>60</v>
      </c>
      <c r="C36" s="12" t="str">
        <f>+'[1]Flow rate'!E2023</f>
        <v>68.8</v>
      </c>
      <c r="D36" s="1" t="s">
        <v>27</v>
      </c>
      <c r="E36" s="1" t="s">
        <v>26</v>
      </c>
      <c r="F36" s="1" t="s">
        <v>24</v>
      </c>
      <c r="G36" s="1">
        <v>-2.1</v>
      </c>
      <c r="H36" s="15">
        <v>45451.26189814815</v>
      </c>
      <c r="I36" s="2">
        <f t="shared" si="8"/>
        <v>13.393478055659216</v>
      </c>
      <c r="J36" s="16">
        <v>16.868201796736557</v>
      </c>
      <c r="K36" s="16">
        <v>3.5017734826925819</v>
      </c>
      <c r="L36" s="16">
        <v>82.52796518465216</v>
      </c>
      <c r="N36" s="16">
        <v>6.1824853789057291E-2</v>
      </c>
      <c r="O36" s="16">
        <v>1.1506591699088631E-3</v>
      </c>
      <c r="P36" s="3">
        <f t="shared" si="9"/>
        <v>0.16383111627035324</v>
      </c>
      <c r="Q36" s="3">
        <f t="shared" si="10"/>
        <v>3.401070638759137E-2</v>
      </c>
      <c r="R36" s="3">
        <f t="shared" si="11"/>
        <v>0.80154653250225016</v>
      </c>
      <c r="S36" s="3">
        <f t="shared" si="12"/>
        <v>6.0046915086540119E-4</v>
      </c>
      <c r="T36" s="4">
        <f t="shared" si="5"/>
        <v>0.71039158235687372</v>
      </c>
      <c r="U36" s="5">
        <f t="shared" si="6"/>
        <v>0.14747454621432138</v>
      </c>
      <c r="V36" s="14"/>
      <c r="W36" s="3">
        <f t="shared" si="2"/>
        <v>0.85786612857119504</v>
      </c>
      <c r="X36" s="3">
        <f t="shared" si="7"/>
        <v>4.070422085359407E-2</v>
      </c>
      <c r="Y36">
        <f t="shared" ref="Y36" si="29">+SUM(K36:L36)</f>
        <v>86.029738667344745</v>
      </c>
    </row>
    <row r="37" spans="1:25" ht="15.6" x14ac:dyDescent="0.3">
      <c r="A37" s="1" t="s">
        <v>23</v>
      </c>
      <c r="B37" s="1">
        <v>60</v>
      </c>
      <c r="C37" s="12" t="str">
        <f>+'[1]Flow rate'!E2024</f>
        <v>68.4</v>
      </c>
      <c r="D37" s="1" t="s">
        <v>27</v>
      </c>
      <c r="E37" s="1" t="s">
        <v>26</v>
      </c>
      <c r="F37" s="1" t="s">
        <v>24</v>
      </c>
      <c r="G37" s="1">
        <v>-2.1</v>
      </c>
      <c r="H37" s="15">
        <v>45451.27753472222</v>
      </c>
      <c r="I37" s="2">
        <f t="shared" si="8"/>
        <v>13.768755833327305</v>
      </c>
      <c r="J37" s="16">
        <v>17.09015604376123</v>
      </c>
      <c r="K37" s="16">
        <v>3.3070942122136131</v>
      </c>
      <c r="L37" s="16">
        <v>82.46520947541957</v>
      </c>
      <c r="N37" s="16">
        <v>6.1137790735208405E-2</v>
      </c>
      <c r="O37" s="16">
        <v>1.4370156966284631E-3</v>
      </c>
      <c r="P37" s="3">
        <f t="shared" si="9"/>
        <v>0.16604469573901753</v>
      </c>
      <c r="Q37" s="3">
        <f t="shared" si="10"/>
        <v>3.2131096453489306E-2</v>
      </c>
      <c r="R37" s="3">
        <f t="shared" si="11"/>
        <v>0.80121624292593829</v>
      </c>
      <c r="S37" s="3">
        <f t="shared" si="12"/>
        <v>5.9400311119390007E-4</v>
      </c>
      <c r="T37" s="4">
        <f t="shared" si="5"/>
        <v>0.71580394332558028</v>
      </c>
      <c r="U37" s="5">
        <f t="shared" si="6"/>
        <v>0.13851430449143659</v>
      </c>
      <c r="V37" s="14"/>
      <c r="W37" s="3">
        <f t="shared" si="2"/>
        <v>0.85431824781701682</v>
      </c>
      <c r="X37" s="3">
        <f t="shared" si="7"/>
        <v>3.8556667712428903E-2</v>
      </c>
    </row>
    <row r="38" spans="1:25" ht="15.6" x14ac:dyDescent="0.3">
      <c r="A38" s="1" t="s">
        <v>23</v>
      </c>
      <c r="B38" s="1">
        <v>60</v>
      </c>
      <c r="C38" s="12" t="str">
        <f>+'[1]Flow rate'!E2025</f>
        <v>68.0</v>
      </c>
      <c r="D38" s="1" t="s">
        <v>27</v>
      </c>
      <c r="E38" s="1" t="s">
        <v>26</v>
      </c>
      <c r="F38" s="1" t="s">
        <v>24</v>
      </c>
      <c r="G38" s="1">
        <v>-3.1</v>
      </c>
      <c r="H38" s="15">
        <v>45451.293171296296</v>
      </c>
      <c r="I38" s="2">
        <f t="shared" si="8"/>
        <v>14.144033611170016</v>
      </c>
      <c r="J38" s="16">
        <v>22.901489107508834</v>
      </c>
      <c r="K38" s="16">
        <v>3.3199007655737933</v>
      </c>
      <c r="L38" s="16">
        <v>76.729282380049739</v>
      </c>
      <c r="N38" s="16">
        <v>0.10084894565680093</v>
      </c>
      <c r="O38" s="16">
        <v>1.2523426267830318E-3</v>
      </c>
      <c r="P38" s="3">
        <f t="shared" si="9"/>
        <v>0.22223069132928225</v>
      </c>
      <c r="Q38" s="3">
        <f t="shared" si="10"/>
        <v>3.2215540169227522E-2</v>
      </c>
      <c r="R38" s="3">
        <f t="shared" si="11"/>
        <v>0.74456300149178367</v>
      </c>
      <c r="S38" s="3">
        <f t="shared" si="12"/>
        <v>9.7861456990549285E-4</v>
      </c>
      <c r="T38" s="4">
        <f t="shared" si="5"/>
        <v>0.64518391132244546</v>
      </c>
      <c r="U38" s="5">
        <f t="shared" si="6"/>
        <v>9.352870248218878E-2</v>
      </c>
      <c r="V38" s="14"/>
      <c r="W38" s="3">
        <f t="shared" si="2"/>
        <v>0.73871261380463427</v>
      </c>
      <c r="X38" s="3">
        <f t="shared" si="7"/>
        <v>4.1473262250962768E-2</v>
      </c>
      <c r="Y38">
        <f t="shared" ref="Y38" si="30">+SUM(K38:L38)</f>
        <v>80.04918314562353</v>
      </c>
    </row>
    <row r="39" spans="1:25" ht="15.6" x14ac:dyDescent="0.3">
      <c r="A39" s="1" t="s">
        <v>23</v>
      </c>
      <c r="B39" s="1">
        <v>60</v>
      </c>
      <c r="C39" s="12" t="str">
        <f>+'[1]Flow rate'!E2026</f>
        <v>68.0</v>
      </c>
      <c r="D39" s="1" t="s">
        <v>27</v>
      </c>
      <c r="E39" s="1" t="s">
        <v>26</v>
      </c>
      <c r="F39" s="1" t="s">
        <v>24</v>
      </c>
      <c r="G39" s="1">
        <v>-3.1</v>
      </c>
      <c r="H39" s="15">
        <v>45451.308796296296</v>
      </c>
      <c r="I39" s="2">
        <f t="shared" si="8"/>
        <v>14.519033611170016</v>
      </c>
      <c r="J39" s="16">
        <v>24.260004614170573</v>
      </c>
      <c r="K39" s="16">
        <v>3.2810439867187591</v>
      </c>
      <c r="L39" s="16">
        <v>75.343060096400862</v>
      </c>
      <c r="N39" s="16">
        <v>0.10397797724428315</v>
      </c>
      <c r="O39" s="16">
        <v>0.15102777695441161</v>
      </c>
      <c r="P39" s="3">
        <f t="shared" si="9"/>
        <v>0.23521633614162141</v>
      </c>
      <c r="Q39" s="3">
        <f t="shared" si="10"/>
        <v>3.181183011089344E-2</v>
      </c>
      <c r="R39" s="3">
        <f t="shared" si="11"/>
        <v>0.73049938907356238</v>
      </c>
      <c r="S39" s="3">
        <f t="shared" si="12"/>
        <v>1.0081333138960468E-3</v>
      </c>
      <c r="T39" s="4">
        <f t="shared" si="5"/>
        <v>0.68288405553274711</v>
      </c>
      <c r="U39" s="5">
        <f t="shared" si="6"/>
        <v>9.2356644595322626E-2</v>
      </c>
      <c r="V39" s="14"/>
      <c r="W39" s="3">
        <f t="shared" si="2"/>
        <v>0.77524070012806978</v>
      </c>
      <c r="X39" s="3">
        <f t="shared" si="7"/>
        <v>4.1730764693358083E-2</v>
      </c>
    </row>
    <row r="40" spans="1:25" ht="15.6" x14ac:dyDescent="0.3">
      <c r="A40" s="1" t="s">
        <v>23</v>
      </c>
      <c r="B40" s="1">
        <v>60</v>
      </c>
      <c r="C40" s="12" t="str">
        <f>+'[1]Flow rate'!E2027</f>
        <v>70.4</v>
      </c>
      <c r="D40" s="1" t="s">
        <v>27</v>
      </c>
      <c r="E40" s="1" t="s">
        <v>26</v>
      </c>
      <c r="F40" s="1" t="s">
        <v>24</v>
      </c>
      <c r="G40" s="1">
        <v>-3.1</v>
      </c>
      <c r="H40" s="15">
        <v>45451.324432870373</v>
      </c>
      <c r="I40" s="2">
        <f t="shared" si="8"/>
        <v>14.894311389012728</v>
      </c>
      <c r="J40" s="16">
        <v>24.15514340644927</v>
      </c>
      <c r="K40" s="16">
        <v>3.3559188813052705</v>
      </c>
      <c r="L40" s="16">
        <v>75.311105922464975</v>
      </c>
      <c r="N40" s="16">
        <v>0.10500045137881329</v>
      </c>
      <c r="O40" s="16">
        <v>1.0775967530534669E-3</v>
      </c>
      <c r="P40" s="3">
        <f t="shared" si="9"/>
        <v>0.23467944208258937</v>
      </c>
      <c r="Q40" s="3">
        <f t="shared" si="10"/>
        <v>3.2604450219445746E-2</v>
      </c>
      <c r="R40" s="3">
        <f t="shared" si="11"/>
        <v>0.73168550577878322</v>
      </c>
      <c r="S40" s="3">
        <f t="shared" si="12"/>
        <v>1.0201325214000115E-3</v>
      </c>
      <c r="T40" s="4">
        <f t="shared" si="5"/>
        <v>0.70537211214719242</v>
      </c>
      <c r="U40" s="5">
        <f t="shared" si="6"/>
        <v>9.799865600752021E-2</v>
      </c>
      <c r="V40" s="14"/>
      <c r="W40" s="3">
        <f t="shared" si="2"/>
        <v>0.80337076815471264</v>
      </c>
      <c r="X40" s="3">
        <f t="shared" si="7"/>
        <v>4.265979156675101E-2</v>
      </c>
      <c r="Y40">
        <f t="shared" ref="Y40" si="31">+SUM(K40:L40)</f>
        <v>78.667024803770246</v>
      </c>
    </row>
    <row r="41" spans="1:25" ht="15.6" x14ac:dyDescent="0.3">
      <c r="A41" s="1" t="s">
        <v>23</v>
      </c>
      <c r="B41" s="1">
        <v>60</v>
      </c>
      <c r="C41" s="12" t="str">
        <f>+'[1]Flow rate'!E2028</f>
        <v>68.3</v>
      </c>
      <c r="D41" s="1" t="s">
        <v>27</v>
      </c>
      <c r="E41" s="1" t="s">
        <v>26</v>
      </c>
      <c r="F41" s="1" t="s">
        <v>24</v>
      </c>
      <c r="G41" s="1">
        <v>-3.1</v>
      </c>
      <c r="H41" s="15">
        <v>45451.340057870373</v>
      </c>
      <c r="I41" s="2">
        <f t="shared" si="8"/>
        <v>15.269311389012728</v>
      </c>
      <c r="J41" s="16">
        <v>24.411033033977883</v>
      </c>
      <c r="K41" s="16">
        <v>3.4075547778792572</v>
      </c>
      <c r="L41" s="16">
        <v>74.898683643078485</v>
      </c>
      <c r="N41" s="16">
        <v>8.3115509685216388E-2</v>
      </c>
      <c r="O41" s="16">
        <v>1.0504806347484408E-3</v>
      </c>
      <c r="P41" s="3">
        <f t="shared" si="9"/>
        <v>0.2374580904763845</v>
      </c>
      <c r="Q41" s="3">
        <f t="shared" si="10"/>
        <v>3.3146956526691251E-2</v>
      </c>
      <c r="R41" s="3">
        <f t="shared" si="11"/>
        <v>0.72857622913068665</v>
      </c>
      <c r="S41" s="3">
        <f t="shared" si="12"/>
        <v>8.0850532590536525E-4</v>
      </c>
      <c r="T41" s="4">
        <f t="shared" si="5"/>
        <v>0.6924337915888461</v>
      </c>
      <c r="U41" s="5">
        <f t="shared" si="6"/>
        <v>9.6657362742879824E-2</v>
      </c>
      <c r="V41" s="14"/>
      <c r="W41" s="3">
        <f t="shared" si="2"/>
        <v>0.78909115433172594</v>
      </c>
      <c r="X41" s="3">
        <f t="shared" si="7"/>
        <v>4.3515751063931393E-2</v>
      </c>
    </row>
    <row r="42" spans="1:25" ht="15.6" x14ac:dyDescent="0.3">
      <c r="A42" s="1" t="s">
        <v>23</v>
      </c>
      <c r="B42" s="1">
        <v>60</v>
      </c>
      <c r="C42" s="12" t="str">
        <f>+'[1]Flow rate'!E2029</f>
        <v>68.3</v>
      </c>
      <c r="D42" s="1" t="s">
        <v>27</v>
      </c>
      <c r="E42" s="1" t="s">
        <v>26</v>
      </c>
      <c r="F42" s="1" t="s">
        <v>24</v>
      </c>
      <c r="G42" s="1">
        <v>-3.1</v>
      </c>
      <c r="H42" s="15">
        <v>45451.355682870373</v>
      </c>
      <c r="I42" s="2">
        <f t="shared" si="8"/>
        <v>15.644311389012728</v>
      </c>
      <c r="J42" s="16">
        <v>24.54245293133647</v>
      </c>
      <c r="K42" s="16">
        <v>3.3214694783109313</v>
      </c>
      <c r="L42" s="16">
        <v>74.831247669906958</v>
      </c>
      <c r="N42" s="16">
        <v>8.3906108069142546E-2</v>
      </c>
      <c r="O42" s="16">
        <v>0.1461873363236692</v>
      </c>
      <c r="P42" s="3">
        <f t="shared" si="9"/>
        <v>0.23844926008497697</v>
      </c>
      <c r="Q42" s="3">
        <f t="shared" si="10"/>
        <v>3.227069200107649E-2</v>
      </c>
      <c r="R42" s="3">
        <f t="shared" si="11"/>
        <v>0.72704450887800065</v>
      </c>
      <c r="S42" s="3">
        <f t="shared" si="12"/>
        <v>8.1521392509838447E-4</v>
      </c>
      <c r="T42" s="4">
        <f t="shared" si="5"/>
        <v>0.6953240672109926</v>
      </c>
      <c r="U42" s="5">
        <f t="shared" si="6"/>
        <v>9.4102153245957762E-2</v>
      </c>
      <c r="V42" s="14"/>
      <c r="W42" s="3">
        <f t="shared" si="2"/>
        <v>0.78942622045695032</v>
      </c>
      <c r="X42" s="3">
        <f t="shared" si="7"/>
        <v>4.2499731289082514E-2</v>
      </c>
      <c r="Y42">
        <f t="shared" ref="Y42" si="32">+SUM(K42:L42)</f>
        <v>78.152717148217889</v>
      </c>
    </row>
    <row r="43" spans="1:25" ht="15.6" x14ac:dyDescent="0.3">
      <c r="A43" s="1" t="s">
        <v>23</v>
      </c>
      <c r="B43" s="1">
        <v>60</v>
      </c>
      <c r="C43" s="12" t="str">
        <f>+'[1]Flow rate'!E2030</f>
        <v>68.4</v>
      </c>
      <c r="D43" s="1" t="s">
        <v>27</v>
      </c>
      <c r="E43" s="1" t="s">
        <v>26</v>
      </c>
      <c r="F43" s="1" t="s">
        <v>24</v>
      </c>
      <c r="G43" s="1">
        <v>-0.5</v>
      </c>
      <c r="H43" s="15">
        <v>45451.378622685188</v>
      </c>
      <c r="I43" s="2">
        <f t="shared" si="8"/>
        <v>16.194866944570094</v>
      </c>
      <c r="J43" s="16">
        <v>17.205555278017567</v>
      </c>
      <c r="K43" s="16">
        <v>0.3909575507221778</v>
      </c>
      <c r="L43" s="16">
        <v>85.106775461159486</v>
      </c>
      <c r="N43" s="16">
        <v>6.1475162421371514E-2</v>
      </c>
      <c r="O43" s="16">
        <v>1.5393350823147967E-3</v>
      </c>
      <c r="P43" s="3">
        <f t="shared" si="9"/>
        <v>0.16742409536335506</v>
      </c>
      <c r="Q43" s="3">
        <f t="shared" si="10"/>
        <v>3.8043360529469326E-3</v>
      </c>
      <c r="R43" s="3">
        <f t="shared" si="11"/>
        <v>0.8281583860929933</v>
      </c>
      <c r="S43" s="3">
        <f t="shared" si="12"/>
        <v>5.9820350400799989E-4</v>
      </c>
      <c r="T43" s="4">
        <f t="shared" si="5"/>
        <v>3.031351733150943</v>
      </c>
      <c r="U43" s="5">
        <f t="shared" si="6"/>
        <v>6.8880651035092458E-2</v>
      </c>
      <c r="V43" s="14"/>
      <c r="W43" s="3">
        <f t="shared" si="2"/>
        <v>3.1002323841860355</v>
      </c>
      <c r="X43" s="3">
        <f t="shared" si="7"/>
        <v>4.5727241758310271E-3</v>
      </c>
    </row>
    <row r="44" spans="1:25" ht="15.6" x14ac:dyDescent="0.3">
      <c r="A44" s="1" t="s">
        <v>23</v>
      </c>
      <c r="B44" s="1">
        <v>60</v>
      </c>
      <c r="C44" s="12" t="str">
        <f>+'[1]Flow rate'!E2031</f>
        <v>69.4</v>
      </c>
      <c r="D44" s="1" t="s">
        <v>27</v>
      </c>
      <c r="E44" s="1" t="s">
        <v>26</v>
      </c>
      <c r="F44" s="1" t="s">
        <v>24</v>
      </c>
      <c r="G44" s="1">
        <v>-0.5</v>
      </c>
      <c r="H44" s="15">
        <v>45451.394247685188</v>
      </c>
      <c r="I44" s="2">
        <f t="shared" si="8"/>
        <v>16.569866944570094</v>
      </c>
      <c r="J44" s="16">
        <v>16.104780800815973</v>
      </c>
      <c r="K44" s="16">
        <v>8.0529498063299149E-2</v>
      </c>
      <c r="L44" s="16">
        <v>86.457274121067528</v>
      </c>
      <c r="N44" s="16">
        <v>5.5541123061583778E-2</v>
      </c>
      <c r="O44" s="16">
        <v>8.9240758849745694E-4</v>
      </c>
      <c r="P44" s="3">
        <f t="shared" si="9"/>
        <v>0.1568153339943634</v>
      </c>
      <c r="Q44" s="3">
        <f t="shared" si="10"/>
        <v>7.8413114039744441E-4</v>
      </c>
      <c r="R44" s="3">
        <f t="shared" si="11"/>
        <v>0.84185103077283163</v>
      </c>
      <c r="S44" s="3">
        <f t="shared" si="12"/>
        <v>5.4081454886259679E-4</v>
      </c>
      <c r="T44" s="4">
        <f t="shared" si="5"/>
        <v>2.8807811482330949</v>
      </c>
      <c r="U44" s="5">
        <f t="shared" si="6"/>
        <v>1.4404906391875369E-2</v>
      </c>
      <c r="V44" s="14"/>
      <c r="W44" s="3">
        <f t="shared" si="2"/>
        <v>2.8951860546249701</v>
      </c>
      <c r="X44" s="3">
        <f t="shared" si="7"/>
        <v>9.3057016350593593E-4</v>
      </c>
      <c r="Y44">
        <f t="shared" ref="Y44" si="33">+SUM(K44:L44)</f>
        <v>86.537803619130827</v>
      </c>
    </row>
    <row r="45" spans="1:25" ht="15.6" x14ac:dyDescent="0.3">
      <c r="A45" s="1" t="s">
        <v>23</v>
      </c>
      <c r="B45" s="1">
        <v>60</v>
      </c>
      <c r="C45" s="12" t="str">
        <f>+'[1]Flow rate'!E2032</f>
        <v>69.4</v>
      </c>
      <c r="D45" s="1" t="s">
        <v>27</v>
      </c>
      <c r="E45" s="1" t="s">
        <v>26</v>
      </c>
      <c r="F45" s="1" t="s">
        <v>24</v>
      </c>
      <c r="G45" s="1">
        <v>-0.5</v>
      </c>
      <c r="H45" s="15">
        <v>45451.409884259258</v>
      </c>
      <c r="I45" s="2">
        <f t="shared" si="8"/>
        <v>16.945144722238183</v>
      </c>
      <c r="J45" s="16">
        <v>15.856911264278599</v>
      </c>
      <c r="K45" s="16">
        <v>0.12272888059285703</v>
      </c>
      <c r="L45" s="16">
        <v>86.607747926876144</v>
      </c>
      <c r="N45" s="16">
        <v>5.437255379190177E-2</v>
      </c>
      <c r="O45" s="16">
        <v>1.201546730429548E-3</v>
      </c>
      <c r="P45" s="3">
        <f t="shared" si="9"/>
        <v>0.154486103369321</v>
      </c>
      <c r="Q45" s="3">
        <f t="shared" si="10"/>
        <v>1.1956872443614406E-3</v>
      </c>
      <c r="R45" s="3">
        <f t="shared" si="11"/>
        <v>0.8437767782024721</v>
      </c>
      <c r="S45" s="3">
        <f t="shared" si="12"/>
        <v>5.2972510380834548E-4</v>
      </c>
      <c r="T45" s="4">
        <f t="shared" si="5"/>
        <v>2.8379919419508153</v>
      </c>
      <c r="U45" s="5">
        <f t="shared" si="6"/>
        <v>2.1965411066643688E-2</v>
      </c>
      <c r="V45" s="14"/>
      <c r="W45" s="3">
        <f t="shared" si="2"/>
        <v>2.8599573530174589</v>
      </c>
      <c r="X45" s="3">
        <f t="shared" si="7"/>
        <v>1.4150606005003299E-3</v>
      </c>
    </row>
    <row r="46" spans="1:25" ht="15.6" x14ac:dyDescent="0.3">
      <c r="A46" s="1" t="s">
        <v>23</v>
      </c>
      <c r="B46" s="1">
        <v>60</v>
      </c>
      <c r="C46" s="12" t="str">
        <f>+'[1]Flow rate'!E2033</f>
        <v>69.2</v>
      </c>
      <c r="D46" s="1" t="s">
        <v>27</v>
      </c>
      <c r="E46" s="1" t="s">
        <v>26</v>
      </c>
      <c r="F46" s="1" t="s">
        <v>24</v>
      </c>
      <c r="G46" s="1">
        <v>-0.5</v>
      </c>
      <c r="H46" s="15">
        <v>45451.425509259258</v>
      </c>
      <c r="I46" s="2">
        <f t="shared" si="8"/>
        <v>17.320144722238183</v>
      </c>
      <c r="J46" s="16">
        <v>15.751091462663796</v>
      </c>
      <c r="K46" s="16">
        <v>0.15437378877754626</v>
      </c>
      <c r="L46" s="16">
        <v>86.661233666133299</v>
      </c>
      <c r="N46" s="16">
        <v>5.399933124806721E-2</v>
      </c>
      <c r="O46" s="16">
        <v>1.2812707600549644E-3</v>
      </c>
      <c r="P46" s="3">
        <f t="shared" si="9"/>
        <v>0.15348652926401701</v>
      </c>
      <c r="Q46" s="3">
        <f t="shared" si="10"/>
        <v>1.5042955661178606E-3</v>
      </c>
      <c r="R46" s="3">
        <f t="shared" si="11"/>
        <v>0.84447049327864732</v>
      </c>
      <c r="S46" s="3">
        <f t="shared" si="12"/>
        <v>5.2619654679105876E-4</v>
      </c>
      <c r="T46" s="4">
        <f t="shared" si="5"/>
        <v>2.8115035009653688</v>
      </c>
      <c r="U46" s="5">
        <f t="shared" si="6"/>
        <v>2.7555071255484825E-2</v>
      </c>
      <c r="V46" s="14"/>
      <c r="W46" s="3">
        <f t="shared" si="2"/>
        <v>2.8390585722208534</v>
      </c>
      <c r="X46" s="3">
        <f t="shared" si="7"/>
        <v>1.7781801372261652E-3</v>
      </c>
      <c r="Y46">
        <f t="shared" ref="Y46" si="34">+SUM(K46:L46)</f>
        <v>86.815607454910847</v>
      </c>
    </row>
    <row r="47" spans="1:25" ht="15.6" x14ac:dyDescent="0.3">
      <c r="A47" s="1" t="s">
        <v>23</v>
      </c>
      <c r="B47" s="1">
        <v>60</v>
      </c>
      <c r="C47" s="12" t="str">
        <f>+'[1]Flow rate'!E2034</f>
        <v>68.9</v>
      </c>
      <c r="D47" s="1" t="s">
        <v>27</v>
      </c>
      <c r="E47" s="1" t="s">
        <v>26</v>
      </c>
      <c r="F47" s="1" t="s">
        <v>24</v>
      </c>
      <c r="G47" s="1">
        <v>-0.5</v>
      </c>
      <c r="H47" s="15">
        <v>45451.441134259258</v>
      </c>
      <c r="I47" s="2">
        <f t="shared" si="8"/>
        <v>17.695144722238183</v>
      </c>
      <c r="J47" s="16">
        <v>15.691732379259241</v>
      </c>
      <c r="K47" s="16">
        <v>0.19367576561430672</v>
      </c>
      <c r="L47" s="16">
        <v>86.763895653791053</v>
      </c>
      <c r="N47" s="16">
        <v>5.397050225473516E-2</v>
      </c>
      <c r="O47" s="16">
        <v>1.0890404522743147E-3</v>
      </c>
      <c r="P47" s="3">
        <f t="shared" si="9"/>
        <v>0.1527854500894244</v>
      </c>
      <c r="Q47" s="3">
        <f t="shared" si="10"/>
        <v>1.8857598578413057E-3</v>
      </c>
      <c r="R47" s="3">
        <f t="shared" si="11"/>
        <v>0.844792692647369</v>
      </c>
      <c r="S47" s="3">
        <f t="shared" si="12"/>
        <v>5.2549376188961426E-4</v>
      </c>
      <c r="T47" s="4">
        <f t="shared" si="5"/>
        <v>2.7865284940038464</v>
      </c>
      <c r="U47" s="5">
        <f t="shared" si="6"/>
        <v>3.439282715499338E-2</v>
      </c>
      <c r="V47" s="14"/>
      <c r="W47" s="3">
        <f t="shared" si="2"/>
        <v>2.8209213211588398</v>
      </c>
      <c r="X47" s="3">
        <f t="shared" si="7"/>
        <v>2.2272444187773884E-3</v>
      </c>
    </row>
    <row r="48" spans="1:25" ht="15.6" x14ac:dyDescent="0.3">
      <c r="A48" s="1" t="s">
        <v>23</v>
      </c>
      <c r="B48" s="1">
        <v>60</v>
      </c>
      <c r="C48" s="12" t="str">
        <f>+'[1]Flow rate'!E2035</f>
        <v>68.9</v>
      </c>
      <c r="D48" s="1" t="s">
        <v>27</v>
      </c>
      <c r="E48" s="1" t="s">
        <v>26</v>
      </c>
      <c r="F48" s="1" t="s">
        <v>24</v>
      </c>
      <c r="G48" s="1">
        <v>-0.5</v>
      </c>
      <c r="H48" s="15">
        <v>45451.456759259258</v>
      </c>
      <c r="I48" s="2">
        <f t="shared" si="8"/>
        <v>18.070144722238183</v>
      </c>
      <c r="J48" s="16">
        <v>15.625938571687321</v>
      </c>
      <c r="K48" s="16">
        <v>0.24835920648211129</v>
      </c>
      <c r="L48" s="16">
        <v>86.785446414449098</v>
      </c>
      <c r="N48" s="16">
        <v>5.4171482576443095E-2</v>
      </c>
      <c r="O48" s="16">
        <v>9.9341447717421483E-4</v>
      </c>
      <c r="P48" s="3">
        <f t="shared" si="9"/>
        <v>0.15212921580883224</v>
      </c>
      <c r="Q48" s="3">
        <f t="shared" si="10"/>
        <v>2.4179470018835217E-3</v>
      </c>
      <c r="R48" s="3">
        <f t="shared" si="11"/>
        <v>0.84491576912835187</v>
      </c>
      <c r="S48" s="3">
        <f t="shared" si="12"/>
        <v>5.2739649050509614E-4</v>
      </c>
      <c r="T48" s="4">
        <f t="shared" si="5"/>
        <v>2.774559975270277</v>
      </c>
      <c r="U48" s="5">
        <f t="shared" si="6"/>
        <v>4.409895192111607E-2</v>
      </c>
      <c r="V48" s="14"/>
      <c r="W48" s="3">
        <f t="shared" si="2"/>
        <v>2.8186589271913931</v>
      </c>
      <c r="X48" s="3">
        <f t="shared" si="7"/>
        <v>2.853594700475583E-3</v>
      </c>
      <c r="Y48">
        <f t="shared" ref="Y48" si="35">+SUM(K48:L48)</f>
        <v>87.033805620931204</v>
      </c>
    </row>
    <row r="49" spans="1:25" ht="15.6" x14ac:dyDescent="0.3">
      <c r="A49" s="1" t="s">
        <v>23</v>
      </c>
      <c r="B49" s="1">
        <v>60</v>
      </c>
      <c r="C49" s="12" t="str">
        <f>+'[1]Flow rate'!E2036</f>
        <v>67.9</v>
      </c>
      <c r="D49" s="1" t="s">
        <v>27</v>
      </c>
      <c r="E49" s="1" t="s">
        <v>26</v>
      </c>
      <c r="F49" s="1" t="s">
        <v>24</v>
      </c>
      <c r="G49" s="1">
        <v>-0.5</v>
      </c>
      <c r="H49" s="15">
        <v>45451.472384259258</v>
      </c>
      <c r="I49" s="2">
        <f t="shared" si="8"/>
        <v>18.445144722238183</v>
      </c>
      <c r="J49" s="16">
        <v>15.584713973816829</v>
      </c>
      <c r="K49" s="16">
        <v>0.33092062516371434</v>
      </c>
      <c r="L49" s="16">
        <v>86.781646472530383</v>
      </c>
      <c r="N49" s="16">
        <v>5.3572267268832754E-2</v>
      </c>
      <c r="O49" s="16">
        <v>1.2754167582955667E-3</v>
      </c>
      <c r="P49" s="3">
        <f t="shared" si="9"/>
        <v>0.15167290607569875</v>
      </c>
      <c r="Q49" s="3">
        <f t="shared" si="10"/>
        <v>3.2205719645090921E-3</v>
      </c>
      <c r="R49" s="3">
        <f t="shared" si="11"/>
        <v>0.84457273560722312</v>
      </c>
      <c r="S49" s="3">
        <f t="shared" si="12"/>
        <v>5.2137379456428394E-4</v>
      </c>
      <c r="T49" s="4">
        <f t="shared" si="5"/>
        <v>2.7260891283134892</v>
      </c>
      <c r="U49" s="5">
        <f t="shared" si="6"/>
        <v>5.7884868474911658E-2</v>
      </c>
      <c r="V49" s="14"/>
      <c r="W49" s="3">
        <f t="shared" si="2"/>
        <v>2.7839739967884007</v>
      </c>
      <c r="X49" s="3">
        <f t="shared" si="7"/>
        <v>3.798770214090889E-3</v>
      </c>
    </row>
    <row r="50" spans="1:25" ht="15.6" x14ac:dyDescent="0.3">
      <c r="A50" s="1" t="s">
        <v>23</v>
      </c>
      <c r="B50" s="1">
        <v>60</v>
      </c>
      <c r="C50" s="12" t="str">
        <f>+'[1]Flow rate'!E2037</f>
        <v>68.8</v>
      </c>
      <c r="D50" s="1" t="s">
        <v>27</v>
      </c>
      <c r="E50" s="1" t="s">
        <v>26</v>
      </c>
      <c r="F50" s="1" t="s">
        <v>24</v>
      </c>
      <c r="G50" s="1">
        <v>-0.5</v>
      </c>
      <c r="H50" s="15">
        <v>45451.488020833334</v>
      </c>
      <c r="I50" s="2">
        <f t="shared" si="8"/>
        <v>18.820422500080895</v>
      </c>
      <c r="J50" s="16">
        <v>15.516794054147807</v>
      </c>
      <c r="K50" s="16">
        <v>0.44665594199823894</v>
      </c>
      <c r="L50" s="16">
        <v>86.750588234047072</v>
      </c>
      <c r="N50" s="16">
        <v>5.354050527585083E-2</v>
      </c>
      <c r="O50" s="16">
        <v>1.1630998287471273E-3</v>
      </c>
      <c r="P50" s="3">
        <f t="shared" si="9"/>
        <v>0.1509874868276172</v>
      </c>
      <c r="Q50" s="3">
        <f t="shared" si="10"/>
        <v>4.346223705979313E-3</v>
      </c>
      <c r="R50" s="3">
        <f t="shared" si="11"/>
        <v>0.84413399137529455</v>
      </c>
      <c r="S50" s="3">
        <f t="shared" si="12"/>
        <v>5.2098044911027034E-4</v>
      </c>
      <c r="T50" s="4">
        <f t="shared" si="5"/>
        <v>2.7497402015350065</v>
      </c>
      <c r="U50" s="5">
        <f t="shared" si="6"/>
        <v>7.9152162210900642E-2</v>
      </c>
      <c r="V50" s="14"/>
      <c r="W50" s="3">
        <f t="shared" si="2"/>
        <v>2.8288923637459074</v>
      </c>
      <c r="X50" s="3">
        <f t="shared" si="7"/>
        <v>5.122363054232206E-3</v>
      </c>
      <c r="Y50">
        <f t="shared" ref="Y50" si="36">+SUM(K50:L50)</f>
        <v>87.197244176045317</v>
      </c>
    </row>
    <row r="51" spans="1:25" ht="15.6" x14ac:dyDescent="0.3">
      <c r="A51" s="1" t="s">
        <v>23</v>
      </c>
      <c r="B51" s="1">
        <v>60</v>
      </c>
      <c r="C51" s="12" t="str">
        <f>+'[1]Flow rate'!E2038</f>
        <v>69.1</v>
      </c>
      <c r="D51" s="1" t="s">
        <v>27</v>
      </c>
      <c r="E51" s="1" t="s">
        <v>26</v>
      </c>
      <c r="F51" s="1" t="s">
        <v>24</v>
      </c>
      <c r="G51" s="1">
        <v>-0.5</v>
      </c>
      <c r="H51" s="15">
        <v>45451.503657407404</v>
      </c>
      <c r="I51" s="2">
        <f t="shared" si="8"/>
        <v>19.195700277748983</v>
      </c>
      <c r="J51" s="16">
        <v>15.339094168951066</v>
      </c>
      <c r="K51" s="16">
        <v>0.64306550935892237</v>
      </c>
      <c r="L51" s="16">
        <v>86.728416885397777</v>
      </c>
      <c r="N51" s="16">
        <v>5.3702499135032417E-2</v>
      </c>
      <c r="O51" s="16">
        <v>1.1467467931659536E-3</v>
      </c>
      <c r="P51" s="3">
        <f t="shared" si="9"/>
        <v>0.14926317920742535</v>
      </c>
      <c r="Q51" s="3">
        <f t="shared" si="10"/>
        <v>6.2576056518283251E-3</v>
      </c>
      <c r="R51" s="3">
        <f t="shared" si="11"/>
        <v>0.84394548265731562</v>
      </c>
      <c r="S51" s="3">
        <f t="shared" si="12"/>
        <v>5.2257360597630996E-4</v>
      </c>
      <c r="T51" s="4">
        <f t="shared" si="5"/>
        <v>2.7301908289348278</v>
      </c>
      <c r="U51" s="5">
        <f t="shared" si="6"/>
        <v>0.11445862035385714</v>
      </c>
      <c r="V51" s="14"/>
      <c r="W51" s="3">
        <f t="shared" si="2"/>
        <v>2.8446494492886849</v>
      </c>
      <c r="X51" s="3">
        <f t="shared" si="7"/>
        <v>7.3601304651495043E-3</v>
      </c>
    </row>
    <row r="52" spans="1:25" ht="15.6" x14ac:dyDescent="0.3">
      <c r="A52" s="1" t="s">
        <v>23</v>
      </c>
      <c r="B52" s="1">
        <v>60</v>
      </c>
      <c r="C52" s="12" t="str">
        <f>+'[1]Flow rate'!E2039</f>
        <v>69.1</v>
      </c>
      <c r="D52" s="1" t="s">
        <v>27</v>
      </c>
      <c r="E52" s="1" t="s">
        <v>26</v>
      </c>
      <c r="F52" s="1" t="s">
        <v>24</v>
      </c>
      <c r="G52" s="1">
        <v>-0.5</v>
      </c>
      <c r="H52" s="15">
        <v>45451.519293981481</v>
      </c>
      <c r="I52" s="2">
        <f t="shared" si="8"/>
        <v>19.570978055591695</v>
      </c>
      <c r="J52" s="16">
        <v>15.219564884232078</v>
      </c>
      <c r="K52" s="16">
        <v>0.85473585759265913</v>
      </c>
      <c r="L52" s="16">
        <v>86.797711224325397</v>
      </c>
      <c r="N52" s="16">
        <v>5.2449499417922402E-2</v>
      </c>
      <c r="O52" s="16">
        <v>0.14898135613270552</v>
      </c>
      <c r="P52" s="3">
        <f t="shared" si="9"/>
        <v>0.14765748060399317</v>
      </c>
      <c r="Q52" s="3">
        <f t="shared" si="10"/>
        <v>8.2924935288249228E-3</v>
      </c>
      <c r="R52" s="3">
        <f t="shared" si="11"/>
        <v>0.8420957799427583</v>
      </c>
      <c r="S52" s="3">
        <f t="shared" si="12"/>
        <v>5.0885560802166059E-4</v>
      </c>
      <c r="T52" s="4">
        <f t="shared" si="5"/>
        <v>2.7008208019502629</v>
      </c>
      <c r="U52" s="5">
        <f t="shared" si="6"/>
        <v>0.15167900015004462</v>
      </c>
      <c r="V52" s="14"/>
      <c r="W52" s="3">
        <f t="shared" si="2"/>
        <v>2.8524998021003074</v>
      </c>
      <c r="X52" s="3">
        <f t="shared" si="7"/>
        <v>9.751420365866589E-3</v>
      </c>
      <c r="Y52">
        <f t="shared" ref="Y52" si="37">+SUM(K52:L52)</f>
        <v>87.652447081918055</v>
      </c>
    </row>
    <row r="53" spans="1:25" ht="15.6" x14ac:dyDescent="0.3">
      <c r="A53" s="1" t="s">
        <v>23</v>
      </c>
      <c r="B53" s="1">
        <v>60</v>
      </c>
      <c r="C53" s="12" t="str">
        <f>+'[1]Flow rate'!E2040</f>
        <v>68.1</v>
      </c>
      <c r="D53" s="1" t="s">
        <v>27</v>
      </c>
      <c r="E53" s="1" t="s">
        <v>26</v>
      </c>
      <c r="F53" s="1" t="s">
        <v>24</v>
      </c>
      <c r="G53" s="1">
        <v>-0.5</v>
      </c>
      <c r="H53" s="15">
        <v>45451.534930555557</v>
      </c>
      <c r="I53" s="2">
        <f t="shared" si="8"/>
        <v>19.946255833434407</v>
      </c>
      <c r="J53" s="16">
        <v>15.030265000834023</v>
      </c>
      <c r="K53" s="16">
        <v>1.0249103875931107</v>
      </c>
      <c r="L53" s="16">
        <v>86.736269247611432</v>
      </c>
      <c r="N53" s="16">
        <v>5.3219934258370682E-2</v>
      </c>
      <c r="O53" s="16">
        <v>1.3144379174209742E-3</v>
      </c>
      <c r="P53" s="3">
        <f t="shared" si="9"/>
        <v>0.14614343842877464</v>
      </c>
      <c r="Q53" s="3">
        <f t="shared" si="10"/>
        <v>9.9654881744210017E-3</v>
      </c>
      <c r="R53" s="3">
        <f t="shared" si="11"/>
        <v>0.84336082055948713</v>
      </c>
      <c r="S53" s="3">
        <f t="shared" si="12"/>
        <v>5.1747219260871624E-4</v>
      </c>
      <c r="T53" s="4">
        <f t="shared" si="5"/>
        <v>2.6344423638631058</v>
      </c>
      <c r="U53" s="5">
        <f t="shared" si="6"/>
        <v>0.17964203186629243</v>
      </c>
      <c r="V53" s="14"/>
      <c r="W53" s="3">
        <f t="shared" si="2"/>
        <v>2.8140843957293984</v>
      </c>
      <c r="X53" s="3">
        <f t="shared" si="7"/>
        <v>1.1678402590454447E-2</v>
      </c>
    </row>
    <row r="54" spans="1:25" ht="15.6" x14ac:dyDescent="0.3">
      <c r="A54" s="1" t="s">
        <v>23</v>
      </c>
      <c r="B54" s="1">
        <v>60</v>
      </c>
      <c r="C54" s="12" t="str">
        <f>+'[1]Flow rate'!E2041</f>
        <v>69.9</v>
      </c>
      <c r="D54" s="1" t="s">
        <v>27</v>
      </c>
      <c r="E54" s="1" t="s">
        <v>26</v>
      </c>
      <c r="F54" s="1" t="s">
        <v>24</v>
      </c>
      <c r="G54" s="1">
        <v>-0.5</v>
      </c>
      <c r="H54" s="15">
        <v>45451.550555555557</v>
      </c>
      <c r="I54" s="2">
        <f t="shared" si="8"/>
        <v>20.321255833434407</v>
      </c>
      <c r="J54" s="16">
        <v>14.807537950738325</v>
      </c>
      <c r="K54" s="16">
        <v>1.2406329632030628</v>
      </c>
      <c r="L54" s="16">
        <v>86.647482641239392</v>
      </c>
      <c r="N54" s="16">
        <v>5.3451006971101389E-2</v>
      </c>
      <c r="O54" s="16">
        <v>1.2343023846516088E-3</v>
      </c>
      <c r="P54" s="3">
        <f t="shared" si="9"/>
        <v>0.14411181621756219</v>
      </c>
      <c r="Q54" s="3">
        <f t="shared" si="10"/>
        <v>1.2074246926218727E-2</v>
      </c>
      <c r="R54" s="3">
        <f t="shared" si="11"/>
        <v>0.84328172148875602</v>
      </c>
      <c r="S54" s="3">
        <f t="shared" si="12"/>
        <v>5.2020273180383237E-4</v>
      </c>
      <c r="T54" s="4">
        <f t="shared" si="5"/>
        <v>2.6664843299967882</v>
      </c>
      <c r="U54" s="5">
        <f t="shared" si="6"/>
        <v>0.22340839960457434</v>
      </c>
      <c r="V54" s="14"/>
      <c r="W54" s="3">
        <f t="shared" si="2"/>
        <v>2.8898927296013626</v>
      </c>
      <c r="X54" s="3">
        <f t="shared" si="7"/>
        <v>1.4116049191301046E-2</v>
      </c>
      <c r="Y54">
        <f t="shared" ref="Y54" si="38">+SUM(K54:L54)</f>
        <v>87.888115604442461</v>
      </c>
    </row>
    <row r="55" spans="1:25" ht="15.6" x14ac:dyDescent="0.3">
      <c r="A55" s="1" t="s">
        <v>23</v>
      </c>
      <c r="B55" s="1">
        <v>60</v>
      </c>
      <c r="C55" s="12" t="str">
        <f>+'[1]Flow rate'!E2042</f>
        <v>69.9</v>
      </c>
      <c r="D55" s="1" t="s">
        <v>27</v>
      </c>
      <c r="E55" s="1" t="s">
        <v>26</v>
      </c>
      <c r="F55" s="1" t="s">
        <v>24</v>
      </c>
      <c r="G55" s="1">
        <v>-0.5</v>
      </c>
      <c r="H55" s="15">
        <v>45451.566180555557</v>
      </c>
      <c r="I55" s="2">
        <f t="shared" si="8"/>
        <v>20.696255833434407</v>
      </c>
      <c r="J55" s="16">
        <v>14.697573640231088</v>
      </c>
      <c r="K55" s="16">
        <v>1.3711865559979981</v>
      </c>
      <c r="L55" s="16">
        <v>86.754990303369723</v>
      </c>
      <c r="N55" s="16">
        <v>5.4013026120084233E-2</v>
      </c>
      <c r="O55" s="16">
        <v>1.1328385163862364E-3</v>
      </c>
      <c r="P55" s="3">
        <f t="shared" si="9"/>
        <v>0.14286286264381562</v>
      </c>
      <c r="Q55" s="3">
        <f t="shared" si="10"/>
        <v>1.3328161600250953E-2</v>
      </c>
      <c r="R55" s="3">
        <f t="shared" si="11"/>
        <v>0.8432729487709506</v>
      </c>
      <c r="S55" s="3">
        <f t="shared" si="12"/>
        <v>5.2501560600781542E-4</v>
      </c>
      <c r="T55" s="4">
        <f t="shared" si="5"/>
        <v>2.6433750859341005</v>
      </c>
      <c r="U55" s="5">
        <f t="shared" si="6"/>
        <v>0.24660943833419724</v>
      </c>
      <c r="V55" s="14"/>
      <c r="W55" s="3">
        <f t="shared" si="2"/>
        <v>2.8899845242682978</v>
      </c>
      <c r="X55" s="3">
        <f t="shared" si="7"/>
        <v>1.5559355969635967E-2</v>
      </c>
    </row>
    <row r="56" spans="1:25" ht="15.6" x14ac:dyDescent="0.3">
      <c r="A56" s="1" t="s">
        <v>23</v>
      </c>
      <c r="B56" s="1">
        <v>60</v>
      </c>
      <c r="C56" s="12" t="str">
        <f>+'[1]Flow rate'!E2043</f>
        <v>68.9</v>
      </c>
      <c r="D56" s="1" t="s">
        <v>27</v>
      </c>
      <c r="E56" s="1" t="s">
        <v>26</v>
      </c>
      <c r="F56" s="1" t="s">
        <v>24</v>
      </c>
      <c r="G56" s="1">
        <v>-0.5</v>
      </c>
      <c r="H56" s="15">
        <v>45451.581817129627</v>
      </c>
      <c r="I56" s="2">
        <f t="shared" si="8"/>
        <v>21.071533611102495</v>
      </c>
      <c r="J56" s="16">
        <v>14.604754135740418</v>
      </c>
      <c r="K56" s="16">
        <v>1.4503267670513871</v>
      </c>
      <c r="L56" s="16">
        <v>86.739005088233313</v>
      </c>
      <c r="N56" s="16">
        <v>5.4095928360911719E-2</v>
      </c>
      <c r="O56" s="16">
        <v>1.3766792141240436E-3</v>
      </c>
      <c r="P56" s="3">
        <f t="shared" si="9"/>
        <v>0.14200113578260121</v>
      </c>
      <c r="Q56" s="3">
        <f t="shared" si="10"/>
        <v>1.4101438905651532E-2</v>
      </c>
      <c r="R56" s="3">
        <f t="shared" si="11"/>
        <v>0.84335806852372719</v>
      </c>
      <c r="S56" s="3">
        <f t="shared" si="12"/>
        <v>5.259714197903034E-4</v>
      </c>
      <c r="T56" s="4">
        <f t="shared" si="5"/>
        <v>2.5898422317539551</v>
      </c>
      <c r="U56" s="5">
        <f t="shared" si="6"/>
        <v>0.25718457676469736</v>
      </c>
      <c r="V56" s="14"/>
      <c r="W56" s="3">
        <f t="shared" si="2"/>
        <v>2.8470268085186525</v>
      </c>
      <c r="X56" s="3">
        <f t="shared" si="7"/>
        <v>1.6445603300763379E-2</v>
      </c>
      <c r="Y56">
        <f t="shared" ref="Y56" si="39">+SUM(K56:L56)</f>
        <v>88.189331855284706</v>
      </c>
    </row>
    <row r="57" spans="1:25" ht="15.6" x14ac:dyDescent="0.3">
      <c r="A57" s="1" t="s">
        <v>23</v>
      </c>
      <c r="B57" s="1">
        <v>60</v>
      </c>
      <c r="C57" s="12" t="str">
        <f>+'[1]Flow rate'!E2044</f>
        <v>68.4</v>
      </c>
      <c r="D57" s="1" t="s">
        <v>27</v>
      </c>
      <c r="E57" s="1" t="s">
        <v>26</v>
      </c>
      <c r="F57" s="1" t="s">
        <v>24</v>
      </c>
      <c r="G57" s="1">
        <v>-0.5</v>
      </c>
      <c r="H57" s="15">
        <v>45451.597442129627</v>
      </c>
      <c r="I57" s="2">
        <f t="shared" si="8"/>
        <v>21.446533611102495</v>
      </c>
      <c r="J57" s="16">
        <v>14.487025648448819</v>
      </c>
      <c r="K57" s="16">
        <v>1.5297504236250981</v>
      </c>
      <c r="L57" s="16">
        <v>86.737296244047357</v>
      </c>
      <c r="N57" s="16">
        <v>5.4228235027128834E-2</v>
      </c>
      <c r="O57" s="16">
        <v>1.3908929589092622E-3</v>
      </c>
      <c r="P57" s="3">
        <f t="shared" si="9"/>
        <v>0.14091108965466276</v>
      </c>
      <c r="Q57" s="3">
        <f t="shared" si="10"/>
        <v>1.4879437941478018E-2</v>
      </c>
      <c r="R57" s="3">
        <f t="shared" si="11"/>
        <v>0.84366848130462746</v>
      </c>
      <c r="S57" s="3">
        <f t="shared" si="12"/>
        <v>5.2746228750827568E-4</v>
      </c>
      <c r="T57" s="4">
        <f t="shared" si="5"/>
        <v>2.5513118342841743</v>
      </c>
      <c r="U57" s="5">
        <f t="shared" si="6"/>
        <v>0.26940453161369504</v>
      </c>
      <c r="V57" s="14"/>
      <c r="W57" s="3">
        <f t="shared" si="2"/>
        <v>2.8207163658978693</v>
      </c>
      <c r="X57" s="3">
        <f t="shared" si="7"/>
        <v>1.7330934718872433E-2</v>
      </c>
    </row>
    <row r="58" spans="1:25" ht="15.6" x14ac:dyDescent="0.3">
      <c r="A58" s="1" t="s">
        <v>23</v>
      </c>
      <c r="B58" s="1">
        <v>60</v>
      </c>
      <c r="C58" s="12" t="str">
        <f>+'[1]Flow rate'!E2045</f>
        <v>68.4</v>
      </c>
      <c r="D58" s="1" t="s">
        <v>27</v>
      </c>
      <c r="E58" s="1" t="s">
        <v>26</v>
      </c>
      <c r="F58" s="1" t="s">
        <v>24</v>
      </c>
      <c r="G58" s="1">
        <v>-0.5</v>
      </c>
      <c r="H58" s="15">
        <v>45451.613078703704</v>
      </c>
      <c r="I58" s="2">
        <f t="shared" si="8"/>
        <v>21.821811388945207</v>
      </c>
      <c r="J58" s="16">
        <v>14.446614337252685</v>
      </c>
      <c r="K58" s="16">
        <v>1.5590229062701135</v>
      </c>
      <c r="L58" s="16">
        <v>86.736925011745825</v>
      </c>
      <c r="N58" s="16">
        <v>5.421450010243771E-2</v>
      </c>
      <c r="O58" s="16">
        <v>1.2514377657502629E-3</v>
      </c>
      <c r="P58" s="3">
        <f t="shared" si="9"/>
        <v>0.14053396345414723</v>
      </c>
      <c r="Q58" s="3">
        <f t="shared" si="10"/>
        <v>1.5165883370262933E-2</v>
      </c>
      <c r="R58" s="3">
        <f t="shared" si="11"/>
        <v>0.84376059090145783</v>
      </c>
      <c r="S58" s="3">
        <f t="shared" si="12"/>
        <v>5.273885215052917E-4</v>
      </c>
      <c r="T58" s="4">
        <f t="shared" si="5"/>
        <v>2.5444836524799452</v>
      </c>
      <c r="U58" s="5">
        <f t="shared" si="6"/>
        <v>0.2745908630381883</v>
      </c>
      <c r="V58" s="14"/>
      <c r="W58" s="3">
        <f t="shared" si="2"/>
        <v>2.8190745155181336</v>
      </c>
      <c r="X58" s="3">
        <f t="shared" si="7"/>
        <v>1.7656788822491477E-2</v>
      </c>
      <c r="Y58">
        <f t="shared" ref="Y58" si="40">+SUM(K58:L58)</f>
        <v>88.295947918015941</v>
      </c>
    </row>
    <row r="59" spans="1:25" ht="15.6" x14ac:dyDescent="0.3">
      <c r="A59" s="1" t="s">
        <v>23</v>
      </c>
      <c r="B59" s="1">
        <v>60</v>
      </c>
      <c r="C59" s="12" t="str">
        <f>+'[1]Flow rate'!E2046</f>
        <v>69.1</v>
      </c>
      <c r="D59" s="1" t="s">
        <v>27</v>
      </c>
      <c r="E59" s="1" t="s">
        <v>26</v>
      </c>
      <c r="F59" s="1" t="s">
        <v>24</v>
      </c>
      <c r="G59" s="1">
        <v>-0.5</v>
      </c>
      <c r="H59" s="15">
        <v>45451.628703703704</v>
      </c>
      <c r="I59" s="2">
        <f t="shared" si="8"/>
        <v>22.196811388945207</v>
      </c>
      <c r="J59" s="16">
        <v>14.436986468871471</v>
      </c>
      <c r="K59" s="16">
        <v>1.5235338102953768</v>
      </c>
      <c r="L59" s="16">
        <v>86.830643166465507</v>
      </c>
      <c r="N59" s="16">
        <v>5.4062734500275593E-2</v>
      </c>
      <c r="O59" s="16">
        <v>1.2924560444919631E-3</v>
      </c>
      <c r="P59" s="3">
        <f t="shared" si="9"/>
        <v>0.14037409005493687</v>
      </c>
      <c r="Q59" s="3">
        <f t="shared" si="10"/>
        <v>1.481366438551923E-2</v>
      </c>
      <c r="R59" s="3">
        <f t="shared" si="11"/>
        <v>0.84427401450146999</v>
      </c>
      <c r="S59" s="3">
        <f t="shared" si="12"/>
        <v>5.2566421515466417E-4</v>
      </c>
      <c r="T59" s="4">
        <f t="shared" si="5"/>
        <v>2.5675994262153234</v>
      </c>
      <c r="U59" s="5">
        <f t="shared" si="6"/>
        <v>0.27095852348193267</v>
      </c>
      <c r="V59" s="14"/>
      <c r="W59" s="3">
        <f t="shared" si="2"/>
        <v>2.8385579496972562</v>
      </c>
      <c r="X59" s="3">
        <f t="shared" si="7"/>
        <v>1.7243483697393279E-2</v>
      </c>
    </row>
    <row r="60" spans="1:25" ht="15.6" x14ac:dyDescent="0.3">
      <c r="A60" s="1" t="s">
        <v>23</v>
      </c>
      <c r="B60" s="1">
        <v>60</v>
      </c>
      <c r="C60" s="12" t="str">
        <f>+'[1]Flow rate'!E2047</f>
        <v>68.4</v>
      </c>
      <c r="D60" s="1" t="s">
        <v>27</v>
      </c>
      <c r="E60" s="1" t="s">
        <v>26</v>
      </c>
      <c r="F60" s="1" t="s">
        <v>24</v>
      </c>
      <c r="G60" s="1">
        <v>-0.5</v>
      </c>
      <c r="H60" s="15">
        <v>45451.64434027778</v>
      </c>
      <c r="I60" s="2">
        <f t="shared" si="8"/>
        <v>22.572089166787919</v>
      </c>
      <c r="J60" s="16">
        <v>14.377962098116008</v>
      </c>
      <c r="K60" s="16">
        <v>1.5676361827611978</v>
      </c>
      <c r="L60" s="16">
        <v>86.624838756670059</v>
      </c>
      <c r="N60" s="16">
        <v>5.3716375768528987E-2</v>
      </c>
      <c r="O60" s="16">
        <v>1.5154358357802322E-3</v>
      </c>
      <c r="P60" s="3">
        <f t="shared" si="9"/>
        <v>0.1401010318310327</v>
      </c>
      <c r="Q60" s="3">
        <f t="shared" si="10"/>
        <v>1.5275283467973789E-2</v>
      </c>
      <c r="R60" s="3">
        <f t="shared" si="11"/>
        <v>0.84408549759611329</v>
      </c>
      <c r="S60" s="3">
        <f t="shared" si="12"/>
        <v>5.2342046946837577E-4</v>
      </c>
      <c r="T60" s="4">
        <f t="shared" si="5"/>
        <v>2.5366450673395224</v>
      </c>
      <c r="U60" s="5">
        <f t="shared" si="6"/>
        <v>0.27657164229868209</v>
      </c>
      <c r="V60" s="14"/>
      <c r="W60" s="3">
        <f t="shared" si="2"/>
        <v>2.8132167096382044</v>
      </c>
      <c r="X60" s="3">
        <f t="shared" si="7"/>
        <v>1.777516941029059E-2</v>
      </c>
      <c r="Y60">
        <f t="shared" ref="Y60" si="41">+SUM(K60:L60)</f>
        <v>88.19247493943125</v>
      </c>
    </row>
    <row r="61" spans="1:25" ht="15.6" x14ac:dyDescent="0.3">
      <c r="A61" s="1" t="s">
        <v>23</v>
      </c>
      <c r="B61" s="1">
        <v>60</v>
      </c>
      <c r="C61" s="12" t="str">
        <f>+'[1]Flow rate'!E2048</f>
        <v>68.4</v>
      </c>
      <c r="D61" s="1" t="s">
        <v>27</v>
      </c>
      <c r="E61" s="1" t="s">
        <v>26</v>
      </c>
      <c r="F61" s="1" t="s">
        <v>24</v>
      </c>
      <c r="G61" s="1">
        <v>-0.5</v>
      </c>
      <c r="H61" s="15">
        <v>45451.65996527778</v>
      </c>
      <c r="I61" s="2">
        <f t="shared" si="8"/>
        <v>22.947089166787919</v>
      </c>
      <c r="J61" s="16">
        <v>14.370735051997453</v>
      </c>
      <c r="K61" s="16">
        <v>1.5391079970822241</v>
      </c>
      <c r="L61" s="16">
        <v>86.816743079219805</v>
      </c>
      <c r="N61" s="16">
        <v>5.3857786649332308E-2</v>
      </c>
      <c r="O61" s="16">
        <v>1.4548038902361116E-3</v>
      </c>
      <c r="P61" s="3">
        <f t="shared" si="9"/>
        <v>0.13981776199045268</v>
      </c>
      <c r="Q61" s="3">
        <f t="shared" si="10"/>
        <v>1.4974504424095821E-2</v>
      </c>
      <c r="R61" s="3">
        <f t="shared" si="11"/>
        <v>0.84466957860652003</v>
      </c>
      <c r="S61" s="3">
        <f t="shared" si="12"/>
        <v>5.2400069779466553E-4</v>
      </c>
      <c r="T61" s="4">
        <f t="shared" si="5"/>
        <v>2.5315162325662</v>
      </c>
      <c r="U61" s="5">
        <f t="shared" si="6"/>
        <v>0.27112578891672912</v>
      </c>
      <c r="V61" s="14"/>
      <c r="W61" s="3">
        <f t="shared" si="2"/>
        <v>2.8026420214829288</v>
      </c>
      <c r="X61" s="3">
        <f t="shared" si="7"/>
        <v>1.7419423595988984E-2</v>
      </c>
    </row>
    <row r="62" spans="1:25" ht="15.6" x14ac:dyDescent="0.3">
      <c r="A62" s="1" t="s">
        <v>23</v>
      </c>
      <c r="B62" s="1">
        <v>60</v>
      </c>
      <c r="C62" s="12" t="str">
        <f>+'[1]Flow rate'!E2049</f>
        <v>69.6</v>
      </c>
      <c r="D62" s="1" t="s">
        <v>27</v>
      </c>
      <c r="E62" s="1" t="s">
        <v>26</v>
      </c>
      <c r="F62" s="1" t="s">
        <v>24</v>
      </c>
      <c r="G62" s="1">
        <v>-0.5</v>
      </c>
      <c r="H62" s="15">
        <v>45451.67560185185</v>
      </c>
      <c r="I62" s="2">
        <f t="shared" si="8"/>
        <v>23.322366944456007</v>
      </c>
      <c r="J62" s="16">
        <v>14.349096566009559</v>
      </c>
      <c r="K62" s="16">
        <v>1.5690894301616571</v>
      </c>
      <c r="L62" s="16">
        <v>86.862964347891449</v>
      </c>
      <c r="N62" s="16">
        <v>5.4039924019740566E-2</v>
      </c>
      <c r="O62" s="16">
        <v>1.0477284000299236E-3</v>
      </c>
      <c r="P62" s="3">
        <f t="shared" si="9"/>
        <v>0.13953346452152768</v>
      </c>
      <c r="Q62" s="3">
        <f t="shared" si="10"/>
        <v>1.5258137216331548E-2</v>
      </c>
      <c r="R62" s="3">
        <f t="shared" si="11"/>
        <v>0.84467271499043595</v>
      </c>
      <c r="S62" s="3">
        <f t="shared" si="12"/>
        <v>5.2549495267990094E-4</v>
      </c>
      <c r="T62" s="4">
        <f t="shared" si="5"/>
        <v>2.5706910512357419</v>
      </c>
      <c r="U62" s="5">
        <f t="shared" si="6"/>
        <v>0.28110788286561139</v>
      </c>
      <c r="V62" s="14"/>
      <c r="W62" s="3">
        <f t="shared" si="2"/>
        <v>2.8517989341013532</v>
      </c>
      <c r="X62" s="3">
        <f t="shared" si="7"/>
        <v>1.7743446670364121E-2</v>
      </c>
      <c r="Y62">
        <f t="shared" ref="Y62" si="42">+SUM(K62:L62)</f>
        <v>88.432053778053103</v>
      </c>
    </row>
    <row r="63" spans="1:25" ht="15.6" x14ac:dyDescent="0.3">
      <c r="A63" s="1" t="s">
        <v>23</v>
      </c>
      <c r="B63" s="1">
        <v>60</v>
      </c>
      <c r="C63" s="12" t="str">
        <f>+'[1]Flow rate'!E2050</f>
        <v>69.1</v>
      </c>
      <c r="D63" s="1" t="s">
        <v>27</v>
      </c>
      <c r="E63" s="1" t="s">
        <v>26</v>
      </c>
      <c r="F63" s="1" t="s">
        <v>24</v>
      </c>
      <c r="G63" s="1">
        <v>-0.5</v>
      </c>
      <c r="H63" s="15">
        <v>45451.69122685185</v>
      </c>
      <c r="I63" s="2">
        <f t="shared" si="8"/>
        <v>23.697366944456007</v>
      </c>
      <c r="J63" s="16">
        <v>14.319826920791151</v>
      </c>
      <c r="K63" s="16">
        <v>1.586887923688969</v>
      </c>
      <c r="L63" s="16">
        <v>86.905251399131515</v>
      </c>
      <c r="N63" s="16">
        <v>5.4301391991560061E-2</v>
      </c>
      <c r="O63" s="16">
        <v>1.2541828842514424E-3</v>
      </c>
      <c r="P63" s="3">
        <f t="shared" si="9"/>
        <v>0.13920649265818688</v>
      </c>
      <c r="Q63" s="3">
        <f t="shared" si="10"/>
        <v>1.5426520398625682E-2</v>
      </c>
      <c r="R63" s="3">
        <f t="shared" si="11"/>
        <v>0.84482691779508601</v>
      </c>
      <c r="S63" s="3">
        <f t="shared" si="12"/>
        <v>5.2787693366791071E-4</v>
      </c>
      <c r="T63" s="4">
        <f t="shared" si="5"/>
        <v>2.5462427612868272</v>
      </c>
      <c r="U63" s="5">
        <f t="shared" si="6"/>
        <v>0.28216834679753816</v>
      </c>
      <c r="V63" s="14"/>
      <c r="W63" s="3">
        <f t="shared" si="2"/>
        <v>2.8284111080843655</v>
      </c>
      <c r="X63" s="3">
        <f t="shared" si="7"/>
        <v>1.7932529779848369E-2</v>
      </c>
    </row>
    <row r="64" spans="1:25" ht="15.6" x14ac:dyDescent="0.3">
      <c r="A64" s="1" t="s">
        <v>23</v>
      </c>
      <c r="B64" s="1">
        <v>60</v>
      </c>
      <c r="C64" s="12" t="str">
        <f>+'[1]Flow rate'!E2051</f>
        <v>69.1</v>
      </c>
      <c r="D64" s="1" t="s">
        <v>27</v>
      </c>
      <c r="E64" s="1" t="s">
        <v>26</v>
      </c>
      <c r="F64" s="1" t="s">
        <v>24</v>
      </c>
      <c r="G64" s="1">
        <v>-0.5</v>
      </c>
      <c r="H64" s="15">
        <v>45451.706863425927</v>
      </c>
      <c r="I64" s="2">
        <f t="shared" si="8"/>
        <v>24.072644722298719</v>
      </c>
      <c r="J64" s="16">
        <v>14.390548884148846</v>
      </c>
      <c r="K64" s="16">
        <v>1.4969037333649686</v>
      </c>
      <c r="L64" s="16">
        <v>86.912066478413195</v>
      </c>
      <c r="N64" s="16">
        <v>5.3977865940339709E-2</v>
      </c>
      <c r="O64" s="16">
        <v>1.2201266638859343E-3</v>
      </c>
      <c r="P64" s="3">
        <f t="shared" si="9"/>
        <v>0.13991141380285277</v>
      </c>
      <c r="Q64" s="3">
        <f t="shared" si="10"/>
        <v>1.4553573970521184E-2</v>
      </c>
      <c r="R64" s="3">
        <f t="shared" si="11"/>
        <v>0.84499835241979671</v>
      </c>
      <c r="S64" s="3">
        <f t="shared" si="12"/>
        <v>5.2479718449741856E-4</v>
      </c>
      <c r="T64" s="4">
        <f t="shared" si="5"/>
        <v>2.559136559037273</v>
      </c>
      <c r="U64" s="5">
        <f t="shared" si="6"/>
        <v>0.26620117830482959</v>
      </c>
      <c r="V64" s="14"/>
      <c r="W64" s="3">
        <f t="shared" si="2"/>
        <v>2.8253377373421027</v>
      </c>
      <c r="X64" s="3">
        <f t="shared" si="7"/>
        <v>1.6931582053034088E-2</v>
      </c>
      <c r="Y64">
        <f t="shared" ref="Y64" si="43">+SUM(K64:L64)</f>
        <v>88.408970211778168</v>
      </c>
    </row>
    <row r="65" spans="1:25" ht="15.6" x14ac:dyDescent="0.3">
      <c r="A65" s="1" t="s">
        <v>23</v>
      </c>
      <c r="B65" s="1">
        <v>60</v>
      </c>
      <c r="C65" s="12" t="str">
        <f>+'[1]Flow rate'!E2052</f>
        <v>68.6</v>
      </c>
      <c r="D65" s="1" t="s">
        <v>27</v>
      </c>
      <c r="E65" s="1" t="s">
        <v>26</v>
      </c>
      <c r="F65" s="1" t="s">
        <v>24</v>
      </c>
      <c r="G65" s="1">
        <v>-0.5</v>
      </c>
      <c r="H65" s="15">
        <v>45451.722500000003</v>
      </c>
      <c r="I65" s="2">
        <f t="shared" si="8"/>
        <v>24.447922500141431</v>
      </c>
      <c r="J65" s="16">
        <v>14.426225059596598</v>
      </c>
      <c r="K65" s="16">
        <v>1.4265466304712999</v>
      </c>
      <c r="L65" s="16">
        <v>86.851749311692728</v>
      </c>
      <c r="N65" s="16">
        <v>5.4309653326576446E-2</v>
      </c>
      <c r="O65" s="16">
        <v>1.4180426277611846E-3</v>
      </c>
      <c r="P65" s="3">
        <f t="shared" si="9"/>
        <v>0.1403872143403774</v>
      </c>
      <c r="Q65" s="3">
        <f t="shared" si="10"/>
        <v>1.3882280828919612E-2</v>
      </c>
      <c r="R65" s="3">
        <f t="shared" si="11"/>
        <v>0.84518819691825076</v>
      </c>
      <c r="S65" s="3">
        <f t="shared" si="12"/>
        <v>5.2850838738563802E-4</v>
      </c>
      <c r="T65" s="4">
        <f t="shared" si="5"/>
        <v>2.5492588800227924</v>
      </c>
      <c r="U65" s="5">
        <f t="shared" si="6"/>
        <v>0.25208511932069128</v>
      </c>
      <c r="V65" s="14"/>
      <c r="W65" s="3">
        <f t="shared" si="2"/>
        <v>2.8013439993434837</v>
      </c>
      <c r="X65" s="3">
        <f t="shared" si="7"/>
        <v>1.6159653006962316E-2</v>
      </c>
    </row>
    <row r="66" spans="1:25" ht="15.6" x14ac:dyDescent="0.3">
      <c r="A66" s="1" t="s">
        <v>23</v>
      </c>
      <c r="B66" s="1">
        <v>60</v>
      </c>
      <c r="C66" s="12" t="str">
        <f>+'[1]Flow rate'!E2053</f>
        <v>69.2</v>
      </c>
      <c r="D66" s="1" t="s">
        <v>27</v>
      </c>
      <c r="E66" s="1" t="s">
        <v>26</v>
      </c>
      <c r="F66" s="1" t="s">
        <v>24</v>
      </c>
      <c r="G66" s="1">
        <v>-0.5</v>
      </c>
      <c r="H66" s="15">
        <v>45451.738125000003</v>
      </c>
      <c r="I66" s="2">
        <f t="shared" si="8"/>
        <v>24.822922500141431</v>
      </c>
      <c r="J66" s="16">
        <v>14.426336389505797</v>
      </c>
      <c r="K66" s="16">
        <v>1.4578735881881384</v>
      </c>
      <c r="L66" s="16">
        <v>86.861899144470044</v>
      </c>
      <c r="N66" s="16">
        <v>5.3963412200229058E-2</v>
      </c>
      <c r="O66" s="16">
        <v>1.4321226444382051E-3</v>
      </c>
      <c r="P66" s="3">
        <f t="shared" si="9"/>
        <v>0.14033195756850492</v>
      </c>
      <c r="Q66" s="3">
        <f t="shared" si="10"/>
        <v>1.41814421204461E-2</v>
      </c>
      <c r="R66" s="3">
        <f t="shared" si="11"/>
        <v>0.84494774112771798</v>
      </c>
      <c r="S66" s="3">
        <f t="shared" si="12"/>
        <v>5.2492823310587621E-4</v>
      </c>
      <c r="T66" s="4">
        <f t="shared" ref="T66:T127" si="44">+P66*C66/1000/60/24.3*2*96485/-1/G66</f>
        <v>2.5705434339616078</v>
      </c>
      <c r="U66" s="5">
        <f t="shared" ref="U66:U127" si="45">+Q66*C66/1000/60/24.3*2*96485/-1/G66</f>
        <v>0.25976985968448268</v>
      </c>
      <c r="V66" s="14"/>
      <c r="W66" s="3">
        <f t="shared" ref="W66:W127" si="46">+T66+U66</f>
        <v>2.8303132936460904</v>
      </c>
      <c r="X66" s="3">
        <f t="shared" si="7"/>
        <v>1.650676335639004E-2</v>
      </c>
      <c r="Y66">
        <f t="shared" ref="Y66" si="47">+SUM(K66:L66)</f>
        <v>88.31977273265818</v>
      </c>
    </row>
    <row r="67" spans="1:25" ht="15.6" x14ac:dyDescent="0.3">
      <c r="A67" s="1" t="s">
        <v>23</v>
      </c>
      <c r="B67" s="1">
        <v>60</v>
      </c>
      <c r="C67" s="12" t="str">
        <f>+'[1]Flow rate'!E2054</f>
        <v>68.5</v>
      </c>
      <c r="D67" s="1" t="s">
        <v>27</v>
      </c>
      <c r="E67" s="1" t="s">
        <v>26</v>
      </c>
      <c r="F67" s="1" t="s">
        <v>24</v>
      </c>
      <c r="G67" s="1">
        <v>-0.5</v>
      </c>
      <c r="H67" s="15">
        <v>45451.753761574073</v>
      </c>
      <c r="I67" s="2">
        <f t="shared" si="8"/>
        <v>25.198200277809519</v>
      </c>
      <c r="J67" s="16">
        <v>14.418498474729621</v>
      </c>
      <c r="K67" s="16">
        <v>1.4346514218573547</v>
      </c>
      <c r="L67" s="16">
        <v>87.016319658455942</v>
      </c>
      <c r="N67" s="16">
        <v>5.3972668624561099E-2</v>
      </c>
      <c r="O67" s="16">
        <v>1.4863858489350679E-3</v>
      </c>
      <c r="P67" s="3">
        <f t="shared" si="9"/>
        <v>0.14008752466014818</v>
      </c>
      <c r="Q67" s="3">
        <f t="shared" si="10"/>
        <v>1.3938813864037086E-2</v>
      </c>
      <c r="R67" s="3">
        <f t="shared" si="11"/>
        <v>0.84543483132822339</v>
      </c>
      <c r="S67" s="3">
        <f t="shared" si="12"/>
        <v>5.2438869138618765E-4</v>
      </c>
      <c r="T67" s="4">
        <f t="shared" si="44"/>
        <v>2.5401086967164779</v>
      </c>
      <c r="U67" s="5">
        <f t="shared" si="45"/>
        <v>0.25274272212210108</v>
      </c>
      <c r="V67" s="14"/>
      <c r="W67" s="3">
        <f t="shared" si="46"/>
        <v>2.7928514188385791</v>
      </c>
      <c r="X67" s="3">
        <f t="shared" ref="X67:X127" si="48">+K67/(K67+L67)</f>
        <v>1.6219736248624047E-2</v>
      </c>
    </row>
    <row r="68" spans="1:25" ht="15.6" x14ac:dyDescent="0.3">
      <c r="A68" s="1" t="s">
        <v>23</v>
      </c>
      <c r="B68" s="1">
        <v>60</v>
      </c>
      <c r="C68" s="12" t="str">
        <f>+'[1]Flow rate'!E2055</f>
        <v>68.5</v>
      </c>
      <c r="D68" s="1" t="s">
        <v>27</v>
      </c>
      <c r="E68" s="1" t="s">
        <v>26</v>
      </c>
      <c r="F68" s="1" t="s">
        <v>24</v>
      </c>
      <c r="G68" s="1">
        <v>-0.5</v>
      </c>
      <c r="H68" s="15">
        <v>45451.769386574073</v>
      </c>
      <c r="I68" s="2">
        <f t="shared" ref="I68:I127" si="49">+(H68-H$2)*24</f>
        <v>25.573200277809519</v>
      </c>
      <c r="J68" s="16">
        <v>14.41673454629815</v>
      </c>
      <c r="K68" s="16">
        <v>1.4726570225673528</v>
      </c>
      <c r="L68" s="16">
        <v>87.057141159514288</v>
      </c>
      <c r="N68" s="16">
        <v>5.3932727536108338E-2</v>
      </c>
      <c r="O68" s="16">
        <v>1.0603612729437883E-3</v>
      </c>
      <c r="P68" s="3">
        <f t="shared" ref="P68:P127" si="50">+J68/SUM($J68:$O68)</f>
        <v>0.13996622314008761</v>
      </c>
      <c r="Q68" s="3">
        <f t="shared" ref="Q68:Q127" si="51">+K68/SUM($J68:$O68)</f>
        <v>1.429742919712745E-2</v>
      </c>
      <c r="R68" s="3">
        <f t="shared" ref="R68:R127" si="52">+L68/SUM($J68:$O68)</f>
        <v>0.84520244208835038</v>
      </c>
      <c r="S68" s="3">
        <f t="shared" ref="S68:S127" si="53">+N68/SUM($J68:$O68)</f>
        <v>5.23610957296208E-4</v>
      </c>
      <c r="T68" s="4">
        <f t="shared" si="44"/>
        <v>2.5379092214471544</v>
      </c>
      <c r="U68" s="5">
        <f t="shared" si="45"/>
        <v>0.25924524209001826</v>
      </c>
      <c r="V68" s="14"/>
      <c r="W68" s="3">
        <f t="shared" si="46"/>
        <v>2.7971544635371726</v>
      </c>
      <c r="X68" s="3">
        <f t="shared" si="48"/>
        <v>1.66345914348353E-2</v>
      </c>
      <c r="Y68">
        <f t="shared" ref="Y68" si="54">+SUM(K68:L68)</f>
        <v>88.529798182081635</v>
      </c>
    </row>
    <row r="69" spans="1:25" ht="15.6" x14ac:dyDescent="0.3">
      <c r="A69" s="1" t="s">
        <v>23</v>
      </c>
      <c r="B69" s="1">
        <v>60</v>
      </c>
      <c r="C69" s="12" t="str">
        <f>+'[1]Flow rate'!E2056</f>
        <v>69.8</v>
      </c>
      <c r="D69" s="1" t="s">
        <v>27</v>
      </c>
      <c r="E69" s="1" t="s">
        <v>26</v>
      </c>
      <c r="F69" s="1" t="s">
        <v>24</v>
      </c>
      <c r="G69" s="1">
        <v>-0.5</v>
      </c>
      <c r="H69" s="15">
        <v>45451.78502314815</v>
      </c>
      <c r="I69" s="2">
        <f t="shared" si="49"/>
        <v>25.948478055652231</v>
      </c>
      <c r="J69" s="16">
        <v>14.398798141251874</v>
      </c>
      <c r="K69" s="16">
        <v>1.4635322312685366</v>
      </c>
      <c r="L69" s="16">
        <v>87.100094169541364</v>
      </c>
      <c r="N69" s="16">
        <v>5.4296175839381532E-2</v>
      </c>
      <c r="O69" s="16">
        <v>1.1807774382394665E-3</v>
      </c>
      <c r="P69" s="3">
        <f t="shared" si="50"/>
        <v>0.13976986457934484</v>
      </c>
      <c r="Q69" s="3">
        <f t="shared" si="51"/>
        <v>1.4206581671970361E-2</v>
      </c>
      <c r="R69" s="3">
        <f t="shared" si="52"/>
        <v>0.84548503614667248</v>
      </c>
      <c r="S69" s="3">
        <f t="shared" si="53"/>
        <v>5.2705573547174157E-4</v>
      </c>
      <c r="T69" s="4">
        <f t="shared" si="44"/>
        <v>2.5824459198871832</v>
      </c>
      <c r="U69" s="5">
        <f t="shared" si="45"/>
        <v>0.26248668827676325</v>
      </c>
      <c r="V69" s="14"/>
      <c r="W69" s="3">
        <f t="shared" si="46"/>
        <v>2.8449326081639463</v>
      </c>
      <c r="X69" s="3">
        <f t="shared" si="48"/>
        <v>1.6525206687507017E-2</v>
      </c>
    </row>
    <row r="70" spans="1:25" ht="15.6" x14ac:dyDescent="0.3">
      <c r="A70" s="1" t="s">
        <v>23</v>
      </c>
      <c r="B70" s="1">
        <v>60</v>
      </c>
      <c r="C70" s="12" t="str">
        <f>+'[1]Flow rate'!E2057</f>
        <v>70.2</v>
      </c>
      <c r="D70" s="1" t="s">
        <v>27</v>
      </c>
      <c r="E70" s="1" t="s">
        <v>26</v>
      </c>
      <c r="F70" s="1" t="s">
        <v>24</v>
      </c>
      <c r="G70" s="1">
        <v>-0.5</v>
      </c>
      <c r="H70" s="15">
        <v>45451.80064814815</v>
      </c>
      <c r="I70" s="2">
        <f t="shared" si="49"/>
        <v>26.323478055652231</v>
      </c>
      <c r="J70" s="16">
        <v>14.425095856231868</v>
      </c>
      <c r="K70" s="16">
        <v>1.4728379631459418</v>
      </c>
      <c r="L70" s="16">
        <v>87.088399892830537</v>
      </c>
      <c r="N70" s="16">
        <v>5.4314786980476579E-2</v>
      </c>
      <c r="O70" s="16">
        <v>1.3328753287886741E-3</v>
      </c>
      <c r="P70" s="3">
        <f t="shared" si="50"/>
        <v>0.1399924153612909</v>
      </c>
      <c r="Q70" s="3">
        <f t="shared" si="51"/>
        <v>1.4293571838382528E-2</v>
      </c>
      <c r="R70" s="3">
        <f t="shared" si="52"/>
        <v>0.84517396435049141</v>
      </c>
      <c r="S70" s="3">
        <f t="shared" si="53"/>
        <v>5.2711318489755555E-4</v>
      </c>
      <c r="T70" s="4">
        <f t="shared" si="44"/>
        <v>2.6013805414776887</v>
      </c>
      <c r="U70" s="5">
        <f t="shared" si="45"/>
        <v>0.26560738703322073</v>
      </c>
      <c r="V70" s="14"/>
      <c r="W70" s="3">
        <f t="shared" si="46"/>
        <v>2.8669879285109094</v>
      </c>
      <c r="X70" s="3">
        <f t="shared" si="48"/>
        <v>1.6630729185844916E-2</v>
      </c>
      <c r="Y70">
        <f t="shared" ref="Y70" si="55">+SUM(K70:L70)</f>
        <v>88.561237855976486</v>
      </c>
    </row>
    <row r="71" spans="1:25" ht="15.6" x14ac:dyDescent="0.3">
      <c r="A71" s="1" t="s">
        <v>23</v>
      </c>
      <c r="B71" s="1">
        <v>60</v>
      </c>
      <c r="C71" s="12" t="str">
        <f>+'[1]Flow rate'!E2058</f>
        <v>70.2</v>
      </c>
      <c r="D71" s="1" t="s">
        <v>27</v>
      </c>
      <c r="E71" s="1" t="s">
        <v>26</v>
      </c>
      <c r="F71" s="1" t="s">
        <v>24</v>
      </c>
      <c r="G71" s="1">
        <v>-0.5</v>
      </c>
      <c r="H71" s="15">
        <v>45451.816284722219</v>
      </c>
      <c r="I71" s="2">
        <f t="shared" si="49"/>
        <v>26.69875583332032</v>
      </c>
      <c r="J71" s="16">
        <v>14.397265547696682</v>
      </c>
      <c r="K71" s="16">
        <v>1.6151301390953605</v>
      </c>
      <c r="L71" s="16">
        <v>87.027355048345967</v>
      </c>
      <c r="N71" s="16">
        <v>5.4776002524508316E-2</v>
      </c>
      <c r="O71" s="16">
        <v>1.2287378072721178E-3</v>
      </c>
      <c r="P71" s="3">
        <f t="shared" si="50"/>
        <v>0.13964944998266501</v>
      </c>
      <c r="Q71" s="3">
        <f t="shared" si="51"/>
        <v>1.5666310719064068E-2</v>
      </c>
      <c r="R71" s="3">
        <f t="shared" si="52"/>
        <v>0.84414100897735722</v>
      </c>
      <c r="S71" s="3">
        <f t="shared" si="53"/>
        <v>5.313119077685163E-4</v>
      </c>
      <c r="T71" s="4">
        <f t="shared" si="44"/>
        <v>2.5950074571926911</v>
      </c>
      <c r="U71" s="5">
        <f t="shared" si="45"/>
        <v>0.29111602765149114</v>
      </c>
      <c r="V71" s="14"/>
      <c r="W71" s="3">
        <f t="shared" si="46"/>
        <v>2.8861234848441821</v>
      </c>
      <c r="X71" s="3">
        <f t="shared" si="48"/>
        <v>1.8220722666789455E-2</v>
      </c>
    </row>
    <row r="72" spans="1:25" ht="15.6" x14ac:dyDescent="0.3">
      <c r="A72" s="1" t="s">
        <v>23</v>
      </c>
      <c r="B72" s="1">
        <v>60</v>
      </c>
      <c r="C72" s="12" t="str">
        <f>+'[1]Flow rate'!E2059</f>
        <v>68.7</v>
      </c>
      <c r="D72" s="1" t="s">
        <v>27</v>
      </c>
      <c r="E72" s="1" t="s">
        <v>26</v>
      </c>
      <c r="F72" s="1" t="s">
        <v>24</v>
      </c>
      <c r="G72" s="1">
        <v>-0.5</v>
      </c>
      <c r="H72" s="15">
        <v>45451.831909722219</v>
      </c>
      <c r="I72" s="2">
        <f t="shared" si="49"/>
        <v>27.07375583332032</v>
      </c>
      <c r="J72" s="16">
        <v>14.2694544744077</v>
      </c>
      <c r="K72" s="16">
        <v>1.7400629600937765</v>
      </c>
      <c r="L72" s="16">
        <v>87.051454655818858</v>
      </c>
      <c r="N72" s="16">
        <v>5.413095253697893E-2</v>
      </c>
      <c r="O72" s="16">
        <v>1.2337989556217011E-3</v>
      </c>
      <c r="P72" s="3">
        <f t="shared" si="50"/>
        <v>0.13838209260961196</v>
      </c>
      <c r="Q72" s="3">
        <f t="shared" si="51"/>
        <v>1.6874755382002605E-2</v>
      </c>
      <c r="R72" s="3">
        <f t="shared" si="52"/>
        <v>0.84420623658655913</v>
      </c>
      <c r="S72" s="3">
        <f t="shared" si="53"/>
        <v>5.2495030559531299E-4</v>
      </c>
      <c r="T72" s="4">
        <f t="shared" si="44"/>
        <v>2.5165113835764572</v>
      </c>
      <c r="U72" s="5">
        <f t="shared" si="45"/>
        <v>0.30687145434110902</v>
      </c>
      <c r="V72" s="14"/>
      <c r="W72" s="3">
        <f t="shared" si="46"/>
        <v>2.8233828379175661</v>
      </c>
      <c r="X72" s="3">
        <f t="shared" si="48"/>
        <v>1.9597175572792933E-2</v>
      </c>
      <c r="Y72">
        <f t="shared" ref="Y72" si="56">+SUM(K72:L72)</f>
        <v>88.791517615912639</v>
      </c>
    </row>
    <row r="73" spans="1:25" ht="15.6" x14ac:dyDescent="0.3">
      <c r="A73" s="1" t="s">
        <v>23</v>
      </c>
      <c r="B73" s="1">
        <v>60</v>
      </c>
      <c r="C73" s="12" t="str">
        <f>+'[1]Flow rate'!E2060</f>
        <v>69.7</v>
      </c>
      <c r="D73" s="1" t="s">
        <v>27</v>
      </c>
      <c r="E73" s="1" t="s">
        <v>26</v>
      </c>
      <c r="F73" s="1" t="s">
        <v>24</v>
      </c>
      <c r="G73" s="1">
        <v>-0.5</v>
      </c>
      <c r="H73" s="15">
        <v>45451.94327546296</v>
      </c>
      <c r="I73" s="2">
        <f t="shared" si="49"/>
        <v>29.746533611090854</v>
      </c>
      <c r="J73" s="16">
        <v>14.396280205708118</v>
      </c>
      <c r="K73" s="16">
        <v>1.5311585621185266</v>
      </c>
      <c r="L73" s="16">
        <v>89.082715105534334</v>
      </c>
      <c r="N73" s="16">
        <v>5.8348422320101276E-2</v>
      </c>
      <c r="O73" s="16">
        <v>1.4861356875459641E-3</v>
      </c>
      <c r="P73" s="3">
        <f t="shared" si="50"/>
        <v>0.1370161015589311</v>
      </c>
      <c r="Q73" s="3">
        <f t="shared" si="51"/>
        <v>1.4572748935997784E-2</v>
      </c>
      <c r="R73" s="3">
        <f t="shared" si="52"/>
        <v>0.84784167615782002</v>
      </c>
      <c r="S73" s="3">
        <f t="shared" si="53"/>
        <v>5.5532910197486391E-4</v>
      </c>
      <c r="T73" s="4">
        <f t="shared" si="44"/>
        <v>2.5279393677812583</v>
      </c>
      <c r="U73" s="5">
        <f t="shared" si="45"/>
        <v>0.26886639827696929</v>
      </c>
      <c r="V73" s="14"/>
      <c r="W73" s="3">
        <f t="shared" si="46"/>
        <v>2.7968057660582275</v>
      </c>
      <c r="X73" s="3">
        <f t="shared" si="48"/>
        <v>1.689761733103257E-2</v>
      </c>
    </row>
    <row r="74" spans="1:25" ht="15.6" x14ac:dyDescent="0.3">
      <c r="A74" s="1" t="s">
        <v>23</v>
      </c>
      <c r="B74" s="1">
        <v>60</v>
      </c>
      <c r="C74" s="12" t="str">
        <f>+'[1]Flow rate'!E2061</f>
        <v>69.7</v>
      </c>
      <c r="D74" s="1" t="s">
        <v>27</v>
      </c>
      <c r="E74" s="1" t="s">
        <v>26</v>
      </c>
      <c r="F74" s="1" t="s">
        <v>24</v>
      </c>
      <c r="G74" s="1">
        <v>-0.5</v>
      </c>
      <c r="H74" s="15">
        <v>45451.95890046296</v>
      </c>
      <c r="I74" s="2">
        <f t="shared" si="49"/>
        <v>30.121533611090854</v>
      </c>
      <c r="J74" s="16">
        <v>14.545784707018074</v>
      </c>
      <c r="K74" s="16">
        <v>1.3865027131039358</v>
      </c>
      <c r="L74" s="16">
        <v>87.695402361441339</v>
      </c>
      <c r="N74" s="16">
        <v>5.5473387406671584E-2</v>
      </c>
      <c r="O74" s="16">
        <v>0.16403648900166851</v>
      </c>
      <c r="P74" s="3">
        <f t="shared" si="50"/>
        <v>0.14006910879566972</v>
      </c>
      <c r="Q74" s="3">
        <f t="shared" si="51"/>
        <v>1.3351373148919599E-2</v>
      </c>
      <c r="R74" s="3">
        <f t="shared" si="52"/>
        <v>0.84446574053294188</v>
      </c>
      <c r="S74" s="3">
        <f t="shared" si="53"/>
        <v>5.3418279538954558E-4</v>
      </c>
      <c r="T74" s="4">
        <f t="shared" si="44"/>
        <v>2.5842671795936036</v>
      </c>
      <c r="U74" s="5">
        <f t="shared" si="45"/>
        <v>0.24633208369729348</v>
      </c>
      <c r="V74" s="14"/>
      <c r="W74" s="3">
        <f t="shared" si="46"/>
        <v>2.8305992632908969</v>
      </c>
      <c r="X74" s="3">
        <f t="shared" si="48"/>
        <v>1.5564358574771009E-2</v>
      </c>
      <c r="Y74">
        <f t="shared" ref="Y74" si="57">+SUM(K74:L74)</f>
        <v>89.081905074545276</v>
      </c>
    </row>
    <row r="75" spans="1:25" ht="15.6" x14ac:dyDescent="0.3">
      <c r="A75" s="1" t="s">
        <v>23</v>
      </c>
      <c r="B75" s="1">
        <v>60</v>
      </c>
      <c r="C75" s="12" t="str">
        <f>+'[1]Flow rate'!E2062</f>
        <v>69.4</v>
      </c>
      <c r="D75" s="1" t="s">
        <v>27</v>
      </c>
      <c r="E75" s="1" t="s">
        <v>26</v>
      </c>
      <c r="F75" s="1" t="s">
        <v>24</v>
      </c>
      <c r="G75" s="1">
        <v>-0.5</v>
      </c>
      <c r="H75" s="15">
        <v>45451.974537037036</v>
      </c>
      <c r="I75" s="2">
        <f t="shared" si="49"/>
        <v>30.496811388933565</v>
      </c>
      <c r="J75" s="16">
        <v>14.655180078314025</v>
      </c>
      <c r="K75" s="16">
        <v>1.2463330122205198</v>
      </c>
      <c r="L75" s="16">
        <v>87.536616423775428</v>
      </c>
      <c r="N75" s="16">
        <v>5.5673955807492528E-2</v>
      </c>
      <c r="O75" s="16">
        <v>1.0562944669563201E-3</v>
      </c>
      <c r="P75" s="3">
        <f t="shared" si="50"/>
        <v>0.14160297537142974</v>
      </c>
      <c r="Q75" s="3">
        <f t="shared" si="51"/>
        <v>1.2042462930579385E-2</v>
      </c>
      <c r="R75" s="3">
        <f t="shared" si="52"/>
        <v>0.84580641611468843</v>
      </c>
      <c r="S75" s="3">
        <f t="shared" si="53"/>
        <v>5.3793933277586749E-4</v>
      </c>
      <c r="T75" s="4">
        <f t="shared" si="44"/>
        <v>2.601322023765817</v>
      </c>
      <c r="U75" s="5">
        <f t="shared" si="45"/>
        <v>0.22122645346631678</v>
      </c>
      <c r="V75" s="14"/>
      <c r="W75" s="3">
        <f t="shared" si="46"/>
        <v>2.8225484772321336</v>
      </c>
      <c r="X75" s="3">
        <f t="shared" si="48"/>
        <v>1.4037977113150621E-2</v>
      </c>
    </row>
    <row r="76" spans="1:25" ht="15.6" x14ac:dyDescent="0.3">
      <c r="A76" s="1" t="s">
        <v>23</v>
      </c>
      <c r="B76" s="1">
        <v>60</v>
      </c>
      <c r="C76" s="12" t="str">
        <f>+'[1]Flow rate'!E2063</f>
        <v>68.9</v>
      </c>
      <c r="D76" s="1" t="s">
        <v>27</v>
      </c>
      <c r="E76" s="1" t="s">
        <v>26</v>
      </c>
      <c r="F76" s="1" t="s">
        <v>24</v>
      </c>
      <c r="G76" s="1">
        <v>-0.5</v>
      </c>
      <c r="H76" s="15">
        <v>45451.990173611113</v>
      </c>
      <c r="I76" s="2">
        <f t="shared" si="49"/>
        <v>30.872089166776277</v>
      </c>
      <c r="J76" s="16">
        <v>14.815255137625961</v>
      </c>
      <c r="K76" s="16">
        <v>1.0835479271326443</v>
      </c>
      <c r="L76" s="16">
        <v>87.416142724994401</v>
      </c>
      <c r="N76" s="16">
        <v>5.5716035564557412E-2</v>
      </c>
      <c r="O76" s="16">
        <v>1.2440000351866543E-3</v>
      </c>
      <c r="P76" s="3">
        <f t="shared" si="50"/>
        <v>0.14331993803670789</v>
      </c>
      <c r="Q76" s="3">
        <f t="shared" si="51"/>
        <v>1.0482034925072416E-2</v>
      </c>
      <c r="R76" s="3">
        <f t="shared" si="52"/>
        <v>0.84564700657337522</v>
      </c>
      <c r="S76" s="3">
        <f t="shared" si="53"/>
        <v>5.3898624698561597E-4</v>
      </c>
      <c r="T76" s="4">
        <f t="shared" si="44"/>
        <v>2.6138947842507667</v>
      </c>
      <c r="U76" s="5">
        <f t="shared" si="45"/>
        <v>0.19117323656645449</v>
      </c>
      <c r="V76" s="14"/>
      <c r="W76" s="3">
        <f t="shared" si="46"/>
        <v>2.8050680208172212</v>
      </c>
      <c r="X76" s="3">
        <f t="shared" si="48"/>
        <v>1.2243522199324227E-2</v>
      </c>
      <c r="Y76">
        <f t="shared" ref="Y76" si="58">+SUM(K76:L76)</f>
        <v>88.499690652127043</v>
      </c>
    </row>
    <row r="77" spans="1:25" ht="15.6" x14ac:dyDescent="0.3">
      <c r="A77" s="1" t="s">
        <v>23</v>
      </c>
      <c r="B77" s="1">
        <v>60</v>
      </c>
      <c r="C77" s="12" t="str">
        <f>+'[1]Flow rate'!E2064</f>
        <v>68.9</v>
      </c>
      <c r="D77" s="1" t="s">
        <v>27</v>
      </c>
      <c r="E77" s="1" t="s">
        <v>26</v>
      </c>
      <c r="F77" s="1" t="s">
        <v>24</v>
      </c>
      <c r="G77" s="1">
        <v>-0.5</v>
      </c>
      <c r="H77" s="15">
        <v>45452.005810185183</v>
      </c>
      <c r="I77" s="2">
        <f t="shared" si="49"/>
        <v>31.247366944444366</v>
      </c>
      <c r="J77" s="16">
        <v>14.835642969439059</v>
      </c>
      <c r="K77" s="16">
        <v>1.0898510553064493</v>
      </c>
      <c r="L77" s="16">
        <v>87.321704974757765</v>
      </c>
      <c r="N77" s="16">
        <v>5.5457866290457167E-2</v>
      </c>
      <c r="O77" s="16">
        <v>9.2609901093654301E-4</v>
      </c>
      <c r="P77" s="3">
        <f t="shared" si="50"/>
        <v>0.14361208530873062</v>
      </c>
      <c r="Q77" s="3">
        <f t="shared" si="51"/>
        <v>1.054998310830864E-2</v>
      </c>
      <c r="R77" s="3">
        <f t="shared" si="52"/>
        <v>0.84529212316389946</v>
      </c>
      <c r="S77" s="3">
        <f t="shared" si="53"/>
        <v>5.3684358953311E-4</v>
      </c>
      <c r="T77" s="4">
        <f t="shared" si="44"/>
        <v>2.6192230186962613</v>
      </c>
      <c r="U77" s="5">
        <f t="shared" si="45"/>
        <v>0.19241248774248412</v>
      </c>
      <c r="V77" s="14"/>
      <c r="W77" s="3">
        <f t="shared" si="46"/>
        <v>2.8116355064387455</v>
      </c>
      <c r="X77" s="3">
        <f t="shared" si="48"/>
        <v>1.2327020405973254E-2</v>
      </c>
    </row>
    <row r="78" spans="1:25" ht="15.6" x14ac:dyDescent="0.3">
      <c r="A78" s="1" t="s">
        <v>23</v>
      </c>
      <c r="B78" s="1">
        <v>60</v>
      </c>
      <c r="C78" s="12" t="str">
        <f>+'[1]Flow rate'!E2065</f>
        <v>70.0</v>
      </c>
      <c r="D78" s="1" t="s">
        <v>27</v>
      </c>
      <c r="E78" s="1" t="s">
        <v>26</v>
      </c>
      <c r="F78" s="1" t="s">
        <v>24</v>
      </c>
      <c r="G78" s="1">
        <v>-0.5</v>
      </c>
      <c r="H78" s="15">
        <v>45452.02144675926</v>
      </c>
      <c r="I78" s="2">
        <f t="shared" si="49"/>
        <v>31.622644722287077</v>
      </c>
      <c r="J78" s="16">
        <v>14.77752441930844</v>
      </c>
      <c r="K78" s="16">
        <v>1.2808074944206458</v>
      </c>
      <c r="L78" s="16">
        <v>87.128183100676324</v>
      </c>
      <c r="N78" s="16">
        <v>5.561398735069624E-2</v>
      </c>
      <c r="O78" s="16">
        <v>1.2617282623879622E-3</v>
      </c>
      <c r="P78" s="3">
        <f t="shared" si="50"/>
        <v>0.14313288545464059</v>
      </c>
      <c r="Q78" s="3">
        <f t="shared" si="51"/>
        <v>1.2405709318187328E-2</v>
      </c>
      <c r="R78" s="3">
        <f t="shared" si="52"/>
        <v>0.84391051557495378</v>
      </c>
      <c r="S78" s="3">
        <f t="shared" si="53"/>
        <v>5.3866874148028349E-4</v>
      </c>
      <c r="T78" s="4">
        <f t="shared" si="44"/>
        <v>2.6521600870133599</v>
      </c>
      <c r="U78" s="5">
        <f t="shared" si="45"/>
        <v>0.22986979547207492</v>
      </c>
      <c r="V78" s="14"/>
      <c r="W78" s="3">
        <f t="shared" si="46"/>
        <v>2.8820298824854347</v>
      </c>
      <c r="X78" s="3">
        <f t="shared" si="48"/>
        <v>1.4487299151356645E-2</v>
      </c>
      <c r="Y78">
        <f t="shared" ref="Y78" si="59">+SUM(K78:L78)</f>
        <v>88.408990595096967</v>
      </c>
    </row>
    <row r="79" spans="1:25" ht="15.6" x14ac:dyDescent="0.3">
      <c r="A79" s="1" t="s">
        <v>23</v>
      </c>
      <c r="B79" s="1">
        <v>60</v>
      </c>
      <c r="C79" s="12" t="str">
        <f>+'[1]Flow rate'!E2066</f>
        <v>68.6</v>
      </c>
      <c r="D79" s="1" t="s">
        <v>27</v>
      </c>
      <c r="E79" s="1" t="s">
        <v>26</v>
      </c>
      <c r="F79" s="1" t="s">
        <v>24</v>
      </c>
      <c r="G79" s="1">
        <v>-0.5</v>
      </c>
      <c r="H79" s="15">
        <v>45452.037083333336</v>
      </c>
      <c r="I79" s="2">
        <f t="shared" si="49"/>
        <v>31.997922500129789</v>
      </c>
      <c r="J79" s="16">
        <v>14.993722765443282</v>
      </c>
      <c r="K79" s="16">
        <v>0.9833775396600134</v>
      </c>
      <c r="L79" s="16">
        <v>87.231404232878887</v>
      </c>
      <c r="N79" s="16">
        <v>5.5310964590641706E-2</v>
      </c>
      <c r="O79" s="16">
        <v>1.3261318084177298E-3</v>
      </c>
      <c r="P79" s="3">
        <f t="shared" si="50"/>
        <v>0.1451963608255126</v>
      </c>
      <c r="Q79" s="3">
        <f t="shared" si="51"/>
        <v>9.5228411455798197E-3</v>
      </c>
      <c r="R79" s="3">
        <f t="shared" si="52"/>
        <v>0.84473233515457591</v>
      </c>
      <c r="S79" s="3">
        <f t="shared" si="53"/>
        <v>5.3562086600795794E-4</v>
      </c>
      <c r="T79" s="4">
        <f t="shared" si="44"/>
        <v>2.636587056168783</v>
      </c>
      <c r="U79" s="5">
        <f t="shared" si="45"/>
        <v>0.17292306473548705</v>
      </c>
      <c r="V79" s="14"/>
      <c r="W79" s="3">
        <f t="shared" si="46"/>
        <v>2.8095101209042701</v>
      </c>
      <c r="X79" s="3">
        <f t="shared" si="48"/>
        <v>1.114753695356459E-2</v>
      </c>
    </row>
    <row r="80" spans="1:25" ht="15.6" x14ac:dyDescent="0.3">
      <c r="A80" s="1" t="s">
        <v>23</v>
      </c>
      <c r="B80" s="1">
        <v>60</v>
      </c>
      <c r="C80" s="12" t="str">
        <f>+'[1]Flow rate'!E2067</f>
        <v>68.6</v>
      </c>
      <c r="D80" s="1" t="s">
        <v>27</v>
      </c>
      <c r="E80" s="1" t="s">
        <v>26</v>
      </c>
      <c r="F80" s="1" t="s">
        <v>24</v>
      </c>
      <c r="G80" s="1">
        <v>-0.5</v>
      </c>
      <c r="H80" s="15">
        <v>45452.052708333336</v>
      </c>
      <c r="I80" s="2">
        <f t="shared" si="49"/>
        <v>32.372922500129789</v>
      </c>
      <c r="J80" s="16">
        <v>14.926541671535299</v>
      </c>
      <c r="K80" s="16">
        <v>1.0514426724526742</v>
      </c>
      <c r="L80" s="16">
        <v>87.201200324644361</v>
      </c>
      <c r="N80" s="16">
        <v>5.5216840512255845E-2</v>
      </c>
      <c r="O80" s="16">
        <v>1.1123045577279833E-3</v>
      </c>
      <c r="P80" s="3">
        <f t="shared" si="50"/>
        <v>0.14458727544545935</v>
      </c>
      <c r="Q80" s="3">
        <f t="shared" si="51"/>
        <v>1.0184893101322635E-2</v>
      </c>
      <c r="R80" s="3">
        <f t="shared" si="52"/>
        <v>0.84468219417212087</v>
      </c>
      <c r="S80" s="3">
        <f t="shared" si="53"/>
        <v>5.3486284392306662E-4</v>
      </c>
      <c r="T80" s="4">
        <f t="shared" si="44"/>
        <v>2.625526815953259</v>
      </c>
      <c r="U80" s="5">
        <f t="shared" si="45"/>
        <v>0.18494511272001221</v>
      </c>
      <c r="V80" s="14"/>
      <c r="W80" s="3">
        <f t="shared" si="46"/>
        <v>2.8104719286732713</v>
      </c>
      <c r="X80" s="3">
        <f t="shared" si="48"/>
        <v>1.1914007748042856E-2</v>
      </c>
      <c r="Y80">
        <f t="shared" ref="Y80" si="60">+SUM(K80:L80)</f>
        <v>88.252642997097041</v>
      </c>
    </row>
    <row r="81" spans="1:25" ht="15.6" x14ac:dyDescent="0.3">
      <c r="A81" s="1" t="s">
        <v>23</v>
      </c>
      <c r="B81" s="1">
        <v>60</v>
      </c>
      <c r="C81" s="12" t="str">
        <f>+'[1]Flow rate'!E2068</f>
        <v>68.3</v>
      </c>
      <c r="D81" s="1" t="s">
        <v>27</v>
      </c>
      <c r="E81" s="1" t="s">
        <v>26</v>
      </c>
      <c r="F81" s="1" t="s">
        <v>24</v>
      </c>
      <c r="G81" s="1">
        <v>-0.5</v>
      </c>
      <c r="H81" s="15">
        <v>45452.068344907406</v>
      </c>
      <c r="I81" s="2">
        <f t="shared" si="49"/>
        <v>32.748200277797878</v>
      </c>
      <c r="J81" s="16">
        <v>14.857197596534325</v>
      </c>
      <c r="K81" s="16">
        <v>1.2137406486713136</v>
      </c>
      <c r="L81" s="16">
        <v>87.001610887288351</v>
      </c>
      <c r="N81" s="16">
        <v>5.4748671767787013E-2</v>
      </c>
      <c r="O81" s="16">
        <v>1.3691047179733573E-3</v>
      </c>
      <c r="P81" s="3">
        <f t="shared" si="50"/>
        <v>0.1440646722375179</v>
      </c>
      <c r="Q81" s="3">
        <f t="shared" si="51"/>
        <v>1.1769187802481226E-2</v>
      </c>
      <c r="R81" s="3">
        <f t="shared" si="52"/>
        <v>0.84362198693089907</v>
      </c>
      <c r="S81" s="3">
        <f t="shared" si="53"/>
        <v>5.3087733419561803E-4</v>
      </c>
      <c r="T81" s="4">
        <f t="shared" si="44"/>
        <v>2.6045965904723216</v>
      </c>
      <c r="U81" s="5">
        <f t="shared" si="45"/>
        <v>0.21277934379659805</v>
      </c>
      <c r="V81" s="14"/>
      <c r="W81" s="3">
        <f t="shared" si="46"/>
        <v>2.8173759342689197</v>
      </c>
      <c r="X81" s="3">
        <f t="shared" si="48"/>
        <v>1.3758837067905923E-2</v>
      </c>
    </row>
    <row r="82" spans="1:25" ht="15.6" x14ac:dyDescent="0.3">
      <c r="A82" s="1" t="s">
        <v>23</v>
      </c>
      <c r="B82" s="1">
        <v>60</v>
      </c>
      <c r="C82" s="12" t="str">
        <f>+'[1]Flow rate'!E2069</f>
        <v>69.1</v>
      </c>
      <c r="D82" s="1" t="s">
        <v>27</v>
      </c>
      <c r="E82" s="1" t="s">
        <v>26</v>
      </c>
      <c r="F82" s="1" t="s">
        <v>24</v>
      </c>
      <c r="G82" s="1">
        <v>-0.5</v>
      </c>
      <c r="H82" s="15">
        <v>45452.083969907406</v>
      </c>
      <c r="I82" s="2">
        <f t="shared" si="49"/>
        <v>33.123200277797878</v>
      </c>
      <c r="J82" s="16">
        <v>14.637237166974353</v>
      </c>
      <c r="K82" s="16">
        <v>1.3973187517828705</v>
      </c>
      <c r="L82" s="16">
        <v>87.096048086462503</v>
      </c>
      <c r="N82" s="16">
        <v>5.4704206834011268E-2</v>
      </c>
      <c r="O82" s="16">
        <v>1.32806137834518E-3</v>
      </c>
      <c r="P82" s="3">
        <f t="shared" si="50"/>
        <v>0.14185206239485748</v>
      </c>
      <c r="Q82" s="3">
        <f t="shared" si="51"/>
        <v>1.3541663942607307E-2</v>
      </c>
      <c r="R82" s="3">
        <f t="shared" si="52"/>
        <v>0.84406325500977208</v>
      </c>
      <c r="S82" s="3">
        <f t="shared" si="53"/>
        <v>5.3014817431446979E-4</v>
      </c>
      <c r="T82" s="4">
        <f t="shared" si="44"/>
        <v>2.5946331966957379</v>
      </c>
      <c r="U82" s="5">
        <f t="shared" si="45"/>
        <v>0.24769220983325207</v>
      </c>
      <c r="V82" s="14"/>
      <c r="W82" s="3">
        <f t="shared" si="46"/>
        <v>2.8423254065289898</v>
      </c>
      <c r="X82" s="3">
        <f t="shared" si="48"/>
        <v>1.5790095932692802E-2</v>
      </c>
      <c r="Y82">
        <f t="shared" ref="Y82" si="61">+SUM(K82:L82)</f>
        <v>88.493366838245379</v>
      </c>
    </row>
    <row r="83" spans="1:25" ht="15.6" x14ac:dyDescent="0.3">
      <c r="A83" s="1" t="s">
        <v>23</v>
      </c>
      <c r="B83" s="1">
        <v>60</v>
      </c>
      <c r="C83" s="12" t="str">
        <f>+'[1]Flow rate'!E2070</f>
        <v>68.4</v>
      </c>
      <c r="D83" s="1" t="s">
        <v>27</v>
      </c>
      <c r="E83" s="1" t="s">
        <v>26</v>
      </c>
      <c r="F83" s="1" t="s">
        <v>24</v>
      </c>
      <c r="G83" s="1">
        <v>-0.5</v>
      </c>
      <c r="H83" s="15">
        <v>45452.099606481483</v>
      </c>
      <c r="I83" s="2">
        <f t="shared" si="49"/>
        <v>33.498478055640589</v>
      </c>
      <c r="J83" s="16">
        <v>14.675371998403786</v>
      </c>
      <c r="K83" s="16">
        <v>1.3815639610510682</v>
      </c>
      <c r="L83" s="16">
        <v>87.098201270548032</v>
      </c>
      <c r="N83" s="16">
        <v>5.4788268969901091E-2</v>
      </c>
      <c r="O83" s="16">
        <v>1.0355643213907917E-3</v>
      </c>
      <c r="P83" s="3">
        <f t="shared" si="50"/>
        <v>0.14218811497554129</v>
      </c>
      <c r="Q83" s="3">
        <f t="shared" si="51"/>
        <v>1.3385825951216785E-2</v>
      </c>
      <c r="R83" s="3">
        <f t="shared" si="52"/>
        <v>0.84388518790300793</v>
      </c>
      <c r="S83" s="3">
        <f t="shared" si="53"/>
        <v>5.308376979098389E-4</v>
      </c>
      <c r="T83" s="4">
        <f t="shared" si="44"/>
        <v>2.5744334340235744</v>
      </c>
      <c r="U83" s="5">
        <f t="shared" si="45"/>
        <v>0.24236145107318394</v>
      </c>
      <c r="V83" s="14"/>
      <c r="W83" s="3">
        <f t="shared" si="46"/>
        <v>2.8167948850967583</v>
      </c>
      <c r="X83" s="3">
        <f t="shared" si="48"/>
        <v>1.5614462328587476E-2</v>
      </c>
    </row>
    <row r="84" spans="1:25" ht="15.6" x14ac:dyDescent="0.3">
      <c r="A84" s="1" t="s">
        <v>23</v>
      </c>
      <c r="B84" s="1">
        <v>60</v>
      </c>
      <c r="C84" s="12" t="str">
        <f>+'[1]Flow rate'!E2071</f>
        <v>68.4</v>
      </c>
      <c r="D84" s="1" t="s">
        <v>27</v>
      </c>
      <c r="E84" s="1" t="s">
        <v>26</v>
      </c>
      <c r="F84" s="1" t="s">
        <v>24</v>
      </c>
      <c r="G84" s="1">
        <v>-0.5</v>
      </c>
      <c r="H84" s="15">
        <v>45452.115243055552</v>
      </c>
      <c r="I84" s="2">
        <f t="shared" si="49"/>
        <v>33.873755833308678</v>
      </c>
      <c r="J84" s="16">
        <v>14.649026570605587</v>
      </c>
      <c r="K84" s="16">
        <v>1.3633503982523312</v>
      </c>
      <c r="L84" s="16">
        <v>87.118595902505078</v>
      </c>
      <c r="N84" s="16">
        <v>5.5258688246317057E-2</v>
      </c>
      <c r="O84" s="16">
        <v>9.8656535787355892E-4</v>
      </c>
      <c r="P84" s="3">
        <f t="shared" si="50"/>
        <v>0.14196551507827795</v>
      </c>
      <c r="Q84" s="3">
        <f t="shared" si="51"/>
        <v>1.3212396099303842E-2</v>
      </c>
      <c r="R84" s="3">
        <f t="shared" si="52"/>
        <v>0.84427700916404347</v>
      </c>
      <c r="S84" s="3">
        <f t="shared" si="53"/>
        <v>5.3551873236271173E-4</v>
      </c>
      <c r="T84" s="4">
        <f t="shared" si="44"/>
        <v>2.5704030787577814</v>
      </c>
      <c r="U84" s="5">
        <f t="shared" si="45"/>
        <v>0.23922136014997825</v>
      </c>
      <c r="V84" s="14"/>
      <c r="W84" s="3">
        <f t="shared" si="46"/>
        <v>2.8096244389077598</v>
      </c>
      <c r="X84" s="3">
        <f t="shared" si="48"/>
        <v>1.5408232472850348E-2</v>
      </c>
      <c r="Y84">
        <f t="shared" ref="Y84" si="62">+SUM(K84:L84)</f>
        <v>88.481946300757414</v>
      </c>
    </row>
    <row r="85" spans="1:25" ht="15.6" x14ac:dyDescent="0.3">
      <c r="A85" s="1" t="s">
        <v>23</v>
      </c>
      <c r="B85" s="1">
        <v>60</v>
      </c>
      <c r="C85" s="12" t="str">
        <f>+'[1]Flow rate'!E2072</f>
        <v>69.2</v>
      </c>
      <c r="D85" s="1" t="s">
        <v>27</v>
      </c>
      <c r="E85" s="1" t="s">
        <v>26</v>
      </c>
      <c r="F85" s="1" t="s">
        <v>24</v>
      </c>
      <c r="G85" s="1">
        <v>-0.5</v>
      </c>
      <c r="H85" s="15">
        <v>45452.130868055552</v>
      </c>
      <c r="I85" s="2">
        <f t="shared" si="49"/>
        <v>34.248755833308678</v>
      </c>
      <c r="J85" s="16">
        <v>14.625428967384401</v>
      </c>
      <c r="K85" s="16">
        <v>1.3782292682669615</v>
      </c>
      <c r="L85" s="16">
        <v>87.046299835397491</v>
      </c>
      <c r="N85" s="16">
        <v>5.4396639634530258E-2</v>
      </c>
      <c r="O85" s="16">
        <v>1.0495055688678478E-3</v>
      </c>
      <c r="P85" s="3">
        <f t="shared" si="50"/>
        <v>0.14184929566552273</v>
      </c>
      <c r="Q85" s="3">
        <f t="shared" si="51"/>
        <v>1.3367187479099322E-2</v>
      </c>
      <c r="R85" s="3">
        <f t="shared" si="52"/>
        <v>0.84424575508018418</v>
      </c>
      <c r="S85" s="3">
        <f t="shared" si="53"/>
        <v>5.2758281729286746E-4</v>
      </c>
      <c r="T85" s="4">
        <f t="shared" si="44"/>
        <v>2.598337412966603</v>
      </c>
      <c r="U85" s="5">
        <f t="shared" si="45"/>
        <v>0.24485467601461219</v>
      </c>
      <c r="V85" s="14"/>
      <c r="W85" s="3">
        <f t="shared" si="46"/>
        <v>2.8431920889812154</v>
      </c>
      <c r="X85" s="3">
        <f t="shared" si="48"/>
        <v>1.5586503906073336E-2</v>
      </c>
    </row>
    <row r="86" spans="1:25" ht="15.6" x14ac:dyDescent="0.3">
      <c r="A86" s="1" t="s">
        <v>23</v>
      </c>
      <c r="B86" s="1">
        <v>60</v>
      </c>
      <c r="C86" s="12" t="str">
        <f>+'[1]Flow rate'!E2073</f>
        <v>68.3</v>
      </c>
      <c r="D86" s="1" t="s">
        <v>27</v>
      </c>
      <c r="E86" s="1" t="s">
        <v>26</v>
      </c>
      <c r="F86" s="1" t="s">
        <v>24</v>
      </c>
      <c r="G86" s="1">
        <v>-0.5</v>
      </c>
      <c r="H86" s="15">
        <v>45452.146516203706</v>
      </c>
      <c r="I86" s="2">
        <f t="shared" si="49"/>
        <v>34.624311388994101</v>
      </c>
      <c r="J86" s="16">
        <v>14.465028593402733</v>
      </c>
      <c r="K86" s="16">
        <v>1.5660482819068977</v>
      </c>
      <c r="L86" s="16">
        <v>86.944497321236483</v>
      </c>
      <c r="N86" s="16">
        <v>5.4286828100401543E-2</v>
      </c>
      <c r="O86" s="16">
        <v>1.4784729121001261E-3</v>
      </c>
      <c r="P86" s="3">
        <f t="shared" si="50"/>
        <v>0.14039445341526877</v>
      </c>
      <c r="Q86" s="3">
        <f t="shared" si="51"/>
        <v>1.5199727476551015E-2</v>
      </c>
      <c r="R86" s="3">
        <f t="shared" si="52"/>
        <v>0.8438645731020189</v>
      </c>
      <c r="S86" s="3">
        <f t="shared" si="53"/>
        <v>5.268962663703688E-4</v>
      </c>
      <c r="T86" s="4">
        <f t="shared" si="44"/>
        <v>2.5382413953905121</v>
      </c>
      <c r="U86" s="5">
        <f t="shared" si="45"/>
        <v>0.27480129407619808</v>
      </c>
      <c r="V86" s="14"/>
      <c r="W86" s="3">
        <f t="shared" si="46"/>
        <v>2.8130426894667102</v>
      </c>
      <c r="X86" s="3">
        <f t="shared" si="48"/>
        <v>1.769335248399238E-2</v>
      </c>
      <c r="Y86">
        <f t="shared" ref="Y86" si="63">+SUM(K86:L86)</f>
        <v>88.510545603143385</v>
      </c>
    </row>
    <row r="87" spans="1:25" ht="15.6" x14ac:dyDescent="0.3">
      <c r="A87" s="1" t="s">
        <v>23</v>
      </c>
      <c r="B87" s="1">
        <v>60</v>
      </c>
      <c r="C87" s="12" t="str">
        <f>+'[1]Flow rate'!E2074</f>
        <v>68.3</v>
      </c>
      <c r="D87" s="1" t="s">
        <v>27</v>
      </c>
      <c r="E87" s="1" t="s">
        <v>26</v>
      </c>
      <c r="F87" s="1" t="s">
        <v>24</v>
      </c>
      <c r="G87" s="1">
        <v>-0.5</v>
      </c>
      <c r="H87" s="15">
        <v>45452.162164351852</v>
      </c>
      <c r="I87" s="2">
        <f t="shared" si="49"/>
        <v>34.999866944504902</v>
      </c>
      <c r="J87" s="16">
        <v>14.377971496095356</v>
      </c>
      <c r="K87" s="16">
        <v>1.6917614196702624</v>
      </c>
      <c r="L87" s="16">
        <v>86.906302458620885</v>
      </c>
      <c r="N87" s="16">
        <v>5.4537597186225806E-2</v>
      </c>
      <c r="O87" s="16">
        <v>1.3243537566493546E-3</v>
      </c>
      <c r="P87" s="3">
        <f t="shared" si="50"/>
        <v>0.13954874043225712</v>
      </c>
      <c r="Q87" s="3">
        <f t="shared" si="51"/>
        <v>1.641978322818248E-2</v>
      </c>
      <c r="R87" s="3">
        <f t="shared" si="52"/>
        <v>0.8434892952054357</v>
      </c>
      <c r="S87" s="3">
        <f t="shared" si="53"/>
        <v>5.2932731126963605E-4</v>
      </c>
      <c r="T87" s="4">
        <f t="shared" si="44"/>
        <v>2.5229514487446152</v>
      </c>
      <c r="U87" s="5">
        <f t="shared" si="45"/>
        <v>0.29685911714642538</v>
      </c>
      <c r="V87" s="14"/>
      <c r="W87" s="3">
        <f t="shared" si="46"/>
        <v>2.8198105658910406</v>
      </c>
      <c r="X87" s="3">
        <f t="shared" si="48"/>
        <v>1.9094789949295816E-2</v>
      </c>
    </row>
    <row r="88" spans="1:25" ht="15.6" x14ac:dyDescent="0.3">
      <c r="A88" s="1" t="s">
        <v>23</v>
      </c>
      <c r="B88" s="1">
        <v>60</v>
      </c>
      <c r="C88" s="12" t="str">
        <f>+'[1]Flow rate'!E2075</f>
        <v>68.5</v>
      </c>
      <c r="D88" s="1" t="s">
        <v>27</v>
      </c>
      <c r="E88" s="1" t="s">
        <v>26</v>
      </c>
      <c r="F88" s="1" t="s">
        <v>24</v>
      </c>
      <c r="G88" s="1">
        <v>-0.5</v>
      </c>
      <c r="H88" s="15">
        <v>45452.177789351852</v>
      </c>
      <c r="I88" s="2">
        <f t="shared" si="49"/>
        <v>35.374866944504902</v>
      </c>
      <c r="J88" s="16">
        <v>14.475869524041332</v>
      </c>
      <c r="K88" s="16">
        <v>1.509930445122162</v>
      </c>
      <c r="L88" s="16">
        <v>86.980388559759774</v>
      </c>
      <c r="N88" s="16">
        <v>5.3893545101566964E-2</v>
      </c>
      <c r="O88" s="16">
        <v>1.1120905441066031E-3</v>
      </c>
      <c r="P88" s="3">
        <f t="shared" si="50"/>
        <v>0.14051350929709833</v>
      </c>
      <c r="Q88" s="3">
        <f t="shared" si="51"/>
        <v>1.465650303674559E-2</v>
      </c>
      <c r="R88" s="3">
        <f t="shared" si="52"/>
        <v>0.84429606223370746</v>
      </c>
      <c r="S88" s="3">
        <f t="shared" si="53"/>
        <v>5.2313065810007889E-4</v>
      </c>
      <c r="T88" s="4">
        <f t="shared" si="44"/>
        <v>2.5478327769556697</v>
      </c>
      <c r="U88" s="5">
        <f t="shared" si="45"/>
        <v>0.26575607583477989</v>
      </c>
      <c r="V88" s="14"/>
      <c r="W88" s="3">
        <f t="shared" si="46"/>
        <v>2.8135888527904496</v>
      </c>
      <c r="X88" s="3">
        <f t="shared" si="48"/>
        <v>1.7063227504455717E-2</v>
      </c>
      <c r="Y88">
        <f t="shared" ref="Y88" si="64">+SUM(K88:L88)</f>
        <v>88.49031900488194</v>
      </c>
    </row>
    <row r="89" spans="1:25" ht="15.6" x14ac:dyDescent="0.3">
      <c r="A89" s="1" t="s">
        <v>23</v>
      </c>
      <c r="B89" s="1">
        <v>60</v>
      </c>
      <c r="C89" s="12" t="str">
        <f>+'[1]Flow rate'!E2076</f>
        <v>69.5</v>
      </c>
      <c r="D89" s="1" t="s">
        <v>27</v>
      </c>
      <c r="E89" s="1" t="s">
        <v>26</v>
      </c>
      <c r="F89" s="1" t="s">
        <v>24</v>
      </c>
      <c r="G89" s="1">
        <v>-0.5</v>
      </c>
      <c r="H89" s="15">
        <v>45452.193425925929</v>
      </c>
      <c r="I89" s="2">
        <f t="shared" si="49"/>
        <v>35.750144722347613</v>
      </c>
      <c r="J89" s="16">
        <v>14.568745416408071</v>
      </c>
      <c r="K89" s="16">
        <v>1.3878462179395292</v>
      </c>
      <c r="L89" s="16">
        <v>87.062127814091809</v>
      </c>
      <c r="N89" s="16">
        <v>5.4162846408675955E-2</v>
      </c>
      <c r="O89" s="16">
        <v>1.1519546406564274E-3</v>
      </c>
      <c r="P89" s="3">
        <f t="shared" si="50"/>
        <v>0.1413425361924294</v>
      </c>
      <c r="Q89" s="3">
        <f t="shared" si="51"/>
        <v>1.3464557083118273E-2</v>
      </c>
      <c r="R89" s="3">
        <f t="shared" si="52"/>
        <v>0.84465625555471691</v>
      </c>
      <c r="S89" s="3">
        <f t="shared" si="53"/>
        <v>5.25475177168052E-4</v>
      </c>
      <c r="T89" s="4">
        <f t="shared" si="44"/>
        <v>2.6002790261031419</v>
      </c>
      <c r="U89" s="5">
        <f t="shared" si="45"/>
        <v>0.24770749359792679</v>
      </c>
      <c r="V89" s="14"/>
      <c r="W89" s="3">
        <f t="shared" si="46"/>
        <v>2.8479865197010685</v>
      </c>
      <c r="X89" s="3">
        <f t="shared" si="48"/>
        <v>1.5690747601994022E-2</v>
      </c>
    </row>
    <row r="90" spans="1:25" ht="15.6" x14ac:dyDescent="0.3">
      <c r="A90" s="1" t="s">
        <v>23</v>
      </c>
      <c r="B90" s="1">
        <v>60</v>
      </c>
      <c r="C90" s="12" t="str">
        <f>+'[1]Flow rate'!E2077</f>
        <v>69.5</v>
      </c>
      <c r="D90" s="1" t="s">
        <v>27</v>
      </c>
      <c r="E90" s="1" t="s">
        <v>26</v>
      </c>
      <c r="F90" s="1" t="s">
        <v>24</v>
      </c>
      <c r="G90" s="1">
        <v>-0.5</v>
      </c>
      <c r="H90" s="15">
        <v>45452.209050925929</v>
      </c>
      <c r="I90" s="2">
        <f t="shared" si="49"/>
        <v>36.125144722347613</v>
      </c>
      <c r="J90" s="16">
        <v>14.335392866277289</v>
      </c>
      <c r="K90" s="16">
        <v>1.7569458101350379</v>
      </c>
      <c r="L90" s="16">
        <v>86.845662277550304</v>
      </c>
      <c r="N90" s="16">
        <v>5.4355755155794078E-2</v>
      </c>
      <c r="O90" s="16">
        <v>1.2415544082232666E-3</v>
      </c>
      <c r="P90" s="3">
        <f t="shared" si="50"/>
        <v>0.13918722239024747</v>
      </c>
      <c r="Q90" s="3">
        <f t="shared" si="51"/>
        <v>1.7058786563021063E-2</v>
      </c>
      <c r="R90" s="3">
        <f t="shared" si="52"/>
        <v>0.84321417779133123</v>
      </c>
      <c r="S90" s="3">
        <f t="shared" si="53"/>
        <v>5.2775857987518435E-4</v>
      </c>
      <c r="T90" s="4">
        <f t="shared" si="44"/>
        <v>2.5606277121713314</v>
      </c>
      <c r="U90" s="5">
        <f t="shared" si="45"/>
        <v>0.31383054320041032</v>
      </c>
      <c r="V90" s="14"/>
      <c r="W90" s="3">
        <f t="shared" si="46"/>
        <v>2.8744582553717417</v>
      </c>
      <c r="X90" s="3">
        <f t="shared" si="48"/>
        <v>1.9829504436215704E-2</v>
      </c>
      <c r="Y90">
        <f t="shared" ref="Y90" si="65">+SUM(K90:L90)</f>
        <v>88.60260808768534</v>
      </c>
    </row>
    <row r="91" spans="1:25" ht="15.6" x14ac:dyDescent="0.3">
      <c r="A91" s="1" t="s">
        <v>23</v>
      </c>
      <c r="B91" s="1">
        <v>60</v>
      </c>
      <c r="C91" s="12" t="str">
        <f>+'[1]Flow rate'!E2078</f>
        <v>68.9</v>
      </c>
      <c r="D91" s="1" t="s">
        <v>27</v>
      </c>
      <c r="E91" s="1" t="s">
        <v>26</v>
      </c>
      <c r="F91" s="1" t="s">
        <v>24</v>
      </c>
      <c r="G91" s="1">
        <v>-0.5</v>
      </c>
      <c r="H91" s="15">
        <v>45452.224699074075</v>
      </c>
      <c r="I91" s="2">
        <f t="shared" si="49"/>
        <v>36.500700277858414</v>
      </c>
      <c r="J91" s="16">
        <v>14.373306483731334</v>
      </c>
      <c r="K91" s="16">
        <v>1.615739109340308</v>
      </c>
      <c r="L91" s="16">
        <v>86.96725334698418</v>
      </c>
      <c r="N91" s="16">
        <v>5.4274035147003442E-2</v>
      </c>
      <c r="O91" s="16">
        <v>1.4842700205860426E-3</v>
      </c>
      <c r="P91" s="3">
        <f t="shared" si="50"/>
        <v>0.13953033138164816</v>
      </c>
      <c r="Q91" s="3">
        <f t="shared" si="51"/>
        <v>1.5684951378982664E-2</v>
      </c>
      <c r="R91" s="3">
        <f t="shared" si="52"/>
        <v>0.84424343783326194</v>
      </c>
      <c r="S91" s="3">
        <f t="shared" si="53"/>
        <v>5.2687070424972118E-4</v>
      </c>
      <c r="T91" s="4">
        <f t="shared" si="44"/>
        <v>2.5447792570902292</v>
      </c>
      <c r="U91" s="5">
        <f t="shared" si="45"/>
        <v>0.28606496180767826</v>
      </c>
      <c r="V91" s="14"/>
      <c r="W91" s="3">
        <f t="shared" si="46"/>
        <v>2.8308442188979077</v>
      </c>
      <c r="X91" s="3">
        <f t="shared" si="48"/>
        <v>1.8239834358011128E-2</v>
      </c>
    </row>
    <row r="92" spans="1:25" ht="15.6" x14ac:dyDescent="0.3">
      <c r="A92" s="1" t="s">
        <v>23</v>
      </c>
      <c r="B92" s="1">
        <v>60</v>
      </c>
      <c r="C92" s="12" t="str">
        <f>+'[1]Flow rate'!E2079</f>
        <v>69.3</v>
      </c>
      <c r="D92" s="1" t="s">
        <v>27</v>
      </c>
      <c r="E92" s="1" t="s">
        <v>26</v>
      </c>
      <c r="F92" s="1" t="s">
        <v>24</v>
      </c>
      <c r="G92" s="1">
        <v>-0.5</v>
      </c>
      <c r="H92" s="15">
        <v>45452.240324074075</v>
      </c>
      <c r="I92" s="2">
        <f t="shared" si="49"/>
        <v>36.875700277858414</v>
      </c>
      <c r="J92" s="16">
        <v>14.350587230118446</v>
      </c>
      <c r="K92" s="16">
        <v>1.6635309864410741</v>
      </c>
      <c r="L92" s="16">
        <v>86.978486200863756</v>
      </c>
      <c r="N92" s="16">
        <v>5.4185246968434575E-2</v>
      </c>
      <c r="O92" s="16">
        <v>1.2500478339187993E-3</v>
      </c>
      <c r="P92" s="3">
        <f t="shared" si="50"/>
        <v>0.13926113752570385</v>
      </c>
      <c r="Q92" s="3">
        <f t="shared" si="51"/>
        <v>1.6143256980789635E-2</v>
      </c>
      <c r="R92" s="3">
        <f t="shared" si="52"/>
        <v>0.84405764965313179</v>
      </c>
      <c r="S92" s="3">
        <f t="shared" si="53"/>
        <v>5.2582511146988882E-4</v>
      </c>
      <c r="T92" s="4">
        <f t="shared" si="44"/>
        <v>2.5546149031380248</v>
      </c>
      <c r="U92" s="5">
        <f t="shared" si="45"/>
        <v>0.29613290255294955</v>
      </c>
      <c r="V92" s="14"/>
      <c r="W92" s="3">
        <f t="shared" si="46"/>
        <v>2.8507478056909745</v>
      </c>
      <c r="X92" s="3">
        <f t="shared" si="48"/>
        <v>1.876684488041324E-2</v>
      </c>
      <c r="Y92">
        <f t="shared" ref="Y92" si="66">+SUM(K92:L92)</f>
        <v>88.64201718730483</v>
      </c>
    </row>
    <row r="93" spans="1:25" ht="15.6" x14ac:dyDescent="0.3">
      <c r="A93" s="1" t="s">
        <v>23</v>
      </c>
      <c r="B93" s="1">
        <v>60</v>
      </c>
      <c r="C93" s="12" t="str">
        <f>+'[1]Flow rate'!E2080</f>
        <v>69.3</v>
      </c>
      <c r="D93" s="1" t="s">
        <v>27</v>
      </c>
      <c r="E93" s="1" t="s">
        <v>26</v>
      </c>
      <c r="F93" s="1" t="s">
        <v>24</v>
      </c>
      <c r="G93" s="1">
        <v>-0.5</v>
      </c>
      <c r="H93" s="15">
        <v>45452.255972222221</v>
      </c>
      <c r="I93" s="2">
        <f t="shared" si="49"/>
        <v>37.251255833369214</v>
      </c>
      <c r="J93" s="16">
        <v>14.355487191966164</v>
      </c>
      <c r="K93" s="16">
        <v>1.6420517407533117</v>
      </c>
      <c r="L93" s="16">
        <v>86.991275622047795</v>
      </c>
      <c r="N93" s="16">
        <v>5.4228402340183703E-2</v>
      </c>
      <c r="O93" s="16">
        <v>1.0410786844342046E-3</v>
      </c>
      <c r="P93" s="3">
        <f t="shared" si="50"/>
        <v>0.13931403560227534</v>
      </c>
      <c r="Q93" s="3">
        <f t="shared" si="51"/>
        <v>1.5935429540845376E-2</v>
      </c>
      <c r="R93" s="3">
        <f t="shared" si="52"/>
        <v>0.84421416751913447</v>
      </c>
      <c r="S93" s="3">
        <f t="shared" si="53"/>
        <v>5.2626410189009697E-4</v>
      </c>
      <c r="T93" s="4">
        <f t="shared" si="44"/>
        <v>2.5555852687199661</v>
      </c>
      <c r="U93" s="5">
        <f t="shared" si="45"/>
        <v>0.29232050316575769</v>
      </c>
      <c r="V93" s="14"/>
      <c r="W93" s="3">
        <f t="shared" si="46"/>
        <v>2.8479057718857237</v>
      </c>
      <c r="X93" s="3">
        <f t="shared" si="48"/>
        <v>1.8526346574262439E-2</v>
      </c>
    </row>
    <row r="94" spans="1:25" ht="15.6" x14ac:dyDescent="0.3">
      <c r="A94" s="1" t="s">
        <v>23</v>
      </c>
      <c r="B94" s="1">
        <v>60</v>
      </c>
      <c r="C94" s="12" t="str">
        <f>+'[1]Flow rate'!E2081</f>
        <v>73.5</v>
      </c>
      <c r="D94" s="1" t="s">
        <v>27</v>
      </c>
      <c r="E94" s="1" t="s">
        <v>26</v>
      </c>
      <c r="F94" s="1" t="s">
        <v>24</v>
      </c>
      <c r="G94" s="1">
        <v>-0.5</v>
      </c>
      <c r="H94" s="15">
        <v>45452.271608796298</v>
      </c>
      <c r="I94" s="2">
        <f t="shared" si="49"/>
        <v>37.626533611211926</v>
      </c>
      <c r="J94" s="16">
        <v>14.286848688337754</v>
      </c>
      <c r="K94" s="16">
        <v>1.7392903859024296</v>
      </c>
      <c r="L94" s="16">
        <v>86.924343319816614</v>
      </c>
      <c r="N94" s="16">
        <v>5.385448101260587E-2</v>
      </c>
      <c r="O94" s="16">
        <v>9.1756683823923657E-4</v>
      </c>
      <c r="P94" s="3">
        <f t="shared" si="50"/>
        <v>0.13870019316728327</v>
      </c>
      <c r="Q94" s="3">
        <f t="shared" si="51"/>
        <v>1.688545303175136E-2</v>
      </c>
      <c r="R94" s="3">
        <f t="shared" si="52"/>
        <v>0.84388261347230342</v>
      </c>
      <c r="S94" s="3">
        <f t="shared" si="53"/>
        <v>5.2283236718742769E-4</v>
      </c>
      <c r="T94" s="4">
        <f t="shared" si="44"/>
        <v>2.6985264146070822</v>
      </c>
      <c r="U94" s="5">
        <f t="shared" si="45"/>
        <v>0.32852038622492985</v>
      </c>
      <c r="V94" s="14"/>
      <c r="W94" s="3">
        <f t="shared" si="46"/>
        <v>3.0270468008320122</v>
      </c>
      <c r="X94" s="3">
        <f t="shared" si="48"/>
        <v>1.9616728000064365E-2</v>
      </c>
      <c r="Y94">
        <f t="shared" ref="Y94" si="67">+SUM(K94:L94)</f>
        <v>88.66363370571905</v>
      </c>
    </row>
    <row r="95" spans="1:25" ht="15.6" x14ac:dyDescent="0.3">
      <c r="A95" s="1" t="s">
        <v>23</v>
      </c>
      <c r="B95" s="1">
        <v>60</v>
      </c>
      <c r="C95" s="12" t="str">
        <f>+'[1]Flow rate'!E2082</f>
        <v>73.5</v>
      </c>
      <c r="D95" s="1" t="s">
        <v>27</v>
      </c>
      <c r="E95" s="1" t="s">
        <v>26</v>
      </c>
      <c r="F95" s="1" t="s">
        <v>24</v>
      </c>
      <c r="G95" s="1">
        <v>-0.5</v>
      </c>
      <c r="H95" s="15">
        <v>45452.287233796298</v>
      </c>
      <c r="I95" s="2">
        <f t="shared" si="49"/>
        <v>38.001533611211926</v>
      </c>
      <c r="J95" s="16">
        <v>14.504568061283985</v>
      </c>
      <c r="K95" s="16">
        <v>1.4110397704113689</v>
      </c>
      <c r="L95" s="16">
        <v>86.92386380377333</v>
      </c>
      <c r="N95" s="16">
        <v>5.3565090547507327E-2</v>
      </c>
      <c r="O95" s="16">
        <v>1.0446044894478201E-3</v>
      </c>
      <c r="P95" s="3">
        <f t="shared" si="50"/>
        <v>0.14096600964533543</v>
      </c>
      <c r="Q95" s="3">
        <f t="shared" si="51"/>
        <v>1.3713517358486091E-2</v>
      </c>
      <c r="R95" s="3">
        <f t="shared" si="52"/>
        <v>0.84478973600595697</v>
      </c>
      <c r="S95" s="3">
        <f t="shared" si="53"/>
        <v>5.2058475915102572E-4</v>
      </c>
      <c r="T95" s="4">
        <f t="shared" si="44"/>
        <v>2.7426097390571162</v>
      </c>
      <c r="U95" s="5">
        <f t="shared" si="45"/>
        <v>0.26680776705490944</v>
      </c>
      <c r="V95" s="14"/>
      <c r="W95" s="3">
        <f t="shared" si="46"/>
        <v>3.0094175061120256</v>
      </c>
      <c r="X95" s="3">
        <f t="shared" si="48"/>
        <v>1.597375118235524E-2</v>
      </c>
    </row>
    <row r="96" spans="1:25" ht="15.6" x14ac:dyDescent="0.3">
      <c r="A96" s="1" t="s">
        <v>23</v>
      </c>
      <c r="B96" s="1">
        <v>60</v>
      </c>
      <c r="C96" s="12" t="str">
        <f>+'[1]Flow rate'!E2083</f>
        <v>73.0</v>
      </c>
      <c r="D96" s="1" t="s">
        <v>27</v>
      </c>
      <c r="E96" s="1" t="s">
        <v>26</v>
      </c>
      <c r="F96" s="1" t="s">
        <v>24</v>
      </c>
      <c r="G96" s="1">
        <v>-0.5</v>
      </c>
      <c r="H96" s="15">
        <v>45452.302858796298</v>
      </c>
      <c r="I96" s="2">
        <f t="shared" si="49"/>
        <v>38.376533611211926</v>
      </c>
      <c r="J96" s="16">
        <v>14.256270555225527</v>
      </c>
      <c r="K96" s="16">
        <v>1.8691148302448597</v>
      </c>
      <c r="L96" s="16">
        <v>86.825634469396093</v>
      </c>
      <c r="N96" s="16">
        <v>5.2866816560419944E-2</v>
      </c>
      <c r="O96" s="16">
        <v>0.16233525606017046</v>
      </c>
      <c r="P96" s="3">
        <f t="shared" si="50"/>
        <v>0.13818738622846827</v>
      </c>
      <c r="Q96" s="3">
        <f t="shared" si="51"/>
        <v>1.811750779783923E-2</v>
      </c>
      <c r="R96" s="3">
        <f t="shared" si="52"/>
        <v>0.84160913181858721</v>
      </c>
      <c r="S96" s="3">
        <f t="shared" si="53"/>
        <v>5.1244308042586552E-4</v>
      </c>
      <c r="T96" s="4">
        <f t="shared" si="44"/>
        <v>2.6702598823004786</v>
      </c>
      <c r="U96" s="5">
        <f t="shared" si="45"/>
        <v>0.35009312760175532</v>
      </c>
      <c r="V96" s="14"/>
      <c r="W96" s="3">
        <f t="shared" si="46"/>
        <v>3.0203530099022338</v>
      </c>
      <c r="X96" s="3">
        <f t="shared" si="48"/>
        <v>2.1073567995895177E-2</v>
      </c>
      <c r="Y96">
        <f t="shared" ref="Y96" si="68">+SUM(K96:L96)</f>
        <v>88.694749299640947</v>
      </c>
    </row>
    <row r="97" spans="1:25" ht="15.6" x14ac:dyDescent="0.3">
      <c r="A97" s="1" t="s">
        <v>23</v>
      </c>
      <c r="B97" s="1">
        <v>60</v>
      </c>
      <c r="C97" s="12" t="str">
        <f>+'[1]Flow rate'!E2084</f>
        <v>73.0</v>
      </c>
      <c r="D97" s="1" t="s">
        <v>27</v>
      </c>
      <c r="E97" s="1" t="s">
        <v>26</v>
      </c>
      <c r="F97" s="1" t="s">
        <v>24</v>
      </c>
      <c r="G97" s="1">
        <v>-0.5</v>
      </c>
      <c r="H97" s="15">
        <v>45452.318483796298</v>
      </c>
      <c r="I97" s="2">
        <f t="shared" si="49"/>
        <v>38.751533611211926</v>
      </c>
      <c r="J97" s="16">
        <v>14.063473177667058</v>
      </c>
      <c r="K97" s="16">
        <v>2.1733989824390907</v>
      </c>
      <c r="L97" s="16">
        <v>86.552573824581771</v>
      </c>
      <c r="N97" s="16">
        <v>5.3702689341410453E-2</v>
      </c>
      <c r="O97" s="16">
        <v>1.1435013019135409E-3</v>
      </c>
      <c r="P97" s="3">
        <f t="shared" si="50"/>
        <v>0.13674529602178931</v>
      </c>
      <c r="Q97" s="3">
        <f t="shared" si="51"/>
        <v>2.1132908170867003E-2</v>
      </c>
      <c r="R97" s="3">
        <f t="shared" si="52"/>
        <v>0.84158850232568105</v>
      </c>
      <c r="S97" s="3">
        <f t="shared" si="53"/>
        <v>5.2217471874721954E-4</v>
      </c>
      <c r="T97" s="4">
        <f t="shared" si="44"/>
        <v>2.6423936947224989</v>
      </c>
      <c r="U97" s="5">
        <f t="shared" si="45"/>
        <v>0.40836112777839645</v>
      </c>
      <c r="V97" s="14"/>
      <c r="W97" s="3">
        <f t="shared" si="46"/>
        <v>3.0507548225008954</v>
      </c>
      <c r="X97" s="3">
        <f t="shared" si="48"/>
        <v>2.4495634296016533E-2</v>
      </c>
    </row>
    <row r="98" spans="1:25" ht="15.6" x14ac:dyDescent="0.3">
      <c r="A98" s="1" t="s">
        <v>23</v>
      </c>
      <c r="B98" s="1">
        <v>60</v>
      </c>
      <c r="C98" s="12" t="str">
        <f>+'[1]Flow rate'!E2085</f>
        <v>73.3</v>
      </c>
      <c r="D98" s="1" t="s">
        <v>27</v>
      </c>
      <c r="E98" s="1" t="s">
        <v>26</v>
      </c>
      <c r="F98" s="1" t="s">
        <v>24</v>
      </c>
      <c r="G98" s="1">
        <v>-0.5</v>
      </c>
      <c r="H98" s="15">
        <v>45452.334108796298</v>
      </c>
      <c r="I98" s="2">
        <f t="shared" si="49"/>
        <v>39.126533611211926</v>
      </c>
      <c r="J98" s="16">
        <v>14.317934312334778</v>
      </c>
      <c r="K98" s="16">
        <v>1.8126492509156049</v>
      </c>
      <c r="L98" s="16">
        <v>86.784692744912874</v>
      </c>
      <c r="N98" s="16">
        <v>5.2573874988788856E-2</v>
      </c>
      <c r="O98" s="16">
        <v>1.1083950047654501E-3</v>
      </c>
      <c r="P98" s="3">
        <f t="shared" si="50"/>
        <v>0.13905097720753382</v>
      </c>
      <c r="Q98" s="3">
        <f t="shared" si="51"/>
        <v>1.7603841739738921E-2</v>
      </c>
      <c r="R98" s="3">
        <f t="shared" si="52"/>
        <v>0.84282383684632922</v>
      </c>
      <c r="S98" s="3">
        <f t="shared" si="53"/>
        <v>5.1057984575889016E-4</v>
      </c>
      <c r="T98" s="4">
        <f t="shared" si="44"/>
        <v>2.6979897069387935</v>
      </c>
      <c r="U98" s="5">
        <f t="shared" si="45"/>
        <v>0.34156526455408348</v>
      </c>
      <c r="V98" s="14"/>
      <c r="W98" s="3">
        <f t="shared" si="46"/>
        <v>3.0395549714928771</v>
      </c>
      <c r="X98" s="3">
        <f t="shared" si="48"/>
        <v>2.0459408940292495E-2</v>
      </c>
      <c r="Y98">
        <f t="shared" ref="Y98" si="69">+SUM(K98:L98)</f>
        <v>88.597341995828472</v>
      </c>
    </row>
    <row r="99" spans="1:25" ht="15.6" x14ac:dyDescent="0.3">
      <c r="A99" s="1" t="s">
        <v>23</v>
      </c>
      <c r="B99" s="1">
        <v>60</v>
      </c>
      <c r="C99" s="12" t="str">
        <f>+'[1]Flow rate'!E2086</f>
        <v>74.2</v>
      </c>
      <c r="D99" s="1" t="s">
        <v>27</v>
      </c>
      <c r="E99" s="1" t="s">
        <v>26</v>
      </c>
      <c r="F99" s="1" t="s">
        <v>24</v>
      </c>
      <c r="G99" s="1">
        <v>-0.5</v>
      </c>
      <c r="H99" s="15">
        <v>45452.349745370368</v>
      </c>
      <c r="I99" s="2">
        <f t="shared" si="49"/>
        <v>39.501811388880014</v>
      </c>
      <c r="J99" s="16">
        <v>14.560129638110475</v>
      </c>
      <c r="K99" s="16">
        <v>1.5606924407807907</v>
      </c>
      <c r="L99" s="16">
        <v>86.701354491480188</v>
      </c>
      <c r="N99" s="16">
        <v>5.2008850389980155E-2</v>
      </c>
      <c r="O99" s="16">
        <v>1.3859815653133323E-3</v>
      </c>
      <c r="P99" s="3">
        <f t="shared" si="50"/>
        <v>0.14153145824258495</v>
      </c>
      <c r="Q99" s="3">
        <f t="shared" si="51"/>
        <v>1.5170680653400409E-2</v>
      </c>
      <c r="R99" s="3">
        <f t="shared" si="52"/>
        <v>0.84277883767379258</v>
      </c>
      <c r="S99" s="3">
        <f t="shared" si="53"/>
        <v>5.0555102325102483E-4</v>
      </c>
      <c r="T99" s="4">
        <f t="shared" si="44"/>
        <v>2.7798358736388398</v>
      </c>
      <c r="U99" s="5">
        <f t="shared" si="45"/>
        <v>0.29796910758566725</v>
      </c>
      <c r="V99" s="14"/>
      <c r="W99" s="3">
        <f t="shared" si="46"/>
        <v>3.077804981224507</v>
      </c>
      <c r="X99" s="3">
        <f t="shared" si="48"/>
        <v>1.7682486357681975E-2</v>
      </c>
    </row>
    <row r="100" spans="1:25" ht="15.6" x14ac:dyDescent="0.3">
      <c r="A100" s="1" t="s">
        <v>23</v>
      </c>
      <c r="B100" s="1">
        <v>60</v>
      </c>
      <c r="C100" s="12" t="str">
        <f>+'[1]Flow rate'!E2087</f>
        <v>74.2</v>
      </c>
      <c r="D100" s="1" t="s">
        <v>27</v>
      </c>
      <c r="E100" s="1" t="s">
        <v>26</v>
      </c>
      <c r="F100" s="1" t="s">
        <v>24</v>
      </c>
      <c r="G100" s="1">
        <v>-0.5</v>
      </c>
      <c r="H100" s="15">
        <v>45452.365370370368</v>
      </c>
      <c r="I100" s="2">
        <f t="shared" si="49"/>
        <v>39.876811388880014</v>
      </c>
      <c r="J100" s="16">
        <v>14.508529671039884</v>
      </c>
      <c r="K100" s="16">
        <v>1.5838397061278759</v>
      </c>
      <c r="L100" s="16">
        <v>86.815860277418409</v>
      </c>
      <c r="N100" s="16">
        <v>5.2510914181990151E-2</v>
      </c>
      <c r="O100" s="16">
        <v>8.8609303693598651E-4</v>
      </c>
      <c r="P100" s="3">
        <f t="shared" si="50"/>
        <v>0.14091200907980608</v>
      </c>
      <c r="Q100" s="3">
        <f t="shared" si="51"/>
        <v>1.5382815496206813E-2</v>
      </c>
      <c r="R100" s="3">
        <f t="shared" si="52"/>
        <v>0.8431865646662694</v>
      </c>
      <c r="S100" s="3">
        <f t="shared" si="53"/>
        <v>5.1000470645700985E-4</v>
      </c>
      <c r="T100" s="4">
        <f t="shared" si="44"/>
        <v>2.7676692004061172</v>
      </c>
      <c r="U100" s="5">
        <f t="shared" si="45"/>
        <v>0.30213567276774311</v>
      </c>
      <c r="V100" s="14"/>
      <c r="W100" s="3">
        <f t="shared" si="46"/>
        <v>3.0698048731738603</v>
      </c>
      <c r="X100" s="3">
        <f t="shared" si="48"/>
        <v>1.7916799564055917E-2</v>
      </c>
      <c r="Y100">
        <f t="shared" ref="Y100" si="70">+SUM(K100:L100)</f>
        <v>88.399699983546284</v>
      </c>
    </row>
    <row r="101" spans="1:25" ht="15.6" x14ac:dyDescent="0.3">
      <c r="A101" s="1" t="s">
        <v>23</v>
      </c>
      <c r="B101" s="1">
        <v>60</v>
      </c>
      <c r="C101" s="12" t="str">
        <f>+'[1]Flow rate'!E2088</f>
        <v>73.5</v>
      </c>
      <c r="D101" s="1" t="s">
        <v>27</v>
      </c>
      <c r="E101" s="1" t="s">
        <v>26</v>
      </c>
      <c r="F101" s="1" t="s">
        <v>24</v>
      </c>
      <c r="G101" s="1">
        <v>-0.5</v>
      </c>
      <c r="H101" s="15">
        <v>45452.380995370368</v>
      </c>
      <c r="I101" s="2">
        <f t="shared" si="49"/>
        <v>40.251811388880014</v>
      </c>
      <c r="J101" s="16">
        <v>14.568532154569015</v>
      </c>
      <c r="K101" s="16">
        <v>1.498642782721187</v>
      </c>
      <c r="L101" s="16">
        <v>86.737800557893692</v>
      </c>
      <c r="N101" s="16">
        <v>5.2369665890711126E-2</v>
      </c>
      <c r="O101" s="16">
        <v>1.2663319539862883E-3</v>
      </c>
      <c r="P101" s="3">
        <f t="shared" si="50"/>
        <v>0.141636484715297</v>
      </c>
      <c r="Q101" s="3">
        <f t="shared" si="51"/>
        <v>1.4569930129989748E-2</v>
      </c>
      <c r="R101" s="3">
        <f t="shared" si="52"/>
        <v>0.84327213151008251</v>
      </c>
      <c r="S101" s="3">
        <f t="shared" si="53"/>
        <v>5.0914225975392017E-4</v>
      </c>
      <c r="T101" s="4">
        <f t="shared" si="44"/>
        <v>2.7556543833745519</v>
      </c>
      <c r="U101" s="5">
        <f t="shared" si="45"/>
        <v>0.28346998239099164</v>
      </c>
      <c r="V101" s="14"/>
      <c r="W101" s="3">
        <f t="shared" si="46"/>
        <v>3.0391243657655433</v>
      </c>
      <c r="X101" s="3">
        <f t="shared" si="48"/>
        <v>1.6984396990436804E-2</v>
      </c>
    </row>
    <row r="102" spans="1:25" ht="15.6" x14ac:dyDescent="0.3">
      <c r="A102" s="1" t="s">
        <v>23</v>
      </c>
      <c r="B102" s="1">
        <v>60</v>
      </c>
      <c r="C102" s="12" t="str">
        <f>+'[1]Flow rate'!E2089</f>
        <v>74.0</v>
      </c>
      <c r="D102" s="1" t="s">
        <v>27</v>
      </c>
      <c r="E102" s="1" t="s">
        <v>26</v>
      </c>
      <c r="F102" s="1" t="s">
        <v>24</v>
      </c>
      <c r="G102" s="1">
        <v>-0.5</v>
      </c>
      <c r="H102" s="15">
        <v>45452.396620370368</v>
      </c>
      <c r="I102" s="2">
        <f t="shared" si="49"/>
        <v>40.626811388880014</v>
      </c>
      <c r="J102" s="16">
        <v>14.699639749844653</v>
      </c>
      <c r="K102" s="16">
        <v>1.363657071493426</v>
      </c>
      <c r="L102" s="16">
        <v>86.392071787076432</v>
      </c>
      <c r="N102" s="16">
        <v>5.2173040602895085E-2</v>
      </c>
      <c r="O102" s="16">
        <v>1.6333399971918405E-3</v>
      </c>
      <c r="P102" s="3">
        <f t="shared" si="50"/>
        <v>0.14339828363090368</v>
      </c>
      <c r="Q102" s="3">
        <f t="shared" si="51"/>
        <v>1.3302780669530919E-2</v>
      </c>
      <c r="R102" s="3">
        <f t="shared" si="52"/>
        <v>0.84277404238532438</v>
      </c>
      <c r="S102" s="3">
        <f t="shared" si="53"/>
        <v>5.0895971612771444E-4</v>
      </c>
      <c r="T102" s="4">
        <f t="shared" si="44"/>
        <v>2.8089107580615988</v>
      </c>
      <c r="U102" s="5">
        <f t="shared" si="45"/>
        <v>0.26057720349678221</v>
      </c>
      <c r="V102" s="14"/>
      <c r="W102" s="3">
        <f t="shared" si="46"/>
        <v>3.069487961558381</v>
      </c>
      <c r="X102" s="3">
        <f t="shared" si="48"/>
        <v>1.5539237030224461E-2</v>
      </c>
      <c r="Y102">
        <f t="shared" ref="Y102" si="71">+SUM(K102:L102)</f>
        <v>87.755728858569853</v>
      </c>
    </row>
    <row r="103" spans="1:25" ht="15.6" x14ac:dyDescent="0.3">
      <c r="A103" s="1" t="s">
        <v>23</v>
      </c>
      <c r="B103" s="1">
        <v>60</v>
      </c>
      <c r="C103" s="12" t="str">
        <f>+'[1]Flow rate'!E2090</f>
        <v>74.0</v>
      </c>
      <c r="D103" s="1" t="s">
        <v>27</v>
      </c>
      <c r="E103" s="1" t="s">
        <v>26</v>
      </c>
      <c r="F103" s="1" t="s">
        <v>24</v>
      </c>
      <c r="G103" s="1">
        <v>-0.5</v>
      </c>
      <c r="H103" s="15">
        <v>45452.412268518521</v>
      </c>
      <c r="I103" s="2">
        <f t="shared" si="49"/>
        <v>41.002366944565438</v>
      </c>
      <c r="J103" s="16">
        <v>14.811220512799729</v>
      </c>
      <c r="K103" s="16">
        <v>1.1844467897905113</v>
      </c>
      <c r="L103" s="16">
        <v>86.906949405758425</v>
      </c>
      <c r="N103" s="16">
        <v>5.1883269605907126E-2</v>
      </c>
      <c r="O103" s="16">
        <v>1.3267190819244434E-3</v>
      </c>
      <c r="P103" s="3">
        <f t="shared" si="50"/>
        <v>0.14385995419554101</v>
      </c>
      <c r="Q103" s="3">
        <f t="shared" si="51"/>
        <v>1.1504417261161234E-2</v>
      </c>
      <c r="R103" s="3">
        <f t="shared" si="52"/>
        <v>0.84411880506283155</v>
      </c>
      <c r="S103" s="3">
        <f t="shared" si="53"/>
        <v>5.0393718617385008E-4</v>
      </c>
      <c r="T103" s="4">
        <f t="shared" si="44"/>
        <v>2.8179540421432137</v>
      </c>
      <c r="U103" s="5">
        <f t="shared" si="45"/>
        <v>0.22535054529161178</v>
      </c>
      <c r="V103" s="14"/>
      <c r="W103" s="3">
        <f t="shared" si="46"/>
        <v>3.0433045874348252</v>
      </c>
      <c r="X103" s="3">
        <f t="shared" si="48"/>
        <v>1.3445658043167203E-2</v>
      </c>
    </row>
    <row r="104" spans="1:25" ht="15.6" x14ac:dyDescent="0.3">
      <c r="A104" s="1" t="s">
        <v>23</v>
      </c>
      <c r="B104" s="1">
        <v>60</v>
      </c>
      <c r="C104" s="12" t="str">
        <f>+'[1]Flow rate'!E2091</f>
        <v>75.0</v>
      </c>
      <c r="D104" s="1" t="s">
        <v>27</v>
      </c>
      <c r="E104" s="1" t="s">
        <v>26</v>
      </c>
      <c r="F104" s="1" t="s">
        <v>24</v>
      </c>
      <c r="G104" s="1">
        <v>-0.5</v>
      </c>
      <c r="H104" s="15">
        <v>45452.427916666667</v>
      </c>
      <c r="I104" s="2">
        <f t="shared" si="49"/>
        <v>41.377922500076238</v>
      </c>
      <c r="J104" s="16">
        <v>14.948921874970168</v>
      </c>
      <c r="K104" s="16">
        <v>1.0662136513874201</v>
      </c>
      <c r="L104" s="16">
        <v>86.984765647591999</v>
      </c>
      <c r="N104" s="16">
        <v>5.2036275529269635E-2</v>
      </c>
      <c r="O104" s="16">
        <v>1.1682340010787939E-3</v>
      </c>
      <c r="P104" s="3">
        <f t="shared" si="50"/>
        <v>0.14506037227916921</v>
      </c>
      <c r="Q104" s="3">
        <f t="shared" si="51"/>
        <v>1.0346254431789928E-2</v>
      </c>
      <c r="R104" s="3">
        <f t="shared" si="52"/>
        <v>0.84407709084245675</v>
      </c>
      <c r="S104" s="3">
        <f t="shared" si="53"/>
        <v>5.049462137424101E-4</v>
      </c>
      <c r="T104" s="4">
        <f t="shared" si="44"/>
        <v>2.879866259126675</v>
      </c>
      <c r="U104" s="5">
        <f t="shared" si="45"/>
        <v>0.20540295449614221</v>
      </c>
      <c r="V104" s="14"/>
      <c r="W104" s="3">
        <f t="shared" si="46"/>
        <v>3.0852692136228175</v>
      </c>
      <c r="X104" s="3">
        <f t="shared" si="48"/>
        <v>1.210904932433589E-2</v>
      </c>
      <c r="Y104">
        <f t="shared" ref="Y104" si="72">+SUM(K104:L104)</f>
        <v>88.050979298979414</v>
      </c>
    </row>
    <row r="105" spans="1:25" ht="15.6" x14ac:dyDescent="0.3">
      <c r="A105" s="1" t="s">
        <v>23</v>
      </c>
      <c r="B105" s="1">
        <v>60</v>
      </c>
      <c r="C105" s="12" t="str">
        <f>+'[1]Flow rate'!E2092</f>
        <v>73.1</v>
      </c>
      <c r="D105" s="1" t="s">
        <v>27</v>
      </c>
      <c r="E105" s="1" t="s">
        <v>26</v>
      </c>
      <c r="F105" s="1" t="s">
        <v>24</v>
      </c>
      <c r="G105" s="1">
        <v>-0.5</v>
      </c>
      <c r="H105" s="15">
        <v>45452.443530092591</v>
      </c>
      <c r="I105" s="2">
        <f t="shared" si="49"/>
        <v>41.752644722233526</v>
      </c>
      <c r="J105" s="16">
        <v>14.902789363115616</v>
      </c>
      <c r="K105" s="16">
        <v>1.1262542799158706</v>
      </c>
      <c r="L105" s="16">
        <v>86.814103123438116</v>
      </c>
      <c r="N105" s="16">
        <v>5.2026903485459644E-2</v>
      </c>
      <c r="O105" s="16">
        <v>1.3478091155924576E-3</v>
      </c>
      <c r="P105" s="3">
        <f t="shared" si="50"/>
        <v>0.14483278102017155</v>
      </c>
      <c r="Q105" s="3">
        <f t="shared" si="51"/>
        <v>1.0945503926922864E-2</v>
      </c>
      <c r="R105" s="3">
        <f t="shared" si="52"/>
        <v>0.84370299282756878</v>
      </c>
      <c r="S105" s="3">
        <f t="shared" si="53"/>
        <v>5.0562354040356962E-4</v>
      </c>
      <c r="T105" s="4">
        <f t="shared" si="44"/>
        <v>2.8025057697916447</v>
      </c>
      <c r="U105" s="5">
        <f t="shared" si="45"/>
        <v>0.2117948553663842</v>
      </c>
      <c r="V105" s="14"/>
      <c r="W105" s="3">
        <f t="shared" si="46"/>
        <v>3.0143006251580289</v>
      </c>
      <c r="X105" s="3">
        <f t="shared" si="48"/>
        <v>1.2807024137394693E-2</v>
      </c>
    </row>
    <row r="106" spans="1:25" ht="15.6" x14ac:dyDescent="0.3">
      <c r="A106" s="1" t="s">
        <v>23</v>
      </c>
      <c r="B106" s="1">
        <v>60</v>
      </c>
      <c r="C106" s="12" t="str">
        <f>+'[1]Flow rate'!E2093</f>
        <v>73.1</v>
      </c>
      <c r="D106" s="1" t="s">
        <v>27</v>
      </c>
      <c r="E106" s="1" t="s">
        <v>26</v>
      </c>
      <c r="F106" s="1" t="s">
        <v>24</v>
      </c>
      <c r="G106" s="1">
        <v>-0.5</v>
      </c>
      <c r="H106" s="15">
        <v>45452.459166666667</v>
      </c>
      <c r="I106" s="2">
        <f t="shared" si="49"/>
        <v>42.127922500076238</v>
      </c>
      <c r="J106" s="16">
        <v>14.752181683614511</v>
      </c>
      <c r="K106" s="16">
        <v>1.3087184623306105</v>
      </c>
      <c r="L106" s="16">
        <v>86.834481590901149</v>
      </c>
      <c r="N106" s="16">
        <v>5.2065448815933058E-2</v>
      </c>
      <c r="O106" s="16">
        <v>1.0836455649437249E-3</v>
      </c>
      <c r="P106" s="3">
        <f t="shared" si="50"/>
        <v>0.14329667033130464</v>
      </c>
      <c r="Q106" s="3">
        <f t="shared" si="51"/>
        <v>1.2712356861858584E-2</v>
      </c>
      <c r="R106" s="3">
        <f t="shared" si="52"/>
        <v>0.84347470420201309</v>
      </c>
      <c r="S106" s="3">
        <f t="shared" si="53"/>
        <v>5.0574251420147664E-4</v>
      </c>
      <c r="T106" s="4">
        <f t="shared" si="44"/>
        <v>2.7727821185694217</v>
      </c>
      <c r="U106" s="5">
        <f t="shared" si="45"/>
        <v>0.24598335543972752</v>
      </c>
      <c r="V106" s="14"/>
      <c r="W106" s="3">
        <f t="shared" si="46"/>
        <v>3.0187654740091494</v>
      </c>
      <c r="X106" s="3">
        <f t="shared" si="48"/>
        <v>1.4847639540432438E-2</v>
      </c>
      <c r="Y106">
        <f t="shared" ref="Y106" si="73">+SUM(K106:L106)</f>
        <v>88.143200053231766</v>
      </c>
    </row>
    <row r="107" spans="1:25" ht="15.6" x14ac:dyDescent="0.3">
      <c r="A107" s="1" t="s">
        <v>23</v>
      </c>
      <c r="B107" s="1">
        <v>60</v>
      </c>
      <c r="C107" s="12" t="str">
        <f>+'[1]Flow rate'!E2094</f>
        <v>73.1</v>
      </c>
      <c r="D107" s="1" t="s">
        <v>27</v>
      </c>
      <c r="E107" s="1" t="s">
        <v>26</v>
      </c>
      <c r="F107" s="1" t="s">
        <v>24</v>
      </c>
      <c r="G107" s="1">
        <v>-0.5</v>
      </c>
      <c r="H107" s="15">
        <v>45452.474803240744</v>
      </c>
      <c r="I107" s="2">
        <f t="shared" si="49"/>
        <v>42.50320027791895</v>
      </c>
      <c r="J107" s="16">
        <v>14.730803449362403</v>
      </c>
      <c r="K107" s="16">
        <v>1.3575431314222588</v>
      </c>
      <c r="L107" s="16">
        <v>86.92740263400664</v>
      </c>
      <c r="N107" s="16">
        <v>5.1911251660772373E-2</v>
      </c>
      <c r="O107" s="16">
        <v>1.3058002172993688E-3</v>
      </c>
      <c r="P107" s="3">
        <f t="shared" si="50"/>
        <v>0.14292181228682874</v>
      </c>
      <c r="Q107" s="3">
        <f t="shared" si="51"/>
        <v>1.3171211283034509E-2</v>
      </c>
      <c r="R107" s="3">
        <f t="shared" si="52"/>
        <v>0.84339065174186567</v>
      </c>
      <c r="S107" s="3">
        <f t="shared" si="53"/>
        <v>5.0365549923594738E-4</v>
      </c>
      <c r="T107" s="4">
        <f t="shared" si="44"/>
        <v>2.7655286375197812</v>
      </c>
      <c r="U107" s="5">
        <f t="shared" si="45"/>
        <v>0.25486216142399459</v>
      </c>
      <c r="V107" s="14"/>
      <c r="W107" s="3">
        <f t="shared" si="46"/>
        <v>3.0203907989437759</v>
      </c>
      <c r="X107" s="3">
        <f t="shared" si="48"/>
        <v>1.5376835990013746E-2</v>
      </c>
    </row>
    <row r="108" spans="1:25" ht="15.6" x14ac:dyDescent="0.3">
      <c r="A108" s="1" t="s">
        <v>23</v>
      </c>
      <c r="B108" s="1">
        <v>60</v>
      </c>
      <c r="C108" s="12" t="str">
        <f>+'[1]Flow rate'!E2095</f>
        <v>75.1</v>
      </c>
      <c r="D108" s="1" t="s">
        <v>27</v>
      </c>
      <c r="E108" s="1" t="s">
        <v>26</v>
      </c>
      <c r="F108" s="1" t="s">
        <v>24</v>
      </c>
      <c r="G108" s="1">
        <v>-0.5</v>
      </c>
      <c r="H108" s="15">
        <v>45452.490439814814</v>
      </c>
      <c r="I108" s="2">
        <f t="shared" si="49"/>
        <v>42.878478055587038</v>
      </c>
      <c r="J108" s="16">
        <v>14.703959928658758</v>
      </c>
      <c r="K108" s="16">
        <v>1.3213343127368007</v>
      </c>
      <c r="L108" s="16">
        <v>86.948277884131272</v>
      </c>
      <c r="N108" s="16">
        <v>5.233079063542577E-2</v>
      </c>
      <c r="O108" s="16">
        <v>1.1559150082181002E-3</v>
      </c>
      <c r="P108" s="3">
        <f t="shared" si="50"/>
        <v>0.14271939911197512</v>
      </c>
      <c r="Q108" s="3">
        <f t="shared" si="51"/>
        <v>1.2825119223310642E-2</v>
      </c>
      <c r="R108" s="3">
        <f t="shared" si="52"/>
        <v>0.84393632964532794</v>
      </c>
      <c r="S108" s="3">
        <f t="shared" si="53"/>
        <v>5.0793249102820432E-4</v>
      </c>
      <c r="T108" s="4">
        <f t="shared" si="44"/>
        <v>2.8371690531447205</v>
      </c>
      <c r="U108" s="5">
        <f t="shared" si="45"/>
        <v>0.25495504878576308</v>
      </c>
      <c r="V108" s="14"/>
      <c r="W108" s="3">
        <f t="shared" si="46"/>
        <v>3.0921241019304837</v>
      </c>
      <c r="X108" s="3">
        <f t="shared" si="48"/>
        <v>1.4969300077922893E-2</v>
      </c>
      <c r="Y108">
        <f t="shared" ref="Y108" si="74">+SUM(K108:L108)</f>
        <v>88.269612196868067</v>
      </c>
    </row>
    <row r="109" spans="1:25" ht="15.6" x14ac:dyDescent="0.3">
      <c r="A109" s="1" t="s">
        <v>23</v>
      </c>
      <c r="B109" s="1">
        <v>60</v>
      </c>
      <c r="C109" s="12" t="str">
        <f>+'[1]Flow rate'!E2096</f>
        <v>75.1</v>
      </c>
      <c r="D109" s="1" t="s">
        <v>27</v>
      </c>
      <c r="E109" s="1" t="s">
        <v>26</v>
      </c>
      <c r="F109" s="1" t="s">
        <v>24</v>
      </c>
      <c r="G109" s="1">
        <v>-0.5</v>
      </c>
      <c r="H109" s="15">
        <v>45452.506064814814</v>
      </c>
      <c r="I109" s="2">
        <f t="shared" si="49"/>
        <v>43.253478055587038</v>
      </c>
      <c r="J109" s="16">
        <v>14.673903744861061</v>
      </c>
      <c r="K109" s="16">
        <v>1.3628939230438424</v>
      </c>
      <c r="L109" s="16">
        <v>86.919987356039044</v>
      </c>
      <c r="N109" s="16">
        <v>5.1980568404074959E-2</v>
      </c>
      <c r="O109" s="16">
        <v>1.3396553144025547E-3</v>
      </c>
      <c r="P109" s="3">
        <f t="shared" si="50"/>
        <v>0.14245110913712081</v>
      </c>
      <c r="Q109" s="3">
        <f t="shared" si="51"/>
        <v>1.3230681783763833E-2</v>
      </c>
      <c r="R109" s="3">
        <f t="shared" si="52"/>
        <v>0.84380058778758982</v>
      </c>
      <c r="S109" s="3">
        <f t="shared" si="53"/>
        <v>5.0461620516841995E-4</v>
      </c>
      <c r="T109" s="4">
        <f t="shared" si="44"/>
        <v>2.8318356225202792</v>
      </c>
      <c r="U109" s="5">
        <f t="shared" si="45"/>
        <v>0.26301736934478637</v>
      </c>
      <c r="V109" s="14"/>
      <c r="W109" s="3">
        <f t="shared" si="46"/>
        <v>3.0948529918650656</v>
      </c>
      <c r="X109" s="3">
        <f t="shared" si="48"/>
        <v>1.5437805192780412E-2</v>
      </c>
    </row>
    <row r="110" spans="1:25" ht="15.6" x14ac:dyDescent="0.3">
      <c r="A110" s="1" t="s">
        <v>23</v>
      </c>
      <c r="B110" s="1">
        <v>60</v>
      </c>
      <c r="C110" s="12" t="str">
        <f>+'[1]Flow rate'!E2097</f>
        <v>72.7</v>
      </c>
      <c r="D110" s="1" t="s">
        <v>27</v>
      </c>
      <c r="E110" s="1" t="s">
        <v>26</v>
      </c>
      <c r="F110" s="1" t="s">
        <v>24</v>
      </c>
      <c r="G110" s="1">
        <v>-0.5</v>
      </c>
      <c r="H110" s="15">
        <v>45452.521689814814</v>
      </c>
      <c r="I110" s="2">
        <f t="shared" si="49"/>
        <v>43.628478055587038</v>
      </c>
      <c r="J110" s="16">
        <v>14.58652711625585</v>
      </c>
      <c r="K110" s="16">
        <v>1.4937955950169268</v>
      </c>
      <c r="L110" s="16">
        <v>86.883670513734472</v>
      </c>
      <c r="N110" s="16">
        <v>5.2753185280202522E-2</v>
      </c>
      <c r="O110" s="16">
        <v>1.2088588085067964E-3</v>
      </c>
      <c r="P110" s="3">
        <f t="shared" si="50"/>
        <v>0.14159208536176041</v>
      </c>
      <c r="Q110" s="3">
        <f t="shared" si="51"/>
        <v>1.4500342111381881E-2</v>
      </c>
      <c r="R110" s="3">
        <f t="shared" si="52"/>
        <v>0.84338376049867536</v>
      </c>
      <c r="S110" s="3">
        <f t="shared" si="53"/>
        <v>5.1207758048006798E-4</v>
      </c>
      <c r="T110" s="4">
        <f t="shared" si="44"/>
        <v>2.7248064424982474</v>
      </c>
      <c r="U110" s="5">
        <f t="shared" si="45"/>
        <v>0.27904543889281952</v>
      </c>
      <c r="V110" s="14"/>
      <c r="W110" s="3">
        <f t="shared" si="46"/>
        <v>3.0038518813910668</v>
      </c>
      <c r="X110" s="3">
        <f t="shared" si="48"/>
        <v>1.6902448789137738E-2</v>
      </c>
      <c r="Y110">
        <f t="shared" ref="Y110" si="75">+SUM(K110:L110)</f>
        <v>88.377466108751406</v>
      </c>
    </row>
    <row r="111" spans="1:25" ht="15.6" x14ac:dyDescent="0.3">
      <c r="A111" s="1" t="s">
        <v>23</v>
      </c>
      <c r="B111" s="1">
        <v>60</v>
      </c>
      <c r="C111" s="12" t="str">
        <f>+'[1]Flow rate'!E2098</f>
        <v>72.4</v>
      </c>
      <c r="D111" s="1" t="s">
        <v>27</v>
      </c>
      <c r="E111" s="1" t="s">
        <v>26</v>
      </c>
      <c r="F111" s="1" t="s">
        <v>24</v>
      </c>
      <c r="G111" s="1">
        <v>-0.5</v>
      </c>
      <c r="H111" s="15">
        <v>45452.537314814814</v>
      </c>
      <c r="I111" s="2">
        <f t="shared" si="49"/>
        <v>44.003478055587038</v>
      </c>
      <c r="J111" s="16">
        <v>14.391858817885655</v>
      </c>
      <c r="K111" s="16">
        <v>1.6897220931119945</v>
      </c>
      <c r="L111" s="16">
        <v>86.911562807472791</v>
      </c>
      <c r="N111" s="16">
        <v>5.1320705278767975E-2</v>
      </c>
      <c r="O111" s="16">
        <v>0.15915175263849735</v>
      </c>
      <c r="P111" s="3">
        <f t="shared" si="50"/>
        <v>0.13945110986506709</v>
      </c>
      <c r="Q111" s="3">
        <f t="shared" si="51"/>
        <v>1.6372702388878033E-2</v>
      </c>
      <c r="R111" s="3">
        <f t="shared" si="52"/>
        <v>0.84213679740572478</v>
      </c>
      <c r="S111" s="3">
        <f t="shared" si="53"/>
        <v>4.9727623100972128E-4</v>
      </c>
      <c r="T111" s="4">
        <f t="shared" si="44"/>
        <v>2.6725313587872823</v>
      </c>
      <c r="U111" s="5">
        <f t="shared" si="45"/>
        <v>0.3137770692876295</v>
      </c>
      <c r="V111" s="14"/>
      <c r="W111" s="3">
        <f t="shared" si="46"/>
        <v>2.9863084280749117</v>
      </c>
      <c r="X111" s="3">
        <f t="shared" si="48"/>
        <v>1.9071078878911855E-2</v>
      </c>
    </row>
    <row r="112" spans="1:25" ht="15.6" x14ac:dyDescent="0.3">
      <c r="A112" s="1" t="s">
        <v>23</v>
      </c>
      <c r="B112" s="1">
        <v>60</v>
      </c>
      <c r="C112" s="12" t="str">
        <f>+'[1]Flow rate'!E2099</f>
        <v>74.4</v>
      </c>
      <c r="D112" s="1" t="s">
        <v>27</v>
      </c>
      <c r="E112" s="1" t="s">
        <v>26</v>
      </c>
      <c r="F112" s="1" t="s">
        <v>24</v>
      </c>
      <c r="G112" s="1">
        <v>-0.5</v>
      </c>
      <c r="H112" s="15">
        <v>45452.552951388891</v>
      </c>
      <c r="I112" s="2">
        <f t="shared" si="49"/>
        <v>44.37875583342975</v>
      </c>
      <c r="J112" s="16">
        <v>14.302267157840282</v>
      </c>
      <c r="K112" s="16">
        <v>1.7827514712943657</v>
      </c>
      <c r="L112" s="16">
        <v>86.869194290856541</v>
      </c>
      <c r="N112" s="16">
        <v>5.202782648095769E-2</v>
      </c>
      <c r="O112" s="16">
        <v>1.3745841471571318E-3</v>
      </c>
      <c r="P112" s="3">
        <f t="shared" si="50"/>
        <v>0.13884669703239788</v>
      </c>
      <c r="Q112" s="3">
        <f t="shared" si="51"/>
        <v>1.7306987115198635E-2</v>
      </c>
      <c r="R112" s="3">
        <f t="shared" si="52"/>
        <v>0.84332788417668014</v>
      </c>
      <c r="S112" s="3">
        <f t="shared" si="53"/>
        <v>5.050871851946685E-4</v>
      </c>
      <c r="T112" s="4">
        <f t="shared" si="44"/>
        <v>2.7344548507542266</v>
      </c>
      <c r="U112" s="5">
        <f t="shared" si="45"/>
        <v>0.34084480135709072</v>
      </c>
      <c r="V112" s="14"/>
      <c r="W112" s="3">
        <f t="shared" si="46"/>
        <v>3.0752996521113172</v>
      </c>
      <c r="X112" s="3">
        <f t="shared" si="48"/>
        <v>2.0109558295284415E-2</v>
      </c>
      <c r="Y112">
        <f t="shared" ref="Y112" si="76">+SUM(K112:L112)</f>
        <v>88.651945762150902</v>
      </c>
    </row>
    <row r="113" spans="1:25" ht="15.6" x14ac:dyDescent="0.3">
      <c r="A113" s="1" t="s">
        <v>23</v>
      </c>
      <c r="B113" s="1">
        <v>60</v>
      </c>
      <c r="C113" s="12" t="str">
        <f>+'[1]Flow rate'!E2100</f>
        <v>74.4</v>
      </c>
      <c r="D113" s="1" t="s">
        <v>27</v>
      </c>
      <c r="E113" s="1" t="s">
        <v>26</v>
      </c>
      <c r="F113" s="1" t="s">
        <v>24</v>
      </c>
      <c r="G113" s="1">
        <v>-0.5</v>
      </c>
      <c r="H113" s="15">
        <v>45452.568599537037</v>
      </c>
      <c r="I113" s="2">
        <f t="shared" si="49"/>
        <v>44.75431138894055</v>
      </c>
      <c r="J113" s="16">
        <v>14.178160334257383</v>
      </c>
      <c r="K113" s="16">
        <v>1.9766246725353371</v>
      </c>
      <c r="L113" s="16">
        <v>86.783188528527305</v>
      </c>
      <c r="N113" s="16">
        <v>5.2178047492652924E-2</v>
      </c>
      <c r="O113" s="16">
        <v>1.4230180369992351E-3</v>
      </c>
      <c r="P113" s="3">
        <f t="shared" si="50"/>
        <v>0.13766330293721341</v>
      </c>
      <c r="Q113" s="3">
        <f t="shared" si="51"/>
        <v>1.919210071499412E-2</v>
      </c>
      <c r="R113" s="3">
        <f t="shared" si="52"/>
        <v>0.84262415508123856</v>
      </c>
      <c r="S113" s="3">
        <f t="shared" si="53"/>
        <v>5.066244272395313E-4</v>
      </c>
      <c r="T113" s="4">
        <f t="shared" si="44"/>
        <v>2.71114901926458</v>
      </c>
      <c r="U113" s="5">
        <f t="shared" si="45"/>
        <v>0.37797033719883089</v>
      </c>
      <c r="V113" s="14"/>
      <c r="W113" s="3">
        <f t="shared" si="46"/>
        <v>3.089119356463411</v>
      </c>
      <c r="X113" s="3">
        <f t="shared" si="48"/>
        <v>2.2269364943995541E-2</v>
      </c>
    </row>
    <row r="114" spans="1:25" ht="15.6" x14ac:dyDescent="0.3">
      <c r="A114" s="1" t="s">
        <v>23</v>
      </c>
      <c r="B114" s="1">
        <v>60</v>
      </c>
      <c r="C114" s="12" t="str">
        <f>+'[1]Flow rate'!E2101</f>
        <v>72.5</v>
      </c>
      <c r="D114" s="1" t="s">
        <v>27</v>
      </c>
      <c r="E114" s="1" t="s">
        <v>26</v>
      </c>
      <c r="F114" s="1" t="s">
        <v>24</v>
      </c>
      <c r="G114" s="1">
        <v>-0.5</v>
      </c>
      <c r="H114" s="15">
        <v>45452.584236111114</v>
      </c>
      <c r="I114" s="2">
        <f t="shared" si="49"/>
        <v>45.129589166783262</v>
      </c>
      <c r="J114" s="16">
        <v>13.900785480096388</v>
      </c>
      <c r="K114" s="16">
        <v>2.2598003809902858</v>
      </c>
      <c r="L114" s="16">
        <v>86.876145390682211</v>
      </c>
      <c r="N114" s="16">
        <v>5.2581440883571862E-2</v>
      </c>
      <c r="O114" s="16">
        <v>1.0171434817583536E-3</v>
      </c>
      <c r="P114" s="3">
        <f t="shared" si="50"/>
        <v>0.13484082844814044</v>
      </c>
      <c r="Q114" s="3">
        <f t="shared" si="51"/>
        <v>2.1920585418460876E-2</v>
      </c>
      <c r="R114" s="3">
        <f t="shared" si="52"/>
        <v>0.8427186674906848</v>
      </c>
      <c r="S114" s="3">
        <f t="shared" si="53"/>
        <v>5.1005211611168525E-4</v>
      </c>
      <c r="T114" s="4">
        <f t="shared" si="44"/>
        <v>2.5877462458967493</v>
      </c>
      <c r="U114" s="5">
        <f t="shared" si="45"/>
        <v>0.42068054073323552</v>
      </c>
      <c r="V114" s="14"/>
      <c r="W114" s="3">
        <f t="shared" si="46"/>
        <v>3.0084267866299848</v>
      </c>
      <c r="X114" s="3">
        <f t="shared" si="48"/>
        <v>2.5352290385507448E-2</v>
      </c>
      <c r="Y114">
        <f t="shared" ref="Y114" si="77">+SUM(K114:L114)</f>
        <v>89.135945771672496</v>
      </c>
    </row>
    <row r="115" spans="1:25" ht="15.6" x14ac:dyDescent="0.3">
      <c r="A115" s="1" t="s">
        <v>23</v>
      </c>
      <c r="B115" s="1">
        <v>60</v>
      </c>
      <c r="C115" s="12" t="str">
        <f>+'[1]Flow rate'!E2102</f>
        <v>74.5</v>
      </c>
      <c r="D115" s="1" t="s">
        <v>27</v>
      </c>
      <c r="E115" s="1" t="s">
        <v>26</v>
      </c>
      <c r="F115" s="1" t="s">
        <v>24</v>
      </c>
      <c r="G115" s="1">
        <v>-0.5</v>
      </c>
      <c r="H115" s="15">
        <v>45452.599872685183</v>
      </c>
      <c r="I115" s="2">
        <f t="shared" si="49"/>
        <v>45.504866944451351</v>
      </c>
      <c r="J115" s="16">
        <v>13.834647561896031</v>
      </c>
      <c r="K115" s="16">
        <v>2.2961317343187284</v>
      </c>
      <c r="L115" s="16">
        <v>86.892086153460127</v>
      </c>
      <c r="N115" s="16">
        <v>5.2940025518896122E-2</v>
      </c>
      <c r="O115" s="16">
        <v>1.0672943081100339E-3</v>
      </c>
      <c r="P115" s="3">
        <f t="shared" si="50"/>
        <v>0.13421679558355198</v>
      </c>
      <c r="Q115" s="3">
        <f t="shared" si="51"/>
        <v>2.2275915757099897E-2</v>
      </c>
      <c r="R115" s="3">
        <f t="shared" si="52"/>
        <v>0.84298333679336779</v>
      </c>
      <c r="S115" s="3">
        <f t="shared" si="53"/>
        <v>5.1359751316165149E-4</v>
      </c>
      <c r="T115" s="4">
        <f t="shared" si="44"/>
        <v>2.6468260915774664</v>
      </c>
      <c r="U115" s="5">
        <f t="shared" si="45"/>
        <v>0.43929282310252915</v>
      </c>
      <c r="V115" s="14"/>
      <c r="W115" s="3">
        <f t="shared" si="46"/>
        <v>3.0861189146799957</v>
      </c>
      <c r="X115" s="3">
        <f t="shared" si="48"/>
        <v>2.5744787693906361E-2</v>
      </c>
    </row>
    <row r="116" spans="1:25" ht="15.6" x14ac:dyDescent="0.3">
      <c r="A116" s="1" t="s">
        <v>23</v>
      </c>
      <c r="B116" s="1">
        <v>60</v>
      </c>
      <c r="C116" s="12" t="str">
        <f>+'[1]Flow rate'!E2103</f>
        <v>74.5</v>
      </c>
      <c r="D116" s="1" t="s">
        <v>27</v>
      </c>
      <c r="E116" s="1" t="s">
        <v>26</v>
      </c>
      <c r="F116" s="1" t="s">
        <v>24</v>
      </c>
      <c r="G116" s="1">
        <v>-0.5</v>
      </c>
      <c r="H116" s="15">
        <v>45452.61550925926</v>
      </c>
      <c r="I116" s="2">
        <f t="shared" si="49"/>
        <v>45.880144722294062</v>
      </c>
      <c r="J116" s="16">
        <v>13.620481348064811</v>
      </c>
      <c r="K116" s="16">
        <v>2.5418421390471675</v>
      </c>
      <c r="L116" s="16">
        <v>86.715611391563598</v>
      </c>
      <c r="N116" s="16">
        <v>5.2745471190461087E-2</v>
      </c>
      <c r="O116" s="16">
        <v>1.155892295039096E-3</v>
      </c>
      <c r="P116" s="3">
        <f t="shared" si="50"/>
        <v>0.132325253734139</v>
      </c>
      <c r="Q116" s="3">
        <f t="shared" si="51"/>
        <v>2.4694421394243271E-2</v>
      </c>
      <c r="R116" s="3">
        <f t="shared" si="52"/>
        <v>0.84245666411267917</v>
      </c>
      <c r="S116" s="3">
        <f t="shared" si="53"/>
        <v>5.1243107201906144E-4</v>
      </c>
      <c r="T116" s="4">
        <f t="shared" si="44"/>
        <v>2.6095238873446114</v>
      </c>
      <c r="U116" s="5">
        <f t="shared" si="45"/>
        <v>0.48698703152991873</v>
      </c>
      <c r="V116" s="14"/>
      <c r="W116" s="3">
        <f t="shared" si="46"/>
        <v>3.0965109188745301</v>
      </c>
      <c r="X116" s="3">
        <f t="shared" si="48"/>
        <v>2.847764571476874E-2</v>
      </c>
      <c r="Y116">
        <f t="shared" ref="Y116" si="78">+SUM(K116:L116)</f>
        <v>89.257453530610761</v>
      </c>
    </row>
    <row r="117" spans="1:25" ht="15.6" x14ac:dyDescent="0.3">
      <c r="A117" s="1" t="s">
        <v>23</v>
      </c>
      <c r="B117" s="1">
        <v>60</v>
      </c>
      <c r="C117" s="12" t="str">
        <f>+'[1]Flow rate'!E2104</f>
        <v>73.0</v>
      </c>
      <c r="D117" s="1" t="s">
        <v>27</v>
      </c>
      <c r="E117" s="1" t="s">
        <v>26</v>
      </c>
      <c r="F117" s="1" t="s">
        <v>24</v>
      </c>
      <c r="G117" s="1">
        <v>-0.5</v>
      </c>
      <c r="H117" s="15">
        <v>45452.631145833337</v>
      </c>
      <c r="I117" s="2">
        <f t="shared" si="49"/>
        <v>46.255422500136774</v>
      </c>
      <c r="J117" s="16">
        <v>13.640303855274084</v>
      </c>
      <c r="K117" s="16">
        <v>2.6112489251904294</v>
      </c>
      <c r="L117" s="16">
        <v>86.364161124595086</v>
      </c>
      <c r="N117" s="16">
        <v>5.3168908653577165E-2</v>
      </c>
      <c r="O117" s="16">
        <v>1.2943818349696046E-3</v>
      </c>
      <c r="P117" s="3">
        <f t="shared" si="50"/>
        <v>0.13285555969475366</v>
      </c>
      <c r="Q117" s="3">
        <f t="shared" si="51"/>
        <v>2.5433373122722681E-2</v>
      </c>
      <c r="R117" s="3">
        <f t="shared" si="52"/>
        <v>0.84118059872540962</v>
      </c>
      <c r="S117" s="3">
        <f t="shared" si="53"/>
        <v>5.1786127292164264E-4</v>
      </c>
      <c r="T117" s="4">
        <f t="shared" si="44"/>
        <v>2.567230489524901</v>
      </c>
      <c r="U117" s="5">
        <f t="shared" si="45"/>
        <v>0.49146103544430875</v>
      </c>
      <c r="V117" s="14"/>
      <c r="W117" s="3">
        <f t="shared" si="46"/>
        <v>3.0586915249692099</v>
      </c>
      <c r="X117" s="3">
        <f t="shared" si="48"/>
        <v>2.9347984164718375E-2</v>
      </c>
    </row>
    <row r="118" spans="1:25" ht="15.6" x14ac:dyDescent="0.3">
      <c r="A118" s="1" t="s">
        <v>23</v>
      </c>
      <c r="B118" s="1">
        <v>60</v>
      </c>
      <c r="C118" s="12" t="str">
        <f>+'[1]Flow rate'!E2105</f>
        <v>74.0</v>
      </c>
      <c r="D118" s="1" t="s">
        <v>27</v>
      </c>
      <c r="E118" s="1" t="s">
        <v>26</v>
      </c>
      <c r="F118" s="1" t="s">
        <v>24</v>
      </c>
      <c r="G118" s="1">
        <v>-0.5</v>
      </c>
      <c r="H118" s="15">
        <v>45452.646770833337</v>
      </c>
      <c r="I118" s="2">
        <f t="shared" si="49"/>
        <v>46.630422500136774</v>
      </c>
      <c r="J118" s="16">
        <v>13.628154436741662</v>
      </c>
      <c r="K118" s="16">
        <v>2.5918409862562157</v>
      </c>
      <c r="L118" s="16">
        <v>86.712437640102607</v>
      </c>
      <c r="N118" s="16">
        <v>5.3404538385486131E-2</v>
      </c>
      <c r="O118" s="16">
        <v>9.8016187160032686E-4</v>
      </c>
      <c r="P118" s="3">
        <f t="shared" si="50"/>
        <v>0.13232911485872245</v>
      </c>
      <c r="Q118" s="3">
        <f t="shared" si="51"/>
        <v>2.5166725630961145E-2</v>
      </c>
      <c r="R118" s="3">
        <f t="shared" si="52"/>
        <v>0.84197608512722344</v>
      </c>
      <c r="S118" s="3">
        <f t="shared" si="53"/>
        <v>5.1855703035896036E-4</v>
      </c>
      <c r="T118" s="4">
        <f t="shared" si="44"/>
        <v>2.5920859365943585</v>
      </c>
      <c r="U118" s="5">
        <f t="shared" si="45"/>
        <v>0.49297024050821164</v>
      </c>
      <c r="V118" s="14"/>
      <c r="W118" s="3">
        <f t="shared" si="46"/>
        <v>3.0850561771025702</v>
      </c>
      <c r="X118" s="3">
        <f t="shared" si="48"/>
        <v>2.9022584652413447E-2</v>
      </c>
      <c r="Y118">
        <f t="shared" ref="Y118" si="79">+SUM(K118:L118)</f>
        <v>89.304278626358823</v>
      </c>
    </row>
    <row r="119" spans="1:25" ht="15.6" x14ac:dyDescent="0.3">
      <c r="A119" s="1" t="s">
        <v>23</v>
      </c>
      <c r="B119" s="1">
        <v>60</v>
      </c>
      <c r="C119" s="12" t="str">
        <f>+'[1]Flow rate'!E2106</f>
        <v>74.0</v>
      </c>
      <c r="D119" s="1" t="s">
        <v>27</v>
      </c>
      <c r="E119" s="1" t="s">
        <v>26</v>
      </c>
      <c r="F119" s="1" t="s">
        <v>24</v>
      </c>
      <c r="G119" s="1">
        <v>-0.5</v>
      </c>
      <c r="H119" s="15">
        <v>45452.662395833337</v>
      </c>
      <c r="I119" s="2">
        <f t="shared" si="49"/>
        <v>47.005422500136774</v>
      </c>
      <c r="J119" s="16">
        <v>13.711080037743393</v>
      </c>
      <c r="K119" s="16">
        <v>2.448775394531356</v>
      </c>
      <c r="L119" s="16">
        <v>86.777937823265816</v>
      </c>
      <c r="N119" s="16">
        <v>5.3160869840979827E-2</v>
      </c>
      <c r="O119" s="16">
        <v>1.2704462260170191E-3</v>
      </c>
      <c r="P119" s="3">
        <f t="shared" si="50"/>
        <v>0.13312733164832719</v>
      </c>
      <c r="Q119" s="3">
        <f t="shared" si="51"/>
        <v>2.3776313257791535E-2</v>
      </c>
      <c r="R119" s="3">
        <f t="shared" si="52"/>
        <v>0.84256785581839322</v>
      </c>
      <c r="S119" s="3">
        <f t="shared" si="53"/>
        <v>5.1616391491785462E-4</v>
      </c>
      <c r="T119" s="4">
        <f t="shared" si="44"/>
        <v>2.6077215472224271</v>
      </c>
      <c r="U119" s="5">
        <f t="shared" si="45"/>
        <v>0.465734598809803</v>
      </c>
      <c r="V119" s="14"/>
      <c r="W119" s="3">
        <f t="shared" si="46"/>
        <v>3.0734561460322301</v>
      </c>
      <c r="X119" s="3">
        <f t="shared" si="48"/>
        <v>2.7444420019753939E-2</v>
      </c>
    </row>
    <row r="120" spans="1:25" ht="15.6" x14ac:dyDescent="0.3">
      <c r="A120" s="1" t="s">
        <v>23</v>
      </c>
      <c r="B120" s="1">
        <v>60</v>
      </c>
      <c r="C120" s="12" t="str">
        <f>+'[1]Flow rate'!E2107</f>
        <v>72.7</v>
      </c>
      <c r="D120" s="1" t="s">
        <v>27</v>
      </c>
      <c r="E120" s="1" t="s">
        <v>26</v>
      </c>
      <c r="F120" s="1" t="s">
        <v>24</v>
      </c>
      <c r="G120" s="1">
        <v>-0.5</v>
      </c>
      <c r="H120" s="15">
        <v>45452.678043981483</v>
      </c>
      <c r="I120" s="2">
        <f t="shared" si="49"/>
        <v>47.380978055647574</v>
      </c>
      <c r="J120" s="16">
        <v>13.73282334734707</v>
      </c>
      <c r="K120" s="16">
        <v>2.4058882694863715</v>
      </c>
      <c r="L120" s="16">
        <v>86.596426168278612</v>
      </c>
      <c r="N120" s="16">
        <v>5.3277235615144886E-2</v>
      </c>
      <c r="O120" s="16">
        <v>1.2330143344473354E-3</v>
      </c>
      <c r="P120" s="3">
        <f t="shared" si="50"/>
        <v>0.13360122940262226</v>
      </c>
      <c r="Q120" s="3">
        <f t="shared" si="51"/>
        <v>2.3405939367218392E-2</v>
      </c>
      <c r="R120" s="3">
        <f t="shared" si="52"/>
        <v>0.84246252247833853</v>
      </c>
      <c r="S120" s="3">
        <f t="shared" si="53"/>
        <v>5.1831324100819936E-4</v>
      </c>
      <c r="T120" s="4">
        <f t="shared" si="44"/>
        <v>2.5710299390806663</v>
      </c>
      <c r="U120" s="5">
        <f t="shared" si="45"/>
        <v>0.4504252777799973</v>
      </c>
      <c r="V120" s="14"/>
      <c r="W120" s="3">
        <f t="shared" si="46"/>
        <v>3.0214552168606637</v>
      </c>
      <c r="X120" s="3">
        <f t="shared" si="48"/>
        <v>2.7031749507690533E-2</v>
      </c>
      <c r="Y120">
        <f t="shared" ref="Y120" si="80">+SUM(K120:L120)</f>
        <v>89.00231443776498</v>
      </c>
    </row>
    <row r="121" spans="1:25" ht="15.6" x14ac:dyDescent="0.3">
      <c r="A121" s="1" t="s">
        <v>23</v>
      </c>
      <c r="B121" s="1">
        <v>60</v>
      </c>
      <c r="C121" s="12" t="str">
        <f>+'[1]Flow rate'!E2108</f>
        <v>74.3</v>
      </c>
      <c r="D121" s="1" t="s">
        <v>27</v>
      </c>
      <c r="E121" s="1" t="s">
        <v>26</v>
      </c>
      <c r="F121" s="1" t="s">
        <v>24</v>
      </c>
      <c r="G121" s="1">
        <v>-0.5</v>
      </c>
      <c r="H121" s="15">
        <v>45452.693668981483</v>
      </c>
      <c r="I121" s="2">
        <f t="shared" si="49"/>
        <v>47.755978055647574</v>
      </c>
      <c r="J121" s="16">
        <v>13.389922889486332</v>
      </c>
      <c r="K121" s="16">
        <v>2.8944710890869541</v>
      </c>
      <c r="L121" s="16">
        <v>86.65970520300661</v>
      </c>
      <c r="N121" s="16">
        <v>5.3501430341631406E-2</v>
      </c>
      <c r="O121" s="16">
        <v>1.1102691815212951E-3</v>
      </c>
      <c r="P121" s="3">
        <f t="shared" si="50"/>
        <v>0.13000087840849814</v>
      </c>
      <c r="Q121" s="3">
        <f t="shared" si="51"/>
        <v>2.8102012775948211E-2</v>
      </c>
      <c r="R121" s="3">
        <f t="shared" si="52"/>
        <v>0.84136689150452149</v>
      </c>
      <c r="S121" s="3">
        <f t="shared" si="53"/>
        <v>5.1943786367764338E-4</v>
      </c>
      <c r="T121" s="4">
        <f t="shared" si="44"/>
        <v>2.55680359990679</v>
      </c>
      <c r="U121" s="5">
        <f t="shared" si="45"/>
        <v>0.55269878411432394</v>
      </c>
      <c r="V121" s="14"/>
      <c r="W121" s="3">
        <f t="shared" si="46"/>
        <v>3.109502384021114</v>
      </c>
      <c r="X121" s="3">
        <f t="shared" si="48"/>
        <v>3.2320894557125161E-2</v>
      </c>
    </row>
    <row r="122" spans="1:25" ht="15.6" x14ac:dyDescent="0.3">
      <c r="A122" s="1" t="s">
        <v>23</v>
      </c>
      <c r="B122" s="1">
        <v>60</v>
      </c>
      <c r="C122" s="12" t="str">
        <f>+'[1]Flow rate'!E2109</f>
        <v>74.3</v>
      </c>
      <c r="D122" s="1" t="s">
        <v>27</v>
      </c>
      <c r="E122" s="1" t="s">
        <v>26</v>
      </c>
      <c r="F122" s="1" t="s">
        <v>24</v>
      </c>
      <c r="G122" s="1">
        <v>-0.5</v>
      </c>
      <c r="H122" s="15">
        <v>45452.709328703706</v>
      </c>
      <c r="I122" s="2">
        <f t="shared" si="49"/>
        <v>48.131811389001086</v>
      </c>
      <c r="J122" s="16">
        <v>13.31287391726301</v>
      </c>
      <c r="K122" s="16">
        <v>2.9008359895327027</v>
      </c>
      <c r="L122" s="16">
        <v>86.53354077571889</v>
      </c>
      <c r="N122" s="16">
        <v>5.6170109183886818E-2</v>
      </c>
      <c r="O122" s="16">
        <v>1.4010349872570771E-3</v>
      </c>
      <c r="P122" s="3">
        <f t="shared" si="50"/>
        <v>0.12949659053644991</v>
      </c>
      <c r="Q122" s="3">
        <f t="shared" si="51"/>
        <v>2.8216925412536568E-2</v>
      </c>
      <c r="R122" s="3">
        <f t="shared" si="52"/>
        <v>0.84172647973265391</v>
      </c>
      <c r="S122" s="3">
        <f t="shared" si="53"/>
        <v>5.4637621257280723E-4</v>
      </c>
      <c r="T122" s="4">
        <f t="shared" si="44"/>
        <v>2.546885474256972</v>
      </c>
      <c r="U122" s="5">
        <f t="shared" si="45"/>
        <v>0.55495883840396232</v>
      </c>
      <c r="V122" s="14"/>
      <c r="W122" s="3">
        <f t="shared" si="46"/>
        <v>3.1018443126609343</v>
      </c>
      <c r="X122" s="3">
        <f t="shared" si="48"/>
        <v>3.2435357571136782E-2</v>
      </c>
      <c r="Y122">
        <f t="shared" ref="Y122" si="81">+SUM(K122:L122)</f>
        <v>89.434376765251599</v>
      </c>
    </row>
    <row r="123" spans="1:25" ht="15.6" x14ac:dyDescent="0.3">
      <c r="A123" s="1" t="s">
        <v>23</v>
      </c>
      <c r="B123" s="1">
        <v>60</v>
      </c>
      <c r="C123" s="12" t="str">
        <f>+'[1]Flow rate'!E2110</f>
        <v>74.5</v>
      </c>
      <c r="D123" s="1" t="s">
        <v>27</v>
      </c>
      <c r="E123" s="1" t="s">
        <v>26</v>
      </c>
      <c r="F123" s="1" t="s">
        <v>24</v>
      </c>
      <c r="G123" s="1">
        <v>-0.5</v>
      </c>
      <c r="H123" s="15">
        <v>45452.724953703706</v>
      </c>
      <c r="I123" s="2">
        <f t="shared" si="49"/>
        <v>48.506811389001086</v>
      </c>
      <c r="J123" s="16">
        <v>13.29657059185881</v>
      </c>
      <c r="K123" s="16">
        <v>2.8560616963322758</v>
      </c>
      <c r="L123" s="16">
        <v>86.879318958455372</v>
      </c>
      <c r="N123" s="16">
        <v>5.4076588496879852E-2</v>
      </c>
      <c r="O123" s="16">
        <v>1.084489810046052E-3</v>
      </c>
      <c r="P123" s="3">
        <f t="shared" si="50"/>
        <v>0.12898383019930831</v>
      </c>
      <c r="Q123" s="3">
        <f t="shared" si="51"/>
        <v>2.7705322536626477E-2</v>
      </c>
      <c r="R123" s="3">
        <f t="shared" si="52"/>
        <v>0.84277575536884319</v>
      </c>
      <c r="S123" s="3">
        <f t="shared" si="53"/>
        <v>5.2457176534752943E-4</v>
      </c>
      <c r="T123" s="4">
        <f t="shared" si="44"/>
        <v>2.5436292505627702</v>
      </c>
      <c r="U123" s="5">
        <f t="shared" si="45"/>
        <v>0.54636359217697461</v>
      </c>
      <c r="V123" s="14"/>
      <c r="W123" s="3">
        <f t="shared" si="46"/>
        <v>3.0899928427397447</v>
      </c>
      <c r="X123" s="3">
        <f t="shared" si="48"/>
        <v>3.1827598829937055E-2</v>
      </c>
    </row>
    <row r="124" spans="1:25" ht="15.6" x14ac:dyDescent="0.3">
      <c r="A124" s="1" t="s">
        <v>23</v>
      </c>
      <c r="B124" s="1">
        <v>60</v>
      </c>
      <c r="C124" s="12" t="str">
        <f>+'[1]Flow rate'!E2111</f>
        <v>73.9</v>
      </c>
      <c r="D124" s="1" t="s">
        <v>27</v>
      </c>
      <c r="E124" s="1" t="s">
        <v>26</v>
      </c>
      <c r="F124" s="1" t="s">
        <v>24</v>
      </c>
      <c r="G124" s="1">
        <v>-0.5</v>
      </c>
      <c r="H124" s="15">
        <v>45452.740590277775</v>
      </c>
      <c r="I124" s="2">
        <f t="shared" si="49"/>
        <v>48.882089166669175</v>
      </c>
      <c r="J124" s="16">
        <v>13.220989150256733</v>
      </c>
      <c r="K124" s="16">
        <v>2.9443909957086953</v>
      </c>
      <c r="L124" s="16">
        <v>86.771642028355927</v>
      </c>
      <c r="N124" s="16">
        <v>5.2615075088844138E-2</v>
      </c>
      <c r="O124" s="16">
        <v>0.16322785009369134</v>
      </c>
      <c r="P124" s="3">
        <f t="shared" si="50"/>
        <v>0.12816889901704068</v>
      </c>
      <c r="Q124" s="3">
        <f t="shared" si="51"/>
        <v>2.8543957483570241E-2</v>
      </c>
      <c r="R124" s="3">
        <f t="shared" si="52"/>
        <v>0.84119468659114593</v>
      </c>
      <c r="S124" s="3">
        <f t="shared" si="53"/>
        <v>5.1006896452260721E-4</v>
      </c>
      <c r="T124" s="4">
        <f t="shared" si="44"/>
        <v>2.507202202415947</v>
      </c>
      <c r="U124" s="5">
        <f t="shared" si="45"/>
        <v>0.55836847797966549</v>
      </c>
      <c r="V124" s="14"/>
      <c r="W124" s="3">
        <f t="shared" si="46"/>
        <v>3.0655706803956124</v>
      </c>
      <c r="X124" s="3">
        <f t="shared" si="48"/>
        <v>3.2819005661105391E-2</v>
      </c>
      <c r="Y124">
        <f t="shared" ref="Y124" si="82">+SUM(K124:L124)</f>
        <v>89.716033024064629</v>
      </c>
    </row>
    <row r="125" spans="1:25" ht="15.6" x14ac:dyDescent="0.3">
      <c r="A125" s="1" t="s">
        <v>23</v>
      </c>
      <c r="B125" s="1">
        <v>60</v>
      </c>
      <c r="C125" s="12" t="str">
        <f>+'[1]Flow rate'!E2112</f>
        <v>73.9</v>
      </c>
      <c r="D125" s="1" t="s">
        <v>27</v>
      </c>
      <c r="E125" s="1" t="s">
        <v>26</v>
      </c>
      <c r="F125" s="1" t="s">
        <v>24</v>
      </c>
      <c r="G125" s="1">
        <v>-0.5</v>
      </c>
      <c r="H125" s="15">
        <v>45452.756226851852</v>
      </c>
      <c r="I125" s="2">
        <f t="shared" si="49"/>
        <v>49.257366944511887</v>
      </c>
      <c r="J125" s="16">
        <v>12.855273290225156</v>
      </c>
      <c r="K125" s="16">
        <v>3.5493026172415725</v>
      </c>
      <c r="L125" s="16">
        <v>86.283877225791912</v>
      </c>
      <c r="N125" s="16">
        <v>5.3853792567260736E-2</v>
      </c>
      <c r="O125" s="16">
        <v>1.4304560822570034E-3</v>
      </c>
      <c r="P125" s="3">
        <f t="shared" si="50"/>
        <v>0.12511977486706458</v>
      </c>
      <c r="Q125" s="3">
        <f t="shared" si="51"/>
        <v>3.4545196696986795E-2</v>
      </c>
      <c r="R125" s="3">
        <f t="shared" si="52"/>
        <v>0.8397969494244365</v>
      </c>
      <c r="S125" s="3">
        <f t="shared" si="53"/>
        <v>5.2415644923525708E-4</v>
      </c>
      <c r="T125" s="4">
        <f t="shared" si="44"/>
        <v>2.4475561350556951</v>
      </c>
      <c r="U125" s="5">
        <f t="shared" si="45"/>
        <v>0.67576294955972072</v>
      </c>
      <c r="V125" s="14"/>
      <c r="W125" s="3">
        <f t="shared" si="46"/>
        <v>3.123319084615416</v>
      </c>
      <c r="X125" s="3">
        <f t="shared" si="48"/>
        <v>3.9509929665668166E-2</v>
      </c>
    </row>
    <row r="126" spans="1:25" ht="15.6" x14ac:dyDescent="0.3">
      <c r="A126" s="1" t="s">
        <v>23</v>
      </c>
      <c r="B126" s="1">
        <v>60</v>
      </c>
      <c r="C126" s="12" t="str">
        <f>+'[1]Flow rate'!E2113</f>
        <v>73.3</v>
      </c>
      <c r="D126" s="1" t="s">
        <v>27</v>
      </c>
      <c r="E126" s="1" t="s">
        <v>26</v>
      </c>
      <c r="F126" s="1" t="s">
        <v>24</v>
      </c>
      <c r="G126" s="1">
        <v>-0.5</v>
      </c>
      <c r="H126" s="15">
        <v>45452.771863425929</v>
      </c>
      <c r="I126" s="2">
        <f t="shared" si="49"/>
        <v>49.632644722354598</v>
      </c>
      <c r="J126" s="16">
        <v>0.90752527371292102</v>
      </c>
      <c r="K126" s="16">
        <v>0.35336971235267839</v>
      </c>
      <c r="L126" s="16">
        <v>101.147401932645</v>
      </c>
      <c r="N126" s="16">
        <v>5.3960600506203008E-2</v>
      </c>
      <c r="O126" s="16">
        <v>1.2175379193422597E-3</v>
      </c>
      <c r="P126" s="3">
        <f t="shared" si="50"/>
        <v>8.8570612426219462E-3</v>
      </c>
      <c r="Q126" s="3">
        <f t="shared" si="51"/>
        <v>3.448738315342426E-3</v>
      </c>
      <c r="R126" s="3">
        <f t="shared" si="52"/>
        <v>0.98715568524532993</v>
      </c>
      <c r="S126" s="3">
        <f t="shared" si="53"/>
        <v>5.266325437050935E-4</v>
      </c>
      <c r="T126" s="4">
        <f t="shared" si="44"/>
        <v>0.17185251442465826</v>
      </c>
      <c r="U126" s="5">
        <f t="shared" si="45"/>
        <v>6.6915462685545019E-2</v>
      </c>
      <c r="V126" s="14"/>
      <c r="W126" s="3">
        <f t="shared" si="46"/>
        <v>0.23876797711020328</v>
      </c>
      <c r="X126" s="3">
        <f t="shared" si="48"/>
        <v>3.4814485311363023E-3</v>
      </c>
      <c r="Y126">
        <f t="shared" ref="Y126" si="83">+SUM(K126:L126)</f>
        <v>101.50077164499767</v>
      </c>
    </row>
    <row r="127" spans="1:25" ht="15.6" x14ac:dyDescent="0.3">
      <c r="A127" s="1" t="s">
        <v>23</v>
      </c>
      <c r="B127" s="1">
        <v>60</v>
      </c>
      <c r="C127" s="12" t="str">
        <f>+'[1]Flow rate'!E2114</f>
        <v>73.0</v>
      </c>
      <c r="D127" s="1" t="s">
        <v>27</v>
      </c>
      <c r="E127" s="1" t="s">
        <v>26</v>
      </c>
      <c r="F127" s="1" t="s">
        <v>24</v>
      </c>
      <c r="G127" s="1">
        <v>-0.5</v>
      </c>
      <c r="H127" s="15">
        <v>45452.787499999999</v>
      </c>
      <c r="I127" s="2">
        <f t="shared" si="49"/>
        <v>50.007922500022687</v>
      </c>
      <c r="J127" s="17">
        <v>8.9399362929486803E-2</v>
      </c>
      <c r="K127" s="17">
        <v>1.4164196808429785E-2</v>
      </c>
      <c r="L127" s="17">
        <v>102.2470476664992</v>
      </c>
      <c r="N127" s="17">
        <v>5.317853845825319E-2</v>
      </c>
      <c r="O127" s="17">
        <v>1.0296423425481538E-3</v>
      </c>
      <c r="P127" s="3">
        <f t="shared" si="50"/>
        <v>8.7299956630110221E-4</v>
      </c>
      <c r="Q127" s="3">
        <f t="shared" si="51"/>
        <v>1.3831572469387443E-4</v>
      </c>
      <c r="R127" s="3">
        <f t="shared" si="52"/>
        <v>0.99845933285706401</v>
      </c>
      <c r="S127" s="3">
        <f t="shared" si="53"/>
        <v>5.192972241558234E-4</v>
      </c>
      <c r="T127" s="4">
        <f t="shared" si="44"/>
        <v>1.6869381372518557E-2</v>
      </c>
      <c r="U127" s="5">
        <f t="shared" si="45"/>
        <v>2.6727398268517389E-3</v>
      </c>
      <c r="V127" s="14"/>
      <c r="W127" s="3">
        <f t="shared" si="46"/>
        <v>1.9542121199370297E-2</v>
      </c>
      <c r="X127" s="3">
        <f t="shared" si="48"/>
        <v>1.3850996433880563E-4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Govea Alvarez</dc:creator>
  <cp:lastModifiedBy>Paulina Govea Alvarez</cp:lastModifiedBy>
  <dcterms:created xsi:type="dcterms:W3CDTF">2024-05-17T15:35:51Z</dcterms:created>
  <dcterms:modified xsi:type="dcterms:W3CDTF">2026-08-16T21:17:44Z</dcterms:modified>
</cp:coreProperties>
</file>