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05 - Ag60 GDE_0.3 M K2SO4_pH2/"/>
    </mc:Choice>
  </mc:AlternateContent>
  <xr:revisionPtr revIDLastSave="196" documentId="8_{99172C6E-3916-40BE-A50D-EF70DFCC63BC}" xr6:coauthVersionLast="47" xr6:coauthVersionMax="47" xr10:uidLastSave="{78016A9F-04FC-410C-8A32-6F69E32DA7ED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T22" i="1" s="1"/>
  <c r="Q22" i="1"/>
  <c r="U22" i="1" s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T31" i="1" s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S3" i="1"/>
  <c r="R3" i="1"/>
  <c r="Q3" i="1"/>
  <c r="C1" i="2"/>
  <c r="D1" i="2" s="1"/>
  <c r="E1" i="2" s="1" a="1"/>
  <c r="E1" i="2" s="1"/>
  <c r="C3" i="2"/>
  <c r="D3" i="2" s="1"/>
  <c r="E3" i="2" s="1" a="1"/>
  <c r="E3" i="2" s="1"/>
  <c r="C4" i="1" s="1"/>
  <c r="C4" i="2"/>
  <c r="D4" i="2" s="1"/>
  <c r="E4" i="2" s="1" a="1"/>
  <c r="E4" i="2" s="1"/>
  <c r="C5" i="2"/>
  <c r="D5" i="2"/>
  <c r="E5" i="2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2"/>
  <c r="D8" i="2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 s="1"/>
  <c r="E11" i="2" s="1" a="1"/>
  <c r="E11" i="2" s="1"/>
  <c r="C12" i="1" s="1"/>
  <c r="C12" i="2"/>
  <c r="D12" i="2" s="1"/>
  <c r="E12" i="2" s="1" a="1"/>
  <c r="E12" i="2" s="1"/>
  <c r="C13" i="2"/>
  <c r="D13" i="2" s="1"/>
  <c r="E13" i="2" s="1" a="1"/>
  <c r="E13" i="2" s="1"/>
  <c r="C14" i="1" s="1"/>
  <c r="T14" i="1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C20" i="2"/>
  <c r="D20" i="2" s="1"/>
  <c r="E20" i="2" s="1" a="1"/>
  <c r="E20" i="2" s="1"/>
  <c r="C21" i="1" s="1"/>
  <c r="C21" i="2"/>
  <c r="D21" i="2" s="1"/>
  <c r="E21" i="2" s="1" a="1"/>
  <c r="E21" i="2" s="1"/>
  <c r="C22" i="2"/>
  <c r="D22" i="2" s="1"/>
  <c r="E22" i="2" s="1" a="1"/>
  <c r="E22" i="2" s="1"/>
  <c r="C23" i="2"/>
  <c r="D23" i="2"/>
  <c r="E23" i="2" s="1" a="1"/>
  <c r="E23" i="2" s="1"/>
  <c r="C24" i="1" s="1"/>
  <c r="C24" i="2"/>
  <c r="D24" i="2" s="1"/>
  <c r="E24" i="2" s="1" a="1"/>
  <c r="E24" i="2" s="1"/>
  <c r="C25" i="2"/>
  <c r="D25" i="2" s="1"/>
  <c r="E25" i="2" s="1" a="1"/>
  <c r="E25" i="2" s="1"/>
  <c r="C26" i="1" s="1"/>
  <c r="C26" i="2"/>
  <c r="D26" i="2"/>
  <c r="E26" i="2" s="1" a="1"/>
  <c r="E26" i="2" s="1"/>
  <c r="C27" i="1" s="1"/>
  <c r="C27" i="2"/>
  <c r="D27" i="2" s="1"/>
  <c r="E27" i="2" s="1" a="1"/>
  <c r="E27" i="2" s="1"/>
  <c r="C28" i="2"/>
  <c r="D28" i="2" s="1"/>
  <c r="E28" i="2" s="1" a="1"/>
  <c r="E28" i="2" s="1"/>
  <c r="C29" i="2"/>
  <c r="D29" i="2"/>
  <c r="E29" i="2" a="1"/>
  <c r="E29" i="2" s="1"/>
  <c r="C30" i="1" s="1"/>
  <c r="C30" i="2"/>
  <c r="D30" i="2" s="1"/>
  <c r="E30" i="2" s="1" a="1"/>
  <c r="E30" i="2" s="1"/>
  <c r="C31" i="2"/>
  <c r="D31" i="2" s="1"/>
  <c r="E31" i="2" s="1" a="1"/>
  <c r="E31" i="2" s="1"/>
  <c r="C32" i="2"/>
  <c r="D32" i="2"/>
  <c r="E32" i="2" a="1"/>
  <c r="E32" i="2" s="1"/>
  <c r="C33" i="1" s="1"/>
  <c r="C33" i="2"/>
  <c r="D33" i="2" s="1"/>
  <c r="E33" i="2" s="1" a="1"/>
  <c r="E33" i="2" s="1"/>
  <c r="C34" i="2"/>
  <c r="D34" i="2" s="1"/>
  <c r="E34" i="2" s="1" a="1"/>
  <c r="E34" i="2" s="1"/>
  <c r="C35" i="2"/>
  <c r="D35" i="2" s="1"/>
  <c r="E35" i="2" s="1" a="1"/>
  <c r="E35" i="2" s="1"/>
  <c r="C36" i="1" s="1"/>
  <c r="C36" i="2"/>
  <c r="D36" i="2" s="1"/>
  <c r="E36" i="2" s="1" a="1"/>
  <c r="E36" i="2" s="1"/>
  <c r="C37" i="2"/>
  <c r="D37" i="2" s="1"/>
  <c r="E37" i="2" s="1" a="1"/>
  <c r="E37" i="2" s="1"/>
  <c r="C38" i="1" s="1"/>
  <c r="C38" i="2"/>
  <c r="D38" i="2"/>
  <c r="E38" i="2" a="1"/>
  <c r="E38" i="2"/>
  <c r="C39" i="1" s="1"/>
  <c r="C39" i="2"/>
  <c r="D39" i="2" s="1"/>
  <c r="E39" i="2" s="1" a="1"/>
  <c r="E39" i="2" s="1"/>
  <c r="C40" i="1" s="1"/>
  <c r="C40" i="2"/>
  <c r="D40" i="2" s="1"/>
  <c r="E40" i="2" s="1" a="1"/>
  <c r="E40" i="2" s="1"/>
  <c r="C41" i="1" s="1"/>
  <c r="U41" i="1" s="1"/>
  <c r="C41" i="2"/>
  <c r="D41" i="2"/>
  <c r="E41" i="2" s="1" a="1"/>
  <c r="E41" i="2" s="1"/>
  <c r="C42" i="1" s="1"/>
  <c r="C42" i="2"/>
  <c r="D42" i="2" s="1"/>
  <c r="E42" i="2" s="1" a="1"/>
  <c r="E42" i="2" s="1"/>
  <c r="C43" i="2"/>
  <c r="D43" i="2" s="1"/>
  <c r="E43" i="2" s="1" a="1"/>
  <c r="E43" i="2" s="1"/>
  <c r="C44" i="2"/>
  <c r="D44" i="2" s="1"/>
  <c r="E44" i="2" s="1" a="1"/>
  <c r="E44" i="2" s="1"/>
  <c r="C45" i="1" s="1"/>
  <c r="C45" i="2"/>
  <c r="D45" i="2" s="1"/>
  <c r="E45" i="2" s="1" a="1"/>
  <c r="E45" i="2" s="1"/>
  <c r="C46" i="1" s="1"/>
  <c r="C46" i="2"/>
  <c r="D46" i="2" s="1"/>
  <c r="E46" i="2" s="1" a="1"/>
  <c r="E46" i="2" s="1"/>
  <c r="C47" i="1" s="1"/>
  <c r="C47" i="2"/>
  <c r="D47" i="2"/>
  <c r="E47" i="2" s="1" a="1"/>
  <c r="E47" i="2" s="1"/>
  <c r="C48" i="1" s="1"/>
  <c r="C48" i="2"/>
  <c r="D48" i="2" s="1"/>
  <c r="E48" i="2" s="1" a="1"/>
  <c r="E48" i="2" s="1"/>
  <c r="C49" i="2"/>
  <c r="D49" i="2" s="1"/>
  <c r="E49" i="2" s="1" a="1"/>
  <c r="E49" i="2" s="1"/>
  <c r="C50" i="1" s="1"/>
  <c r="C50" i="2"/>
  <c r="D50" i="2"/>
  <c r="E50" i="2" a="1"/>
  <c r="E50" i="2" s="1"/>
  <c r="C51" i="1" s="1"/>
  <c r="C2" i="2"/>
  <c r="D2" i="2" s="1"/>
  <c r="E2" i="2" s="1" a="1"/>
  <c r="E2" i="2" s="1"/>
  <c r="C3" i="1" s="1"/>
  <c r="C5" i="1"/>
  <c r="C8" i="1"/>
  <c r="C13" i="1"/>
  <c r="C22" i="1"/>
  <c r="C23" i="1"/>
  <c r="C25" i="1"/>
  <c r="C28" i="1"/>
  <c r="C29" i="1"/>
  <c r="C31" i="1"/>
  <c r="C32" i="1"/>
  <c r="U32" i="1" s="1"/>
  <c r="C34" i="1"/>
  <c r="C35" i="1"/>
  <c r="C37" i="1"/>
  <c r="C43" i="1"/>
  <c r="C44" i="1"/>
  <c r="C4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Y2" i="1"/>
  <c r="S2" i="1"/>
  <c r="R2" i="1"/>
  <c r="Q2" i="1"/>
  <c r="P2" i="1"/>
  <c r="T38" i="1" l="1"/>
  <c r="U16" i="1"/>
  <c r="T11" i="1"/>
  <c r="U34" i="1"/>
  <c r="U15" i="1"/>
  <c r="U31" i="1"/>
  <c r="U40" i="1"/>
  <c r="U24" i="1"/>
  <c r="U25" i="1"/>
  <c r="U23" i="1"/>
  <c r="U17" i="1"/>
  <c r="U35" i="1"/>
  <c r="U39" i="1"/>
  <c r="U48" i="1"/>
  <c r="T30" i="1"/>
  <c r="U49" i="1"/>
  <c r="U9" i="1"/>
  <c r="T46" i="1"/>
  <c r="U8" i="1"/>
  <c r="T19" i="1"/>
  <c r="T7" i="1"/>
  <c r="T27" i="1"/>
  <c r="W27" i="1" s="1"/>
  <c r="T6" i="1"/>
  <c r="U33" i="1"/>
  <c r="T33" i="1"/>
  <c r="T47" i="1"/>
  <c r="U47" i="1"/>
  <c r="T42" i="1"/>
  <c r="U46" i="1"/>
  <c r="U6" i="1"/>
  <c r="T10" i="1"/>
  <c r="W10" i="1" s="1"/>
  <c r="U27" i="1"/>
  <c r="U42" i="1"/>
  <c r="U18" i="1"/>
  <c r="U30" i="1"/>
  <c r="T45" i="1"/>
  <c r="T18" i="1"/>
  <c r="U10" i="1"/>
  <c r="T21" i="1"/>
  <c r="T8" i="1"/>
  <c r="U21" i="1"/>
  <c r="C2" i="1"/>
  <c r="W47" i="1"/>
  <c r="U19" i="1"/>
  <c r="W19" i="1" s="1"/>
  <c r="T23" i="1"/>
  <c r="T17" i="1"/>
  <c r="W31" i="1"/>
  <c r="T9" i="1"/>
  <c r="U7" i="1"/>
  <c r="U20" i="1"/>
  <c r="T40" i="1"/>
  <c r="U45" i="1"/>
  <c r="T29" i="1"/>
  <c r="U29" i="1"/>
  <c r="U3" i="1"/>
  <c r="T3" i="1"/>
  <c r="T15" i="1"/>
  <c r="W15" i="1" s="1"/>
  <c r="T51" i="1"/>
  <c r="U4" i="1"/>
  <c r="T41" i="1"/>
  <c r="W41" i="1" s="1"/>
  <c r="T12" i="1"/>
  <c r="T28" i="1"/>
  <c r="T39" i="1"/>
  <c r="U43" i="1"/>
  <c r="T43" i="1"/>
  <c r="U28" i="1"/>
  <c r="T4" i="1"/>
  <c r="T20" i="1"/>
  <c r="U26" i="1"/>
  <c r="T5" i="1"/>
  <c r="T16" i="1"/>
  <c r="W16" i="1" s="1"/>
  <c r="T32" i="1"/>
  <c r="W32" i="1" s="1"/>
  <c r="T44" i="1"/>
  <c r="U5" i="1"/>
  <c r="U44" i="1"/>
  <c r="T25" i="1"/>
  <c r="T36" i="1"/>
  <c r="U12" i="1"/>
  <c r="U36" i="1"/>
  <c r="U14" i="1"/>
  <c r="W14" i="1" s="1"/>
  <c r="U38" i="1"/>
  <c r="W38" i="1" s="1"/>
  <c r="U51" i="1"/>
  <c r="T49" i="1"/>
  <c r="U11" i="1"/>
  <c r="W11" i="1" s="1"/>
  <c r="T13" i="1"/>
  <c r="T37" i="1"/>
  <c r="T48" i="1"/>
  <c r="W48" i="1" s="1"/>
  <c r="T50" i="1"/>
  <c r="U13" i="1"/>
  <c r="T24" i="1"/>
  <c r="U37" i="1"/>
  <c r="U50" i="1"/>
  <c r="T26" i="1"/>
  <c r="W22" i="1"/>
  <c r="T35" i="1"/>
  <c r="T34" i="1"/>
  <c r="W34" i="1" s="1"/>
  <c r="W24" i="1" l="1"/>
  <c r="W25" i="1"/>
  <c r="W8" i="1"/>
  <c r="W35" i="1"/>
  <c r="W21" i="1"/>
  <c r="W17" i="1"/>
  <c r="W18" i="1"/>
  <c r="W23" i="1"/>
  <c r="W42" i="1"/>
  <c r="W39" i="1"/>
  <c r="W40" i="1"/>
  <c r="W49" i="1"/>
  <c r="W9" i="1"/>
  <c r="W45" i="1"/>
  <c r="W33" i="1"/>
  <c r="W30" i="1"/>
  <c r="W6" i="1"/>
  <c r="W46" i="1"/>
  <c r="W7" i="1"/>
  <c r="W3" i="1"/>
  <c r="W12" i="1"/>
  <c r="W26" i="1"/>
  <c r="W51" i="1"/>
  <c r="W5" i="1"/>
  <c r="W50" i="1"/>
  <c r="W29" i="1"/>
  <c r="W36" i="1"/>
  <c r="W43" i="1"/>
  <c r="W20" i="1"/>
  <c r="W4" i="1"/>
  <c r="W28" i="1"/>
  <c r="W13" i="1"/>
  <c r="W2" i="1"/>
  <c r="W44" i="1"/>
  <c r="W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<sst xmlns="http://schemas.openxmlformats.org/spreadsheetml/2006/main" count="225" uniqueCount="29">
  <si>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</si>
  <si>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</si>
  <si>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</si>
  <si>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</si>
  <si>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</si>
  <si>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</si>
  <si>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</si>
  <si>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</si>
  <si>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</si>
  <si>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</si>
  <si>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</si>
  <si>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</si>
  <si>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</si>
  <si>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</si>
  <si>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</si>
  <si>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</si>
  <si>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</si>
  <si>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</si>
  <si>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</si>
  <si>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</si>
  <si>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</si>
  <si>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</si>
  <si>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</si>
  <si>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</si>
  <si>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</si>
  <si>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</si>
  <si>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</si>
  <si>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Deionized wated</t>
  </si>
  <si>
    <t>0.3Mk2so4pH2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</si>
</sst>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\ h:mm\ AM/PM;@"/>
    <numFmt numFmtId="165" formatCode="0.0"/>
    <numFmt numFmtId="166" formatCode="m/d/yy\ h:mm;@"/>
    <numFmt numFmtId="167" formatCode="d/mm/yy\ h:mm;@"/>
    <numFmt numFmtId="168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J66"/>
  <sheetViews>
    <sheetView tabSelected="1" topLeftCell="H1" zoomScale="70" zoomScaleNormal="70" workbookViewId="0">
      <selection activeCell="K3" sqref="K3:K51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">
      <c r="A2" s="1" t="s">
        <v>23</v>
      </c>
      <c r="B2" s="1">
        <v>60</v>
      </c>
      <c r="C2" s="12">
        <f>+'Flow rate'!E1</f>
        <v>59.277917000000002</v>
      </c>
      <c r="D2" s="1" t="s">
        <v>26</v>
      </c>
      <c r="E2" s="1" t="s">
        <v>27</v>
      </c>
      <c r="F2" s="1" t="s">
        <v>24</v>
      </c>
      <c r="G2" s="1">
        <v>0</v>
      </c>
      <c r="H2" s="15">
        <v>45448.737500000003</v>
      </c>
      <c r="I2" s="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 t="shared" ref="S2" si="1">+N2/100</f>
        <v>0</v>
      </c>
      <c r="T2" s="4">
        <v>0</v>
      </c>
      <c r="U2" s="5">
        <v>0</v>
      </c>
      <c r="V2" s="14"/>
      <c r="W2" s="3">
        <f t="shared" ref="W2:W51" si="2">+T2+U2</f>
        <v>0</v>
      </c>
      <c r="X2" s="3">
        <v>0</v>
      </c>
      <c r="Y2">
        <f t="shared" ref="Y2" si="3">+SUM(K2:L2)</f>
        <v>0</v>
      </c>
    </row>
    <row r="3" spans="1:25" ht="15.6" x14ac:dyDescent="0.3">
      <c r="A3" s="1" t="s">
        <v>23</v>
      </c>
      <c r="B3" s="1">
        <v>60</v>
      </c>
      <c r="C3" s="12">
        <f>+'Flow rate'!E2</f>
        <v>61.242460000000001</v>
      </c>
      <c r="D3" s="1" t="s">
        <v>26</v>
      </c>
      <c r="E3" s="1" t="s">
        <v>27</v>
      </c>
      <c r="F3" s="1" t="s">
        <v>24</v>
      </c>
      <c r="G3" s="1">
        <v>-0.107</v>
      </c>
      <c r="H3" s="15">
        <v>45448.752129629633</v>
      </c>
      <c r="I3" s="2">
        <f>+(H3-H$2)*24</f>
        <v>0.35111111111473292</v>
      </c>
      <c r="J3" s="20">
        <v>1.3591273818748</v>
      </c>
      <c r="K3" s="20">
        <v>7.4916805474002951E-2</v>
      </c>
      <c r="L3" s="20">
        <v>101.1640078276165</v>
      </c>
      <c r="N3" s="20">
        <v>4.2953078214815019E-2</v>
      </c>
      <c r="O3" s="20">
        <v>1.3084092963365768E-3</v>
      </c>
      <c r="P3" s="3">
        <f>+J3/SUM($J3:$O3)</f>
        <v>1.3241394659737556E-2</v>
      </c>
      <c r="Q3" s="3">
        <f>+K3/SUM($J3:$O3)</f>
        <v>7.2988227678827042E-4</v>
      </c>
      <c r="R3" s="3">
        <f>+L3/SUM($J3:$O3)</f>
        <v>0.98559750239043176</v>
      </c>
      <c r="S3" s="3">
        <f>+N3/SUM($J3:$O3)</f>
        <v>4.1847340291856032E-4</v>
      </c>
      <c r="T3" s="4">
        <f t="shared" ref="T3:T51" si="4">+P3*C3/1000/60/24.3*2*96485/-1/G3</f>
        <v>1.0030783393690119</v>
      </c>
      <c r="U3" s="5">
        <f t="shared" ref="U3:U51" si="5">+Q3*C3/1000/60/24.3*2*96485/-1/G3</f>
        <v>5.5290935807675912E-2</v>
      </c>
      <c r="V3" s="14"/>
      <c r="W3" s="3">
        <f t="shared" si="2"/>
        <v>1.0583692751766878</v>
      </c>
      <c r="X3" s="3">
        <f t="shared" ref="X3:X51" si="6">+K3/(K3+L3)</f>
        <v>7.4000001230273814E-4</v>
      </c>
    </row>
    <row r="4" spans="1:25" ht="15.6" x14ac:dyDescent="0.3">
      <c r="A4" s="1" t="s">
        <v>23</v>
      </c>
      <c r="B4" s="1">
        <v>60</v>
      </c>
      <c r="C4" s="12">
        <f>+'Flow rate'!E3</f>
        <v>60.957707999999997</v>
      </c>
      <c r="D4" s="1" t="s">
        <v>26</v>
      </c>
      <c r="E4" s="1" t="s">
        <v>27</v>
      </c>
      <c r="F4" s="1" t="s">
        <v>24</v>
      </c>
      <c r="G4" s="1">
        <v>-0.107</v>
      </c>
      <c r="H4" s="15">
        <v>45448.767777777779</v>
      </c>
      <c r="I4" s="2">
        <f t="shared" ref="I4:I51" si="7">+(H4-H$2)*24</f>
        <v>0.72666666662553325</v>
      </c>
      <c r="J4" s="20">
        <v>1.3533457394453201</v>
      </c>
      <c r="K4" s="20">
        <v>2.3551860227130701E-2</v>
      </c>
      <c r="L4" s="20">
        <v>100.50543676548297</v>
      </c>
      <c r="N4" s="20">
        <v>3.8482067774584863E-2</v>
      </c>
      <c r="O4" s="20">
        <v>1.0406450822242341E-3</v>
      </c>
      <c r="P4" s="3">
        <f t="shared" ref="P4:P51" si="8">+J4/SUM($J4:$O4)</f>
        <v>1.3278268059906452E-2</v>
      </c>
      <c r="Q4" s="3">
        <f t="shared" ref="Q4:Q51" si="9">+K4/SUM($J4:$O4)</f>
        <v>2.3107762066289491E-4</v>
      </c>
      <c r="R4" s="3">
        <f t="shared" ref="R4:R51" si="10">+L4/SUM($J4:$O4)</f>
        <v>0.98610287966549603</v>
      </c>
      <c r="S4" s="3">
        <f t="shared" ref="S4:S51" si="11">+N4/SUM($J4:$O4)</f>
        <v>3.7756442904224384E-4</v>
      </c>
      <c r="T4" s="4">
        <f t="shared" si="4"/>
        <v>1.0011947331172906</v>
      </c>
      <c r="U4" s="5">
        <f t="shared" si="5"/>
        <v>1.7423484426220832E-2</v>
      </c>
      <c r="V4" s="14"/>
      <c r="W4" s="3">
        <f t="shared" si="2"/>
        <v>1.0186182175435115</v>
      </c>
      <c r="X4" s="3">
        <f t="shared" si="6"/>
        <v>2.342792914670521E-4</v>
      </c>
      <c r="Y4">
        <f t="shared" ref="Y4" si="12">+SUM(K4:L4)</f>
        <v>100.5289886257101</v>
      </c>
    </row>
    <row r="5" spans="1:25" ht="15.6" x14ac:dyDescent="0.3">
      <c r="A5" s="1" t="s">
        <v>23</v>
      </c>
      <c r="B5" s="1">
        <v>60</v>
      </c>
      <c r="C5" s="12">
        <f>+'Flow rate'!E4</f>
        <v>60.738387000000003</v>
      </c>
      <c r="D5" s="1" t="s">
        <v>26</v>
      </c>
      <c r="E5" s="1" t="s">
        <v>27</v>
      </c>
      <c r="F5" s="1" t="s">
        <v>24</v>
      </c>
      <c r="G5" s="1">
        <v>-0.107</v>
      </c>
      <c r="H5" s="15">
        <v>45448.783402777779</v>
      </c>
      <c r="I5" s="2">
        <f t="shared" si="7"/>
        <v>1.1016666666255333</v>
      </c>
      <c r="J5" s="20">
        <v>1.35960623953402</v>
      </c>
      <c r="K5" s="20">
        <v>2.0156236755162201E-2</v>
      </c>
      <c r="L5" s="20">
        <v>100.46266275885921</v>
      </c>
      <c r="N5" s="20">
        <v>3.9673258294578254E-2</v>
      </c>
      <c r="O5" s="20">
        <v>9.2081483910022577E-4</v>
      </c>
      <c r="P5" s="3">
        <f t="shared" si="8"/>
        <v>1.3344777655440935E-2</v>
      </c>
      <c r="Q5" s="3">
        <f t="shared" si="9"/>
        <v>1.978370575588517E-4</v>
      </c>
      <c r="R5" s="3">
        <f t="shared" si="10"/>
        <v>0.98605894722137066</v>
      </c>
      <c r="S5" s="3">
        <f t="shared" si="11"/>
        <v>3.8940010380467013E-4</v>
      </c>
      <c r="T5" s="4">
        <f t="shared" si="4"/>
        <v>1.002589360904574</v>
      </c>
      <c r="U5" s="5">
        <f t="shared" si="5"/>
        <v>1.4863442031220326E-2</v>
      </c>
      <c r="V5" s="14"/>
      <c r="W5" s="3">
        <f t="shared" si="2"/>
        <v>1.0174528029357943</v>
      </c>
      <c r="X5" s="3">
        <f t="shared" si="6"/>
        <v>2.0059386228049527E-4</v>
      </c>
    </row>
    <row r="6" spans="1:25" ht="15.6" x14ac:dyDescent="0.3">
      <c r="A6" s="1" t="s">
        <v>23</v>
      </c>
      <c r="B6" s="1">
        <v>60</v>
      </c>
      <c r="C6" s="12">
        <f>+'Flow rate'!E5</f>
        <v>60.688119</v>
      </c>
      <c r="D6" s="1" t="s">
        <v>26</v>
      </c>
      <c r="E6" s="1" t="s">
        <v>27</v>
      </c>
      <c r="F6" s="1" t="s">
        <v>24</v>
      </c>
      <c r="G6" s="1">
        <v>-0.107</v>
      </c>
      <c r="H6" s="15">
        <v>45448.799027777779</v>
      </c>
      <c r="I6" s="2">
        <f t="shared" si="7"/>
        <v>1.4766666666255333</v>
      </c>
      <c r="J6" s="20">
        <v>1.3570803518538901</v>
      </c>
      <c r="K6" s="20">
        <v>1.7515009258275899E-2</v>
      </c>
      <c r="L6" s="20">
        <v>100.3749399782532</v>
      </c>
      <c r="N6" s="20">
        <v>3.8436623529864773E-2</v>
      </c>
      <c r="O6" s="20">
        <v>1.1592970725489149E-3</v>
      </c>
      <c r="P6" s="3">
        <f t="shared" si="8"/>
        <v>1.3332271678278981E-2</v>
      </c>
      <c r="Q6" s="3">
        <f t="shared" si="9"/>
        <v>1.720715074534122E-4</v>
      </c>
      <c r="R6" s="3">
        <f t="shared" si="10"/>
        <v>0.98610665731980007</v>
      </c>
      <c r="S6" s="3">
        <f t="shared" si="11"/>
        <v>3.7761029153199338E-4</v>
      </c>
      <c r="T6" s="4">
        <f t="shared" si="4"/>
        <v>1.0008208099981943</v>
      </c>
      <c r="U6" s="5">
        <f t="shared" si="5"/>
        <v>1.2916984413669305E-2</v>
      </c>
      <c r="V6" s="14"/>
      <c r="W6" s="3">
        <f t="shared" si="2"/>
        <v>1.0137377944118637</v>
      </c>
      <c r="X6" s="3">
        <f t="shared" si="6"/>
        <v>1.7446539444079454E-4</v>
      </c>
      <c r="Y6">
        <f t="shared" ref="Y6" si="13">+SUM(K6:L6)</f>
        <v>100.39245498751147</v>
      </c>
    </row>
    <row r="7" spans="1:25" ht="15.6" x14ac:dyDescent="0.3">
      <c r="A7" s="1" t="s">
        <v>23</v>
      </c>
      <c r="B7" s="1">
        <v>60</v>
      </c>
      <c r="C7" s="12">
        <f>+'Flow rate'!E6</f>
        <v>60.732709999999997</v>
      </c>
      <c r="D7" s="1" t="s">
        <v>26</v>
      </c>
      <c r="E7" s="1" t="s">
        <v>27</v>
      </c>
      <c r="F7" s="1" t="s">
        <v>24</v>
      </c>
      <c r="G7" s="1">
        <v>-0.107</v>
      </c>
      <c r="H7" s="15">
        <v>45448.814664351848</v>
      </c>
      <c r="I7" s="2">
        <f t="shared" si="7"/>
        <v>1.8519444442936219</v>
      </c>
      <c r="J7" s="20">
        <v>1.3582326887062499</v>
      </c>
      <c r="K7" s="20">
        <v>1.76567320184331E-2</v>
      </c>
      <c r="L7" s="20">
        <v>100.45854081287068</v>
      </c>
      <c r="N7" s="20">
        <v>3.8569191403905273E-2</v>
      </c>
      <c r="O7" s="20">
        <v>1.1803772842628457E-3</v>
      </c>
      <c r="P7" s="3">
        <f t="shared" si="8"/>
        <v>1.3332452750464302E-2</v>
      </c>
      <c r="Q7" s="3">
        <f t="shared" si="9"/>
        <v>1.7331901029977491E-4</v>
      </c>
      <c r="R7" s="3">
        <f t="shared" si="10"/>
        <v>0.98610404528252094</v>
      </c>
      <c r="S7" s="3">
        <f t="shared" si="11"/>
        <v>3.785963379411741E-4</v>
      </c>
      <c r="T7" s="4">
        <f t="shared" si="4"/>
        <v>1.0015697723905306</v>
      </c>
      <c r="U7" s="5">
        <f t="shared" si="5"/>
        <v>1.3020191029055198E-2</v>
      </c>
      <c r="V7" s="14"/>
      <c r="W7" s="3">
        <f t="shared" si="2"/>
        <v>1.0145899634195858</v>
      </c>
      <c r="X7" s="3">
        <f t="shared" si="6"/>
        <v>1.7573049587734163E-4</v>
      </c>
    </row>
    <row r="8" spans="1:25" ht="15.6" x14ac:dyDescent="0.3">
      <c r="A8" s="1" t="s">
        <v>23</v>
      </c>
      <c r="B8" s="1">
        <v>60</v>
      </c>
      <c r="C8" s="12">
        <f>+'Flow rate'!E7</f>
        <v>61.529209999999999</v>
      </c>
      <c r="D8" s="1" t="s">
        <v>26</v>
      </c>
      <c r="E8" s="1" t="s">
        <v>27</v>
      </c>
      <c r="F8" s="1" t="s">
        <v>24</v>
      </c>
      <c r="G8" s="1">
        <v>-0.27</v>
      </c>
      <c r="H8" s="15">
        <v>45448.830312500002</v>
      </c>
      <c r="I8" s="2">
        <f t="shared" si="7"/>
        <v>2.2274999999790452</v>
      </c>
      <c r="J8" s="20">
        <v>1.9734621643931882</v>
      </c>
      <c r="K8" s="20">
        <v>1.1057386480070781</v>
      </c>
      <c r="L8" s="20">
        <v>99.153646415548081</v>
      </c>
      <c r="N8" s="20">
        <v>3.7989593333939128E-2</v>
      </c>
      <c r="O8" s="20">
        <v>0.12438513711747734</v>
      </c>
      <c r="P8" s="3">
        <f t="shared" si="8"/>
        <v>1.9272990737741153E-2</v>
      </c>
      <c r="Q8" s="3">
        <f t="shared" si="9"/>
        <v>1.0798732859393654E-2</v>
      </c>
      <c r="R8" s="3">
        <f t="shared" si="10"/>
        <v>0.96834251168312679</v>
      </c>
      <c r="S8" s="3">
        <f t="shared" si="11"/>
        <v>3.7100943391062927E-4</v>
      </c>
      <c r="T8" s="4">
        <f t="shared" si="4"/>
        <v>0.5812981762644398</v>
      </c>
      <c r="U8" s="5">
        <f t="shared" si="5"/>
        <v>0.32570366491382052</v>
      </c>
      <c r="V8" s="14"/>
      <c r="W8" s="3">
        <f t="shared" si="2"/>
        <v>0.90700184117826033</v>
      </c>
      <c r="X8" s="3">
        <f t="shared" si="6"/>
        <v>1.1028779473424281E-2</v>
      </c>
      <c r="Y8">
        <f t="shared" ref="Y8" si="14">+SUM(K8:L8)</f>
        <v>100.25938506355516</v>
      </c>
    </row>
    <row r="9" spans="1:25" ht="15.6" x14ac:dyDescent="0.3">
      <c r="A9" s="1" t="s">
        <v>23</v>
      </c>
      <c r="B9" s="1">
        <v>60</v>
      </c>
      <c r="C9" s="12">
        <f>+'Flow rate'!E8</f>
        <v>61.289701000000001</v>
      </c>
      <c r="D9" s="1" t="s">
        <v>26</v>
      </c>
      <c r="E9" s="1" t="s">
        <v>27</v>
      </c>
      <c r="F9" s="1" t="s">
        <v>24</v>
      </c>
      <c r="G9" s="1">
        <v>-0.27</v>
      </c>
      <c r="H9" s="15">
        <v>45448.85324074074</v>
      </c>
      <c r="I9" s="2">
        <f t="shared" si="7"/>
        <v>2.7777777776937</v>
      </c>
      <c r="J9" s="20">
        <v>2.0917538075241873</v>
      </c>
      <c r="K9" s="20">
        <v>1.3388916082649196</v>
      </c>
      <c r="L9" s="20">
        <v>98.867535421551807</v>
      </c>
      <c r="N9" s="20">
        <v>3.8854595024990966E-2</v>
      </c>
      <c r="O9" s="20">
        <v>1.1584881739152841E-3</v>
      </c>
      <c r="P9" s="3">
        <f t="shared" si="8"/>
        <v>2.0439620120209698E-2</v>
      </c>
      <c r="Q9" s="3">
        <f t="shared" si="9"/>
        <v>1.3083009939617442E-2</v>
      </c>
      <c r="R9" s="3">
        <f t="shared" si="10"/>
        <v>0.96608638118352197</v>
      </c>
      <c r="S9" s="3">
        <f t="shared" si="11"/>
        <v>3.7966856299183376E-4</v>
      </c>
      <c r="T9" s="4">
        <f t="shared" si="4"/>
        <v>0.61408548381351158</v>
      </c>
      <c r="U9" s="5">
        <f t="shared" si="5"/>
        <v>0.39306437405670008</v>
      </c>
      <c r="V9" s="14"/>
      <c r="W9" s="3">
        <f t="shared" si="2"/>
        <v>1.0071498578702116</v>
      </c>
      <c r="X9" s="3">
        <f t="shared" si="6"/>
        <v>1.336133467633297E-2</v>
      </c>
    </row>
    <row r="10" spans="1:25" ht="15.6" x14ac:dyDescent="0.3">
      <c r="A10" s="1" t="s">
        <v>23</v>
      </c>
      <c r="B10" s="1">
        <v>60</v>
      </c>
      <c r="C10" s="12">
        <f>+'Flow rate'!E9</f>
        <v>61.218076000000003</v>
      </c>
      <c r="D10" s="1" t="s">
        <v>26</v>
      </c>
      <c r="E10" s="1" t="s">
        <v>27</v>
      </c>
      <c r="F10" s="1" t="s">
        <v>24</v>
      </c>
      <c r="G10" s="1">
        <v>-0.27</v>
      </c>
      <c r="H10" s="15">
        <v>45448.868877314817</v>
      </c>
      <c r="I10" s="2">
        <f t="shared" si="7"/>
        <v>3.1530555555364117</v>
      </c>
      <c r="J10" s="20">
        <v>2.1571890460379217</v>
      </c>
      <c r="K10" s="20">
        <v>1.2482099130500859</v>
      </c>
      <c r="L10" s="20">
        <v>98.932995836385842</v>
      </c>
      <c r="N10" s="20">
        <v>3.8534206360907111E-2</v>
      </c>
      <c r="O10" s="20">
        <v>1.0996871116871199E-3</v>
      </c>
      <c r="P10" s="3">
        <f t="shared" si="8"/>
        <v>2.1070820308447973E-2</v>
      </c>
      <c r="Q10" s="3">
        <f t="shared" si="9"/>
        <v>1.219216592695394E-2</v>
      </c>
      <c r="R10" s="3">
        <f t="shared" si="10"/>
        <v>0.96634988095905239</v>
      </c>
      <c r="S10" s="3">
        <f t="shared" si="11"/>
        <v>3.7639136887451688E-4</v>
      </c>
      <c r="T10" s="4">
        <f t="shared" si="4"/>
        <v>0.63230938576293538</v>
      </c>
      <c r="U10" s="5">
        <f t="shared" si="5"/>
        <v>0.36587189466473496</v>
      </c>
      <c r="V10" s="14"/>
      <c r="W10" s="3">
        <f t="shared" si="2"/>
        <v>0.9981812804276704</v>
      </c>
      <c r="X10" s="3">
        <f t="shared" si="6"/>
        <v>1.2459521760718217E-2</v>
      </c>
      <c r="Y10">
        <f t="shared" ref="Y10" si="15">+SUM(K10:L10)</f>
        <v>100.18120574943593</v>
      </c>
    </row>
    <row r="11" spans="1:25" ht="15.6" x14ac:dyDescent="0.3">
      <c r="A11" s="1" t="s">
        <v>23</v>
      </c>
      <c r="B11" s="1">
        <v>60</v>
      </c>
      <c r="C11" s="12">
        <f>+'Flow rate'!E10</f>
        <v>61.038254999999999</v>
      </c>
      <c r="D11" s="1" t="s">
        <v>26</v>
      </c>
      <c r="E11" s="1" t="s">
        <v>27</v>
      </c>
      <c r="F11" s="1" t="s">
        <v>24</v>
      </c>
      <c r="G11" s="1">
        <v>-0.27</v>
      </c>
      <c r="H11" s="15">
        <v>45448.884502314817</v>
      </c>
      <c r="I11" s="2">
        <f t="shared" si="7"/>
        <v>3.5280555555364117</v>
      </c>
      <c r="J11" s="20">
        <v>2.1568622855252082</v>
      </c>
      <c r="K11" s="20">
        <v>1.2846858505245748</v>
      </c>
      <c r="L11" s="20">
        <v>99.253633638655657</v>
      </c>
      <c r="N11" s="20">
        <v>3.7584348263769198E-2</v>
      </c>
      <c r="O11" s="20">
        <v>0.12333370928570897</v>
      </c>
      <c r="P11" s="3">
        <f t="shared" si="8"/>
        <v>2.0969707086334922E-2</v>
      </c>
      <c r="Q11" s="3">
        <f t="shared" si="9"/>
        <v>1.2490127980933872E-2</v>
      </c>
      <c r="R11" s="3">
        <f t="shared" si="10"/>
        <v>0.96497566795285439</v>
      </c>
      <c r="S11" s="3">
        <f t="shared" si="11"/>
        <v>3.6540709131558014E-4</v>
      </c>
      <c r="T11" s="4">
        <f t="shared" si="4"/>
        <v>0.62742667975784727</v>
      </c>
      <c r="U11" s="5">
        <f t="shared" si="5"/>
        <v>0.3737123983927621</v>
      </c>
      <c r="V11" s="14"/>
      <c r="W11" s="3">
        <f t="shared" si="2"/>
        <v>1.0011390781506093</v>
      </c>
      <c r="X11" s="3">
        <f t="shared" si="6"/>
        <v>1.2778071655184476E-2</v>
      </c>
    </row>
    <row r="12" spans="1:25" ht="15.6" x14ac:dyDescent="0.3">
      <c r="A12" s="1" t="s">
        <v>23</v>
      </c>
      <c r="B12" s="1">
        <v>60</v>
      </c>
      <c r="C12" s="12">
        <f>+'Flow rate'!E11</f>
        <v>60.891734</v>
      </c>
      <c r="D12" s="1" t="s">
        <v>26</v>
      </c>
      <c r="E12" s="1" t="s">
        <v>27</v>
      </c>
      <c r="F12" s="1" t="s">
        <v>24</v>
      </c>
      <c r="G12" s="1">
        <v>-0.27</v>
      </c>
      <c r="H12" s="15">
        <v>45448.900150462963</v>
      </c>
      <c r="I12" s="2">
        <f t="shared" si="7"/>
        <v>3.903611111047212</v>
      </c>
      <c r="J12" s="20">
        <v>2.1840253375267</v>
      </c>
      <c r="K12" s="20">
        <v>1.2350118547728968</v>
      </c>
      <c r="L12" s="20">
        <v>99.318394939121077</v>
      </c>
      <c r="N12" s="20">
        <v>3.741522849821835E-2</v>
      </c>
      <c r="O12" s="20">
        <v>0.12231500692552988</v>
      </c>
      <c r="P12" s="3">
        <f t="shared" si="8"/>
        <v>2.1225321352792113E-2</v>
      </c>
      <c r="Q12" s="3">
        <f t="shared" si="9"/>
        <v>1.2002389826552134E-2</v>
      </c>
      <c r="R12" s="3">
        <f t="shared" si="10"/>
        <v>0.96521995995414833</v>
      </c>
      <c r="S12" s="3">
        <f t="shared" si="11"/>
        <v>3.6361769010526476E-4</v>
      </c>
      <c r="T12" s="4">
        <f t="shared" si="4"/>
        <v>0.63355033435944719</v>
      </c>
      <c r="U12" s="5">
        <f t="shared" si="5"/>
        <v>0.35825691217269778</v>
      </c>
      <c r="V12" s="14"/>
      <c r="W12" s="3">
        <f t="shared" si="2"/>
        <v>0.99180724653214503</v>
      </c>
      <c r="X12" s="3">
        <f t="shared" si="6"/>
        <v>1.2282148304575314E-2</v>
      </c>
      <c r="Y12">
        <f t="shared" ref="Y12" si="16">+SUM(K12:L12)</f>
        <v>100.55340679389397</v>
      </c>
    </row>
    <row r="13" spans="1:25" ht="15.6" x14ac:dyDescent="0.3">
      <c r="A13" s="1" t="s">
        <v>23</v>
      </c>
      <c r="B13" s="1">
        <v>60</v>
      </c>
      <c r="C13" s="12">
        <f>+'Flow rate'!E12</f>
        <v>60.311318999999997</v>
      </c>
      <c r="D13" s="1" t="s">
        <v>26</v>
      </c>
      <c r="E13" s="1" t="s">
        <v>27</v>
      </c>
      <c r="F13" s="1" t="s">
        <v>24</v>
      </c>
      <c r="G13" s="1">
        <v>-0.52</v>
      </c>
      <c r="H13" s="15">
        <v>45448.915798611109</v>
      </c>
      <c r="I13" s="2">
        <f t="shared" si="7"/>
        <v>4.2791666665580124</v>
      </c>
      <c r="J13" s="20">
        <v>1.0462235446157346</v>
      </c>
      <c r="K13" s="20">
        <v>5.3419502758083723</v>
      </c>
      <c r="L13" s="20">
        <v>96.723256135665068</v>
      </c>
      <c r="N13" s="20">
        <v>3.8941552786845142E-2</v>
      </c>
      <c r="O13" s="20">
        <v>1.0621036266560413E-3</v>
      </c>
      <c r="P13" s="3">
        <f t="shared" si="8"/>
        <v>1.0142598197383898E-2</v>
      </c>
      <c r="Q13" s="3">
        <f t="shared" si="9"/>
        <v>5.178745547905686E-2</v>
      </c>
      <c r="R13" s="3">
        <f t="shared" si="10"/>
        <v>0.93768213148655188</v>
      </c>
      <c r="S13" s="3">
        <f t="shared" si="11"/>
        <v>3.775182895967541E-4</v>
      </c>
      <c r="T13" s="4">
        <f t="shared" si="4"/>
        <v>0.15569582850900759</v>
      </c>
      <c r="U13" s="5">
        <f t="shared" si="5"/>
        <v>0.79497290834855627</v>
      </c>
      <c r="V13" s="14"/>
      <c r="W13" s="3">
        <f t="shared" si="2"/>
        <v>0.95066873685756392</v>
      </c>
      <c r="X13" s="3">
        <f t="shared" si="6"/>
        <v>5.2338602581886988E-2</v>
      </c>
    </row>
    <row r="14" spans="1:25" ht="15.6" x14ac:dyDescent="0.3">
      <c r="A14" s="1" t="s">
        <v>23</v>
      </c>
      <c r="B14" s="1">
        <v>60</v>
      </c>
      <c r="C14" s="12">
        <f>+'Flow rate'!E13</f>
        <v>60.072664000000003</v>
      </c>
      <c r="D14" s="1" t="s">
        <v>26</v>
      </c>
      <c r="E14" s="1" t="s">
        <v>27</v>
      </c>
      <c r="F14" s="1" t="s">
        <v>24</v>
      </c>
      <c r="G14" s="1">
        <v>-0.52</v>
      </c>
      <c r="H14" s="15">
        <v>45448.938726851855</v>
      </c>
      <c r="I14" s="2">
        <f t="shared" si="7"/>
        <v>4.8294444444472902</v>
      </c>
      <c r="J14" s="20">
        <v>0.99146007311232665</v>
      </c>
      <c r="K14" s="20">
        <v>5.6925070775105207</v>
      </c>
      <c r="L14" s="20">
        <v>96.518906254804904</v>
      </c>
      <c r="N14" s="20">
        <v>4.0845026074879373E-2</v>
      </c>
      <c r="O14" s="20">
        <v>0.12649625319905056</v>
      </c>
      <c r="P14" s="3">
        <f t="shared" si="8"/>
        <v>9.5913515913308659E-3</v>
      </c>
      <c r="Q14" s="3">
        <f t="shared" si="9"/>
        <v>5.5069123101598685E-2</v>
      </c>
      <c r="R14" s="3">
        <f t="shared" si="10"/>
        <v>0.93372067136752557</v>
      </c>
      <c r="S14" s="3">
        <f t="shared" si="11"/>
        <v>3.9513341632755889E-4</v>
      </c>
      <c r="T14" s="4">
        <f t="shared" si="4"/>
        <v>0.1466512037814843</v>
      </c>
      <c r="U14" s="5">
        <f t="shared" si="5"/>
        <v>0.84200366519142478</v>
      </c>
      <c r="V14" s="14"/>
      <c r="W14" s="3">
        <f t="shared" si="2"/>
        <v>0.98865486897290911</v>
      </c>
      <c r="X14" s="3">
        <f t="shared" si="6"/>
        <v>5.5693458214913096E-2</v>
      </c>
      <c r="Y14">
        <f t="shared" ref="Y14" si="17">+SUM(K14:L14)</f>
        <v>102.21141333231543</v>
      </c>
    </row>
    <row r="15" spans="1:25" ht="15.6" x14ac:dyDescent="0.3">
      <c r="A15" s="1" t="s">
        <v>23</v>
      </c>
      <c r="B15" s="1">
        <v>60</v>
      </c>
      <c r="C15" s="12">
        <f>+'Flow rate'!E14</f>
        <v>60.330770999999999</v>
      </c>
      <c r="D15" s="1" t="s">
        <v>26</v>
      </c>
      <c r="E15" s="1" t="s">
        <v>27</v>
      </c>
      <c r="F15" s="1" t="s">
        <v>24</v>
      </c>
      <c r="G15" s="1">
        <v>-0.52</v>
      </c>
      <c r="H15" s="15">
        <v>45448.949155092596</v>
      </c>
      <c r="I15" s="2">
        <f t="shared" si="7"/>
        <v>5.0797222222317941</v>
      </c>
      <c r="J15" s="20">
        <v>4.4640401902702378E-3</v>
      </c>
      <c r="K15" s="20">
        <v>5.6610126445605022</v>
      </c>
      <c r="L15" s="20">
        <v>96.497679886153037</v>
      </c>
      <c r="N15" s="20">
        <v>3.8450214882676817E-2</v>
      </c>
      <c r="O15" s="20">
        <v>0.11526418148639034</v>
      </c>
      <c r="P15" s="3">
        <f t="shared" si="8"/>
        <v>4.3629561264614001E-5</v>
      </c>
      <c r="Q15" s="3">
        <f t="shared" si="9"/>
        <v>5.5328242459361729E-2</v>
      </c>
      <c r="R15" s="3">
        <f t="shared" si="10"/>
        <v>0.94312579121989404</v>
      </c>
      <c r="S15" s="3">
        <f t="shared" si="11"/>
        <v>3.7579545307807078E-4</v>
      </c>
      <c r="T15" s="4">
        <f t="shared" si="4"/>
        <v>6.6995965529531186E-4</v>
      </c>
      <c r="U15" s="5">
        <f t="shared" si="5"/>
        <v>0.84960034370626092</v>
      </c>
      <c r="V15" s="14"/>
      <c r="W15" s="3">
        <f t="shared" si="2"/>
        <v>0.85027030336155618</v>
      </c>
      <c r="X15" s="3">
        <f t="shared" si="6"/>
        <v>5.5413910498693444E-2</v>
      </c>
    </row>
    <row r="16" spans="1:25" ht="15.6" x14ac:dyDescent="0.3">
      <c r="A16" s="1" t="s">
        <v>23</v>
      </c>
      <c r="B16" s="1">
        <v>60</v>
      </c>
      <c r="C16" s="12">
        <f>+'Flow rate'!E15</f>
        <v>60.445833999999998</v>
      </c>
      <c r="D16" s="1" t="s">
        <v>26</v>
      </c>
      <c r="E16" s="1" t="s">
        <v>27</v>
      </c>
      <c r="F16" s="1" t="s">
        <v>24</v>
      </c>
      <c r="G16" s="1">
        <v>-0.52</v>
      </c>
      <c r="H16" s="15">
        <v>45448.959583333337</v>
      </c>
      <c r="I16" s="2">
        <f t="shared" si="7"/>
        <v>5.3300000000162981</v>
      </c>
      <c r="J16" s="20">
        <v>1.0431655867202136</v>
      </c>
      <c r="K16" s="20">
        <v>5.7189796098999501</v>
      </c>
      <c r="L16" s="20">
        <v>96.490145762416432</v>
      </c>
      <c r="N16" s="20">
        <v>3.8542614585157536E-2</v>
      </c>
      <c r="O16" s="20">
        <v>9.4337850656289746E-4</v>
      </c>
      <c r="P16" s="3">
        <f t="shared" si="8"/>
        <v>1.0099212323587771E-2</v>
      </c>
      <c r="Q16" s="3">
        <f t="shared" si="9"/>
        <v>5.53672303706274E-2</v>
      </c>
      <c r="R16" s="3">
        <f t="shared" si="10"/>
        <v>0.93415128105634027</v>
      </c>
      <c r="S16" s="3">
        <f t="shared" si="11"/>
        <v>3.7314310705508072E-4</v>
      </c>
      <c r="T16" s="4">
        <f t="shared" si="4"/>
        <v>0.15537559550440869</v>
      </c>
      <c r="U16" s="5">
        <f t="shared" si="5"/>
        <v>0.85182052962422283</v>
      </c>
      <c r="V16" s="14"/>
      <c r="W16" s="3">
        <f t="shared" si="2"/>
        <v>1.0071961251286314</v>
      </c>
      <c r="X16" s="3">
        <f t="shared" si="6"/>
        <v>5.5953708527173754E-2</v>
      </c>
      <c r="Y16">
        <f t="shared" ref="Y16" si="18">+SUM(K16:L16)</f>
        <v>102.20912537231638</v>
      </c>
    </row>
    <row r="17" spans="1:25" ht="15.6" x14ac:dyDescent="0.3">
      <c r="A17" s="1" t="s">
        <v>23</v>
      </c>
      <c r="B17" s="1">
        <v>60</v>
      </c>
      <c r="C17" s="12">
        <f>+'Flow rate'!E16</f>
        <v>60.061503999999999</v>
      </c>
      <c r="D17" s="1" t="s">
        <v>26</v>
      </c>
      <c r="E17" s="1" t="s">
        <v>27</v>
      </c>
      <c r="F17" s="1" t="s">
        <v>24</v>
      </c>
      <c r="G17" s="1">
        <v>-0.52</v>
      </c>
      <c r="H17" s="15">
        <v>45448.97</v>
      </c>
      <c r="I17" s="2">
        <f t="shared" si="7"/>
        <v>5.5799999999580905</v>
      </c>
      <c r="J17" s="20">
        <v>1.0645503272657004</v>
      </c>
      <c r="K17" s="20">
        <v>5.5704613948790653</v>
      </c>
      <c r="L17" s="20">
        <v>96.19019538987142</v>
      </c>
      <c r="N17" s="20">
        <v>3.8665297784683111E-2</v>
      </c>
      <c r="O17" s="20">
        <v>1.4603735370627424E-3</v>
      </c>
      <c r="P17" s="3">
        <f t="shared" si="8"/>
        <v>1.0348970819040947E-2</v>
      </c>
      <c r="Q17" s="3">
        <f t="shared" si="9"/>
        <v>5.4152951671404749E-2</v>
      </c>
      <c r="R17" s="3">
        <f t="shared" si="10"/>
        <v>0.93510799787595933</v>
      </c>
      <c r="S17" s="3">
        <f t="shared" si="11"/>
        <v>3.7588268796177068E-4</v>
      </c>
      <c r="T17" s="4">
        <f t="shared" si="4"/>
        <v>0.15820576123835192</v>
      </c>
      <c r="U17" s="5">
        <f t="shared" si="5"/>
        <v>0.82784163684328738</v>
      </c>
      <c r="V17" s="14"/>
      <c r="W17" s="3">
        <f t="shared" si="2"/>
        <v>0.98604739808163933</v>
      </c>
      <c r="X17" s="3">
        <f t="shared" si="6"/>
        <v>5.4740816056857808E-2</v>
      </c>
    </row>
    <row r="18" spans="1:25" ht="15.6" x14ac:dyDescent="0.3">
      <c r="A18" s="1" t="s">
        <v>23</v>
      </c>
      <c r="B18" s="1">
        <v>60</v>
      </c>
      <c r="C18" s="12">
        <f>+'Flow rate'!E17</f>
        <v>60.333343999999997</v>
      </c>
      <c r="D18" s="1" t="s">
        <v>26</v>
      </c>
      <c r="E18" s="1" t="s">
        <v>27</v>
      </c>
      <c r="F18" s="1" t="s">
        <v>24</v>
      </c>
      <c r="G18" s="1">
        <v>-0.52</v>
      </c>
      <c r="H18" s="15">
        <v>45448.985613425924</v>
      </c>
      <c r="I18" s="2">
        <f t="shared" si="7"/>
        <v>5.9547222221153788</v>
      </c>
      <c r="J18" s="20">
        <v>1.073453828315639</v>
      </c>
      <c r="K18" s="20">
        <v>5.5976642539386967</v>
      </c>
      <c r="L18" s="20">
        <v>96.438763060575411</v>
      </c>
      <c r="N18" s="20">
        <v>4.0244962895208E-2</v>
      </c>
      <c r="O18" s="20">
        <v>9.9880054914297522E-4</v>
      </c>
      <c r="P18" s="3">
        <f t="shared" si="8"/>
        <v>1.0406612911793334E-2</v>
      </c>
      <c r="Q18" s="3">
        <f t="shared" si="9"/>
        <v>5.4266633146510874E-2</v>
      </c>
      <c r="R18" s="3">
        <f t="shared" si="10"/>
        <v>0.93492691570937581</v>
      </c>
      <c r="S18" s="3">
        <f t="shared" si="11"/>
        <v>3.9015534665061251E-4</v>
      </c>
      <c r="T18" s="4">
        <f t="shared" si="4"/>
        <v>0.15980697355035722</v>
      </c>
      <c r="U18" s="5">
        <f t="shared" si="5"/>
        <v>0.83333419638234185</v>
      </c>
      <c r="V18" s="14"/>
      <c r="W18" s="3">
        <f t="shared" si="2"/>
        <v>0.99314116993269907</v>
      </c>
      <c r="X18" s="3">
        <f t="shared" si="6"/>
        <v>5.4859469321525925E-2</v>
      </c>
      <c r="Y18">
        <f t="shared" ref="Y18" si="19">+SUM(K18:L18)</f>
        <v>102.03642731451411</v>
      </c>
    </row>
    <row r="19" spans="1:25" ht="15.6" x14ac:dyDescent="0.3">
      <c r="A19" s="1" t="s">
        <v>23</v>
      </c>
      <c r="B19" s="1">
        <v>60</v>
      </c>
      <c r="C19" s="12">
        <f>+'Flow rate'!E18</f>
        <v>60.788426999999999</v>
      </c>
      <c r="D19" s="1" t="s">
        <v>26</v>
      </c>
      <c r="E19" s="1" t="s">
        <v>27</v>
      </c>
      <c r="F19" s="1" t="s">
        <v>24</v>
      </c>
      <c r="G19" s="1">
        <v>-0.77</v>
      </c>
      <c r="H19" s="15">
        <v>45448.996053240742</v>
      </c>
      <c r="I19" s="2">
        <f t="shared" si="7"/>
        <v>6.2052777777425945</v>
      </c>
      <c r="J19" s="20">
        <v>1.0716870081982266</v>
      </c>
      <c r="K19" s="20">
        <v>7.7767068992614528</v>
      </c>
      <c r="L19" s="20">
        <v>94.377878971225584</v>
      </c>
      <c r="N19" s="20">
        <v>3.9813810991483553E-2</v>
      </c>
      <c r="O19" s="20">
        <v>1.2313358145324971E-3</v>
      </c>
      <c r="P19" s="3">
        <f t="shared" si="8"/>
        <v>1.0377794530634398E-2</v>
      </c>
      <c r="Q19" s="3">
        <f t="shared" si="9"/>
        <v>7.5306564050998115E-2</v>
      </c>
      <c r="R19" s="3">
        <f t="shared" si="10"/>
        <v>0.91391817639660811</v>
      </c>
      <c r="S19" s="3">
        <f t="shared" si="11"/>
        <v>3.855412511212464E-4</v>
      </c>
      <c r="T19" s="4">
        <f t="shared" si="4"/>
        <v>0.10843450993035381</v>
      </c>
      <c r="U19" s="5">
        <f t="shared" si="5"/>
        <v>0.78685604569486489</v>
      </c>
      <c r="V19" s="14"/>
      <c r="W19" s="3">
        <f t="shared" si="2"/>
        <v>0.89529055562521864</v>
      </c>
      <c r="X19" s="3">
        <f t="shared" si="6"/>
        <v>7.6126850625393039E-2</v>
      </c>
    </row>
    <row r="20" spans="1:25" ht="15.6" x14ac:dyDescent="0.3">
      <c r="A20" s="1" t="s">
        <v>23</v>
      </c>
      <c r="B20" s="1">
        <v>60</v>
      </c>
      <c r="C20" s="12">
        <f>+'Flow rate'!E19</f>
        <v>60.706819000000003</v>
      </c>
      <c r="D20" s="1" t="s">
        <v>26</v>
      </c>
      <c r="E20" s="1" t="s">
        <v>27</v>
      </c>
      <c r="F20" s="1" t="s">
        <v>24</v>
      </c>
      <c r="G20" s="1">
        <v>-0.77</v>
      </c>
      <c r="H20" s="15">
        <v>45449.006469907406</v>
      </c>
      <c r="I20" s="2">
        <f t="shared" si="7"/>
        <v>6.4552777776843868</v>
      </c>
      <c r="J20" s="20">
        <v>1.035574911093033</v>
      </c>
      <c r="K20" s="20">
        <v>8.3916983417144149</v>
      </c>
      <c r="L20" s="20">
        <v>93.773136041723575</v>
      </c>
      <c r="N20" s="20">
        <v>3.9383751558395498E-2</v>
      </c>
      <c r="O20" s="20">
        <v>0.11386703705401557</v>
      </c>
      <c r="P20" s="3">
        <f t="shared" si="8"/>
        <v>1.0019721703710918E-2</v>
      </c>
      <c r="Q20" s="3">
        <f t="shared" si="9"/>
        <v>8.1194012238789276E-2</v>
      </c>
      <c r="R20" s="3">
        <f t="shared" si="10"/>
        <v>0.90730348558809859</v>
      </c>
      <c r="S20" s="3">
        <f t="shared" si="11"/>
        <v>3.8105812147061859E-4</v>
      </c>
      <c r="T20" s="4">
        <f t="shared" si="4"/>
        <v>0.10455256301397599</v>
      </c>
      <c r="U20" s="5">
        <f t="shared" si="5"/>
        <v>0.84723331964494997</v>
      </c>
      <c r="V20" s="14"/>
      <c r="W20" s="3">
        <f t="shared" si="2"/>
        <v>0.95178588265892594</v>
      </c>
      <c r="X20" s="3">
        <f t="shared" si="6"/>
        <v>8.2138814126779411E-2</v>
      </c>
      <c r="Y20">
        <f t="shared" ref="Y20" si="20">+SUM(K20:L20)</f>
        <v>102.16483438343799</v>
      </c>
    </row>
    <row r="21" spans="1:25" ht="15.6" x14ac:dyDescent="0.3">
      <c r="A21" s="1" t="s">
        <v>23</v>
      </c>
      <c r="B21" s="1">
        <v>60</v>
      </c>
      <c r="C21" s="12">
        <f>+'Flow rate'!E20</f>
        <v>60.438144999999999</v>
      </c>
      <c r="D21" s="1" t="s">
        <v>26</v>
      </c>
      <c r="E21" s="1" t="s">
        <v>27</v>
      </c>
      <c r="F21" s="1" t="s">
        <v>24</v>
      </c>
      <c r="G21" s="1">
        <v>-0.77</v>
      </c>
      <c r="H21" s="15">
        <v>45449.022106481483</v>
      </c>
      <c r="I21" s="2">
        <f t="shared" si="7"/>
        <v>6.8305555555270985</v>
      </c>
      <c r="J21" s="20">
        <v>1.0686904986292112</v>
      </c>
      <c r="K21" s="20">
        <v>8.4623101079526535</v>
      </c>
      <c r="L21" s="20">
        <v>93.702113479585876</v>
      </c>
      <c r="N21" s="20">
        <v>4.0990063642342651E-2</v>
      </c>
      <c r="O21" s="20">
        <v>1.0693378014754451E-3</v>
      </c>
      <c r="P21" s="3">
        <f t="shared" si="8"/>
        <v>1.0347990349853118E-2</v>
      </c>
      <c r="Q21" s="3">
        <f t="shared" si="9"/>
        <v>8.1939442192926981E-2</v>
      </c>
      <c r="R21" s="3">
        <f t="shared" si="10"/>
        <v>0.90730531177297868</v>
      </c>
      <c r="S21" s="3">
        <f t="shared" si="11"/>
        <v>3.9690142614245657E-4</v>
      </c>
      <c r="T21" s="4">
        <f t="shared" si="4"/>
        <v>0.10750005563198728</v>
      </c>
      <c r="U21" s="5">
        <f t="shared" si="5"/>
        <v>0.85122756171865654</v>
      </c>
      <c r="V21" s="14"/>
      <c r="W21" s="3">
        <f t="shared" si="2"/>
        <v>0.95872761735064382</v>
      </c>
      <c r="X21" s="3">
        <f t="shared" si="6"/>
        <v>8.283030247512542E-2</v>
      </c>
    </row>
    <row r="22" spans="1:25" ht="15.6" x14ac:dyDescent="0.3">
      <c r="A22" s="1" t="s">
        <v>23</v>
      </c>
      <c r="B22" s="1">
        <v>60</v>
      </c>
      <c r="C22" s="12">
        <f>+'Flow rate'!E21</f>
        <v>60.545195</v>
      </c>
      <c r="D22" s="1" t="s">
        <v>26</v>
      </c>
      <c r="E22" s="1" t="s">
        <v>27</v>
      </c>
      <c r="F22" s="1" t="s">
        <v>24</v>
      </c>
      <c r="G22" s="1">
        <v>-0.77</v>
      </c>
      <c r="H22" s="15">
        <v>45449.032546296294</v>
      </c>
      <c r="I22" s="2">
        <f t="shared" si="7"/>
        <v>7.0811111109796911</v>
      </c>
      <c r="J22" s="20">
        <v>1.0771602467861676</v>
      </c>
      <c r="K22" s="20">
        <v>8.5109388562689858</v>
      </c>
      <c r="L22" s="20">
        <v>93.631515051730346</v>
      </c>
      <c r="N22" s="20">
        <v>3.9885856701698877E-2</v>
      </c>
      <c r="O22" s="20">
        <v>1.0931074787816075E-3</v>
      </c>
      <c r="P22" s="3">
        <f t="shared" si="8"/>
        <v>1.0431474527220437E-2</v>
      </c>
      <c r="Q22" s="3">
        <f t="shared" si="9"/>
        <v>8.2421944317747409E-2</v>
      </c>
      <c r="R22" s="3">
        <f t="shared" si="10"/>
        <v>0.90674973117632562</v>
      </c>
      <c r="S22" s="3">
        <f t="shared" si="11"/>
        <v>3.8626406741385449E-4</v>
      </c>
      <c r="T22" s="4">
        <f t="shared" si="4"/>
        <v>0.10855927439484842</v>
      </c>
      <c r="U22" s="5">
        <f t="shared" si="5"/>
        <v>0.85775663315850004</v>
      </c>
      <c r="V22" s="14"/>
      <c r="W22" s="3">
        <f t="shared" si="2"/>
        <v>0.96631590755334851</v>
      </c>
      <c r="X22" s="3">
        <f t="shared" si="6"/>
        <v>8.332420585797623E-2</v>
      </c>
      <c r="Y22">
        <f t="shared" ref="Y22" si="21">+SUM(K22:L22)</f>
        <v>102.14245390799934</v>
      </c>
    </row>
    <row r="23" spans="1:25" ht="15.6" x14ac:dyDescent="0.3">
      <c r="A23" s="1" t="s">
        <v>23</v>
      </c>
      <c r="B23" s="1">
        <v>60</v>
      </c>
      <c r="C23" s="12">
        <f>+'Flow rate'!E22</f>
        <v>60.735630999999998</v>
      </c>
      <c r="D23" s="1" t="s">
        <v>26</v>
      </c>
      <c r="E23" s="1" t="s">
        <v>27</v>
      </c>
      <c r="F23" s="1" t="s">
        <v>24</v>
      </c>
      <c r="G23" s="1">
        <v>-0.77</v>
      </c>
      <c r="H23" s="15">
        <v>45449.042951388888</v>
      </c>
      <c r="I23" s="2">
        <f t="shared" si="7"/>
        <v>7.3308333332533948</v>
      </c>
      <c r="J23" s="20">
        <v>1.1026215416041953</v>
      </c>
      <c r="K23" s="20">
        <v>8.9343391368897827</v>
      </c>
      <c r="L23" s="20">
        <v>93.689013810328063</v>
      </c>
      <c r="N23" s="20">
        <v>3.8991591159019817E-2</v>
      </c>
      <c r="O23" s="20">
        <v>9.8414342625247064E-4</v>
      </c>
      <c r="P23" s="3">
        <f t="shared" si="8"/>
        <v>1.0626043892339052E-2</v>
      </c>
      <c r="Q23" s="3">
        <f t="shared" si="9"/>
        <v>8.6100875264518054E-2</v>
      </c>
      <c r="R23" s="3">
        <f t="shared" si="10"/>
        <v>0.90288783178505394</v>
      </c>
      <c r="S23" s="3">
        <f t="shared" si="11"/>
        <v>3.757647964006614E-4</v>
      </c>
      <c r="T23" s="4">
        <f t="shared" si="4"/>
        <v>0.11093196374388709</v>
      </c>
      <c r="U23" s="5">
        <f t="shared" si="5"/>
        <v>0.89886125729695043</v>
      </c>
      <c r="V23" s="14"/>
      <c r="W23" s="3">
        <f t="shared" si="2"/>
        <v>1.0097932210408376</v>
      </c>
      <c r="X23" s="3">
        <f t="shared" si="6"/>
        <v>8.705951306702063E-2</v>
      </c>
    </row>
    <row r="24" spans="1:25" ht="15.6" x14ac:dyDescent="0.3">
      <c r="A24" s="1" t="s">
        <v>23</v>
      </c>
      <c r="B24" s="1">
        <v>60</v>
      </c>
      <c r="C24" s="12">
        <f>+'Flow rate'!E23</f>
        <v>60.234050000000003</v>
      </c>
      <c r="D24" s="1" t="s">
        <v>26</v>
      </c>
      <c r="E24" s="1" t="s">
        <v>27</v>
      </c>
      <c r="F24" s="1" t="s">
        <v>24</v>
      </c>
      <c r="G24" s="1">
        <v>-0.77</v>
      </c>
      <c r="H24" s="15">
        <v>45449.065879629627</v>
      </c>
      <c r="I24" s="2">
        <f t="shared" si="7"/>
        <v>7.8811111109680496</v>
      </c>
      <c r="J24" s="20">
        <v>1.1635045435060865</v>
      </c>
      <c r="K24" s="20">
        <v>8.5240571323747769</v>
      </c>
      <c r="L24" s="20">
        <v>93.720416279060217</v>
      </c>
      <c r="N24" s="20">
        <v>4.225048110096527E-2</v>
      </c>
      <c r="O24" s="20">
        <v>0.12078554827856053</v>
      </c>
      <c r="P24" s="3">
        <f t="shared" si="8"/>
        <v>1.123388194000135E-2</v>
      </c>
      <c r="Q24" s="3">
        <f t="shared" si="9"/>
        <v>8.2301570723882417E-2</v>
      </c>
      <c r="R24" s="3">
        <f t="shared" si="10"/>
        <v>0.9048904000616268</v>
      </c>
      <c r="S24" s="3">
        <f t="shared" si="11"/>
        <v>4.0793731253187769E-4</v>
      </c>
      <c r="T24" s="4">
        <f t="shared" si="4"/>
        <v>0.11630903923018246</v>
      </c>
      <c r="U24" s="5">
        <f t="shared" si="5"/>
        <v>0.85210229813297533</v>
      </c>
      <c r="V24" s="14"/>
      <c r="W24" s="3">
        <f t="shared" si="2"/>
        <v>0.96841133736315776</v>
      </c>
      <c r="X24" s="3">
        <f t="shared" si="6"/>
        <v>8.3369368025142068E-2</v>
      </c>
      <c r="Y24">
        <f t="shared" ref="Y24" si="22">+SUM(K24:L24)</f>
        <v>102.244473411435</v>
      </c>
    </row>
    <row r="25" spans="1:25" ht="15.6" x14ac:dyDescent="0.3">
      <c r="A25" s="1" t="s">
        <v>23</v>
      </c>
      <c r="B25" s="1">
        <v>60</v>
      </c>
      <c r="C25" s="12">
        <f>+'Flow rate'!E24</f>
        <v>60.988202000000001</v>
      </c>
      <c r="D25" s="1" t="s">
        <v>26</v>
      </c>
      <c r="E25" s="1" t="s">
        <v>27</v>
      </c>
      <c r="F25" s="1" t="s">
        <v>24</v>
      </c>
      <c r="G25" s="1">
        <v>-1.1000000000000001</v>
      </c>
      <c r="H25" s="15">
        <v>45449.076319444444</v>
      </c>
      <c r="I25" s="2">
        <f t="shared" si="7"/>
        <v>8.1316666665952653</v>
      </c>
      <c r="J25" s="20">
        <v>1.4165776689162739</v>
      </c>
      <c r="K25" s="20">
        <v>9.5721969239218261</v>
      </c>
      <c r="L25" s="20">
        <v>92.414984320465706</v>
      </c>
      <c r="N25" s="20">
        <v>4.1674121876145775E-2</v>
      </c>
      <c r="O25" s="20">
        <v>1.0180006905422534E-3</v>
      </c>
      <c r="P25" s="3">
        <f t="shared" si="8"/>
        <v>1.3693825691758818E-2</v>
      </c>
      <c r="Q25" s="3">
        <f t="shared" si="9"/>
        <v>9.2532869209815877E-2</v>
      </c>
      <c r="R25" s="3">
        <f t="shared" si="10"/>
        <v>0.89336060730029709</v>
      </c>
      <c r="S25" s="3">
        <f t="shared" si="11"/>
        <v>4.0285695119395736E-4</v>
      </c>
      <c r="T25" s="4">
        <f t="shared" si="4"/>
        <v>0.10048707693106347</v>
      </c>
      <c r="U25" s="5">
        <f t="shared" si="5"/>
        <v>0.67901824926358723</v>
      </c>
      <c r="V25" s="14"/>
      <c r="W25" s="3">
        <f t="shared" si="2"/>
        <v>0.77950532619465074</v>
      </c>
      <c r="X25" s="3">
        <f t="shared" si="6"/>
        <v>9.3856863256024103E-2</v>
      </c>
    </row>
    <row r="26" spans="1:25" ht="15.6" x14ac:dyDescent="0.3">
      <c r="A26" s="1" t="s">
        <v>23</v>
      </c>
      <c r="B26" s="1">
        <v>60</v>
      </c>
      <c r="C26" s="12">
        <f>+'Flow rate'!E25</f>
        <v>61.153027999999999</v>
      </c>
      <c r="D26" s="1" t="s">
        <v>26</v>
      </c>
      <c r="E26" s="1" t="s">
        <v>27</v>
      </c>
      <c r="F26" s="1" t="s">
        <v>24</v>
      </c>
      <c r="G26" s="1">
        <v>-1.1000000000000001</v>
      </c>
      <c r="H26" s="15">
        <v>45449.086736111109</v>
      </c>
      <c r="I26" s="2">
        <f t="shared" si="7"/>
        <v>8.3816666665370576</v>
      </c>
      <c r="J26" s="20">
        <v>1.5411529456236022</v>
      </c>
      <c r="K26" s="20">
        <v>10.672050542729247</v>
      </c>
      <c r="L26" s="20">
        <v>91.215919876107819</v>
      </c>
      <c r="N26" s="20">
        <v>4.2508988571376999E-2</v>
      </c>
      <c r="O26" s="20">
        <v>9.7232319420909041E-4</v>
      </c>
      <c r="P26" s="3">
        <f t="shared" si="8"/>
        <v>1.489430898590007E-2</v>
      </c>
      <c r="Q26" s="3">
        <f t="shared" si="9"/>
        <v>0.10313889919097829</v>
      </c>
      <c r="R26" s="3">
        <f t="shared" si="10"/>
        <v>0.88154657130290159</v>
      </c>
      <c r="S26" s="3">
        <f t="shared" si="11"/>
        <v>4.108236059620892E-4</v>
      </c>
      <c r="T26" s="4">
        <f t="shared" si="4"/>
        <v>0.10959176285513046</v>
      </c>
      <c r="U26" s="5">
        <f t="shared" si="5"/>
        <v>0.75889212396340278</v>
      </c>
      <c r="V26" s="14"/>
      <c r="W26" s="3">
        <f t="shared" si="2"/>
        <v>0.86848388681853328</v>
      </c>
      <c r="X26" s="3">
        <f t="shared" si="6"/>
        <v>0.10474298878325872</v>
      </c>
      <c r="Y26">
        <f t="shared" ref="Y26" si="23">+SUM(K26:L26)</f>
        <v>101.88797041883707</v>
      </c>
    </row>
    <row r="27" spans="1:25" ht="15.6" x14ac:dyDescent="0.3">
      <c r="A27" s="1" t="s">
        <v>23</v>
      </c>
      <c r="B27" s="1">
        <v>60</v>
      </c>
      <c r="C27" s="12">
        <f>+'Flow rate'!E26</f>
        <v>60.377828999999998</v>
      </c>
      <c r="D27" s="1" t="s">
        <v>26</v>
      </c>
      <c r="E27" s="1" t="s">
        <v>27</v>
      </c>
      <c r="F27" s="1" t="s">
        <v>24</v>
      </c>
      <c r="G27" s="1">
        <v>-1.1000000000000001</v>
      </c>
      <c r="H27" s="15">
        <v>45449.102384259262</v>
      </c>
      <c r="I27" s="2">
        <f t="shared" si="7"/>
        <v>8.7572222222224809</v>
      </c>
      <c r="J27" s="20">
        <v>1.5361177974575728</v>
      </c>
      <c r="K27" s="20">
        <v>10.829020450096619</v>
      </c>
      <c r="L27" s="20">
        <v>91.107914512878708</v>
      </c>
      <c r="N27" s="20">
        <v>4.4363251803657869E-2</v>
      </c>
      <c r="O27" s="20">
        <v>1.0687678333761719E-3</v>
      </c>
      <c r="P27" s="3">
        <f t="shared" si="8"/>
        <v>1.4839067638220653E-2</v>
      </c>
      <c r="Q27" s="3">
        <f t="shared" si="9"/>
        <v>0.10460953396973885</v>
      </c>
      <c r="R27" s="3">
        <f t="shared" si="10"/>
        <v>0.88011252006288465</v>
      </c>
      <c r="S27" s="3">
        <f t="shared" si="11"/>
        <v>4.285539138049573E-4</v>
      </c>
      <c r="T27" s="4">
        <f t="shared" si="4"/>
        <v>0.10780122480151715</v>
      </c>
      <c r="U27" s="5">
        <f t="shared" si="5"/>
        <v>0.75995582490693392</v>
      </c>
      <c r="V27" s="14"/>
      <c r="W27" s="3">
        <f t="shared" si="2"/>
        <v>0.86775704970845102</v>
      </c>
      <c r="X27" s="3">
        <f t="shared" si="6"/>
        <v>0.10623254911509596</v>
      </c>
    </row>
    <row r="28" spans="1:25" ht="15.6" x14ac:dyDescent="0.3">
      <c r="A28" s="1" t="s">
        <v>23</v>
      </c>
      <c r="B28" s="1">
        <v>60</v>
      </c>
      <c r="C28" s="12">
        <f>+'Flow rate'!E27</f>
        <v>60.635337</v>
      </c>
      <c r="D28" s="1" t="s">
        <v>26</v>
      </c>
      <c r="E28" s="1" t="s">
        <v>27</v>
      </c>
      <c r="F28" s="1" t="s">
        <v>24</v>
      </c>
      <c r="G28" s="1">
        <v>-1.1000000000000001</v>
      </c>
      <c r="H28" s="15">
        <v>45449.112812500003</v>
      </c>
      <c r="I28" s="2">
        <f t="shared" si="7"/>
        <v>9.0075000000069849</v>
      </c>
      <c r="J28" s="20">
        <v>1.5340900026828834</v>
      </c>
      <c r="K28" s="20">
        <v>10.791322195894976</v>
      </c>
      <c r="L28" s="20">
        <v>91.080897765287972</v>
      </c>
      <c r="N28" s="20">
        <v>4.1710892693787853E-2</v>
      </c>
      <c r="O28" s="20">
        <v>0.11426538480451504</v>
      </c>
      <c r="P28" s="3">
        <f t="shared" si="8"/>
        <v>1.4813211047769895E-2</v>
      </c>
      <c r="Q28" s="3">
        <f t="shared" si="9"/>
        <v>0.10420127430119229</v>
      </c>
      <c r="R28" s="3">
        <f t="shared" si="10"/>
        <v>0.87947940385376566</v>
      </c>
      <c r="S28" s="3">
        <f t="shared" si="11"/>
        <v>4.0276141255297991E-4</v>
      </c>
      <c r="T28" s="4">
        <f t="shared" si="4"/>
        <v>0.10807234964327009</v>
      </c>
      <c r="U28" s="5">
        <f t="shared" si="5"/>
        <v>0.76021846399387605</v>
      </c>
      <c r="V28" s="14"/>
      <c r="W28" s="3">
        <f t="shared" si="2"/>
        <v>0.86829081363714611</v>
      </c>
      <c r="X28" s="3">
        <f t="shared" si="6"/>
        <v>0.10592997973350209</v>
      </c>
      <c r="Y28">
        <f t="shared" ref="Y28" si="24">+SUM(K28:L28)</f>
        <v>101.87221996118295</v>
      </c>
    </row>
    <row r="29" spans="1:25" ht="15.6" x14ac:dyDescent="0.3">
      <c r="A29" s="1" t="s">
        <v>23</v>
      </c>
      <c r="B29" s="1">
        <v>60</v>
      </c>
      <c r="C29" s="12">
        <f>+'Flow rate'!E28</f>
        <v>60.762791999999997</v>
      </c>
      <c r="D29" s="1" t="s">
        <v>26</v>
      </c>
      <c r="E29" s="1" t="s">
        <v>27</v>
      </c>
      <c r="F29" s="1" t="s">
        <v>24</v>
      </c>
      <c r="G29" s="1">
        <v>-1.1000000000000001</v>
      </c>
      <c r="H29" s="15">
        <v>45449.123229166667</v>
      </c>
      <c r="I29" s="2">
        <f t="shared" si="7"/>
        <v>9.2574999999487773</v>
      </c>
      <c r="J29" s="20">
        <v>1.543781488155072</v>
      </c>
      <c r="K29" s="20">
        <v>10.827557272003943</v>
      </c>
      <c r="L29" s="20">
        <v>91.066360558182453</v>
      </c>
      <c r="N29" s="20">
        <v>4.210149442702963E-2</v>
      </c>
      <c r="O29" s="20">
        <v>9.3769985750369322E-4</v>
      </c>
      <c r="P29" s="3">
        <f t="shared" si="8"/>
        <v>1.4918539530588202E-2</v>
      </c>
      <c r="Q29" s="3">
        <f t="shared" si="9"/>
        <v>0.10463355236571721</v>
      </c>
      <c r="R29" s="3">
        <f t="shared" si="10"/>
        <v>0.88003199307541824</v>
      </c>
      <c r="S29" s="3">
        <f t="shared" si="11"/>
        <v>4.0685343989782887E-4</v>
      </c>
      <c r="T29" s="4">
        <f t="shared" si="4"/>
        <v>0.10906957433823553</v>
      </c>
      <c r="U29" s="5">
        <f t="shared" si="5"/>
        <v>0.76497682595719141</v>
      </c>
      <c r="V29" s="14"/>
      <c r="W29" s="3">
        <f t="shared" si="2"/>
        <v>0.87404640029542691</v>
      </c>
      <c r="X29" s="3">
        <f t="shared" si="6"/>
        <v>0.10626303809466678</v>
      </c>
    </row>
    <row r="30" spans="1:25" ht="15.6" x14ac:dyDescent="0.3">
      <c r="A30" s="1" t="s">
        <v>23</v>
      </c>
      <c r="B30" s="1">
        <v>60</v>
      </c>
      <c r="C30" s="12">
        <f>+'Flow rate'!E29</f>
        <v>60.470739000000002</v>
      </c>
      <c r="D30" s="1" t="s">
        <v>26</v>
      </c>
      <c r="E30" s="1" t="s">
        <v>27</v>
      </c>
      <c r="F30" s="1" t="s">
        <v>24</v>
      </c>
      <c r="G30" s="1">
        <v>-1.1000000000000001</v>
      </c>
      <c r="H30" s="15">
        <v>45449.138877314814</v>
      </c>
      <c r="I30" s="2">
        <f t="shared" si="7"/>
        <v>9.6330555554595776</v>
      </c>
      <c r="J30" s="20">
        <v>1.5677947712320282</v>
      </c>
      <c r="K30" s="20">
        <v>10.812445788147807</v>
      </c>
      <c r="L30" s="20">
        <v>91.100692382246734</v>
      </c>
      <c r="N30" s="20">
        <v>4.3671330788094237E-2</v>
      </c>
      <c r="O30" s="20">
        <v>0.11538766898358793</v>
      </c>
      <c r="P30" s="3">
        <f t="shared" si="8"/>
        <v>1.5127314677123046E-2</v>
      </c>
      <c r="Q30" s="3">
        <f t="shared" si="9"/>
        <v>0.10432696477110447</v>
      </c>
      <c r="R30" s="3">
        <f t="shared" si="10"/>
        <v>0.87901099446011444</v>
      </c>
      <c r="S30" s="3">
        <f t="shared" si="11"/>
        <v>4.2137528158809159E-4</v>
      </c>
      <c r="T30" s="4">
        <f t="shared" si="4"/>
        <v>0.11006435805089712</v>
      </c>
      <c r="U30" s="5">
        <f t="shared" si="5"/>
        <v>0.75906931600328009</v>
      </c>
      <c r="V30" s="14"/>
      <c r="W30" s="3">
        <f t="shared" si="2"/>
        <v>0.86913367405417719</v>
      </c>
      <c r="X30" s="3">
        <f t="shared" si="6"/>
        <v>0.10609471930959329</v>
      </c>
      <c r="Y30">
        <f t="shared" ref="Y30" si="25">+SUM(K30:L30)</f>
        <v>101.91313817039455</v>
      </c>
    </row>
    <row r="31" spans="1:25" ht="15.6" x14ac:dyDescent="0.3">
      <c r="A31" s="1" t="s">
        <v>23</v>
      </c>
      <c r="B31" s="1">
        <v>60</v>
      </c>
      <c r="C31" s="12">
        <f>+'Flow rate'!E30</f>
        <v>60.397334000000001</v>
      </c>
      <c r="D31" s="1" t="s">
        <v>26</v>
      </c>
      <c r="E31" s="1" t="s">
        <v>27</v>
      </c>
      <c r="F31" s="1" t="s">
        <v>24</v>
      </c>
      <c r="G31" s="1">
        <v>-1.1000000000000001</v>
      </c>
      <c r="H31" s="15">
        <v>45449.149305555555</v>
      </c>
      <c r="I31" s="2">
        <f t="shared" si="7"/>
        <v>9.8833333332440816</v>
      </c>
      <c r="J31" s="20">
        <v>1.5812577381086927</v>
      </c>
      <c r="K31" s="20">
        <v>10.854565051872333</v>
      </c>
      <c r="L31" s="20">
        <v>91.06712827980725</v>
      </c>
      <c r="N31" s="20">
        <v>4.1436889877827329E-2</v>
      </c>
      <c r="O31" s="20">
        <v>0.11414419435132139</v>
      </c>
      <c r="P31" s="3">
        <f t="shared" si="8"/>
        <v>1.5254487066816997E-2</v>
      </c>
      <c r="Q31" s="3">
        <f t="shared" si="9"/>
        <v>0.10471463203573493</v>
      </c>
      <c r="R31" s="3">
        <f t="shared" si="10"/>
        <v>0.87852998096189816</v>
      </c>
      <c r="S31" s="3">
        <f t="shared" si="11"/>
        <v>3.99744131204364E-4</v>
      </c>
      <c r="T31" s="4">
        <f t="shared" si="4"/>
        <v>0.11085491813912055</v>
      </c>
      <c r="U31" s="5">
        <f t="shared" si="5"/>
        <v>0.7609650794185423</v>
      </c>
      <c r="V31" s="14"/>
      <c r="W31" s="3">
        <f t="shared" si="2"/>
        <v>0.87181999755766282</v>
      </c>
      <c r="X31" s="3">
        <f t="shared" si="6"/>
        <v>0.10649906508665205</v>
      </c>
    </row>
    <row r="32" spans="1:25" ht="15.6" x14ac:dyDescent="0.3">
      <c r="A32" s="1" t="s">
        <v>23</v>
      </c>
      <c r="B32" s="1">
        <v>60</v>
      </c>
      <c r="C32" s="12">
        <f>+'Flow rate'!E31</f>
        <v>62.155394999999999</v>
      </c>
      <c r="D32" s="1" t="s">
        <v>26</v>
      </c>
      <c r="E32" s="1" t="s">
        <v>27</v>
      </c>
      <c r="F32" s="1" t="s">
        <v>24</v>
      </c>
      <c r="G32" s="1">
        <v>-1.52</v>
      </c>
      <c r="H32" s="15">
        <v>45449.159733796296</v>
      </c>
      <c r="I32" s="2">
        <f t="shared" si="7"/>
        <v>10.133611111028586</v>
      </c>
      <c r="J32" s="20">
        <v>2.6437593058765465</v>
      </c>
      <c r="K32" s="20">
        <v>12.329370638612346</v>
      </c>
      <c r="L32" s="20">
        <v>88.515009440447457</v>
      </c>
      <c r="N32" s="20">
        <v>5.4058773397106824E-2</v>
      </c>
      <c r="O32" s="20">
        <v>9.8143160241143113E-4</v>
      </c>
      <c r="P32" s="3">
        <f t="shared" si="8"/>
        <v>2.5532915990668623E-2</v>
      </c>
      <c r="Q32" s="3">
        <f t="shared" si="9"/>
        <v>0.11907467674298396</v>
      </c>
      <c r="R32" s="3">
        <f t="shared" si="10"/>
        <v>0.854860839612954</v>
      </c>
      <c r="S32" s="3">
        <f t="shared" si="11"/>
        <v>5.2208917681683016E-4</v>
      </c>
      <c r="T32" s="4">
        <f t="shared" si="4"/>
        <v>0.13818723655949255</v>
      </c>
      <c r="U32" s="5">
        <f t="shared" si="5"/>
        <v>0.64444658531526156</v>
      </c>
      <c r="V32" s="14"/>
      <c r="W32" s="3">
        <f t="shared" si="2"/>
        <v>0.78263382187475417</v>
      </c>
      <c r="X32" s="3">
        <f t="shared" si="6"/>
        <v>0.12226135585291305</v>
      </c>
      <c r="Y32">
        <f t="shared" ref="Y32" si="26">+SUM(K32:L32)</f>
        <v>100.8443800790598</v>
      </c>
    </row>
    <row r="33" spans="1:25" ht="15.6" x14ac:dyDescent="0.3">
      <c r="A33" s="1" t="s">
        <v>23</v>
      </c>
      <c r="B33" s="1">
        <v>60</v>
      </c>
      <c r="C33" s="12">
        <f>+'Flow rate'!E32</f>
        <v>61.906193999999999</v>
      </c>
      <c r="D33" s="1" t="s">
        <v>26</v>
      </c>
      <c r="E33" s="1" t="s">
        <v>27</v>
      </c>
      <c r="F33" s="1" t="s">
        <v>24</v>
      </c>
      <c r="G33" s="1">
        <v>-1.52</v>
      </c>
      <c r="H33" s="15">
        <v>45449.182662037034</v>
      </c>
      <c r="I33" s="2">
        <f t="shared" si="7"/>
        <v>10.68388888874324</v>
      </c>
      <c r="J33" s="20">
        <v>3.307545093514757</v>
      </c>
      <c r="K33" s="20">
        <v>13.876806615180357</v>
      </c>
      <c r="L33" s="20">
        <v>86.288317318413519</v>
      </c>
      <c r="N33" s="20">
        <v>6.2336174473069154E-2</v>
      </c>
      <c r="O33" s="20">
        <v>1.0660286822147258E-3</v>
      </c>
      <c r="P33" s="3">
        <f t="shared" si="8"/>
        <v>3.1945823848760747E-2</v>
      </c>
      <c r="Q33" s="3">
        <f t="shared" si="9"/>
        <v>0.13402871530945362</v>
      </c>
      <c r="R33" s="3">
        <f t="shared" si="10"/>
        <v>0.83341309258788221</v>
      </c>
      <c r="S33" s="3">
        <f t="shared" si="11"/>
        <v>6.0207204824716282E-4</v>
      </c>
      <c r="T33" s="4">
        <f t="shared" si="4"/>
        <v>0.17220148085990333</v>
      </c>
      <c r="U33" s="5">
        <f t="shared" si="5"/>
        <v>0.72247137413967899</v>
      </c>
      <c r="V33" s="14"/>
      <c r="W33" s="3">
        <f t="shared" si="2"/>
        <v>0.89467285499958238</v>
      </c>
      <c r="X33" s="3">
        <f t="shared" si="6"/>
        <v>0.13853930460247035</v>
      </c>
    </row>
    <row r="34" spans="1:25" ht="15.6" x14ac:dyDescent="0.3">
      <c r="A34" s="1" t="s">
        <v>23</v>
      </c>
      <c r="B34" s="1">
        <v>60</v>
      </c>
      <c r="C34" s="12">
        <f>+'Flow rate'!E33</f>
        <v>61.814050999999999</v>
      </c>
      <c r="D34" s="1" t="s">
        <v>26</v>
      </c>
      <c r="E34" s="1" t="s">
        <v>27</v>
      </c>
      <c r="F34" s="1" t="s">
        <v>24</v>
      </c>
      <c r="G34" s="1">
        <v>-1.52</v>
      </c>
      <c r="H34" s="15">
        <v>45449.193090277775</v>
      </c>
      <c r="I34" s="2">
        <f t="shared" si="7"/>
        <v>10.934166666527744</v>
      </c>
      <c r="J34" s="20">
        <v>3.2926514650127414</v>
      </c>
      <c r="K34" s="20">
        <v>14.012827306517631</v>
      </c>
      <c r="L34" s="20">
        <v>86.197450451866843</v>
      </c>
      <c r="N34" s="20">
        <v>5.9482335209808543E-2</v>
      </c>
      <c r="O34" s="20">
        <v>7.7255017172972451E-4</v>
      </c>
      <c r="P34" s="3">
        <f t="shared" si="8"/>
        <v>3.1793648421955312E-2</v>
      </c>
      <c r="Q34" s="3">
        <f t="shared" si="9"/>
        <v>0.13530703432021846</v>
      </c>
      <c r="R34" s="3">
        <f t="shared" si="10"/>
        <v>0.83231749963701751</v>
      </c>
      <c r="S34" s="3">
        <f t="shared" si="11"/>
        <v>5.7435792189752105E-4</v>
      </c>
      <c r="T34" s="4">
        <f t="shared" si="4"/>
        <v>0.17112610224207472</v>
      </c>
      <c r="U34" s="5">
        <f t="shared" si="5"/>
        <v>0.72827644949247416</v>
      </c>
      <c r="V34" s="14"/>
      <c r="W34" s="3">
        <f t="shared" si="2"/>
        <v>0.89940255173454886</v>
      </c>
      <c r="X34" s="3">
        <f t="shared" si="6"/>
        <v>0.13983423277504281</v>
      </c>
      <c r="Y34">
        <f t="shared" ref="Y34" si="27">+SUM(K34:L34)</f>
        <v>100.21027775838448</v>
      </c>
    </row>
    <row r="35" spans="1:25" ht="15.6" x14ac:dyDescent="0.3">
      <c r="A35" s="1" t="s">
        <v>23</v>
      </c>
      <c r="B35" s="1">
        <v>60</v>
      </c>
      <c r="C35" s="12">
        <f>+'Flow rate'!E34</f>
        <v>61.537002999999999</v>
      </c>
      <c r="D35" s="1" t="s">
        <v>26</v>
      </c>
      <c r="E35" s="1" t="s">
        <v>27</v>
      </c>
      <c r="F35" s="1" t="s">
        <v>24</v>
      </c>
      <c r="G35" s="1">
        <v>-1.52</v>
      </c>
      <c r="H35" s="15">
        <v>45449.203518518516</v>
      </c>
      <c r="I35" s="2">
        <f t="shared" si="7"/>
        <v>11.184444444312248</v>
      </c>
      <c r="J35" s="20">
        <v>3.2568755263996088</v>
      </c>
      <c r="K35" s="20">
        <v>14.010878197773444</v>
      </c>
      <c r="L35" s="20">
        <v>86.171508000225842</v>
      </c>
      <c r="N35" s="20">
        <v>5.6673395697264213E-2</v>
      </c>
      <c r="O35" s="20">
        <v>0.10954919345555447</v>
      </c>
      <c r="P35" s="3">
        <f t="shared" si="8"/>
        <v>3.1435358349785794E-2</v>
      </c>
      <c r="Q35" s="3">
        <f t="shared" si="9"/>
        <v>0.13523297816330759</v>
      </c>
      <c r="R35" s="3">
        <f t="shared" si="10"/>
        <v>0.83172728327234435</v>
      </c>
      <c r="S35" s="3">
        <f t="shared" si="11"/>
        <v>5.470115416453034E-4</v>
      </c>
      <c r="T35" s="4">
        <f t="shared" si="4"/>
        <v>0.16843930532795398</v>
      </c>
      <c r="U35" s="5">
        <f t="shared" si="5"/>
        <v>0.72461553152337799</v>
      </c>
      <c r="V35" s="14"/>
      <c r="W35" s="3">
        <f t="shared" si="2"/>
        <v>0.89305483685133202</v>
      </c>
      <c r="X35" s="3">
        <f t="shared" si="6"/>
        <v>0.13985370811673931</v>
      </c>
    </row>
    <row r="36" spans="1:25" ht="15.6" x14ac:dyDescent="0.3">
      <c r="A36" s="1" t="s">
        <v>23</v>
      </c>
      <c r="B36" s="1">
        <v>60</v>
      </c>
      <c r="C36" s="12">
        <f>+'Flow rate'!E35</f>
        <v>60.983468999999999</v>
      </c>
      <c r="D36" s="1" t="s">
        <v>26</v>
      </c>
      <c r="E36" s="1" t="s">
        <v>27</v>
      </c>
      <c r="F36" s="1" t="s">
        <v>24</v>
      </c>
      <c r="G36" s="1">
        <v>-1.52</v>
      </c>
      <c r="H36" s="15">
        <v>45449.219143518516</v>
      </c>
      <c r="I36" s="2">
        <f t="shared" si="7"/>
        <v>11.559444444312248</v>
      </c>
      <c r="J36" s="20">
        <v>3.2129847940802776</v>
      </c>
      <c r="K36" s="20">
        <v>14.183489113704111</v>
      </c>
      <c r="L36" s="20">
        <v>86.12677579372675</v>
      </c>
      <c r="N36" s="20">
        <v>5.9739370428456701E-2</v>
      </c>
      <c r="O36" s="20">
        <v>9.661272968691792E-4</v>
      </c>
      <c r="P36" s="3">
        <f t="shared" si="8"/>
        <v>3.1018170602776531E-2</v>
      </c>
      <c r="Q36" s="3">
        <f t="shared" si="9"/>
        <v>0.13692747188908908</v>
      </c>
      <c r="R36" s="3">
        <f t="shared" si="10"/>
        <v>0.83146830634211588</v>
      </c>
      <c r="S36" s="3">
        <f t="shared" si="11"/>
        <v>5.7672416846366048E-4</v>
      </c>
      <c r="T36" s="4">
        <f t="shared" si="4"/>
        <v>0.16470887106126234</v>
      </c>
      <c r="U36" s="5">
        <f t="shared" si="5"/>
        <v>0.72709540484975554</v>
      </c>
      <c r="V36" s="14"/>
      <c r="W36" s="3">
        <f t="shared" si="2"/>
        <v>0.89180427591101785</v>
      </c>
      <c r="X36" s="3">
        <f t="shared" si="6"/>
        <v>0.14139618838404058</v>
      </c>
      <c r="Y36">
        <f t="shared" ref="Y36" si="28">+SUM(K36:L36)</f>
        <v>100.31026490743086</v>
      </c>
    </row>
    <row r="37" spans="1:25" ht="15.6" x14ac:dyDescent="0.3">
      <c r="A37" s="1" t="s">
        <v>23</v>
      </c>
      <c r="B37" s="1">
        <v>60</v>
      </c>
      <c r="C37" s="12">
        <f>+'Flow rate'!E36</f>
        <v>60.910597000000003</v>
      </c>
      <c r="D37" s="1" t="s">
        <v>26</v>
      </c>
      <c r="E37" s="1" t="s">
        <v>27</v>
      </c>
      <c r="F37" s="1" t="s">
        <v>24</v>
      </c>
      <c r="G37" s="1">
        <v>-1.52</v>
      </c>
      <c r="H37" s="15">
        <v>45449.229571759257</v>
      </c>
      <c r="I37" s="2">
        <f t="shared" si="7"/>
        <v>11.809722222096752</v>
      </c>
      <c r="J37" s="20">
        <v>3.2236131858013057</v>
      </c>
      <c r="K37" s="20">
        <v>14.195468389907337</v>
      </c>
      <c r="L37" s="20">
        <v>86.095452494278248</v>
      </c>
      <c r="N37" s="20">
        <v>5.6593570661625098E-2</v>
      </c>
      <c r="O37" s="20">
        <v>1.0145746919625331E-3</v>
      </c>
      <c r="P37" s="3">
        <f t="shared" si="8"/>
        <v>3.112432664662838E-2</v>
      </c>
      <c r="Q37" s="3">
        <f t="shared" si="9"/>
        <v>0.13705875041565752</v>
      </c>
      <c r="R37" s="3">
        <f t="shared" si="10"/>
        <v>0.83126071019438963</v>
      </c>
      <c r="S37" s="3">
        <f t="shared" si="11"/>
        <v>5.4641691724362923E-4</v>
      </c>
      <c r="T37" s="4">
        <f t="shared" si="4"/>
        <v>0.16507507589408094</v>
      </c>
      <c r="U37" s="5">
        <f t="shared" si="5"/>
        <v>0.72692283061048879</v>
      </c>
      <c r="V37" s="14"/>
      <c r="W37" s="3">
        <f t="shared" si="2"/>
        <v>0.89199790650456978</v>
      </c>
      <c r="X37" s="3">
        <f t="shared" si="6"/>
        <v>0.1415429060253624</v>
      </c>
    </row>
    <row r="38" spans="1:25" ht="15.6" x14ac:dyDescent="0.3">
      <c r="A38" s="1" t="s">
        <v>23</v>
      </c>
      <c r="B38" s="1">
        <v>60</v>
      </c>
      <c r="C38" s="12">
        <f>+'Flow rate'!E37</f>
        <v>65.144531999999998</v>
      </c>
      <c r="D38" s="1" t="s">
        <v>26</v>
      </c>
      <c r="E38" s="1" t="s">
        <v>27</v>
      </c>
      <c r="F38" s="1" t="s">
        <v>24</v>
      </c>
      <c r="G38" s="1">
        <v>-2.1</v>
      </c>
      <c r="H38" s="15">
        <v>45449.239988425928</v>
      </c>
      <c r="I38" s="2">
        <f t="shared" si="7"/>
        <v>12.059722222213168</v>
      </c>
      <c r="J38" s="20">
        <v>3.7675342531499698</v>
      </c>
      <c r="K38" s="20">
        <v>14.370203800705829</v>
      </c>
      <c r="L38" s="20">
        <v>85.441353853753455</v>
      </c>
      <c r="N38" s="20">
        <v>6.0175957966764476E-2</v>
      </c>
      <c r="O38" s="20">
        <v>0.11217201000046129</v>
      </c>
      <c r="P38" s="3">
        <f t="shared" si="8"/>
        <v>3.631307919840121E-2</v>
      </c>
      <c r="Q38" s="3">
        <f t="shared" si="9"/>
        <v>0.13850606620919423</v>
      </c>
      <c r="R38" s="3">
        <f t="shared" si="10"/>
        <v>0.82351969241312384</v>
      </c>
      <c r="S38" s="3">
        <f t="shared" si="11"/>
        <v>5.8000118397325635E-4</v>
      </c>
      <c r="T38" s="4">
        <f t="shared" si="4"/>
        <v>0.14909189109878146</v>
      </c>
      <c r="U38" s="5">
        <f t="shared" si="5"/>
        <v>0.56866924523137075</v>
      </c>
      <c r="V38" s="14"/>
      <c r="W38" s="3">
        <f t="shared" si="2"/>
        <v>0.71776113633015215</v>
      </c>
      <c r="X38" s="3">
        <f t="shared" si="6"/>
        <v>0.14397334475486778</v>
      </c>
      <c r="Y38">
        <f t="shared" ref="Y38" si="29">+SUM(K38:L38)</f>
        <v>99.811557654459278</v>
      </c>
    </row>
    <row r="39" spans="1:25" ht="15.6" x14ac:dyDescent="0.3">
      <c r="A39" s="1" t="s">
        <v>23</v>
      </c>
      <c r="B39" s="1">
        <v>60</v>
      </c>
      <c r="C39" s="12">
        <f>+'Flow rate'!E38</f>
        <v>64.515715</v>
      </c>
      <c r="D39" s="1" t="s">
        <v>26</v>
      </c>
      <c r="E39" s="1" t="s">
        <v>27</v>
      </c>
      <c r="F39" s="1" t="s">
        <v>24</v>
      </c>
      <c r="G39" s="1">
        <v>-2.1</v>
      </c>
      <c r="H39" s="15">
        <v>45449.255624999998</v>
      </c>
      <c r="I39" s="2">
        <f t="shared" si="7"/>
        <v>12.434999999881256</v>
      </c>
      <c r="J39" s="20">
        <v>6.7235652792708454</v>
      </c>
      <c r="K39" s="20">
        <v>15.070478176459126</v>
      </c>
      <c r="L39" s="20">
        <v>81.620761885681318</v>
      </c>
      <c r="N39" s="20">
        <v>9.1621411530271063E-2</v>
      </c>
      <c r="O39" s="20">
        <v>1.3464107657172319E-3</v>
      </c>
      <c r="P39" s="3">
        <f t="shared" si="8"/>
        <v>6.4957104899135393E-2</v>
      </c>
      <c r="Q39" s="3">
        <f t="shared" si="9"/>
        <v>0.14559754997939861</v>
      </c>
      <c r="R39" s="3">
        <f t="shared" si="10"/>
        <v>0.7885471727479868</v>
      </c>
      <c r="S39" s="3">
        <f t="shared" si="11"/>
        <v>8.8516455073729759E-4</v>
      </c>
      <c r="T39" s="4">
        <f t="shared" si="4"/>
        <v>0.26412235034595777</v>
      </c>
      <c r="U39" s="5">
        <f t="shared" si="5"/>
        <v>0.59201479445374228</v>
      </c>
      <c r="V39" s="14"/>
      <c r="W39" s="3">
        <f t="shared" si="2"/>
        <v>0.85613714479970005</v>
      </c>
      <c r="X39" s="3">
        <f t="shared" si="6"/>
        <v>0.15586187711289873</v>
      </c>
    </row>
    <row r="40" spans="1:25" ht="15.6" x14ac:dyDescent="0.3">
      <c r="A40" s="1" t="s">
        <v>23</v>
      </c>
      <c r="B40" s="1">
        <v>60</v>
      </c>
      <c r="C40" s="12">
        <f>+'Flow rate'!E39</f>
        <v>64.060586999999998</v>
      </c>
      <c r="D40" s="1" t="s">
        <v>26</v>
      </c>
      <c r="E40" s="1" t="s">
        <v>27</v>
      </c>
      <c r="F40" s="1" t="s">
        <v>24</v>
      </c>
      <c r="G40" s="1">
        <v>-2.1</v>
      </c>
      <c r="H40" s="15">
        <v>45449.266030092593</v>
      </c>
      <c r="I40" s="2">
        <f t="shared" si="7"/>
        <v>12.68472222215496</v>
      </c>
      <c r="J40" s="20">
        <v>6.7320140627046436</v>
      </c>
      <c r="K40" s="20">
        <v>15.389686307575049</v>
      </c>
      <c r="L40" s="20">
        <v>81.93054421990152</v>
      </c>
      <c r="N40" s="20">
        <v>8.6670422034158395E-2</v>
      </c>
      <c r="O40" s="20">
        <v>1.0228850033899284E-3</v>
      </c>
      <c r="P40" s="3">
        <f t="shared" si="8"/>
        <v>6.4643922385942132E-2</v>
      </c>
      <c r="Q40" s="3">
        <f t="shared" si="9"/>
        <v>0.14777890805700256</v>
      </c>
      <c r="R40" s="3">
        <f t="shared" si="10"/>
        <v>0.78673509773707684</v>
      </c>
      <c r="S40" s="3">
        <f t="shared" si="11"/>
        <v>8.3224960360258747E-4</v>
      </c>
      <c r="T40" s="4">
        <f t="shared" si="4"/>
        <v>0.26099464226225633</v>
      </c>
      <c r="U40" s="5">
        <f t="shared" si="5"/>
        <v>0.59664546671493168</v>
      </c>
      <c r="V40" s="14"/>
      <c r="W40" s="3">
        <f t="shared" si="2"/>
        <v>0.85764010897718801</v>
      </c>
      <c r="X40" s="3">
        <f t="shared" si="6"/>
        <v>0.15813450321852718</v>
      </c>
      <c r="Y40">
        <f t="shared" ref="Y40" si="30">+SUM(K40:L40)</f>
        <v>97.320230527476568</v>
      </c>
    </row>
    <row r="41" spans="1:25" ht="15.6" x14ac:dyDescent="0.3">
      <c r="A41" s="1" t="s">
        <v>23</v>
      </c>
      <c r="B41" s="1">
        <v>60</v>
      </c>
      <c r="C41" s="12">
        <f>+'Flow rate'!E40</f>
        <v>63.898798999999997</v>
      </c>
      <c r="D41" s="1" t="s">
        <v>26</v>
      </c>
      <c r="E41" s="1" t="s">
        <v>27</v>
      </c>
      <c r="F41" s="1" t="s">
        <v>24</v>
      </c>
      <c r="G41" s="1">
        <v>-2.1</v>
      </c>
      <c r="H41" s="15">
        <v>45449.276469907411</v>
      </c>
      <c r="I41" s="2">
        <f t="shared" si="7"/>
        <v>12.935277777782176</v>
      </c>
      <c r="J41" s="20">
        <v>6.7593079634955142</v>
      </c>
      <c r="K41" s="20">
        <v>15.371640724959988</v>
      </c>
      <c r="L41" s="20">
        <v>81.698360917125328</v>
      </c>
      <c r="N41" s="20">
        <v>8.3944568395224309E-2</v>
      </c>
      <c r="O41" s="20">
        <v>1.1739359382222925E-3</v>
      </c>
      <c r="P41" s="3">
        <f t="shared" si="8"/>
        <v>6.504686679645616E-2</v>
      </c>
      <c r="Q41" s="3">
        <f t="shared" si="9"/>
        <v>0.14792595219501967</v>
      </c>
      <c r="R41" s="3">
        <f t="shared" si="10"/>
        <v>0.78620805987316633</v>
      </c>
      <c r="S41" s="3">
        <f t="shared" si="11"/>
        <v>8.0782399443543021E-4</v>
      </c>
      <c r="T41" s="4">
        <f t="shared" si="4"/>
        <v>0.26195823510100241</v>
      </c>
      <c r="U41" s="5">
        <f t="shared" si="5"/>
        <v>0.59573079029155929</v>
      </c>
      <c r="V41" s="14"/>
      <c r="W41" s="3">
        <f t="shared" si="2"/>
        <v>0.85768902539256175</v>
      </c>
      <c r="X41" s="3">
        <f t="shared" si="6"/>
        <v>0.15835624255615049</v>
      </c>
    </row>
    <row r="42" spans="1:25" ht="15.6" x14ac:dyDescent="0.3">
      <c r="A42" s="1" t="s">
        <v>23</v>
      </c>
      <c r="B42" s="1">
        <v>60</v>
      </c>
      <c r="C42" s="12">
        <f>+'Flow rate'!E41</f>
        <v>63.430889999999998</v>
      </c>
      <c r="D42" s="1" t="s">
        <v>26</v>
      </c>
      <c r="E42" s="1" t="s">
        <v>27</v>
      </c>
      <c r="F42" s="1" t="s">
        <v>24</v>
      </c>
      <c r="G42" s="1">
        <v>-2.1</v>
      </c>
      <c r="H42" s="15">
        <v>45449.299375000002</v>
      </c>
      <c r="I42" s="2">
        <f t="shared" si="7"/>
        <v>13.48499999998603</v>
      </c>
      <c r="J42" s="20">
        <v>6.7762879434127763</v>
      </c>
      <c r="K42" s="20">
        <v>15.588048350016267</v>
      </c>
      <c r="L42" s="20">
        <v>81.650697702107436</v>
      </c>
      <c r="N42" s="20">
        <v>8.6252822544714142E-2</v>
      </c>
      <c r="O42" s="20">
        <v>1.1386364454422093E-3</v>
      </c>
      <c r="P42" s="3">
        <f t="shared" si="8"/>
        <v>6.5092507824159693E-2</v>
      </c>
      <c r="Q42" s="3">
        <f t="shared" si="9"/>
        <v>0.14973760968542793</v>
      </c>
      <c r="R42" s="3">
        <f t="shared" si="10"/>
        <v>0.78433040676630128</v>
      </c>
      <c r="S42" s="3">
        <f t="shared" si="11"/>
        <v>8.285380688117642E-4</v>
      </c>
      <c r="T42" s="4">
        <f t="shared" si="4"/>
        <v>0.26022246538874028</v>
      </c>
      <c r="U42" s="5">
        <f t="shared" si="5"/>
        <v>0.59861098083697917</v>
      </c>
      <c r="V42" s="14"/>
      <c r="W42" s="3">
        <f t="shared" si="2"/>
        <v>0.85883344622571944</v>
      </c>
      <c r="X42" s="3">
        <f t="shared" si="6"/>
        <v>0.16030696592550128</v>
      </c>
      <c r="Y42">
        <f t="shared" ref="Y42" si="31">+SUM(K42:L42)</f>
        <v>97.238746052123702</v>
      </c>
    </row>
    <row r="43" spans="1:25" ht="15.6" x14ac:dyDescent="0.3">
      <c r="A43" s="1" t="s">
        <v>23</v>
      </c>
      <c r="B43" s="1">
        <v>60</v>
      </c>
      <c r="C43" s="12">
        <f>+'Flow rate'!E42</f>
        <v>63.546058000000002</v>
      </c>
      <c r="D43" s="1" t="s">
        <v>26</v>
      </c>
      <c r="E43" s="1" t="s">
        <v>27</v>
      </c>
      <c r="F43" s="1" t="s">
        <v>24</v>
      </c>
      <c r="G43" s="1">
        <v>-2.1</v>
      </c>
      <c r="H43" s="15">
        <v>45449.309791666667</v>
      </c>
      <c r="I43" s="2">
        <f t="shared" si="7"/>
        <v>13.734999999927823</v>
      </c>
      <c r="J43" s="20">
        <v>6.7817438318849987</v>
      </c>
      <c r="K43" s="20">
        <v>15.633004762012963</v>
      </c>
      <c r="L43" s="20">
        <v>81.52958807743498</v>
      </c>
      <c r="N43" s="20">
        <v>8.0307855244673876E-2</v>
      </c>
      <c r="O43" s="20">
        <v>0.12173762516253694</v>
      </c>
      <c r="P43" s="3">
        <f t="shared" si="8"/>
        <v>6.5117421188996008E-2</v>
      </c>
      <c r="Q43" s="3">
        <f t="shared" si="9"/>
        <v>0.15010607607315485</v>
      </c>
      <c r="R43" s="3">
        <f t="shared" si="10"/>
        <v>0.78283648834433117</v>
      </c>
      <c r="S43" s="3">
        <f t="shared" si="11"/>
        <v>7.7110556877209822E-4</v>
      </c>
      <c r="T43" s="4">
        <f t="shared" si="4"/>
        <v>0.26079471490912493</v>
      </c>
      <c r="U43" s="5">
        <f t="shared" si="5"/>
        <v>0.60117355080764678</v>
      </c>
      <c r="V43" s="14"/>
      <c r="W43" s="3">
        <f t="shared" si="2"/>
        <v>0.86196826571677176</v>
      </c>
      <c r="X43" s="3">
        <f t="shared" si="6"/>
        <v>0.16089530245292069</v>
      </c>
    </row>
    <row r="44" spans="1:25" ht="15.6" x14ac:dyDescent="0.3">
      <c r="A44" s="1" t="s">
        <v>23</v>
      </c>
      <c r="B44" s="1">
        <v>60</v>
      </c>
      <c r="C44" s="12">
        <f>+'Flow rate'!E43</f>
        <v>63.446126999999997</v>
      </c>
      <c r="D44" s="1" t="s">
        <v>26</v>
      </c>
      <c r="E44" s="1" t="s">
        <v>27</v>
      </c>
      <c r="F44" s="1" t="s">
        <v>24</v>
      </c>
      <c r="G44" s="1">
        <v>-2.1</v>
      </c>
      <c r="H44" s="15">
        <v>45449.320208333331</v>
      </c>
      <c r="I44" s="2">
        <f t="shared" si="7"/>
        <v>13.984999999869615</v>
      </c>
      <c r="J44" s="20">
        <v>6.7946248469635773</v>
      </c>
      <c r="K44" s="20">
        <v>15.611847338079873</v>
      </c>
      <c r="L44" s="20">
        <v>81.452276700510339</v>
      </c>
      <c r="N44" s="20">
        <v>8.1426703203416717E-2</v>
      </c>
      <c r="O44" s="20">
        <v>1.1835453921591466E-3</v>
      </c>
      <c r="P44" s="3">
        <f t="shared" si="8"/>
        <v>6.5369790269860353E-2</v>
      </c>
      <c r="Q44" s="3">
        <f t="shared" si="9"/>
        <v>0.15019860686957945</v>
      </c>
      <c r="R44" s="3">
        <f t="shared" si="10"/>
        <v>0.7836368254083147</v>
      </c>
      <c r="S44" s="3">
        <f t="shared" si="11"/>
        <v>7.8339078766831731E-4</v>
      </c>
      <c r="T44" s="4">
        <f t="shared" si="4"/>
        <v>0.26139374197418103</v>
      </c>
      <c r="U44" s="5">
        <f t="shared" si="5"/>
        <v>0.6005981620389278</v>
      </c>
      <c r="V44" s="14"/>
      <c r="W44" s="3">
        <f t="shared" si="2"/>
        <v>0.86199190401310877</v>
      </c>
      <c r="X44" s="3">
        <f t="shared" si="6"/>
        <v>0.16084055249777973</v>
      </c>
      <c r="Y44">
        <f t="shared" ref="Y44" si="32">+SUM(K44:L44)</f>
        <v>97.064124038590208</v>
      </c>
    </row>
    <row r="45" spans="1:25" ht="15.6" x14ac:dyDescent="0.3">
      <c r="A45" s="1" t="s">
        <v>23</v>
      </c>
      <c r="B45" s="1">
        <v>60</v>
      </c>
      <c r="C45" s="12">
        <f>+'Flow rate'!E44</f>
        <v>72.930069000000003</v>
      </c>
      <c r="D45" s="1" t="s">
        <v>26</v>
      </c>
      <c r="E45" s="1" t="s">
        <v>27</v>
      </c>
      <c r="F45" s="1" t="s">
        <v>24</v>
      </c>
      <c r="G45" s="1">
        <v>-3.1</v>
      </c>
      <c r="H45" s="15">
        <v>45449.335833333331</v>
      </c>
      <c r="I45" s="2">
        <f t="shared" si="7"/>
        <v>14.359999999869615</v>
      </c>
      <c r="J45" s="20">
        <v>14.955916140369499</v>
      </c>
      <c r="K45" s="20">
        <v>14.655203221876116</v>
      </c>
      <c r="L45" s="20">
        <v>74.260337853089183</v>
      </c>
      <c r="N45" s="20">
        <v>0.15977877719368064</v>
      </c>
      <c r="O45" s="20">
        <v>1.1030975191410608E-3</v>
      </c>
      <c r="P45" s="3">
        <f t="shared" si="8"/>
        <v>0.14376218271343547</v>
      </c>
      <c r="Q45" s="3">
        <f t="shared" si="9"/>
        <v>0.14087161117458835</v>
      </c>
      <c r="R45" s="3">
        <f t="shared" si="10"/>
        <v>0.7138197458850889</v>
      </c>
      <c r="S45" s="3">
        <f t="shared" si="11"/>
        <v>1.5358568171324148E-3</v>
      </c>
      <c r="T45" s="4">
        <f t="shared" si="4"/>
        <v>0.44763275854351398</v>
      </c>
      <c r="U45" s="5">
        <f t="shared" si="5"/>
        <v>0.43863237689042878</v>
      </c>
      <c r="V45" s="14"/>
      <c r="W45" s="3">
        <f t="shared" si="2"/>
        <v>0.88626513543394281</v>
      </c>
      <c r="X45" s="3">
        <f t="shared" si="6"/>
        <v>0.16482161661165862</v>
      </c>
    </row>
    <row r="46" spans="1:25" ht="15.6" x14ac:dyDescent="0.3">
      <c r="A46" s="1" t="s">
        <v>23</v>
      </c>
      <c r="B46" s="1">
        <v>60</v>
      </c>
      <c r="C46" s="12">
        <f>+'Flow rate'!E45</f>
        <v>72.034557000000007</v>
      </c>
      <c r="D46" s="1" t="s">
        <v>26</v>
      </c>
      <c r="E46" s="1" t="s">
        <v>27</v>
      </c>
      <c r="F46" s="1" t="s">
        <v>24</v>
      </c>
      <c r="G46" s="1">
        <v>-3.1</v>
      </c>
      <c r="H46" s="15">
        <v>45449.346261574072</v>
      </c>
      <c r="I46" s="2">
        <f t="shared" si="7"/>
        <v>14.610277777654119</v>
      </c>
      <c r="J46" s="20">
        <v>15.278720103776939</v>
      </c>
      <c r="K46" s="20">
        <v>14.914870962044535</v>
      </c>
      <c r="L46" s="20">
        <v>73.840949044132913</v>
      </c>
      <c r="N46" s="20">
        <v>0.15498336885407735</v>
      </c>
      <c r="O46" s="20">
        <v>0.12023779084857028</v>
      </c>
      <c r="P46" s="3">
        <f t="shared" si="8"/>
        <v>0.14647449977647883</v>
      </c>
      <c r="Q46" s="3">
        <f t="shared" si="9"/>
        <v>0.1429863397298673</v>
      </c>
      <c r="R46" s="3">
        <f t="shared" si="10"/>
        <v>0.70790066188764944</v>
      </c>
      <c r="S46" s="3">
        <f t="shared" si="11"/>
        <v>1.485799286352704E-3</v>
      </c>
      <c r="T46" s="4">
        <f t="shared" si="4"/>
        <v>0.45047790255002162</v>
      </c>
      <c r="U46" s="5">
        <f t="shared" si="5"/>
        <v>0.43975017162105978</v>
      </c>
      <c r="V46" s="14"/>
      <c r="W46" s="3">
        <f t="shared" si="2"/>
        <v>0.89022807417108141</v>
      </c>
      <c r="X46" s="3">
        <f t="shared" si="6"/>
        <v>0.16804386417709233</v>
      </c>
      <c r="Y46">
        <f t="shared" ref="Y46" si="33">+SUM(K46:L46)</f>
        <v>88.755820006177444</v>
      </c>
    </row>
    <row r="47" spans="1:25" ht="15.6" x14ac:dyDescent="0.3">
      <c r="A47" s="1" t="s">
        <v>23</v>
      </c>
      <c r="B47" s="1">
        <v>60</v>
      </c>
      <c r="C47" s="12">
        <f>+'Flow rate'!E46</f>
        <v>71.595066000000003</v>
      </c>
      <c r="D47" s="1" t="s">
        <v>26</v>
      </c>
      <c r="E47" s="1" t="s">
        <v>27</v>
      </c>
      <c r="F47" s="1" t="s">
        <v>24</v>
      </c>
      <c r="G47" s="1">
        <v>-3.1</v>
      </c>
      <c r="H47" s="15">
        <v>45449.356678240743</v>
      </c>
      <c r="I47" s="2">
        <f t="shared" si="7"/>
        <v>14.860277777770534</v>
      </c>
      <c r="J47" s="20">
        <v>15.431841381292861</v>
      </c>
      <c r="K47" s="20">
        <v>15.052444544338089</v>
      </c>
      <c r="L47" s="20">
        <v>73.477456780143612</v>
      </c>
      <c r="N47" s="20">
        <v>0.15562473922886494</v>
      </c>
      <c r="O47" s="20">
        <v>0.11899356886244766</v>
      </c>
      <c r="P47" s="3">
        <f t="shared" si="8"/>
        <v>0.14804662433716451</v>
      </c>
      <c r="Q47" s="3">
        <f t="shared" si="9"/>
        <v>0.14440684995071693</v>
      </c>
      <c r="R47" s="3">
        <f t="shared" si="10"/>
        <v>0.70491195265699458</v>
      </c>
      <c r="S47" s="3">
        <f t="shared" si="11"/>
        <v>1.4929985824060302E-3</v>
      </c>
      <c r="T47" s="4">
        <f t="shared" si="4"/>
        <v>0.45253500840316152</v>
      </c>
      <c r="U47" s="5">
        <f t="shared" si="5"/>
        <v>0.44140928811111707</v>
      </c>
      <c r="V47" s="14"/>
      <c r="W47" s="3">
        <f t="shared" si="2"/>
        <v>0.89394429651427854</v>
      </c>
      <c r="X47" s="3">
        <f t="shared" si="6"/>
        <v>0.1700266725608057</v>
      </c>
    </row>
    <row r="48" spans="1:25" ht="15.6" x14ac:dyDescent="0.3">
      <c r="A48" s="1" t="s">
        <v>23</v>
      </c>
      <c r="B48" s="1">
        <v>60</v>
      </c>
      <c r="C48" s="12">
        <f>+'Flow rate'!E47</f>
        <v>71.041630999999995</v>
      </c>
      <c r="D48" s="1" t="s">
        <v>26</v>
      </c>
      <c r="E48" s="1" t="s">
        <v>27</v>
      </c>
      <c r="F48" s="1" t="s">
        <v>24</v>
      </c>
      <c r="G48" s="1">
        <v>-3.1</v>
      </c>
      <c r="H48" s="15">
        <v>45449.367106481484</v>
      </c>
      <c r="I48" s="2">
        <f t="shared" si="7"/>
        <v>15.110555555555038</v>
      </c>
      <c r="J48" s="20">
        <v>15.456852296023696</v>
      </c>
      <c r="K48" s="20">
        <v>15.207110699427259</v>
      </c>
      <c r="L48" s="20">
        <v>73.214012999021179</v>
      </c>
      <c r="N48" s="20">
        <v>0.15261336632427347</v>
      </c>
      <c r="O48" s="20">
        <v>0.11902775979224017</v>
      </c>
      <c r="P48" s="3">
        <f t="shared" si="8"/>
        <v>0.14841007315588231</v>
      </c>
      <c r="Q48" s="3">
        <f t="shared" si="9"/>
        <v>0.14601216134880121</v>
      </c>
      <c r="R48" s="3">
        <f t="shared" si="10"/>
        <v>0.70296958378878172</v>
      </c>
      <c r="S48" s="3">
        <f t="shared" si="11"/>
        <v>1.4653281552400861E-3</v>
      </c>
      <c r="T48" s="4">
        <f t="shared" si="4"/>
        <v>0.45013924872301037</v>
      </c>
      <c r="U48" s="5">
        <f t="shared" si="5"/>
        <v>0.44286619645377673</v>
      </c>
      <c r="V48" s="14"/>
      <c r="W48" s="3">
        <f t="shared" si="2"/>
        <v>0.89300544517678704</v>
      </c>
      <c r="X48" s="3">
        <f t="shared" si="6"/>
        <v>0.171985042299277</v>
      </c>
      <c r="Y48">
        <f t="shared" ref="Y48" si="34">+SUM(K48:L48)</f>
        <v>88.42112369844844</v>
      </c>
    </row>
    <row r="49" spans="1:36" ht="15.6" x14ac:dyDescent="0.3">
      <c r="A49" s="1" t="s">
        <v>23</v>
      </c>
      <c r="B49" s="1">
        <v>60</v>
      </c>
      <c r="C49" s="12">
        <f>+'Flow rate'!E48</f>
        <v>71.250082000000006</v>
      </c>
      <c r="D49" s="1" t="s">
        <v>26</v>
      </c>
      <c r="E49" s="1" t="s">
        <v>27</v>
      </c>
      <c r="F49" s="1" t="s">
        <v>24</v>
      </c>
      <c r="G49" s="1">
        <v>-3.1</v>
      </c>
      <c r="H49" s="15">
        <v>45449.377546296295</v>
      </c>
      <c r="I49" s="2">
        <f t="shared" si="7"/>
        <v>15.361111111007631</v>
      </c>
      <c r="J49" s="20">
        <v>15.518662806195064</v>
      </c>
      <c r="K49" s="20">
        <v>15.218761589519927</v>
      </c>
      <c r="L49" s="20">
        <v>73.053888439189393</v>
      </c>
      <c r="N49" s="20">
        <v>0.14797558624410548</v>
      </c>
      <c r="O49" s="20">
        <v>0.1158559533719079</v>
      </c>
      <c r="P49" s="3">
        <f t="shared" si="8"/>
        <v>0.14913883306277997</v>
      </c>
      <c r="Q49" s="3">
        <f t="shared" si="9"/>
        <v>0.14625669572610281</v>
      </c>
      <c r="R49" s="3">
        <f t="shared" si="10"/>
        <v>0.70206897389186496</v>
      </c>
      <c r="S49" s="3">
        <f t="shared" si="11"/>
        <v>1.4220881354169716E-3</v>
      </c>
      <c r="T49" s="4">
        <f t="shared" si="4"/>
        <v>0.45367692238664803</v>
      </c>
      <c r="U49" s="5">
        <f t="shared" si="5"/>
        <v>0.44490952646469578</v>
      </c>
      <c r="V49" s="14"/>
      <c r="W49" s="3">
        <f t="shared" si="2"/>
        <v>0.89858644885134376</v>
      </c>
      <c r="X49" s="3">
        <f t="shared" si="6"/>
        <v>0.17240630687500894</v>
      </c>
    </row>
    <row r="50" spans="1:36" ht="15.6" x14ac:dyDescent="0.3">
      <c r="A50" s="1" t="s">
        <v>23</v>
      </c>
      <c r="B50" s="1">
        <v>60</v>
      </c>
      <c r="C50" s="12">
        <f>+'Flow rate'!E49</f>
        <v>70.640101999999999</v>
      </c>
      <c r="D50" s="1" t="s">
        <v>26</v>
      </c>
      <c r="E50" s="1" t="s">
        <v>27</v>
      </c>
      <c r="F50" s="1" t="s">
        <v>24</v>
      </c>
      <c r="G50" s="1">
        <v>-3.1</v>
      </c>
      <c r="H50" s="15">
        <v>45449.387974537036</v>
      </c>
      <c r="I50" s="2">
        <f t="shared" si="7"/>
        <v>15.611388888792135</v>
      </c>
      <c r="J50" s="20">
        <v>15.661130389737894</v>
      </c>
      <c r="K50" s="20">
        <v>15.153426723820495</v>
      </c>
      <c r="L50" s="20">
        <v>73.011872969818867</v>
      </c>
      <c r="N50" s="20">
        <v>0.14958781704116728</v>
      </c>
      <c r="O50" s="20">
        <v>0.11945420967680992</v>
      </c>
      <c r="P50" s="3">
        <f t="shared" si="8"/>
        <v>0.1504496792442048</v>
      </c>
      <c r="Q50" s="3">
        <f t="shared" si="9"/>
        <v>0.14557239058192337</v>
      </c>
      <c r="R50" s="3">
        <f t="shared" si="10"/>
        <v>0.70139336024720467</v>
      </c>
      <c r="S50" s="3">
        <f t="shared" si="11"/>
        <v>1.4370252039681193E-3</v>
      </c>
      <c r="T50" s="4">
        <f t="shared" si="4"/>
        <v>0.45374636915376915</v>
      </c>
      <c r="U50" s="5">
        <f t="shared" si="5"/>
        <v>0.43903678630226384</v>
      </c>
      <c r="V50" s="14"/>
      <c r="W50" s="3">
        <f t="shared" si="2"/>
        <v>0.89278315545603304</v>
      </c>
      <c r="X50" s="3">
        <f t="shared" si="6"/>
        <v>0.17187517965090898</v>
      </c>
      <c r="Y50">
        <f t="shared" ref="Y50" si="35">+SUM(K50:L50)</f>
        <v>88.165299693639355</v>
      </c>
    </row>
    <row r="51" spans="1:36" ht="15.6" x14ac:dyDescent="0.3">
      <c r="A51" s="1" t="s">
        <v>23</v>
      </c>
      <c r="B51" s="1">
        <v>60</v>
      </c>
      <c r="C51" s="12">
        <f>+'Flow rate'!E50</f>
        <v>70.883534999999995</v>
      </c>
      <c r="D51" s="1" t="s">
        <v>26</v>
      </c>
      <c r="E51" s="1" t="s">
        <v>27</v>
      </c>
      <c r="F51" s="1" t="s">
        <v>24</v>
      </c>
      <c r="G51" s="1">
        <v>-3.1</v>
      </c>
      <c r="H51" s="15">
        <v>45449.398402777777</v>
      </c>
      <c r="I51" s="2">
        <f t="shared" si="7"/>
        <v>15.861666666576639</v>
      </c>
      <c r="J51" s="21">
        <v>15.755492608684582</v>
      </c>
      <c r="K51" s="21">
        <v>15.141624685225901</v>
      </c>
      <c r="L51" s="21">
        <v>72.968640203832152</v>
      </c>
      <c r="N51" s="21">
        <v>0.14577670893549316</v>
      </c>
      <c r="O51" s="21">
        <v>1.4288638417508381E-3</v>
      </c>
      <c r="P51" s="3">
        <f t="shared" si="8"/>
        <v>0.15147624049516303</v>
      </c>
      <c r="Q51" s="3">
        <f t="shared" si="9"/>
        <v>0.14557439994243804</v>
      </c>
      <c r="R51" s="3">
        <f t="shared" si="10"/>
        <v>0.70153409776779507</v>
      </c>
      <c r="S51" s="3">
        <f t="shared" si="11"/>
        <v>1.4015244314947342E-3</v>
      </c>
      <c r="T51" s="4">
        <f t="shared" si="4"/>
        <v>0.45841673615114953</v>
      </c>
      <c r="U51" s="5">
        <f t="shared" si="5"/>
        <v>0.44055583285291189</v>
      </c>
      <c r="V51" s="14"/>
      <c r="W51" s="3">
        <f t="shared" si="2"/>
        <v>0.89897256900406142</v>
      </c>
      <c r="X51" s="3">
        <f t="shared" si="6"/>
        <v>0.17184858885955134</v>
      </c>
    </row>
    <row r="52" spans="1:36" x14ac:dyDescent="0.3">
      <c r="A52" s="1"/>
      <c r="B52" s="1"/>
      <c r="C52" s="12"/>
      <c r="D52" s="1"/>
      <c r="E52" s="1"/>
      <c r="F52" s="1"/>
      <c r="G52" s="1"/>
      <c r="H52" s="15"/>
      <c r="I52" s="2"/>
      <c r="J52" s="13"/>
      <c r="K52" s="1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6" x14ac:dyDescent="0.3">
      <c r="A53" s="1"/>
      <c r="B53" s="1"/>
      <c r="C53" s="12"/>
      <c r="D53" s="1"/>
      <c r="E53" s="1"/>
      <c r="F53" s="1"/>
      <c r="G53" s="1"/>
      <c r="H53" s="15"/>
      <c r="I53" s="2"/>
      <c r="J53" s="13"/>
      <c r="K53" s="1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3">
      <c r="A54" s="1"/>
      <c r="B54" s="1"/>
      <c r="C54" s="12"/>
      <c r="D54" s="1"/>
      <c r="E54" s="1"/>
      <c r="F54" s="1"/>
      <c r="G54" s="1"/>
      <c r="H54" s="15"/>
      <c r="I54" s="2"/>
      <c r="J54" s="13"/>
      <c r="K54" s="1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3">
      <c r="A55" s="1"/>
      <c r="B55" s="1"/>
      <c r="C55" s="12"/>
      <c r="D55" s="1"/>
      <c r="E55" s="1"/>
      <c r="F55" s="1"/>
      <c r="G55" s="1"/>
      <c r="H55" s="15"/>
      <c r="I55" s="2"/>
      <c r="J55" s="13"/>
      <c r="K55" s="1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x14ac:dyDescent="0.3">
      <c r="A56" s="1"/>
      <c r="B56" s="1"/>
      <c r="C56" s="12"/>
      <c r="D56" s="1"/>
      <c r="E56" s="1"/>
      <c r="F56" s="1"/>
      <c r="G56" s="1"/>
      <c r="H56" s="15"/>
      <c r="I56" s="2"/>
      <c r="J56" s="13"/>
      <c r="K56" s="1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x14ac:dyDescent="0.3">
      <c r="A57" s="1"/>
      <c r="B57" s="1"/>
      <c r="C57" s="12"/>
      <c r="D57" s="1"/>
      <c r="E57" s="1"/>
      <c r="F57" s="1"/>
      <c r="G57" s="1"/>
      <c r="H57" s="15"/>
      <c r="I57" s="2"/>
      <c r="J57" s="13"/>
      <c r="K57" s="1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x14ac:dyDescent="0.3">
      <c r="A58" s="1"/>
      <c r="B58" s="1"/>
      <c r="C58" s="12"/>
      <c r="D58" s="1"/>
      <c r="E58" s="1"/>
      <c r="F58" s="1"/>
      <c r="G58" s="1"/>
      <c r="H58" s="15"/>
      <c r="I58" s="2"/>
      <c r="J58" s="13"/>
      <c r="K58" s="1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x14ac:dyDescent="0.3">
      <c r="A59" s="1"/>
      <c r="B59" s="1"/>
      <c r="C59" s="12"/>
      <c r="D59" s="1"/>
      <c r="E59" s="1"/>
      <c r="F59" s="1"/>
      <c r="G59" s="1"/>
      <c r="H59" s="15"/>
      <c r="I59" s="2"/>
      <c r="J59" s="13"/>
      <c r="K59" s="1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x14ac:dyDescent="0.3">
      <c r="A60" s="1"/>
      <c r="B60" s="1"/>
      <c r="C60" s="12"/>
      <c r="D60" s="1"/>
      <c r="E60" s="1"/>
      <c r="F60" s="1"/>
      <c r="G60" s="1"/>
      <c r="H60" s="15"/>
      <c r="I60" s="2"/>
      <c r="J60" s="13"/>
      <c r="K60" s="1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x14ac:dyDescent="0.3">
      <c r="A61" s="1"/>
      <c r="B61" s="1"/>
      <c r="C61" s="12"/>
      <c r="D61" s="1"/>
      <c r="E61" s="1"/>
      <c r="F61" s="1"/>
      <c r="G61" s="1"/>
      <c r="H61" s="15"/>
      <c r="I61" s="2"/>
      <c r="J61" s="13"/>
      <c r="K61" s="1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x14ac:dyDescent="0.3">
      <c r="A62" s="1"/>
      <c r="B62" s="1"/>
      <c r="C62" s="12"/>
      <c r="D62" s="1"/>
      <c r="E62" s="1"/>
      <c r="F62" s="1"/>
      <c r="G62" s="1"/>
      <c r="H62" s="15"/>
      <c r="I62" s="2"/>
      <c r="J62" s="13"/>
      <c r="K62" s="1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x14ac:dyDescent="0.3">
      <c r="A63" s="1"/>
      <c r="B63" s="1"/>
      <c r="C63" s="12"/>
      <c r="D63" s="1"/>
      <c r="E63" s="1"/>
      <c r="F63" s="1"/>
      <c r="G63" s="1"/>
      <c r="H63" s="15"/>
      <c r="I63" s="2"/>
      <c r="J63" s="13"/>
      <c r="K63" s="1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x14ac:dyDescent="0.3">
      <c r="A64" s="1"/>
      <c r="B64" s="1"/>
      <c r="C64" s="12"/>
      <c r="D64" s="1"/>
      <c r="E64" s="1"/>
      <c r="F64" s="1"/>
      <c r="G64" s="1"/>
      <c r="H64" s="15"/>
      <c r="I64" s="2"/>
      <c r="J64" s="13"/>
      <c r="K64" s="1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x14ac:dyDescent="0.3">
      <c r="A65" s="1"/>
      <c r="B65" s="1"/>
      <c r="C65" s="12"/>
      <c r="D65" s="1"/>
      <c r="E65" s="1"/>
      <c r="F65" s="1"/>
      <c r="G65" s="1"/>
      <c r="H65" s="15"/>
      <c r="I65" s="2"/>
      <c r="J65" s="13"/>
      <c r="K65" s="1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x14ac:dyDescent="0.3">
      <c r="A66" s="1"/>
      <c r="B66" s="1"/>
      <c r="C66" s="12"/>
      <c r="D66" s="1"/>
      <c r="E66" s="1"/>
      <c r="F66" s="1"/>
      <c r="G66" s="1"/>
      <c r="H66" s="15"/>
      <c r="I66" s="2"/>
      <c r="J66" s="13"/>
      <c r="K66" s="13"/>
      <c r="P66" s="3"/>
      <c r="Q66" s="3"/>
      <c r="R66" s="3"/>
      <c r="U66" s="3"/>
      <c r="V66" s="3"/>
      <c r="W66" s="3"/>
      <c r="X6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2802-2AA4-4A4D-92CE-FC0DA1908E2E}">
  <dimension ref="A1:E3178"/>
  <sheetViews>
    <sheetView topLeftCell="A40" zoomScale="85" zoomScaleNormal="85" workbookViewId="0">
      <selection activeCell="H40" sqref="H40"/>
    </sheetView>
  </sheetViews>
  <sheetFormatPr defaultRowHeight="14.4" x14ac:dyDescent="0.3"/>
  <cols>
    <col min="1" max="1" width="18.109375" style="16" bestFit="1" customWidth="1"/>
    <col min="3" max="3" width="14.33203125" customWidth="1"/>
    <col min="4" max="4" width="17.5546875" customWidth="1"/>
    <col min="5" max="5" width="12.44140625" customWidth="1"/>
  </cols>
  <sheetData>
    <row r="1" spans="1:5" x14ac:dyDescent="0.3">
      <c r="B1" s="17" t="s">
        <v>28</v>
      </c>
      <c r="C1" s="18">
        <f>+Sheet1!H2</f>
        <v>45448.737500000003</v>
      </c>
      <c r="D1" s="19">
        <f t="shared" ref="D1:D2" si="0">+C1-2/24</f>
        <v>45448.654166666667</v>
      </c>
      <c r="E1" cm="1">
        <f t="array" ref="E1">INDEX(B$2:B$224233, MATCH(D1,A$2:A$224233,1) +0)</f>
        <v>59.277917000000002</v>
      </c>
    </row>
    <row r="2" spans="1:5" x14ac:dyDescent="0.3">
      <c r="A2" s="16">
        <v>45448.333333000002</v>
      </c>
      <c r="B2" s="17">
        <v>0</v>
      </c>
      <c r="C2" s="18">
        <f>+Sheet1!H3</f>
        <v>45448.752129629633</v>
      </c>
      <c r="D2" s="19">
        <f t="shared" si="0"/>
        <v>45448.668796296297</v>
      </c>
      <c r="E2" cm="1">
        <f t="array" ref="E2">INDEX(B$1:B$224233, MATCH(D2,A$1:A$224233,1) +0)</f>
        <v>61.242460000000001</v>
      </c>
    </row>
    <row r="3" spans="1:5" x14ac:dyDescent="0.3">
      <c r="A3" s="16">
        <v>45448.334027999997</v>
      </c>
      <c r="B3" s="17">
        <v>0</v>
      </c>
      <c r="C3" s="18">
        <f>+Sheet1!H4</f>
        <v>45448.767777777779</v>
      </c>
      <c r="D3" s="19">
        <f t="shared" ref="D3:D50" si="1">+C3-2/24</f>
        <v>45448.684444444443</v>
      </c>
      <c r="E3" cm="1">
        <f t="array" ref="E3">INDEX(B$1:B$224233, MATCH(D3,A$1:A$224233,1) +0)</f>
        <v>60.957707999999997</v>
      </c>
    </row>
    <row r="4" spans="1:5" x14ac:dyDescent="0.3">
      <c r="A4" s="16">
        <v>45448.334722</v>
      </c>
      <c r="B4" s="17">
        <v>0</v>
      </c>
      <c r="C4" s="18">
        <f>+Sheet1!H5</f>
        <v>45448.783402777779</v>
      </c>
      <c r="D4" s="19">
        <f t="shared" si="1"/>
        <v>45448.700069444443</v>
      </c>
      <c r="E4" cm="1">
        <f t="array" ref="E4">INDEX(B$1:B$224233, MATCH(D4,A$1:A$224233,1) +0)</f>
        <v>60.738387000000003</v>
      </c>
    </row>
    <row r="5" spans="1:5" x14ac:dyDescent="0.3">
      <c r="A5" s="16">
        <v>45448.335417000002</v>
      </c>
      <c r="B5" s="17">
        <v>50.216602000000002</v>
      </c>
      <c r="C5" s="18">
        <f>+Sheet1!H6</f>
        <v>45448.799027777779</v>
      </c>
      <c r="D5" s="19">
        <f t="shared" si="1"/>
        <v>45448.715694444443</v>
      </c>
      <c r="E5" cm="1">
        <f t="array" ref="E5">INDEX(B$1:B$224233, MATCH(D5,A$1:A$224233,1) +0)</f>
        <v>60.688119</v>
      </c>
    </row>
    <row r="6" spans="1:5" x14ac:dyDescent="0.3">
      <c r="A6" s="16">
        <v>45448.336110999997</v>
      </c>
      <c r="B6" s="17">
        <v>45.178412999999999</v>
      </c>
      <c r="C6" s="18">
        <f>+Sheet1!H7</f>
        <v>45448.814664351848</v>
      </c>
      <c r="D6" s="19">
        <f t="shared" si="1"/>
        <v>45448.731331018513</v>
      </c>
      <c r="E6" cm="1">
        <f t="array" ref="E6">INDEX(B$1:B$224233, MATCH(D6,A$1:A$224233,1) +0)</f>
        <v>60.732709999999997</v>
      </c>
    </row>
    <row r="7" spans="1:5" x14ac:dyDescent="0.3">
      <c r="A7" s="16">
        <v>45448.336805999999</v>
      </c>
      <c r="B7" s="17">
        <v>45.243844000000003</v>
      </c>
      <c r="C7" s="18">
        <f>+Sheet1!H8</f>
        <v>45448.830312500002</v>
      </c>
      <c r="D7" s="19">
        <f t="shared" si="1"/>
        <v>45448.746979166666</v>
      </c>
      <c r="E7" cm="1">
        <f t="array" ref="E7">INDEX(B$1:B$224233, MATCH(D7,A$1:A$224233,1) +0)</f>
        <v>61.529209999999999</v>
      </c>
    </row>
    <row r="8" spans="1:5" x14ac:dyDescent="0.3">
      <c r="A8" s="16">
        <v>45448.337500000001</v>
      </c>
      <c r="B8" s="17">
        <v>45.211950999999999</v>
      </c>
      <c r="C8" s="18">
        <f>+Sheet1!H9</f>
        <v>45448.85324074074</v>
      </c>
      <c r="D8" s="19">
        <f t="shared" si="1"/>
        <v>45448.769907407404</v>
      </c>
      <c r="E8" cm="1">
        <f t="array" ref="E8">INDEX(B$1:B$224233, MATCH(D8,A$1:A$224233,1) +0)</f>
        <v>61.289701000000001</v>
      </c>
    </row>
    <row r="9" spans="1:5" x14ac:dyDescent="0.3">
      <c r="A9" s="16">
        <v>45448.338194000004</v>
      </c>
      <c r="B9" s="17">
        <v>45.475009999999997</v>
      </c>
      <c r="C9" s="18">
        <f>+Sheet1!H10</f>
        <v>45448.868877314817</v>
      </c>
      <c r="D9" s="19">
        <f t="shared" si="1"/>
        <v>45448.785543981481</v>
      </c>
      <c r="E9" cm="1">
        <f t="array" ref="E9">INDEX(B$1:B$224233, MATCH(D9,A$1:A$224233,1) +0)</f>
        <v>61.218076000000003</v>
      </c>
    </row>
    <row r="10" spans="1:5" x14ac:dyDescent="0.3">
      <c r="A10" s="16">
        <v>45448.338888999999</v>
      </c>
      <c r="B10" s="17">
        <v>46.001804</v>
      </c>
      <c r="C10" s="18">
        <f>+Sheet1!H11</f>
        <v>45448.884502314817</v>
      </c>
      <c r="D10" s="19">
        <f t="shared" si="1"/>
        <v>45448.801168981481</v>
      </c>
      <c r="E10" cm="1">
        <f t="array" ref="E10">INDEX(B$1:B$224233, MATCH(D10,A$1:A$224233,1) +0)</f>
        <v>61.038254999999999</v>
      </c>
    </row>
    <row r="11" spans="1:5" x14ac:dyDescent="0.3">
      <c r="A11" s="16">
        <v>45448.339583000001</v>
      </c>
      <c r="B11" s="17">
        <v>45.940373999999998</v>
      </c>
      <c r="C11" s="18">
        <f>+Sheet1!H12</f>
        <v>45448.900150462963</v>
      </c>
      <c r="D11" s="19">
        <f t="shared" si="1"/>
        <v>45448.816817129627</v>
      </c>
      <c r="E11" cm="1">
        <f t="array" ref="E11">INDEX(B$1:B$224233, MATCH(D11,A$1:A$224233,1) +0)</f>
        <v>60.891734</v>
      </c>
    </row>
    <row r="12" spans="1:5" x14ac:dyDescent="0.3">
      <c r="A12" s="16">
        <v>45448.340278000003</v>
      </c>
      <c r="B12" s="17">
        <v>46.591363000000001</v>
      </c>
      <c r="C12" s="18">
        <f>+Sheet1!H13</f>
        <v>45448.915798611109</v>
      </c>
      <c r="D12" s="19">
        <f t="shared" si="1"/>
        <v>45448.832465277774</v>
      </c>
      <c r="E12" cm="1">
        <f t="array" ref="E12">INDEX(B$1:B$224233, MATCH(D12,A$1:A$224233,1) +0)</f>
        <v>60.311318999999997</v>
      </c>
    </row>
    <row r="13" spans="1:5" x14ac:dyDescent="0.3">
      <c r="A13" s="16">
        <v>45448.340971999998</v>
      </c>
      <c r="B13" s="17">
        <v>46.503771999999998</v>
      </c>
      <c r="C13" s="18">
        <f>+Sheet1!H14</f>
        <v>45448.938726851855</v>
      </c>
      <c r="D13" s="19">
        <f t="shared" si="1"/>
        <v>45448.855393518519</v>
      </c>
      <c r="E13" cm="1">
        <f t="array" ref="E13">INDEX(B$1:B$224233, MATCH(D13,A$1:A$224233,1) +0)</f>
        <v>60.072664000000003</v>
      </c>
    </row>
    <row r="14" spans="1:5" x14ac:dyDescent="0.3">
      <c r="A14" s="16">
        <v>45448.341667000001</v>
      </c>
      <c r="B14" s="17">
        <v>46.902011000000002</v>
      </c>
      <c r="C14" s="18">
        <f>+Sheet1!H15</f>
        <v>45448.949155092596</v>
      </c>
      <c r="D14" s="19">
        <f t="shared" si="1"/>
        <v>45448.86582175926</v>
      </c>
      <c r="E14" cm="1">
        <f t="array" ref="E14">INDEX(B$1:B$224233, MATCH(D14,A$1:A$224233,1) +0)</f>
        <v>60.330770999999999</v>
      </c>
    </row>
    <row r="15" spans="1:5" x14ac:dyDescent="0.3">
      <c r="A15" s="16">
        <v>45448.342361000003</v>
      </c>
      <c r="B15" s="17">
        <v>46.557693</v>
      </c>
      <c r="C15" s="18">
        <f>+Sheet1!H16</f>
        <v>45448.959583333337</v>
      </c>
      <c r="D15" s="19">
        <f t="shared" si="1"/>
        <v>45448.876250000001</v>
      </c>
      <c r="E15" cm="1">
        <f t="array" ref="E15">INDEX(B$1:B$224233, MATCH(D15,A$1:A$224233,1) +0)</f>
        <v>60.445833999999998</v>
      </c>
    </row>
    <row r="16" spans="1:5" x14ac:dyDescent="0.3">
      <c r="A16" s="16">
        <v>45448.343055999998</v>
      </c>
      <c r="B16" s="17">
        <v>47.609102999999998</v>
      </c>
      <c r="C16" s="18">
        <f>+Sheet1!H17</f>
        <v>45448.97</v>
      </c>
      <c r="D16" s="19">
        <f t="shared" si="1"/>
        <v>45448.886666666665</v>
      </c>
      <c r="E16" cm="1">
        <f t="array" ref="E16">INDEX(B$1:B$224233, MATCH(D16,A$1:A$224233,1) +0)</f>
        <v>60.061503999999999</v>
      </c>
    </row>
    <row r="17" spans="1:5" x14ac:dyDescent="0.3">
      <c r="A17" s="16">
        <v>45448.34375</v>
      </c>
      <c r="B17" s="17">
        <v>47.449601000000001</v>
      </c>
      <c r="C17" s="18">
        <f>+Sheet1!H18</f>
        <v>45448.985613425924</v>
      </c>
      <c r="D17" s="19">
        <f t="shared" si="1"/>
        <v>45448.902280092589</v>
      </c>
      <c r="E17" cm="1">
        <f t="array" ref="E17">INDEX(B$1:B$224233, MATCH(D17,A$1:A$224233,1) +0)</f>
        <v>60.333343999999997</v>
      </c>
    </row>
    <row r="18" spans="1:5" x14ac:dyDescent="0.3">
      <c r="A18" s="16">
        <v>45448.344444000002</v>
      </c>
      <c r="B18" s="17">
        <v>47.282009000000002</v>
      </c>
      <c r="C18" s="18">
        <f>+Sheet1!H19</f>
        <v>45448.996053240742</v>
      </c>
      <c r="D18" s="19">
        <f t="shared" si="1"/>
        <v>45448.912719907406</v>
      </c>
      <c r="E18" cm="1">
        <f t="array" ref="E18">INDEX(B$1:B$224233, MATCH(D18,A$1:A$224233,1) +0)</f>
        <v>60.788426999999999</v>
      </c>
    </row>
    <row r="19" spans="1:5" x14ac:dyDescent="0.3">
      <c r="A19" s="16">
        <v>45448.345138999997</v>
      </c>
      <c r="B19" s="17">
        <v>47.697017000000002</v>
      </c>
      <c r="C19" s="18">
        <f>+Sheet1!H20</f>
        <v>45449.006469907406</v>
      </c>
      <c r="D19" s="19">
        <f t="shared" si="1"/>
        <v>45448.923136574071</v>
      </c>
      <c r="E19" cm="1">
        <f t="array" ref="E19">INDEX(B$1:B$224233, MATCH(D19,A$1:A$224233,1) +0)</f>
        <v>60.706819000000003</v>
      </c>
    </row>
    <row r="20" spans="1:5" x14ac:dyDescent="0.3">
      <c r="A20" s="16">
        <v>45448.345832999999</v>
      </c>
      <c r="B20" s="17">
        <v>48.060116000000001</v>
      </c>
      <c r="C20" s="18">
        <f>+Sheet1!H21</f>
        <v>45449.022106481483</v>
      </c>
      <c r="D20" s="19">
        <f t="shared" si="1"/>
        <v>45448.938773148147</v>
      </c>
      <c r="E20" cm="1">
        <f t="array" ref="E20">INDEX(B$1:B$224233, MATCH(D20,A$1:A$224233,1) +0)</f>
        <v>60.438144999999999</v>
      </c>
    </row>
    <row r="21" spans="1:5" x14ac:dyDescent="0.3">
      <c r="A21" s="16">
        <v>45448.346528000002</v>
      </c>
      <c r="B21" s="17">
        <v>48.426870999999998</v>
      </c>
      <c r="C21" s="18">
        <f>+Sheet1!H22</f>
        <v>45449.032546296294</v>
      </c>
      <c r="D21" s="19">
        <f t="shared" si="1"/>
        <v>45448.949212962958</v>
      </c>
      <c r="E21" cm="1">
        <f t="array" ref="E21">INDEX(B$1:B$224233, MATCH(D21,A$1:A$224233,1) +0)</f>
        <v>60.545195</v>
      </c>
    </row>
    <row r="22" spans="1:5" x14ac:dyDescent="0.3">
      <c r="A22" s="16">
        <v>45448.347221999997</v>
      </c>
      <c r="B22" s="17">
        <v>48.407020000000003</v>
      </c>
      <c r="C22" s="18">
        <f>+Sheet1!H23</f>
        <v>45449.042951388888</v>
      </c>
      <c r="D22" s="19">
        <f t="shared" si="1"/>
        <v>45448.959618055553</v>
      </c>
      <c r="E22" cm="1">
        <f t="array" ref="E22">INDEX(B$1:B$224233, MATCH(D22,A$1:A$224233,1) +0)</f>
        <v>60.735630999999998</v>
      </c>
    </row>
    <row r="23" spans="1:5" x14ac:dyDescent="0.3">
      <c r="A23" s="16">
        <v>45448.347916999999</v>
      </c>
      <c r="B23" s="17">
        <v>48.466698000000001</v>
      </c>
      <c r="C23" s="18">
        <f>+Sheet1!H24</f>
        <v>45449.065879629627</v>
      </c>
      <c r="D23" s="19">
        <f t="shared" si="1"/>
        <v>45448.982546296291</v>
      </c>
      <c r="E23" cm="1">
        <f t="array" ref="E23">INDEX(B$1:B$224233, MATCH(D23,A$1:A$224233,1) +0)</f>
        <v>60.234050000000003</v>
      </c>
    </row>
    <row r="24" spans="1:5" x14ac:dyDescent="0.3">
      <c r="A24" s="16">
        <v>45448.348611000001</v>
      </c>
      <c r="B24" s="17">
        <v>48.758558000000001</v>
      </c>
      <c r="C24" s="18">
        <f>+Sheet1!H25</f>
        <v>45449.076319444444</v>
      </c>
      <c r="D24" s="19">
        <f t="shared" si="1"/>
        <v>45448.992986111109</v>
      </c>
      <c r="E24" cm="1">
        <f t="array" ref="E24">INDEX(B$1:B$224233, MATCH(D24,A$1:A$224233,1) +0)</f>
        <v>60.988202000000001</v>
      </c>
    </row>
    <row r="25" spans="1:5" x14ac:dyDescent="0.3">
      <c r="A25" s="16">
        <v>45448.349305999996</v>
      </c>
      <c r="B25" s="17">
        <v>48.703646999999997</v>
      </c>
      <c r="C25" s="18">
        <f>+Sheet1!H26</f>
        <v>45449.086736111109</v>
      </c>
      <c r="D25" s="19">
        <f t="shared" si="1"/>
        <v>45449.003402777773</v>
      </c>
      <c r="E25" cm="1">
        <f t="array" ref="E25">INDEX(B$1:B$224233, MATCH(D25,A$1:A$224233,1) +0)</f>
        <v>61.153027999999999</v>
      </c>
    </row>
    <row r="26" spans="1:5" x14ac:dyDescent="0.3">
      <c r="A26" s="16">
        <v>45448.35</v>
      </c>
      <c r="B26" s="17">
        <v>48.719369999999998</v>
      </c>
      <c r="C26" s="18">
        <f>+Sheet1!H27</f>
        <v>45449.102384259262</v>
      </c>
      <c r="D26" s="19">
        <f t="shared" si="1"/>
        <v>45449.019050925926</v>
      </c>
      <c r="E26" cm="1">
        <f t="array" ref="E26">INDEX(B$1:B$224233, MATCH(D26,A$1:A$224233,1) +0)</f>
        <v>60.377828999999998</v>
      </c>
    </row>
    <row r="27" spans="1:5" x14ac:dyDescent="0.3">
      <c r="A27" s="16">
        <v>45448.350694000001</v>
      </c>
      <c r="B27" s="17">
        <v>49.219614999999997</v>
      </c>
      <c r="C27" s="18">
        <f>+Sheet1!H28</f>
        <v>45449.112812500003</v>
      </c>
      <c r="D27" s="19">
        <f t="shared" si="1"/>
        <v>45449.029479166667</v>
      </c>
      <c r="E27" cm="1">
        <f t="array" ref="E27">INDEX(B$1:B$224233, MATCH(D27,A$1:A$224233,1) +0)</f>
        <v>60.635337</v>
      </c>
    </row>
    <row r="28" spans="1:5" x14ac:dyDescent="0.3">
      <c r="A28" s="16">
        <v>45448.351389000003</v>
      </c>
      <c r="B28" s="17">
        <v>48.912590999999999</v>
      </c>
      <c r="C28" s="18">
        <f>+Sheet1!H29</f>
        <v>45449.123229166667</v>
      </c>
      <c r="D28" s="19">
        <f t="shared" si="1"/>
        <v>45449.039895833332</v>
      </c>
      <c r="E28" cm="1">
        <f t="array" ref="E28">INDEX(B$1:B$224233, MATCH(D28,A$1:A$224233,1) +0)</f>
        <v>60.762791999999997</v>
      </c>
    </row>
    <row r="29" spans="1:5" x14ac:dyDescent="0.3">
      <c r="A29" s="16">
        <v>45448.352082999998</v>
      </c>
      <c r="B29" s="17">
        <v>49.400542000000002</v>
      </c>
      <c r="C29" s="18">
        <f>+Sheet1!H30</f>
        <v>45449.138877314814</v>
      </c>
      <c r="D29" s="19">
        <f t="shared" si="1"/>
        <v>45449.055543981478</v>
      </c>
      <c r="E29" cm="1">
        <f t="array" ref="E29">INDEX(B$1:B$224233, MATCH(D29,A$1:A$224233,1) +0)</f>
        <v>60.470739000000002</v>
      </c>
    </row>
    <row r="30" spans="1:5" x14ac:dyDescent="0.3">
      <c r="A30" s="16">
        <v>45448.352778</v>
      </c>
      <c r="B30" s="17">
        <v>49.483843</v>
      </c>
      <c r="C30" s="18">
        <f>+Sheet1!H31</f>
        <v>45449.149305555555</v>
      </c>
      <c r="D30" s="19">
        <f t="shared" si="1"/>
        <v>45449.065972222219</v>
      </c>
      <c r="E30" cm="1">
        <f t="array" ref="E30">INDEX(B$1:B$224233, MATCH(D30,A$1:A$224233,1) +0)</f>
        <v>60.397334000000001</v>
      </c>
    </row>
    <row r="31" spans="1:5" x14ac:dyDescent="0.3">
      <c r="A31" s="16">
        <v>45448.353472000003</v>
      </c>
      <c r="B31" s="17">
        <v>49.923124000000001</v>
      </c>
      <c r="C31" s="18">
        <f>+Sheet1!H32</f>
        <v>45449.159733796296</v>
      </c>
      <c r="D31" s="19">
        <f t="shared" si="1"/>
        <v>45449.07640046296</v>
      </c>
      <c r="E31" cm="1">
        <f t="array" ref="E31">INDEX(B$1:B$224233, MATCH(D31,A$1:A$224233,1) +0)</f>
        <v>62.155394999999999</v>
      </c>
    </row>
    <row r="32" spans="1:5" x14ac:dyDescent="0.3">
      <c r="A32" s="16">
        <v>45448.354166999998</v>
      </c>
      <c r="B32" s="17">
        <v>50.179639000000002</v>
      </c>
      <c r="C32" s="18">
        <f>+Sheet1!H33</f>
        <v>45449.182662037034</v>
      </c>
      <c r="D32" s="19">
        <f t="shared" si="1"/>
        <v>45449.099328703698</v>
      </c>
      <c r="E32" cm="1">
        <f t="array" ref="E32">INDEX(B$1:B$224233, MATCH(D32,A$1:A$224233,1) +0)</f>
        <v>61.906193999999999</v>
      </c>
    </row>
    <row r="33" spans="1:5" x14ac:dyDescent="0.3">
      <c r="A33" s="16">
        <v>45448.354861</v>
      </c>
      <c r="B33" s="17">
        <v>50.039307000000001</v>
      </c>
      <c r="C33" s="18">
        <f>+Sheet1!H34</f>
        <v>45449.193090277775</v>
      </c>
      <c r="D33" s="19">
        <f t="shared" si="1"/>
        <v>45449.109756944439</v>
      </c>
      <c r="E33" cm="1">
        <f t="array" ref="E33">INDEX(B$1:B$224233, MATCH(D33,A$1:A$224233,1) +0)</f>
        <v>61.814050999999999</v>
      </c>
    </row>
    <row r="34" spans="1:5" x14ac:dyDescent="0.3">
      <c r="A34" s="16">
        <v>45448.355556000002</v>
      </c>
      <c r="B34" s="17">
        <v>50.379579999999997</v>
      </c>
      <c r="C34" s="18">
        <f>+Sheet1!H35</f>
        <v>45449.203518518516</v>
      </c>
      <c r="D34" s="19">
        <f t="shared" si="1"/>
        <v>45449.12018518518</v>
      </c>
      <c r="E34" cm="1">
        <f t="array" ref="E34">INDEX(B$1:B$224233, MATCH(D34,A$1:A$224233,1) +0)</f>
        <v>61.537002999999999</v>
      </c>
    </row>
    <row r="35" spans="1:5" x14ac:dyDescent="0.3">
      <c r="A35" s="16">
        <v>45448.356249999997</v>
      </c>
      <c r="B35" s="17">
        <v>49.936374999999998</v>
      </c>
      <c r="C35" s="18">
        <f>+Sheet1!H36</f>
        <v>45449.219143518516</v>
      </c>
      <c r="D35" s="19">
        <f t="shared" si="1"/>
        <v>45449.13581018518</v>
      </c>
      <c r="E35" cm="1">
        <f t="array" ref="E35">INDEX(B$1:B$224233, MATCH(D35,A$1:A$224233,1) +0)</f>
        <v>60.983468999999999</v>
      </c>
    </row>
    <row r="36" spans="1:5" x14ac:dyDescent="0.3">
      <c r="A36" s="16">
        <v>45448.356943999999</v>
      </c>
      <c r="B36" s="17">
        <v>50.340763000000003</v>
      </c>
      <c r="C36" s="18">
        <f>+Sheet1!H37</f>
        <v>45449.229571759257</v>
      </c>
      <c r="D36" s="19">
        <f t="shared" si="1"/>
        <v>45449.146238425921</v>
      </c>
      <c r="E36" cm="1">
        <f t="array" ref="E36">INDEX(B$1:B$224233, MATCH(D36,A$1:A$224233,1) +0)</f>
        <v>60.910597000000003</v>
      </c>
    </row>
    <row r="37" spans="1:5" x14ac:dyDescent="0.3">
      <c r="A37" s="16">
        <v>45448.357639000002</v>
      </c>
      <c r="B37" s="17">
        <v>50.232976000000001</v>
      </c>
      <c r="C37" s="18">
        <f>+Sheet1!H38</f>
        <v>45449.239988425928</v>
      </c>
      <c r="D37" s="19">
        <f t="shared" si="1"/>
        <v>45449.156655092593</v>
      </c>
      <c r="E37" cm="1">
        <f t="array" ref="E37">INDEX(B$1:B$224233, MATCH(D37,A$1:A$224233,1) +0)</f>
        <v>65.144531999999998</v>
      </c>
    </row>
    <row r="38" spans="1:5" x14ac:dyDescent="0.3">
      <c r="A38" s="16">
        <v>45448.358332999996</v>
      </c>
      <c r="B38" s="17">
        <v>50.868836000000002</v>
      </c>
      <c r="C38" s="18">
        <f>+Sheet1!H39</f>
        <v>45449.255624999998</v>
      </c>
      <c r="D38" s="19">
        <f t="shared" si="1"/>
        <v>45449.172291666662</v>
      </c>
      <c r="E38" cm="1">
        <f t="array" ref="E38">INDEX(B$1:B$224233, MATCH(D38,A$1:A$224233,1) +0)</f>
        <v>64.515715</v>
      </c>
    </row>
    <row r="39" spans="1:5" x14ac:dyDescent="0.3">
      <c r="A39" s="16">
        <v>45448.359027999999</v>
      </c>
      <c r="B39" s="17">
        <v>50.536861999999999</v>
      </c>
      <c r="C39" s="18">
        <f>+Sheet1!H40</f>
        <v>45449.266030092593</v>
      </c>
      <c r="D39" s="19">
        <f t="shared" si="1"/>
        <v>45449.182696759257</v>
      </c>
      <c r="E39" cm="1">
        <f t="array" ref="E39">INDEX(B$1:B$224233, MATCH(D39,A$1:A$224233,1) +0)</f>
        <v>64.060586999999998</v>
      </c>
    </row>
    <row r="40" spans="1:5" x14ac:dyDescent="0.3">
      <c r="A40" s="16">
        <v>45448.359722000001</v>
      </c>
      <c r="B40" s="17">
        <v>50.645446</v>
      </c>
      <c r="C40" s="18">
        <f>+Sheet1!H41</f>
        <v>45449.276469907411</v>
      </c>
      <c r="D40" s="19">
        <f t="shared" si="1"/>
        <v>45449.193136574075</v>
      </c>
      <c r="E40" cm="1">
        <f t="array" ref="E40">INDEX(B$1:B$224233, MATCH(D40,A$1:A$224233,1) +0)</f>
        <v>63.898798999999997</v>
      </c>
    </row>
    <row r="41" spans="1:5" x14ac:dyDescent="0.3">
      <c r="A41" s="16">
        <v>45448.360417000004</v>
      </c>
      <c r="B41" s="17">
        <v>51.212364999999998</v>
      </c>
      <c r="C41" s="18">
        <f>+Sheet1!H42</f>
        <v>45449.299375000002</v>
      </c>
      <c r="D41" s="19">
        <f t="shared" si="1"/>
        <v>45449.216041666667</v>
      </c>
      <c r="E41" cm="1">
        <f t="array" ref="E41">INDEX(B$1:B$224233, MATCH(D41,A$1:A$224233,1) +0)</f>
        <v>63.430889999999998</v>
      </c>
    </row>
    <row r="42" spans="1:5" x14ac:dyDescent="0.3">
      <c r="A42" s="16">
        <v>45448.361110999998</v>
      </c>
      <c r="B42" s="17">
        <v>50.941454</v>
      </c>
      <c r="C42" s="18">
        <f>+Sheet1!H43</f>
        <v>45449.309791666667</v>
      </c>
      <c r="D42" s="19">
        <f t="shared" si="1"/>
        <v>45449.226458333331</v>
      </c>
      <c r="E42" cm="1">
        <f t="array" ref="E42">INDEX(B$1:B$224233, MATCH(D42,A$1:A$224233,1) +0)</f>
        <v>63.546058000000002</v>
      </c>
    </row>
    <row r="43" spans="1:5" x14ac:dyDescent="0.3">
      <c r="A43" s="16">
        <v>45448.361806000001</v>
      </c>
      <c r="B43" s="17">
        <v>51.499983999999998</v>
      </c>
      <c r="C43" s="18">
        <f>+Sheet1!H44</f>
        <v>45449.320208333331</v>
      </c>
      <c r="D43" s="19">
        <f t="shared" si="1"/>
        <v>45449.236874999995</v>
      </c>
      <c r="E43" cm="1">
        <f t="array" ref="E43">INDEX(B$1:B$224233, MATCH(D43,A$1:A$224233,1) +0)</f>
        <v>63.446126999999997</v>
      </c>
    </row>
    <row r="44" spans="1:5" x14ac:dyDescent="0.3">
      <c r="A44" s="16">
        <v>45448.362500000003</v>
      </c>
      <c r="B44" s="17">
        <v>51.387073000000001</v>
      </c>
      <c r="C44" s="18">
        <f>+Sheet1!H45</f>
        <v>45449.335833333331</v>
      </c>
      <c r="D44" s="19">
        <f t="shared" si="1"/>
        <v>45449.252499999995</v>
      </c>
      <c r="E44" cm="1">
        <f t="array" ref="E44">INDEX(B$1:B$224233, MATCH(D44,A$1:A$224233,1) +0)</f>
        <v>72.930069000000003</v>
      </c>
    </row>
    <row r="45" spans="1:5" x14ac:dyDescent="0.3">
      <c r="A45" s="16">
        <v>45448.363193999998</v>
      </c>
      <c r="B45" s="17">
        <v>51.616512999999998</v>
      </c>
      <c r="C45" s="18">
        <f>+Sheet1!H46</f>
        <v>45449.346261574072</v>
      </c>
      <c r="D45" s="19">
        <f t="shared" si="1"/>
        <v>45449.262928240736</v>
      </c>
      <c r="E45" cm="1">
        <f t="array" ref="E45">INDEX(B$1:B$224233, MATCH(D45,A$1:A$224233,1) +0)</f>
        <v>72.034557000000007</v>
      </c>
    </row>
    <row r="46" spans="1:5" x14ac:dyDescent="0.3">
      <c r="A46" s="16">
        <v>45448.363889</v>
      </c>
      <c r="B46" s="17">
        <v>51.698529000000001</v>
      </c>
      <c r="C46" s="18">
        <f>+Sheet1!H47</f>
        <v>45449.356678240743</v>
      </c>
      <c r="D46" s="19">
        <f t="shared" si="1"/>
        <v>45449.273344907408</v>
      </c>
      <c r="E46" cm="1">
        <f t="array" ref="E46">INDEX(B$1:B$224233, MATCH(D46,A$1:A$224233,1) +0)</f>
        <v>71.595066000000003</v>
      </c>
    </row>
    <row r="47" spans="1:5" x14ac:dyDescent="0.3">
      <c r="A47" s="16">
        <v>45448.364583000002</v>
      </c>
      <c r="B47" s="17">
        <v>51.798442000000001</v>
      </c>
      <c r="C47" s="18">
        <f>+Sheet1!H48</f>
        <v>45449.367106481484</v>
      </c>
      <c r="D47" s="19">
        <f t="shared" si="1"/>
        <v>45449.283773148149</v>
      </c>
      <c r="E47" cm="1">
        <f t="array" ref="E47">INDEX(B$1:B$224233, MATCH(D47,A$1:A$224233,1) +0)</f>
        <v>71.041630999999995</v>
      </c>
    </row>
    <row r="48" spans="1:5" x14ac:dyDescent="0.3">
      <c r="A48" s="16">
        <v>45448.365277999997</v>
      </c>
      <c r="B48" s="17">
        <v>52.282093000000003</v>
      </c>
      <c r="C48" s="18">
        <f>+Sheet1!H49</f>
        <v>45449.377546296295</v>
      </c>
      <c r="D48" s="19">
        <f t="shared" si="1"/>
        <v>45449.294212962959</v>
      </c>
      <c r="E48" cm="1">
        <f t="array" ref="E48">INDEX(B$1:B$224233, MATCH(D48,A$1:A$224233,1) +0)</f>
        <v>71.250082000000006</v>
      </c>
    </row>
    <row r="49" spans="1:5" x14ac:dyDescent="0.3">
      <c r="A49" s="16">
        <v>45448.365972</v>
      </c>
      <c r="B49" s="17">
        <v>52.117843999999998</v>
      </c>
      <c r="C49" s="18">
        <f>+Sheet1!H50</f>
        <v>45449.387974537036</v>
      </c>
      <c r="D49" s="19">
        <f t="shared" si="1"/>
        <v>45449.3046412037</v>
      </c>
      <c r="E49" cm="1">
        <f t="array" ref="E49">INDEX(B$1:B$224233, MATCH(D49,A$1:A$224233,1) +0)</f>
        <v>70.640101999999999</v>
      </c>
    </row>
    <row r="50" spans="1:5" x14ac:dyDescent="0.3">
      <c r="A50" s="16">
        <v>45448.366667000002</v>
      </c>
      <c r="B50" s="17">
        <v>52.039068</v>
      </c>
      <c r="C50" s="18">
        <f>+Sheet1!H51</f>
        <v>45449.398402777777</v>
      </c>
      <c r="D50" s="19">
        <f t="shared" si="1"/>
        <v>45449.315069444441</v>
      </c>
      <c r="E50" cm="1">
        <f t="array" ref="E50">INDEX(B$1:B$224233, MATCH(D50,A$1:A$224233,1) +0)</f>
        <v>70.883534999999995</v>
      </c>
    </row>
    <row r="51" spans="1:5" x14ac:dyDescent="0.3">
      <c r="A51" s="16">
        <v>45448.367360999997</v>
      </c>
      <c r="B51" s="17">
        <v>52.319277</v>
      </c>
      <c r="C51" s="18"/>
      <c r="D51" s="19"/>
    </row>
    <row r="52" spans="1:5" x14ac:dyDescent="0.3">
      <c r="A52" s="16">
        <v>45448.368055999999</v>
      </c>
      <c r="B52" s="17">
        <v>52.485947000000003</v>
      </c>
      <c r="C52" s="18"/>
      <c r="D52" s="19"/>
    </row>
    <row r="53" spans="1:5" x14ac:dyDescent="0.3">
      <c r="A53" s="16">
        <v>45448.368750000001</v>
      </c>
      <c r="B53" s="17">
        <v>52.500689000000001</v>
      </c>
      <c r="C53" s="18"/>
      <c r="D53" s="19"/>
    </row>
    <row r="54" spans="1:5" x14ac:dyDescent="0.3">
      <c r="A54" s="16">
        <v>45448.369444000004</v>
      </c>
      <c r="B54" s="17">
        <v>52.531267999999997</v>
      </c>
      <c r="C54" s="18"/>
      <c r="D54" s="19"/>
    </row>
    <row r="55" spans="1:5" x14ac:dyDescent="0.3">
      <c r="A55" s="16">
        <v>45448.370138999999</v>
      </c>
      <c r="B55" s="17">
        <v>52.492072</v>
      </c>
      <c r="C55" s="18"/>
      <c r="D55" s="19"/>
    </row>
    <row r="56" spans="1:5" x14ac:dyDescent="0.3">
      <c r="A56" s="16">
        <v>45448.370833000001</v>
      </c>
      <c r="B56" s="17">
        <v>52.987209</v>
      </c>
      <c r="C56" s="18"/>
      <c r="D56" s="19"/>
    </row>
    <row r="57" spans="1:5" x14ac:dyDescent="0.3">
      <c r="A57" s="16">
        <v>45448.371528000003</v>
      </c>
      <c r="B57" s="17">
        <v>52.803522000000001</v>
      </c>
      <c r="C57" s="18"/>
      <c r="D57" s="19"/>
    </row>
    <row r="58" spans="1:5" x14ac:dyDescent="0.3">
      <c r="A58" s="16">
        <v>45448.372221999998</v>
      </c>
      <c r="B58" s="17">
        <v>53.569090000000003</v>
      </c>
      <c r="C58" s="18"/>
      <c r="D58" s="19"/>
    </row>
    <row r="59" spans="1:5" x14ac:dyDescent="0.3">
      <c r="A59" s="16">
        <v>45448.372917000001</v>
      </c>
      <c r="B59" s="17">
        <v>52.920473000000001</v>
      </c>
      <c r="C59" s="18"/>
      <c r="D59" s="19"/>
    </row>
    <row r="60" spans="1:5" x14ac:dyDescent="0.3">
      <c r="A60" s="16">
        <v>45448.373611000003</v>
      </c>
      <c r="B60" s="17">
        <v>53.275727000000003</v>
      </c>
      <c r="C60" s="18"/>
      <c r="D60" s="19"/>
    </row>
    <row r="61" spans="1:5" x14ac:dyDescent="0.3">
      <c r="A61" s="16">
        <v>45448.374305999998</v>
      </c>
      <c r="B61" s="17">
        <v>53.475164999999997</v>
      </c>
      <c r="C61" s="18"/>
      <c r="D61" s="19"/>
    </row>
    <row r="62" spans="1:5" x14ac:dyDescent="0.3">
      <c r="A62" s="16">
        <v>45448.375</v>
      </c>
      <c r="B62" s="17">
        <v>53.543565999999998</v>
      </c>
      <c r="C62" s="18"/>
      <c r="D62" s="19"/>
    </row>
    <row r="63" spans="1:5" x14ac:dyDescent="0.3">
      <c r="A63" s="16">
        <v>45448.375694000002</v>
      </c>
      <c r="B63" s="17">
        <v>53.618983</v>
      </c>
      <c r="C63" s="18"/>
      <c r="D63" s="19"/>
    </row>
    <row r="64" spans="1:5" x14ac:dyDescent="0.3">
      <c r="A64" s="16">
        <v>45448.376388999997</v>
      </c>
      <c r="B64" s="17">
        <v>53.827756000000001</v>
      </c>
      <c r="C64" s="18"/>
      <c r="D64" s="19"/>
    </row>
    <row r="65" spans="1:4" x14ac:dyDescent="0.3">
      <c r="A65" s="16">
        <v>45448.377082999999</v>
      </c>
      <c r="B65" s="17">
        <v>53.612758999999997</v>
      </c>
      <c r="C65" s="18"/>
      <c r="D65" s="19"/>
    </row>
    <row r="66" spans="1:4" x14ac:dyDescent="0.3">
      <c r="A66" s="16">
        <v>45448.377778000002</v>
      </c>
      <c r="B66" s="17">
        <v>53.764015000000001</v>
      </c>
      <c r="C66" s="18"/>
      <c r="D66" s="19"/>
    </row>
    <row r="67" spans="1:4" x14ac:dyDescent="0.3">
      <c r="A67" s="16">
        <v>45448.378471999997</v>
      </c>
      <c r="B67" s="17">
        <v>54.304119</v>
      </c>
      <c r="C67" s="18"/>
      <c r="D67" s="19"/>
    </row>
    <row r="68" spans="1:4" x14ac:dyDescent="0.3">
      <c r="A68" s="16">
        <v>45448.379166999999</v>
      </c>
      <c r="B68" s="17">
        <v>54.19258</v>
      </c>
      <c r="C68" s="18"/>
      <c r="D68" s="19"/>
    </row>
    <row r="69" spans="1:4" x14ac:dyDescent="0.3">
      <c r="A69" s="16">
        <v>45448.379861000001</v>
      </c>
      <c r="B69" s="17">
        <v>53.888987</v>
      </c>
      <c r="C69" s="18"/>
      <c r="D69" s="19"/>
    </row>
    <row r="70" spans="1:4" x14ac:dyDescent="0.3">
      <c r="A70" s="16">
        <v>45448.380555999996</v>
      </c>
      <c r="B70" s="17">
        <v>54.326813999999999</v>
      </c>
      <c r="C70" s="18"/>
      <c r="D70" s="19"/>
    </row>
    <row r="71" spans="1:4" x14ac:dyDescent="0.3">
      <c r="A71" s="16">
        <v>45448.381249999999</v>
      </c>
      <c r="B71" s="17">
        <v>54.257862000000003</v>
      </c>
      <c r="C71" s="18"/>
      <c r="D71" s="19"/>
    </row>
    <row r="72" spans="1:4" x14ac:dyDescent="0.3">
      <c r="A72" s="16">
        <v>45448.381944000001</v>
      </c>
      <c r="B72" s="17">
        <v>54.667327999999998</v>
      </c>
      <c r="C72" s="18"/>
      <c r="D72" s="19"/>
    </row>
    <row r="73" spans="1:4" x14ac:dyDescent="0.3">
      <c r="A73" s="16">
        <v>45448.382639000003</v>
      </c>
      <c r="B73" s="17">
        <v>54.866751000000001</v>
      </c>
      <c r="C73" s="18"/>
      <c r="D73" s="19"/>
    </row>
    <row r="74" spans="1:4" x14ac:dyDescent="0.3">
      <c r="A74" s="16">
        <v>45448.383332999998</v>
      </c>
      <c r="B74" s="17">
        <v>54.708700999999998</v>
      </c>
      <c r="C74" s="18"/>
      <c r="D74" s="19"/>
    </row>
    <row r="75" spans="1:4" x14ac:dyDescent="0.3">
      <c r="A75" s="16">
        <v>45448.384028</v>
      </c>
      <c r="B75" s="17">
        <v>54.330320999999998</v>
      </c>
      <c r="C75" s="18"/>
      <c r="D75" s="19"/>
    </row>
    <row r="76" spans="1:4" x14ac:dyDescent="0.3">
      <c r="A76" s="16">
        <v>45448.384722000003</v>
      </c>
      <c r="B76" s="17">
        <v>53.942630999999999</v>
      </c>
      <c r="C76" s="18"/>
      <c r="D76" s="19"/>
    </row>
    <row r="77" spans="1:4" x14ac:dyDescent="0.3">
      <c r="A77" s="16">
        <v>45448.385416999998</v>
      </c>
      <c r="B77" s="17">
        <v>54.953037000000002</v>
      </c>
      <c r="C77" s="18"/>
      <c r="D77" s="19"/>
    </row>
    <row r="78" spans="1:4" x14ac:dyDescent="0.3">
      <c r="A78" s="16">
        <v>45448.386111</v>
      </c>
      <c r="B78" s="17">
        <v>54.854455000000002</v>
      </c>
      <c r="C78" s="18"/>
      <c r="D78" s="19"/>
    </row>
    <row r="79" spans="1:4" x14ac:dyDescent="0.3">
      <c r="A79" s="16">
        <v>45448.386806000002</v>
      </c>
      <c r="B79" s="17">
        <v>54.377254000000001</v>
      </c>
      <c r="C79" s="18"/>
      <c r="D79" s="19"/>
    </row>
    <row r="80" spans="1:4" x14ac:dyDescent="0.3">
      <c r="A80" s="16">
        <v>45448.387499999997</v>
      </c>
      <c r="B80" s="17">
        <v>54.49868</v>
      </c>
      <c r="C80" s="18"/>
      <c r="D80" s="19"/>
    </row>
    <row r="81" spans="1:4" x14ac:dyDescent="0.3">
      <c r="A81" s="16">
        <v>45448.388193999999</v>
      </c>
      <c r="B81" s="17">
        <v>54.552320999999999</v>
      </c>
      <c r="C81" s="18"/>
      <c r="D81" s="19"/>
    </row>
    <row r="82" spans="1:4" x14ac:dyDescent="0.3">
      <c r="A82" s="16">
        <v>45448.388889000002</v>
      </c>
      <c r="B82" s="17">
        <v>55.551468</v>
      </c>
      <c r="C82" s="18"/>
      <c r="D82" s="19"/>
    </row>
    <row r="83" spans="1:4" x14ac:dyDescent="0.3">
      <c r="A83" s="16">
        <v>45448.389582999996</v>
      </c>
      <c r="B83" s="17">
        <v>54.738641999999999</v>
      </c>
      <c r="C83" s="18"/>
      <c r="D83" s="19"/>
    </row>
    <row r="84" spans="1:4" x14ac:dyDescent="0.3">
      <c r="A84" s="16">
        <v>45448.390277999999</v>
      </c>
      <c r="B84" s="17">
        <v>55.659587000000002</v>
      </c>
      <c r="C84" s="18"/>
      <c r="D84" s="19"/>
    </row>
    <row r="85" spans="1:4" x14ac:dyDescent="0.3">
      <c r="A85" s="16">
        <v>45448.390972000001</v>
      </c>
      <c r="B85" s="17">
        <v>56.634404000000004</v>
      </c>
      <c r="C85" s="18"/>
      <c r="D85" s="19"/>
    </row>
    <row r="86" spans="1:4" x14ac:dyDescent="0.3">
      <c r="A86" s="16">
        <v>45448.391667000004</v>
      </c>
      <c r="B86" s="17">
        <v>56.548979000000003</v>
      </c>
      <c r="C86" s="18"/>
      <c r="D86" s="19"/>
    </row>
    <row r="87" spans="1:4" x14ac:dyDescent="0.3">
      <c r="A87" s="16">
        <v>45448.392360999998</v>
      </c>
      <c r="B87" s="17">
        <v>56.115785000000002</v>
      </c>
      <c r="C87" s="18"/>
      <c r="D87" s="19"/>
    </row>
    <row r="88" spans="1:4" x14ac:dyDescent="0.3">
      <c r="A88" s="16">
        <v>45448.393056000001</v>
      </c>
      <c r="B88" s="17">
        <v>55.663794000000003</v>
      </c>
      <c r="C88" s="18"/>
      <c r="D88" s="19"/>
    </row>
    <row r="89" spans="1:4" x14ac:dyDescent="0.3">
      <c r="A89" s="16">
        <v>45448.393750000003</v>
      </c>
      <c r="B89" s="17">
        <v>56.223506</v>
      </c>
      <c r="C89" s="18"/>
      <c r="D89" s="19"/>
    </row>
    <row r="90" spans="1:4" x14ac:dyDescent="0.3">
      <c r="A90" s="16">
        <v>45448.394443999998</v>
      </c>
      <c r="B90" s="17">
        <v>55.847608999999999</v>
      </c>
      <c r="C90" s="18"/>
      <c r="D90" s="19"/>
    </row>
    <row r="91" spans="1:4" x14ac:dyDescent="0.3">
      <c r="A91" s="16">
        <v>45448.395139</v>
      </c>
      <c r="B91" s="17">
        <v>56.01558</v>
      </c>
      <c r="C91" s="18"/>
      <c r="D91" s="19"/>
    </row>
    <row r="92" spans="1:4" x14ac:dyDescent="0.3">
      <c r="A92" s="16">
        <v>45448.395833000002</v>
      </c>
      <c r="B92" s="17">
        <v>56.101525000000002</v>
      </c>
      <c r="C92" s="18"/>
      <c r="D92" s="19"/>
    </row>
    <row r="93" spans="1:4" x14ac:dyDescent="0.3">
      <c r="A93" s="16">
        <v>45448.396527999997</v>
      </c>
      <c r="B93" s="17">
        <v>56.036983999999997</v>
      </c>
      <c r="C93" s="18"/>
      <c r="D93" s="19"/>
    </row>
    <row r="94" spans="1:4" x14ac:dyDescent="0.3">
      <c r="A94" s="16">
        <v>45448.397222</v>
      </c>
      <c r="B94" s="17">
        <v>56.014119999999998</v>
      </c>
      <c r="C94" s="18"/>
      <c r="D94" s="19"/>
    </row>
    <row r="95" spans="1:4" x14ac:dyDescent="0.3">
      <c r="A95" s="16">
        <v>45448.397917000002</v>
      </c>
      <c r="B95" s="17">
        <v>55.479317999999999</v>
      </c>
      <c r="C95" s="18"/>
      <c r="D95" s="19"/>
    </row>
    <row r="96" spans="1:4" x14ac:dyDescent="0.3">
      <c r="A96" s="16">
        <v>45448.398610999997</v>
      </c>
      <c r="B96" s="17">
        <v>55.798262999999999</v>
      </c>
      <c r="C96" s="18"/>
      <c r="D96" s="19"/>
    </row>
    <row r="97" spans="1:4" x14ac:dyDescent="0.3">
      <c r="A97" s="16">
        <v>45448.399305999999</v>
      </c>
      <c r="B97" s="17">
        <v>55.518920999999999</v>
      </c>
      <c r="C97" s="18"/>
      <c r="D97" s="19"/>
    </row>
    <row r="98" spans="1:4" x14ac:dyDescent="0.3">
      <c r="A98" s="16">
        <v>45448.4</v>
      </c>
      <c r="B98" s="17">
        <v>56.975714000000004</v>
      </c>
      <c r="C98" s="18"/>
      <c r="D98" s="19"/>
    </row>
    <row r="99" spans="1:4" x14ac:dyDescent="0.3">
      <c r="A99" s="16">
        <v>45448.400694000004</v>
      </c>
      <c r="B99" s="17">
        <v>56.237597000000001</v>
      </c>
      <c r="C99" s="18"/>
      <c r="D99" s="19"/>
    </row>
    <row r="100" spans="1:4" x14ac:dyDescent="0.3">
      <c r="A100" s="16">
        <v>45448.401388999999</v>
      </c>
      <c r="B100" s="17">
        <v>56.468243000000001</v>
      </c>
      <c r="C100" s="18"/>
      <c r="D100" s="19"/>
    </row>
    <row r="101" spans="1:4" x14ac:dyDescent="0.3">
      <c r="A101" s="16">
        <v>45448.402083000001</v>
      </c>
      <c r="B101" s="17">
        <v>56.107308000000003</v>
      </c>
      <c r="C101" s="18"/>
      <c r="D101" s="19"/>
    </row>
    <row r="102" spans="1:4" x14ac:dyDescent="0.3">
      <c r="A102" s="16">
        <v>45448.402778000003</v>
      </c>
      <c r="B102" s="17">
        <v>55.792523000000003</v>
      </c>
      <c r="C102" s="18"/>
      <c r="D102" s="19"/>
    </row>
    <row r="103" spans="1:4" x14ac:dyDescent="0.3">
      <c r="A103" s="16">
        <v>45448.403471999998</v>
      </c>
      <c r="B103" s="17">
        <v>56.662657000000003</v>
      </c>
      <c r="C103" s="18"/>
      <c r="D103" s="19"/>
    </row>
    <row r="104" spans="1:4" x14ac:dyDescent="0.3">
      <c r="A104" s="16">
        <v>45448.404167000001</v>
      </c>
      <c r="B104" s="17">
        <v>56.431762999999997</v>
      </c>
      <c r="C104" s="18"/>
      <c r="D104" s="19"/>
    </row>
    <row r="105" spans="1:4" x14ac:dyDescent="0.3">
      <c r="A105" s="16">
        <v>45448.404861000003</v>
      </c>
      <c r="B105" s="17">
        <v>56.692191000000001</v>
      </c>
      <c r="C105" s="18"/>
      <c r="D105" s="19"/>
    </row>
    <row r="106" spans="1:4" x14ac:dyDescent="0.3">
      <c r="A106" s="16">
        <v>45448.405555999998</v>
      </c>
      <c r="B106" s="17">
        <v>56.638185</v>
      </c>
      <c r="C106" s="18"/>
      <c r="D106" s="19"/>
    </row>
    <row r="107" spans="1:4" x14ac:dyDescent="0.3">
      <c r="A107" s="16">
        <v>45448.40625</v>
      </c>
      <c r="B107" s="17">
        <v>56.559714999999997</v>
      </c>
      <c r="C107" s="18"/>
      <c r="D107" s="19"/>
    </row>
    <row r="108" spans="1:4" x14ac:dyDescent="0.3">
      <c r="A108" s="16">
        <v>45448.406944000002</v>
      </c>
      <c r="B108" s="17">
        <v>56.470464999999997</v>
      </c>
      <c r="C108" s="18"/>
      <c r="D108" s="19"/>
    </row>
    <row r="109" spans="1:4" x14ac:dyDescent="0.3">
      <c r="A109" s="16">
        <v>45448.407638999997</v>
      </c>
      <c r="B109" s="17">
        <v>56.443933999999999</v>
      </c>
      <c r="C109" s="18"/>
      <c r="D109" s="19"/>
    </row>
    <row r="110" spans="1:4" x14ac:dyDescent="0.3">
      <c r="A110" s="16">
        <v>45448.408332999999</v>
      </c>
      <c r="B110" s="17">
        <v>56.281111000000003</v>
      </c>
      <c r="C110" s="18"/>
      <c r="D110" s="19"/>
    </row>
    <row r="111" spans="1:4" x14ac:dyDescent="0.3">
      <c r="A111" s="16">
        <v>45448.409028000002</v>
      </c>
      <c r="B111" s="17">
        <v>56.734445999999998</v>
      </c>
      <c r="C111" s="18"/>
      <c r="D111" s="19"/>
    </row>
    <row r="112" spans="1:4" x14ac:dyDescent="0.3">
      <c r="A112" s="16">
        <v>45448.409721999997</v>
      </c>
      <c r="B112" s="17">
        <v>56.784685000000003</v>
      </c>
      <c r="C112" s="18"/>
      <c r="D112" s="19"/>
    </row>
    <row r="113" spans="1:4" x14ac:dyDescent="0.3">
      <c r="A113" s="16">
        <v>45448.410416999999</v>
      </c>
      <c r="B113" s="17">
        <v>56.497957999999997</v>
      </c>
      <c r="C113" s="18"/>
      <c r="D113" s="19"/>
    </row>
    <row r="114" spans="1:4" x14ac:dyDescent="0.3">
      <c r="A114" s="16">
        <v>45448.411111000001</v>
      </c>
      <c r="B114" s="17">
        <v>57.052785999999998</v>
      </c>
      <c r="C114" s="18"/>
      <c r="D114" s="19"/>
    </row>
    <row r="115" spans="1:4" x14ac:dyDescent="0.3">
      <c r="A115" s="16">
        <v>45448.411805999996</v>
      </c>
      <c r="B115" s="17">
        <v>57.057440999999997</v>
      </c>
      <c r="C115" s="18"/>
      <c r="D115" s="19"/>
    </row>
    <row r="116" spans="1:4" x14ac:dyDescent="0.3">
      <c r="A116" s="16">
        <v>45448.412499999999</v>
      </c>
      <c r="B116" s="17">
        <v>56.399994</v>
      </c>
      <c r="C116" s="18"/>
      <c r="D116" s="19"/>
    </row>
    <row r="117" spans="1:4" x14ac:dyDescent="0.3">
      <c r="A117" s="16">
        <v>45448.413194000001</v>
      </c>
      <c r="B117" s="17">
        <v>56.373233999999997</v>
      </c>
      <c r="C117" s="18"/>
      <c r="D117" s="19"/>
    </row>
    <row r="118" spans="1:4" x14ac:dyDescent="0.3">
      <c r="A118" s="16">
        <v>45448.413889000003</v>
      </c>
      <c r="B118" s="17">
        <v>56.966672000000003</v>
      </c>
      <c r="C118" s="18"/>
      <c r="D118" s="19"/>
    </row>
    <row r="119" spans="1:4" x14ac:dyDescent="0.3">
      <c r="A119" s="16">
        <v>45448.414582999998</v>
      </c>
      <c r="B119" s="17">
        <v>56.93141</v>
      </c>
      <c r="C119" s="18"/>
      <c r="D119" s="19"/>
    </row>
    <row r="120" spans="1:4" x14ac:dyDescent="0.3">
      <c r="A120" s="16">
        <v>45448.415278</v>
      </c>
      <c r="B120" s="17">
        <v>56.587598</v>
      </c>
      <c r="C120" s="18"/>
      <c r="D120" s="19"/>
    </row>
    <row r="121" spans="1:4" x14ac:dyDescent="0.3">
      <c r="A121" s="16">
        <v>45448.415972000003</v>
      </c>
      <c r="B121" s="17">
        <v>56.745893000000002</v>
      </c>
      <c r="C121" s="18"/>
      <c r="D121" s="19"/>
    </row>
    <row r="122" spans="1:4" x14ac:dyDescent="0.3">
      <c r="A122" s="16">
        <v>45448.416666999998</v>
      </c>
      <c r="B122" s="17">
        <v>57.322724000000001</v>
      </c>
      <c r="C122" s="18"/>
      <c r="D122" s="19"/>
    </row>
    <row r="123" spans="1:4" x14ac:dyDescent="0.3">
      <c r="A123" s="16">
        <v>45448.417361</v>
      </c>
      <c r="B123" s="17">
        <v>57.322395</v>
      </c>
      <c r="C123" s="18"/>
      <c r="D123" s="19"/>
    </row>
    <row r="124" spans="1:4" x14ac:dyDescent="0.3">
      <c r="A124" s="16">
        <v>45448.418056000002</v>
      </c>
      <c r="B124" s="17">
        <v>56.716769999999997</v>
      </c>
      <c r="C124" s="18"/>
      <c r="D124" s="19"/>
    </row>
    <row r="125" spans="1:4" x14ac:dyDescent="0.3">
      <c r="A125" s="16">
        <v>45448.418749999997</v>
      </c>
      <c r="B125" s="17">
        <v>56.710180000000001</v>
      </c>
      <c r="C125" s="18"/>
      <c r="D125" s="19"/>
    </row>
    <row r="126" spans="1:4" x14ac:dyDescent="0.3">
      <c r="A126" s="16">
        <v>45448.419443999999</v>
      </c>
      <c r="B126" s="17">
        <v>56.926523000000003</v>
      </c>
      <c r="C126" s="18"/>
      <c r="D126" s="19"/>
    </row>
    <row r="127" spans="1:4" x14ac:dyDescent="0.3">
      <c r="A127" s="16">
        <v>45448.420139000002</v>
      </c>
      <c r="B127" s="17">
        <v>57.063786999999998</v>
      </c>
      <c r="C127" s="18"/>
      <c r="D127" s="19"/>
    </row>
    <row r="128" spans="1:4" x14ac:dyDescent="0.3">
      <c r="A128" s="16">
        <v>45448.420832999996</v>
      </c>
      <c r="B128" s="17">
        <v>57.142569000000002</v>
      </c>
      <c r="C128" s="18"/>
      <c r="D128" s="19"/>
    </row>
    <row r="129" spans="1:4" x14ac:dyDescent="0.3">
      <c r="A129" s="16">
        <v>45448.421527999999</v>
      </c>
      <c r="B129" s="17">
        <v>56.988894000000002</v>
      </c>
      <c r="C129" s="18"/>
      <c r="D129" s="19"/>
    </row>
    <row r="130" spans="1:4" x14ac:dyDescent="0.3">
      <c r="A130" s="16">
        <v>45448.422222000001</v>
      </c>
      <c r="B130" s="17">
        <v>56.847921999999997</v>
      </c>
      <c r="C130" s="18"/>
      <c r="D130" s="19"/>
    </row>
    <row r="131" spans="1:4" x14ac:dyDescent="0.3">
      <c r="A131" s="16">
        <v>45448.422917000004</v>
      </c>
      <c r="B131" s="17">
        <v>58.096814999999999</v>
      </c>
      <c r="C131" s="18"/>
      <c r="D131" s="19"/>
    </row>
    <row r="132" spans="1:4" x14ac:dyDescent="0.3">
      <c r="A132" s="16">
        <v>45448.423610999998</v>
      </c>
      <c r="B132" s="17">
        <v>57.569870999999999</v>
      </c>
      <c r="C132" s="18"/>
      <c r="D132" s="19"/>
    </row>
    <row r="133" spans="1:4" x14ac:dyDescent="0.3">
      <c r="A133" s="16">
        <v>45448.424306000001</v>
      </c>
      <c r="B133" s="17">
        <v>57.624616000000003</v>
      </c>
      <c r="C133" s="18"/>
      <c r="D133" s="19"/>
    </row>
    <row r="134" spans="1:4" x14ac:dyDescent="0.3">
      <c r="A134" s="16">
        <v>45448.425000000003</v>
      </c>
      <c r="B134" s="17">
        <v>57.402572999999997</v>
      </c>
      <c r="C134" s="18"/>
      <c r="D134" s="19"/>
    </row>
    <row r="135" spans="1:4" x14ac:dyDescent="0.3">
      <c r="A135" s="16">
        <v>45448.425693999998</v>
      </c>
      <c r="B135" s="17">
        <v>57.123471000000002</v>
      </c>
      <c r="C135" s="18"/>
      <c r="D135" s="19"/>
    </row>
    <row r="136" spans="1:4" x14ac:dyDescent="0.3">
      <c r="A136" s="16">
        <v>45448.426389</v>
      </c>
      <c r="B136" s="17">
        <v>57.240271999999997</v>
      </c>
      <c r="C136" s="18"/>
      <c r="D136" s="19"/>
    </row>
    <row r="137" spans="1:4" x14ac:dyDescent="0.3">
      <c r="A137" s="16">
        <v>45448.427083000002</v>
      </c>
      <c r="B137" s="17">
        <v>57.481983999999997</v>
      </c>
      <c r="C137" s="18"/>
      <c r="D137" s="19"/>
    </row>
    <row r="138" spans="1:4" x14ac:dyDescent="0.3">
      <c r="A138" s="16">
        <v>45448.427777999997</v>
      </c>
      <c r="B138" s="17">
        <v>57.521296999999997</v>
      </c>
      <c r="C138" s="18"/>
      <c r="D138" s="19"/>
    </row>
    <row r="139" spans="1:4" x14ac:dyDescent="0.3">
      <c r="A139" s="16">
        <v>45448.428472</v>
      </c>
      <c r="B139" s="17">
        <v>57.610810000000001</v>
      </c>
      <c r="C139" s="18"/>
      <c r="D139" s="19"/>
    </row>
    <row r="140" spans="1:4" x14ac:dyDescent="0.3">
      <c r="A140" s="16">
        <v>45448.429167000002</v>
      </c>
      <c r="B140" s="17">
        <v>57.547530999999999</v>
      </c>
      <c r="C140" s="18"/>
      <c r="D140" s="19"/>
    </row>
    <row r="141" spans="1:4" x14ac:dyDescent="0.3">
      <c r="A141" s="16">
        <v>45448.429860999997</v>
      </c>
      <c r="B141" s="17">
        <v>58.054273000000002</v>
      </c>
      <c r="C141" s="18"/>
      <c r="D141" s="19"/>
    </row>
    <row r="142" spans="1:4" x14ac:dyDescent="0.3">
      <c r="A142" s="16">
        <v>45448.430555999999</v>
      </c>
      <c r="B142" s="17">
        <v>57.877847000000003</v>
      </c>
      <c r="C142" s="18"/>
      <c r="D142" s="19"/>
    </row>
    <row r="143" spans="1:4" x14ac:dyDescent="0.3">
      <c r="A143" s="16">
        <v>45448.431250000001</v>
      </c>
      <c r="B143" s="17">
        <v>57.460588999999999</v>
      </c>
      <c r="C143" s="18"/>
      <c r="D143" s="19"/>
    </row>
    <row r="144" spans="1:4" x14ac:dyDescent="0.3">
      <c r="A144" s="16">
        <v>45448.431944000004</v>
      </c>
      <c r="B144" s="17">
        <v>57.833207999999999</v>
      </c>
      <c r="C144" s="18"/>
      <c r="D144" s="19"/>
    </row>
    <row r="145" spans="1:4" x14ac:dyDescent="0.3">
      <c r="A145" s="16">
        <v>45448.432638999999</v>
      </c>
      <c r="B145" s="17">
        <v>57.491348000000002</v>
      </c>
      <c r="C145" s="18"/>
      <c r="D145" s="19"/>
    </row>
    <row r="146" spans="1:4" x14ac:dyDescent="0.3">
      <c r="A146" s="16">
        <v>45448.433333000001</v>
      </c>
      <c r="B146" s="17">
        <v>57.638229000000003</v>
      </c>
      <c r="C146" s="18"/>
      <c r="D146" s="19"/>
    </row>
    <row r="147" spans="1:4" x14ac:dyDescent="0.3">
      <c r="A147" s="16">
        <v>45448.434028000003</v>
      </c>
      <c r="B147" s="17">
        <v>57.721007999999998</v>
      </c>
      <c r="C147" s="18"/>
      <c r="D147" s="19"/>
    </row>
    <row r="148" spans="1:4" x14ac:dyDescent="0.3">
      <c r="A148" s="16">
        <v>45448.434721999998</v>
      </c>
      <c r="B148" s="17">
        <v>57.791879000000002</v>
      </c>
      <c r="C148" s="18"/>
      <c r="D148" s="19"/>
    </row>
    <row r="149" spans="1:4" x14ac:dyDescent="0.3">
      <c r="A149" s="16">
        <v>45448.435417000001</v>
      </c>
      <c r="B149" s="17">
        <v>57.552025999999998</v>
      </c>
      <c r="C149" s="18"/>
      <c r="D149" s="19"/>
    </row>
    <row r="150" spans="1:4" x14ac:dyDescent="0.3">
      <c r="A150" s="16">
        <v>45448.436111000003</v>
      </c>
      <c r="B150" s="17">
        <v>57.682329000000003</v>
      </c>
      <c r="C150" s="18"/>
      <c r="D150" s="19"/>
    </row>
    <row r="151" spans="1:4" x14ac:dyDescent="0.3">
      <c r="A151" s="16">
        <v>45448.436805999998</v>
      </c>
      <c r="B151" s="17">
        <v>58.150685000000003</v>
      </c>
      <c r="C151" s="18"/>
      <c r="D151" s="19"/>
    </row>
    <row r="152" spans="1:4" x14ac:dyDescent="0.3">
      <c r="A152" s="16">
        <v>45448.4375</v>
      </c>
      <c r="B152" s="17">
        <v>58.395508</v>
      </c>
      <c r="C152" s="18"/>
      <c r="D152" s="19"/>
    </row>
    <row r="153" spans="1:4" x14ac:dyDescent="0.3">
      <c r="A153" s="16">
        <v>45448.438194000002</v>
      </c>
      <c r="B153" s="17">
        <v>57.580520999999997</v>
      </c>
      <c r="C153" s="18"/>
      <c r="D153" s="19"/>
    </row>
    <row r="154" spans="1:4" x14ac:dyDescent="0.3">
      <c r="A154" s="16">
        <v>45448.438888999997</v>
      </c>
      <c r="B154" s="17">
        <v>57.830584999999999</v>
      </c>
      <c r="C154" s="18"/>
      <c r="D154" s="19"/>
    </row>
    <row r="155" spans="1:4" x14ac:dyDescent="0.3">
      <c r="A155" s="16">
        <v>45448.439582999999</v>
      </c>
      <c r="B155" s="17">
        <v>57.808616999999998</v>
      </c>
      <c r="C155" s="18"/>
      <c r="D155" s="19"/>
    </row>
    <row r="156" spans="1:4" x14ac:dyDescent="0.3">
      <c r="A156" s="16">
        <v>45448.440278000002</v>
      </c>
      <c r="B156" s="17">
        <v>57.481085999999998</v>
      </c>
      <c r="C156" s="18"/>
      <c r="D156" s="19"/>
    </row>
    <row r="157" spans="1:4" x14ac:dyDescent="0.3">
      <c r="A157" s="16">
        <v>45448.440971999997</v>
      </c>
      <c r="B157" s="17">
        <v>58.100582000000003</v>
      </c>
      <c r="C157" s="18"/>
      <c r="D157" s="19"/>
    </row>
    <row r="158" spans="1:4" x14ac:dyDescent="0.3">
      <c r="A158" s="16">
        <v>45448.441666999999</v>
      </c>
      <c r="B158" s="17">
        <v>57.865459000000001</v>
      </c>
      <c r="C158" s="18"/>
      <c r="D158" s="19"/>
    </row>
    <row r="159" spans="1:4" x14ac:dyDescent="0.3">
      <c r="A159" s="16">
        <v>45448.442361000001</v>
      </c>
      <c r="B159" s="17">
        <v>57.727849999999997</v>
      </c>
      <c r="C159" s="18"/>
      <c r="D159" s="19"/>
    </row>
    <row r="160" spans="1:4" x14ac:dyDescent="0.3">
      <c r="A160" s="16">
        <v>45448.443055999996</v>
      </c>
      <c r="B160" s="17">
        <v>58.377713</v>
      </c>
      <c r="C160" s="18"/>
      <c r="D160" s="19"/>
    </row>
    <row r="161" spans="1:4" x14ac:dyDescent="0.3">
      <c r="A161" s="16">
        <v>45448.443749999999</v>
      </c>
      <c r="B161" s="17">
        <v>57.885973999999997</v>
      </c>
      <c r="C161" s="18"/>
      <c r="D161" s="19"/>
    </row>
    <row r="162" spans="1:4" x14ac:dyDescent="0.3">
      <c r="A162" s="16">
        <v>45448.444444000001</v>
      </c>
      <c r="B162" s="17">
        <v>57.480632</v>
      </c>
      <c r="C162" s="18"/>
      <c r="D162" s="19"/>
    </row>
    <row r="163" spans="1:4" x14ac:dyDescent="0.3">
      <c r="A163" s="16">
        <v>45448.445139000003</v>
      </c>
      <c r="B163" s="17">
        <v>57.792572999999997</v>
      </c>
      <c r="C163" s="18"/>
      <c r="D163" s="19"/>
    </row>
    <row r="164" spans="1:4" x14ac:dyDescent="0.3">
      <c r="A164" s="16">
        <v>45448.445832999998</v>
      </c>
      <c r="B164" s="17">
        <v>58.517507999999999</v>
      </c>
      <c r="C164" s="18"/>
      <c r="D164" s="19"/>
    </row>
    <row r="165" spans="1:4" x14ac:dyDescent="0.3">
      <c r="A165" s="16">
        <v>45448.446528</v>
      </c>
      <c r="B165" s="17">
        <v>58.506160999999999</v>
      </c>
      <c r="C165" s="18"/>
      <c r="D165" s="19"/>
    </row>
    <row r="166" spans="1:4" x14ac:dyDescent="0.3">
      <c r="A166" s="16">
        <v>45448.447222000003</v>
      </c>
      <c r="B166" s="17">
        <v>57.913485999999999</v>
      </c>
      <c r="C166" s="18"/>
      <c r="D166" s="19"/>
    </row>
    <row r="167" spans="1:4" x14ac:dyDescent="0.3">
      <c r="A167" s="16">
        <v>45448.447916999998</v>
      </c>
      <c r="B167" s="17">
        <v>58.050967</v>
      </c>
      <c r="C167" s="18"/>
      <c r="D167" s="19"/>
    </row>
    <row r="168" spans="1:4" x14ac:dyDescent="0.3">
      <c r="A168" s="16">
        <v>45448.448611</v>
      </c>
      <c r="B168" s="17">
        <v>58.518011999999999</v>
      </c>
      <c r="C168" s="18"/>
      <c r="D168" s="19"/>
    </row>
    <row r="169" spans="1:4" x14ac:dyDescent="0.3">
      <c r="A169" s="16">
        <v>45448.449306000002</v>
      </c>
      <c r="B169" s="17">
        <v>58.373690000000003</v>
      </c>
      <c r="C169" s="18"/>
      <c r="D169" s="19"/>
    </row>
    <row r="170" spans="1:4" x14ac:dyDescent="0.3">
      <c r="A170" s="16">
        <v>45448.45</v>
      </c>
      <c r="B170" s="17">
        <v>58.442608</v>
      </c>
      <c r="C170" s="18"/>
      <c r="D170" s="19"/>
    </row>
    <row r="171" spans="1:4" x14ac:dyDescent="0.3">
      <c r="A171" s="16">
        <v>45448.450693999999</v>
      </c>
      <c r="B171" s="17">
        <v>58.226667999999997</v>
      </c>
      <c r="C171" s="18"/>
      <c r="D171" s="19"/>
    </row>
    <row r="172" spans="1:4" x14ac:dyDescent="0.3">
      <c r="A172" s="16">
        <v>45448.451389000002</v>
      </c>
      <c r="B172" s="17">
        <v>57.687060000000002</v>
      </c>
      <c r="C172" s="18"/>
      <c r="D172" s="19"/>
    </row>
    <row r="173" spans="1:4" x14ac:dyDescent="0.3">
      <c r="A173" s="16">
        <v>45448.452082999996</v>
      </c>
      <c r="B173" s="17">
        <v>58.413671000000001</v>
      </c>
      <c r="C173" s="18"/>
      <c r="D173" s="19"/>
    </row>
    <row r="174" spans="1:4" x14ac:dyDescent="0.3">
      <c r="A174" s="16">
        <v>45448.452777999999</v>
      </c>
      <c r="B174" s="17">
        <v>58.440049000000002</v>
      </c>
      <c r="C174" s="18"/>
      <c r="D174" s="19"/>
    </row>
    <row r="175" spans="1:4" x14ac:dyDescent="0.3">
      <c r="A175" s="16">
        <v>45448.453472000001</v>
      </c>
      <c r="B175" s="17">
        <v>58.512791</v>
      </c>
      <c r="C175" s="18"/>
      <c r="D175" s="19"/>
    </row>
    <row r="176" spans="1:4" x14ac:dyDescent="0.3">
      <c r="A176" s="16">
        <v>45448.454167000004</v>
      </c>
      <c r="B176" s="17">
        <v>58.842604000000001</v>
      </c>
      <c r="C176" s="18"/>
      <c r="D176" s="19"/>
    </row>
    <row r="177" spans="1:4" x14ac:dyDescent="0.3">
      <c r="A177" s="16">
        <v>45448.454860999998</v>
      </c>
      <c r="B177" s="17">
        <v>58.695189999999997</v>
      </c>
      <c r="C177" s="18"/>
      <c r="D177" s="19"/>
    </row>
    <row r="178" spans="1:4" x14ac:dyDescent="0.3">
      <c r="A178" s="16">
        <v>45448.455556000001</v>
      </c>
      <c r="B178" s="17">
        <v>58.680219999999998</v>
      </c>
      <c r="C178" s="18"/>
      <c r="D178" s="19"/>
    </row>
    <row r="179" spans="1:4" x14ac:dyDescent="0.3">
      <c r="A179" s="16">
        <v>45448.456250000003</v>
      </c>
      <c r="B179" s="17">
        <v>58.990369000000001</v>
      </c>
      <c r="C179" s="18"/>
      <c r="D179" s="19"/>
    </row>
    <row r="180" spans="1:4" x14ac:dyDescent="0.3">
      <c r="A180" s="16">
        <v>45448.456943999998</v>
      </c>
      <c r="B180" s="17">
        <v>58.470624999999998</v>
      </c>
      <c r="C180" s="18"/>
      <c r="D180" s="19"/>
    </row>
    <row r="181" spans="1:4" x14ac:dyDescent="0.3">
      <c r="A181" s="16">
        <v>45448.457639</v>
      </c>
      <c r="B181" s="17">
        <v>58.021923999999999</v>
      </c>
      <c r="C181" s="18"/>
      <c r="D181" s="19"/>
    </row>
    <row r="182" spans="1:4" x14ac:dyDescent="0.3">
      <c r="A182" s="16">
        <v>45448.458333000002</v>
      </c>
      <c r="B182" s="17">
        <v>58.511465000000001</v>
      </c>
      <c r="C182" s="18"/>
      <c r="D182" s="19"/>
    </row>
    <row r="183" spans="1:4" x14ac:dyDescent="0.3">
      <c r="A183" s="16">
        <v>45448.459027999997</v>
      </c>
      <c r="B183" s="17">
        <v>58.056569000000003</v>
      </c>
      <c r="C183" s="18"/>
      <c r="D183" s="19"/>
    </row>
    <row r="184" spans="1:4" x14ac:dyDescent="0.3">
      <c r="A184" s="16">
        <v>45448.459722</v>
      </c>
      <c r="B184" s="17">
        <v>58.878126000000002</v>
      </c>
      <c r="C184" s="18"/>
      <c r="D184" s="19"/>
    </row>
    <row r="185" spans="1:4" x14ac:dyDescent="0.3">
      <c r="A185" s="16">
        <v>45448.460417000002</v>
      </c>
      <c r="B185" s="17">
        <v>57.942129000000001</v>
      </c>
      <c r="C185" s="18"/>
      <c r="D185" s="19"/>
    </row>
    <row r="186" spans="1:4" x14ac:dyDescent="0.3">
      <c r="A186" s="16">
        <v>45448.461110999997</v>
      </c>
      <c r="B186" s="17">
        <v>58.111313000000003</v>
      </c>
      <c r="C186" s="18"/>
      <c r="D186" s="19"/>
    </row>
    <row r="187" spans="1:4" x14ac:dyDescent="0.3">
      <c r="A187" s="16">
        <v>45448.461805999999</v>
      </c>
      <c r="B187" s="17">
        <v>58.886423000000001</v>
      </c>
      <c r="C187" s="18"/>
      <c r="D187" s="19"/>
    </row>
    <row r="188" spans="1:4" x14ac:dyDescent="0.3">
      <c r="A188" s="16">
        <v>45448.462500000001</v>
      </c>
      <c r="B188" s="17">
        <v>58.599127000000003</v>
      </c>
      <c r="C188" s="18"/>
      <c r="D188" s="19"/>
    </row>
    <row r="189" spans="1:4" x14ac:dyDescent="0.3">
      <c r="A189" s="16">
        <v>45448.463194000004</v>
      </c>
      <c r="B189" s="17">
        <v>58.614324000000003</v>
      </c>
      <c r="C189" s="18"/>
      <c r="D189" s="19"/>
    </row>
    <row r="190" spans="1:4" x14ac:dyDescent="0.3">
      <c r="A190" s="16">
        <v>45448.463888999999</v>
      </c>
      <c r="B190" s="17">
        <v>58.983001000000002</v>
      </c>
      <c r="C190" s="18"/>
      <c r="D190" s="19"/>
    </row>
    <row r="191" spans="1:4" x14ac:dyDescent="0.3">
      <c r="A191" s="16">
        <v>45448.464583000001</v>
      </c>
      <c r="B191" s="17">
        <v>58.603783999999997</v>
      </c>
      <c r="C191" s="18"/>
      <c r="D191" s="19"/>
    </row>
    <row r="192" spans="1:4" x14ac:dyDescent="0.3">
      <c r="A192" s="16">
        <v>45448.465278000003</v>
      </c>
      <c r="B192" s="17">
        <v>58.254944999999999</v>
      </c>
      <c r="C192" s="18"/>
      <c r="D192" s="19"/>
    </row>
    <row r="193" spans="1:4" x14ac:dyDescent="0.3">
      <c r="A193" s="16">
        <v>45448.465971999998</v>
      </c>
      <c r="B193" s="17">
        <v>58.469779000000003</v>
      </c>
      <c r="C193" s="18"/>
      <c r="D193" s="19"/>
    </row>
    <row r="194" spans="1:4" x14ac:dyDescent="0.3">
      <c r="A194" s="16">
        <v>45448.466667000001</v>
      </c>
      <c r="B194" s="17">
        <v>58.495556999999998</v>
      </c>
      <c r="C194" s="18"/>
      <c r="D194" s="19"/>
    </row>
    <row r="195" spans="1:4" x14ac:dyDescent="0.3">
      <c r="A195" s="16">
        <v>45448.467361000003</v>
      </c>
      <c r="B195" s="17">
        <v>58.610812000000003</v>
      </c>
      <c r="C195" s="18"/>
      <c r="D195" s="19"/>
    </row>
    <row r="196" spans="1:4" x14ac:dyDescent="0.3">
      <c r="A196" s="16">
        <v>45448.468055999998</v>
      </c>
      <c r="B196" s="17">
        <v>58.247329000000001</v>
      </c>
      <c r="C196" s="18"/>
      <c r="D196" s="19"/>
    </row>
    <row r="197" spans="1:4" x14ac:dyDescent="0.3">
      <c r="A197" s="16">
        <v>45448.46875</v>
      </c>
      <c r="B197" s="17">
        <v>58.651035</v>
      </c>
      <c r="C197" s="18"/>
      <c r="D197" s="19"/>
    </row>
    <row r="198" spans="1:4" x14ac:dyDescent="0.3">
      <c r="A198" s="16">
        <v>45448.469444000002</v>
      </c>
      <c r="B198" s="17">
        <v>58.654339999999998</v>
      </c>
      <c r="C198" s="18"/>
      <c r="D198" s="19"/>
    </row>
    <row r="199" spans="1:4" x14ac:dyDescent="0.3">
      <c r="A199" s="16">
        <v>45448.470138999997</v>
      </c>
      <c r="B199" s="17">
        <v>58.922687000000003</v>
      </c>
      <c r="C199" s="18"/>
      <c r="D199" s="19"/>
    </row>
    <row r="200" spans="1:4" x14ac:dyDescent="0.3">
      <c r="A200" s="16">
        <v>45448.470832999999</v>
      </c>
      <c r="B200" s="17">
        <v>58.400013999999999</v>
      </c>
      <c r="C200" s="18"/>
      <c r="D200" s="19"/>
    </row>
    <row r="201" spans="1:4" x14ac:dyDescent="0.3">
      <c r="A201" s="16">
        <v>45448.471528000002</v>
      </c>
      <c r="B201" s="17">
        <v>58.543629000000003</v>
      </c>
      <c r="C201" s="18"/>
      <c r="D201" s="19"/>
    </row>
    <row r="202" spans="1:4" x14ac:dyDescent="0.3">
      <c r="A202" s="16">
        <v>45448.472221999997</v>
      </c>
      <c r="B202" s="17">
        <v>59.087710999999999</v>
      </c>
      <c r="C202" s="18"/>
      <c r="D202" s="19"/>
    </row>
    <row r="203" spans="1:4" x14ac:dyDescent="0.3">
      <c r="A203" s="16">
        <v>45448.472916999999</v>
      </c>
      <c r="B203" s="17">
        <v>58.596457000000001</v>
      </c>
      <c r="C203" s="18"/>
      <c r="D203" s="19"/>
    </row>
    <row r="204" spans="1:4" x14ac:dyDescent="0.3">
      <c r="A204" s="16">
        <v>45448.473611000001</v>
      </c>
      <c r="B204" s="17">
        <v>59.517874999999997</v>
      </c>
      <c r="C204" s="18"/>
      <c r="D204" s="19"/>
    </row>
    <row r="205" spans="1:4" x14ac:dyDescent="0.3">
      <c r="A205" s="16">
        <v>45448.474305999996</v>
      </c>
      <c r="B205" s="17">
        <v>58.758268999999999</v>
      </c>
      <c r="C205" s="18"/>
      <c r="D205" s="19"/>
    </row>
    <row r="206" spans="1:4" x14ac:dyDescent="0.3">
      <c r="A206" s="16">
        <v>45448.474999999999</v>
      </c>
      <c r="B206" s="17">
        <v>59.266615999999999</v>
      </c>
      <c r="C206" s="18"/>
      <c r="D206" s="19"/>
    </row>
    <row r="207" spans="1:4" x14ac:dyDescent="0.3">
      <c r="A207" s="16">
        <v>45448.475694000001</v>
      </c>
      <c r="B207" s="17">
        <v>58.738585999999998</v>
      </c>
      <c r="C207" s="18"/>
      <c r="D207" s="19"/>
    </row>
    <row r="208" spans="1:4" x14ac:dyDescent="0.3">
      <c r="A208" s="16">
        <v>45448.476389000003</v>
      </c>
      <c r="B208" s="17">
        <v>58.456094999999998</v>
      </c>
      <c r="C208" s="18"/>
      <c r="D208" s="19"/>
    </row>
    <row r="209" spans="1:4" x14ac:dyDescent="0.3">
      <c r="A209" s="16">
        <v>45448.477082999998</v>
      </c>
      <c r="B209" s="17">
        <v>58.683945999999999</v>
      </c>
      <c r="C209" s="18"/>
      <c r="D209" s="19"/>
    </row>
    <row r="210" spans="1:4" x14ac:dyDescent="0.3">
      <c r="A210" s="16">
        <v>45448.477778</v>
      </c>
      <c r="B210" s="17">
        <v>58.761673000000002</v>
      </c>
      <c r="C210" s="18"/>
      <c r="D210" s="19"/>
    </row>
    <row r="211" spans="1:4" x14ac:dyDescent="0.3">
      <c r="A211" s="16">
        <v>45448.478472000003</v>
      </c>
      <c r="B211" s="17">
        <v>59.164414000000001</v>
      </c>
      <c r="C211" s="18"/>
      <c r="D211" s="19"/>
    </row>
    <row r="212" spans="1:4" x14ac:dyDescent="0.3">
      <c r="A212" s="16">
        <v>45448.479166999998</v>
      </c>
      <c r="B212" s="17">
        <v>59.078249</v>
      </c>
      <c r="C212" s="18"/>
      <c r="D212" s="19"/>
    </row>
    <row r="213" spans="1:4" x14ac:dyDescent="0.3">
      <c r="A213" s="16">
        <v>45448.479861</v>
      </c>
      <c r="B213" s="17">
        <v>59.132922999999998</v>
      </c>
      <c r="C213" s="18"/>
      <c r="D213" s="19"/>
    </row>
    <row r="214" spans="1:4" x14ac:dyDescent="0.3">
      <c r="A214" s="16">
        <v>45448.480556000002</v>
      </c>
      <c r="B214" s="17">
        <v>58.186385000000001</v>
      </c>
      <c r="C214" s="18"/>
      <c r="D214" s="19"/>
    </row>
    <row r="215" spans="1:4" x14ac:dyDescent="0.3">
      <c r="A215" s="16">
        <v>45448.481249999997</v>
      </c>
      <c r="B215" s="17">
        <v>59.067146999999999</v>
      </c>
      <c r="C215" s="18"/>
      <c r="D215" s="19"/>
    </row>
    <row r="216" spans="1:4" x14ac:dyDescent="0.3">
      <c r="A216" s="16">
        <v>45448.481943999999</v>
      </c>
      <c r="B216" s="17">
        <v>59.069305</v>
      </c>
      <c r="C216" s="18"/>
      <c r="D216" s="19"/>
    </row>
    <row r="217" spans="1:4" x14ac:dyDescent="0.3">
      <c r="A217" s="16">
        <v>45448.482639000002</v>
      </c>
      <c r="B217" s="17">
        <v>58.971252</v>
      </c>
      <c r="C217" s="18"/>
      <c r="D217" s="19"/>
    </row>
    <row r="218" spans="1:4" x14ac:dyDescent="0.3">
      <c r="A218" s="16">
        <v>45448.483332999996</v>
      </c>
      <c r="B218" s="17">
        <v>58.800846999999997</v>
      </c>
      <c r="C218" s="18"/>
      <c r="D218" s="19"/>
    </row>
    <row r="219" spans="1:4" x14ac:dyDescent="0.3">
      <c r="A219" s="16">
        <v>45448.484027999999</v>
      </c>
      <c r="B219" s="17">
        <v>59.324700999999997</v>
      </c>
      <c r="C219" s="18"/>
      <c r="D219" s="19"/>
    </row>
    <row r="220" spans="1:4" x14ac:dyDescent="0.3">
      <c r="A220" s="16">
        <v>45448.484722000001</v>
      </c>
      <c r="B220" s="17">
        <v>58.763804</v>
      </c>
      <c r="C220" s="18"/>
      <c r="D220" s="19"/>
    </row>
    <row r="221" spans="1:4" x14ac:dyDescent="0.3">
      <c r="A221" s="16">
        <v>45448.485417000004</v>
      </c>
      <c r="B221" s="17">
        <v>58.44594</v>
      </c>
      <c r="C221" s="18"/>
      <c r="D221" s="19"/>
    </row>
    <row r="222" spans="1:4" x14ac:dyDescent="0.3">
      <c r="A222" s="16">
        <v>45448.486110999998</v>
      </c>
      <c r="B222" s="17">
        <v>58.887093</v>
      </c>
      <c r="C222" s="18"/>
      <c r="D222" s="19"/>
    </row>
    <row r="223" spans="1:4" x14ac:dyDescent="0.3">
      <c r="A223" s="16">
        <v>45448.486806000001</v>
      </c>
      <c r="B223" s="17">
        <v>58.783174000000002</v>
      </c>
      <c r="C223" s="18"/>
      <c r="D223" s="19"/>
    </row>
    <row r="224" spans="1:4" x14ac:dyDescent="0.3">
      <c r="A224" s="16">
        <v>45448.487500000003</v>
      </c>
      <c r="B224" s="17">
        <v>58.393180000000001</v>
      </c>
      <c r="C224" s="18"/>
      <c r="D224" s="19"/>
    </row>
    <row r="225" spans="1:4" x14ac:dyDescent="0.3">
      <c r="A225" s="16">
        <v>45448.488193999998</v>
      </c>
      <c r="B225" s="17">
        <v>59.251382999999997</v>
      </c>
      <c r="C225" s="18"/>
      <c r="D225" s="19"/>
    </row>
    <row r="226" spans="1:4" x14ac:dyDescent="0.3">
      <c r="A226" s="16">
        <v>45448.488889</v>
      </c>
      <c r="B226" s="17">
        <v>58.791384999999998</v>
      </c>
      <c r="C226" s="18"/>
      <c r="D226" s="19"/>
    </row>
    <row r="227" spans="1:4" x14ac:dyDescent="0.3">
      <c r="A227" s="16">
        <v>45448.489583000002</v>
      </c>
      <c r="B227" s="17">
        <v>58.865073000000002</v>
      </c>
      <c r="C227" s="18"/>
      <c r="D227" s="19"/>
    </row>
    <row r="228" spans="1:4" x14ac:dyDescent="0.3">
      <c r="A228" s="16">
        <v>45448.490277999997</v>
      </c>
      <c r="B228" s="17">
        <v>58.770484000000003</v>
      </c>
      <c r="C228" s="18"/>
      <c r="D228" s="19"/>
    </row>
    <row r="229" spans="1:4" x14ac:dyDescent="0.3">
      <c r="A229" s="16">
        <v>45448.490972</v>
      </c>
      <c r="B229" s="17">
        <v>58.807873000000001</v>
      </c>
      <c r="C229" s="18"/>
      <c r="D229" s="19"/>
    </row>
    <row r="230" spans="1:4" x14ac:dyDescent="0.3">
      <c r="A230" s="16">
        <v>45448.491667000002</v>
      </c>
      <c r="B230" s="17">
        <v>59.022852999999998</v>
      </c>
      <c r="C230" s="18"/>
      <c r="D230" s="19"/>
    </row>
    <row r="231" spans="1:4" x14ac:dyDescent="0.3">
      <c r="A231" s="16">
        <v>45448.492360999997</v>
      </c>
      <c r="B231" s="17">
        <v>58.763945</v>
      </c>
      <c r="C231" s="18"/>
      <c r="D231" s="19"/>
    </row>
    <row r="232" spans="1:4" x14ac:dyDescent="0.3">
      <c r="A232" s="16">
        <v>45448.493055999999</v>
      </c>
      <c r="B232" s="17">
        <v>58.972369</v>
      </c>
      <c r="C232" s="18"/>
      <c r="D232" s="19"/>
    </row>
    <row r="233" spans="1:4" x14ac:dyDescent="0.3">
      <c r="A233" s="16">
        <v>45448.493750000001</v>
      </c>
      <c r="B233" s="17">
        <v>59.138652999999998</v>
      </c>
      <c r="C233" s="18"/>
      <c r="D233" s="19"/>
    </row>
    <row r="234" spans="1:4" x14ac:dyDescent="0.3">
      <c r="A234" s="16">
        <v>45448.494444000004</v>
      </c>
      <c r="B234" s="17">
        <v>58.785870000000003</v>
      </c>
      <c r="C234" s="18"/>
      <c r="D234" s="19"/>
    </row>
    <row r="235" spans="1:4" x14ac:dyDescent="0.3">
      <c r="A235" s="16">
        <v>45448.495138999999</v>
      </c>
      <c r="B235" s="17">
        <v>58.957946</v>
      </c>
      <c r="C235" s="18"/>
      <c r="D235" s="19"/>
    </row>
    <row r="236" spans="1:4" x14ac:dyDescent="0.3">
      <c r="A236" s="16">
        <v>45448.495833000001</v>
      </c>
      <c r="B236" s="17">
        <v>58.732847</v>
      </c>
      <c r="C236" s="18"/>
      <c r="D236" s="19"/>
    </row>
    <row r="237" spans="1:4" x14ac:dyDescent="0.3">
      <c r="A237" s="16">
        <v>45448.496528000003</v>
      </c>
      <c r="B237" s="17">
        <v>59.523232</v>
      </c>
      <c r="C237" s="18"/>
      <c r="D237" s="19"/>
    </row>
    <row r="238" spans="1:4" x14ac:dyDescent="0.3">
      <c r="A238" s="16">
        <v>45448.497221999998</v>
      </c>
      <c r="B238" s="17">
        <v>59.118487999999999</v>
      </c>
      <c r="C238" s="18"/>
      <c r="D238" s="19"/>
    </row>
    <row r="239" spans="1:4" x14ac:dyDescent="0.3">
      <c r="A239" s="16">
        <v>45448.497917000001</v>
      </c>
      <c r="B239" s="17">
        <v>59.390582000000002</v>
      </c>
      <c r="C239" s="18"/>
      <c r="D239" s="19"/>
    </row>
    <row r="240" spans="1:4" x14ac:dyDescent="0.3">
      <c r="A240" s="16">
        <v>45448.498611000003</v>
      </c>
      <c r="B240" s="17">
        <v>59.192627000000002</v>
      </c>
      <c r="C240" s="18"/>
      <c r="D240" s="19"/>
    </row>
    <row r="241" spans="1:4" x14ac:dyDescent="0.3">
      <c r="A241" s="16">
        <v>45448.499305999998</v>
      </c>
      <c r="B241" s="17">
        <v>58.879584999999999</v>
      </c>
      <c r="C241" s="18"/>
      <c r="D241" s="19"/>
    </row>
    <row r="242" spans="1:4" x14ac:dyDescent="0.3">
      <c r="A242" s="16">
        <v>45448.5</v>
      </c>
      <c r="B242" s="17">
        <v>58.670831999999997</v>
      </c>
      <c r="C242" s="18"/>
      <c r="D242" s="19"/>
    </row>
    <row r="243" spans="1:4" x14ac:dyDescent="0.3">
      <c r="A243" s="16">
        <v>45448.500694000002</v>
      </c>
      <c r="B243" s="17">
        <v>58.857371000000001</v>
      </c>
      <c r="C243" s="18"/>
      <c r="D243" s="19"/>
    </row>
    <row r="244" spans="1:4" x14ac:dyDescent="0.3">
      <c r="A244" s="16">
        <v>45448.501388999997</v>
      </c>
      <c r="B244" s="17">
        <v>58.680847</v>
      </c>
      <c r="C244" s="18"/>
      <c r="D244" s="19"/>
    </row>
    <row r="245" spans="1:4" x14ac:dyDescent="0.3">
      <c r="A245" s="16">
        <v>45448.502082999999</v>
      </c>
      <c r="B245" s="17">
        <v>59.468812</v>
      </c>
      <c r="C245" s="18"/>
      <c r="D245" s="19"/>
    </row>
    <row r="246" spans="1:4" x14ac:dyDescent="0.3">
      <c r="A246" s="16">
        <v>45448.502778000002</v>
      </c>
      <c r="B246" s="17">
        <v>58.491484999999997</v>
      </c>
      <c r="C246" s="18"/>
      <c r="D246" s="19"/>
    </row>
    <row r="247" spans="1:4" x14ac:dyDescent="0.3">
      <c r="A247" s="16">
        <v>45448.503471999997</v>
      </c>
      <c r="B247" s="17">
        <v>58.907046000000001</v>
      </c>
      <c r="C247" s="18"/>
      <c r="D247" s="19"/>
    </row>
    <row r="248" spans="1:4" x14ac:dyDescent="0.3">
      <c r="A248" s="16">
        <v>45448.504166999999</v>
      </c>
      <c r="B248" s="17">
        <v>59.244588999999998</v>
      </c>
      <c r="C248" s="18"/>
      <c r="D248" s="19"/>
    </row>
    <row r="249" spans="1:4" x14ac:dyDescent="0.3">
      <c r="A249" s="16">
        <v>45448.504861000001</v>
      </c>
      <c r="B249" s="17">
        <v>59.295133999999997</v>
      </c>
      <c r="C249" s="18"/>
      <c r="D249" s="19"/>
    </row>
    <row r="250" spans="1:4" x14ac:dyDescent="0.3">
      <c r="A250" s="16">
        <v>45448.505555999996</v>
      </c>
      <c r="B250" s="17">
        <v>58.659328000000002</v>
      </c>
      <c r="C250" s="18"/>
      <c r="D250" s="19"/>
    </row>
    <row r="251" spans="1:4" x14ac:dyDescent="0.3">
      <c r="A251" s="16">
        <v>45448.506249999999</v>
      </c>
      <c r="B251" s="17">
        <v>59.024124999999998</v>
      </c>
      <c r="C251" s="18"/>
      <c r="D251" s="19"/>
    </row>
    <row r="252" spans="1:4" x14ac:dyDescent="0.3">
      <c r="A252" s="16">
        <v>45448.506944000001</v>
      </c>
      <c r="B252" s="17">
        <v>59.432898000000002</v>
      </c>
      <c r="C252" s="18"/>
      <c r="D252" s="19"/>
    </row>
    <row r="253" spans="1:4" x14ac:dyDescent="0.3">
      <c r="A253" s="16">
        <v>45448.507639000003</v>
      </c>
      <c r="B253" s="17">
        <v>58.822707999999999</v>
      </c>
      <c r="C253" s="18"/>
      <c r="D253" s="19"/>
    </row>
    <row r="254" spans="1:4" x14ac:dyDescent="0.3">
      <c r="A254" s="16">
        <v>45448.508332999998</v>
      </c>
      <c r="B254" s="17">
        <v>59.021648999999996</v>
      </c>
      <c r="C254" s="18"/>
      <c r="D254" s="19"/>
    </row>
    <row r="255" spans="1:4" x14ac:dyDescent="0.3">
      <c r="A255" s="16">
        <v>45448.509028</v>
      </c>
      <c r="B255" s="17">
        <v>58.627285999999998</v>
      </c>
      <c r="C255" s="18"/>
      <c r="D255" s="19"/>
    </row>
    <row r="256" spans="1:4" x14ac:dyDescent="0.3">
      <c r="A256" s="16">
        <v>45448.509722000003</v>
      </c>
      <c r="B256" s="17">
        <v>58.895927999999998</v>
      </c>
      <c r="C256" s="18"/>
      <c r="D256" s="19"/>
    </row>
    <row r="257" spans="1:4" x14ac:dyDescent="0.3">
      <c r="A257" s="16">
        <v>45448.510416999998</v>
      </c>
      <c r="B257" s="17">
        <v>59.241926999999997</v>
      </c>
      <c r="C257" s="18"/>
      <c r="D257" s="19"/>
    </row>
    <row r="258" spans="1:4" x14ac:dyDescent="0.3">
      <c r="A258" s="16">
        <v>45448.511111</v>
      </c>
      <c r="B258" s="17">
        <v>59.387428</v>
      </c>
      <c r="C258" s="18"/>
      <c r="D258" s="19"/>
    </row>
    <row r="259" spans="1:4" x14ac:dyDescent="0.3">
      <c r="A259" s="16">
        <v>45448.511806000002</v>
      </c>
      <c r="B259" s="17">
        <v>58.907477999999998</v>
      </c>
      <c r="C259" s="18"/>
      <c r="D259" s="19"/>
    </row>
    <row r="260" spans="1:4" x14ac:dyDescent="0.3">
      <c r="A260" s="16">
        <v>45448.512499999997</v>
      </c>
      <c r="B260" s="17">
        <v>59.405217999999998</v>
      </c>
      <c r="C260" s="18"/>
      <c r="D260" s="19"/>
    </row>
    <row r="261" spans="1:4" x14ac:dyDescent="0.3">
      <c r="A261" s="16">
        <v>45448.513193999999</v>
      </c>
      <c r="B261" s="17">
        <v>59.431283999999998</v>
      </c>
      <c r="C261" s="18"/>
      <c r="D261" s="19"/>
    </row>
    <row r="262" spans="1:4" x14ac:dyDescent="0.3">
      <c r="A262" s="16">
        <v>45448.513889000002</v>
      </c>
      <c r="B262" s="17">
        <v>59.534108000000003</v>
      </c>
      <c r="C262" s="18"/>
      <c r="D262" s="19"/>
    </row>
    <row r="263" spans="1:4" x14ac:dyDescent="0.3">
      <c r="A263" s="16">
        <v>45448.514582999996</v>
      </c>
      <c r="B263" s="17">
        <v>59.570835000000002</v>
      </c>
      <c r="C263" s="18"/>
      <c r="D263" s="19"/>
    </row>
    <row r="264" spans="1:4" x14ac:dyDescent="0.3">
      <c r="A264" s="16">
        <v>45448.515277999999</v>
      </c>
      <c r="B264" s="17">
        <v>59.628613999999999</v>
      </c>
      <c r="C264" s="18"/>
      <c r="D264" s="19"/>
    </row>
    <row r="265" spans="1:4" x14ac:dyDescent="0.3">
      <c r="A265" s="16">
        <v>45448.515972000001</v>
      </c>
      <c r="B265" s="17">
        <v>59.461526999999997</v>
      </c>
      <c r="C265" s="18"/>
      <c r="D265" s="19"/>
    </row>
    <row r="266" spans="1:4" x14ac:dyDescent="0.3">
      <c r="A266" s="16">
        <v>45448.516667000004</v>
      </c>
      <c r="B266" s="17">
        <v>59.463617999999997</v>
      </c>
      <c r="C266" s="18"/>
      <c r="D266" s="19"/>
    </row>
    <row r="267" spans="1:4" x14ac:dyDescent="0.3">
      <c r="A267" s="16">
        <v>45448.517360999998</v>
      </c>
      <c r="B267" s="17">
        <v>59.123713000000002</v>
      </c>
      <c r="C267" s="18"/>
      <c r="D267" s="19"/>
    </row>
    <row r="268" spans="1:4" x14ac:dyDescent="0.3">
      <c r="A268" s="16">
        <v>45448.518056000001</v>
      </c>
      <c r="B268" s="17">
        <v>59.547117</v>
      </c>
      <c r="C268" s="18"/>
      <c r="D268" s="19"/>
    </row>
    <row r="269" spans="1:4" x14ac:dyDescent="0.3">
      <c r="A269" s="16">
        <v>45448.518750000003</v>
      </c>
      <c r="B269" s="17">
        <v>59.048338999999999</v>
      </c>
      <c r="C269" s="18"/>
      <c r="D269" s="19"/>
    </row>
    <row r="270" spans="1:4" x14ac:dyDescent="0.3">
      <c r="A270" s="16">
        <v>45448.519443999998</v>
      </c>
      <c r="B270" s="17">
        <v>59.083295</v>
      </c>
      <c r="C270" s="18"/>
      <c r="D270" s="19"/>
    </row>
    <row r="271" spans="1:4" x14ac:dyDescent="0.3">
      <c r="A271" s="16">
        <v>45448.520139</v>
      </c>
      <c r="B271" s="17">
        <v>59.522046000000003</v>
      </c>
      <c r="C271" s="18"/>
      <c r="D271" s="19"/>
    </row>
    <row r="272" spans="1:4" x14ac:dyDescent="0.3">
      <c r="A272" s="16">
        <v>45448.520833000002</v>
      </c>
      <c r="B272" s="17">
        <v>59.282836000000003</v>
      </c>
      <c r="C272" s="18"/>
      <c r="D272" s="19"/>
    </row>
    <row r="273" spans="1:4" x14ac:dyDescent="0.3">
      <c r="A273" s="16">
        <v>45448.521527999997</v>
      </c>
      <c r="B273" s="17">
        <v>59.458404999999999</v>
      </c>
      <c r="C273" s="18"/>
      <c r="D273" s="19"/>
    </row>
    <row r="274" spans="1:4" x14ac:dyDescent="0.3">
      <c r="A274" s="16">
        <v>45448.522222</v>
      </c>
      <c r="B274" s="17">
        <v>59.255105</v>
      </c>
      <c r="C274" s="18"/>
      <c r="D274" s="19"/>
    </row>
    <row r="275" spans="1:4" x14ac:dyDescent="0.3">
      <c r="A275" s="16">
        <v>45448.522917000002</v>
      </c>
      <c r="B275" s="17">
        <v>58.79345</v>
      </c>
      <c r="C275" s="18"/>
      <c r="D275" s="19"/>
    </row>
    <row r="276" spans="1:4" x14ac:dyDescent="0.3">
      <c r="A276" s="16">
        <v>45448.523610999997</v>
      </c>
      <c r="B276" s="17">
        <v>59.012053000000002</v>
      </c>
      <c r="C276" s="18"/>
      <c r="D276" s="19"/>
    </row>
    <row r="277" spans="1:4" x14ac:dyDescent="0.3">
      <c r="A277" s="16">
        <v>45448.524305999999</v>
      </c>
      <c r="B277" s="17">
        <v>59.010930000000002</v>
      </c>
      <c r="C277" s="18"/>
      <c r="D277" s="19"/>
    </row>
    <row r="278" spans="1:4" x14ac:dyDescent="0.3">
      <c r="A278" s="16">
        <v>45448.525000000001</v>
      </c>
      <c r="B278" s="17">
        <v>59.251361000000003</v>
      </c>
      <c r="C278" s="18"/>
      <c r="D278" s="19"/>
    </row>
    <row r="279" spans="1:4" x14ac:dyDescent="0.3">
      <c r="A279" s="16">
        <v>45448.525694000004</v>
      </c>
      <c r="B279" s="17">
        <v>59.301895999999999</v>
      </c>
      <c r="C279" s="18"/>
      <c r="D279" s="19"/>
    </row>
    <row r="280" spans="1:4" x14ac:dyDescent="0.3">
      <c r="A280" s="16">
        <v>45448.526388999999</v>
      </c>
      <c r="B280" s="17">
        <v>59.257263999999999</v>
      </c>
      <c r="C280" s="18"/>
      <c r="D280" s="19"/>
    </row>
    <row r="281" spans="1:4" x14ac:dyDescent="0.3">
      <c r="A281" s="16">
        <v>45448.527083000001</v>
      </c>
      <c r="B281" s="17">
        <v>59.197600000000001</v>
      </c>
      <c r="C281" s="18"/>
      <c r="D281" s="19"/>
    </row>
    <row r="282" spans="1:4" x14ac:dyDescent="0.3">
      <c r="A282" s="16">
        <v>45448.527778000003</v>
      </c>
      <c r="B282" s="17">
        <v>59.563924</v>
      </c>
      <c r="C282" s="18"/>
      <c r="D282" s="19"/>
    </row>
    <row r="283" spans="1:4" x14ac:dyDescent="0.3">
      <c r="A283" s="16">
        <v>45448.528471999998</v>
      </c>
      <c r="B283" s="17">
        <v>59.204844999999999</v>
      </c>
      <c r="C283" s="18"/>
      <c r="D283" s="19"/>
    </row>
    <row r="284" spans="1:4" x14ac:dyDescent="0.3">
      <c r="A284" s="16">
        <v>45448.529167000001</v>
      </c>
      <c r="B284" s="17">
        <v>58.684472999999997</v>
      </c>
      <c r="C284" s="18"/>
      <c r="D284" s="19"/>
    </row>
    <row r="285" spans="1:4" x14ac:dyDescent="0.3">
      <c r="A285" s="16">
        <v>45448.529861000003</v>
      </c>
      <c r="B285" s="17">
        <v>58.998458999999997</v>
      </c>
      <c r="C285" s="18"/>
      <c r="D285" s="19"/>
    </row>
    <row r="286" spans="1:4" x14ac:dyDescent="0.3">
      <c r="A286" s="16">
        <v>45448.530555999998</v>
      </c>
      <c r="B286" s="17">
        <v>58.724783000000002</v>
      </c>
      <c r="C286" s="18"/>
      <c r="D286" s="19"/>
    </row>
    <row r="287" spans="1:4" x14ac:dyDescent="0.3">
      <c r="A287" s="16">
        <v>45448.53125</v>
      </c>
      <c r="B287" s="17">
        <v>59.028182999999999</v>
      </c>
      <c r="C287" s="18"/>
      <c r="D287" s="19"/>
    </row>
    <row r="288" spans="1:4" x14ac:dyDescent="0.3">
      <c r="A288" s="16">
        <v>45448.531944000002</v>
      </c>
      <c r="B288" s="17">
        <v>59.150433999999997</v>
      </c>
      <c r="C288" s="18"/>
      <c r="D288" s="19"/>
    </row>
    <row r="289" spans="1:4" x14ac:dyDescent="0.3">
      <c r="A289" s="16">
        <v>45448.532638999997</v>
      </c>
      <c r="B289" s="17">
        <v>59.019875999999996</v>
      </c>
      <c r="C289" s="18"/>
      <c r="D289" s="19"/>
    </row>
    <row r="290" spans="1:4" x14ac:dyDescent="0.3">
      <c r="A290" s="16">
        <v>45448.533332999999</v>
      </c>
      <c r="B290" s="17">
        <v>59.517359999999996</v>
      </c>
      <c r="C290" s="18"/>
      <c r="D290" s="19"/>
    </row>
    <row r="291" spans="1:4" x14ac:dyDescent="0.3">
      <c r="A291" s="16">
        <v>45448.534028000002</v>
      </c>
      <c r="B291" s="17">
        <v>59.166465000000002</v>
      </c>
      <c r="C291" s="18"/>
      <c r="D291" s="19"/>
    </row>
    <row r="292" spans="1:4" x14ac:dyDescent="0.3">
      <c r="A292" s="16">
        <v>45448.534721999997</v>
      </c>
      <c r="B292" s="17">
        <v>59.149144999999997</v>
      </c>
      <c r="C292" s="18"/>
      <c r="D292" s="19"/>
    </row>
    <row r="293" spans="1:4" x14ac:dyDescent="0.3">
      <c r="A293" s="16">
        <v>45448.535416999999</v>
      </c>
      <c r="B293" s="17">
        <v>58.784781000000002</v>
      </c>
      <c r="C293" s="18"/>
      <c r="D293" s="19"/>
    </row>
    <row r="294" spans="1:4" x14ac:dyDescent="0.3">
      <c r="A294" s="16">
        <v>45448.536111000001</v>
      </c>
      <c r="B294" s="17">
        <v>58.941023000000001</v>
      </c>
      <c r="C294" s="18"/>
      <c r="D294" s="19"/>
    </row>
    <row r="295" spans="1:4" x14ac:dyDescent="0.3">
      <c r="A295" s="16">
        <v>45448.536805999996</v>
      </c>
      <c r="B295" s="17">
        <v>59.429355999999999</v>
      </c>
      <c r="C295" s="18"/>
      <c r="D295" s="19"/>
    </row>
    <row r="296" spans="1:4" x14ac:dyDescent="0.3">
      <c r="A296" s="16">
        <v>45448.537499999999</v>
      </c>
      <c r="B296" s="17">
        <v>59.077182000000001</v>
      </c>
      <c r="C296" s="18"/>
      <c r="D296" s="19"/>
    </row>
    <row r="297" spans="1:4" x14ac:dyDescent="0.3">
      <c r="A297" s="16">
        <v>45448.538194000001</v>
      </c>
      <c r="B297" s="17">
        <v>59.544007000000001</v>
      </c>
      <c r="C297" s="18"/>
      <c r="D297" s="19"/>
    </row>
    <row r="298" spans="1:4" x14ac:dyDescent="0.3">
      <c r="A298" s="16">
        <v>45448.538889000003</v>
      </c>
      <c r="B298" s="17">
        <v>59.166124000000003</v>
      </c>
      <c r="C298" s="18"/>
      <c r="D298" s="19"/>
    </row>
    <row r="299" spans="1:4" x14ac:dyDescent="0.3">
      <c r="A299" s="16">
        <v>45448.539582999998</v>
      </c>
      <c r="B299" s="17">
        <v>59.077776999999998</v>
      </c>
      <c r="C299" s="18"/>
      <c r="D299" s="19"/>
    </row>
    <row r="300" spans="1:4" x14ac:dyDescent="0.3">
      <c r="A300" s="16">
        <v>45448.540278</v>
      </c>
      <c r="B300" s="17">
        <v>59.6</v>
      </c>
      <c r="C300" s="18"/>
      <c r="D300" s="19"/>
    </row>
    <row r="301" spans="1:4" x14ac:dyDescent="0.3">
      <c r="A301" s="16">
        <v>45448.540972000003</v>
      </c>
      <c r="B301" s="17">
        <v>59.655608999999998</v>
      </c>
      <c r="C301" s="18"/>
      <c r="D301" s="19"/>
    </row>
    <row r="302" spans="1:4" x14ac:dyDescent="0.3">
      <c r="A302" s="16">
        <v>45448.541666999998</v>
      </c>
      <c r="B302" s="17">
        <v>59.256748999999999</v>
      </c>
      <c r="C302" s="18"/>
      <c r="D302" s="19"/>
    </row>
    <row r="303" spans="1:4" x14ac:dyDescent="0.3">
      <c r="A303" s="16">
        <v>45448.542361</v>
      </c>
      <c r="B303" s="17">
        <v>59.328788000000003</v>
      </c>
      <c r="C303" s="18"/>
      <c r="D303" s="19"/>
    </row>
    <row r="304" spans="1:4" x14ac:dyDescent="0.3">
      <c r="A304" s="16">
        <v>45448.543056000002</v>
      </c>
      <c r="B304" s="17">
        <v>59.661175999999998</v>
      </c>
      <c r="C304" s="18"/>
      <c r="D304" s="19"/>
    </row>
    <row r="305" spans="1:4" x14ac:dyDescent="0.3">
      <c r="A305" s="16">
        <v>45448.543749999997</v>
      </c>
      <c r="B305" s="17">
        <v>59.163257999999999</v>
      </c>
      <c r="C305" s="18"/>
      <c r="D305" s="19"/>
    </row>
    <row r="306" spans="1:4" x14ac:dyDescent="0.3">
      <c r="A306" s="16">
        <v>45448.544443999999</v>
      </c>
      <c r="B306" s="17">
        <v>59.423344</v>
      </c>
      <c r="C306" s="18"/>
      <c r="D306" s="19"/>
    </row>
    <row r="307" spans="1:4" x14ac:dyDescent="0.3">
      <c r="A307" s="16">
        <v>45448.545139000002</v>
      </c>
      <c r="B307" s="17">
        <v>58.941231000000002</v>
      </c>
      <c r="C307" s="18"/>
      <c r="D307" s="19"/>
    </row>
    <row r="308" spans="1:4" x14ac:dyDescent="0.3">
      <c r="A308" s="16">
        <v>45448.545832999996</v>
      </c>
      <c r="B308" s="17">
        <v>59.246082999999999</v>
      </c>
      <c r="C308" s="18"/>
      <c r="D308" s="19"/>
    </row>
    <row r="309" spans="1:4" x14ac:dyDescent="0.3">
      <c r="A309" s="16">
        <v>45448.546527999999</v>
      </c>
      <c r="B309" s="17">
        <v>59.250957999999997</v>
      </c>
      <c r="C309" s="18"/>
      <c r="D309" s="19"/>
    </row>
    <row r="310" spans="1:4" x14ac:dyDescent="0.3">
      <c r="A310" s="16">
        <v>45448.547222000001</v>
      </c>
      <c r="B310" s="17">
        <v>59.715148999999997</v>
      </c>
      <c r="C310" s="18"/>
      <c r="D310" s="19"/>
    </row>
    <row r="311" spans="1:4" x14ac:dyDescent="0.3">
      <c r="A311" s="16">
        <v>45448.547917000004</v>
      </c>
      <c r="B311" s="17">
        <v>59.572094</v>
      </c>
      <c r="C311" s="18"/>
      <c r="D311" s="19"/>
    </row>
    <row r="312" spans="1:4" x14ac:dyDescent="0.3">
      <c r="A312" s="16">
        <v>45448.548610999998</v>
      </c>
      <c r="B312" s="17">
        <v>59.482081999999998</v>
      </c>
      <c r="C312" s="18"/>
      <c r="D312" s="19"/>
    </row>
    <row r="313" spans="1:4" x14ac:dyDescent="0.3">
      <c r="A313" s="16">
        <v>45448.549306000001</v>
      </c>
      <c r="B313" s="17">
        <v>58.625076999999997</v>
      </c>
      <c r="C313" s="18"/>
      <c r="D313" s="19"/>
    </row>
    <row r="314" spans="1:4" x14ac:dyDescent="0.3">
      <c r="A314" s="16">
        <v>45448.55</v>
      </c>
      <c r="B314" s="17">
        <v>59.042802000000002</v>
      </c>
      <c r="C314" s="18"/>
      <c r="D314" s="19"/>
    </row>
    <row r="315" spans="1:4" x14ac:dyDescent="0.3">
      <c r="A315" s="16">
        <v>45448.550693999998</v>
      </c>
      <c r="B315" s="17">
        <v>59.022680000000001</v>
      </c>
      <c r="C315" s="18"/>
      <c r="D315" s="19"/>
    </row>
    <row r="316" spans="1:4" x14ac:dyDescent="0.3">
      <c r="A316" s="16">
        <v>45448.551389</v>
      </c>
      <c r="B316" s="17">
        <v>59.101115</v>
      </c>
      <c r="C316" s="18"/>
      <c r="D316" s="19"/>
    </row>
    <row r="317" spans="1:4" x14ac:dyDescent="0.3">
      <c r="A317" s="16">
        <v>45448.552083000002</v>
      </c>
      <c r="B317" s="17">
        <v>59.519815999999999</v>
      </c>
      <c r="C317" s="18"/>
      <c r="D317" s="19"/>
    </row>
    <row r="318" spans="1:4" x14ac:dyDescent="0.3">
      <c r="A318" s="16">
        <v>45448.552777999997</v>
      </c>
      <c r="B318" s="17">
        <v>59.000584000000003</v>
      </c>
      <c r="C318" s="18"/>
      <c r="D318" s="19"/>
    </row>
    <row r="319" spans="1:4" x14ac:dyDescent="0.3">
      <c r="A319" s="16">
        <v>45448.553472</v>
      </c>
      <c r="B319" s="17">
        <v>59.255079000000002</v>
      </c>
      <c r="C319" s="18"/>
      <c r="D319" s="19"/>
    </row>
    <row r="320" spans="1:4" x14ac:dyDescent="0.3">
      <c r="A320" s="16">
        <v>45448.554167000002</v>
      </c>
      <c r="B320" s="17">
        <v>59.848441000000001</v>
      </c>
      <c r="C320" s="18"/>
      <c r="D320" s="19"/>
    </row>
    <row r="321" spans="1:4" x14ac:dyDescent="0.3">
      <c r="A321" s="16">
        <v>45448.554860999997</v>
      </c>
      <c r="B321" s="17">
        <v>59.139119999999998</v>
      </c>
      <c r="C321" s="18"/>
      <c r="D321" s="19"/>
    </row>
    <row r="322" spans="1:4" x14ac:dyDescent="0.3">
      <c r="A322" s="16">
        <v>45448.555555999999</v>
      </c>
      <c r="B322" s="17">
        <v>59.423271</v>
      </c>
      <c r="C322" s="18"/>
      <c r="D322" s="19"/>
    </row>
    <row r="323" spans="1:4" x14ac:dyDescent="0.3">
      <c r="A323" s="16">
        <v>45448.556250000001</v>
      </c>
      <c r="B323" s="17">
        <v>59.058591</v>
      </c>
      <c r="C323" s="18"/>
      <c r="D323" s="19"/>
    </row>
    <row r="324" spans="1:4" x14ac:dyDescent="0.3">
      <c r="A324" s="16">
        <v>45448.556944000004</v>
      </c>
      <c r="B324" s="17">
        <v>59.123235000000001</v>
      </c>
      <c r="C324" s="18"/>
      <c r="D324" s="19"/>
    </row>
    <row r="325" spans="1:4" x14ac:dyDescent="0.3">
      <c r="A325" s="16">
        <v>45448.557638999999</v>
      </c>
      <c r="B325" s="17">
        <v>59.614117</v>
      </c>
      <c r="C325" s="18"/>
      <c r="D325" s="19"/>
    </row>
    <row r="326" spans="1:4" x14ac:dyDescent="0.3">
      <c r="A326" s="16">
        <v>45448.558333000001</v>
      </c>
      <c r="B326" s="17">
        <v>59.751210999999998</v>
      </c>
      <c r="C326" s="18"/>
      <c r="D326" s="19"/>
    </row>
    <row r="327" spans="1:4" x14ac:dyDescent="0.3">
      <c r="A327" s="16">
        <v>45448.559028000003</v>
      </c>
      <c r="B327" s="17">
        <v>58.973056999999997</v>
      </c>
      <c r="C327" s="18"/>
      <c r="D327" s="19"/>
    </row>
    <row r="328" spans="1:4" x14ac:dyDescent="0.3">
      <c r="A328" s="16">
        <v>45448.559721999998</v>
      </c>
      <c r="B328" s="17">
        <v>60.147803000000003</v>
      </c>
      <c r="C328" s="18"/>
      <c r="D328" s="19"/>
    </row>
    <row r="329" spans="1:4" x14ac:dyDescent="0.3">
      <c r="A329" s="16">
        <v>45448.560417000001</v>
      </c>
      <c r="B329" s="17">
        <v>59.286864999999999</v>
      </c>
      <c r="C329" s="18"/>
      <c r="D329" s="19"/>
    </row>
    <row r="330" spans="1:4" x14ac:dyDescent="0.3">
      <c r="A330" s="16">
        <v>45448.561111000003</v>
      </c>
      <c r="B330" s="17">
        <v>59.456161000000002</v>
      </c>
      <c r="C330" s="18"/>
      <c r="D330" s="19"/>
    </row>
    <row r="331" spans="1:4" x14ac:dyDescent="0.3">
      <c r="A331" s="16">
        <v>45448.561805999998</v>
      </c>
      <c r="B331" s="17">
        <v>58.959513999999999</v>
      </c>
      <c r="C331" s="18"/>
      <c r="D331" s="19"/>
    </row>
    <row r="332" spans="1:4" x14ac:dyDescent="0.3">
      <c r="A332" s="16">
        <v>45448.5625</v>
      </c>
      <c r="B332" s="17">
        <v>58.783974000000001</v>
      </c>
      <c r="C332" s="18"/>
      <c r="D332" s="19"/>
    </row>
    <row r="333" spans="1:4" x14ac:dyDescent="0.3">
      <c r="A333" s="16">
        <v>45448.563194000002</v>
      </c>
      <c r="B333" s="17">
        <v>59.088087999999999</v>
      </c>
      <c r="C333" s="18"/>
      <c r="D333" s="19"/>
    </row>
    <row r="334" spans="1:4" x14ac:dyDescent="0.3">
      <c r="A334" s="16">
        <v>45448.563888999997</v>
      </c>
      <c r="B334" s="17">
        <v>60.041910999999999</v>
      </c>
      <c r="C334" s="18"/>
      <c r="D334" s="19"/>
    </row>
    <row r="335" spans="1:4" x14ac:dyDescent="0.3">
      <c r="A335" s="16">
        <v>45448.564582999999</v>
      </c>
      <c r="B335" s="17">
        <v>59.509811999999997</v>
      </c>
      <c r="C335" s="18"/>
      <c r="D335" s="19"/>
    </row>
    <row r="336" spans="1:4" x14ac:dyDescent="0.3">
      <c r="A336" s="16">
        <v>45448.565278000002</v>
      </c>
      <c r="B336" s="17">
        <v>59.697102000000001</v>
      </c>
      <c r="C336" s="18"/>
      <c r="D336" s="19"/>
    </row>
    <row r="337" spans="1:4" x14ac:dyDescent="0.3">
      <c r="A337" s="16">
        <v>45448.565971999997</v>
      </c>
      <c r="B337" s="17">
        <v>59.135883999999997</v>
      </c>
      <c r="C337" s="18"/>
      <c r="D337" s="19"/>
    </row>
    <row r="338" spans="1:4" x14ac:dyDescent="0.3">
      <c r="A338" s="16">
        <v>45448.566666999999</v>
      </c>
      <c r="B338" s="17">
        <v>59.748367999999999</v>
      </c>
      <c r="C338" s="18"/>
      <c r="D338" s="19"/>
    </row>
    <row r="339" spans="1:4" x14ac:dyDescent="0.3">
      <c r="A339" s="16">
        <v>45448.567361000001</v>
      </c>
      <c r="B339" s="17">
        <v>59.674936000000002</v>
      </c>
      <c r="C339" s="18"/>
      <c r="D339" s="19"/>
    </row>
    <row r="340" spans="1:4" x14ac:dyDescent="0.3">
      <c r="A340" s="16">
        <v>45448.568055999996</v>
      </c>
      <c r="B340" s="17">
        <v>59.031689</v>
      </c>
      <c r="C340" s="18"/>
      <c r="D340" s="19"/>
    </row>
    <row r="341" spans="1:4" x14ac:dyDescent="0.3">
      <c r="A341" s="16">
        <v>45448.568749999999</v>
      </c>
      <c r="B341" s="17">
        <v>59.848979999999997</v>
      </c>
      <c r="C341" s="18"/>
      <c r="D341" s="19"/>
    </row>
    <row r="342" spans="1:4" x14ac:dyDescent="0.3">
      <c r="A342" s="16">
        <v>45448.569444000001</v>
      </c>
      <c r="B342" s="17">
        <v>58.973039</v>
      </c>
      <c r="C342" s="18"/>
      <c r="D342" s="19"/>
    </row>
    <row r="343" spans="1:4" x14ac:dyDescent="0.3">
      <c r="A343" s="16">
        <v>45448.570139000003</v>
      </c>
      <c r="B343" s="17">
        <v>59.050902000000001</v>
      </c>
      <c r="C343" s="18"/>
      <c r="D343" s="19"/>
    </row>
    <row r="344" spans="1:4" x14ac:dyDescent="0.3">
      <c r="A344" s="16">
        <v>45448.570832999998</v>
      </c>
      <c r="B344" s="17">
        <v>59.297749000000003</v>
      </c>
      <c r="C344" s="18"/>
      <c r="D344" s="19"/>
    </row>
    <row r="345" spans="1:4" x14ac:dyDescent="0.3">
      <c r="A345" s="16">
        <v>45448.571528</v>
      </c>
      <c r="B345" s="17">
        <v>59.742024999999998</v>
      </c>
      <c r="C345" s="18"/>
      <c r="D345" s="19"/>
    </row>
    <row r="346" spans="1:4" x14ac:dyDescent="0.3">
      <c r="A346" s="16">
        <v>45448.572222000003</v>
      </c>
      <c r="B346" s="17">
        <v>59.526330000000002</v>
      </c>
      <c r="C346" s="18"/>
      <c r="D346" s="19"/>
    </row>
    <row r="347" spans="1:4" x14ac:dyDescent="0.3">
      <c r="A347" s="16">
        <v>45448.572916999998</v>
      </c>
      <c r="B347" s="17">
        <v>59.428161000000003</v>
      </c>
      <c r="C347" s="18"/>
      <c r="D347" s="19"/>
    </row>
    <row r="348" spans="1:4" x14ac:dyDescent="0.3">
      <c r="A348" s="16">
        <v>45448.573611</v>
      </c>
      <c r="B348" s="17">
        <v>59.630319</v>
      </c>
      <c r="C348" s="18"/>
      <c r="D348" s="19"/>
    </row>
    <row r="349" spans="1:4" x14ac:dyDescent="0.3">
      <c r="A349" s="16">
        <v>45448.574306000002</v>
      </c>
      <c r="B349" s="17">
        <v>59.977621999999997</v>
      </c>
      <c r="C349" s="18"/>
      <c r="D349" s="19"/>
    </row>
    <row r="350" spans="1:4" x14ac:dyDescent="0.3">
      <c r="A350" s="16">
        <v>45448.574999999997</v>
      </c>
      <c r="B350" s="17">
        <v>59.286017000000001</v>
      </c>
      <c r="C350" s="18"/>
      <c r="D350" s="19"/>
    </row>
    <row r="351" spans="1:4" x14ac:dyDescent="0.3">
      <c r="A351" s="16">
        <v>45448.575693999999</v>
      </c>
      <c r="B351" s="17">
        <v>59.188099000000001</v>
      </c>
      <c r="C351" s="18"/>
      <c r="D351" s="19"/>
    </row>
    <row r="352" spans="1:4" x14ac:dyDescent="0.3">
      <c r="A352" s="16">
        <v>45448.576389000002</v>
      </c>
      <c r="B352" s="17">
        <v>59.121611000000001</v>
      </c>
      <c r="C352" s="18"/>
      <c r="D352" s="19"/>
    </row>
    <row r="353" spans="1:4" x14ac:dyDescent="0.3">
      <c r="A353" s="16">
        <v>45448.577082999996</v>
      </c>
      <c r="B353" s="17">
        <v>59.388356999999999</v>
      </c>
      <c r="C353" s="18"/>
      <c r="D353" s="19"/>
    </row>
    <row r="354" spans="1:4" x14ac:dyDescent="0.3">
      <c r="A354" s="16">
        <v>45448.577777999999</v>
      </c>
      <c r="B354" s="17">
        <v>59.782981999999997</v>
      </c>
      <c r="C354" s="18"/>
      <c r="D354" s="19"/>
    </row>
    <row r="355" spans="1:4" x14ac:dyDescent="0.3">
      <c r="A355" s="16">
        <v>45448.578472000001</v>
      </c>
      <c r="B355" s="17">
        <v>59.289845999999997</v>
      </c>
      <c r="C355" s="18"/>
      <c r="D355" s="19"/>
    </row>
    <row r="356" spans="1:4" x14ac:dyDescent="0.3">
      <c r="A356" s="16">
        <v>45448.579167000004</v>
      </c>
      <c r="B356" s="17">
        <v>59.328864000000003</v>
      </c>
      <c r="C356" s="18"/>
      <c r="D356" s="19"/>
    </row>
    <row r="357" spans="1:4" x14ac:dyDescent="0.3">
      <c r="A357" s="16">
        <v>45448.579860999998</v>
      </c>
      <c r="B357" s="17">
        <v>59.586024000000002</v>
      </c>
      <c r="C357" s="18"/>
      <c r="D357" s="19"/>
    </row>
    <row r="358" spans="1:4" x14ac:dyDescent="0.3">
      <c r="A358" s="16">
        <v>45448.580556000001</v>
      </c>
      <c r="B358" s="17">
        <v>59.438223000000001</v>
      </c>
      <c r="C358" s="18"/>
      <c r="D358" s="19"/>
    </row>
    <row r="359" spans="1:4" x14ac:dyDescent="0.3">
      <c r="A359" s="16">
        <v>45448.581250000003</v>
      </c>
      <c r="B359" s="17">
        <v>59.553750999999998</v>
      </c>
      <c r="C359" s="18"/>
      <c r="D359" s="19"/>
    </row>
    <row r="360" spans="1:4" x14ac:dyDescent="0.3">
      <c r="A360" s="16">
        <v>45448.581943999998</v>
      </c>
      <c r="B360" s="17">
        <v>58.991390000000003</v>
      </c>
      <c r="C360" s="18"/>
      <c r="D360" s="19"/>
    </row>
    <row r="361" spans="1:4" x14ac:dyDescent="0.3">
      <c r="A361" s="16">
        <v>45448.582639</v>
      </c>
      <c r="B361" s="17">
        <v>59.768436000000001</v>
      </c>
      <c r="C361" s="18"/>
      <c r="D361" s="19"/>
    </row>
    <row r="362" spans="1:4" x14ac:dyDescent="0.3">
      <c r="A362" s="16">
        <v>45448.583333000002</v>
      </c>
      <c r="B362" s="17">
        <v>59.500673999999997</v>
      </c>
      <c r="C362" s="18"/>
      <c r="D362" s="19"/>
    </row>
    <row r="363" spans="1:4" x14ac:dyDescent="0.3">
      <c r="A363" s="16">
        <v>45448.584027999997</v>
      </c>
      <c r="B363" s="17">
        <v>59.137202000000002</v>
      </c>
      <c r="C363" s="18"/>
      <c r="D363" s="19"/>
    </row>
    <row r="364" spans="1:4" x14ac:dyDescent="0.3">
      <c r="A364" s="16">
        <v>45448.584722</v>
      </c>
      <c r="B364" s="17">
        <v>59.719473000000001</v>
      </c>
      <c r="C364" s="18"/>
      <c r="D364" s="19"/>
    </row>
    <row r="365" spans="1:4" x14ac:dyDescent="0.3">
      <c r="A365" s="16">
        <v>45448.585417000002</v>
      </c>
      <c r="B365" s="17">
        <v>59.185124000000002</v>
      </c>
      <c r="C365" s="18"/>
      <c r="D365" s="19"/>
    </row>
    <row r="366" spans="1:4" x14ac:dyDescent="0.3">
      <c r="A366" s="16">
        <v>45448.586110999997</v>
      </c>
      <c r="B366" s="17">
        <v>59.704743999999998</v>
      </c>
      <c r="C366" s="18"/>
      <c r="D366" s="19"/>
    </row>
    <row r="367" spans="1:4" x14ac:dyDescent="0.3">
      <c r="A367" s="16">
        <v>45448.586805999999</v>
      </c>
      <c r="B367" s="17">
        <v>59.931891</v>
      </c>
      <c r="C367" s="18"/>
      <c r="D367" s="19"/>
    </row>
    <row r="368" spans="1:4" x14ac:dyDescent="0.3">
      <c r="A368" s="16">
        <v>45448.587500000001</v>
      </c>
      <c r="B368" s="17">
        <v>59.617418999999998</v>
      </c>
      <c r="C368" s="18"/>
      <c r="D368" s="19"/>
    </row>
    <row r="369" spans="1:4" x14ac:dyDescent="0.3">
      <c r="A369" s="16">
        <v>45448.588194000004</v>
      </c>
      <c r="B369" s="17">
        <v>59.674405999999998</v>
      </c>
      <c r="C369" s="18"/>
      <c r="D369" s="19"/>
    </row>
    <row r="370" spans="1:4" x14ac:dyDescent="0.3">
      <c r="A370" s="16">
        <v>45448.588888999999</v>
      </c>
      <c r="B370" s="17">
        <v>59.365327999999998</v>
      </c>
      <c r="C370" s="18"/>
      <c r="D370" s="19"/>
    </row>
    <row r="371" spans="1:4" x14ac:dyDescent="0.3">
      <c r="A371" s="16">
        <v>45448.589583000001</v>
      </c>
      <c r="B371" s="17">
        <v>58.660029999999999</v>
      </c>
      <c r="C371" s="18"/>
      <c r="D371" s="19"/>
    </row>
    <row r="372" spans="1:4" x14ac:dyDescent="0.3">
      <c r="A372" s="16">
        <v>45448.590278000003</v>
      </c>
      <c r="B372" s="17">
        <v>59.597543999999999</v>
      </c>
      <c r="C372" s="18"/>
      <c r="D372" s="19"/>
    </row>
    <row r="373" spans="1:4" x14ac:dyDescent="0.3">
      <c r="A373" s="16">
        <v>45448.590971999998</v>
      </c>
      <c r="B373" s="17">
        <v>59.570630999999999</v>
      </c>
      <c r="C373" s="18"/>
      <c r="D373" s="19"/>
    </row>
    <row r="374" spans="1:4" x14ac:dyDescent="0.3">
      <c r="A374" s="16">
        <v>45448.591667000001</v>
      </c>
      <c r="B374" s="17">
        <v>59.030442000000001</v>
      </c>
      <c r="C374" s="18"/>
      <c r="D374" s="19"/>
    </row>
    <row r="375" spans="1:4" x14ac:dyDescent="0.3">
      <c r="A375" s="16">
        <v>45448.592361000003</v>
      </c>
      <c r="B375" s="17">
        <v>59.216670000000001</v>
      </c>
      <c r="C375" s="18"/>
      <c r="D375" s="19"/>
    </row>
    <row r="376" spans="1:4" x14ac:dyDescent="0.3">
      <c r="A376" s="16">
        <v>45448.593055999998</v>
      </c>
      <c r="B376" s="17">
        <v>59.570213000000003</v>
      </c>
      <c r="C376" s="18"/>
      <c r="D376" s="19"/>
    </row>
    <row r="377" spans="1:4" x14ac:dyDescent="0.3">
      <c r="A377" s="16">
        <v>45448.59375</v>
      </c>
      <c r="B377" s="17">
        <v>59.669077999999999</v>
      </c>
      <c r="C377" s="18"/>
      <c r="D377" s="19"/>
    </row>
    <row r="378" spans="1:4" x14ac:dyDescent="0.3">
      <c r="A378" s="16">
        <v>45448.594444000002</v>
      </c>
      <c r="B378" s="17">
        <v>59.501188999999997</v>
      </c>
      <c r="C378" s="18"/>
      <c r="D378" s="19"/>
    </row>
    <row r="379" spans="1:4" x14ac:dyDescent="0.3">
      <c r="A379" s="16">
        <v>45448.595138999997</v>
      </c>
      <c r="B379" s="17">
        <v>59.246512000000003</v>
      </c>
      <c r="C379" s="18"/>
      <c r="D379" s="19"/>
    </row>
    <row r="380" spans="1:4" x14ac:dyDescent="0.3">
      <c r="A380" s="16">
        <v>45448.595832999999</v>
      </c>
      <c r="B380" s="17">
        <v>59.022759000000001</v>
      </c>
      <c r="C380" s="18"/>
      <c r="D380" s="19"/>
    </row>
    <row r="381" spans="1:4" x14ac:dyDescent="0.3">
      <c r="A381" s="16">
        <v>45448.596528000002</v>
      </c>
      <c r="B381" s="17">
        <v>59.082675000000002</v>
      </c>
      <c r="C381" s="18"/>
      <c r="D381" s="19"/>
    </row>
    <row r="382" spans="1:4" x14ac:dyDescent="0.3">
      <c r="A382" s="16">
        <v>45448.597221999997</v>
      </c>
      <c r="B382" s="17">
        <v>59.411053000000003</v>
      </c>
      <c r="C382" s="18"/>
      <c r="D382" s="19"/>
    </row>
    <row r="383" spans="1:4" x14ac:dyDescent="0.3">
      <c r="A383" s="16">
        <v>45448.597916999999</v>
      </c>
      <c r="B383" s="17">
        <v>59.535266999999997</v>
      </c>
      <c r="C383" s="18"/>
      <c r="D383" s="19"/>
    </row>
    <row r="384" spans="1:4" x14ac:dyDescent="0.3">
      <c r="A384" s="16">
        <v>45448.598611000001</v>
      </c>
      <c r="B384" s="17">
        <v>59.753959000000002</v>
      </c>
      <c r="C384" s="18"/>
      <c r="D384" s="19"/>
    </row>
    <row r="385" spans="1:4" x14ac:dyDescent="0.3">
      <c r="A385" s="16">
        <v>45448.599305999996</v>
      </c>
      <c r="B385" s="17">
        <v>59.656360999999997</v>
      </c>
      <c r="C385" s="18"/>
      <c r="D385" s="19"/>
    </row>
    <row r="386" spans="1:4" x14ac:dyDescent="0.3">
      <c r="A386" s="16">
        <v>45448.6</v>
      </c>
      <c r="B386" s="17">
        <v>59.965836000000003</v>
      </c>
      <c r="C386" s="18"/>
      <c r="D386" s="19"/>
    </row>
    <row r="387" spans="1:4" x14ac:dyDescent="0.3">
      <c r="A387" s="16">
        <v>45448.600694000001</v>
      </c>
      <c r="B387" s="17">
        <v>59.364758999999999</v>
      </c>
      <c r="C387" s="18"/>
      <c r="D387" s="19"/>
    </row>
    <row r="388" spans="1:4" x14ac:dyDescent="0.3">
      <c r="A388" s="16">
        <v>45448.601389000003</v>
      </c>
      <c r="B388" s="17">
        <v>59.517105000000001</v>
      </c>
      <c r="C388" s="18"/>
      <c r="D388" s="19"/>
    </row>
    <row r="389" spans="1:4" x14ac:dyDescent="0.3">
      <c r="A389" s="16">
        <v>45448.602082999998</v>
      </c>
      <c r="B389" s="17">
        <v>60.007579</v>
      </c>
      <c r="C389" s="18"/>
      <c r="D389" s="19"/>
    </row>
    <row r="390" spans="1:4" x14ac:dyDescent="0.3">
      <c r="A390" s="16">
        <v>45448.602778</v>
      </c>
      <c r="B390" s="17">
        <v>59.551023999999998</v>
      </c>
      <c r="C390" s="18"/>
      <c r="D390" s="19"/>
    </row>
    <row r="391" spans="1:4" x14ac:dyDescent="0.3">
      <c r="A391" s="16">
        <v>45448.603472000003</v>
      </c>
      <c r="B391" s="17">
        <v>59.197073000000003</v>
      </c>
      <c r="C391" s="18"/>
      <c r="D391" s="19"/>
    </row>
    <row r="392" spans="1:4" x14ac:dyDescent="0.3">
      <c r="A392" s="16">
        <v>45448.604166999998</v>
      </c>
      <c r="B392" s="17">
        <v>59.674650999999997</v>
      </c>
      <c r="C392" s="18"/>
      <c r="D392" s="19"/>
    </row>
    <row r="393" spans="1:4" x14ac:dyDescent="0.3">
      <c r="A393" s="16">
        <v>45448.604861</v>
      </c>
      <c r="B393" s="17">
        <v>59.548259999999999</v>
      </c>
      <c r="C393" s="18"/>
      <c r="D393" s="19"/>
    </row>
    <row r="394" spans="1:4" x14ac:dyDescent="0.3">
      <c r="A394" s="16">
        <v>45448.605556000002</v>
      </c>
      <c r="B394" s="17">
        <v>59.798124999999999</v>
      </c>
      <c r="C394" s="18"/>
      <c r="D394" s="19"/>
    </row>
    <row r="395" spans="1:4" x14ac:dyDescent="0.3">
      <c r="A395" s="16">
        <v>45448.606249999997</v>
      </c>
      <c r="B395" s="17">
        <v>59.597154000000003</v>
      </c>
      <c r="C395" s="18"/>
      <c r="D395" s="19"/>
    </row>
    <row r="396" spans="1:4" x14ac:dyDescent="0.3">
      <c r="A396" s="16">
        <v>45448.606943999999</v>
      </c>
      <c r="B396" s="17">
        <v>59.561331000000003</v>
      </c>
      <c r="C396" s="18"/>
      <c r="D396" s="19"/>
    </row>
    <row r="397" spans="1:4" x14ac:dyDescent="0.3">
      <c r="A397" s="16">
        <v>45448.607639000002</v>
      </c>
      <c r="B397" s="17">
        <v>59.732985999999997</v>
      </c>
      <c r="C397" s="18"/>
      <c r="D397" s="19"/>
    </row>
    <row r="398" spans="1:4" x14ac:dyDescent="0.3">
      <c r="A398" s="16">
        <v>45448.608332999996</v>
      </c>
      <c r="B398" s="17">
        <v>59.136220000000002</v>
      </c>
      <c r="C398" s="18"/>
      <c r="D398" s="19"/>
    </row>
    <row r="399" spans="1:4" x14ac:dyDescent="0.3">
      <c r="A399" s="16">
        <v>45448.609027999999</v>
      </c>
      <c r="B399" s="17">
        <v>59.52158</v>
      </c>
      <c r="C399" s="18"/>
      <c r="D399" s="19"/>
    </row>
    <row r="400" spans="1:4" x14ac:dyDescent="0.3">
      <c r="A400" s="16">
        <v>45448.609722000001</v>
      </c>
      <c r="B400" s="17">
        <v>59.691498000000003</v>
      </c>
      <c r="C400" s="18"/>
      <c r="D400" s="19"/>
    </row>
    <row r="401" spans="1:4" x14ac:dyDescent="0.3">
      <c r="A401" s="16">
        <v>45448.610417000004</v>
      </c>
      <c r="B401" s="17">
        <v>59.329011000000001</v>
      </c>
      <c r="C401" s="18"/>
      <c r="D401" s="19"/>
    </row>
    <row r="402" spans="1:4" x14ac:dyDescent="0.3">
      <c r="A402" s="16">
        <v>45448.611110999998</v>
      </c>
      <c r="B402" s="17">
        <v>59.70664</v>
      </c>
      <c r="C402" s="18"/>
      <c r="D402" s="19"/>
    </row>
    <row r="403" spans="1:4" x14ac:dyDescent="0.3">
      <c r="A403" s="16">
        <v>45448.611806000001</v>
      </c>
      <c r="B403" s="17">
        <v>59.789484999999999</v>
      </c>
      <c r="C403" s="18"/>
      <c r="D403" s="19"/>
    </row>
    <row r="404" spans="1:4" x14ac:dyDescent="0.3">
      <c r="A404" s="16">
        <v>45448.612500000003</v>
      </c>
      <c r="B404" s="17">
        <v>59.558394999999997</v>
      </c>
      <c r="C404" s="18"/>
      <c r="D404" s="19"/>
    </row>
    <row r="405" spans="1:4" x14ac:dyDescent="0.3">
      <c r="A405" s="16">
        <v>45448.613193999998</v>
      </c>
      <c r="B405" s="17">
        <v>60.067272000000003</v>
      </c>
      <c r="C405" s="18"/>
      <c r="D405" s="19"/>
    </row>
    <row r="406" spans="1:4" x14ac:dyDescent="0.3">
      <c r="A406" s="16">
        <v>45448.613889</v>
      </c>
      <c r="B406" s="17">
        <v>59.654353</v>
      </c>
      <c r="C406" s="18"/>
      <c r="D406" s="19"/>
    </row>
    <row r="407" spans="1:4" x14ac:dyDescent="0.3">
      <c r="A407" s="16">
        <v>45448.614583000002</v>
      </c>
      <c r="B407" s="17">
        <v>59.319302999999998</v>
      </c>
      <c r="C407" s="18"/>
      <c r="D407" s="19"/>
    </row>
    <row r="408" spans="1:4" x14ac:dyDescent="0.3">
      <c r="A408" s="16">
        <v>45448.615277999997</v>
      </c>
      <c r="B408" s="17">
        <v>59.236207</v>
      </c>
      <c r="C408" s="18"/>
      <c r="D408" s="19"/>
    </row>
    <row r="409" spans="1:4" x14ac:dyDescent="0.3">
      <c r="A409" s="16">
        <v>45448.615972</v>
      </c>
      <c r="B409" s="17">
        <v>59.327007000000002</v>
      </c>
      <c r="C409" s="18"/>
      <c r="D409" s="19"/>
    </row>
    <row r="410" spans="1:4" x14ac:dyDescent="0.3">
      <c r="A410" s="16">
        <v>45448.616667000002</v>
      </c>
      <c r="B410" s="17">
        <v>59.071457000000002</v>
      </c>
      <c r="C410" s="18"/>
      <c r="D410" s="19"/>
    </row>
    <row r="411" spans="1:4" x14ac:dyDescent="0.3">
      <c r="A411" s="16">
        <v>45448.617360999997</v>
      </c>
      <c r="B411" s="17">
        <v>59.626168</v>
      </c>
      <c r="C411" s="18"/>
      <c r="D411" s="19"/>
    </row>
    <row r="412" spans="1:4" x14ac:dyDescent="0.3">
      <c r="A412" s="16">
        <v>45448.618055999999</v>
      </c>
      <c r="B412" s="17">
        <v>59.657857</v>
      </c>
      <c r="C412" s="18"/>
      <c r="D412" s="19"/>
    </row>
    <row r="413" spans="1:4" x14ac:dyDescent="0.3">
      <c r="A413" s="16">
        <v>45448.618750000001</v>
      </c>
      <c r="B413" s="17">
        <v>59.654471000000001</v>
      </c>
      <c r="C413" s="18"/>
      <c r="D413" s="19"/>
    </row>
    <row r="414" spans="1:4" x14ac:dyDescent="0.3">
      <c r="A414" s="16">
        <v>45448.619444000004</v>
      </c>
      <c r="B414" s="17">
        <v>59.870030999999997</v>
      </c>
      <c r="C414" s="18"/>
      <c r="D414" s="19"/>
    </row>
    <row r="415" spans="1:4" x14ac:dyDescent="0.3">
      <c r="A415" s="16">
        <v>45448.620138999999</v>
      </c>
      <c r="B415" s="17">
        <v>59.473363999999997</v>
      </c>
      <c r="C415" s="18"/>
      <c r="D415" s="19"/>
    </row>
    <row r="416" spans="1:4" x14ac:dyDescent="0.3">
      <c r="A416" s="16">
        <v>45448.620833000001</v>
      </c>
      <c r="B416" s="17">
        <v>59.688780999999999</v>
      </c>
      <c r="C416" s="18"/>
      <c r="D416" s="19"/>
    </row>
    <row r="417" spans="1:4" x14ac:dyDescent="0.3">
      <c r="A417" s="16">
        <v>45448.621528000003</v>
      </c>
      <c r="B417" s="17">
        <v>59.762019000000002</v>
      </c>
      <c r="C417" s="18"/>
      <c r="D417" s="19"/>
    </row>
    <row r="418" spans="1:4" x14ac:dyDescent="0.3">
      <c r="A418" s="16">
        <v>45448.622221999998</v>
      </c>
      <c r="B418" s="17">
        <v>59.944459000000002</v>
      </c>
      <c r="C418" s="18"/>
      <c r="D418" s="19"/>
    </row>
    <row r="419" spans="1:4" x14ac:dyDescent="0.3">
      <c r="A419" s="16">
        <v>45448.622917000001</v>
      </c>
      <c r="B419" s="17">
        <v>59.836120999999999</v>
      </c>
      <c r="C419" s="18"/>
      <c r="D419" s="19"/>
    </row>
    <row r="420" spans="1:4" x14ac:dyDescent="0.3">
      <c r="A420" s="16">
        <v>45448.623611000003</v>
      </c>
      <c r="B420" s="17">
        <v>59.617038000000001</v>
      </c>
      <c r="C420" s="18"/>
      <c r="D420" s="19"/>
    </row>
    <row r="421" spans="1:4" x14ac:dyDescent="0.3">
      <c r="A421" s="16">
        <v>45448.624305999998</v>
      </c>
      <c r="B421" s="17">
        <v>59.694764999999997</v>
      </c>
      <c r="C421" s="18"/>
      <c r="D421" s="19"/>
    </row>
    <row r="422" spans="1:4" x14ac:dyDescent="0.3">
      <c r="A422" s="16">
        <v>45448.625</v>
      </c>
      <c r="B422" s="17">
        <v>59.416271999999999</v>
      </c>
      <c r="C422" s="18"/>
      <c r="D422" s="19"/>
    </row>
    <row r="423" spans="1:4" x14ac:dyDescent="0.3">
      <c r="A423" s="16">
        <v>45448.625694000002</v>
      </c>
      <c r="B423" s="17">
        <v>59.984960999999998</v>
      </c>
      <c r="C423" s="18"/>
      <c r="D423" s="19"/>
    </row>
    <row r="424" spans="1:4" x14ac:dyDescent="0.3">
      <c r="A424" s="16">
        <v>45448.626388999997</v>
      </c>
      <c r="B424" s="17">
        <v>59.354844</v>
      </c>
      <c r="C424" s="18"/>
      <c r="D424" s="19"/>
    </row>
    <row r="425" spans="1:4" x14ac:dyDescent="0.3">
      <c r="A425" s="16">
        <v>45448.627082999999</v>
      </c>
      <c r="B425" s="17">
        <v>59.691504999999999</v>
      </c>
      <c r="C425" s="18"/>
      <c r="D425" s="19"/>
    </row>
    <row r="426" spans="1:4" x14ac:dyDescent="0.3">
      <c r="A426" s="16">
        <v>45448.627778000002</v>
      </c>
      <c r="B426" s="17">
        <v>59.317608999999997</v>
      </c>
      <c r="C426" s="18"/>
      <c r="D426" s="19"/>
    </row>
    <row r="427" spans="1:4" x14ac:dyDescent="0.3">
      <c r="A427" s="16">
        <v>45448.628471999997</v>
      </c>
      <c r="B427" s="17">
        <v>59.426974000000001</v>
      </c>
      <c r="C427" s="18"/>
      <c r="D427" s="19"/>
    </row>
    <row r="428" spans="1:4" x14ac:dyDescent="0.3">
      <c r="A428" s="16">
        <v>45448.629166999999</v>
      </c>
      <c r="B428" s="17">
        <v>59.630651</v>
      </c>
      <c r="C428" s="18"/>
      <c r="D428" s="19"/>
    </row>
    <row r="429" spans="1:4" x14ac:dyDescent="0.3">
      <c r="A429" s="16">
        <v>45448.629861000001</v>
      </c>
      <c r="B429" s="17">
        <v>59.746710999999998</v>
      </c>
      <c r="C429" s="18"/>
      <c r="D429" s="19"/>
    </row>
    <row r="430" spans="1:4" x14ac:dyDescent="0.3">
      <c r="A430" s="16">
        <v>45448.630555999996</v>
      </c>
      <c r="B430" s="17">
        <v>59.370612999999999</v>
      </c>
      <c r="C430" s="18"/>
      <c r="D430" s="19"/>
    </row>
    <row r="431" spans="1:4" x14ac:dyDescent="0.3">
      <c r="A431" s="16">
        <v>45448.631249999999</v>
      </c>
      <c r="B431" s="17">
        <v>59.533794999999998</v>
      </c>
      <c r="C431" s="18"/>
      <c r="D431" s="19"/>
    </row>
    <row r="432" spans="1:4" x14ac:dyDescent="0.3">
      <c r="A432" s="16">
        <v>45448.631944000001</v>
      </c>
      <c r="B432" s="17">
        <v>59.507823999999999</v>
      </c>
      <c r="C432" s="18"/>
      <c r="D432" s="19"/>
    </row>
    <row r="433" spans="1:4" x14ac:dyDescent="0.3">
      <c r="A433" s="16">
        <v>45448.632639000003</v>
      </c>
      <c r="B433" s="17">
        <v>59.414828999999997</v>
      </c>
      <c r="C433" s="18"/>
      <c r="D433" s="19"/>
    </row>
    <row r="434" spans="1:4" x14ac:dyDescent="0.3">
      <c r="A434" s="16">
        <v>45448.633332999998</v>
      </c>
      <c r="B434" s="17">
        <v>59.568863</v>
      </c>
      <c r="C434" s="18"/>
      <c r="D434" s="19"/>
    </row>
    <row r="435" spans="1:4" x14ac:dyDescent="0.3">
      <c r="A435" s="16">
        <v>45448.634028</v>
      </c>
      <c r="B435" s="17">
        <v>59.777898</v>
      </c>
      <c r="C435" s="18"/>
      <c r="D435" s="19"/>
    </row>
    <row r="436" spans="1:4" x14ac:dyDescent="0.3">
      <c r="A436" s="16">
        <v>45448.634722000003</v>
      </c>
      <c r="B436" s="17">
        <v>60.028885000000002</v>
      </c>
      <c r="C436" s="18"/>
      <c r="D436" s="19"/>
    </row>
    <row r="437" spans="1:4" x14ac:dyDescent="0.3">
      <c r="A437" s="16">
        <v>45448.635416999998</v>
      </c>
      <c r="B437" s="17">
        <v>59.605003000000004</v>
      </c>
      <c r="C437" s="18"/>
      <c r="D437" s="19"/>
    </row>
    <row r="438" spans="1:4" x14ac:dyDescent="0.3">
      <c r="A438" s="16">
        <v>45448.636111</v>
      </c>
      <c r="B438" s="17">
        <v>59.2438</v>
      </c>
      <c r="C438" s="18"/>
      <c r="D438" s="19"/>
    </row>
    <row r="439" spans="1:4" x14ac:dyDescent="0.3">
      <c r="A439" s="16">
        <v>45448.636806000002</v>
      </c>
      <c r="B439" s="17">
        <v>59.624755</v>
      </c>
      <c r="C439" s="18"/>
      <c r="D439" s="19"/>
    </row>
    <row r="440" spans="1:4" x14ac:dyDescent="0.3">
      <c r="A440" s="16">
        <v>45448.637499999997</v>
      </c>
      <c r="B440" s="17">
        <v>59.565716000000002</v>
      </c>
      <c r="C440" s="18"/>
      <c r="D440" s="19"/>
    </row>
    <row r="441" spans="1:4" x14ac:dyDescent="0.3">
      <c r="A441" s="16">
        <v>45448.638193999999</v>
      </c>
      <c r="B441" s="17">
        <v>59.477282000000002</v>
      </c>
      <c r="C441" s="18"/>
      <c r="D441" s="19"/>
    </row>
    <row r="442" spans="1:4" x14ac:dyDescent="0.3">
      <c r="A442" s="16">
        <v>45448.638889000002</v>
      </c>
      <c r="B442" s="17">
        <v>59.415891999999999</v>
      </c>
      <c r="C442" s="18"/>
      <c r="D442" s="19"/>
    </row>
    <row r="443" spans="1:4" x14ac:dyDescent="0.3">
      <c r="A443" s="16">
        <v>45448.639582999996</v>
      </c>
      <c r="B443" s="17">
        <v>59.968012000000002</v>
      </c>
      <c r="C443" s="18"/>
      <c r="D443" s="19"/>
    </row>
    <row r="444" spans="1:4" x14ac:dyDescent="0.3">
      <c r="A444" s="16">
        <v>45448.640277999999</v>
      </c>
      <c r="B444" s="17">
        <v>59.378878999999998</v>
      </c>
      <c r="C444" s="18"/>
      <c r="D444" s="19"/>
    </row>
    <row r="445" spans="1:4" x14ac:dyDescent="0.3">
      <c r="A445" s="16">
        <v>45448.640972000001</v>
      </c>
      <c r="B445" s="17">
        <v>59.565790999999997</v>
      </c>
      <c r="C445" s="18"/>
      <c r="D445" s="19"/>
    </row>
    <row r="446" spans="1:4" x14ac:dyDescent="0.3">
      <c r="A446" s="16">
        <v>45448.641667000004</v>
      </c>
      <c r="B446" s="17">
        <v>59.118907</v>
      </c>
      <c r="C446" s="18"/>
      <c r="D446" s="19"/>
    </row>
    <row r="447" spans="1:4" x14ac:dyDescent="0.3">
      <c r="A447" s="16">
        <v>45448.642360999998</v>
      </c>
      <c r="B447" s="17">
        <v>59.909787000000001</v>
      </c>
      <c r="C447" s="18"/>
      <c r="D447" s="19"/>
    </row>
    <row r="448" spans="1:4" x14ac:dyDescent="0.3">
      <c r="A448" s="16">
        <v>45448.643056000001</v>
      </c>
      <c r="B448" s="17">
        <v>60.049466000000002</v>
      </c>
      <c r="C448" s="18"/>
      <c r="D448" s="19"/>
    </row>
    <row r="449" spans="1:4" x14ac:dyDescent="0.3">
      <c r="A449" s="16">
        <v>45448.643750000003</v>
      </c>
      <c r="B449" s="17">
        <v>59.523054000000002</v>
      </c>
      <c r="C449" s="18"/>
      <c r="D449" s="19"/>
    </row>
    <row r="450" spans="1:4" x14ac:dyDescent="0.3">
      <c r="A450" s="16">
        <v>45448.644443999998</v>
      </c>
      <c r="B450" s="17">
        <v>59.537441999999999</v>
      </c>
      <c r="C450" s="18"/>
      <c r="D450" s="19"/>
    </row>
    <row r="451" spans="1:4" x14ac:dyDescent="0.3">
      <c r="A451" s="16">
        <v>45448.645139</v>
      </c>
      <c r="B451" s="17">
        <v>59.303136000000002</v>
      </c>
      <c r="C451" s="18"/>
      <c r="D451" s="19"/>
    </row>
    <row r="452" spans="1:4" x14ac:dyDescent="0.3">
      <c r="A452" s="16">
        <v>45448.645833000002</v>
      </c>
      <c r="B452" s="17">
        <v>59.550579999999997</v>
      </c>
      <c r="C452" s="18"/>
      <c r="D452" s="19"/>
    </row>
    <row r="453" spans="1:4" x14ac:dyDescent="0.3">
      <c r="A453" s="16">
        <v>45448.646527999997</v>
      </c>
      <c r="B453" s="17">
        <v>59.029789000000001</v>
      </c>
      <c r="C453" s="18"/>
      <c r="D453" s="19"/>
    </row>
    <row r="454" spans="1:4" x14ac:dyDescent="0.3">
      <c r="A454" s="16">
        <v>45448.647222</v>
      </c>
      <c r="B454" s="17">
        <v>59.436346</v>
      </c>
      <c r="C454" s="18"/>
      <c r="D454" s="19"/>
    </row>
    <row r="455" spans="1:4" x14ac:dyDescent="0.3">
      <c r="A455" s="16">
        <v>45448.647917000002</v>
      </c>
      <c r="B455" s="17">
        <v>59.63955</v>
      </c>
      <c r="C455" s="18"/>
      <c r="D455" s="19"/>
    </row>
    <row r="456" spans="1:4" x14ac:dyDescent="0.3">
      <c r="A456" s="16">
        <v>45448.648610999997</v>
      </c>
      <c r="B456" s="17">
        <v>59.740915000000001</v>
      </c>
      <c r="C456" s="18"/>
      <c r="D456" s="19"/>
    </row>
    <row r="457" spans="1:4" x14ac:dyDescent="0.3">
      <c r="A457" s="16">
        <v>45448.649305999999</v>
      </c>
      <c r="B457" s="17">
        <v>59.273505999999998</v>
      </c>
      <c r="C457" s="18"/>
      <c r="D457" s="19"/>
    </row>
    <row r="458" spans="1:4" x14ac:dyDescent="0.3">
      <c r="A458" s="16">
        <v>45448.65</v>
      </c>
      <c r="B458" s="17">
        <v>59.204931999999999</v>
      </c>
      <c r="C458" s="18"/>
      <c r="D458" s="19"/>
    </row>
    <row r="459" spans="1:4" x14ac:dyDescent="0.3">
      <c r="A459" s="16">
        <v>45448.650694000004</v>
      </c>
      <c r="B459" s="17">
        <v>59.354664</v>
      </c>
      <c r="C459" s="18"/>
      <c r="D459" s="19"/>
    </row>
    <row r="460" spans="1:4" x14ac:dyDescent="0.3">
      <c r="A460" s="16">
        <v>45448.651388999999</v>
      </c>
      <c r="B460" s="17">
        <v>59.912291000000003</v>
      </c>
      <c r="C460" s="18"/>
      <c r="D460" s="19"/>
    </row>
    <row r="461" spans="1:4" x14ac:dyDescent="0.3">
      <c r="A461" s="16">
        <v>45448.652083000001</v>
      </c>
      <c r="B461" s="17">
        <v>59.561526999999998</v>
      </c>
      <c r="C461" s="18"/>
      <c r="D461" s="19"/>
    </row>
    <row r="462" spans="1:4" x14ac:dyDescent="0.3">
      <c r="A462" s="16">
        <v>45448.652778000003</v>
      </c>
      <c r="B462" s="17">
        <v>59.794030999999997</v>
      </c>
      <c r="C462" s="18"/>
      <c r="D462" s="19"/>
    </row>
    <row r="463" spans="1:4" x14ac:dyDescent="0.3">
      <c r="A463" s="16">
        <v>45448.653471999998</v>
      </c>
      <c r="B463" s="17">
        <v>59.277917000000002</v>
      </c>
      <c r="C463" s="18"/>
      <c r="D463" s="19"/>
    </row>
    <row r="464" spans="1:4" x14ac:dyDescent="0.3">
      <c r="A464" s="16">
        <v>45448.654167000001</v>
      </c>
      <c r="B464" s="17">
        <v>60.171132</v>
      </c>
      <c r="C464" s="18"/>
      <c r="D464" s="19"/>
    </row>
    <row r="465" spans="1:4" x14ac:dyDescent="0.3">
      <c r="A465" s="16">
        <v>45448.654861000003</v>
      </c>
      <c r="B465" s="17">
        <v>59.844017000000001</v>
      </c>
      <c r="C465" s="18"/>
      <c r="D465" s="19"/>
    </row>
    <row r="466" spans="1:4" x14ac:dyDescent="0.3">
      <c r="A466" s="16">
        <v>45448.655555999998</v>
      </c>
      <c r="B466" s="17">
        <v>60.503790000000002</v>
      </c>
      <c r="C466" s="18"/>
      <c r="D466" s="19"/>
    </row>
    <row r="467" spans="1:4" x14ac:dyDescent="0.3">
      <c r="A467" s="16">
        <v>45448.65625</v>
      </c>
      <c r="B467" s="17">
        <v>60.830863000000001</v>
      </c>
      <c r="C467" s="18"/>
      <c r="D467" s="19"/>
    </row>
    <row r="468" spans="1:4" x14ac:dyDescent="0.3">
      <c r="A468" s="16">
        <v>45448.656944000002</v>
      </c>
      <c r="B468" s="17">
        <v>60.784708000000002</v>
      </c>
      <c r="C468" s="18"/>
      <c r="D468" s="19"/>
    </row>
    <row r="469" spans="1:4" x14ac:dyDescent="0.3">
      <c r="A469" s="16">
        <v>45448.657638999997</v>
      </c>
      <c r="B469" s="17">
        <v>60.812255</v>
      </c>
      <c r="C469" s="18"/>
      <c r="D469" s="19"/>
    </row>
    <row r="470" spans="1:4" x14ac:dyDescent="0.3">
      <c r="A470" s="16">
        <v>45448.658332999999</v>
      </c>
      <c r="B470" s="17">
        <v>60.908071</v>
      </c>
      <c r="C470" s="18"/>
      <c r="D470" s="19"/>
    </row>
    <row r="471" spans="1:4" x14ac:dyDescent="0.3">
      <c r="A471" s="16">
        <v>45448.659028000002</v>
      </c>
      <c r="B471" s="17">
        <v>60.914943999999998</v>
      </c>
      <c r="C471" s="18"/>
      <c r="D471" s="19"/>
    </row>
    <row r="472" spans="1:4" x14ac:dyDescent="0.3">
      <c r="A472" s="16">
        <v>45448.659721999997</v>
      </c>
      <c r="B472" s="17">
        <v>61.129567000000002</v>
      </c>
      <c r="C472" s="18"/>
      <c r="D472" s="19"/>
    </row>
    <row r="473" spans="1:4" x14ac:dyDescent="0.3">
      <c r="A473" s="16">
        <v>45448.660416999999</v>
      </c>
      <c r="B473" s="17">
        <v>61.022764000000002</v>
      </c>
      <c r="C473" s="18"/>
      <c r="D473" s="19"/>
    </row>
    <row r="474" spans="1:4" x14ac:dyDescent="0.3">
      <c r="A474" s="16">
        <v>45448.661111000001</v>
      </c>
      <c r="B474" s="17">
        <v>61.383685</v>
      </c>
      <c r="C474" s="18"/>
      <c r="D474" s="19"/>
    </row>
    <row r="475" spans="1:4" x14ac:dyDescent="0.3">
      <c r="A475" s="16">
        <v>45448.661805999996</v>
      </c>
      <c r="B475" s="17">
        <v>61.153894999999999</v>
      </c>
      <c r="C475" s="18"/>
      <c r="D475" s="19"/>
    </row>
    <row r="476" spans="1:4" x14ac:dyDescent="0.3">
      <c r="A476" s="16">
        <v>45448.662499999999</v>
      </c>
      <c r="B476" s="17">
        <v>61.018585999999999</v>
      </c>
      <c r="C476" s="18"/>
      <c r="D476" s="19"/>
    </row>
    <row r="477" spans="1:4" x14ac:dyDescent="0.3">
      <c r="A477" s="16">
        <v>45448.663194000001</v>
      </c>
      <c r="B477" s="17">
        <v>61.297680999999997</v>
      </c>
      <c r="C477" s="18"/>
      <c r="D477" s="19"/>
    </row>
    <row r="478" spans="1:4" x14ac:dyDescent="0.3">
      <c r="A478" s="16">
        <v>45448.663889000003</v>
      </c>
      <c r="B478" s="17">
        <v>61.125242999999998</v>
      </c>
      <c r="C478" s="18"/>
      <c r="D478" s="19"/>
    </row>
    <row r="479" spans="1:4" x14ac:dyDescent="0.3">
      <c r="A479" s="16">
        <v>45448.664582999998</v>
      </c>
      <c r="B479" s="17">
        <v>61.252045000000003</v>
      </c>
      <c r="C479" s="18"/>
      <c r="D479" s="19"/>
    </row>
    <row r="480" spans="1:4" x14ac:dyDescent="0.3">
      <c r="A480" s="16">
        <v>45448.665278</v>
      </c>
      <c r="B480" s="17">
        <v>61.308422</v>
      </c>
      <c r="C480" s="18"/>
      <c r="D480" s="19"/>
    </row>
    <row r="481" spans="1:4" x14ac:dyDescent="0.3">
      <c r="A481" s="16">
        <v>45448.665972000003</v>
      </c>
      <c r="B481" s="17">
        <v>61.342492999999997</v>
      </c>
      <c r="C481" s="18"/>
      <c r="D481" s="19"/>
    </row>
    <row r="482" spans="1:4" x14ac:dyDescent="0.3">
      <c r="A482" s="16">
        <v>45448.666666999998</v>
      </c>
      <c r="B482" s="17">
        <v>61.076182000000003</v>
      </c>
      <c r="C482" s="18"/>
      <c r="D482" s="19"/>
    </row>
    <row r="483" spans="1:4" x14ac:dyDescent="0.3">
      <c r="A483" s="16">
        <v>45448.667361</v>
      </c>
      <c r="B483" s="17">
        <v>60.944603999999998</v>
      </c>
      <c r="C483" s="18"/>
      <c r="D483" s="19"/>
    </row>
    <row r="484" spans="1:4" x14ac:dyDescent="0.3">
      <c r="A484" s="16">
        <v>45448.668056000002</v>
      </c>
      <c r="B484" s="17">
        <v>60.903564000000003</v>
      </c>
      <c r="C484" s="18"/>
      <c r="D484" s="19"/>
    </row>
    <row r="485" spans="1:4" x14ac:dyDescent="0.3">
      <c r="A485" s="16">
        <v>45448.668749999997</v>
      </c>
      <c r="B485" s="17">
        <v>61.242460000000001</v>
      </c>
      <c r="C485" s="18"/>
      <c r="D485" s="19"/>
    </row>
    <row r="486" spans="1:4" x14ac:dyDescent="0.3">
      <c r="A486" s="16">
        <v>45448.669443999999</v>
      </c>
      <c r="B486" s="17">
        <v>61.045158000000001</v>
      </c>
      <c r="C486" s="18"/>
      <c r="D486" s="19"/>
    </row>
    <row r="487" spans="1:4" x14ac:dyDescent="0.3">
      <c r="A487" s="16">
        <v>45448.670139000002</v>
      </c>
      <c r="B487" s="17">
        <v>61.337010999999997</v>
      </c>
      <c r="C487" s="18"/>
      <c r="D487" s="19"/>
    </row>
    <row r="488" spans="1:4" x14ac:dyDescent="0.3">
      <c r="A488" s="16">
        <v>45448.670832999996</v>
      </c>
      <c r="B488" s="17">
        <v>60.738399000000001</v>
      </c>
      <c r="C488" s="18"/>
      <c r="D488" s="19"/>
    </row>
    <row r="489" spans="1:4" x14ac:dyDescent="0.3">
      <c r="A489" s="16">
        <v>45448.671527999999</v>
      </c>
      <c r="B489" s="17">
        <v>61.352947999999998</v>
      </c>
      <c r="C489" s="18"/>
      <c r="D489" s="19"/>
    </row>
    <row r="490" spans="1:4" x14ac:dyDescent="0.3">
      <c r="A490" s="16">
        <v>45448.672222000001</v>
      </c>
      <c r="B490" s="17">
        <v>60.918132</v>
      </c>
      <c r="C490" s="18"/>
      <c r="D490" s="19"/>
    </row>
    <row r="491" spans="1:4" x14ac:dyDescent="0.3">
      <c r="A491" s="16">
        <v>45448.672917000004</v>
      </c>
      <c r="B491" s="17">
        <v>61.050203000000003</v>
      </c>
      <c r="C491" s="18"/>
      <c r="D491" s="19"/>
    </row>
    <row r="492" spans="1:4" x14ac:dyDescent="0.3">
      <c r="A492" s="16">
        <v>45448.673610999998</v>
      </c>
      <c r="B492" s="17">
        <v>61.139023999999999</v>
      </c>
      <c r="C492" s="18"/>
      <c r="D492" s="19"/>
    </row>
    <row r="493" spans="1:4" x14ac:dyDescent="0.3">
      <c r="A493" s="16">
        <v>45448.674306000001</v>
      </c>
      <c r="B493" s="17">
        <v>60.729889</v>
      </c>
      <c r="C493" s="18"/>
      <c r="D493" s="19"/>
    </row>
    <row r="494" spans="1:4" x14ac:dyDescent="0.3">
      <c r="A494" s="16">
        <v>45448.675000000003</v>
      </c>
      <c r="B494" s="17">
        <v>60.905655000000003</v>
      </c>
      <c r="C494" s="18"/>
      <c r="D494" s="19"/>
    </row>
    <row r="495" spans="1:4" x14ac:dyDescent="0.3">
      <c r="A495" s="16">
        <v>45448.675693999998</v>
      </c>
      <c r="B495" s="17">
        <v>60.714154000000001</v>
      </c>
      <c r="C495" s="18"/>
      <c r="D495" s="19"/>
    </row>
    <row r="496" spans="1:4" x14ac:dyDescent="0.3">
      <c r="A496" s="16">
        <v>45448.676389</v>
      </c>
      <c r="B496" s="17">
        <v>60.967733000000003</v>
      </c>
      <c r="C496" s="18"/>
      <c r="D496" s="19"/>
    </row>
    <row r="497" spans="1:4" x14ac:dyDescent="0.3">
      <c r="A497" s="16">
        <v>45448.677083000002</v>
      </c>
      <c r="B497" s="17">
        <v>60.939615000000003</v>
      </c>
      <c r="C497" s="18"/>
      <c r="D497" s="19"/>
    </row>
    <row r="498" spans="1:4" x14ac:dyDescent="0.3">
      <c r="A498" s="16">
        <v>45448.677777999997</v>
      </c>
      <c r="B498" s="17">
        <v>60.969737000000002</v>
      </c>
      <c r="C498" s="18"/>
      <c r="D498" s="19"/>
    </row>
    <row r="499" spans="1:4" x14ac:dyDescent="0.3">
      <c r="A499" s="16">
        <v>45448.678472</v>
      </c>
      <c r="B499" s="17">
        <v>61.238531000000002</v>
      </c>
      <c r="C499" s="18"/>
      <c r="D499" s="19"/>
    </row>
    <row r="500" spans="1:4" x14ac:dyDescent="0.3">
      <c r="A500" s="16">
        <v>45448.679167000002</v>
      </c>
      <c r="B500" s="17">
        <v>60.826008000000002</v>
      </c>
      <c r="C500" s="18"/>
      <c r="D500" s="19"/>
    </row>
    <row r="501" spans="1:4" x14ac:dyDescent="0.3">
      <c r="A501" s="16">
        <v>45448.679860999997</v>
      </c>
      <c r="B501" s="17">
        <v>60.929156999999996</v>
      </c>
      <c r="C501" s="18"/>
      <c r="D501" s="19"/>
    </row>
    <row r="502" spans="1:4" x14ac:dyDescent="0.3">
      <c r="A502" s="16">
        <v>45448.680555999999</v>
      </c>
      <c r="B502" s="17">
        <v>60.662781000000003</v>
      </c>
      <c r="C502" s="18"/>
      <c r="D502" s="19"/>
    </row>
    <row r="503" spans="1:4" x14ac:dyDescent="0.3">
      <c r="A503" s="16">
        <v>45448.681250000001</v>
      </c>
      <c r="B503" s="17">
        <v>61.354982</v>
      </c>
      <c r="C503" s="18"/>
      <c r="D503" s="19"/>
    </row>
    <row r="504" spans="1:4" x14ac:dyDescent="0.3">
      <c r="A504" s="16">
        <v>45448.681944000004</v>
      </c>
      <c r="B504" s="17">
        <v>60.627921000000001</v>
      </c>
      <c r="C504" s="18"/>
      <c r="D504" s="19"/>
    </row>
    <row r="505" spans="1:4" x14ac:dyDescent="0.3">
      <c r="A505" s="16">
        <v>45448.682638999999</v>
      </c>
      <c r="B505" s="17">
        <v>60.581843999999997</v>
      </c>
      <c r="C505" s="18"/>
      <c r="D505" s="19"/>
    </row>
    <row r="506" spans="1:4" x14ac:dyDescent="0.3">
      <c r="A506" s="16">
        <v>45448.683333000001</v>
      </c>
      <c r="B506" s="17">
        <v>61.002870999999999</v>
      </c>
      <c r="C506" s="18"/>
      <c r="D506" s="19"/>
    </row>
    <row r="507" spans="1:4" x14ac:dyDescent="0.3">
      <c r="A507" s="16">
        <v>45448.684028000003</v>
      </c>
      <c r="B507" s="17">
        <v>60.957707999999997</v>
      </c>
      <c r="C507" s="18"/>
      <c r="D507" s="19"/>
    </row>
    <row r="508" spans="1:4" x14ac:dyDescent="0.3">
      <c r="A508" s="16">
        <v>45448.684721999998</v>
      </c>
      <c r="B508" s="17">
        <v>60.709685999999998</v>
      </c>
      <c r="C508" s="18"/>
      <c r="D508" s="19"/>
    </row>
    <row r="509" spans="1:4" x14ac:dyDescent="0.3">
      <c r="A509" s="16">
        <v>45448.685417000001</v>
      </c>
      <c r="B509" s="17">
        <v>60.732134000000002</v>
      </c>
      <c r="C509" s="18"/>
      <c r="D509" s="19"/>
    </row>
    <row r="510" spans="1:4" x14ac:dyDescent="0.3">
      <c r="A510" s="16">
        <v>45448.686111000003</v>
      </c>
      <c r="B510" s="17">
        <v>60.428122999999999</v>
      </c>
      <c r="C510" s="18"/>
      <c r="D510" s="19"/>
    </row>
    <row r="511" spans="1:4" x14ac:dyDescent="0.3">
      <c r="A511" s="16">
        <v>45448.686805999998</v>
      </c>
      <c r="B511" s="17">
        <v>61.188096999999999</v>
      </c>
      <c r="C511" s="18"/>
      <c r="D511" s="19"/>
    </row>
    <row r="512" spans="1:4" x14ac:dyDescent="0.3">
      <c r="A512" s="16">
        <v>45448.6875</v>
      </c>
      <c r="B512" s="17">
        <v>60.901646999999997</v>
      </c>
      <c r="C512" s="18"/>
      <c r="D512" s="19"/>
    </row>
    <row r="513" spans="1:4" x14ac:dyDescent="0.3">
      <c r="A513" s="16">
        <v>45448.688194000002</v>
      </c>
      <c r="B513" s="17">
        <v>60.408496999999997</v>
      </c>
      <c r="C513" s="18"/>
      <c r="D513" s="19"/>
    </row>
    <row r="514" spans="1:4" x14ac:dyDescent="0.3">
      <c r="A514" s="16">
        <v>45448.688888999997</v>
      </c>
      <c r="B514" s="17">
        <v>60.734501000000002</v>
      </c>
      <c r="C514" s="18"/>
      <c r="D514" s="19"/>
    </row>
    <row r="515" spans="1:4" x14ac:dyDescent="0.3">
      <c r="A515" s="16">
        <v>45448.689582999999</v>
      </c>
      <c r="B515" s="17">
        <v>60.722000999999999</v>
      </c>
      <c r="C515" s="18"/>
      <c r="D515" s="19"/>
    </row>
    <row r="516" spans="1:4" x14ac:dyDescent="0.3">
      <c r="A516" s="16">
        <v>45448.690278000002</v>
      </c>
      <c r="B516" s="17">
        <v>60.871687000000001</v>
      </c>
      <c r="C516" s="18"/>
      <c r="D516" s="19"/>
    </row>
    <row r="517" spans="1:4" x14ac:dyDescent="0.3">
      <c r="A517" s="16">
        <v>45448.690971999997</v>
      </c>
      <c r="B517" s="17">
        <v>60.832492999999999</v>
      </c>
      <c r="C517" s="18"/>
      <c r="D517" s="19"/>
    </row>
    <row r="518" spans="1:4" x14ac:dyDescent="0.3">
      <c r="A518" s="16">
        <v>45448.691666999999</v>
      </c>
      <c r="B518" s="17">
        <v>61.155048000000001</v>
      </c>
      <c r="C518" s="18"/>
      <c r="D518" s="19"/>
    </row>
    <row r="519" spans="1:4" x14ac:dyDescent="0.3">
      <c r="A519" s="16">
        <v>45448.692361000001</v>
      </c>
      <c r="B519" s="17">
        <v>60.888626000000002</v>
      </c>
      <c r="C519" s="18"/>
      <c r="D519" s="19"/>
    </row>
    <row r="520" spans="1:4" x14ac:dyDescent="0.3">
      <c r="A520" s="16">
        <v>45448.693055999996</v>
      </c>
      <c r="B520" s="17">
        <v>60.670481000000002</v>
      </c>
      <c r="C520" s="18"/>
      <c r="D520" s="19"/>
    </row>
    <row r="521" spans="1:4" x14ac:dyDescent="0.3">
      <c r="A521" s="16">
        <v>45448.693749999999</v>
      </c>
      <c r="B521" s="17">
        <v>60.844169000000001</v>
      </c>
      <c r="C521" s="18"/>
      <c r="D521" s="19"/>
    </row>
    <row r="522" spans="1:4" x14ac:dyDescent="0.3">
      <c r="A522" s="16">
        <v>45448.694444000001</v>
      </c>
      <c r="B522" s="17">
        <v>60.683450999999998</v>
      </c>
      <c r="C522" s="18"/>
      <c r="D522" s="19"/>
    </row>
    <row r="523" spans="1:4" x14ac:dyDescent="0.3">
      <c r="A523" s="16">
        <v>45448.695139000003</v>
      </c>
      <c r="B523" s="17">
        <v>60.916392999999999</v>
      </c>
      <c r="C523" s="18"/>
      <c r="D523" s="19"/>
    </row>
    <row r="524" spans="1:4" x14ac:dyDescent="0.3">
      <c r="A524" s="16">
        <v>45448.695832999998</v>
      </c>
      <c r="B524" s="17">
        <v>60.695535999999997</v>
      </c>
      <c r="C524" s="18"/>
      <c r="D524" s="19"/>
    </row>
    <row r="525" spans="1:4" x14ac:dyDescent="0.3">
      <c r="A525" s="16">
        <v>45448.696528</v>
      </c>
      <c r="B525" s="17">
        <v>60.412711999999999</v>
      </c>
      <c r="C525" s="18"/>
      <c r="D525" s="19"/>
    </row>
    <row r="526" spans="1:4" x14ac:dyDescent="0.3">
      <c r="A526" s="16">
        <v>45448.697222000003</v>
      </c>
      <c r="B526" s="17">
        <v>61.097399000000003</v>
      </c>
      <c r="C526" s="18"/>
      <c r="D526" s="19"/>
    </row>
    <row r="527" spans="1:4" x14ac:dyDescent="0.3">
      <c r="A527" s="16">
        <v>45448.697916999998</v>
      </c>
      <c r="B527" s="17">
        <v>60.876365999999997</v>
      </c>
      <c r="C527" s="18"/>
      <c r="D527" s="19"/>
    </row>
    <row r="528" spans="1:4" x14ac:dyDescent="0.3">
      <c r="A528" s="16">
        <v>45448.698611</v>
      </c>
      <c r="B528" s="17">
        <v>60.927337000000001</v>
      </c>
      <c r="C528" s="18"/>
      <c r="D528" s="19"/>
    </row>
    <row r="529" spans="1:4" x14ac:dyDescent="0.3">
      <c r="A529" s="16">
        <v>45448.699306000002</v>
      </c>
      <c r="B529" s="17">
        <v>61.079780999999997</v>
      </c>
      <c r="C529" s="18"/>
      <c r="D529" s="19"/>
    </row>
    <row r="530" spans="1:4" x14ac:dyDescent="0.3">
      <c r="A530" s="16">
        <v>45448.7</v>
      </c>
      <c r="B530" s="17">
        <v>60.738387000000003</v>
      </c>
      <c r="C530" s="18"/>
      <c r="D530" s="19"/>
    </row>
    <row r="531" spans="1:4" x14ac:dyDescent="0.3">
      <c r="A531" s="16">
        <v>45448.700693999999</v>
      </c>
      <c r="B531" s="17">
        <v>60.809730999999999</v>
      </c>
      <c r="C531" s="18"/>
      <c r="D531" s="19"/>
    </row>
    <row r="532" spans="1:4" x14ac:dyDescent="0.3">
      <c r="A532" s="16">
        <v>45448.701389000002</v>
      </c>
      <c r="B532" s="17">
        <v>60.911650999999999</v>
      </c>
      <c r="C532" s="18"/>
      <c r="D532" s="19"/>
    </row>
    <row r="533" spans="1:4" x14ac:dyDescent="0.3">
      <c r="A533" s="16">
        <v>45448.702082999996</v>
      </c>
      <c r="B533" s="17">
        <v>60.744982</v>
      </c>
      <c r="C533" s="18"/>
      <c r="D533" s="19"/>
    </row>
    <row r="534" spans="1:4" x14ac:dyDescent="0.3">
      <c r="A534" s="16">
        <v>45448.702777999999</v>
      </c>
      <c r="B534" s="17">
        <v>60.560549000000002</v>
      </c>
      <c r="C534" s="18"/>
      <c r="D534" s="19"/>
    </row>
    <row r="535" spans="1:4" x14ac:dyDescent="0.3">
      <c r="A535" s="16">
        <v>45448.703472000001</v>
      </c>
      <c r="B535" s="17">
        <v>61.047199999999997</v>
      </c>
      <c r="C535" s="18"/>
      <c r="D535" s="19"/>
    </row>
    <row r="536" spans="1:4" x14ac:dyDescent="0.3">
      <c r="A536" s="16">
        <v>45448.704167000004</v>
      </c>
      <c r="B536" s="17">
        <v>60.548043999999997</v>
      </c>
      <c r="C536" s="18"/>
      <c r="D536" s="19"/>
    </row>
    <row r="537" spans="1:4" x14ac:dyDescent="0.3">
      <c r="A537" s="16">
        <v>45448.704860999998</v>
      </c>
      <c r="B537" s="17">
        <v>60.761237999999999</v>
      </c>
      <c r="C537" s="18"/>
      <c r="D537" s="19"/>
    </row>
    <row r="538" spans="1:4" x14ac:dyDescent="0.3">
      <c r="A538" s="16">
        <v>45448.705556000001</v>
      </c>
      <c r="B538" s="17">
        <v>60.911166000000001</v>
      </c>
      <c r="C538" s="18"/>
      <c r="D538" s="19"/>
    </row>
    <row r="539" spans="1:4" x14ac:dyDescent="0.3">
      <c r="A539" s="16">
        <v>45448.706250000003</v>
      </c>
      <c r="B539" s="17">
        <v>60.899994</v>
      </c>
      <c r="C539" s="18"/>
      <c r="D539" s="19"/>
    </row>
    <row r="540" spans="1:4" x14ac:dyDescent="0.3">
      <c r="A540" s="16">
        <v>45448.706943999998</v>
      </c>
      <c r="B540" s="17">
        <v>60.738731999999999</v>
      </c>
      <c r="C540" s="18"/>
      <c r="D540" s="19"/>
    </row>
    <row r="541" spans="1:4" x14ac:dyDescent="0.3">
      <c r="A541" s="16">
        <v>45448.707639</v>
      </c>
      <c r="B541" s="17">
        <v>60.915928000000001</v>
      </c>
      <c r="C541" s="18"/>
      <c r="D541" s="19"/>
    </row>
    <row r="542" spans="1:4" x14ac:dyDescent="0.3">
      <c r="A542" s="16">
        <v>45448.708333000002</v>
      </c>
      <c r="B542" s="17">
        <v>60.875413999999999</v>
      </c>
      <c r="C542" s="18"/>
      <c r="D542" s="19"/>
    </row>
    <row r="543" spans="1:4" x14ac:dyDescent="0.3">
      <c r="A543" s="16">
        <v>45448.709027999997</v>
      </c>
      <c r="B543" s="17">
        <v>61.121963000000001</v>
      </c>
      <c r="C543" s="18"/>
      <c r="D543" s="19"/>
    </row>
    <row r="544" spans="1:4" x14ac:dyDescent="0.3">
      <c r="A544" s="16">
        <v>45448.709722</v>
      </c>
      <c r="B544" s="17">
        <v>60.840426999999998</v>
      </c>
      <c r="C544" s="18"/>
      <c r="D544" s="19"/>
    </row>
    <row r="545" spans="1:4" x14ac:dyDescent="0.3">
      <c r="A545" s="16">
        <v>45448.710417000002</v>
      </c>
      <c r="B545" s="17">
        <v>60.685369000000001</v>
      </c>
      <c r="C545" s="18"/>
      <c r="D545" s="19"/>
    </row>
    <row r="546" spans="1:4" x14ac:dyDescent="0.3">
      <c r="A546" s="16">
        <v>45448.711110999997</v>
      </c>
      <c r="B546" s="17">
        <v>60.376834000000002</v>
      </c>
      <c r="C546" s="18"/>
      <c r="D546" s="19"/>
    </row>
    <row r="547" spans="1:4" x14ac:dyDescent="0.3">
      <c r="A547" s="16">
        <v>45448.711805999999</v>
      </c>
      <c r="B547" s="17">
        <v>60.975306000000003</v>
      </c>
      <c r="C547" s="18"/>
      <c r="D547" s="19"/>
    </row>
    <row r="548" spans="1:4" x14ac:dyDescent="0.3">
      <c r="A548" s="16">
        <v>45448.712500000001</v>
      </c>
      <c r="B548" s="17">
        <v>60.588897000000003</v>
      </c>
      <c r="C548" s="18"/>
      <c r="D548" s="19"/>
    </row>
    <row r="549" spans="1:4" x14ac:dyDescent="0.3">
      <c r="A549" s="16">
        <v>45448.713194000004</v>
      </c>
      <c r="B549" s="17">
        <v>60.603527999999997</v>
      </c>
      <c r="C549" s="18"/>
      <c r="D549" s="19"/>
    </row>
    <row r="550" spans="1:4" x14ac:dyDescent="0.3">
      <c r="A550" s="16">
        <v>45448.713888999999</v>
      </c>
      <c r="B550" s="17">
        <v>60.903941000000003</v>
      </c>
      <c r="C550" s="18"/>
      <c r="D550" s="19"/>
    </row>
    <row r="551" spans="1:4" x14ac:dyDescent="0.3">
      <c r="A551" s="16">
        <v>45448.714583000001</v>
      </c>
      <c r="B551" s="17">
        <v>60.664006000000001</v>
      </c>
      <c r="C551" s="18"/>
      <c r="D551" s="19"/>
    </row>
    <row r="552" spans="1:4" x14ac:dyDescent="0.3">
      <c r="A552" s="16">
        <v>45448.715278000003</v>
      </c>
      <c r="B552" s="17">
        <v>60.688119</v>
      </c>
      <c r="C552" s="18"/>
      <c r="D552" s="19"/>
    </row>
    <row r="553" spans="1:4" x14ac:dyDescent="0.3">
      <c r="A553" s="16">
        <v>45448.715971999998</v>
      </c>
      <c r="B553" s="17">
        <v>60.630845000000001</v>
      </c>
      <c r="C553" s="18"/>
      <c r="D553" s="19"/>
    </row>
    <row r="554" spans="1:4" x14ac:dyDescent="0.3">
      <c r="A554" s="16">
        <v>45448.716667000001</v>
      </c>
      <c r="B554" s="17">
        <v>60.827567999999999</v>
      </c>
      <c r="C554" s="18"/>
      <c r="D554" s="19"/>
    </row>
    <row r="555" spans="1:4" x14ac:dyDescent="0.3">
      <c r="A555" s="16">
        <v>45448.717361000003</v>
      </c>
      <c r="B555" s="17">
        <v>60.590023000000002</v>
      </c>
      <c r="C555" s="18"/>
      <c r="D555" s="19"/>
    </row>
    <row r="556" spans="1:4" x14ac:dyDescent="0.3">
      <c r="A556" s="16">
        <v>45448.718055999998</v>
      </c>
      <c r="B556" s="17">
        <v>61.024372999999997</v>
      </c>
      <c r="C556" s="18"/>
      <c r="D556" s="19"/>
    </row>
    <row r="557" spans="1:4" x14ac:dyDescent="0.3">
      <c r="A557" s="16">
        <v>45448.71875</v>
      </c>
      <c r="B557" s="17">
        <v>61.022590999999998</v>
      </c>
      <c r="C557" s="18"/>
      <c r="D557" s="19"/>
    </row>
    <row r="558" spans="1:4" x14ac:dyDescent="0.3">
      <c r="A558" s="16">
        <v>45448.719444000002</v>
      </c>
      <c r="B558" s="17">
        <v>60.983891999999997</v>
      </c>
      <c r="C558" s="18"/>
      <c r="D558" s="19"/>
    </row>
    <row r="559" spans="1:4" x14ac:dyDescent="0.3">
      <c r="A559" s="16">
        <v>45448.720138999997</v>
      </c>
      <c r="B559" s="17">
        <v>60.653478</v>
      </c>
      <c r="C559" s="18"/>
      <c r="D559" s="19"/>
    </row>
    <row r="560" spans="1:4" x14ac:dyDescent="0.3">
      <c r="A560" s="16">
        <v>45448.720832999999</v>
      </c>
      <c r="B560" s="17">
        <v>60.831122999999998</v>
      </c>
      <c r="C560" s="18"/>
      <c r="D560" s="19"/>
    </row>
    <row r="561" spans="1:4" x14ac:dyDescent="0.3">
      <c r="A561" s="16">
        <v>45448.721528000002</v>
      </c>
      <c r="B561" s="17">
        <v>61.161544999999997</v>
      </c>
      <c r="C561" s="18"/>
      <c r="D561" s="19"/>
    </row>
    <row r="562" spans="1:4" x14ac:dyDescent="0.3">
      <c r="A562" s="16">
        <v>45448.722221999997</v>
      </c>
      <c r="B562" s="17">
        <v>60.458362999999999</v>
      </c>
      <c r="C562" s="18"/>
      <c r="D562" s="19"/>
    </row>
    <row r="563" spans="1:4" x14ac:dyDescent="0.3">
      <c r="A563" s="16">
        <v>45448.722916999999</v>
      </c>
      <c r="B563" s="17">
        <v>60.594079000000001</v>
      </c>
      <c r="C563" s="18"/>
      <c r="D563" s="19"/>
    </row>
    <row r="564" spans="1:4" x14ac:dyDescent="0.3">
      <c r="A564" s="16">
        <v>45448.723611000001</v>
      </c>
      <c r="B564" s="17">
        <v>60.848798000000002</v>
      </c>
      <c r="C564" s="18"/>
      <c r="D564" s="19"/>
    </row>
    <row r="565" spans="1:4" x14ac:dyDescent="0.3">
      <c r="A565" s="16">
        <v>45448.724305999996</v>
      </c>
      <c r="B565" s="17">
        <v>60.624330999999998</v>
      </c>
      <c r="C565" s="18"/>
      <c r="D565" s="19"/>
    </row>
    <row r="566" spans="1:4" x14ac:dyDescent="0.3">
      <c r="A566" s="16">
        <v>45448.724999999999</v>
      </c>
      <c r="B566" s="17">
        <v>60.717325000000002</v>
      </c>
      <c r="C566" s="18"/>
      <c r="D566" s="19"/>
    </row>
    <row r="567" spans="1:4" x14ac:dyDescent="0.3">
      <c r="A567" s="16">
        <v>45448.725694000001</v>
      </c>
      <c r="B567" s="17">
        <v>60.16995</v>
      </c>
      <c r="C567" s="18"/>
      <c r="D567" s="19"/>
    </row>
    <row r="568" spans="1:4" x14ac:dyDescent="0.3">
      <c r="A568" s="16">
        <v>45448.726389000003</v>
      </c>
      <c r="B568" s="17">
        <v>60.682709000000003</v>
      </c>
      <c r="C568" s="18"/>
      <c r="D568" s="19"/>
    </row>
    <row r="569" spans="1:4" x14ac:dyDescent="0.3">
      <c r="A569" s="16">
        <v>45448.727082999998</v>
      </c>
      <c r="B569" s="17">
        <v>60.811221000000003</v>
      </c>
      <c r="C569" s="18"/>
      <c r="D569" s="19"/>
    </row>
    <row r="570" spans="1:4" x14ac:dyDescent="0.3">
      <c r="A570" s="16">
        <v>45448.727778</v>
      </c>
      <c r="B570" s="17">
        <v>60.925716999999999</v>
      </c>
      <c r="C570" s="18"/>
      <c r="D570" s="19"/>
    </row>
    <row r="571" spans="1:4" x14ac:dyDescent="0.3">
      <c r="A571" s="16">
        <v>45448.728472000003</v>
      </c>
      <c r="B571" s="17">
        <v>60.693058000000001</v>
      </c>
      <c r="C571" s="18"/>
      <c r="D571" s="19"/>
    </row>
    <row r="572" spans="1:4" x14ac:dyDescent="0.3">
      <c r="A572" s="16">
        <v>45448.729166999998</v>
      </c>
      <c r="B572" s="17">
        <v>60.880462999999999</v>
      </c>
      <c r="C572" s="18"/>
      <c r="D572" s="19"/>
    </row>
    <row r="573" spans="1:4" x14ac:dyDescent="0.3">
      <c r="A573" s="16">
        <v>45448.729861</v>
      </c>
      <c r="B573" s="17">
        <v>60.862195999999997</v>
      </c>
      <c r="C573" s="18"/>
      <c r="D573" s="19"/>
    </row>
    <row r="574" spans="1:4" x14ac:dyDescent="0.3">
      <c r="A574" s="16">
        <v>45448.730556000002</v>
      </c>
      <c r="B574" s="17">
        <v>60.640770000000003</v>
      </c>
      <c r="C574" s="18"/>
      <c r="D574" s="19"/>
    </row>
    <row r="575" spans="1:4" x14ac:dyDescent="0.3">
      <c r="A575" s="16">
        <v>45448.731249999997</v>
      </c>
      <c r="B575" s="17">
        <v>60.732709999999997</v>
      </c>
      <c r="C575" s="18"/>
      <c r="D575" s="19"/>
    </row>
    <row r="576" spans="1:4" x14ac:dyDescent="0.3">
      <c r="A576" s="16">
        <v>45448.731943999999</v>
      </c>
      <c r="B576" s="17">
        <v>60.621361999999998</v>
      </c>
      <c r="C576" s="18"/>
      <c r="D576" s="19"/>
    </row>
    <row r="577" spans="1:4" x14ac:dyDescent="0.3">
      <c r="A577" s="16">
        <v>45448.732639000002</v>
      </c>
      <c r="B577" s="17">
        <v>60.948039000000001</v>
      </c>
      <c r="C577" s="18"/>
      <c r="D577" s="19"/>
    </row>
    <row r="578" spans="1:4" x14ac:dyDescent="0.3">
      <c r="A578" s="16">
        <v>45448.733332999996</v>
      </c>
      <c r="B578" s="17">
        <v>60.658717000000003</v>
      </c>
      <c r="C578" s="18"/>
      <c r="D578" s="19"/>
    </row>
    <row r="579" spans="1:4" x14ac:dyDescent="0.3">
      <c r="A579" s="16">
        <v>45448.734027999999</v>
      </c>
      <c r="B579" s="17">
        <v>60.864370999999998</v>
      </c>
      <c r="C579" s="18"/>
      <c r="D579" s="19"/>
    </row>
    <row r="580" spans="1:4" x14ac:dyDescent="0.3">
      <c r="A580" s="16">
        <v>45448.734722000001</v>
      </c>
      <c r="B580" s="17">
        <v>60.939737999999998</v>
      </c>
      <c r="C580" s="18"/>
      <c r="D580" s="19"/>
    </row>
    <row r="581" spans="1:4" x14ac:dyDescent="0.3">
      <c r="A581" s="16">
        <v>45448.735417000004</v>
      </c>
      <c r="B581" s="17">
        <v>60.778320000000001</v>
      </c>
      <c r="C581" s="18"/>
      <c r="D581" s="19"/>
    </row>
    <row r="582" spans="1:4" x14ac:dyDescent="0.3">
      <c r="A582" s="16">
        <v>45448.736110999998</v>
      </c>
      <c r="B582" s="17">
        <v>60.721372000000002</v>
      </c>
      <c r="C582" s="18"/>
      <c r="D582" s="19"/>
    </row>
    <row r="583" spans="1:4" x14ac:dyDescent="0.3">
      <c r="A583" s="16">
        <v>45448.736806000001</v>
      </c>
      <c r="B583" s="17">
        <v>60.642062000000003</v>
      </c>
      <c r="C583" s="18"/>
      <c r="D583" s="19"/>
    </row>
    <row r="584" spans="1:4" x14ac:dyDescent="0.3">
      <c r="A584" s="16">
        <v>45448.737500000003</v>
      </c>
      <c r="B584" s="17">
        <v>61.131878</v>
      </c>
      <c r="C584" s="18"/>
      <c r="D584" s="19"/>
    </row>
    <row r="585" spans="1:4" x14ac:dyDescent="0.3">
      <c r="A585" s="16">
        <v>45448.738193999998</v>
      </c>
      <c r="B585" s="17">
        <v>61.164439999999999</v>
      </c>
      <c r="C585" s="18"/>
      <c r="D585" s="19"/>
    </row>
    <row r="586" spans="1:4" x14ac:dyDescent="0.3">
      <c r="A586" s="16">
        <v>45448.738889</v>
      </c>
      <c r="B586" s="17">
        <v>61.463721</v>
      </c>
      <c r="C586" s="18"/>
      <c r="D586" s="19"/>
    </row>
    <row r="587" spans="1:4" x14ac:dyDescent="0.3">
      <c r="A587" s="16">
        <v>45448.739583000002</v>
      </c>
      <c r="B587" s="17">
        <v>61.083770000000001</v>
      </c>
      <c r="C587" s="18"/>
      <c r="D587" s="19"/>
    </row>
    <row r="588" spans="1:4" x14ac:dyDescent="0.3">
      <c r="A588" s="16">
        <v>45448.740277999997</v>
      </c>
      <c r="B588" s="17">
        <v>61.400475999999998</v>
      </c>
      <c r="C588" s="18"/>
      <c r="D588" s="19"/>
    </row>
    <row r="589" spans="1:4" x14ac:dyDescent="0.3">
      <c r="A589" s="16">
        <v>45448.740972</v>
      </c>
      <c r="B589" s="17">
        <v>61.452776</v>
      </c>
      <c r="C589" s="18"/>
      <c r="D589" s="19"/>
    </row>
    <row r="590" spans="1:4" x14ac:dyDescent="0.3">
      <c r="A590" s="16">
        <v>45448.741667000002</v>
      </c>
      <c r="B590" s="17">
        <v>61.213755999999997</v>
      </c>
      <c r="C590" s="18"/>
      <c r="D590" s="19"/>
    </row>
    <row r="591" spans="1:4" x14ac:dyDescent="0.3">
      <c r="A591" s="16">
        <v>45448.742360999997</v>
      </c>
      <c r="B591" s="17">
        <v>61.893999999999998</v>
      </c>
      <c r="C591" s="18"/>
      <c r="D591" s="19"/>
    </row>
    <row r="592" spans="1:4" x14ac:dyDescent="0.3">
      <c r="A592" s="16">
        <v>45448.743055999999</v>
      </c>
      <c r="B592" s="17">
        <v>61.207923999999998</v>
      </c>
      <c r="C592" s="18"/>
      <c r="D592" s="19"/>
    </row>
    <row r="593" spans="1:4" x14ac:dyDescent="0.3">
      <c r="A593" s="16">
        <v>45448.743750000001</v>
      </c>
      <c r="B593" s="17">
        <v>61.391474000000002</v>
      </c>
      <c r="C593" s="18"/>
      <c r="D593" s="19"/>
    </row>
    <row r="594" spans="1:4" x14ac:dyDescent="0.3">
      <c r="A594" s="16">
        <v>45448.744444000004</v>
      </c>
      <c r="B594" s="17">
        <v>61.679774000000002</v>
      </c>
      <c r="C594" s="18"/>
      <c r="D594" s="19"/>
    </row>
    <row r="595" spans="1:4" x14ac:dyDescent="0.3">
      <c r="A595" s="16">
        <v>45448.745138999999</v>
      </c>
      <c r="B595" s="17">
        <v>61.356976000000003</v>
      </c>
      <c r="C595" s="18"/>
      <c r="D595" s="19"/>
    </row>
    <row r="596" spans="1:4" x14ac:dyDescent="0.3">
      <c r="A596" s="16">
        <v>45448.745833000001</v>
      </c>
      <c r="B596" s="17">
        <v>61.453232999999997</v>
      </c>
      <c r="C596" s="18"/>
      <c r="D596" s="19"/>
    </row>
    <row r="597" spans="1:4" x14ac:dyDescent="0.3">
      <c r="A597" s="16">
        <v>45448.746528000003</v>
      </c>
      <c r="B597" s="17">
        <v>61.529209999999999</v>
      </c>
      <c r="C597" s="18"/>
      <c r="D597" s="19"/>
    </row>
    <row r="598" spans="1:4" x14ac:dyDescent="0.3">
      <c r="A598" s="16">
        <v>45448.747221999998</v>
      </c>
      <c r="B598" s="17">
        <v>61.372064000000002</v>
      </c>
      <c r="C598" s="18"/>
      <c r="D598" s="19"/>
    </row>
    <row r="599" spans="1:4" x14ac:dyDescent="0.3">
      <c r="A599" s="16">
        <v>45448.747917000001</v>
      </c>
      <c r="B599" s="17">
        <v>61.538139000000001</v>
      </c>
      <c r="C599" s="18"/>
      <c r="D599" s="19"/>
    </row>
    <row r="600" spans="1:4" x14ac:dyDescent="0.3">
      <c r="A600" s="16">
        <v>45448.748611000003</v>
      </c>
      <c r="B600" s="17">
        <v>61.340429</v>
      </c>
      <c r="C600" s="18"/>
      <c r="D600" s="19"/>
    </row>
    <row r="601" spans="1:4" x14ac:dyDescent="0.3">
      <c r="A601" s="16">
        <v>45448.749305999998</v>
      </c>
      <c r="B601" s="17">
        <v>61.412559999999999</v>
      </c>
      <c r="C601" s="18"/>
      <c r="D601" s="19"/>
    </row>
    <row r="602" spans="1:4" x14ac:dyDescent="0.3">
      <c r="A602" s="16">
        <v>45448.75</v>
      </c>
      <c r="B602" s="17">
        <v>61.588258000000003</v>
      </c>
      <c r="C602" s="18"/>
      <c r="D602" s="19"/>
    </row>
    <row r="603" spans="1:4" x14ac:dyDescent="0.3">
      <c r="A603" s="16">
        <v>45448.750694000002</v>
      </c>
      <c r="B603" s="17">
        <v>61.257640000000002</v>
      </c>
      <c r="C603" s="18"/>
      <c r="D603" s="19"/>
    </row>
    <row r="604" spans="1:4" x14ac:dyDescent="0.3">
      <c r="A604" s="16">
        <v>45448.751388999997</v>
      </c>
      <c r="B604" s="17">
        <v>61.142395999999998</v>
      </c>
      <c r="C604" s="18"/>
      <c r="D604" s="19"/>
    </row>
    <row r="605" spans="1:4" x14ac:dyDescent="0.3">
      <c r="A605" s="16">
        <v>45448.752082999999</v>
      </c>
      <c r="B605" s="17">
        <v>61.547739999999997</v>
      </c>
      <c r="C605" s="18"/>
      <c r="D605" s="19"/>
    </row>
    <row r="606" spans="1:4" x14ac:dyDescent="0.3">
      <c r="A606" s="16">
        <v>45448.752778000002</v>
      </c>
      <c r="B606" s="17">
        <v>61.465803000000001</v>
      </c>
      <c r="C606" s="18"/>
      <c r="D606" s="19"/>
    </row>
    <row r="607" spans="1:4" x14ac:dyDescent="0.3">
      <c r="A607" s="16">
        <v>45448.753471999997</v>
      </c>
      <c r="B607" s="17">
        <v>61.522227999999998</v>
      </c>
      <c r="C607" s="18"/>
      <c r="D607" s="19"/>
    </row>
    <row r="608" spans="1:4" x14ac:dyDescent="0.3">
      <c r="A608" s="16">
        <v>45448.754166999999</v>
      </c>
      <c r="B608" s="17">
        <v>61.230718000000003</v>
      </c>
      <c r="C608" s="18"/>
      <c r="D608" s="19"/>
    </row>
    <row r="609" spans="1:4" x14ac:dyDescent="0.3">
      <c r="A609" s="16">
        <v>45448.754861000001</v>
      </c>
      <c r="B609" s="17">
        <v>61.108429000000001</v>
      </c>
      <c r="C609" s="18"/>
      <c r="D609" s="19"/>
    </row>
    <row r="610" spans="1:4" x14ac:dyDescent="0.3">
      <c r="A610" s="16">
        <v>45448.755555999996</v>
      </c>
      <c r="B610" s="17">
        <v>60.807035999999997</v>
      </c>
      <c r="C610" s="18"/>
      <c r="D610" s="19"/>
    </row>
    <row r="611" spans="1:4" x14ac:dyDescent="0.3">
      <c r="A611" s="16">
        <v>45448.756249999999</v>
      </c>
      <c r="B611" s="17">
        <v>61.384664999999998</v>
      </c>
      <c r="C611" s="18"/>
      <c r="D611" s="19"/>
    </row>
    <row r="612" spans="1:4" x14ac:dyDescent="0.3">
      <c r="A612" s="16">
        <v>45448.756944000001</v>
      </c>
      <c r="B612" s="17">
        <v>61.309542</v>
      </c>
      <c r="C612" s="18"/>
      <c r="D612" s="19"/>
    </row>
    <row r="613" spans="1:4" x14ac:dyDescent="0.3">
      <c r="A613" s="16">
        <v>45448.757639000003</v>
      </c>
      <c r="B613" s="17">
        <v>61.258374000000003</v>
      </c>
      <c r="C613" s="18"/>
      <c r="D613" s="19"/>
    </row>
    <row r="614" spans="1:4" x14ac:dyDescent="0.3">
      <c r="A614" s="16">
        <v>45448.758332999998</v>
      </c>
      <c r="B614" s="17">
        <v>61.097242000000001</v>
      </c>
      <c r="C614" s="18"/>
      <c r="D614" s="19"/>
    </row>
    <row r="615" spans="1:4" x14ac:dyDescent="0.3">
      <c r="A615" s="16">
        <v>45448.759028</v>
      </c>
      <c r="B615" s="17">
        <v>61.280450999999999</v>
      </c>
      <c r="C615" s="18"/>
      <c r="D615" s="19"/>
    </row>
    <row r="616" spans="1:4" x14ac:dyDescent="0.3">
      <c r="A616" s="16">
        <v>45448.759722000003</v>
      </c>
      <c r="B616" s="17">
        <v>61.215463</v>
      </c>
      <c r="C616" s="18"/>
      <c r="D616" s="19"/>
    </row>
    <row r="617" spans="1:4" x14ac:dyDescent="0.3">
      <c r="A617" s="16">
        <v>45448.760416999998</v>
      </c>
      <c r="B617" s="17">
        <v>61.305835999999999</v>
      </c>
      <c r="C617" s="18"/>
      <c r="D617" s="19"/>
    </row>
    <row r="618" spans="1:4" x14ac:dyDescent="0.3">
      <c r="A618" s="16">
        <v>45448.761111</v>
      </c>
      <c r="B618" s="17">
        <v>61.227030999999997</v>
      </c>
      <c r="C618" s="18"/>
      <c r="D618" s="19"/>
    </row>
    <row r="619" spans="1:4" x14ac:dyDescent="0.3">
      <c r="A619" s="16">
        <v>45448.761806000002</v>
      </c>
      <c r="B619" s="17">
        <v>61.357850999999997</v>
      </c>
      <c r="C619" s="18"/>
      <c r="D619" s="19"/>
    </row>
    <row r="620" spans="1:4" x14ac:dyDescent="0.3">
      <c r="A620" s="16">
        <v>45448.762499999997</v>
      </c>
      <c r="B620" s="17">
        <v>60.888337999999997</v>
      </c>
      <c r="C620" s="18"/>
      <c r="D620" s="19"/>
    </row>
    <row r="621" spans="1:4" x14ac:dyDescent="0.3">
      <c r="A621" s="16">
        <v>45448.763193999999</v>
      </c>
      <c r="B621" s="17">
        <v>61.403215000000003</v>
      </c>
      <c r="C621" s="18"/>
      <c r="D621" s="19"/>
    </row>
    <row r="622" spans="1:4" x14ac:dyDescent="0.3">
      <c r="A622" s="16">
        <v>45448.763889000002</v>
      </c>
      <c r="B622" s="17">
        <v>61.363</v>
      </c>
      <c r="C622" s="18"/>
      <c r="D622" s="19"/>
    </row>
    <row r="623" spans="1:4" x14ac:dyDescent="0.3">
      <c r="A623" s="16">
        <v>45448.764582999996</v>
      </c>
      <c r="B623" s="17">
        <v>61.178016</v>
      </c>
      <c r="C623" s="18"/>
      <c r="D623" s="19"/>
    </row>
    <row r="624" spans="1:4" x14ac:dyDescent="0.3">
      <c r="A624" s="16">
        <v>45448.765277999999</v>
      </c>
      <c r="B624" s="17">
        <v>61.474885999999998</v>
      </c>
      <c r="C624" s="18"/>
      <c r="D624" s="19"/>
    </row>
    <row r="625" spans="1:4" x14ac:dyDescent="0.3">
      <c r="A625" s="16">
        <v>45448.765972000001</v>
      </c>
      <c r="B625" s="17">
        <v>61.318528000000001</v>
      </c>
      <c r="C625" s="18"/>
      <c r="D625" s="19"/>
    </row>
    <row r="626" spans="1:4" x14ac:dyDescent="0.3">
      <c r="A626" s="16">
        <v>45448.766667000004</v>
      </c>
      <c r="B626" s="17">
        <v>61.289273999999999</v>
      </c>
      <c r="C626" s="18"/>
      <c r="D626" s="19"/>
    </row>
    <row r="627" spans="1:4" x14ac:dyDescent="0.3">
      <c r="A627" s="16">
        <v>45448.767360999998</v>
      </c>
      <c r="B627" s="17">
        <v>61.320475999999999</v>
      </c>
      <c r="C627" s="18"/>
      <c r="D627" s="19"/>
    </row>
    <row r="628" spans="1:4" x14ac:dyDescent="0.3">
      <c r="A628" s="16">
        <v>45448.768056000001</v>
      </c>
      <c r="B628" s="17">
        <v>61.001931999999996</v>
      </c>
      <c r="C628" s="18"/>
      <c r="D628" s="19"/>
    </row>
    <row r="629" spans="1:4" x14ac:dyDescent="0.3">
      <c r="A629" s="16">
        <v>45448.768750000003</v>
      </c>
      <c r="B629" s="17">
        <v>61.418106999999999</v>
      </c>
      <c r="C629" s="18"/>
      <c r="D629" s="19"/>
    </row>
    <row r="630" spans="1:4" x14ac:dyDescent="0.3">
      <c r="A630" s="16">
        <v>45448.769443999998</v>
      </c>
      <c r="B630" s="17">
        <v>61.289701000000001</v>
      </c>
      <c r="C630" s="18"/>
      <c r="D630" s="19"/>
    </row>
    <row r="631" spans="1:4" x14ac:dyDescent="0.3">
      <c r="A631" s="16">
        <v>45448.770139</v>
      </c>
      <c r="B631" s="17">
        <v>61.228188000000003</v>
      </c>
      <c r="C631" s="18"/>
      <c r="D631" s="19"/>
    </row>
    <row r="632" spans="1:4" x14ac:dyDescent="0.3">
      <c r="A632" s="16">
        <v>45448.770833000002</v>
      </c>
      <c r="B632" s="17">
        <v>61.489486999999997</v>
      </c>
      <c r="C632" s="18"/>
      <c r="D632" s="19"/>
    </row>
    <row r="633" spans="1:4" x14ac:dyDescent="0.3">
      <c r="A633" s="16">
        <v>45448.771527999997</v>
      </c>
      <c r="B633" s="17">
        <v>61.342154999999998</v>
      </c>
      <c r="C633" s="18"/>
      <c r="D633" s="19"/>
    </row>
    <row r="634" spans="1:4" x14ac:dyDescent="0.3">
      <c r="A634" s="16">
        <v>45448.772222</v>
      </c>
      <c r="B634" s="17">
        <v>61.299261999999999</v>
      </c>
      <c r="C634" s="18"/>
      <c r="D634" s="19"/>
    </row>
    <row r="635" spans="1:4" x14ac:dyDescent="0.3">
      <c r="A635" s="16">
        <v>45448.772917000002</v>
      </c>
      <c r="B635" s="17">
        <v>61.327573999999998</v>
      </c>
      <c r="C635" s="18"/>
      <c r="D635" s="19"/>
    </row>
    <row r="636" spans="1:4" x14ac:dyDescent="0.3">
      <c r="A636" s="16">
        <v>45448.773610999997</v>
      </c>
      <c r="B636" s="17">
        <v>61.267637999999998</v>
      </c>
      <c r="C636" s="18"/>
      <c r="D636" s="19"/>
    </row>
    <row r="637" spans="1:4" x14ac:dyDescent="0.3">
      <c r="A637" s="16">
        <v>45448.774305999999</v>
      </c>
      <c r="B637" s="17">
        <v>61.101272999999999</v>
      </c>
      <c r="C637" s="18"/>
      <c r="D637" s="19"/>
    </row>
    <row r="638" spans="1:4" x14ac:dyDescent="0.3">
      <c r="A638" s="16">
        <v>45448.775000000001</v>
      </c>
      <c r="B638" s="17">
        <v>61.232135999999997</v>
      </c>
      <c r="C638" s="18"/>
      <c r="D638" s="19"/>
    </row>
    <row r="639" spans="1:4" x14ac:dyDescent="0.3">
      <c r="A639" s="16">
        <v>45448.775694000004</v>
      </c>
      <c r="B639" s="17">
        <v>61.505662000000001</v>
      </c>
      <c r="C639" s="18"/>
      <c r="D639" s="19"/>
    </row>
    <row r="640" spans="1:4" x14ac:dyDescent="0.3">
      <c r="A640" s="16">
        <v>45448.776388999999</v>
      </c>
      <c r="B640" s="17">
        <v>61.189483000000003</v>
      </c>
      <c r="C640" s="18"/>
      <c r="D640" s="19"/>
    </row>
    <row r="641" spans="1:4" x14ac:dyDescent="0.3">
      <c r="A641" s="16">
        <v>45448.777083000001</v>
      </c>
      <c r="B641" s="17">
        <v>61.330661999999997</v>
      </c>
      <c r="C641" s="18"/>
      <c r="D641" s="19"/>
    </row>
    <row r="642" spans="1:4" x14ac:dyDescent="0.3">
      <c r="A642" s="16">
        <v>45448.777778000003</v>
      </c>
      <c r="B642" s="17">
        <v>61.152779000000002</v>
      </c>
      <c r="C642" s="18"/>
      <c r="D642" s="19"/>
    </row>
    <row r="643" spans="1:4" x14ac:dyDescent="0.3">
      <c r="A643" s="16">
        <v>45448.778471999998</v>
      </c>
      <c r="B643" s="17">
        <v>61.195107</v>
      </c>
      <c r="C643" s="18"/>
      <c r="D643" s="19"/>
    </row>
    <row r="644" spans="1:4" x14ac:dyDescent="0.3">
      <c r="A644" s="16">
        <v>45448.779167000001</v>
      </c>
      <c r="B644" s="17">
        <v>61.050491999999998</v>
      </c>
      <c r="C644" s="18"/>
      <c r="D644" s="19"/>
    </row>
    <row r="645" spans="1:4" x14ac:dyDescent="0.3">
      <c r="A645" s="16">
        <v>45448.779861000003</v>
      </c>
      <c r="B645" s="17">
        <v>61.255412999999997</v>
      </c>
      <c r="C645" s="18"/>
      <c r="D645" s="19"/>
    </row>
    <row r="646" spans="1:4" x14ac:dyDescent="0.3">
      <c r="A646" s="16">
        <v>45448.780555999998</v>
      </c>
      <c r="B646" s="17">
        <v>61.246191000000003</v>
      </c>
      <c r="C646" s="18"/>
      <c r="D646" s="19"/>
    </row>
    <row r="647" spans="1:4" x14ac:dyDescent="0.3">
      <c r="A647" s="16">
        <v>45448.78125</v>
      </c>
      <c r="B647" s="17">
        <v>61.009473</v>
      </c>
      <c r="C647" s="18"/>
      <c r="D647" s="19"/>
    </row>
    <row r="648" spans="1:4" x14ac:dyDescent="0.3">
      <c r="A648" s="16">
        <v>45448.781944000002</v>
      </c>
      <c r="B648" s="17">
        <v>60.976328000000002</v>
      </c>
      <c r="C648" s="18"/>
      <c r="D648" s="19"/>
    </row>
    <row r="649" spans="1:4" x14ac:dyDescent="0.3">
      <c r="A649" s="16">
        <v>45448.782638999997</v>
      </c>
      <c r="B649" s="17">
        <v>61.414935999999997</v>
      </c>
      <c r="C649" s="18"/>
      <c r="D649" s="19"/>
    </row>
    <row r="650" spans="1:4" x14ac:dyDescent="0.3">
      <c r="A650" s="16">
        <v>45448.783332999999</v>
      </c>
      <c r="B650" s="17">
        <v>61.264299999999999</v>
      </c>
      <c r="C650" s="18"/>
      <c r="D650" s="19"/>
    </row>
    <row r="651" spans="1:4" x14ac:dyDescent="0.3">
      <c r="A651" s="16">
        <v>45448.784028000002</v>
      </c>
      <c r="B651" s="17">
        <v>61.682693</v>
      </c>
      <c r="C651" s="18"/>
      <c r="D651" s="19"/>
    </row>
    <row r="652" spans="1:4" x14ac:dyDescent="0.3">
      <c r="A652" s="16">
        <v>45448.784721999997</v>
      </c>
      <c r="B652" s="17">
        <v>60.968594000000003</v>
      </c>
      <c r="C652" s="18"/>
      <c r="D652" s="19"/>
    </row>
    <row r="653" spans="1:4" x14ac:dyDescent="0.3">
      <c r="A653" s="16">
        <v>45448.785416999999</v>
      </c>
      <c r="B653" s="17">
        <v>61.218076000000003</v>
      </c>
      <c r="C653" s="18"/>
      <c r="D653" s="19"/>
    </row>
    <row r="654" spans="1:4" x14ac:dyDescent="0.3">
      <c r="A654" s="16">
        <v>45448.786111000001</v>
      </c>
      <c r="B654" s="17">
        <v>61.051372999999998</v>
      </c>
      <c r="C654" s="18"/>
      <c r="D654" s="19"/>
    </row>
    <row r="655" spans="1:4" x14ac:dyDescent="0.3">
      <c r="A655" s="16">
        <v>45448.786805999996</v>
      </c>
      <c r="B655" s="17">
        <v>60.900109</v>
      </c>
      <c r="C655" s="18"/>
      <c r="D655" s="19"/>
    </row>
    <row r="656" spans="1:4" x14ac:dyDescent="0.3">
      <c r="A656" s="16">
        <v>45448.787499999999</v>
      </c>
      <c r="B656" s="17">
        <v>61.094262000000001</v>
      </c>
      <c r="C656" s="18"/>
      <c r="D656" s="19"/>
    </row>
    <row r="657" spans="1:4" x14ac:dyDescent="0.3">
      <c r="A657" s="16">
        <v>45448.788194000001</v>
      </c>
      <c r="B657" s="17">
        <v>61.263750999999999</v>
      </c>
      <c r="C657" s="18"/>
      <c r="D657" s="19"/>
    </row>
    <row r="658" spans="1:4" x14ac:dyDescent="0.3">
      <c r="A658" s="16">
        <v>45448.788889000003</v>
      </c>
      <c r="B658" s="17">
        <v>61.485912999999996</v>
      </c>
      <c r="C658" s="18"/>
      <c r="D658" s="19"/>
    </row>
    <row r="659" spans="1:4" x14ac:dyDescent="0.3">
      <c r="A659" s="16">
        <v>45448.789582999998</v>
      </c>
      <c r="B659" s="17">
        <v>60.832577000000001</v>
      </c>
      <c r="C659" s="18"/>
      <c r="D659" s="19"/>
    </row>
    <row r="660" spans="1:4" x14ac:dyDescent="0.3">
      <c r="A660" s="16">
        <v>45448.790278</v>
      </c>
      <c r="B660" s="17">
        <v>61.034725000000002</v>
      </c>
      <c r="C660" s="18"/>
      <c r="D660" s="19"/>
    </row>
    <row r="661" spans="1:4" x14ac:dyDescent="0.3">
      <c r="A661" s="16">
        <v>45448.790972000003</v>
      </c>
      <c r="B661" s="17">
        <v>61.190866999999997</v>
      </c>
      <c r="C661" s="18"/>
      <c r="D661" s="19"/>
    </row>
    <row r="662" spans="1:4" x14ac:dyDescent="0.3">
      <c r="A662" s="16">
        <v>45448.791666999998</v>
      </c>
      <c r="B662" s="17">
        <v>61.225420999999997</v>
      </c>
      <c r="C662" s="18"/>
      <c r="D662" s="19"/>
    </row>
    <row r="663" spans="1:4" x14ac:dyDescent="0.3">
      <c r="A663" s="16">
        <v>45448.792361</v>
      </c>
      <c r="B663" s="17">
        <v>60.907240000000002</v>
      </c>
      <c r="C663" s="18"/>
      <c r="D663" s="19"/>
    </row>
    <row r="664" spans="1:4" x14ac:dyDescent="0.3">
      <c r="A664" s="16">
        <v>45448.793056000002</v>
      </c>
      <c r="B664" s="17">
        <v>60.952936000000001</v>
      </c>
      <c r="C664" s="18"/>
      <c r="D664" s="19"/>
    </row>
    <row r="665" spans="1:4" x14ac:dyDescent="0.3">
      <c r="A665" s="16">
        <v>45448.793749999997</v>
      </c>
      <c r="B665" s="17">
        <v>61.527712999999999</v>
      </c>
      <c r="C665" s="18"/>
      <c r="D665" s="19"/>
    </row>
    <row r="666" spans="1:4" x14ac:dyDescent="0.3">
      <c r="A666" s="16">
        <v>45448.794443999999</v>
      </c>
      <c r="B666" s="17">
        <v>61.486865999999999</v>
      </c>
      <c r="C666" s="18"/>
      <c r="D666" s="19"/>
    </row>
    <row r="667" spans="1:4" x14ac:dyDescent="0.3">
      <c r="A667" s="16">
        <v>45448.795139000002</v>
      </c>
      <c r="B667" s="17">
        <v>61.086429000000003</v>
      </c>
      <c r="C667" s="18"/>
      <c r="D667" s="19"/>
    </row>
    <row r="668" spans="1:4" x14ac:dyDescent="0.3">
      <c r="A668" s="16">
        <v>45448.795832999996</v>
      </c>
      <c r="B668" s="17">
        <v>61.051768000000003</v>
      </c>
      <c r="C668" s="18"/>
      <c r="D668" s="19"/>
    </row>
    <row r="669" spans="1:4" x14ac:dyDescent="0.3">
      <c r="A669" s="16">
        <v>45448.796527999999</v>
      </c>
      <c r="B669" s="17">
        <v>61.103647000000002</v>
      </c>
      <c r="C669" s="18"/>
      <c r="D669" s="19"/>
    </row>
    <row r="670" spans="1:4" x14ac:dyDescent="0.3">
      <c r="A670" s="16">
        <v>45448.797222000001</v>
      </c>
      <c r="B670" s="17">
        <v>60.998823000000002</v>
      </c>
      <c r="C670" s="18"/>
      <c r="D670" s="19"/>
    </row>
    <row r="671" spans="1:4" x14ac:dyDescent="0.3">
      <c r="A671" s="16">
        <v>45448.797917000004</v>
      </c>
      <c r="B671" s="17">
        <v>61.306061</v>
      </c>
      <c r="C671" s="18"/>
      <c r="D671" s="19"/>
    </row>
    <row r="672" spans="1:4" x14ac:dyDescent="0.3">
      <c r="A672" s="16">
        <v>45448.798610999998</v>
      </c>
      <c r="B672" s="17">
        <v>60.717894999999999</v>
      </c>
      <c r="C672" s="18"/>
      <c r="D672" s="19"/>
    </row>
    <row r="673" spans="1:4" x14ac:dyDescent="0.3">
      <c r="A673" s="16">
        <v>45448.799306000001</v>
      </c>
      <c r="B673" s="17">
        <v>61.002085999999998</v>
      </c>
      <c r="C673" s="18"/>
      <c r="D673" s="19"/>
    </row>
    <row r="674" spans="1:4" x14ac:dyDescent="0.3">
      <c r="A674" s="16">
        <v>45448.800000000003</v>
      </c>
      <c r="B674" s="17">
        <v>61.220799</v>
      </c>
      <c r="C674" s="18"/>
      <c r="D674" s="19"/>
    </row>
    <row r="675" spans="1:4" x14ac:dyDescent="0.3">
      <c r="A675" s="16">
        <v>45448.800693999998</v>
      </c>
      <c r="B675" s="17">
        <v>61.038254999999999</v>
      </c>
      <c r="C675" s="18"/>
      <c r="D675" s="19"/>
    </row>
    <row r="676" spans="1:4" x14ac:dyDescent="0.3">
      <c r="A676" s="16">
        <v>45448.801389</v>
      </c>
      <c r="B676" s="17">
        <v>60.971888999999997</v>
      </c>
      <c r="C676" s="18"/>
      <c r="D676" s="19"/>
    </row>
    <row r="677" spans="1:4" x14ac:dyDescent="0.3">
      <c r="A677" s="16">
        <v>45448.802083000002</v>
      </c>
      <c r="B677" s="17">
        <v>61.062764000000001</v>
      </c>
      <c r="C677" s="18"/>
      <c r="D677" s="19"/>
    </row>
    <row r="678" spans="1:4" x14ac:dyDescent="0.3">
      <c r="A678" s="16">
        <v>45448.802777999997</v>
      </c>
      <c r="B678" s="17">
        <v>61.196896000000002</v>
      </c>
      <c r="C678" s="18"/>
      <c r="D678" s="19"/>
    </row>
    <row r="679" spans="1:4" x14ac:dyDescent="0.3">
      <c r="A679" s="16">
        <v>45448.803472</v>
      </c>
      <c r="B679" s="17">
        <v>61.524599000000002</v>
      </c>
      <c r="C679" s="18"/>
      <c r="D679" s="19"/>
    </row>
    <row r="680" spans="1:4" x14ac:dyDescent="0.3">
      <c r="A680" s="16">
        <v>45448.804167000002</v>
      </c>
      <c r="B680" s="17">
        <v>61.025092000000001</v>
      </c>
      <c r="C680" s="18"/>
      <c r="D680" s="19"/>
    </row>
    <row r="681" spans="1:4" x14ac:dyDescent="0.3">
      <c r="A681" s="16">
        <v>45448.804860999997</v>
      </c>
      <c r="B681" s="17">
        <v>61.150731</v>
      </c>
      <c r="C681" s="18"/>
      <c r="D681" s="19"/>
    </row>
    <row r="682" spans="1:4" x14ac:dyDescent="0.3">
      <c r="A682" s="16">
        <v>45448.805555999999</v>
      </c>
      <c r="B682" s="17">
        <v>60.963934999999999</v>
      </c>
      <c r="C682" s="18"/>
      <c r="D682" s="19"/>
    </row>
    <row r="683" spans="1:4" x14ac:dyDescent="0.3">
      <c r="A683" s="16">
        <v>45448.806250000001</v>
      </c>
      <c r="B683" s="17">
        <v>60.932637999999997</v>
      </c>
      <c r="C683" s="18"/>
      <c r="D683" s="19"/>
    </row>
    <row r="684" spans="1:4" x14ac:dyDescent="0.3">
      <c r="A684" s="16">
        <v>45448.806944000004</v>
      </c>
      <c r="B684" s="17">
        <v>61.363242999999997</v>
      </c>
      <c r="C684" s="18"/>
      <c r="D684" s="19"/>
    </row>
    <row r="685" spans="1:4" x14ac:dyDescent="0.3">
      <c r="A685" s="16">
        <v>45448.807638999999</v>
      </c>
      <c r="B685" s="17">
        <v>61.264907999999998</v>
      </c>
      <c r="C685" s="18"/>
      <c r="D685" s="19"/>
    </row>
    <row r="686" spans="1:4" x14ac:dyDescent="0.3">
      <c r="A686" s="16">
        <v>45448.808333000001</v>
      </c>
      <c r="B686" s="17">
        <v>61.215761999999998</v>
      </c>
      <c r="C686" s="18"/>
      <c r="D686" s="19"/>
    </row>
    <row r="687" spans="1:4" x14ac:dyDescent="0.3">
      <c r="A687" s="16">
        <v>45448.809028000003</v>
      </c>
      <c r="B687" s="17">
        <v>61.006720000000001</v>
      </c>
      <c r="C687" s="18"/>
      <c r="D687" s="19"/>
    </row>
    <row r="688" spans="1:4" x14ac:dyDescent="0.3">
      <c r="A688" s="16">
        <v>45448.809721999998</v>
      </c>
      <c r="B688" s="17">
        <v>61.093389000000002</v>
      </c>
      <c r="C688" s="18"/>
      <c r="D688" s="19"/>
    </row>
    <row r="689" spans="1:4" x14ac:dyDescent="0.3">
      <c r="A689" s="16">
        <v>45448.810417000001</v>
      </c>
      <c r="B689" s="17">
        <v>61.362073000000002</v>
      </c>
      <c r="C689" s="18"/>
      <c r="D689" s="19"/>
    </row>
    <row r="690" spans="1:4" x14ac:dyDescent="0.3">
      <c r="A690" s="16">
        <v>45448.811111000003</v>
      </c>
      <c r="B690" s="17">
        <v>60.975121999999999</v>
      </c>
      <c r="C690" s="18"/>
      <c r="D690" s="19"/>
    </row>
    <row r="691" spans="1:4" x14ac:dyDescent="0.3">
      <c r="A691" s="16">
        <v>45448.811805999998</v>
      </c>
      <c r="B691" s="17">
        <v>61.345421999999999</v>
      </c>
      <c r="C691" s="18"/>
      <c r="D691" s="19"/>
    </row>
    <row r="692" spans="1:4" x14ac:dyDescent="0.3">
      <c r="A692" s="16">
        <v>45448.8125</v>
      </c>
      <c r="B692" s="17">
        <v>61.482202999999998</v>
      </c>
      <c r="C692" s="18"/>
      <c r="D692" s="19"/>
    </row>
    <row r="693" spans="1:4" x14ac:dyDescent="0.3">
      <c r="A693" s="16">
        <v>45448.813194000002</v>
      </c>
      <c r="B693" s="17">
        <v>61.235975000000003</v>
      </c>
      <c r="C693" s="18"/>
      <c r="D693" s="19"/>
    </row>
    <row r="694" spans="1:4" x14ac:dyDescent="0.3">
      <c r="A694" s="16">
        <v>45448.813888999997</v>
      </c>
      <c r="B694" s="17">
        <v>61.236390999999998</v>
      </c>
      <c r="C694" s="18"/>
      <c r="D694" s="19"/>
    </row>
    <row r="695" spans="1:4" x14ac:dyDescent="0.3">
      <c r="A695" s="16">
        <v>45448.814582999999</v>
      </c>
      <c r="B695" s="17">
        <v>61.018459999999997</v>
      </c>
      <c r="C695" s="18"/>
      <c r="D695" s="19"/>
    </row>
    <row r="696" spans="1:4" x14ac:dyDescent="0.3">
      <c r="A696" s="16">
        <v>45448.815278000002</v>
      </c>
      <c r="B696" s="17">
        <v>61.028824</v>
      </c>
      <c r="C696" s="18"/>
      <c r="D696" s="19"/>
    </row>
    <row r="697" spans="1:4" x14ac:dyDescent="0.3">
      <c r="A697" s="16">
        <v>45448.815971999997</v>
      </c>
      <c r="B697" s="17">
        <v>60.887020999999997</v>
      </c>
      <c r="C697" s="18"/>
      <c r="D697" s="19"/>
    </row>
    <row r="698" spans="1:4" x14ac:dyDescent="0.3">
      <c r="A698" s="16">
        <v>45448.816666999999</v>
      </c>
      <c r="B698" s="17">
        <v>60.891734</v>
      </c>
      <c r="C698" s="18"/>
      <c r="D698" s="19"/>
    </row>
    <row r="699" spans="1:4" x14ac:dyDescent="0.3">
      <c r="A699" s="16">
        <v>45448.817361000001</v>
      </c>
      <c r="B699" s="17">
        <v>61.154541999999999</v>
      </c>
      <c r="C699" s="18"/>
      <c r="D699" s="19"/>
    </row>
    <row r="700" spans="1:4" x14ac:dyDescent="0.3">
      <c r="A700" s="16">
        <v>45448.818055999996</v>
      </c>
      <c r="B700" s="17">
        <v>60.643306000000003</v>
      </c>
      <c r="C700" s="18"/>
      <c r="D700" s="19"/>
    </row>
    <row r="701" spans="1:4" x14ac:dyDescent="0.3">
      <c r="A701" s="16">
        <v>45448.818749999999</v>
      </c>
      <c r="B701" s="17">
        <v>61.326546999999998</v>
      </c>
      <c r="C701" s="18"/>
      <c r="D701" s="19"/>
    </row>
    <row r="702" spans="1:4" x14ac:dyDescent="0.3">
      <c r="A702" s="16">
        <v>45448.819444000001</v>
      </c>
      <c r="B702" s="17">
        <v>61.531827999999997</v>
      </c>
      <c r="C702" s="18"/>
      <c r="D702" s="19"/>
    </row>
    <row r="703" spans="1:4" x14ac:dyDescent="0.3">
      <c r="A703" s="16">
        <v>45448.820139000003</v>
      </c>
      <c r="B703" s="17">
        <v>61.176853999999999</v>
      </c>
      <c r="C703" s="18"/>
      <c r="D703" s="19"/>
    </row>
    <row r="704" spans="1:4" x14ac:dyDescent="0.3">
      <c r="A704" s="16">
        <v>45448.820832999998</v>
      </c>
      <c r="B704" s="17">
        <v>60.543306000000001</v>
      </c>
      <c r="C704" s="18"/>
      <c r="D704" s="19"/>
    </row>
    <row r="705" spans="1:4" x14ac:dyDescent="0.3">
      <c r="A705" s="16">
        <v>45448.821528</v>
      </c>
      <c r="B705" s="17">
        <v>60.147516000000003</v>
      </c>
      <c r="C705" s="18"/>
      <c r="D705" s="19"/>
    </row>
    <row r="706" spans="1:4" x14ac:dyDescent="0.3">
      <c r="A706" s="16">
        <v>45448.822222000003</v>
      </c>
      <c r="B706" s="17">
        <v>60.284627</v>
      </c>
      <c r="C706" s="18"/>
      <c r="D706" s="19"/>
    </row>
    <row r="707" spans="1:4" x14ac:dyDescent="0.3">
      <c r="A707" s="16">
        <v>45448.822916999998</v>
      </c>
      <c r="B707" s="17">
        <v>59.908535000000001</v>
      </c>
      <c r="C707" s="18"/>
      <c r="D707" s="19"/>
    </row>
    <row r="708" spans="1:4" x14ac:dyDescent="0.3">
      <c r="A708" s="16">
        <v>45448.823611</v>
      </c>
      <c r="B708" s="17">
        <v>60.121102</v>
      </c>
      <c r="C708" s="18"/>
      <c r="D708" s="19"/>
    </row>
    <row r="709" spans="1:4" x14ac:dyDescent="0.3">
      <c r="A709" s="16">
        <v>45448.824306000002</v>
      </c>
      <c r="B709" s="17">
        <v>59.984577000000002</v>
      </c>
      <c r="C709" s="18"/>
      <c r="D709" s="19"/>
    </row>
    <row r="710" spans="1:4" x14ac:dyDescent="0.3">
      <c r="A710" s="16">
        <v>45448.824999999997</v>
      </c>
      <c r="B710" s="17">
        <v>60.284045999999996</v>
      </c>
      <c r="C710" s="18"/>
      <c r="D710" s="19"/>
    </row>
    <row r="711" spans="1:4" x14ac:dyDescent="0.3">
      <c r="A711" s="16">
        <v>45448.825693999999</v>
      </c>
      <c r="B711" s="17">
        <v>60.388277000000002</v>
      </c>
      <c r="C711" s="18"/>
      <c r="D711" s="19"/>
    </row>
    <row r="712" spans="1:4" x14ac:dyDescent="0.3">
      <c r="A712" s="16">
        <v>45448.826389000002</v>
      </c>
      <c r="B712" s="17">
        <v>60.375684</v>
      </c>
      <c r="C712" s="18"/>
      <c r="D712" s="19"/>
    </row>
    <row r="713" spans="1:4" x14ac:dyDescent="0.3">
      <c r="A713" s="16">
        <v>45448.827082999996</v>
      </c>
      <c r="B713" s="17">
        <v>60.246310000000001</v>
      </c>
      <c r="C713" s="18"/>
      <c r="D713" s="19"/>
    </row>
    <row r="714" spans="1:4" x14ac:dyDescent="0.3">
      <c r="A714" s="16">
        <v>45448.827777999999</v>
      </c>
      <c r="B714" s="17">
        <v>60.334921000000001</v>
      </c>
      <c r="C714" s="18"/>
      <c r="D714" s="19"/>
    </row>
    <row r="715" spans="1:4" x14ac:dyDescent="0.3">
      <c r="A715" s="16">
        <v>45448.828472000001</v>
      </c>
      <c r="B715" s="17">
        <v>60.215090000000004</v>
      </c>
      <c r="C715" s="18"/>
      <c r="D715" s="19"/>
    </row>
    <row r="716" spans="1:4" x14ac:dyDescent="0.3">
      <c r="A716" s="16">
        <v>45448.829167000004</v>
      </c>
      <c r="B716" s="17">
        <v>60.245838999999997</v>
      </c>
      <c r="C716" s="18"/>
      <c r="D716" s="19"/>
    </row>
    <row r="717" spans="1:4" x14ac:dyDescent="0.3">
      <c r="A717" s="16">
        <v>45448.829860999998</v>
      </c>
      <c r="B717" s="17">
        <v>60.427815000000002</v>
      </c>
      <c r="C717" s="18"/>
      <c r="D717" s="19"/>
    </row>
    <row r="718" spans="1:4" x14ac:dyDescent="0.3">
      <c r="A718" s="16">
        <v>45448.830556000001</v>
      </c>
      <c r="B718" s="17">
        <v>59.845362999999999</v>
      </c>
      <c r="C718" s="18"/>
      <c r="D718" s="19"/>
    </row>
    <row r="719" spans="1:4" x14ac:dyDescent="0.3">
      <c r="A719" s="16">
        <v>45448.831250000003</v>
      </c>
      <c r="B719" s="17">
        <v>60.448532999999998</v>
      </c>
      <c r="C719" s="18"/>
      <c r="D719" s="19"/>
    </row>
    <row r="720" spans="1:4" x14ac:dyDescent="0.3">
      <c r="A720" s="16">
        <v>45448.831943999998</v>
      </c>
      <c r="B720" s="17">
        <v>60.311318999999997</v>
      </c>
      <c r="C720" s="18"/>
      <c r="D720" s="19"/>
    </row>
    <row r="721" spans="1:4" x14ac:dyDescent="0.3">
      <c r="A721" s="16">
        <v>45448.832639</v>
      </c>
      <c r="B721" s="17">
        <v>60.069417000000001</v>
      </c>
      <c r="C721" s="18"/>
      <c r="D721" s="19"/>
    </row>
    <row r="722" spans="1:4" x14ac:dyDescent="0.3">
      <c r="A722" s="16">
        <v>45448.833333000002</v>
      </c>
      <c r="B722" s="17">
        <v>60.201242000000001</v>
      </c>
      <c r="C722" s="18"/>
      <c r="D722" s="19"/>
    </row>
    <row r="723" spans="1:4" x14ac:dyDescent="0.3">
      <c r="A723" s="16">
        <v>45448.834027999997</v>
      </c>
      <c r="B723" s="17">
        <v>60.028979999999997</v>
      </c>
      <c r="C723" s="18"/>
      <c r="D723" s="19"/>
    </row>
    <row r="724" spans="1:4" x14ac:dyDescent="0.3">
      <c r="A724" s="16">
        <v>45448.834722</v>
      </c>
      <c r="B724" s="17">
        <v>60.266843000000001</v>
      </c>
      <c r="C724" s="18"/>
      <c r="D724" s="19"/>
    </row>
    <row r="725" spans="1:4" x14ac:dyDescent="0.3">
      <c r="A725" s="16">
        <v>45448.835417000002</v>
      </c>
      <c r="B725" s="17">
        <v>59.992303</v>
      </c>
      <c r="C725" s="18"/>
      <c r="D725" s="19"/>
    </row>
    <row r="726" spans="1:4" x14ac:dyDescent="0.3">
      <c r="A726" s="16">
        <v>45448.836110999997</v>
      </c>
      <c r="B726" s="17">
        <v>60.306719000000001</v>
      </c>
      <c r="C726" s="18"/>
      <c r="D726" s="19"/>
    </row>
    <row r="727" spans="1:4" x14ac:dyDescent="0.3">
      <c r="A727" s="16">
        <v>45448.836805999999</v>
      </c>
      <c r="B727" s="17">
        <v>60.214846999999999</v>
      </c>
      <c r="C727" s="18"/>
      <c r="D727" s="19"/>
    </row>
    <row r="728" spans="1:4" x14ac:dyDescent="0.3">
      <c r="A728" s="16">
        <v>45448.837500000001</v>
      </c>
      <c r="B728" s="17">
        <v>60.083351</v>
      </c>
      <c r="C728" s="18"/>
      <c r="D728" s="19"/>
    </row>
    <row r="729" spans="1:4" x14ac:dyDescent="0.3">
      <c r="A729" s="16">
        <v>45448.838194000004</v>
      </c>
      <c r="B729" s="17">
        <v>60.328640999999998</v>
      </c>
      <c r="C729" s="18"/>
      <c r="D729" s="19"/>
    </row>
    <row r="730" spans="1:4" x14ac:dyDescent="0.3">
      <c r="A730" s="16">
        <v>45448.838888999999</v>
      </c>
      <c r="B730" s="17">
        <v>60.280276999999998</v>
      </c>
      <c r="C730" s="18"/>
      <c r="D730" s="19"/>
    </row>
    <row r="731" spans="1:4" x14ac:dyDescent="0.3">
      <c r="A731" s="16">
        <v>45448.839583000001</v>
      </c>
      <c r="B731" s="17">
        <v>60.148499999999999</v>
      </c>
      <c r="C731" s="18"/>
      <c r="D731" s="19"/>
    </row>
    <row r="732" spans="1:4" x14ac:dyDescent="0.3">
      <c r="A732" s="16">
        <v>45448.840278000003</v>
      </c>
      <c r="B732" s="17">
        <v>60.350093000000001</v>
      </c>
      <c r="C732" s="18"/>
      <c r="D732" s="19"/>
    </row>
    <row r="733" spans="1:4" x14ac:dyDescent="0.3">
      <c r="A733" s="16">
        <v>45448.840971999998</v>
      </c>
      <c r="B733" s="17">
        <v>60.322316999999998</v>
      </c>
      <c r="C733" s="18"/>
      <c r="D733" s="19"/>
    </row>
    <row r="734" spans="1:4" x14ac:dyDescent="0.3">
      <c r="A734" s="16">
        <v>45448.841667000001</v>
      </c>
      <c r="B734" s="17">
        <v>60.369591999999997</v>
      </c>
      <c r="C734" s="18"/>
      <c r="D734" s="19"/>
    </row>
    <row r="735" spans="1:4" x14ac:dyDescent="0.3">
      <c r="A735" s="16">
        <v>45448.842361000003</v>
      </c>
      <c r="B735" s="17">
        <v>60.084048000000003</v>
      </c>
      <c r="C735" s="18"/>
      <c r="D735" s="19"/>
    </row>
    <row r="736" spans="1:4" x14ac:dyDescent="0.3">
      <c r="A736" s="16">
        <v>45448.843055999998</v>
      </c>
      <c r="B736" s="17">
        <v>60.164951000000002</v>
      </c>
      <c r="C736" s="18"/>
      <c r="D736" s="19"/>
    </row>
    <row r="737" spans="1:4" x14ac:dyDescent="0.3">
      <c r="A737" s="16">
        <v>45448.84375</v>
      </c>
      <c r="B737" s="17">
        <v>60.350608000000001</v>
      </c>
      <c r="C737" s="18"/>
      <c r="D737" s="19"/>
    </row>
    <row r="738" spans="1:4" x14ac:dyDescent="0.3">
      <c r="A738" s="16">
        <v>45448.844444000002</v>
      </c>
      <c r="B738" s="17">
        <v>60.445917999999999</v>
      </c>
      <c r="C738" s="18"/>
      <c r="D738" s="19"/>
    </row>
    <row r="739" spans="1:4" x14ac:dyDescent="0.3">
      <c r="A739" s="16">
        <v>45448.845138999997</v>
      </c>
      <c r="B739" s="17">
        <v>60.132268000000003</v>
      </c>
      <c r="C739" s="18"/>
      <c r="D739" s="19"/>
    </row>
    <row r="740" spans="1:4" x14ac:dyDescent="0.3">
      <c r="A740" s="16">
        <v>45448.845832999999</v>
      </c>
      <c r="B740" s="17">
        <v>60.195245999999997</v>
      </c>
      <c r="C740" s="18"/>
      <c r="D740" s="19"/>
    </row>
    <row r="741" spans="1:4" x14ac:dyDescent="0.3">
      <c r="A741" s="16">
        <v>45448.846528000002</v>
      </c>
      <c r="B741" s="17">
        <v>60.306604999999998</v>
      </c>
      <c r="C741" s="18"/>
      <c r="D741" s="19"/>
    </row>
    <row r="742" spans="1:4" x14ac:dyDescent="0.3">
      <c r="A742" s="16">
        <v>45448.847221999997</v>
      </c>
      <c r="B742" s="17">
        <v>60.390757000000001</v>
      </c>
      <c r="C742" s="18"/>
      <c r="D742" s="19"/>
    </row>
    <row r="743" spans="1:4" x14ac:dyDescent="0.3">
      <c r="A743" s="16">
        <v>45448.847916999999</v>
      </c>
      <c r="B743" s="17">
        <v>59.931001999999999</v>
      </c>
      <c r="C743" s="18"/>
      <c r="D743" s="19"/>
    </row>
    <row r="744" spans="1:4" x14ac:dyDescent="0.3">
      <c r="A744" s="16">
        <v>45448.848611000001</v>
      </c>
      <c r="B744" s="17">
        <v>60.301881999999999</v>
      </c>
      <c r="C744" s="18"/>
      <c r="D744" s="19"/>
    </row>
    <row r="745" spans="1:4" x14ac:dyDescent="0.3">
      <c r="A745" s="16">
        <v>45448.849305999996</v>
      </c>
      <c r="B745" s="17">
        <v>60.489981999999998</v>
      </c>
      <c r="C745" s="18"/>
      <c r="D745" s="19"/>
    </row>
    <row r="746" spans="1:4" x14ac:dyDescent="0.3">
      <c r="A746" s="16">
        <v>45448.85</v>
      </c>
      <c r="B746" s="17">
        <v>60.133921000000001</v>
      </c>
      <c r="C746" s="18"/>
      <c r="D746" s="19"/>
    </row>
    <row r="747" spans="1:4" x14ac:dyDescent="0.3">
      <c r="A747" s="16">
        <v>45448.850694000001</v>
      </c>
      <c r="B747" s="17">
        <v>60.462890000000002</v>
      </c>
      <c r="C747" s="18"/>
      <c r="D747" s="19"/>
    </row>
    <row r="748" spans="1:4" x14ac:dyDescent="0.3">
      <c r="A748" s="16">
        <v>45448.851389000003</v>
      </c>
      <c r="B748" s="17">
        <v>60.436573000000003</v>
      </c>
      <c r="C748" s="18"/>
      <c r="D748" s="19"/>
    </row>
    <row r="749" spans="1:4" x14ac:dyDescent="0.3">
      <c r="A749" s="16">
        <v>45448.852082999998</v>
      </c>
      <c r="B749" s="17">
        <v>60.448968999999998</v>
      </c>
      <c r="C749" s="18"/>
      <c r="D749" s="19"/>
    </row>
    <row r="750" spans="1:4" x14ac:dyDescent="0.3">
      <c r="A750" s="16">
        <v>45448.852778</v>
      </c>
      <c r="B750" s="17">
        <v>60.237177000000003</v>
      </c>
      <c r="C750" s="18"/>
      <c r="D750" s="19"/>
    </row>
    <row r="751" spans="1:4" x14ac:dyDescent="0.3">
      <c r="A751" s="16">
        <v>45448.853472000003</v>
      </c>
      <c r="B751" s="17">
        <v>60.381900999999999</v>
      </c>
      <c r="C751" s="18"/>
      <c r="D751" s="19"/>
    </row>
    <row r="752" spans="1:4" x14ac:dyDescent="0.3">
      <c r="A752" s="16">
        <v>45448.854166999998</v>
      </c>
      <c r="B752" s="17">
        <v>60.375478000000001</v>
      </c>
      <c r="C752" s="18"/>
      <c r="D752" s="19"/>
    </row>
    <row r="753" spans="1:4" x14ac:dyDescent="0.3">
      <c r="A753" s="16">
        <v>45448.854861</v>
      </c>
      <c r="B753" s="17">
        <v>60.072664000000003</v>
      </c>
      <c r="C753" s="18"/>
      <c r="D753" s="19"/>
    </row>
    <row r="754" spans="1:4" x14ac:dyDescent="0.3">
      <c r="A754" s="16">
        <v>45448.855556000002</v>
      </c>
      <c r="B754" s="17">
        <v>60.314746</v>
      </c>
      <c r="C754" s="18"/>
      <c r="D754" s="19"/>
    </row>
    <row r="755" spans="1:4" x14ac:dyDescent="0.3">
      <c r="A755" s="16">
        <v>45448.856249999997</v>
      </c>
      <c r="B755" s="17">
        <v>60.05715</v>
      </c>
      <c r="C755" s="18"/>
      <c r="D755" s="19"/>
    </row>
    <row r="756" spans="1:4" x14ac:dyDescent="0.3">
      <c r="A756" s="16">
        <v>45448.856943999999</v>
      </c>
      <c r="B756" s="17">
        <v>60.097752999999997</v>
      </c>
      <c r="C756" s="18"/>
      <c r="D756" s="19"/>
    </row>
    <row r="757" spans="1:4" x14ac:dyDescent="0.3">
      <c r="A757" s="16">
        <v>45448.857639000002</v>
      </c>
      <c r="B757" s="17">
        <v>60.178234000000003</v>
      </c>
      <c r="C757" s="18"/>
      <c r="D757" s="19"/>
    </row>
    <row r="758" spans="1:4" x14ac:dyDescent="0.3">
      <c r="A758" s="16">
        <v>45448.858332999996</v>
      </c>
      <c r="B758" s="17">
        <v>59.945281999999999</v>
      </c>
      <c r="C758" s="18"/>
      <c r="D758" s="19"/>
    </row>
    <row r="759" spans="1:4" x14ac:dyDescent="0.3">
      <c r="A759" s="16">
        <v>45448.859027999999</v>
      </c>
      <c r="B759" s="17">
        <v>60.212535000000003</v>
      </c>
      <c r="C759" s="18"/>
      <c r="D759" s="19"/>
    </row>
    <row r="760" spans="1:4" x14ac:dyDescent="0.3">
      <c r="A760" s="16">
        <v>45448.859722000001</v>
      </c>
      <c r="B760" s="17">
        <v>60.307855000000004</v>
      </c>
      <c r="C760" s="18"/>
      <c r="D760" s="19"/>
    </row>
    <row r="761" spans="1:4" x14ac:dyDescent="0.3">
      <c r="A761" s="16">
        <v>45448.860417000004</v>
      </c>
      <c r="B761" s="17">
        <v>60.102773999999997</v>
      </c>
      <c r="C761" s="18"/>
      <c r="D761" s="19"/>
    </row>
    <row r="762" spans="1:4" x14ac:dyDescent="0.3">
      <c r="A762" s="16">
        <v>45448.861110999998</v>
      </c>
      <c r="B762" s="17">
        <v>60.370128999999999</v>
      </c>
      <c r="C762" s="18"/>
      <c r="D762" s="19"/>
    </row>
    <row r="763" spans="1:4" x14ac:dyDescent="0.3">
      <c r="A763" s="16">
        <v>45448.861806000001</v>
      </c>
      <c r="B763" s="17">
        <v>60.184627999999996</v>
      </c>
      <c r="C763" s="18"/>
      <c r="D763" s="19"/>
    </row>
    <row r="764" spans="1:4" x14ac:dyDescent="0.3">
      <c r="A764" s="16">
        <v>45448.862500000003</v>
      </c>
      <c r="B764" s="17">
        <v>60.296208999999998</v>
      </c>
      <c r="C764" s="18"/>
      <c r="D764" s="19"/>
    </row>
    <row r="765" spans="1:4" x14ac:dyDescent="0.3">
      <c r="A765" s="16">
        <v>45448.863193999998</v>
      </c>
      <c r="B765" s="17">
        <v>60.415928000000001</v>
      </c>
      <c r="C765" s="18"/>
      <c r="D765" s="19"/>
    </row>
    <row r="766" spans="1:4" x14ac:dyDescent="0.3">
      <c r="A766" s="16">
        <v>45448.863889</v>
      </c>
      <c r="B766" s="17">
        <v>60.472957000000001</v>
      </c>
      <c r="C766" s="18"/>
      <c r="D766" s="19"/>
    </row>
    <row r="767" spans="1:4" x14ac:dyDescent="0.3">
      <c r="A767" s="16">
        <v>45448.864583000002</v>
      </c>
      <c r="B767" s="17">
        <v>60.441656999999999</v>
      </c>
      <c r="C767" s="18"/>
      <c r="D767" s="19"/>
    </row>
    <row r="768" spans="1:4" x14ac:dyDescent="0.3">
      <c r="A768" s="16">
        <v>45448.865277999997</v>
      </c>
      <c r="B768" s="17">
        <v>60.330770999999999</v>
      </c>
      <c r="C768" s="18"/>
      <c r="D768" s="19"/>
    </row>
    <row r="769" spans="1:4" x14ac:dyDescent="0.3">
      <c r="A769" s="16">
        <v>45448.865972</v>
      </c>
      <c r="B769" s="17">
        <v>60.373075999999998</v>
      </c>
      <c r="C769" s="18"/>
      <c r="D769" s="19"/>
    </row>
    <row r="770" spans="1:4" x14ac:dyDescent="0.3">
      <c r="A770" s="16">
        <v>45448.866667000002</v>
      </c>
      <c r="B770" s="17">
        <v>60.198146000000001</v>
      </c>
      <c r="C770" s="18"/>
      <c r="D770" s="19"/>
    </row>
    <row r="771" spans="1:4" x14ac:dyDescent="0.3">
      <c r="A771" s="16">
        <v>45448.867360999997</v>
      </c>
      <c r="B771" s="17">
        <v>60.484243999999997</v>
      </c>
      <c r="C771" s="18"/>
      <c r="D771" s="19"/>
    </row>
    <row r="772" spans="1:4" x14ac:dyDescent="0.3">
      <c r="A772" s="16">
        <v>45448.868055999999</v>
      </c>
      <c r="B772" s="17">
        <v>60.101703999999998</v>
      </c>
      <c r="C772" s="18"/>
      <c r="D772" s="19"/>
    </row>
    <row r="773" spans="1:4" x14ac:dyDescent="0.3">
      <c r="A773" s="16">
        <v>45448.868750000001</v>
      </c>
      <c r="B773" s="17">
        <v>60.133983000000001</v>
      </c>
      <c r="C773" s="18"/>
      <c r="D773" s="19"/>
    </row>
    <row r="774" spans="1:4" x14ac:dyDescent="0.3">
      <c r="A774" s="16">
        <v>45448.869444000004</v>
      </c>
      <c r="B774" s="17">
        <v>60.312159999999999</v>
      </c>
      <c r="C774" s="18"/>
      <c r="D774" s="19"/>
    </row>
    <row r="775" spans="1:4" x14ac:dyDescent="0.3">
      <c r="A775" s="16">
        <v>45448.870138999999</v>
      </c>
      <c r="B775" s="17">
        <v>60.309764999999999</v>
      </c>
      <c r="C775" s="18"/>
      <c r="D775" s="19"/>
    </row>
    <row r="776" spans="1:4" x14ac:dyDescent="0.3">
      <c r="A776" s="16">
        <v>45448.870833000001</v>
      </c>
      <c r="B776" s="17">
        <v>60.620244</v>
      </c>
      <c r="C776" s="18"/>
      <c r="D776" s="19"/>
    </row>
    <row r="777" spans="1:4" x14ac:dyDescent="0.3">
      <c r="A777" s="16">
        <v>45448.871528000003</v>
      </c>
      <c r="B777" s="17">
        <v>60.082231</v>
      </c>
      <c r="C777" s="18"/>
      <c r="D777" s="19"/>
    </row>
    <row r="778" spans="1:4" x14ac:dyDescent="0.3">
      <c r="A778" s="16">
        <v>45448.872221999998</v>
      </c>
      <c r="B778" s="17">
        <v>60.440458</v>
      </c>
      <c r="C778" s="18"/>
      <c r="D778" s="19"/>
    </row>
    <row r="779" spans="1:4" x14ac:dyDescent="0.3">
      <c r="A779" s="16">
        <v>45448.872917000001</v>
      </c>
      <c r="B779" s="17">
        <v>60.233711999999997</v>
      </c>
      <c r="C779" s="18"/>
      <c r="D779" s="19"/>
    </row>
    <row r="780" spans="1:4" x14ac:dyDescent="0.3">
      <c r="A780" s="16">
        <v>45448.873611000003</v>
      </c>
      <c r="B780" s="17">
        <v>60.674903</v>
      </c>
      <c r="C780" s="18"/>
      <c r="D780" s="19"/>
    </row>
    <row r="781" spans="1:4" x14ac:dyDescent="0.3">
      <c r="A781" s="16">
        <v>45448.874305999998</v>
      </c>
      <c r="B781" s="17">
        <v>60.322668999999998</v>
      </c>
      <c r="C781" s="18"/>
      <c r="D781" s="19"/>
    </row>
    <row r="782" spans="1:4" x14ac:dyDescent="0.3">
      <c r="A782" s="16">
        <v>45448.875</v>
      </c>
      <c r="B782" s="17">
        <v>60.452353000000002</v>
      </c>
      <c r="C782" s="18"/>
      <c r="D782" s="19"/>
    </row>
    <row r="783" spans="1:4" x14ac:dyDescent="0.3">
      <c r="A783" s="16">
        <v>45448.875694000002</v>
      </c>
      <c r="B783" s="17">
        <v>60.445833999999998</v>
      </c>
      <c r="C783" s="18"/>
      <c r="D783" s="19"/>
    </row>
    <row r="784" spans="1:4" x14ac:dyDescent="0.3">
      <c r="A784" s="16">
        <v>45448.876388999997</v>
      </c>
      <c r="B784" s="17">
        <v>60.427531000000002</v>
      </c>
      <c r="C784" s="18"/>
      <c r="D784" s="19"/>
    </row>
    <row r="785" spans="1:4" x14ac:dyDescent="0.3">
      <c r="A785" s="16">
        <v>45448.877082999999</v>
      </c>
      <c r="B785" s="17">
        <v>60.310906000000003</v>
      </c>
      <c r="C785" s="18"/>
      <c r="D785" s="19"/>
    </row>
    <row r="786" spans="1:4" x14ac:dyDescent="0.3">
      <c r="A786" s="16">
        <v>45448.877778000002</v>
      </c>
      <c r="B786" s="17">
        <v>60.226796</v>
      </c>
      <c r="C786" s="18"/>
      <c r="D786" s="19"/>
    </row>
    <row r="787" spans="1:4" x14ac:dyDescent="0.3">
      <c r="A787" s="16">
        <v>45448.878471999997</v>
      </c>
      <c r="B787" s="17">
        <v>60.429526000000003</v>
      </c>
      <c r="C787" s="18"/>
      <c r="D787" s="19"/>
    </row>
    <row r="788" spans="1:4" x14ac:dyDescent="0.3">
      <c r="A788" s="16">
        <v>45448.879166999999</v>
      </c>
      <c r="B788" s="17">
        <v>60.187916999999999</v>
      </c>
      <c r="C788" s="18"/>
      <c r="D788" s="19"/>
    </row>
    <row r="789" spans="1:4" x14ac:dyDescent="0.3">
      <c r="A789" s="16">
        <v>45448.879861000001</v>
      </c>
      <c r="B789" s="17">
        <v>60.495013999999998</v>
      </c>
      <c r="C789" s="18"/>
      <c r="D789" s="19"/>
    </row>
    <row r="790" spans="1:4" x14ac:dyDescent="0.3">
      <c r="A790" s="16">
        <v>45448.880555999996</v>
      </c>
      <c r="B790" s="17">
        <v>60.187719000000001</v>
      </c>
      <c r="C790" s="18"/>
      <c r="D790" s="19"/>
    </row>
    <row r="791" spans="1:4" x14ac:dyDescent="0.3">
      <c r="A791" s="16">
        <v>45448.881249999999</v>
      </c>
      <c r="B791" s="17">
        <v>60.351095000000001</v>
      </c>
      <c r="C791" s="18"/>
      <c r="D791" s="19"/>
    </row>
    <row r="792" spans="1:4" x14ac:dyDescent="0.3">
      <c r="A792" s="16">
        <v>45448.881944000001</v>
      </c>
      <c r="B792" s="17">
        <v>60.436535999999997</v>
      </c>
      <c r="C792" s="18"/>
      <c r="D792" s="19"/>
    </row>
    <row r="793" spans="1:4" x14ac:dyDescent="0.3">
      <c r="A793" s="16">
        <v>45448.882639000003</v>
      </c>
      <c r="B793" s="17">
        <v>60.043858999999998</v>
      </c>
      <c r="C793" s="18"/>
      <c r="D793" s="19"/>
    </row>
    <row r="794" spans="1:4" x14ac:dyDescent="0.3">
      <c r="A794" s="16">
        <v>45448.883332999998</v>
      </c>
      <c r="B794" s="17">
        <v>60.404214000000003</v>
      </c>
      <c r="C794" s="18"/>
      <c r="D794" s="19"/>
    </row>
    <row r="795" spans="1:4" x14ac:dyDescent="0.3">
      <c r="A795" s="16">
        <v>45448.884028</v>
      </c>
      <c r="B795" s="17">
        <v>60.395139999999998</v>
      </c>
      <c r="C795" s="18"/>
      <c r="D795" s="19"/>
    </row>
    <row r="796" spans="1:4" x14ac:dyDescent="0.3">
      <c r="A796" s="16">
        <v>45448.884722000003</v>
      </c>
      <c r="B796" s="17">
        <v>60.440671999999999</v>
      </c>
      <c r="C796" s="18"/>
      <c r="D796" s="19"/>
    </row>
    <row r="797" spans="1:4" x14ac:dyDescent="0.3">
      <c r="A797" s="16">
        <v>45448.885416999998</v>
      </c>
      <c r="B797" s="17">
        <v>60.205426000000003</v>
      </c>
      <c r="C797" s="18"/>
      <c r="D797" s="19"/>
    </row>
    <row r="798" spans="1:4" x14ac:dyDescent="0.3">
      <c r="A798" s="16">
        <v>45448.886111</v>
      </c>
      <c r="B798" s="17">
        <v>60.061503999999999</v>
      </c>
      <c r="C798" s="18"/>
      <c r="D798" s="19"/>
    </row>
    <row r="799" spans="1:4" x14ac:dyDescent="0.3">
      <c r="A799" s="16">
        <v>45448.886806000002</v>
      </c>
      <c r="B799" s="17">
        <v>60.073483000000003</v>
      </c>
      <c r="C799" s="18"/>
      <c r="D799" s="19"/>
    </row>
    <row r="800" spans="1:4" x14ac:dyDescent="0.3">
      <c r="A800" s="16">
        <v>45448.887499999997</v>
      </c>
      <c r="B800" s="17">
        <v>60.203744</v>
      </c>
      <c r="C800" s="18"/>
      <c r="D800" s="19"/>
    </row>
    <row r="801" spans="1:4" x14ac:dyDescent="0.3">
      <c r="A801" s="16">
        <v>45448.888193999999</v>
      </c>
      <c r="B801" s="17">
        <v>60.370268000000003</v>
      </c>
      <c r="C801" s="18"/>
      <c r="D801" s="19"/>
    </row>
    <row r="802" spans="1:4" x14ac:dyDescent="0.3">
      <c r="A802" s="16">
        <v>45448.888889000002</v>
      </c>
      <c r="B802" s="17">
        <v>60.299581000000003</v>
      </c>
      <c r="C802" s="18"/>
      <c r="D802" s="19"/>
    </row>
    <row r="803" spans="1:4" x14ac:dyDescent="0.3">
      <c r="A803" s="16">
        <v>45448.889582999996</v>
      </c>
      <c r="B803" s="17">
        <v>60.401048000000003</v>
      </c>
      <c r="C803" s="18"/>
      <c r="D803" s="19"/>
    </row>
    <row r="804" spans="1:4" x14ac:dyDescent="0.3">
      <c r="A804" s="16">
        <v>45448.890277999999</v>
      </c>
      <c r="B804" s="17">
        <v>60.242750999999998</v>
      </c>
      <c r="C804" s="18"/>
      <c r="D804" s="19"/>
    </row>
    <row r="805" spans="1:4" x14ac:dyDescent="0.3">
      <c r="A805" s="16">
        <v>45448.890972000001</v>
      </c>
      <c r="B805" s="17">
        <v>60.352531999999997</v>
      </c>
      <c r="C805" s="18"/>
      <c r="D805" s="19"/>
    </row>
    <row r="806" spans="1:4" x14ac:dyDescent="0.3">
      <c r="A806" s="16">
        <v>45448.891667000004</v>
      </c>
      <c r="B806" s="17">
        <v>60.161973000000003</v>
      </c>
      <c r="C806" s="18"/>
      <c r="D806" s="19"/>
    </row>
    <row r="807" spans="1:4" x14ac:dyDescent="0.3">
      <c r="A807" s="16">
        <v>45448.892360999998</v>
      </c>
      <c r="B807" s="17">
        <v>60.131064000000002</v>
      </c>
      <c r="C807" s="18"/>
      <c r="D807" s="19"/>
    </row>
    <row r="808" spans="1:4" x14ac:dyDescent="0.3">
      <c r="A808" s="16">
        <v>45448.893056000001</v>
      </c>
      <c r="B808" s="17">
        <v>60.283850000000001</v>
      </c>
      <c r="C808" s="18"/>
      <c r="D808" s="19"/>
    </row>
    <row r="809" spans="1:4" x14ac:dyDescent="0.3">
      <c r="A809" s="16">
        <v>45448.893750000003</v>
      </c>
      <c r="B809" s="17">
        <v>60.341793000000003</v>
      </c>
      <c r="C809" s="18"/>
      <c r="D809" s="19"/>
    </row>
    <row r="810" spans="1:4" x14ac:dyDescent="0.3">
      <c r="A810" s="16">
        <v>45448.894443999998</v>
      </c>
      <c r="B810" s="17">
        <v>60.306325000000001</v>
      </c>
      <c r="C810" s="18"/>
      <c r="D810" s="19"/>
    </row>
    <row r="811" spans="1:4" x14ac:dyDescent="0.3">
      <c r="A811" s="16">
        <v>45448.895139</v>
      </c>
      <c r="B811" s="17">
        <v>60.448641000000002</v>
      </c>
      <c r="C811" s="18"/>
      <c r="D811" s="19"/>
    </row>
    <row r="812" spans="1:4" x14ac:dyDescent="0.3">
      <c r="A812" s="16">
        <v>45448.895833000002</v>
      </c>
      <c r="B812" s="17">
        <v>59.981081000000003</v>
      </c>
      <c r="C812" s="18"/>
      <c r="D812" s="19"/>
    </row>
    <row r="813" spans="1:4" x14ac:dyDescent="0.3">
      <c r="A813" s="16">
        <v>45448.896527999997</v>
      </c>
      <c r="B813" s="17">
        <v>60.113145000000003</v>
      </c>
      <c r="C813" s="18"/>
      <c r="D813" s="19"/>
    </row>
    <row r="814" spans="1:4" x14ac:dyDescent="0.3">
      <c r="A814" s="16">
        <v>45448.897222</v>
      </c>
      <c r="B814" s="17">
        <v>60.366449000000003</v>
      </c>
      <c r="C814" s="18"/>
      <c r="D814" s="19"/>
    </row>
    <row r="815" spans="1:4" x14ac:dyDescent="0.3">
      <c r="A815" s="16">
        <v>45448.897917000002</v>
      </c>
      <c r="B815" s="17">
        <v>60.175220000000003</v>
      </c>
      <c r="C815" s="18"/>
      <c r="D815" s="19"/>
    </row>
    <row r="816" spans="1:4" x14ac:dyDescent="0.3">
      <c r="A816" s="16">
        <v>45448.898610999997</v>
      </c>
      <c r="B816" s="17">
        <v>60.451081000000002</v>
      </c>
      <c r="C816" s="18"/>
      <c r="D816" s="19"/>
    </row>
    <row r="817" spans="1:4" x14ac:dyDescent="0.3">
      <c r="A817" s="16">
        <v>45448.899305999999</v>
      </c>
      <c r="B817" s="17">
        <v>60.284281</v>
      </c>
      <c r="C817" s="18"/>
      <c r="D817" s="19"/>
    </row>
    <row r="818" spans="1:4" x14ac:dyDescent="0.3">
      <c r="A818" s="16">
        <v>45448.9</v>
      </c>
      <c r="B818" s="17">
        <v>60.293467999999997</v>
      </c>
      <c r="C818" s="18"/>
      <c r="D818" s="19"/>
    </row>
    <row r="819" spans="1:4" x14ac:dyDescent="0.3">
      <c r="A819" s="16">
        <v>45448.900694000004</v>
      </c>
      <c r="B819" s="17">
        <v>60.328198999999998</v>
      </c>
      <c r="C819" s="18"/>
      <c r="D819" s="19"/>
    </row>
    <row r="820" spans="1:4" x14ac:dyDescent="0.3">
      <c r="A820" s="16">
        <v>45448.901388999999</v>
      </c>
      <c r="B820" s="17">
        <v>60.267012000000001</v>
      </c>
      <c r="C820" s="18"/>
      <c r="D820" s="19"/>
    </row>
    <row r="821" spans="1:4" x14ac:dyDescent="0.3">
      <c r="A821" s="16">
        <v>45448.902083000001</v>
      </c>
      <c r="B821" s="17">
        <v>60.333343999999997</v>
      </c>
      <c r="C821" s="18"/>
      <c r="D821" s="19"/>
    </row>
    <row r="822" spans="1:4" x14ac:dyDescent="0.3">
      <c r="A822" s="16">
        <v>45448.902778000003</v>
      </c>
      <c r="B822" s="17">
        <v>60.121836999999999</v>
      </c>
      <c r="C822" s="18"/>
      <c r="D822" s="19"/>
    </row>
    <row r="823" spans="1:4" x14ac:dyDescent="0.3">
      <c r="A823" s="16">
        <v>45448.903471999998</v>
      </c>
      <c r="B823" s="17">
        <v>60.317132000000001</v>
      </c>
      <c r="C823" s="18"/>
      <c r="D823" s="19"/>
    </row>
    <row r="824" spans="1:4" x14ac:dyDescent="0.3">
      <c r="A824" s="16">
        <v>45448.904167000001</v>
      </c>
      <c r="B824" s="17">
        <v>60.680880999999999</v>
      </c>
      <c r="C824" s="18"/>
      <c r="D824" s="19"/>
    </row>
    <row r="825" spans="1:4" x14ac:dyDescent="0.3">
      <c r="A825" s="16">
        <v>45448.904861000003</v>
      </c>
      <c r="B825" s="17">
        <v>60.764055999999997</v>
      </c>
      <c r="C825" s="18"/>
      <c r="D825" s="19"/>
    </row>
    <row r="826" spans="1:4" x14ac:dyDescent="0.3">
      <c r="A826" s="16">
        <v>45448.905555999998</v>
      </c>
      <c r="B826" s="17">
        <v>60.393048999999998</v>
      </c>
      <c r="C826" s="18"/>
      <c r="D826" s="19"/>
    </row>
    <row r="827" spans="1:4" x14ac:dyDescent="0.3">
      <c r="A827" s="16">
        <v>45448.90625</v>
      </c>
      <c r="B827" s="17">
        <v>60.777500000000003</v>
      </c>
      <c r="C827" s="18"/>
      <c r="D827" s="19"/>
    </row>
    <row r="828" spans="1:4" x14ac:dyDescent="0.3">
      <c r="A828" s="16">
        <v>45448.906944000002</v>
      </c>
      <c r="B828" s="17">
        <v>60.623384999999999</v>
      </c>
      <c r="C828" s="18"/>
      <c r="D828" s="19"/>
    </row>
    <row r="829" spans="1:4" x14ac:dyDescent="0.3">
      <c r="A829" s="16">
        <v>45448.907638999997</v>
      </c>
      <c r="B829" s="17">
        <v>60.574896000000003</v>
      </c>
      <c r="C829" s="18"/>
      <c r="D829" s="19"/>
    </row>
    <row r="830" spans="1:4" x14ac:dyDescent="0.3">
      <c r="A830" s="16">
        <v>45448.908332999999</v>
      </c>
      <c r="B830" s="17">
        <v>60.505051000000002</v>
      </c>
      <c r="C830" s="18"/>
      <c r="D830" s="19"/>
    </row>
    <row r="831" spans="1:4" x14ac:dyDescent="0.3">
      <c r="A831" s="16">
        <v>45448.909028000002</v>
      </c>
      <c r="B831" s="17">
        <v>60.828789999999998</v>
      </c>
      <c r="C831" s="18"/>
      <c r="D831" s="19"/>
    </row>
    <row r="832" spans="1:4" x14ac:dyDescent="0.3">
      <c r="A832" s="16">
        <v>45448.909721999997</v>
      </c>
      <c r="B832" s="17">
        <v>60.741188999999999</v>
      </c>
      <c r="C832" s="18"/>
      <c r="D832" s="19"/>
    </row>
    <row r="833" spans="1:4" x14ac:dyDescent="0.3">
      <c r="A833" s="16">
        <v>45448.910416999999</v>
      </c>
      <c r="B833" s="17">
        <v>60.459291</v>
      </c>
      <c r="C833" s="18"/>
      <c r="D833" s="19"/>
    </row>
    <row r="834" spans="1:4" x14ac:dyDescent="0.3">
      <c r="A834" s="16">
        <v>45448.911111000001</v>
      </c>
      <c r="B834" s="17">
        <v>60.734400999999998</v>
      </c>
      <c r="C834" s="18"/>
      <c r="D834" s="19"/>
    </row>
    <row r="835" spans="1:4" x14ac:dyDescent="0.3">
      <c r="A835" s="16">
        <v>45448.911805999996</v>
      </c>
      <c r="B835" s="17">
        <v>61.047558000000002</v>
      </c>
      <c r="C835" s="18"/>
      <c r="D835" s="19"/>
    </row>
    <row r="836" spans="1:4" x14ac:dyDescent="0.3">
      <c r="A836" s="16">
        <v>45448.912499999999</v>
      </c>
      <c r="B836" s="17">
        <v>60.788426999999999</v>
      </c>
      <c r="C836" s="18"/>
      <c r="D836" s="19"/>
    </row>
    <row r="837" spans="1:4" x14ac:dyDescent="0.3">
      <c r="A837" s="16">
        <v>45448.913194000001</v>
      </c>
      <c r="B837" s="17">
        <v>60.323714000000002</v>
      </c>
      <c r="C837" s="18"/>
      <c r="D837" s="19"/>
    </row>
    <row r="838" spans="1:4" x14ac:dyDescent="0.3">
      <c r="A838" s="16">
        <v>45448.913889000003</v>
      </c>
      <c r="B838" s="17">
        <v>60.739130000000003</v>
      </c>
      <c r="C838" s="18"/>
      <c r="D838" s="19"/>
    </row>
    <row r="839" spans="1:4" x14ac:dyDescent="0.3">
      <c r="A839" s="16">
        <v>45448.914582999998</v>
      </c>
      <c r="B839" s="17">
        <v>60.352559999999997</v>
      </c>
      <c r="C839" s="18"/>
      <c r="D839" s="19"/>
    </row>
    <row r="840" spans="1:4" x14ac:dyDescent="0.3">
      <c r="A840" s="16">
        <v>45448.915278</v>
      </c>
      <c r="B840" s="17">
        <v>60.435718000000001</v>
      </c>
      <c r="C840" s="18"/>
      <c r="D840" s="19"/>
    </row>
    <row r="841" spans="1:4" x14ac:dyDescent="0.3">
      <c r="A841" s="16">
        <v>45448.915972000003</v>
      </c>
      <c r="B841" s="17">
        <v>61.082661999999999</v>
      </c>
      <c r="C841" s="18"/>
      <c r="D841" s="19"/>
    </row>
    <row r="842" spans="1:4" x14ac:dyDescent="0.3">
      <c r="A842" s="16">
        <v>45448.916666999998</v>
      </c>
      <c r="B842" s="17">
        <v>60.659877000000002</v>
      </c>
      <c r="C842" s="18"/>
      <c r="D842" s="19"/>
    </row>
    <row r="843" spans="1:4" x14ac:dyDescent="0.3">
      <c r="A843" s="16">
        <v>45448.917361</v>
      </c>
      <c r="B843" s="17">
        <v>60.442672999999999</v>
      </c>
      <c r="C843" s="18"/>
      <c r="D843" s="19"/>
    </row>
    <row r="844" spans="1:4" x14ac:dyDescent="0.3">
      <c r="A844" s="16">
        <v>45448.918056000002</v>
      </c>
      <c r="B844" s="17">
        <v>60.591230000000003</v>
      </c>
      <c r="C844" s="18"/>
      <c r="D844" s="19"/>
    </row>
    <row r="845" spans="1:4" x14ac:dyDescent="0.3">
      <c r="A845" s="16">
        <v>45448.918749999997</v>
      </c>
      <c r="B845" s="17">
        <v>60.250962999999999</v>
      </c>
      <c r="C845" s="18"/>
      <c r="D845" s="19"/>
    </row>
    <row r="846" spans="1:4" x14ac:dyDescent="0.3">
      <c r="A846" s="16">
        <v>45448.919443999999</v>
      </c>
      <c r="B846" s="17">
        <v>60.707838000000002</v>
      </c>
      <c r="C846" s="18"/>
      <c r="D846" s="19"/>
    </row>
    <row r="847" spans="1:4" x14ac:dyDescent="0.3">
      <c r="A847" s="16">
        <v>45448.920139000002</v>
      </c>
      <c r="B847" s="17">
        <v>60.673188000000003</v>
      </c>
      <c r="C847" s="18"/>
      <c r="D847" s="19"/>
    </row>
    <row r="848" spans="1:4" x14ac:dyDescent="0.3">
      <c r="A848" s="16">
        <v>45448.920832999996</v>
      </c>
      <c r="B848" s="17">
        <v>60.789352999999998</v>
      </c>
      <c r="C848" s="18"/>
      <c r="D848" s="19"/>
    </row>
    <row r="849" spans="1:4" x14ac:dyDescent="0.3">
      <c r="A849" s="16">
        <v>45448.921527999999</v>
      </c>
      <c r="B849" s="17">
        <v>60.608370000000001</v>
      </c>
      <c r="C849" s="18"/>
      <c r="D849" s="19"/>
    </row>
    <row r="850" spans="1:4" x14ac:dyDescent="0.3">
      <c r="A850" s="16">
        <v>45448.922222000001</v>
      </c>
      <c r="B850" s="17">
        <v>60.523958</v>
      </c>
      <c r="C850" s="18"/>
      <c r="D850" s="19"/>
    </row>
    <row r="851" spans="1:4" x14ac:dyDescent="0.3">
      <c r="A851" s="16">
        <v>45448.922917000004</v>
      </c>
      <c r="B851" s="17">
        <v>60.706819000000003</v>
      </c>
      <c r="C851" s="18"/>
      <c r="D851" s="19"/>
    </row>
    <row r="852" spans="1:4" x14ac:dyDescent="0.3">
      <c r="A852" s="16">
        <v>45448.923610999998</v>
      </c>
      <c r="B852" s="17">
        <v>60.544873000000003</v>
      </c>
      <c r="C852" s="18"/>
      <c r="D852" s="19"/>
    </row>
    <row r="853" spans="1:4" x14ac:dyDescent="0.3">
      <c r="A853" s="16">
        <v>45448.924306000001</v>
      </c>
      <c r="B853" s="17">
        <v>60.642673000000002</v>
      </c>
      <c r="C853" s="18"/>
      <c r="D853" s="19"/>
    </row>
    <row r="854" spans="1:4" x14ac:dyDescent="0.3">
      <c r="A854" s="16">
        <v>45448.925000000003</v>
      </c>
      <c r="B854" s="17">
        <v>60.479671000000003</v>
      </c>
      <c r="C854" s="18"/>
      <c r="D854" s="19"/>
    </row>
    <row r="855" spans="1:4" x14ac:dyDescent="0.3">
      <c r="A855" s="16">
        <v>45448.925693999998</v>
      </c>
      <c r="B855" s="17">
        <v>60.414741999999997</v>
      </c>
      <c r="C855" s="18"/>
      <c r="D855" s="19"/>
    </row>
    <row r="856" spans="1:4" x14ac:dyDescent="0.3">
      <c r="A856" s="16">
        <v>45448.926389</v>
      </c>
      <c r="B856" s="17">
        <v>60.738962000000001</v>
      </c>
      <c r="C856" s="18"/>
      <c r="D856" s="19"/>
    </row>
    <row r="857" spans="1:4" x14ac:dyDescent="0.3">
      <c r="A857" s="16">
        <v>45448.927083000002</v>
      </c>
      <c r="B857" s="17">
        <v>60.221989000000001</v>
      </c>
      <c r="C857" s="18"/>
      <c r="D857" s="19"/>
    </row>
    <row r="858" spans="1:4" x14ac:dyDescent="0.3">
      <c r="A858" s="16">
        <v>45448.927777999997</v>
      </c>
      <c r="B858" s="17">
        <v>60.526257999999999</v>
      </c>
      <c r="C858" s="18"/>
      <c r="D858" s="19"/>
    </row>
    <row r="859" spans="1:4" x14ac:dyDescent="0.3">
      <c r="A859" s="16">
        <v>45448.928472</v>
      </c>
      <c r="B859" s="17">
        <v>60.413179999999997</v>
      </c>
      <c r="C859" s="18"/>
      <c r="D859" s="19"/>
    </row>
    <row r="860" spans="1:4" x14ac:dyDescent="0.3">
      <c r="A860" s="16">
        <v>45448.929167000002</v>
      </c>
      <c r="B860" s="17">
        <v>60.320355999999997</v>
      </c>
      <c r="C860" s="18"/>
      <c r="D860" s="19"/>
    </row>
    <row r="861" spans="1:4" x14ac:dyDescent="0.3">
      <c r="A861" s="16">
        <v>45448.929860999997</v>
      </c>
      <c r="B861" s="17">
        <v>60.492446999999999</v>
      </c>
      <c r="C861" s="18"/>
      <c r="D861" s="19"/>
    </row>
    <row r="862" spans="1:4" x14ac:dyDescent="0.3">
      <c r="A862" s="16">
        <v>45448.930555999999</v>
      </c>
      <c r="B862" s="17">
        <v>60.565931999999997</v>
      </c>
      <c r="C862" s="18"/>
      <c r="D862" s="19"/>
    </row>
    <row r="863" spans="1:4" x14ac:dyDescent="0.3">
      <c r="A863" s="16">
        <v>45448.931250000001</v>
      </c>
      <c r="B863" s="17">
        <v>60.321137</v>
      </c>
      <c r="C863" s="18"/>
      <c r="D863" s="19"/>
    </row>
    <row r="864" spans="1:4" x14ac:dyDescent="0.3">
      <c r="A864" s="16">
        <v>45448.931944000004</v>
      </c>
      <c r="B864" s="17">
        <v>60.465460999999998</v>
      </c>
      <c r="C864" s="18"/>
      <c r="D864" s="19"/>
    </row>
    <row r="865" spans="1:4" x14ac:dyDescent="0.3">
      <c r="A865" s="16">
        <v>45448.932638999999</v>
      </c>
      <c r="B865" s="17">
        <v>60.411037999999998</v>
      </c>
      <c r="C865" s="18"/>
      <c r="D865" s="19"/>
    </row>
    <row r="866" spans="1:4" x14ac:dyDescent="0.3">
      <c r="A866" s="16">
        <v>45448.933333000001</v>
      </c>
      <c r="B866" s="17">
        <v>60.503335</v>
      </c>
      <c r="C866" s="18"/>
      <c r="D866" s="19"/>
    </row>
    <row r="867" spans="1:4" x14ac:dyDescent="0.3">
      <c r="A867" s="16">
        <v>45448.934028000003</v>
      </c>
      <c r="B867" s="17">
        <v>60.335028000000001</v>
      </c>
      <c r="C867" s="18"/>
      <c r="D867" s="19"/>
    </row>
    <row r="868" spans="1:4" x14ac:dyDescent="0.3">
      <c r="A868" s="16">
        <v>45448.934721999998</v>
      </c>
      <c r="B868" s="17">
        <v>60.326605999999998</v>
      </c>
      <c r="C868" s="18"/>
      <c r="D868" s="19"/>
    </row>
    <row r="869" spans="1:4" x14ac:dyDescent="0.3">
      <c r="A869" s="16">
        <v>45448.935417000001</v>
      </c>
      <c r="B869" s="17">
        <v>60.362532999999999</v>
      </c>
      <c r="C869" s="18"/>
      <c r="D869" s="19"/>
    </row>
    <row r="870" spans="1:4" x14ac:dyDescent="0.3">
      <c r="A870" s="16">
        <v>45448.936111000003</v>
      </c>
      <c r="B870" s="17">
        <v>61.136431000000002</v>
      </c>
      <c r="C870" s="18"/>
      <c r="D870" s="19"/>
    </row>
    <row r="871" spans="1:4" x14ac:dyDescent="0.3">
      <c r="A871" s="16">
        <v>45448.936805999998</v>
      </c>
      <c r="B871" s="17">
        <v>60.511527000000001</v>
      </c>
      <c r="C871" s="18"/>
      <c r="D871" s="19"/>
    </row>
    <row r="872" spans="1:4" x14ac:dyDescent="0.3">
      <c r="A872" s="16">
        <v>45448.9375</v>
      </c>
      <c r="B872" s="17">
        <v>60.145325</v>
      </c>
      <c r="C872" s="18"/>
      <c r="D872" s="19"/>
    </row>
    <row r="873" spans="1:4" x14ac:dyDescent="0.3">
      <c r="A873" s="16">
        <v>45448.938194000002</v>
      </c>
      <c r="B873" s="17">
        <v>60.438144999999999</v>
      </c>
      <c r="C873" s="18"/>
      <c r="D873" s="19"/>
    </row>
    <row r="874" spans="1:4" x14ac:dyDescent="0.3">
      <c r="A874" s="16">
        <v>45448.938888999997</v>
      </c>
      <c r="B874" s="17">
        <v>60.465440999999998</v>
      </c>
      <c r="C874" s="18"/>
      <c r="D874" s="19"/>
    </row>
    <row r="875" spans="1:4" x14ac:dyDescent="0.3">
      <c r="A875" s="16">
        <v>45448.939582999999</v>
      </c>
      <c r="B875" s="17">
        <v>60.241396999999999</v>
      </c>
      <c r="C875" s="18"/>
      <c r="D875" s="19"/>
    </row>
    <row r="876" spans="1:4" x14ac:dyDescent="0.3">
      <c r="A876" s="16">
        <v>45448.940278000002</v>
      </c>
      <c r="B876" s="17">
        <v>60.457054999999997</v>
      </c>
      <c r="C876" s="18"/>
      <c r="D876" s="19"/>
    </row>
    <row r="877" spans="1:4" x14ac:dyDescent="0.3">
      <c r="A877" s="16">
        <v>45448.940971999997</v>
      </c>
      <c r="B877" s="17">
        <v>60.453246999999998</v>
      </c>
      <c r="C877" s="18"/>
      <c r="D877" s="19"/>
    </row>
    <row r="878" spans="1:4" x14ac:dyDescent="0.3">
      <c r="A878" s="16">
        <v>45448.941666999999</v>
      </c>
      <c r="B878" s="17">
        <v>60.479533000000004</v>
      </c>
      <c r="C878" s="18"/>
      <c r="D878" s="19"/>
    </row>
    <row r="879" spans="1:4" x14ac:dyDescent="0.3">
      <c r="A879" s="16">
        <v>45448.942361000001</v>
      </c>
      <c r="B879" s="17">
        <v>60.269558000000004</v>
      </c>
      <c r="C879" s="18"/>
      <c r="D879" s="19"/>
    </row>
    <row r="880" spans="1:4" x14ac:dyDescent="0.3">
      <c r="A880" s="16">
        <v>45448.943055999996</v>
      </c>
      <c r="B880" s="17">
        <v>60.505921999999998</v>
      </c>
      <c r="C880" s="18"/>
      <c r="D880" s="19"/>
    </row>
    <row r="881" spans="1:4" x14ac:dyDescent="0.3">
      <c r="A881" s="16">
        <v>45448.943749999999</v>
      </c>
      <c r="B881" s="17">
        <v>60.492198999999999</v>
      </c>
      <c r="C881" s="18"/>
      <c r="D881" s="19"/>
    </row>
    <row r="882" spans="1:4" x14ac:dyDescent="0.3">
      <c r="A882" s="16">
        <v>45448.944444000001</v>
      </c>
      <c r="B882" s="17">
        <v>60.482982</v>
      </c>
      <c r="C882" s="18"/>
      <c r="D882" s="19"/>
    </row>
    <row r="883" spans="1:4" x14ac:dyDescent="0.3">
      <c r="A883" s="16">
        <v>45448.945139000003</v>
      </c>
      <c r="B883" s="17">
        <v>60.123125000000002</v>
      </c>
      <c r="C883" s="18"/>
      <c r="D883" s="19"/>
    </row>
    <row r="884" spans="1:4" x14ac:dyDescent="0.3">
      <c r="A884" s="16">
        <v>45448.945832999998</v>
      </c>
      <c r="B884" s="17">
        <v>60.473649999999999</v>
      </c>
      <c r="C884" s="18"/>
      <c r="D884" s="19"/>
    </row>
    <row r="885" spans="1:4" x14ac:dyDescent="0.3">
      <c r="A885" s="16">
        <v>45448.946528</v>
      </c>
      <c r="B885" s="17">
        <v>60.107627000000001</v>
      </c>
      <c r="C885" s="18"/>
      <c r="D885" s="19"/>
    </row>
    <row r="886" spans="1:4" x14ac:dyDescent="0.3">
      <c r="A886" s="16">
        <v>45448.947222000003</v>
      </c>
      <c r="B886" s="17">
        <v>60.222634999999997</v>
      </c>
      <c r="C886" s="18"/>
      <c r="D886" s="19"/>
    </row>
    <row r="887" spans="1:4" x14ac:dyDescent="0.3">
      <c r="A887" s="16">
        <v>45448.947916999998</v>
      </c>
      <c r="B887" s="17">
        <v>60.307113000000001</v>
      </c>
      <c r="C887" s="18"/>
      <c r="D887" s="19"/>
    </row>
    <row r="888" spans="1:4" x14ac:dyDescent="0.3">
      <c r="A888" s="16">
        <v>45448.948611</v>
      </c>
      <c r="B888" s="17">
        <v>60.545195</v>
      </c>
      <c r="C888" s="18"/>
      <c r="D888" s="19"/>
    </row>
    <row r="889" spans="1:4" x14ac:dyDescent="0.3">
      <c r="A889" s="16">
        <v>45448.949306000002</v>
      </c>
      <c r="B889" s="17">
        <v>60.057054999999998</v>
      </c>
      <c r="C889" s="18"/>
      <c r="D889" s="19"/>
    </row>
    <row r="890" spans="1:4" x14ac:dyDescent="0.3">
      <c r="A890" s="16">
        <v>45448.95</v>
      </c>
      <c r="B890" s="17">
        <v>60.389108</v>
      </c>
      <c r="C890" s="18"/>
      <c r="D890" s="19"/>
    </row>
    <row r="891" spans="1:4" x14ac:dyDescent="0.3">
      <c r="A891" s="16">
        <v>45448.950693999999</v>
      </c>
      <c r="B891" s="17">
        <v>60.393079</v>
      </c>
      <c r="C891" s="18"/>
      <c r="D891" s="19"/>
    </row>
    <row r="892" spans="1:4" x14ac:dyDescent="0.3">
      <c r="A892" s="16">
        <v>45448.951389000002</v>
      </c>
      <c r="B892" s="17">
        <v>60.232911999999999</v>
      </c>
      <c r="C892" s="18"/>
      <c r="D892" s="19"/>
    </row>
    <row r="893" spans="1:4" x14ac:dyDescent="0.3">
      <c r="A893" s="16">
        <v>45448.952082999996</v>
      </c>
      <c r="B893" s="17">
        <v>60.424818999999999</v>
      </c>
      <c r="C893" s="18"/>
      <c r="D893" s="19"/>
    </row>
    <row r="894" spans="1:4" x14ac:dyDescent="0.3">
      <c r="A894" s="16">
        <v>45448.952777999999</v>
      </c>
      <c r="B894" s="17">
        <v>60.424602999999998</v>
      </c>
      <c r="C894" s="18"/>
      <c r="D894" s="19"/>
    </row>
    <row r="895" spans="1:4" x14ac:dyDescent="0.3">
      <c r="A895" s="16">
        <v>45448.953472000001</v>
      </c>
      <c r="B895" s="17">
        <v>60.142583000000002</v>
      </c>
      <c r="C895" s="18"/>
      <c r="D895" s="19"/>
    </row>
    <row r="896" spans="1:4" x14ac:dyDescent="0.3">
      <c r="A896" s="16">
        <v>45448.954167000004</v>
      </c>
      <c r="B896" s="17">
        <v>60.203921999999999</v>
      </c>
      <c r="C896" s="18"/>
      <c r="D896" s="19"/>
    </row>
    <row r="897" spans="1:4" x14ac:dyDescent="0.3">
      <c r="A897" s="16">
        <v>45448.954860999998</v>
      </c>
      <c r="B897" s="17">
        <v>60.342540999999997</v>
      </c>
      <c r="C897" s="18"/>
      <c r="D897" s="19"/>
    </row>
    <row r="898" spans="1:4" x14ac:dyDescent="0.3">
      <c r="A898" s="16">
        <v>45448.955556000001</v>
      </c>
      <c r="B898" s="17">
        <v>60.213647999999999</v>
      </c>
      <c r="C898" s="18"/>
      <c r="D898" s="19"/>
    </row>
    <row r="899" spans="1:4" x14ac:dyDescent="0.3">
      <c r="A899" s="16">
        <v>45448.956250000003</v>
      </c>
      <c r="B899" s="17">
        <v>60.460413000000003</v>
      </c>
      <c r="C899" s="18"/>
      <c r="D899" s="19"/>
    </row>
    <row r="900" spans="1:4" x14ac:dyDescent="0.3">
      <c r="A900" s="16">
        <v>45448.956943999998</v>
      </c>
      <c r="B900" s="17">
        <v>60.524335999999998</v>
      </c>
      <c r="C900" s="18"/>
      <c r="D900" s="19"/>
    </row>
    <row r="901" spans="1:4" x14ac:dyDescent="0.3">
      <c r="A901" s="16">
        <v>45448.957639</v>
      </c>
      <c r="B901" s="17">
        <v>60.528092999999998</v>
      </c>
      <c r="C901" s="18"/>
      <c r="D901" s="19"/>
    </row>
    <row r="902" spans="1:4" x14ac:dyDescent="0.3">
      <c r="A902" s="16">
        <v>45448.958333000002</v>
      </c>
      <c r="B902" s="17">
        <v>60.326399000000002</v>
      </c>
      <c r="C902" s="18"/>
      <c r="D902" s="19"/>
    </row>
    <row r="903" spans="1:4" x14ac:dyDescent="0.3">
      <c r="A903" s="16">
        <v>45448.959027999997</v>
      </c>
      <c r="B903" s="17">
        <v>60.735630999999998</v>
      </c>
      <c r="C903" s="18"/>
      <c r="D903" s="19"/>
    </row>
    <row r="904" spans="1:4" x14ac:dyDescent="0.3">
      <c r="A904" s="16">
        <v>45448.959722</v>
      </c>
      <c r="B904" s="17">
        <v>60.634054999999996</v>
      </c>
      <c r="C904" s="18"/>
      <c r="D904" s="19"/>
    </row>
    <row r="905" spans="1:4" x14ac:dyDescent="0.3">
      <c r="A905" s="16">
        <v>45448.960417000002</v>
      </c>
      <c r="B905" s="17">
        <v>60.315607</v>
      </c>
      <c r="C905" s="18"/>
      <c r="D905" s="19"/>
    </row>
    <row r="906" spans="1:4" x14ac:dyDescent="0.3">
      <c r="A906" s="16">
        <v>45448.961110999997</v>
      </c>
      <c r="B906" s="17">
        <v>60.439988</v>
      </c>
      <c r="C906" s="18"/>
      <c r="D906" s="19"/>
    </row>
    <row r="907" spans="1:4" x14ac:dyDescent="0.3">
      <c r="A907" s="16">
        <v>45448.961805999999</v>
      </c>
      <c r="B907" s="17">
        <v>60.576276999999997</v>
      </c>
      <c r="C907" s="18"/>
      <c r="D907" s="19"/>
    </row>
    <row r="908" spans="1:4" x14ac:dyDescent="0.3">
      <c r="A908" s="16">
        <v>45448.962500000001</v>
      </c>
      <c r="B908" s="17">
        <v>60.272368</v>
      </c>
      <c r="C908" s="18"/>
      <c r="D908" s="19"/>
    </row>
    <row r="909" spans="1:4" x14ac:dyDescent="0.3">
      <c r="A909" s="16">
        <v>45448.963194000004</v>
      </c>
      <c r="B909" s="17">
        <v>60.469503000000003</v>
      </c>
      <c r="C909" s="18"/>
      <c r="D909" s="19"/>
    </row>
    <row r="910" spans="1:4" x14ac:dyDescent="0.3">
      <c r="A910" s="16">
        <v>45448.963888999999</v>
      </c>
      <c r="B910" s="17">
        <v>60.514288000000001</v>
      </c>
      <c r="C910" s="18"/>
      <c r="D910" s="19"/>
    </row>
    <row r="911" spans="1:4" x14ac:dyDescent="0.3">
      <c r="A911" s="16">
        <v>45448.964583000001</v>
      </c>
      <c r="B911" s="17">
        <v>60.280006999999998</v>
      </c>
      <c r="C911" s="18"/>
      <c r="D911" s="19"/>
    </row>
    <row r="912" spans="1:4" x14ac:dyDescent="0.3">
      <c r="A912" s="16">
        <v>45448.965278000003</v>
      </c>
      <c r="B912" s="17">
        <v>60.412939000000001</v>
      </c>
      <c r="C912" s="18"/>
      <c r="D912" s="19"/>
    </row>
    <row r="913" spans="1:4" x14ac:dyDescent="0.3">
      <c r="A913" s="16">
        <v>45448.965971999998</v>
      </c>
      <c r="B913" s="17">
        <v>60.319495000000003</v>
      </c>
      <c r="C913" s="18"/>
      <c r="D913" s="19"/>
    </row>
    <row r="914" spans="1:4" x14ac:dyDescent="0.3">
      <c r="A914" s="16">
        <v>45448.966667000001</v>
      </c>
      <c r="B914" s="17">
        <v>60.502248999999999</v>
      </c>
      <c r="C914" s="18"/>
      <c r="D914" s="19"/>
    </row>
    <row r="915" spans="1:4" x14ac:dyDescent="0.3">
      <c r="A915" s="16">
        <v>45448.967361000003</v>
      </c>
      <c r="B915" s="17">
        <v>60.504348999999998</v>
      </c>
      <c r="C915" s="18"/>
      <c r="D915" s="19"/>
    </row>
    <row r="916" spans="1:4" x14ac:dyDescent="0.3">
      <c r="A916" s="16">
        <v>45448.968055999998</v>
      </c>
      <c r="B916" s="17">
        <v>60.292197999999999</v>
      </c>
      <c r="C916" s="18"/>
      <c r="D916" s="19"/>
    </row>
    <row r="917" spans="1:4" x14ac:dyDescent="0.3">
      <c r="A917" s="16">
        <v>45448.96875</v>
      </c>
      <c r="B917" s="17">
        <v>60.155101999999999</v>
      </c>
      <c r="C917" s="18"/>
      <c r="D917" s="19"/>
    </row>
    <row r="918" spans="1:4" x14ac:dyDescent="0.3">
      <c r="A918" s="16">
        <v>45448.969444000002</v>
      </c>
      <c r="B918" s="17">
        <v>60.433104</v>
      </c>
      <c r="C918" s="18"/>
      <c r="D918" s="19"/>
    </row>
    <row r="919" spans="1:4" x14ac:dyDescent="0.3">
      <c r="A919" s="16">
        <v>45448.970138999997</v>
      </c>
      <c r="B919" s="17">
        <v>60.683041000000003</v>
      </c>
      <c r="C919" s="18"/>
      <c r="D919" s="19"/>
    </row>
    <row r="920" spans="1:4" x14ac:dyDescent="0.3">
      <c r="A920" s="16">
        <v>45448.970832999999</v>
      </c>
      <c r="B920" s="17">
        <v>60.494602999999998</v>
      </c>
      <c r="C920" s="18"/>
      <c r="D920" s="19"/>
    </row>
    <row r="921" spans="1:4" x14ac:dyDescent="0.3">
      <c r="A921" s="16">
        <v>45448.971528000002</v>
      </c>
      <c r="B921" s="17">
        <v>60.451445</v>
      </c>
      <c r="C921" s="18"/>
      <c r="D921" s="19"/>
    </row>
    <row r="922" spans="1:4" x14ac:dyDescent="0.3">
      <c r="A922" s="16">
        <v>45448.972221999997</v>
      </c>
      <c r="B922" s="17">
        <v>60.183638000000002</v>
      </c>
      <c r="C922" s="18"/>
      <c r="D922" s="19"/>
    </row>
    <row r="923" spans="1:4" x14ac:dyDescent="0.3">
      <c r="A923" s="16">
        <v>45448.972916999999</v>
      </c>
      <c r="B923" s="17">
        <v>60.403598000000002</v>
      </c>
      <c r="C923" s="18"/>
      <c r="D923" s="19"/>
    </row>
    <row r="924" spans="1:4" x14ac:dyDescent="0.3">
      <c r="A924" s="16">
        <v>45448.973611000001</v>
      </c>
      <c r="B924" s="17">
        <v>60.575969999999998</v>
      </c>
      <c r="C924" s="18"/>
      <c r="D924" s="19"/>
    </row>
    <row r="925" spans="1:4" x14ac:dyDescent="0.3">
      <c r="A925" s="16">
        <v>45448.974305999996</v>
      </c>
      <c r="B925" s="17">
        <v>60.601219</v>
      </c>
      <c r="C925" s="18"/>
      <c r="D925" s="19"/>
    </row>
    <row r="926" spans="1:4" x14ac:dyDescent="0.3">
      <c r="A926" s="16">
        <v>45448.974999999999</v>
      </c>
      <c r="B926" s="17">
        <v>60.059184999999999</v>
      </c>
      <c r="C926" s="18"/>
      <c r="D926" s="19"/>
    </row>
    <row r="927" spans="1:4" x14ac:dyDescent="0.3">
      <c r="A927" s="16">
        <v>45448.975694000001</v>
      </c>
      <c r="B927" s="17">
        <v>60.111704000000003</v>
      </c>
      <c r="C927" s="18"/>
      <c r="D927" s="19"/>
    </row>
    <row r="928" spans="1:4" x14ac:dyDescent="0.3">
      <c r="A928" s="16">
        <v>45448.976389000003</v>
      </c>
      <c r="B928" s="17">
        <v>60.498151</v>
      </c>
      <c r="C928" s="18"/>
      <c r="D928" s="19"/>
    </row>
    <row r="929" spans="1:4" x14ac:dyDescent="0.3">
      <c r="A929" s="16">
        <v>45448.977082999998</v>
      </c>
      <c r="B929" s="17">
        <v>60.465460999999998</v>
      </c>
      <c r="C929" s="18"/>
      <c r="D929" s="19"/>
    </row>
    <row r="930" spans="1:4" x14ac:dyDescent="0.3">
      <c r="A930" s="16">
        <v>45448.977778</v>
      </c>
      <c r="B930" s="17">
        <v>60.677187000000004</v>
      </c>
      <c r="C930" s="18"/>
      <c r="D930" s="19"/>
    </row>
    <row r="931" spans="1:4" x14ac:dyDescent="0.3">
      <c r="A931" s="16">
        <v>45448.978472000003</v>
      </c>
      <c r="B931" s="17">
        <v>60.552646000000003</v>
      </c>
      <c r="C931" s="18"/>
      <c r="D931" s="19"/>
    </row>
    <row r="932" spans="1:4" x14ac:dyDescent="0.3">
      <c r="A932" s="16">
        <v>45448.979166999998</v>
      </c>
      <c r="B932" s="17">
        <v>60.176392</v>
      </c>
      <c r="C932" s="18"/>
      <c r="D932" s="19"/>
    </row>
    <row r="933" spans="1:4" x14ac:dyDescent="0.3">
      <c r="A933" s="16">
        <v>45448.979861</v>
      </c>
      <c r="B933" s="17">
        <v>60.473312999999997</v>
      </c>
      <c r="C933" s="18"/>
      <c r="D933" s="19"/>
    </row>
    <row r="934" spans="1:4" x14ac:dyDescent="0.3">
      <c r="A934" s="16">
        <v>45448.980556000002</v>
      </c>
      <c r="B934" s="17">
        <v>60.343026000000002</v>
      </c>
      <c r="C934" s="18"/>
      <c r="D934" s="19"/>
    </row>
    <row r="935" spans="1:4" x14ac:dyDescent="0.3">
      <c r="A935" s="16">
        <v>45448.981249999997</v>
      </c>
      <c r="B935" s="17">
        <v>60.405951000000002</v>
      </c>
      <c r="C935" s="18"/>
      <c r="D935" s="19"/>
    </row>
    <row r="936" spans="1:4" x14ac:dyDescent="0.3">
      <c r="A936" s="16">
        <v>45448.981943999999</v>
      </c>
      <c r="B936" s="17">
        <v>60.234050000000003</v>
      </c>
      <c r="C936" s="18"/>
      <c r="D936" s="19"/>
    </row>
    <row r="937" spans="1:4" x14ac:dyDescent="0.3">
      <c r="A937" s="16">
        <v>45448.982639000002</v>
      </c>
      <c r="B937" s="17">
        <v>60.386057000000001</v>
      </c>
      <c r="C937" s="18"/>
      <c r="D937" s="19"/>
    </row>
    <row r="938" spans="1:4" x14ac:dyDescent="0.3">
      <c r="A938" s="16">
        <v>45448.983332999996</v>
      </c>
      <c r="B938" s="17">
        <v>59.914656000000001</v>
      </c>
      <c r="C938" s="18"/>
      <c r="D938" s="19"/>
    </row>
    <row r="939" spans="1:4" x14ac:dyDescent="0.3">
      <c r="A939" s="16">
        <v>45448.984027999999</v>
      </c>
      <c r="B939" s="17">
        <v>60.239690000000003</v>
      </c>
      <c r="C939" s="18"/>
      <c r="D939" s="19"/>
    </row>
    <row r="940" spans="1:4" x14ac:dyDescent="0.3">
      <c r="A940" s="16">
        <v>45448.984722000001</v>
      </c>
      <c r="B940" s="17">
        <v>60.260572000000003</v>
      </c>
      <c r="C940" s="18"/>
      <c r="D940" s="19"/>
    </row>
    <row r="941" spans="1:4" x14ac:dyDescent="0.3">
      <c r="A941" s="16">
        <v>45448.985417000004</v>
      </c>
      <c r="B941" s="17">
        <v>60.040616</v>
      </c>
      <c r="C941" s="18"/>
      <c r="D941" s="19"/>
    </row>
    <row r="942" spans="1:4" x14ac:dyDescent="0.3">
      <c r="A942" s="16">
        <v>45448.986110999998</v>
      </c>
      <c r="B942" s="17">
        <v>60.355845000000002</v>
      </c>
      <c r="C942" s="18"/>
      <c r="D942" s="19"/>
    </row>
    <row r="943" spans="1:4" x14ac:dyDescent="0.3">
      <c r="A943" s="16">
        <v>45448.986806000001</v>
      </c>
      <c r="B943" s="17">
        <v>60.183672999999999</v>
      </c>
      <c r="C943" s="18"/>
      <c r="D943" s="19"/>
    </row>
    <row r="944" spans="1:4" x14ac:dyDescent="0.3">
      <c r="A944" s="16">
        <v>45448.987500000003</v>
      </c>
      <c r="B944" s="17">
        <v>60.787551000000001</v>
      </c>
      <c r="C944" s="18"/>
      <c r="D944" s="19"/>
    </row>
    <row r="945" spans="1:4" x14ac:dyDescent="0.3">
      <c r="A945" s="16">
        <v>45448.988193999998</v>
      </c>
      <c r="B945" s="17">
        <v>60.954549999999998</v>
      </c>
      <c r="C945" s="18"/>
      <c r="D945" s="19"/>
    </row>
    <row r="946" spans="1:4" x14ac:dyDescent="0.3">
      <c r="A946" s="16">
        <v>45448.988889</v>
      </c>
      <c r="B946" s="17">
        <v>60.490904999999998</v>
      </c>
      <c r="C946" s="18"/>
      <c r="D946" s="19"/>
    </row>
    <row r="947" spans="1:4" x14ac:dyDescent="0.3">
      <c r="A947" s="16">
        <v>45448.989583000002</v>
      </c>
      <c r="B947" s="17">
        <v>60.967897999999998</v>
      </c>
      <c r="C947" s="18"/>
      <c r="D947" s="19"/>
    </row>
    <row r="948" spans="1:4" x14ac:dyDescent="0.3">
      <c r="A948" s="16">
        <v>45448.990277999997</v>
      </c>
      <c r="B948" s="17">
        <v>61.242142000000001</v>
      </c>
      <c r="C948" s="18"/>
      <c r="D948" s="19"/>
    </row>
    <row r="949" spans="1:4" x14ac:dyDescent="0.3">
      <c r="A949" s="16">
        <v>45448.990972</v>
      </c>
      <c r="B949" s="17">
        <v>60.976148000000002</v>
      </c>
      <c r="C949" s="18"/>
      <c r="D949" s="19"/>
    </row>
    <row r="950" spans="1:4" x14ac:dyDescent="0.3">
      <c r="A950" s="16">
        <v>45448.991667000002</v>
      </c>
      <c r="B950" s="17">
        <v>61.179212999999997</v>
      </c>
      <c r="C950" s="18"/>
      <c r="D950" s="19"/>
    </row>
    <row r="951" spans="1:4" x14ac:dyDescent="0.3">
      <c r="A951" s="16">
        <v>45448.992360999997</v>
      </c>
      <c r="B951" s="17">
        <v>60.988202000000001</v>
      </c>
      <c r="C951" s="18"/>
      <c r="D951" s="19"/>
    </row>
    <row r="952" spans="1:4" x14ac:dyDescent="0.3">
      <c r="A952" s="16">
        <v>45448.993055999999</v>
      </c>
      <c r="B952" s="17">
        <v>60.930666000000002</v>
      </c>
      <c r="C952" s="18"/>
      <c r="D952" s="19"/>
    </row>
    <row r="953" spans="1:4" x14ac:dyDescent="0.3">
      <c r="A953" s="16">
        <v>45448.993750000001</v>
      </c>
      <c r="B953" s="17">
        <v>60.651547999999998</v>
      </c>
      <c r="C953" s="18"/>
      <c r="D953" s="19"/>
    </row>
    <row r="954" spans="1:4" x14ac:dyDescent="0.3">
      <c r="A954" s="16">
        <v>45448.994444000004</v>
      </c>
      <c r="B954" s="17">
        <v>60.734614999999998</v>
      </c>
      <c r="C954" s="18"/>
      <c r="D954" s="19"/>
    </row>
    <row r="955" spans="1:4" x14ac:dyDescent="0.3">
      <c r="A955" s="16">
        <v>45448.995138999999</v>
      </c>
      <c r="B955" s="17">
        <v>60.544885000000001</v>
      </c>
      <c r="C955" s="18"/>
      <c r="D955" s="19"/>
    </row>
    <row r="956" spans="1:4" x14ac:dyDescent="0.3">
      <c r="A956" s="16">
        <v>45448.995833000001</v>
      </c>
      <c r="B956" s="17">
        <v>60.760199999999998</v>
      </c>
      <c r="C956" s="18"/>
      <c r="D956" s="19"/>
    </row>
    <row r="957" spans="1:4" x14ac:dyDescent="0.3">
      <c r="A957" s="16">
        <v>45448.996528000003</v>
      </c>
      <c r="B957" s="17">
        <v>60.929699999999997</v>
      </c>
      <c r="C957" s="18"/>
      <c r="D957" s="19"/>
    </row>
    <row r="958" spans="1:4" x14ac:dyDescent="0.3">
      <c r="A958" s="16">
        <v>45448.997221999998</v>
      </c>
      <c r="B958" s="17">
        <v>60.794105999999999</v>
      </c>
      <c r="C958" s="18"/>
      <c r="D958" s="19"/>
    </row>
    <row r="959" spans="1:4" x14ac:dyDescent="0.3">
      <c r="A959" s="16">
        <v>45448.997917000001</v>
      </c>
      <c r="B959" s="17">
        <v>60.736426000000002</v>
      </c>
      <c r="C959" s="18"/>
      <c r="D959" s="19"/>
    </row>
    <row r="960" spans="1:4" x14ac:dyDescent="0.3">
      <c r="A960" s="16">
        <v>45448.998611000003</v>
      </c>
      <c r="B960" s="17">
        <v>60.810546000000002</v>
      </c>
      <c r="C960" s="18"/>
      <c r="D960" s="19"/>
    </row>
    <row r="961" spans="1:4" x14ac:dyDescent="0.3">
      <c r="A961" s="16">
        <v>45448.999305999998</v>
      </c>
      <c r="B961" s="17">
        <v>60.614331999999997</v>
      </c>
      <c r="C961" s="18"/>
      <c r="D961" s="19"/>
    </row>
    <row r="962" spans="1:4" x14ac:dyDescent="0.3">
      <c r="A962" s="16">
        <v>45449</v>
      </c>
      <c r="B962" s="17">
        <v>60.768650999999998</v>
      </c>
      <c r="C962" s="18"/>
      <c r="D962" s="19"/>
    </row>
    <row r="963" spans="1:4" x14ac:dyDescent="0.3">
      <c r="A963" s="16">
        <v>45449.000694000002</v>
      </c>
      <c r="B963" s="17">
        <v>60.810186000000002</v>
      </c>
      <c r="C963" s="18"/>
      <c r="D963" s="19"/>
    </row>
    <row r="964" spans="1:4" x14ac:dyDescent="0.3">
      <c r="A964" s="16">
        <v>45449.001388999997</v>
      </c>
      <c r="B964" s="17">
        <v>60.766896000000003</v>
      </c>
      <c r="C964" s="18"/>
      <c r="D964" s="19"/>
    </row>
    <row r="965" spans="1:4" x14ac:dyDescent="0.3">
      <c r="A965" s="16">
        <v>45449.002082999999</v>
      </c>
      <c r="B965" s="17">
        <v>60.597971999999999</v>
      </c>
      <c r="C965" s="18"/>
      <c r="D965" s="19"/>
    </row>
    <row r="966" spans="1:4" x14ac:dyDescent="0.3">
      <c r="A966" s="16">
        <v>45449.002778000002</v>
      </c>
      <c r="B966" s="17">
        <v>61.153027999999999</v>
      </c>
      <c r="C966" s="18"/>
      <c r="D966" s="19"/>
    </row>
    <row r="967" spans="1:4" x14ac:dyDescent="0.3">
      <c r="A967" s="16">
        <v>45449.003471999997</v>
      </c>
      <c r="B967" s="17">
        <v>60.837325</v>
      </c>
      <c r="C967" s="18"/>
      <c r="D967" s="19"/>
    </row>
    <row r="968" spans="1:4" x14ac:dyDescent="0.3">
      <c r="A968" s="16">
        <v>45449.004166999999</v>
      </c>
      <c r="B968" s="17">
        <v>60.825687000000002</v>
      </c>
      <c r="C968" s="18"/>
      <c r="D968" s="19"/>
    </row>
    <row r="969" spans="1:4" x14ac:dyDescent="0.3">
      <c r="A969" s="16">
        <v>45449.004861000001</v>
      </c>
      <c r="B969" s="17">
        <v>61.000230999999999</v>
      </c>
      <c r="C969" s="18"/>
      <c r="D969" s="19"/>
    </row>
    <row r="970" spans="1:4" x14ac:dyDescent="0.3">
      <c r="A970" s="16">
        <v>45449.005555999996</v>
      </c>
      <c r="B970" s="17">
        <v>60.688726000000003</v>
      </c>
      <c r="C970" s="18"/>
      <c r="D970" s="19"/>
    </row>
    <row r="971" spans="1:4" x14ac:dyDescent="0.3">
      <c r="A971" s="16">
        <v>45449.006249999999</v>
      </c>
      <c r="B971" s="17">
        <v>60.751766000000003</v>
      </c>
      <c r="C971" s="18"/>
      <c r="D971" s="19"/>
    </row>
    <row r="972" spans="1:4" x14ac:dyDescent="0.3">
      <c r="A972" s="16">
        <v>45449.006944000001</v>
      </c>
      <c r="B972" s="17">
        <v>60.420825999999998</v>
      </c>
      <c r="C972" s="18"/>
      <c r="D972" s="19"/>
    </row>
    <row r="973" spans="1:4" x14ac:dyDescent="0.3">
      <c r="A973" s="16">
        <v>45449.007639000003</v>
      </c>
      <c r="B973" s="17">
        <v>60.904231000000003</v>
      </c>
      <c r="C973" s="18"/>
      <c r="D973" s="19"/>
    </row>
    <row r="974" spans="1:4" x14ac:dyDescent="0.3">
      <c r="A974" s="16">
        <v>45449.008332999998</v>
      </c>
      <c r="B974" s="17">
        <v>60.511831999999998</v>
      </c>
      <c r="C974" s="18"/>
      <c r="D974" s="19"/>
    </row>
    <row r="975" spans="1:4" x14ac:dyDescent="0.3">
      <c r="A975" s="16">
        <v>45449.009028</v>
      </c>
      <c r="B975" s="17">
        <v>60.964924000000003</v>
      </c>
      <c r="C975" s="18"/>
      <c r="D975" s="19"/>
    </row>
    <row r="976" spans="1:4" x14ac:dyDescent="0.3">
      <c r="A976" s="16">
        <v>45449.009722000003</v>
      </c>
      <c r="B976" s="17">
        <v>60.721094000000001</v>
      </c>
      <c r="C976" s="18"/>
      <c r="D976" s="19"/>
    </row>
    <row r="977" spans="1:4" x14ac:dyDescent="0.3">
      <c r="A977" s="16">
        <v>45449.010416999998</v>
      </c>
      <c r="B977" s="17">
        <v>60.811833999999998</v>
      </c>
      <c r="C977" s="18"/>
      <c r="D977" s="19"/>
    </row>
    <row r="978" spans="1:4" x14ac:dyDescent="0.3">
      <c r="A978" s="16">
        <v>45449.011111</v>
      </c>
      <c r="B978" s="17">
        <v>60.744815000000003</v>
      </c>
      <c r="C978" s="18"/>
      <c r="D978" s="19"/>
    </row>
    <row r="979" spans="1:4" x14ac:dyDescent="0.3">
      <c r="A979" s="16">
        <v>45449.011806000002</v>
      </c>
      <c r="B979" s="17">
        <v>60.452244</v>
      </c>
      <c r="C979" s="18"/>
      <c r="D979" s="19"/>
    </row>
    <row r="980" spans="1:4" x14ac:dyDescent="0.3">
      <c r="A980" s="16">
        <v>45449.012499999997</v>
      </c>
      <c r="B980" s="17">
        <v>60.812004999999999</v>
      </c>
      <c r="C980" s="18"/>
      <c r="D980" s="19"/>
    </row>
    <row r="981" spans="1:4" x14ac:dyDescent="0.3">
      <c r="A981" s="16">
        <v>45449.013193999999</v>
      </c>
      <c r="B981" s="17">
        <v>60.623618</v>
      </c>
      <c r="C981" s="18"/>
      <c r="D981" s="19"/>
    </row>
    <row r="982" spans="1:4" x14ac:dyDescent="0.3">
      <c r="A982" s="16">
        <v>45449.013889000002</v>
      </c>
      <c r="B982" s="17">
        <v>60.704014000000001</v>
      </c>
      <c r="C982" s="18"/>
      <c r="D982" s="19"/>
    </row>
    <row r="983" spans="1:4" x14ac:dyDescent="0.3">
      <c r="A983" s="16">
        <v>45449.014582999996</v>
      </c>
      <c r="B983" s="17">
        <v>60.542521999999998</v>
      </c>
      <c r="C983" s="18"/>
      <c r="D983" s="19"/>
    </row>
    <row r="984" spans="1:4" x14ac:dyDescent="0.3">
      <c r="A984" s="16">
        <v>45449.015277999999</v>
      </c>
      <c r="B984" s="17">
        <v>60.590626999999998</v>
      </c>
      <c r="C984" s="18"/>
      <c r="D984" s="19"/>
    </row>
    <row r="985" spans="1:4" x14ac:dyDescent="0.3">
      <c r="A985" s="16">
        <v>45449.015972000001</v>
      </c>
      <c r="B985" s="17">
        <v>60.402621000000003</v>
      </c>
      <c r="C985" s="18"/>
      <c r="D985" s="19"/>
    </row>
    <row r="986" spans="1:4" x14ac:dyDescent="0.3">
      <c r="A986" s="16">
        <v>45449.016667000004</v>
      </c>
      <c r="B986" s="17">
        <v>60.399417</v>
      </c>
      <c r="C986" s="18"/>
      <c r="D986" s="19"/>
    </row>
    <row r="987" spans="1:4" x14ac:dyDescent="0.3">
      <c r="A987" s="16">
        <v>45449.017360999998</v>
      </c>
      <c r="B987" s="17">
        <v>60.954419999999999</v>
      </c>
      <c r="C987" s="18"/>
      <c r="D987" s="19"/>
    </row>
    <row r="988" spans="1:4" x14ac:dyDescent="0.3">
      <c r="A988" s="16">
        <v>45449.018056000001</v>
      </c>
      <c r="B988" s="17">
        <v>60.335079</v>
      </c>
      <c r="C988" s="18"/>
      <c r="D988" s="19"/>
    </row>
    <row r="989" spans="1:4" x14ac:dyDescent="0.3">
      <c r="A989" s="16">
        <v>45449.018750000003</v>
      </c>
      <c r="B989" s="17">
        <v>60.377828999999998</v>
      </c>
      <c r="C989" s="18"/>
      <c r="D989" s="19"/>
    </row>
    <row r="990" spans="1:4" x14ac:dyDescent="0.3">
      <c r="A990" s="16">
        <v>45449.019443999998</v>
      </c>
      <c r="B990" s="17">
        <v>60.346412999999998</v>
      </c>
      <c r="C990" s="18"/>
      <c r="D990" s="19"/>
    </row>
    <row r="991" spans="1:4" x14ac:dyDescent="0.3">
      <c r="A991" s="16">
        <v>45449.020139</v>
      </c>
      <c r="B991" s="17">
        <v>60.778951999999997</v>
      </c>
      <c r="C991" s="18"/>
      <c r="D991" s="19"/>
    </row>
    <row r="992" spans="1:4" x14ac:dyDescent="0.3">
      <c r="A992" s="16">
        <v>45449.020833000002</v>
      </c>
      <c r="B992" s="17">
        <v>60.288958000000001</v>
      </c>
      <c r="C992" s="18"/>
      <c r="D992" s="19"/>
    </row>
    <row r="993" spans="1:4" x14ac:dyDescent="0.3">
      <c r="A993" s="16">
        <v>45449.021527999997</v>
      </c>
      <c r="B993" s="17">
        <v>60.493732000000001</v>
      </c>
      <c r="C993" s="18"/>
      <c r="D993" s="19"/>
    </row>
    <row r="994" spans="1:4" x14ac:dyDescent="0.3">
      <c r="A994" s="16">
        <v>45449.022222</v>
      </c>
      <c r="B994" s="17">
        <v>60.304519999999997</v>
      </c>
      <c r="C994" s="18"/>
      <c r="D994" s="19"/>
    </row>
    <row r="995" spans="1:4" x14ac:dyDescent="0.3">
      <c r="A995" s="16">
        <v>45449.022917000002</v>
      </c>
      <c r="B995" s="17">
        <v>60.610629000000003</v>
      </c>
      <c r="C995" s="18"/>
      <c r="D995" s="19"/>
    </row>
    <row r="996" spans="1:4" x14ac:dyDescent="0.3">
      <c r="A996" s="16">
        <v>45449.023610999997</v>
      </c>
      <c r="B996" s="17">
        <v>60.51144</v>
      </c>
      <c r="C996" s="18"/>
      <c r="D996" s="19"/>
    </row>
    <row r="997" spans="1:4" x14ac:dyDescent="0.3">
      <c r="A997" s="16">
        <v>45449.024305999999</v>
      </c>
      <c r="B997" s="17">
        <v>60.473483999999999</v>
      </c>
      <c r="C997" s="18"/>
      <c r="D997" s="19"/>
    </row>
    <row r="998" spans="1:4" x14ac:dyDescent="0.3">
      <c r="A998" s="16">
        <v>45449.025000000001</v>
      </c>
      <c r="B998" s="17">
        <v>60.376148999999998</v>
      </c>
      <c r="C998" s="18"/>
      <c r="D998" s="19"/>
    </row>
    <row r="999" spans="1:4" x14ac:dyDescent="0.3">
      <c r="A999" s="16">
        <v>45449.025694000004</v>
      </c>
      <c r="B999" s="17">
        <v>60.624028000000003</v>
      </c>
      <c r="C999" s="18"/>
      <c r="D999" s="19"/>
    </row>
    <row r="1000" spans="1:4" x14ac:dyDescent="0.3">
      <c r="A1000" s="16">
        <v>45449.026388999999</v>
      </c>
      <c r="B1000" s="17">
        <v>60.501106999999998</v>
      </c>
      <c r="C1000" s="18"/>
      <c r="D1000" s="19"/>
    </row>
    <row r="1001" spans="1:4" x14ac:dyDescent="0.3">
      <c r="A1001" s="16">
        <v>45449.027083000001</v>
      </c>
      <c r="B1001" s="17">
        <v>60.540075000000002</v>
      </c>
      <c r="C1001" s="18"/>
      <c r="D1001" s="19"/>
    </row>
    <row r="1002" spans="1:4" x14ac:dyDescent="0.3">
      <c r="A1002" s="16">
        <v>45449.027778000003</v>
      </c>
      <c r="B1002" s="17">
        <v>60.399160000000002</v>
      </c>
      <c r="C1002" s="18"/>
      <c r="D1002" s="19"/>
    </row>
    <row r="1003" spans="1:4" x14ac:dyDescent="0.3">
      <c r="A1003" s="16">
        <v>45449.028471999998</v>
      </c>
      <c r="B1003" s="17">
        <v>60.539703000000003</v>
      </c>
      <c r="C1003" s="18"/>
      <c r="D1003" s="19"/>
    </row>
    <row r="1004" spans="1:4" x14ac:dyDescent="0.3">
      <c r="A1004" s="16">
        <v>45449.029167000001</v>
      </c>
      <c r="B1004" s="17">
        <v>60.635337</v>
      </c>
      <c r="C1004" s="18"/>
      <c r="D1004" s="19"/>
    </row>
    <row r="1005" spans="1:4" x14ac:dyDescent="0.3">
      <c r="A1005" s="16">
        <v>45449.029861000003</v>
      </c>
      <c r="B1005" s="17">
        <v>60.467669999999998</v>
      </c>
      <c r="C1005" s="18"/>
      <c r="D1005" s="19"/>
    </row>
    <row r="1006" spans="1:4" x14ac:dyDescent="0.3">
      <c r="A1006" s="16">
        <v>45449.030555999998</v>
      </c>
      <c r="B1006" s="17">
        <v>60.538738000000002</v>
      </c>
      <c r="C1006" s="18"/>
      <c r="D1006" s="19"/>
    </row>
    <row r="1007" spans="1:4" x14ac:dyDescent="0.3">
      <c r="A1007" s="16">
        <v>45449.03125</v>
      </c>
      <c r="B1007" s="17">
        <v>60.327221000000002</v>
      </c>
      <c r="C1007" s="18"/>
      <c r="D1007" s="19"/>
    </row>
    <row r="1008" spans="1:4" x14ac:dyDescent="0.3">
      <c r="A1008" s="16">
        <v>45449.031944000002</v>
      </c>
      <c r="B1008" s="17">
        <v>60.436647000000001</v>
      </c>
      <c r="C1008" s="18"/>
      <c r="D1008" s="19"/>
    </row>
    <row r="1009" spans="1:4" x14ac:dyDescent="0.3">
      <c r="A1009" s="16">
        <v>45449.032638999997</v>
      </c>
      <c r="B1009" s="17">
        <v>60.633352000000002</v>
      </c>
      <c r="C1009" s="18"/>
      <c r="D1009" s="19"/>
    </row>
    <row r="1010" spans="1:4" x14ac:dyDescent="0.3">
      <c r="A1010" s="16">
        <v>45449.033332999999</v>
      </c>
      <c r="B1010" s="17">
        <v>60.480538000000003</v>
      </c>
      <c r="C1010" s="18"/>
      <c r="D1010" s="19"/>
    </row>
    <row r="1011" spans="1:4" x14ac:dyDescent="0.3">
      <c r="A1011" s="16">
        <v>45449.034028000002</v>
      </c>
      <c r="B1011" s="17">
        <v>60.692793000000002</v>
      </c>
      <c r="C1011" s="18"/>
      <c r="D1011" s="19"/>
    </row>
    <row r="1012" spans="1:4" x14ac:dyDescent="0.3">
      <c r="A1012" s="16">
        <v>45449.034721999997</v>
      </c>
      <c r="B1012" s="17">
        <v>60.540247999999998</v>
      </c>
      <c r="C1012" s="18"/>
      <c r="D1012" s="19"/>
    </row>
    <row r="1013" spans="1:4" x14ac:dyDescent="0.3">
      <c r="A1013" s="16">
        <v>45449.035416999999</v>
      </c>
      <c r="B1013" s="17">
        <v>60.404902999999997</v>
      </c>
      <c r="C1013" s="18"/>
      <c r="D1013" s="19"/>
    </row>
    <row r="1014" spans="1:4" x14ac:dyDescent="0.3">
      <c r="A1014" s="16">
        <v>45449.036111000001</v>
      </c>
      <c r="B1014" s="17">
        <v>60.470863000000001</v>
      </c>
      <c r="C1014" s="18"/>
      <c r="D1014" s="19"/>
    </row>
    <row r="1015" spans="1:4" x14ac:dyDescent="0.3">
      <c r="A1015" s="16">
        <v>45449.036805999996</v>
      </c>
      <c r="B1015" s="17">
        <v>60.651701000000003</v>
      </c>
      <c r="C1015" s="18"/>
      <c r="D1015" s="19"/>
    </row>
    <row r="1016" spans="1:4" x14ac:dyDescent="0.3">
      <c r="A1016" s="16">
        <v>45449.037499999999</v>
      </c>
      <c r="B1016" s="17">
        <v>60.467914</v>
      </c>
      <c r="C1016" s="18"/>
      <c r="D1016" s="19"/>
    </row>
    <row r="1017" spans="1:4" x14ac:dyDescent="0.3">
      <c r="A1017" s="16">
        <v>45449.038194000001</v>
      </c>
      <c r="B1017" s="17">
        <v>60.592697000000001</v>
      </c>
      <c r="C1017" s="18"/>
      <c r="D1017" s="19"/>
    </row>
    <row r="1018" spans="1:4" x14ac:dyDescent="0.3">
      <c r="A1018" s="16">
        <v>45449.038889000003</v>
      </c>
      <c r="B1018" s="17">
        <v>60.231450000000002</v>
      </c>
      <c r="C1018" s="18"/>
      <c r="D1018" s="19"/>
    </row>
    <row r="1019" spans="1:4" x14ac:dyDescent="0.3">
      <c r="A1019" s="16">
        <v>45449.039582999998</v>
      </c>
      <c r="B1019" s="17">
        <v>60.762791999999997</v>
      </c>
      <c r="C1019" s="18"/>
      <c r="D1019" s="19"/>
    </row>
    <row r="1020" spans="1:4" x14ac:dyDescent="0.3">
      <c r="A1020" s="16">
        <v>45449.040278</v>
      </c>
      <c r="B1020" s="17">
        <v>60.541379999999997</v>
      </c>
      <c r="C1020" s="18"/>
      <c r="D1020" s="19"/>
    </row>
    <row r="1021" spans="1:4" x14ac:dyDescent="0.3">
      <c r="A1021" s="16">
        <v>45449.040972000003</v>
      </c>
      <c r="B1021" s="17">
        <v>60.617224999999998</v>
      </c>
      <c r="C1021" s="18"/>
      <c r="D1021" s="19"/>
    </row>
    <row r="1022" spans="1:4" x14ac:dyDescent="0.3">
      <c r="A1022" s="16">
        <v>45449.041666999998</v>
      </c>
      <c r="B1022" s="17">
        <v>60.562220000000003</v>
      </c>
      <c r="C1022" s="18"/>
      <c r="D1022" s="19"/>
    </row>
    <row r="1023" spans="1:4" x14ac:dyDescent="0.3">
      <c r="A1023" s="16">
        <v>45449.042361</v>
      </c>
      <c r="B1023" s="17">
        <v>60.597867000000001</v>
      </c>
      <c r="C1023" s="18"/>
      <c r="D1023" s="19"/>
    </row>
    <row r="1024" spans="1:4" x14ac:dyDescent="0.3">
      <c r="A1024" s="16">
        <v>45449.043056000002</v>
      </c>
      <c r="B1024" s="17">
        <v>60.623783000000003</v>
      </c>
      <c r="C1024" s="18"/>
      <c r="D1024" s="19"/>
    </row>
    <row r="1025" spans="1:4" x14ac:dyDescent="0.3">
      <c r="A1025" s="16">
        <v>45449.043749999997</v>
      </c>
      <c r="B1025" s="17">
        <v>60.315483999999998</v>
      </c>
      <c r="C1025" s="18"/>
      <c r="D1025" s="19"/>
    </row>
    <row r="1026" spans="1:4" x14ac:dyDescent="0.3">
      <c r="A1026" s="16">
        <v>45449.044443999999</v>
      </c>
      <c r="B1026" s="17">
        <v>60.255907999999998</v>
      </c>
      <c r="C1026" s="18"/>
      <c r="D1026" s="19"/>
    </row>
    <row r="1027" spans="1:4" x14ac:dyDescent="0.3">
      <c r="A1027" s="16">
        <v>45449.045139000002</v>
      </c>
      <c r="B1027" s="17">
        <v>60.525244999999998</v>
      </c>
      <c r="C1027" s="18"/>
      <c r="D1027" s="19"/>
    </row>
    <row r="1028" spans="1:4" x14ac:dyDescent="0.3">
      <c r="A1028" s="16">
        <v>45449.045832999996</v>
      </c>
      <c r="B1028" s="17">
        <v>60.598534000000001</v>
      </c>
      <c r="C1028" s="18"/>
      <c r="D1028" s="19"/>
    </row>
    <row r="1029" spans="1:4" x14ac:dyDescent="0.3">
      <c r="A1029" s="16">
        <v>45449.046527999999</v>
      </c>
      <c r="B1029" s="17">
        <v>60.459203000000002</v>
      </c>
      <c r="C1029" s="18"/>
      <c r="D1029" s="19"/>
    </row>
    <row r="1030" spans="1:4" x14ac:dyDescent="0.3">
      <c r="A1030" s="16">
        <v>45449.047222000001</v>
      </c>
      <c r="B1030" s="17">
        <v>60.652583999999997</v>
      </c>
      <c r="C1030" s="18"/>
      <c r="D1030" s="19"/>
    </row>
    <row r="1031" spans="1:4" x14ac:dyDescent="0.3">
      <c r="A1031" s="16">
        <v>45449.047917000004</v>
      </c>
      <c r="B1031" s="17">
        <v>60.553842000000003</v>
      </c>
      <c r="C1031" s="18"/>
      <c r="D1031" s="19"/>
    </row>
    <row r="1032" spans="1:4" x14ac:dyDescent="0.3">
      <c r="A1032" s="16">
        <v>45449.048610999998</v>
      </c>
      <c r="B1032" s="17">
        <v>60.509354000000002</v>
      </c>
      <c r="C1032" s="18"/>
      <c r="D1032" s="19"/>
    </row>
    <row r="1033" spans="1:4" x14ac:dyDescent="0.3">
      <c r="A1033" s="16">
        <v>45449.049306000001</v>
      </c>
      <c r="B1033" s="17">
        <v>60.352654999999999</v>
      </c>
      <c r="C1033" s="18"/>
      <c r="D1033" s="19"/>
    </row>
    <row r="1034" spans="1:4" x14ac:dyDescent="0.3">
      <c r="A1034" s="16">
        <v>45449.05</v>
      </c>
      <c r="B1034" s="17">
        <v>60.210858999999999</v>
      </c>
      <c r="C1034" s="18"/>
      <c r="D1034" s="19"/>
    </row>
    <row r="1035" spans="1:4" x14ac:dyDescent="0.3">
      <c r="A1035" s="16">
        <v>45449.050693999998</v>
      </c>
      <c r="B1035" s="17">
        <v>60.170414999999998</v>
      </c>
      <c r="C1035" s="18"/>
      <c r="D1035" s="19"/>
    </row>
    <row r="1036" spans="1:4" x14ac:dyDescent="0.3">
      <c r="A1036" s="16">
        <v>45449.051389</v>
      </c>
      <c r="B1036" s="17">
        <v>60.250264999999999</v>
      </c>
      <c r="C1036" s="18"/>
      <c r="D1036" s="19"/>
    </row>
    <row r="1037" spans="1:4" x14ac:dyDescent="0.3">
      <c r="A1037" s="16">
        <v>45449.052083000002</v>
      </c>
      <c r="B1037" s="17">
        <v>60.118516</v>
      </c>
      <c r="C1037" s="18"/>
      <c r="D1037" s="19"/>
    </row>
    <row r="1038" spans="1:4" x14ac:dyDescent="0.3">
      <c r="A1038" s="16">
        <v>45449.052777999997</v>
      </c>
      <c r="B1038" s="17">
        <v>60.484389</v>
      </c>
      <c r="C1038" s="18"/>
      <c r="D1038" s="19"/>
    </row>
    <row r="1039" spans="1:4" x14ac:dyDescent="0.3">
      <c r="A1039" s="16">
        <v>45449.053472</v>
      </c>
      <c r="B1039" s="17">
        <v>60.587048000000003</v>
      </c>
      <c r="C1039" s="18"/>
      <c r="D1039" s="19"/>
    </row>
    <row r="1040" spans="1:4" x14ac:dyDescent="0.3">
      <c r="A1040" s="16">
        <v>45449.054167000002</v>
      </c>
      <c r="B1040" s="17">
        <v>60.499684000000002</v>
      </c>
      <c r="C1040" s="18"/>
      <c r="D1040" s="19"/>
    </row>
    <row r="1041" spans="1:4" x14ac:dyDescent="0.3">
      <c r="A1041" s="16">
        <v>45449.054860999997</v>
      </c>
      <c r="B1041" s="17">
        <v>60.470739000000002</v>
      </c>
      <c r="C1041" s="18"/>
      <c r="D1041" s="19"/>
    </row>
    <row r="1042" spans="1:4" x14ac:dyDescent="0.3">
      <c r="A1042" s="16">
        <v>45449.055555999999</v>
      </c>
      <c r="B1042" s="17">
        <v>60.729422999999997</v>
      </c>
      <c r="C1042" s="18"/>
      <c r="D1042" s="19"/>
    </row>
    <row r="1043" spans="1:4" x14ac:dyDescent="0.3">
      <c r="A1043" s="16">
        <v>45449.056250000001</v>
      </c>
      <c r="B1043" s="17">
        <v>60.434818</v>
      </c>
      <c r="C1043" s="18"/>
      <c r="D1043" s="19"/>
    </row>
    <row r="1044" spans="1:4" x14ac:dyDescent="0.3">
      <c r="A1044" s="16">
        <v>45449.056944000004</v>
      </c>
      <c r="B1044" s="17">
        <v>60.546570000000003</v>
      </c>
      <c r="C1044" s="18"/>
      <c r="D1044" s="19"/>
    </row>
    <row r="1045" spans="1:4" x14ac:dyDescent="0.3">
      <c r="A1045" s="16">
        <v>45449.057638999999</v>
      </c>
      <c r="B1045" s="17">
        <v>60.434403000000003</v>
      </c>
      <c r="C1045" s="18"/>
      <c r="D1045" s="19"/>
    </row>
    <row r="1046" spans="1:4" x14ac:dyDescent="0.3">
      <c r="A1046" s="16">
        <v>45449.058333000001</v>
      </c>
      <c r="B1046" s="17">
        <v>60.681297999999998</v>
      </c>
      <c r="C1046" s="18"/>
      <c r="D1046" s="19"/>
    </row>
    <row r="1047" spans="1:4" x14ac:dyDescent="0.3">
      <c r="A1047" s="16">
        <v>45449.059028000003</v>
      </c>
      <c r="B1047" s="17">
        <v>60.296467999999997</v>
      </c>
      <c r="C1047" s="18"/>
      <c r="D1047" s="19"/>
    </row>
    <row r="1048" spans="1:4" x14ac:dyDescent="0.3">
      <c r="A1048" s="16">
        <v>45449.059721999998</v>
      </c>
      <c r="B1048" s="17">
        <v>60.429766999999998</v>
      </c>
      <c r="C1048" s="18"/>
      <c r="D1048" s="19"/>
    </row>
    <row r="1049" spans="1:4" x14ac:dyDescent="0.3">
      <c r="A1049" s="16">
        <v>45449.060417000001</v>
      </c>
      <c r="B1049" s="17">
        <v>60.213768999999999</v>
      </c>
      <c r="C1049" s="18"/>
      <c r="D1049" s="19"/>
    </row>
    <row r="1050" spans="1:4" x14ac:dyDescent="0.3">
      <c r="A1050" s="16">
        <v>45449.061111000003</v>
      </c>
      <c r="B1050" s="17">
        <v>60.232436</v>
      </c>
      <c r="C1050" s="18"/>
      <c r="D1050" s="19"/>
    </row>
    <row r="1051" spans="1:4" x14ac:dyDescent="0.3">
      <c r="A1051" s="16">
        <v>45449.061805999998</v>
      </c>
      <c r="B1051" s="17">
        <v>60.372540000000001</v>
      </c>
      <c r="C1051" s="18"/>
      <c r="D1051" s="19"/>
    </row>
    <row r="1052" spans="1:4" x14ac:dyDescent="0.3">
      <c r="A1052" s="16">
        <v>45449.0625</v>
      </c>
      <c r="B1052" s="17">
        <v>60.392249</v>
      </c>
      <c r="C1052" s="18"/>
      <c r="D1052" s="19"/>
    </row>
    <row r="1053" spans="1:4" x14ac:dyDescent="0.3">
      <c r="A1053" s="16">
        <v>45449.063194000002</v>
      </c>
      <c r="B1053" s="17">
        <v>60.451521999999997</v>
      </c>
      <c r="C1053" s="18"/>
      <c r="D1053" s="19"/>
    </row>
    <row r="1054" spans="1:4" x14ac:dyDescent="0.3">
      <c r="A1054" s="16">
        <v>45449.063888999997</v>
      </c>
      <c r="B1054" s="17">
        <v>60.656672999999998</v>
      </c>
      <c r="C1054" s="18"/>
      <c r="D1054" s="19"/>
    </row>
    <row r="1055" spans="1:4" x14ac:dyDescent="0.3">
      <c r="A1055" s="16">
        <v>45449.064582999999</v>
      </c>
      <c r="B1055" s="17">
        <v>60.554546999999999</v>
      </c>
      <c r="C1055" s="18"/>
      <c r="D1055" s="19"/>
    </row>
    <row r="1056" spans="1:4" x14ac:dyDescent="0.3">
      <c r="A1056" s="16">
        <v>45449.065278000002</v>
      </c>
      <c r="B1056" s="17">
        <v>60.371048999999999</v>
      </c>
      <c r="C1056" s="18"/>
      <c r="D1056" s="19"/>
    </row>
    <row r="1057" spans="1:4" x14ac:dyDescent="0.3">
      <c r="A1057" s="16">
        <v>45449.065971999997</v>
      </c>
      <c r="B1057" s="17">
        <v>60.397334000000001</v>
      </c>
      <c r="C1057" s="18"/>
      <c r="D1057" s="19"/>
    </row>
    <row r="1058" spans="1:4" x14ac:dyDescent="0.3">
      <c r="A1058" s="16">
        <v>45449.066666999999</v>
      </c>
      <c r="B1058" s="17">
        <v>60.318308000000002</v>
      </c>
      <c r="C1058" s="18"/>
      <c r="D1058" s="19"/>
    </row>
    <row r="1059" spans="1:4" x14ac:dyDescent="0.3">
      <c r="A1059" s="16">
        <v>45449.067361000001</v>
      </c>
      <c r="B1059" s="17">
        <v>60.426167999999997</v>
      </c>
      <c r="C1059" s="18"/>
      <c r="D1059" s="19"/>
    </row>
    <row r="1060" spans="1:4" x14ac:dyDescent="0.3">
      <c r="A1060" s="16">
        <v>45449.068055999996</v>
      </c>
      <c r="B1060" s="17">
        <v>60.495150000000002</v>
      </c>
      <c r="C1060" s="18"/>
      <c r="D1060" s="19"/>
    </row>
    <row r="1061" spans="1:4" x14ac:dyDescent="0.3">
      <c r="A1061" s="16">
        <v>45449.068749999999</v>
      </c>
      <c r="B1061" s="17">
        <v>60.431615999999998</v>
      </c>
      <c r="C1061" s="18"/>
      <c r="D1061" s="19"/>
    </row>
    <row r="1062" spans="1:4" x14ac:dyDescent="0.3">
      <c r="A1062" s="16">
        <v>45449.069444000001</v>
      </c>
      <c r="B1062" s="17">
        <v>60.250568000000001</v>
      </c>
      <c r="C1062" s="18"/>
      <c r="D1062" s="19"/>
    </row>
    <row r="1063" spans="1:4" x14ac:dyDescent="0.3">
      <c r="A1063" s="16">
        <v>45449.070139000003</v>
      </c>
      <c r="B1063" s="17">
        <v>60.591119999999997</v>
      </c>
      <c r="C1063" s="18"/>
      <c r="D1063" s="19"/>
    </row>
    <row r="1064" spans="1:4" x14ac:dyDescent="0.3">
      <c r="A1064" s="16">
        <v>45449.070832999998</v>
      </c>
      <c r="B1064" s="17">
        <v>61.736190999999998</v>
      </c>
      <c r="C1064" s="18"/>
      <c r="D1064" s="19"/>
    </row>
    <row r="1065" spans="1:4" x14ac:dyDescent="0.3">
      <c r="A1065" s="16">
        <v>45449.071528</v>
      </c>
      <c r="B1065" s="17">
        <v>62.114249000000001</v>
      </c>
      <c r="C1065" s="18"/>
      <c r="D1065" s="19"/>
    </row>
    <row r="1066" spans="1:4" x14ac:dyDescent="0.3">
      <c r="A1066" s="16">
        <v>45449.072222000003</v>
      </c>
      <c r="B1066" s="17">
        <v>62.247808999999997</v>
      </c>
      <c r="C1066" s="18"/>
      <c r="D1066" s="19"/>
    </row>
    <row r="1067" spans="1:4" x14ac:dyDescent="0.3">
      <c r="A1067" s="16">
        <v>45449.072916999998</v>
      </c>
      <c r="B1067" s="17">
        <v>62.373696000000002</v>
      </c>
      <c r="C1067" s="18"/>
      <c r="D1067" s="19"/>
    </row>
    <row r="1068" spans="1:4" x14ac:dyDescent="0.3">
      <c r="A1068" s="16">
        <v>45449.073611</v>
      </c>
      <c r="B1068" s="17">
        <v>62.293453999999997</v>
      </c>
      <c r="C1068" s="18"/>
      <c r="D1068" s="19"/>
    </row>
    <row r="1069" spans="1:4" x14ac:dyDescent="0.3">
      <c r="A1069" s="16">
        <v>45449.074306000002</v>
      </c>
      <c r="B1069" s="17">
        <v>62.252679999999998</v>
      </c>
      <c r="C1069" s="18"/>
      <c r="D1069" s="19"/>
    </row>
    <row r="1070" spans="1:4" x14ac:dyDescent="0.3">
      <c r="A1070" s="16">
        <v>45449.074999999997</v>
      </c>
      <c r="B1070" s="17">
        <v>62.162090999999997</v>
      </c>
      <c r="C1070" s="18"/>
      <c r="D1070" s="19"/>
    </row>
    <row r="1071" spans="1:4" x14ac:dyDescent="0.3">
      <c r="A1071" s="16">
        <v>45449.075693999999</v>
      </c>
      <c r="B1071" s="17">
        <v>62.310837999999997</v>
      </c>
      <c r="C1071" s="18"/>
      <c r="D1071" s="19"/>
    </row>
    <row r="1072" spans="1:4" x14ac:dyDescent="0.3">
      <c r="A1072" s="16">
        <v>45449.076389000002</v>
      </c>
      <c r="B1072" s="17">
        <v>62.155394999999999</v>
      </c>
      <c r="C1072" s="18"/>
      <c r="D1072" s="19"/>
    </row>
    <row r="1073" spans="1:4" x14ac:dyDescent="0.3">
      <c r="A1073" s="16">
        <v>45449.077082999996</v>
      </c>
      <c r="B1073" s="17">
        <v>62.475585000000002</v>
      </c>
      <c r="C1073" s="18"/>
      <c r="D1073" s="19"/>
    </row>
    <row r="1074" spans="1:4" x14ac:dyDescent="0.3">
      <c r="A1074" s="16">
        <v>45449.077777999999</v>
      </c>
      <c r="B1074" s="17">
        <v>62.204740999999999</v>
      </c>
      <c r="C1074" s="18"/>
      <c r="D1074" s="19"/>
    </row>
    <row r="1075" spans="1:4" x14ac:dyDescent="0.3">
      <c r="A1075" s="16">
        <v>45449.078472000001</v>
      </c>
      <c r="B1075" s="17">
        <v>62.254722000000001</v>
      </c>
      <c r="C1075" s="18"/>
      <c r="D1075" s="19"/>
    </row>
    <row r="1076" spans="1:4" x14ac:dyDescent="0.3">
      <c r="A1076" s="16">
        <v>45449.079167000004</v>
      </c>
      <c r="B1076" s="17">
        <v>62.367271000000002</v>
      </c>
      <c r="C1076" s="18"/>
      <c r="D1076" s="19"/>
    </row>
    <row r="1077" spans="1:4" x14ac:dyDescent="0.3">
      <c r="A1077" s="16">
        <v>45449.079860999998</v>
      </c>
      <c r="B1077" s="17">
        <v>62.090076000000003</v>
      </c>
      <c r="C1077" s="18"/>
      <c r="D1077" s="19"/>
    </row>
    <row r="1078" spans="1:4" x14ac:dyDescent="0.3">
      <c r="A1078" s="16">
        <v>45449.080556000001</v>
      </c>
      <c r="B1078" s="17">
        <v>62.345599999999997</v>
      </c>
      <c r="C1078" s="18"/>
      <c r="D1078" s="19"/>
    </row>
    <row r="1079" spans="1:4" x14ac:dyDescent="0.3">
      <c r="A1079" s="16">
        <v>45449.081250000003</v>
      </c>
      <c r="B1079" s="17">
        <v>62.295707</v>
      </c>
      <c r="C1079" s="18"/>
      <c r="D1079" s="19"/>
    </row>
    <row r="1080" spans="1:4" x14ac:dyDescent="0.3">
      <c r="A1080" s="16">
        <v>45449.081943999998</v>
      </c>
      <c r="B1080" s="17">
        <v>62.277670999999998</v>
      </c>
      <c r="C1080" s="18"/>
      <c r="D1080" s="19"/>
    </row>
    <row r="1081" spans="1:4" x14ac:dyDescent="0.3">
      <c r="A1081" s="16">
        <v>45449.082639</v>
      </c>
      <c r="B1081" s="17">
        <v>62.071651000000003</v>
      </c>
      <c r="C1081" s="18"/>
      <c r="D1081" s="19"/>
    </row>
    <row r="1082" spans="1:4" x14ac:dyDescent="0.3">
      <c r="A1082" s="16">
        <v>45449.083333000002</v>
      </c>
      <c r="B1082" s="17">
        <v>61.909948</v>
      </c>
      <c r="C1082" s="18"/>
      <c r="D1082" s="19"/>
    </row>
    <row r="1083" spans="1:4" x14ac:dyDescent="0.3">
      <c r="A1083" s="16">
        <v>45449.084027999997</v>
      </c>
      <c r="B1083" s="17">
        <v>62.190517999999997</v>
      </c>
      <c r="C1083" s="18"/>
      <c r="D1083" s="19"/>
    </row>
    <row r="1084" spans="1:4" x14ac:dyDescent="0.3">
      <c r="A1084" s="16">
        <v>45449.084722</v>
      </c>
      <c r="B1084" s="17">
        <v>61.920777000000001</v>
      </c>
      <c r="C1084" s="18"/>
      <c r="D1084" s="19"/>
    </row>
    <row r="1085" spans="1:4" x14ac:dyDescent="0.3">
      <c r="A1085" s="16">
        <v>45449.085417000002</v>
      </c>
      <c r="B1085" s="17">
        <v>62.075961999999997</v>
      </c>
      <c r="C1085" s="18"/>
      <c r="D1085" s="19"/>
    </row>
    <row r="1086" spans="1:4" x14ac:dyDescent="0.3">
      <c r="A1086" s="16">
        <v>45449.086110999997</v>
      </c>
      <c r="B1086" s="17">
        <v>62.243020999999999</v>
      </c>
      <c r="C1086" s="18"/>
      <c r="D1086" s="19"/>
    </row>
    <row r="1087" spans="1:4" x14ac:dyDescent="0.3">
      <c r="A1087" s="16">
        <v>45449.086805999999</v>
      </c>
      <c r="B1087" s="17">
        <v>61.937801999999998</v>
      </c>
      <c r="C1087" s="18"/>
      <c r="D1087" s="19"/>
    </row>
    <row r="1088" spans="1:4" x14ac:dyDescent="0.3">
      <c r="A1088" s="16">
        <v>45449.087500000001</v>
      </c>
      <c r="B1088" s="17">
        <v>61.998032000000002</v>
      </c>
      <c r="C1088" s="18"/>
      <c r="D1088" s="19"/>
    </row>
    <row r="1089" spans="1:4" x14ac:dyDescent="0.3">
      <c r="A1089" s="16">
        <v>45449.088194000004</v>
      </c>
      <c r="B1089" s="17">
        <v>61.820765000000002</v>
      </c>
      <c r="C1089" s="18"/>
      <c r="D1089" s="19"/>
    </row>
    <row r="1090" spans="1:4" x14ac:dyDescent="0.3">
      <c r="A1090" s="16">
        <v>45449.088888999999</v>
      </c>
      <c r="B1090" s="17">
        <v>62.034897000000001</v>
      </c>
      <c r="C1090" s="18"/>
      <c r="D1090" s="19"/>
    </row>
    <row r="1091" spans="1:4" x14ac:dyDescent="0.3">
      <c r="A1091" s="16">
        <v>45449.089583000001</v>
      </c>
      <c r="B1091" s="17">
        <v>61.964148000000002</v>
      </c>
      <c r="C1091" s="18"/>
      <c r="D1091" s="19"/>
    </row>
    <row r="1092" spans="1:4" x14ac:dyDescent="0.3">
      <c r="A1092" s="16">
        <v>45449.090278000003</v>
      </c>
      <c r="B1092" s="17">
        <v>62.257323</v>
      </c>
      <c r="C1092" s="18"/>
      <c r="D1092" s="19"/>
    </row>
    <row r="1093" spans="1:4" x14ac:dyDescent="0.3">
      <c r="A1093" s="16">
        <v>45449.090971999998</v>
      </c>
      <c r="B1093" s="17">
        <v>62.150022</v>
      </c>
      <c r="C1093" s="18"/>
      <c r="D1093" s="19"/>
    </row>
    <row r="1094" spans="1:4" x14ac:dyDescent="0.3">
      <c r="A1094" s="16">
        <v>45449.091667000001</v>
      </c>
      <c r="B1094" s="17">
        <v>62.13447</v>
      </c>
      <c r="C1094" s="18"/>
      <c r="D1094" s="19"/>
    </row>
    <row r="1095" spans="1:4" x14ac:dyDescent="0.3">
      <c r="A1095" s="16">
        <v>45449.092361000003</v>
      </c>
      <c r="B1095" s="17">
        <v>61.681207999999998</v>
      </c>
      <c r="C1095" s="18"/>
      <c r="D1095" s="19"/>
    </row>
    <row r="1096" spans="1:4" x14ac:dyDescent="0.3">
      <c r="A1096" s="16">
        <v>45449.093055999998</v>
      </c>
      <c r="B1096" s="17">
        <v>62.028047999999998</v>
      </c>
      <c r="C1096" s="18"/>
      <c r="D1096" s="19"/>
    </row>
    <row r="1097" spans="1:4" x14ac:dyDescent="0.3">
      <c r="A1097" s="16">
        <v>45449.09375</v>
      </c>
      <c r="B1097" s="17">
        <v>62.018230000000003</v>
      </c>
      <c r="C1097" s="18"/>
      <c r="D1097" s="19"/>
    </row>
    <row r="1098" spans="1:4" x14ac:dyDescent="0.3">
      <c r="A1098" s="16">
        <v>45449.094444000002</v>
      </c>
      <c r="B1098" s="17">
        <v>61.793498999999997</v>
      </c>
      <c r="C1098" s="18"/>
      <c r="D1098" s="19"/>
    </row>
    <row r="1099" spans="1:4" x14ac:dyDescent="0.3">
      <c r="A1099" s="16">
        <v>45449.095138999997</v>
      </c>
      <c r="B1099" s="17">
        <v>61.859622000000002</v>
      </c>
      <c r="C1099" s="18"/>
      <c r="D1099" s="19"/>
    </row>
    <row r="1100" spans="1:4" x14ac:dyDescent="0.3">
      <c r="A1100" s="16">
        <v>45449.095832999999</v>
      </c>
      <c r="B1100" s="17">
        <v>61.856625000000001</v>
      </c>
      <c r="C1100" s="18"/>
      <c r="D1100" s="19"/>
    </row>
    <row r="1101" spans="1:4" x14ac:dyDescent="0.3">
      <c r="A1101" s="16">
        <v>45449.096528000002</v>
      </c>
      <c r="B1101" s="17">
        <v>61.891969000000003</v>
      </c>
      <c r="C1101" s="18"/>
      <c r="D1101" s="19"/>
    </row>
    <row r="1102" spans="1:4" x14ac:dyDescent="0.3">
      <c r="A1102" s="16">
        <v>45449.097221999997</v>
      </c>
      <c r="B1102" s="17">
        <v>61.912436</v>
      </c>
      <c r="C1102" s="18"/>
      <c r="D1102" s="19"/>
    </row>
    <row r="1103" spans="1:4" x14ac:dyDescent="0.3">
      <c r="A1103" s="16">
        <v>45449.097916999999</v>
      </c>
      <c r="B1103" s="17">
        <v>61.756915999999997</v>
      </c>
      <c r="C1103" s="18"/>
      <c r="D1103" s="19"/>
    </row>
    <row r="1104" spans="1:4" x14ac:dyDescent="0.3">
      <c r="A1104" s="16">
        <v>45449.098611000001</v>
      </c>
      <c r="B1104" s="17">
        <v>61.726551999999998</v>
      </c>
      <c r="C1104" s="18"/>
      <c r="D1104" s="19"/>
    </row>
    <row r="1105" spans="1:4" x14ac:dyDescent="0.3">
      <c r="A1105" s="16">
        <v>45449.099305999996</v>
      </c>
      <c r="B1105" s="17">
        <v>61.906193999999999</v>
      </c>
      <c r="C1105" s="18"/>
      <c r="D1105" s="19"/>
    </row>
    <row r="1106" spans="1:4" x14ac:dyDescent="0.3">
      <c r="A1106" s="16">
        <v>45449.1</v>
      </c>
      <c r="B1106" s="17">
        <v>61.978405000000002</v>
      </c>
      <c r="C1106" s="18"/>
      <c r="D1106" s="19"/>
    </row>
    <row r="1107" spans="1:4" x14ac:dyDescent="0.3">
      <c r="A1107" s="16">
        <v>45449.100694000001</v>
      </c>
      <c r="B1107" s="17">
        <v>61.732683999999999</v>
      </c>
      <c r="C1107" s="18"/>
      <c r="D1107" s="19"/>
    </row>
    <row r="1108" spans="1:4" x14ac:dyDescent="0.3">
      <c r="A1108" s="16">
        <v>45449.101389000003</v>
      </c>
      <c r="B1108" s="17">
        <v>61.473776000000001</v>
      </c>
      <c r="C1108" s="18"/>
      <c r="D1108" s="19"/>
    </row>
    <row r="1109" spans="1:4" x14ac:dyDescent="0.3">
      <c r="A1109" s="16">
        <v>45449.102082999998</v>
      </c>
      <c r="B1109" s="17">
        <v>61.945346000000001</v>
      </c>
      <c r="C1109" s="18"/>
      <c r="D1109" s="19"/>
    </row>
    <row r="1110" spans="1:4" x14ac:dyDescent="0.3">
      <c r="A1110" s="16">
        <v>45449.102778</v>
      </c>
      <c r="B1110" s="17">
        <v>61.706811999999999</v>
      </c>
      <c r="C1110" s="18"/>
      <c r="D1110" s="19"/>
    </row>
    <row r="1111" spans="1:4" x14ac:dyDescent="0.3">
      <c r="A1111" s="16">
        <v>45449.103472000003</v>
      </c>
      <c r="B1111" s="17">
        <v>61.726849999999999</v>
      </c>
      <c r="C1111" s="18"/>
      <c r="D1111" s="19"/>
    </row>
    <row r="1112" spans="1:4" x14ac:dyDescent="0.3">
      <c r="A1112" s="16">
        <v>45449.104166999998</v>
      </c>
      <c r="B1112" s="17">
        <v>61.645648999999999</v>
      </c>
      <c r="C1112" s="18"/>
      <c r="D1112" s="19"/>
    </row>
    <row r="1113" spans="1:4" x14ac:dyDescent="0.3">
      <c r="A1113" s="16">
        <v>45449.104861</v>
      </c>
      <c r="B1113" s="17">
        <v>61.715694999999997</v>
      </c>
      <c r="C1113" s="18"/>
      <c r="D1113" s="19"/>
    </row>
    <row r="1114" spans="1:4" x14ac:dyDescent="0.3">
      <c r="A1114" s="16">
        <v>45449.105556000002</v>
      </c>
      <c r="B1114" s="17">
        <v>61.777064000000003</v>
      </c>
      <c r="C1114" s="18"/>
      <c r="D1114" s="19"/>
    </row>
    <row r="1115" spans="1:4" x14ac:dyDescent="0.3">
      <c r="A1115" s="16">
        <v>45449.106249999997</v>
      </c>
      <c r="B1115" s="17">
        <v>61.760323</v>
      </c>
      <c r="C1115" s="18"/>
      <c r="D1115" s="19"/>
    </row>
    <row r="1116" spans="1:4" x14ac:dyDescent="0.3">
      <c r="A1116" s="16">
        <v>45449.106943999999</v>
      </c>
      <c r="B1116" s="17">
        <v>61.489139999999999</v>
      </c>
      <c r="C1116" s="18"/>
      <c r="D1116" s="19"/>
    </row>
    <row r="1117" spans="1:4" x14ac:dyDescent="0.3">
      <c r="A1117" s="16">
        <v>45449.107639000002</v>
      </c>
      <c r="B1117" s="17">
        <v>61.714333000000003</v>
      </c>
      <c r="C1117" s="18"/>
      <c r="D1117" s="19"/>
    </row>
    <row r="1118" spans="1:4" x14ac:dyDescent="0.3">
      <c r="A1118" s="16">
        <v>45449.108332999996</v>
      </c>
      <c r="B1118" s="17">
        <v>61.584629</v>
      </c>
      <c r="C1118" s="18"/>
      <c r="D1118" s="19"/>
    </row>
    <row r="1119" spans="1:4" x14ac:dyDescent="0.3">
      <c r="A1119" s="16">
        <v>45449.109027999999</v>
      </c>
      <c r="B1119" s="17">
        <v>61.532068000000002</v>
      </c>
      <c r="C1119" s="18"/>
      <c r="D1119" s="19"/>
    </row>
    <row r="1120" spans="1:4" x14ac:dyDescent="0.3">
      <c r="A1120" s="16">
        <v>45449.109722000001</v>
      </c>
      <c r="B1120" s="17">
        <v>61.814050999999999</v>
      </c>
      <c r="C1120" s="18"/>
      <c r="D1120" s="19"/>
    </row>
    <row r="1121" spans="1:4" x14ac:dyDescent="0.3">
      <c r="A1121" s="16">
        <v>45449.110417000004</v>
      </c>
      <c r="B1121" s="17">
        <v>61.413015999999999</v>
      </c>
      <c r="C1121" s="18"/>
      <c r="D1121" s="19"/>
    </row>
    <row r="1122" spans="1:4" x14ac:dyDescent="0.3">
      <c r="A1122" s="16">
        <v>45449.111110999998</v>
      </c>
      <c r="B1122" s="17">
        <v>61.638446000000002</v>
      </c>
      <c r="C1122" s="18"/>
      <c r="D1122" s="19"/>
    </row>
    <row r="1123" spans="1:4" x14ac:dyDescent="0.3">
      <c r="A1123" s="16">
        <v>45449.111806000001</v>
      </c>
      <c r="B1123" s="17">
        <v>61.532260999999998</v>
      </c>
      <c r="C1123" s="18"/>
      <c r="D1123" s="19"/>
    </row>
    <row r="1124" spans="1:4" x14ac:dyDescent="0.3">
      <c r="A1124" s="16">
        <v>45449.112500000003</v>
      </c>
      <c r="B1124" s="17">
        <v>61.387951999999999</v>
      </c>
      <c r="C1124" s="18"/>
      <c r="D1124" s="19"/>
    </row>
    <row r="1125" spans="1:4" x14ac:dyDescent="0.3">
      <c r="A1125" s="16">
        <v>45449.113193999998</v>
      </c>
      <c r="B1125" s="17">
        <v>61.667296</v>
      </c>
      <c r="C1125" s="18"/>
      <c r="D1125" s="19"/>
    </row>
    <row r="1126" spans="1:4" x14ac:dyDescent="0.3">
      <c r="A1126" s="16">
        <v>45449.113889</v>
      </c>
      <c r="B1126" s="17">
        <v>61.591715000000001</v>
      </c>
      <c r="C1126" s="18"/>
      <c r="D1126" s="19"/>
    </row>
    <row r="1127" spans="1:4" x14ac:dyDescent="0.3">
      <c r="A1127" s="16">
        <v>45449.114583000002</v>
      </c>
      <c r="B1127" s="17">
        <v>61.518746</v>
      </c>
      <c r="C1127" s="18"/>
      <c r="D1127" s="19"/>
    </row>
    <row r="1128" spans="1:4" x14ac:dyDescent="0.3">
      <c r="A1128" s="16">
        <v>45449.115277999997</v>
      </c>
      <c r="B1128" s="17">
        <v>61.650706</v>
      </c>
      <c r="C1128" s="18"/>
      <c r="D1128" s="19"/>
    </row>
    <row r="1129" spans="1:4" x14ac:dyDescent="0.3">
      <c r="A1129" s="16">
        <v>45449.115972</v>
      </c>
      <c r="B1129" s="17">
        <v>61.291623000000001</v>
      </c>
      <c r="C1129" s="18"/>
      <c r="D1129" s="19"/>
    </row>
    <row r="1130" spans="1:4" x14ac:dyDescent="0.3">
      <c r="A1130" s="16">
        <v>45449.116667000002</v>
      </c>
      <c r="B1130" s="17">
        <v>61.716552999999998</v>
      </c>
      <c r="C1130" s="18"/>
      <c r="D1130" s="19"/>
    </row>
    <row r="1131" spans="1:4" x14ac:dyDescent="0.3">
      <c r="A1131" s="16">
        <v>45449.117360999997</v>
      </c>
      <c r="B1131" s="17">
        <v>61.634380999999998</v>
      </c>
      <c r="C1131" s="18"/>
      <c r="D1131" s="19"/>
    </row>
    <row r="1132" spans="1:4" x14ac:dyDescent="0.3">
      <c r="A1132" s="16">
        <v>45449.118055999999</v>
      </c>
      <c r="B1132" s="17">
        <v>61.516001000000003</v>
      </c>
      <c r="C1132" s="18"/>
      <c r="D1132" s="19"/>
    </row>
    <row r="1133" spans="1:4" x14ac:dyDescent="0.3">
      <c r="A1133" s="16">
        <v>45449.118750000001</v>
      </c>
      <c r="B1133" s="17">
        <v>61.330072999999999</v>
      </c>
      <c r="C1133" s="18"/>
      <c r="D1133" s="19"/>
    </row>
    <row r="1134" spans="1:4" x14ac:dyDescent="0.3">
      <c r="A1134" s="16">
        <v>45449.119444000004</v>
      </c>
      <c r="B1134" s="17">
        <v>61.447279999999999</v>
      </c>
      <c r="C1134" s="18"/>
      <c r="D1134" s="19"/>
    </row>
    <row r="1135" spans="1:4" x14ac:dyDescent="0.3">
      <c r="A1135" s="16">
        <v>45449.120138999999</v>
      </c>
      <c r="B1135" s="17">
        <v>61.537002999999999</v>
      </c>
      <c r="C1135" s="18"/>
      <c r="D1135" s="19"/>
    </row>
    <row r="1136" spans="1:4" x14ac:dyDescent="0.3">
      <c r="A1136" s="16">
        <v>45449.120833000001</v>
      </c>
      <c r="B1136" s="17">
        <v>61.384681</v>
      </c>
      <c r="C1136" s="18"/>
      <c r="D1136" s="19"/>
    </row>
    <row r="1137" spans="1:4" x14ac:dyDescent="0.3">
      <c r="A1137" s="16">
        <v>45449.121528000003</v>
      </c>
      <c r="B1137" s="17">
        <v>61.394454000000003</v>
      </c>
      <c r="C1137" s="18"/>
      <c r="D1137" s="19"/>
    </row>
    <row r="1138" spans="1:4" x14ac:dyDescent="0.3">
      <c r="A1138" s="16">
        <v>45449.122221999998</v>
      </c>
      <c r="B1138" s="17">
        <v>61.477196999999997</v>
      </c>
      <c r="C1138" s="18"/>
      <c r="D1138" s="19"/>
    </row>
    <row r="1139" spans="1:4" x14ac:dyDescent="0.3">
      <c r="A1139" s="16">
        <v>45449.122917000001</v>
      </c>
      <c r="B1139" s="17">
        <v>61.433937999999998</v>
      </c>
      <c r="C1139" s="18"/>
      <c r="D1139" s="19"/>
    </row>
    <row r="1140" spans="1:4" x14ac:dyDescent="0.3">
      <c r="A1140" s="16">
        <v>45449.123611000003</v>
      </c>
      <c r="B1140" s="17">
        <v>61.212384999999998</v>
      </c>
      <c r="C1140" s="18"/>
      <c r="D1140" s="19"/>
    </row>
    <row r="1141" spans="1:4" x14ac:dyDescent="0.3">
      <c r="A1141" s="16">
        <v>45449.124305999998</v>
      </c>
      <c r="B1141" s="17">
        <v>61.642048000000003</v>
      </c>
      <c r="C1141" s="18"/>
      <c r="D1141" s="19"/>
    </row>
    <row r="1142" spans="1:4" x14ac:dyDescent="0.3">
      <c r="A1142" s="16">
        <v>45449.125</v>
      </c>
      <c r="B1142" s="17">
        <v>61.635385999999997</v>
      </c>
      <c r="C1142" s="18"/>
      <c r="D1142" s="19"/>
    </row>
    <row r="1143" spans="1:4" x14ac:dyDescent="0.3">
      <c r="A1143" s="16">
        <v>45449.125694000002</v>
      </c>
      <c r="B1143" s="17">
        <v>61.680632000000003</v>
      </c>
      <c r="C1143" s="18"/>
      <c r="D1143" s="19"/>
    </row>
    <row r="1144" spans="1:4" x14ac:dyDescent="0.3">
      <c r="A1144" s="16">
        <v>45449.126388999997</v>
      </c>
      <c r="B1144" s="17">
        <v>61.276843999999997</v>
      </c>
      <c r="C1144" s="18"/>
      <c r="D1144" s="19"/>
    </row>
    <row r="1145" spans="1:4" x14ac:dyDescent="0.3">
      <c r="A1145" s="16">
        <v>45449.127082999999</v>
      </c>
      <c r="B1145" s="17">
        <v>61.462305999999998</v>
      </c>
      <c r="C1145" s="18"/>
      <c r="D1145" s="19"/>
    </row>
    <row r="1146" spans="1:4" x14ac:dyDescent="0.3">
      <c r="A1146" s="16">
        <v>45449.127778000002</v>
      </c>
      <c r="B1146" s="17">
        <v>61.284638999999999</v>
      </c>
      <c r="C1146" s="18"/>
      <c r="D1146" s="19"/>
    </row>
    <row r="1147" spans="1:4" x14ac:dyDescent="0.3">
      <c r="A1147" s="16">
        <v>45449.128471999997</v>
      </c>
      <c r="B1147" s="17">
        <v>61.393265</v>
      </c>
      <c r="C1147" s="18"/>
      <c r="D1147" s="19"/>
    </row>
    <row r="1148" spans="1:4" x14ac:dyDescent="0.3">
      <c r="A1148" s="16">
        <v>45449.129166999999</v>
      </c>
      <c r="B1148" s="17">
        <v>61.328808000000002</v>
      </c>
      <c r="C1148" s="18"/>
      <c r="D1148" s="19"/>
    </row>
    <row r="1149" spans="1:4" x14ac:dyDescent="0.3">
      <c r="A1149" s="16">
        <v>45449.129861000001</v>
      </c>
      <c r="B1149" s="17">
        <v>61.480761999999999</v>
      </c>
      <c r="C1149" s="18"/>
      <c r="D1149" s="19"/>
    </row>
    <row r="1150" spans="1:4" x14ac:dyDescent="0.3">
      <c r="A1150" s="16">
        <v>45449.130555999996</v>
      </c>
      <c r="B1150" s="17">
        <v>61.239272</v>
      </c>
      <c r="C1150" s="18"/>
      <c r="D1150" s="19"/>
    </row>
    <row r="1151" spans="1:4" x14ac:dyDescent="0.3">
      <c r="A1151" s="16">
        <v>45449.131249999999</v>
      </c>
      <c r="B1151" s="17">
        <v>61.197333</v>
      </c>
      <c r="C1151" s="18"/>
      <c r="D1151" s="19"/>
    </row>
    <row r="1152" spans="1:4" x14ac:dyDescent="0.3">
      <c r="A1152" s="16">
        <v>45449.131944000001</v>
      </c>
      <c r="B1152" s="17">
        <v>61.341334000000003</v>
      </c>
      <c r="C1152" s="18"/>
      <c r="D1152" s="19"/>
    </row>
    <row r="1153" spans="1:4" x14ac:dyDescent="0.3">
      <c r="A1153" s="16">
        <v>45449.132639000003</v>
      </c>
      <c r="B1153" s="17">
        <v>61.162258000000001</v>
      </c>
      <c r="C1153" s="18"/>
      <c r="D1153" s="19"/>
    </row>
    <row r="1154" spans="1:4" x14ac:dyDescent="0.3">
      <c r="A1154" s="16">
        <v>45449.133332999998</v>
      </c>
      <c r="B1154" s="17">
        <v>61.436464999999998</v>
      </c>
      <c r="C1154" s="18"/>
      <c r="D1154" s="19"/>
    </row>
    <row r="1155" spans="1:4" x14ac:dyDescent="0.3">
      <c r="A1155" s="16">
        <v>45449.134028</v>
      </c>
      <c r="B1155" s="17">
        <v>61.570008000000001</v>
      </c>
      <c r="C1155" s="18"/>
      <c r="D1155" s="19"/>
    </row>
    <row r="1156" spans="1:4" x14ac:dyDescent="0.3">
      <c r="A1156" s="16">
        <v>45449.134722000003</v>
      </c>
      <c r="B1156" s="17">
        <v>61.039816000000002</v>
      </c>
      <c r="C1156" s="18"/>
      <c r="D1156" s="19"/>
    </row>
    <row r="1157" spans="1:4" x14ac:dyDescent="0.3">
      <c r="A1157" s="16">
        <v>45449.135416999998</v>
      </c>
      <c r="B1157" s="17">
        <v>60.983468999999999</v>
      </c>
      <c r="C1157" s="18"/>
      <c r="D1157" s="19"/>
    </row>
    <row r="1158" spans="1:4" x14ac:dyDescent="0.3">
      <c r="A1158" s="16">
        <v>45449.136111</v>
      </c>
      <c r="B1158" s="17">
        <v>61.254285000000003</v>
      </c>
      <c r="C1158" s="18"/>
      <c r="D1158" s="19"/>
    </row>
    <row r="1159" spans="1:4" x14ac:dyDescent="0.3">
      <c r="A1159" s="16">
        <v>45449.136806000002</v>
      </c>
      <c r="B1159" s="17">
        <v>61.153331999999999</v>
      </c>
      <c r="C1159" s="18"/>
      <c r="D1159" s="19"/>
    </row>
    <row r="1160" spans="1:4" x14ac:dyDescent="0.3">
      <c r="A1160" s="16">
        <v>45449.137499999997</v>
      </c>
      <c r="B1160" s="17">
        <v>61.351998000000002</v>
      </c>
      <c r="C1160" s="18"/>
      <c r="D1160" s="19"/>
    </row>
    <row r="1161" spans="1:4" x14ac:dyDescent="0.3">
      <c r="A1161" s="16">
        <v>45449.138193999999</v>
      </c>
      <c r="B1161" s="17">
        <v>60.985128000000003</v>
      </c>
      <c r="C1161" s="18"/>
      <c r="D1161" s="19"/>
    </row>
    <row r="1162" spans="1:4" x14ac:dyDescent="0.3">
      <c r="A1162" s="16">
        <v>45449.138889000002</v>
      </c>
      <c r="B1162" s="17">
        <v>61.415233000000001</v>
      </c>
      <c r="C1162" s="18"/>
      <c r="D1162" s="19"/>
    </row>
    <row r="1163" spans="1:4" x14ac:dyDescent="0.3">
      <c r="A1163" s="16">
        <v>45449.139582999996</v>
      </c>
      <c r="B1163" s="17">
        <v>61.118729000000002</v>
      </c>
      <c r="C1163" s="18"/>
      <c r="D1163" s="19"/>
    </row>
    <row r="1164" spans="1:4" x14ac:dyDescent="0.3">
      <c r="A1164" s="16">
        <v>45449.140277999999</v>
      </c>
      <c r="B1164" s="17">
        <v>61.240040999999998</v>
      </c>
      <c r="C1164" s="18"/>
      <c r="D1164" s="19"/>
    </row>
    <row r="1165" spans="1:4" x14ac:dyDescent="0.3">
      <c r="A1165" s="16">
        <v>45449.140972000001</v>
      </c>
      <c r="B1165" s="17">
        <v>61.243274</v>
      </c>
      <c r="C1165" s="18"/>
      <c r="D1165" s="19"/>
    </row>
    <row r="1166" spans="1:4" x14ac:dyDescent="0.3">
      <c r="A1166" s="16">
        <v>45449.141667000004</v>
      </c>
      <c r="B1166" s="17">
        <v>61.318432000000001</v>
      </c>
      <c r="C1166" s="18"/>
      <c r="D1166" s="19"/>
    </row>
    <row r="1167" spans="1:4" x14ac:dyDescent="0.3">
      <c r="A1167" s="16">
        <v>45449.142360999998</v>
      </c>
      <c r="B1167" s="17">
        <v>61.036937999999999</v>
      </c>
      <c r="C1167" s="18"/>
      <c r="D1167" s="19"/>
    </row>
    <row r="1168" spans="1:4" x14ac:dyDescent="0.3">
      <c r="A1168" s="16">
        <v>45449.143056000001</v>
      </c>
      <c r="B1168" s="17">
        <v>61.148159</v>
      </c>
      <c r="C1168" s="18"/>
      <c r="D1168" s="19"/>
    </row>
    <row r="1169" spans="1:4" x14ac:dyDescent="0.3">
      <c r="A1169" s="16">
        <v>45449.143750000003</v>
      </c>
      <c r="B1169" s="17">
        <v>61.085984000000003</v>
      </c>
      <c r="C1169" s="18"/>
      <c r="D1169" s="19"/>
    </row>
    <row r="1170" spans="1:4" x14ac:dyDescent="0.3">
      <c r="A1170" s="16">
        <v>45449.144443999998</v>
      </c>
      <c r="B1170" s="17">
        <v>61.019004000000002</v>
      </c>
      <c r="C1170" s="18"/>
      <c r="D1170" s="19"/>
    </row>
    <row r="1171" spans="1:4" x14ac:dyDescent="0.3">
      <c r="A1171" s="16">
        <v>45449.145139</v>
      </c>
      <c r="B1171" s="17">
        <v>61.395493000000002</v>
      </c>
      <c r="C1171" s="18"/>
      <c r="D1171" s="19"/>
    </row>
    <row r="1172" spans="1:4" x14ac:dyDescent="0.3">
      <c r="A1172" s="16">
        <v>45449.145833000002</v>
      </c>
      <c r="B1172" s="17">
        <v>60.910597000000003</v>
      </c>
      <c r="C1172" s="18"/>
      <c r="D1172" s="19"/>
    </row>
    <row r="1173" spans="1:4" x14ac:dyDescent="0.3">
      <c r="A1173" s="16">
        <v>45449.146527999997</v>
      </c>
      <c r="B1173" s="17">
        <v>61.186338999999997</v>
      </c>
      <c r="C1173" s="18"/>
      <c r="D1173" s="19"/>
    </row>
    <row r="1174" spans="1:4" x14ac:dyDescent="0.3">
      <c r="A1174" s="16">
        <v>45449.147222</v>
      </c>
      <c r="B1174" s="17">
        <v>60.771813999999999</v>
      </c>
      <c r="C1174" s="18"/>
      <c r="D1174" s="19"/>
    </row>
    <row r="1175" spans="1:4" x14ac:dyDescent="0.3">
      <c r="A1175" s="16">
        <v>45449.147917000002</v>
      </c>
      <c r="B1175" s="17">
        <v>61.182786</v>
      </c>
      <c r="C1175" s="18"/>
      <c r="D1175" s="19"/>
    </row>
    <row r="1176" spans="1:4" x14ac:dyDescent="0.3">
      <c r="A1176" s="16">
        <v>45449.148610999997</v>
      </c>
      <c r="B1176" s="17">
        <v>61.166609999999999</v>
      </c>
      <c r="C1176" s="18"/>
      <c r="D1176" s="19"/>
    </row>
    <row r="1177" spans="1:4" x14ac:dyDescent="0.3">
      <c r="A1177" s="16">
        <v>45449.149305999999</v>
      </c>
      <c r="B1177" s="17">
        <v>61.077536000000002</v>
      </c>
      <c r="C1177" s="18"/>
      <c r="D1177" s="19"/>
    </row>
    <row r="1178" spans="1:4" x14ac:dyDescent="0.3">
      <c r="A1178" s="16">
        <v>45449.15</v>
      </c>
      <c r="B1178" s="17">
        <v>61.159422999999997</v>
      </c>
      <c r="C1178" s="18"/>
      <c r="D1178" s="19"/>
    </row>
    <row r="1179" spans="1:4" x14ac:dyDescent="0.3">
      <c r="A1179" s="16">
        <v>45449.150694000004</v>
      </c>
      <c r="B1179" s="17">
        <v>61.171908999999999</v>
      </c>
      <c r="C1179" s="18"/>
      <c r="D1179" s="19"/>
    </row>
    <row r="1180" spans="1:4" x14ac:dyDescent="0.3">
      <c r="A1180" s="16">
        <v>45449.151388999999</v>
      </c>
      <c r="B1180" s="17">
        <v>61.188983</v>
      </c>
      <c r="C1180" s="18"/>
      <c r="D1180" s="19"/>
    </row>
    <row r="1181" spans="1:4" x14ac:dyDescent="0.3">
      <c r="A1181" s="16">
        <v>45449.152083000001</v>
      </c>
      <c r="B1181" s="17">
        <v>61.118470000000002</v>
      </c>
      <c r="C1181" s="18"/>
      <c r="D1181" s="19"/>
    </row>
    <row r="1182" spans="1:4" x14ac:dyDescent="0.3">
      <c r="A1182" s="16">
        <v>45449.152778000003</v>
      </c>
      <c r="B1182" s="17">
        <v>61.046120999999999</v>
      </c>
      <c r="C1182" s="18"/>
      <c r="D1182" s="19"/>
    </row>
    <row r="1183" spans="1:4" x14ac:dyDescent="0.3">
      <c r="A1183" s="16">
        <v>45449.153471999998</v>
      </c>
      <c r="B1183" s="17">
        <v>60.873246000000002</v>
      </c>
      <c r="C1183" s="18"/>
      <c r="D1183" s="19"/>
    </row>
    <row r="1184" spans="1:4" x14ac:dyDescent="0.3">
      <c r="A1184" s="16">
        <v>45449.154167000001</v>
      </c>
      <c r="B1184" s="17">
        <v>63.034160999999997</v>
      </c>
      <c r="C1184" s="18"/>
      <c r="D1184" s="19"/>
    </row>
    <row r="1185" spans="1:4" x14ac:dyDescent="0.3">
      <c r="A1185" s="16">
        <v>45449.154861000003</v>
      </c>
      <c r="B1185" s="17">
        <v>64.811802</v>
      </c>
      <c r="C1185" s="18"/>
      <c r="D1185" s="19"/>
    </row>
    <row r="1186" spans="1:4" x14ac:dyDescent="0.3">
      <c r="A1186" s="16">
        <v>45449.155555999998</v>
      </c>
      <c r="B1186" s="17">
        <v>64.840518000000003</v>
      </c>
      <c r="C1186" s="18"/>
      <c r="D1186" s="19"/>
    </row>
    <row r="1187" spans="1:4" x14ac:dyDescent="0.3">
      <c r="A1187" s="16">
        <v>45449.15625</v>
      </c>
      <c r="B1187" s="17">
        <v>65.144531999999998</v>
      </c>
      <c r="C1187" s="18"/>
      <c r="D1187" s="19"/>
    </row>
    <row r="1188" spans="1:4" x14ac:dyDescent="0.3">
      <c r="A1188" s="16">
        <v>45449.156944000002</v>
      </c>
      <c r="B1188" s="17">
        <v>64.947811000000002</v>
      </c>
      <c r="C1188" s="18"/>
      <c r="D1188" s="19"/>
    </row>
    <row r="1189" spans="1:4" x14ac:dyDescent="0.3">
      <c r="A1189" s="16">
        <v>45449.157638999997</v>
      </c>
      <c r="B1189" s="17">
        <v>65.091510999999997</v>
      </c>
      <c r="C1189" s="18"/>
      <c r="D1189" s="19"/>
    </row>
    <row r="1190" spans="1:4" x14ac:dyDescent="0.3">
      <c r="A1190" s="16">
        <v>45449.158332999999</v>
      </c>
      <c r="B1190" s="17">
        <v>65.171586000000005</v>
      </c>
      <c r="C1190" s="18"/>
      <c r="D1190" s="19"/>
    </row>
    <row r="1191" spans="1:4" x14ac:dyDescent="0.3">
      <c r="A1191" s="16">
        <v>45449.159028000002</v>
      </c>
      <c r="B1191" s="17">
        <v>64.964543000000006</v>
      </c>
      <c r="C1191" s="18"/>
      <c r="D1191" s="19"/>
    </row>
    <row r="1192" spans="1:4" x14ac:dyDescent="0.3">
      <c r="A1192" s="16">
        <v>45449.159721999997</v>
      </c>
      <c r="B1192" s="17">
        <v>65.171362000000002</v>
      </c>
      <c r="C1192" s="18"/>
      <c r="D1192" s="19"/>
    </row>
    <row r="1193" spans="1:4" x14ac:dyDescent="0.3">
      <c r="A1193" s="16">
        <v>45449.160416999999</v>
      </c>
      <c r="B1193" s="17">
        <v>65.029257000000001</v>
      </c>
      <c r="C1193" s="18"/>
      <c r="D1193" s="19"/>
    </row>
    <row r="1194" spans="1:4" x14ac:dyDescent="0.3">
      <c r="A1194" s="16">
        <v>45449.161111000001</v>
      </c>
      <c r="B1194" s="17">
        <v>64.934123</v>
      </c>
      <c r="C1194" s="18"/>
      <c r="D1194" s="19"/>
    </row>
    <row r="1195" spans="1:4" x14ac:dyDescent="0.3">
      <c r="A1195" s="16">
        <v>45449.161805999996</v>
      </c>
      <c r="B1195" s="17">
        <v>65.186633</v>
      </c>
      <c r="C1195" s="18"/>
      <c r="D1195" s="19"/>
    </row>
    <row r="1196" spans="1:4" x14ac:dyDescent="0.3">
      <c r="A1196" s="16">
        <v>45449.162499999999</v>
      </c>
      <c r="B1196" s="17">
        <v>64.947953999999996</v>
      </c>
      <c r="C1196" s="18"/>
      <c r="D1196" s="19"/>
    </row>
    <row r="1197" spans="1:4" x14ac:dyDescent="0.3">
      <c r="A1197" s="16">
        <v>45449.163194000001</v>
      </c>
      <c r="B1197" s="17">
        <v>65.122173000000004</v>
      </c>
      <c r="C1197" s="18"/>
      <c r="D1197" s="19"/>
    </row>
    <row r="1198" spans="1:4" x14ac:dyDescent="0.3">
      <c r="A1198" s="16">
        <v>45449.163889000003</v>
      </c>
      <c r="B1198" s="17">
        <v>65.070588000000001</v>
      </c>
      <c r="C1198" s="18"/>
      <c r="D1198" s="19"/>
    </row>
    <row r="1199" spans="1:4" x14ac:dyDescent="0.3">
      <c r="A1199" s="16">
        <v>45449.164582999998</v>
      </c>
      <c r="B1199" s="17">
        <v>65.247609999999995</v>
      </c>
      <c r="C1199" s="18"/>
      <c r="D1199" s="19"/>
    </row>
    <row r="1200" spans="1:4" x14ac:dyDescent="0.3">
      <c r="A1200" s="16">
        <v>45449.165278</v>
      </c>
      <c r="B1200" s="17">
        <v>64.731339000000006</v>
      </c>
      <c r="C1200" s="18"/>
      <c r="D1200" s="19"/>
    </row>
    <row r="1201" spans="1:4" x14ac:dyDescent="0.3">
      <c r="A1201" s="16">
        <v>45449.165972000003</v>
      </c>
      <c r="B1201" s="17">
        <v>64.829261000000002</v>
      </c>
      <c r="C1201" s="18"/>
      <c r="D1201" s="19"/>
    </row>
    <row r="1202" spans="1:4" x14ac:dyDescent="0.3">
      <c r="A1202" s="16">
        <v>45449.166666999998</v>
      </c>
      <c r="B1202" s="17">
        <v>64.813806999999997</v>
      </c>
      <c r="C1202" s="18"/>
      <c r="D1202" s="19"/>
    </row>
    <row r="1203" spans="1:4" x14ac:dyDescent="0.3">
      <c r="A1203" s="16">
        <v>45449.167361</v>
      </c>
      <c r="B1203" s="17">
        <v>64.462676000000002</v>
      </c>
      <c r="C1203" s="18"/>
      <c r="D1203" s="19"/>
    </row>
    <row r="1204" spans="1:4" x14ac:dyDescent="0.3">
      <c r="A1204" s="16">
        <v>45449.168056000002</v>
      </c>
      <c r="B1204" s="17">
        <v>64.426957999999999</v>
      </c>
      <c r="C1204" s="18"/>
      <c r="D1204" s="19"/>
    </row>
    <row r="1205" spans="1:4" x14ac:dyDescent="0.3">
      <c r="A1205" s="16">
        <v>45449.168749999997</v>
      </c>
      <c r="B1205" s="17">
        <v>64.987082999999998</v>
      </c>
      <c r="C1205" s="18"/>
      <c r="D1205" s="19"/>
    </row>
    <row r="1206" spans="1:4" x14ac:dyDescent="0.3">
      <c r="A1206" s="16">
        <v>45449.169443999999</v>
      </c>
      <c r="B1206" s="17">
        <v>64.862008000000003</v>
      </c>
      <c r="C1206" s="18"/>
      <c r="D1206" s="19"/>
    </row>
    <row r="1207" spans="1:4" x14ac:dyDescent="0.3">
      <c r="A1207" s="16">
        <v>45449.170139000002</v>
      </c>
      <c r="B1207" s="17">
        <v>64.741484999999997</v>
      </c>
      <c r="C1207" s="18"/>
      <c r="D1207" s="19"/>
    </row>
    <row r="1208" spans="1:4" x14ac:dyDescent="0.3">
      <c r="A1208" s="16">
        <v>45449.170832999996</v>
      </c>
      <c r="B1208" s="17">
        <v>64.580889999999997</v>
      </c>
      <c r="C1208" s="18"/>
      <c r="D1208" s="19"/>
    </row>
    <row r="1209" spans="1:4" x14ac:dyDescent="0.3">
      <c r="A1209" s="16">
        <v>45449.171527999999</v>
      </c>
      <c r="B1209" s="17">
        <v>64.442141000000007</v>
      </c>
      <c r="C1209" s="18"/>
      <c r="D1209" s="19"/>
    </row>
    <row r="1210" spans="1:4" x14ac:dyDescent="0.3">
      <c r="A1210" s="16">
        <v>45449.172222000001</v>
      </c>
      <c r="B1210" s="17">
        <v>64.515715</v>
      </c>
      <c r="C1210" s="18"/>
      <c r="D1210" s="19"/>
    </row>
    <row r="1211" spans="1:4" x14ac:dyDescent="0.3">
      <c r="A1211" s="16">
        <v>45449.172917000004</v>
      </c>
      <c r="B1211" s="17">
        <v>64.390805</v>
      </c>
      <c r="C1211" s="18"/>
      <c r="D1211" s="19"/>
    </row>
    <row r="1212" spans="1:4" x14ac:dyDescent="0.3">
      <c r="A1212" s="16">
        <v>45449.173610999998</v>
      </c>
      <c r="B1212" s="17">
        <v>64.399501000000001</v>
      </c>
      <c r="C1212" s="18"/>
      <c r="D1212" s="19"/>
    </row>
    <row r="1213" spans="1:4" x14ac:dyDescent="0.3">
      <c r="A1213" s="16">
        <v>45449.174306000001</v>
      </c>
      <c r="B1213" s="17">
        <v>64.694162000000006</v>
      </c>
      <c r="C1213" s="18"/>
      <c r="D1213" s="19"/>
    </row>
    <row r="1214" spans="1:4" x14ac:dyDescent="0.3">
      <c r="A1214" s="16">
        <v>45449.175000000003</v>
      </c>
      <c r="B1214" s="17">
        <v>64.436243000000005</v>
      </c>
      <c r="C1214" s="18"/>
      <c r="D1214" s="19"/>
    </row>
    <row r="1215" spans="1:4" x14ac:dyDescent="0.3">
      <c r="A1215" s="16">
        <v>45449.175693999998</v>
      </c>
      <c r="B1215" s="17">
        <v>64.546678</v>
      </c>
      <c r="C1215" s="18"/>
      <c r="D1215" s="19"/>
    </row>
    <row r="1216" spans="1:4" x14ac:dyDescent="0.3">
      <c r="A1216" s="16">
        <v>45449.176389</v>
      </c>
      <c r="B1216" s="17">
        <v>64.366163999999998</v>
      </c>
      <c r="C1216" s="18"/>
      <c r="D1216" s="19"/>
    </row>
    <row r="1217" spans="1:4" x14ac:dyDescent="0.3">
      <c r="A1217" s="16">
        <v>45449.177083000002</v>
      </c>
      <c r="B1217" s="17">
        <v>64.204914000000002</v>
      </c>
      <c r="C1217" s="18"/>
      <c r="D1217" s="19"/>
    </row>
    <row r="1218" spans="1:4" x14ac:dyDescent="0.3">
      <c r="A1218" s="16">
        <v>45449.177777999997</v>
      </c>
      <c r="B1218" s="17">
        <v>64.166657999999998</v>
      </c>
      <c r="C1218" s="18"/>
      <c r="D1218" s="19"/>
    </row>
    <row r="1219" spans="1:4" x14ac:dyDescent="0.3">
      <c r="A1219" s="16">
        <v>45449.178472</v>
      </c>
      <c r="B1219" s="17">
        <v>64.225593000000003</v>
      </c>
      <c r="C1219" s="18"/>
      <c r="D1219" s="19"/>
    </row>
    <row r="1220" spans="1:4" x14ac:dyDescent="0.3">
      <c r="A1220" s="16">
        <v>45449.179167000002</v>
      </c>
      <c r="B1220" s="17">
        <v>64.467543000000006</v>
      </c>
      <c r="C1220" s="18"/>
      <c r="D1220" s="19"/>
    </row>
    <row r="1221" spans="1:4" x14ac:dyDescent="0.3">
      <c r="A1221" s="16">
        <v>45449.179860999997</v>
      </c>
      <c r="B1221" s="17">
        <v>64.150047999999998</v>
      </c>
      <c r="C1221" s="18"/>
      <c r="D1221" s="19"/>
    </row>
    <row r="1222" spans="1:4" x14ac:dyDescent="0.3">
      <c r="A1222" s="16">
        <v>45449.180555999999</v>
      </c>
      <c r="B1222" s="17">
        <v>64.009383999999997</v>
      </c>
      <c r="C1222" s="18"/>
      <c r="D1222" s="19"/>
    </row>
    <row r="1223" spans="1:4" x14ac:dyDescent="0.3">
      <c r="A1223" s="16">
        <v>45449.181250000001</v>
      </c>
      <c r="B1223" s="17">
        <v>63.952019999999997</v>
      </c>
      <c r="C1223" s="18"/>
      <c r="D1223" s="19"/>
    </row>
    <row r="1224" spans="1:4" x14ac:dyDescent="0.3">
      <c r="A1224" s="16">
        <v>45449.181944000004</v>
      </c>
      <c r="B1224" s="17">
        <v>64.094752999999997</v>
      </c>
      <c r="C1224" s="18"/>
      <c r="D1224" s="19"/>
    </row>
    <row r="1225" spans="1:4" x14ac:dyDescent="0.3">
      <c r="A1225" s="16">
        <v>45449.182638999999</v>
      </c>
      <c r="B1225" s="17">
        <v>64.060586999999998</v>
      </c>
      <c r="C1225" s="18"/>
      <c r="D1225" s="19"/>
    </row>
    <row r="1226" spans="1:4" x14ac:dyDescent="0.3">
      <c r="A1226" s="16">
        <v>45449.183333000001</v>
      </c>
      <c r="B1226" s="17">
        <v>64.025505999999993</v>
      </c>
      <c r="C1226" s="18"/>
      <c r="D1226" s="19"/>
    </row>
    <row r="1227" spans="1:4" x14ac:dyDescent="0.3">
      <c r="A1227" s="16">
        <v>45449.184028000003</v>
      </c>
      <c r="B1227" s="17">
        <v>63.973390000000002</v>
      </c>
      <c r="C1227" s="18"/>
      <c r="D1227" s="19"/>
    </row>
    <row r="1228" spans="1:4" x14ac:dyDescent="0.3">
      <c r="A1228" s="16">
        <v>45449.184721999998</v>
      </c>
      <c r="B1228" s="17">
        <v>64.133256000000003</v>
      </c>
      <c r="C1228" s="18"/>
      <c r="D1228" s="19"/>
    </row>
    <row r="1229" spans="1:4" x14ac:dyDescent="0.3">
      <c r="A1229" s="16">
        <v>45449.185417000001</v>
      </c>
      <c r="B1229" s="17">
        <v>63.817579000000002</v>
      </c>
      <c r="C1229" s="18"/>
      <c r="D1229" s="19"/>
    </row>
    <row r="1230" spans="1:4" x14ac:dyDescent="0.3">
      <c r="A1230" s="16">
        <v>45449.186111000003</v>
      </c>
      <c r="B1230" s="17">
        <v>63.748351</v>
      </c>
      <c r="C1230" s="18"/>
      <c r="D1230" s="19"/>
    </row>
    <row r="1231" spans="1:4" x14ac:dyDescent="0.3">
      <c r="A1231" s="16">
        <v>45449.186805999998</v>
      </c>
      <c r="B1231" s="17">
        <v>64.261488999999997</v>
      </c>
      <c r="C1231" s="18"/>
      <c r="D1231" s="19"/>
    </row>
    <row r="1232" spans="1:4" x14ac:dyDescent="0.3">
      <c r="A1232" s="16">
        <v>45449.1875</v>
      </c>
      <c r="B1232" s="17">
        <v>64.117326000000006</v>
      </c>
      <c r="C1232" s="18"/>
      <c r="D1232" s="19"/>
    </row>
    <row r="1233" spans="1:4" x14ac:dyDescent="0.3">
      <c r="A1233" s="16">
        <v>45449.188194000002</v>
      </c>
      <c r="B1233" s="17">
        <v>63.910046999999999</v>
      </c>
      <c r="C1233" s="18"/>
      <c r="D1233" s="19"/>
    </row>
    <row r="1234" spans="1:4" x14ac:dyDescent="0.3">
      <c r="A1234" s="16">
        <v>45449.188888999997</v>
      </c>
      <c r="B1234" s="17">
        <v>63.931367000000002</v>
      </c>
      <c r="C1234" s="18"/>
      <c r="D1234" s="19"/>
    </row>
    <row r="1235" spans="1:4" x14ac:dyDescent="0.3">
      <c r="A1235" s="16">
        <v>45449.189582999999</v>
      </c>
      <c r="B1235" s="17">
        <v>63.783085999999997</v>
      </c>
      <c r="C1235" s="18"/>
      <c r="D1235" s="19"/>
    </row>
    <row r="1236" spans="1:4" x14ac:dyDescent="0.3">
      <c r="A1236" s="16">
        <v>45449.190278000002</v>
      </c>
      <c r="B1236" s="17">
        <v>63.839500999999998</v>
      </c>
      <c r="C1236" s="18"/>
      <c r="D1236" s="19"/>
    </row>
    <row r="1237" spans="1:4" x14ac:dyDescent="0.3">
      <c r="A1237" s="16">
        <v>45449.190971999997</v>
      </c>
      <c r="B1237" s="17">
        <v>64.021058999999994</v>
      </c>
      <c r="C1237" s="18"/>
      <c r="D1237" s="19"/>
    </row>
    <row r="1238" spans="1:4" x14ac:dyDescent="0.3">
      <c r="A1238" s="16">
        <v>45449.191666999999</v>
      </c>
      <c r="B1238" s="17">
        <v>63.700254000000001</v>
      </c>
      <c r="C1238" s="18"/>
      <c r="D1238" s="19"/>
    </row>
    <row r="1239" spans="1:4" x14ac:dyDescent="0.3">
      <c r="A1239" s="16">
        <v>45449.192361000001</v>
      </c>
      <c r="B1239" s="17">
        <v>63.860543</v>
      </c>
      <c r="C1239" s="18"/>
      <c r="D1239" s="19"/>
    </row>
    <row r="1240" spans="1:4" x14ac:dyDescent="0.3">
      <c r="A1240" s="16">
        <v>45449.193055999996</v>
      </c>
      <c r="B1240" s="17">
        <v>63.898798999999997</v>
      </c>
      <c r="C1240" s="18"/>
      <c r="D1240" s="19"/>
    </row>
    <row r="1241" spans="1:4" x14ac:dyDescent="0.3">
      <c r="A1241" s="16">
        <v>45449.193749999999</v>
      </c>
      <c r="B1241" s="17">
        <v>63.794141000000003</v>
      </c>
      <c r="C1241" s="18"/>
      <c r="D1241" s="19"/>
    </row>
    <row r="1242" spans="1:4" x14ac:dyDescent="0.3">
      <c r="A1242" s="16">
        <v>45449.194444000001</v>
      </c>
      <c r="B1242" s="17">
        <v>63.574128999999999</v>
      </c>
      <c r="C1242" s="18"/>
      <c r="D1242" s="19"/>
    </row>
    <row r="1243" spans="1:4" x14ac:dyDescent="0.3">
      <c r="A1243" s="16">
        <v>45449.195139000003</v>
      </c>
      <c r="B1243" s="17">
        <v>63.642569000000002</v>
      </c>
      <c r="C1243" s="18"/>
      <c r="D1243" s="19"/>
    </row>
    <row r="1244" spans="1:4" x14ac:dyDescent="0.3">
      <c r="A1244" s="16">
        <v>45449.195832999998</v>
      </c>
      <c r="B1244" s="17">
        <v>63.730860999999997</v>
      </c>
      <c r="C1244" s="18"/>
      <c r="D1244" s="19"/>
    </row>
    <row r="1245" spans="1:4" x14ac:dyDescent="0.3">
      <c r="A1245" s="16">
        <v>45449.196528</v>
      </c>
      <c r="B1245" s="17">
        <v>63.969762000000003</v>
      </c>
      <c r="C1245" s="18"/>
      <c r="D1245" s="19"/>
    </row>
    <row r="1246" spans="1:4" x14ac:dyDescent="0.3">
      <c r="A1246" s="16">
        <v>45449.197222000003</v>
      </c>
      <c r="B1246" s="17">
        <v>63.568925999999998</v>
      </c>
      <c r="C1246" s="18"/>
      <c r="D1246" s="19"/>
    </row>
    <row r="1247" spans="1:4" x14ac:dyDescent="0.3">
      <c r="A1247" s="16">
        <v>45449.197916999998</v>
      </c>
      <c r="B1247" s="17">
        <v>63.663957000000003</v>
      </c>
      <c r="C1247" s="18"/>
      <c r="D1247" s="19"/>
    </row>
    <row r="1248" spans="1:4" x14ac:dyDescent="0.3">
      <c r="A1248" s="16">
        <v>45449.198611</v>
      </c>
      <c r="B1248" s="17">
        <v>63.477867000000003</v>
      </c>
      <c r="C1248" s="18"/>
      <c r="D1248" s="19"/>
    </row>
    <row r="1249" spans="1:4" x14ac:dyDescent="0.3">
      <c r="A1249" s="16">
        <v>45449.199306000002</v>
      </c>
      <c r="B1249" s="17">
        <v>63.752429999999997</v>
      </c>
      <c r="C1249" s="18"/>
      <c r="D1249" s="19"/>
    </row>
    <row r="1250" spans="1:4" x14ac:dyDescent="0.3">
      <c r="A1250" s="16">
        <v>45449.2</v>
      </c>
      <c r="B1250" s="17">
        <v>63.340282000000002</v>
      </c>
      <c r="C1250" s="18"/>
      <c r="D1250" s="19"/>
    </row>
    <row r="1251" spans="1:4" x14ac:dyDescent="0.3">
      <c r="A1251" s="16">
        <v>45449.200693999999</v>
      </c>
      <c r="B1251" s="17">
        <v>63.878034999999997</v>
      </c>
      <c r="C1251" s="18"/>
      <c r="D1251" s="19"/>
    </row>
    <row r="1252" spans="1:4" x14ac:dyDescent="0.3">
      <c r="A1252" s="16">
        <v>45449.201389000002</v>
      </c>
      <c r="B1252" s="17">
        <v>63.603695000000002</v>
      </c>
      <c r="C1252" s="18"/>
      <c r="D1252" s="19"/>
    </row>
    <row r="1253" spans="1:4" x14ac:dyDescent="0.3">
      <c r="A1253" s="16">
        <v>45449.202082999996</v>
      </c>
      <c r="B1253" s="17">
        <v>63.437941000000002</v>
      </c>
      <c r="C1253" s="18"/>
      <c r="D1253" s="19"/>
    </row>
    <row r="1254" spans="1:4" x14ac:dyDescent="0.3">
      <c r="A1254" s="16">
        <v>45449.202777999999</v>
      </c>
      <c r="B1254" s="17">
        <v>63.476036999999998</v>
      </c>
      <c r="C1254" s="18"/>
      <c r="D1254" s="19"/>
    </row>
    <row r="1255" spans="1:4" x14ac:dyDescent="0.3">
      <c r="A1255" s="16">
        <v>45449.203472000001</v>
      </c>
      <c r="B1255" s="17">
        <v>63.531362999999999</v>
      </c>
      <c r="C1255" s="18"/>
      <c r="D1255" s="19"/>
    </row>
    <row r="1256" spans="1:4" x14ac:dyDescent="0.3">
      <c r="A1256" s="16">
        <v>45449.204167000004</v>
      </c>
      <c r="B1256" s="17">
        <v>63.599136999999999</v>
      </c>
      <c r="C1256" s="18"/>
      <c r="D1256" s="19"/>
    </row>
    <row r="1257" spans="1:4" x14ac:dyDescent="0.3">
      <c r="A1257" s="16">
        <v>45449.204860999998</v>
      </c>
      <c r="B1257" s="17">
        <v>63.594329000000002</v>
      </c>
      <c r="C1257" s="18"/>
      <c r="D1257" s="19"/>
    </row>
    <row r="1258" spans="1:4" x14ac:dyDescent="0.3">
      <c r="A1258" s="16">
        <v>45449.205556000001</v>
      </c>
      <c r="B1258" s="17">
        <v>63.716493999999997</v>
      </c>
      <c r="C1258" s="18"/>
      <c r="D1258" s="19"/>
    </row>
    <row r="1259" spans="1:4" x14ac:dyDescent="0.3">
      <c r="A1259" s="16">
        <v>45449.206250000003</v>
      </c>
      <c r="B1259" s="17">
        <v>63.639507999999999</v>
      </c>
      <c r="C1259" s="18"/>
      <c r="D1259" s="19"/>
    </row>
    <row r="1260" spans="1:4" x14ac:dyDescent="0.3">
      <c r="A1260" s="16">
        <v>45449.206943999998</v>
      </c>
      <c r="B1260" s="17">
        <v>63.822270000000003</v>
      </c>
      <c r="C1260" s="18"/>
      <c r="D1260" s="19"/>
    </row>
    <row r="1261" spans="1:4" x14ac:dyDescent="0.3">
      <c r="A1261" s="16">
        <v>45449.207639</v>
      </c>
      <c r="B1261" s="17">
        <v>63.710946999999997</v>
      </c>
      <c r="C1261" s="18"/>
      <c r="D1261" s="19"/>
    </row>
    <row r="1262" spans="1:4" x14ac:dyDescent="0.3">
      <c r="A1262" s="16">
        <v>45449.208333000002</v>
      </c>
      <c r="B1262" s="17">
        <v>63.815103000000001</v>
      </c>
      <c r="C1262" s="18"/>
      <c r="D1262" s="19"/>
    </row>
    <row r="1263" spans="1:4" x14ac:dyDescent="0.3">
      <c r="A1263" s="16">
        <v>45449.209027999997</v>
      </c>
      <c r="B1263" s="17">
        <v>63.727333000000002</v>
      </c>
      <c r="C1263" s="18"/>
      <c r="D1263" s="19"/>
    </row>
    <row r="1264" spans="1:4" x14ac:dyDescent="0.3">
      <c r="A1264" s="16">
        <v>45449.209722</v>
      </c>
      <c r="B1264" s="17">
        <v>63.536555</v>
      </c>
      <c r="C1264" s="18"/>
      <c r="D1264" s="19"/>
    </row>
    <row r="1265" spans="1:4" x14ac:dyDescent="0.3">
      <c r="A1265" s="16">
        <v>45449.210417000002</v>
      </c>
      <c r="B1265" s="17">
        <v>63.407378999999999</v>
      </c>
      <c r="C1265" s="18"/>
      <c r="D1265" s="19"/>
    </row>
    <row r="1266" spans="1:4" x14ac:dyDescent="0.3">
      <c r="A1266" s="16">
        <v>45449.211110999997</v>
      </c>
      <c r="B1266" s="17">
        <v>63.509219000000002</v>
      </c>
      <c r="C1266" s="18"/>
      <c r="D1266" s="19"/>
    </row>
    <row r="1267" spans="1:4" x14ac:dyDescent="0.3">
      <c r="A1267" s="16">
        <v>45449.211805999999</v>
      </c>
      <c r="B1267" s="17">
        <v>63.506022999999999</v>
      </c>
      <c r="C1267" s="18"/>
      <c r="D1267" s="19"/>
    </row>
    <row r="1268" spans="1:4" x14ac:dyDescent="0.3">
      <c r="A1268" s="16">
        <v>45449.212500000001</v>
      </c>
      <c r="B1268" s="17">
        <v>63.496130999999998</v>
      </c>
      <c r="C1268" s="18"/>
      <c r="D1268" s="19"/>
    </row>
    <row r="1269" spans="1:4" x14ac:dyDescent="0.3">
      <c r="A1269" s="16">
        <v>45449.213194000004</v>
      </c>
      <c r="B1269" s="17">
        <v>63.349128</v>
      </c>
      <c r="C1269" s="18"/>
      <c r="D1269" s="19"/>
    </row>
    <row r="1270" spans="1:4" x14ac:dyDescent="0.3">
      <c r="A1270" s="16">
        <v>45449.213888999999</v>
      </c>
      <c r="B1270" s="17">
        <v>63.596164000000002</v>
      </c>
      <c r="C1270" s="18"/>
      <c r="D1270" s="19"/>
    </row>
    <row r="1271" spans="1:4" x14ac:dyDescent="0.3">
      <c r="A1271" s="16">
        <v>45449.214583000001</v>
      </c>
      <c r="B1271" s="17">
        <v>63.593150000000001</v>
      </c>
      <c r="C1271" s="18"/>
      <c r="D1271" s="19"/>
    </row>
    <row r="1272" spans="1:4" x14ac:dyDescent="0.3">
      <c r="A1272" s="16">
        <v>45449.215278000003</v>
      </c>
      <c r="B1272" s="17">
        <v>63.333682000000003</v>
      </c>
      <c r="C1272" s="18"/>
      <c r="D1272" s="19"/>
    </row>
    <row r="1273" spans="1:4" x14ac:dyDescent="0.3">
      <c r="A1273" s="16">
        <v>45449.215971999998</v>
      </c>
      <c r="B1273" s="17">
        <v>63.430889999999998</v>
      </c>
      <c r="C1273" s="18"/>
      <c r="D1273" s="19"/>
    </row>
    <row r="1274" spans="1:4" x14ac:dyDescent="0.3">
      <c r="A1274" s="16">
        <v>45449.216667000001</v>
      </c>
      <c r="B1274" s="17">
        <v>63.437766000000003</v>
      </c>
      <c r="C1274" s="18"/>
      <c r="D1274" s="19"/>
    </row>
    <row r="1275" spans="1:4" x14ac:dyDescent="0.3">
      <c r="A1275" s="16">
        <v>45449.217361000003</v>
      </c>
      <c r="B1275" s="17">
        <v>63.457628</v>
      </c>
      <c r="C1275" s="18"/>
      <c r="D1275" s="19"/>
    </row>
    <row r="1276" spans="1:4" x14ac:dyDescent="0.3">
      <c r="A1276" s="16">
        <v>45449.218055999998</v>
      </c>
      <c r="B1276" s="17">
        <v>63.479956999999999</v>
      </c>
      <c r="C1276" s="18"/>
      <c r="D1276" s="19"/>
    </row>
    <row r="1277" spans="1:4" x14ac:dyDescent="0.3">
      <c r="A1277" s="16">
        <v>45449.21875</v>
      </c>
      <c r="B1277" s="17">
        <v>63.685187999999997</v>
      </c>
      <c r="C1277" s="18"/>
      <c r="D1277" s="19"/>
    </row>
    <row r="1278" spans="1:4" x14ac:dyDescent="0.3">
      <c r="A1278" s="16">
        <v>45449.219444000002</v>
      </c>
      <c r="B1278" s="17">
        <v>63.398488999999998</v>
      </c>
      <c r="C1278" s="18"/>
      <c r="D1278" s="19"/>
    </row>
    <row r="1279" spans="1:4" x14ac:dyDescent="0.3">
      <c r="A1279" s="16">
        <v>45449.220138999997</v>
      </c>
      <c r="B1279" s="17">
        <v>63.311596999999999</v>
      </c>
      <c r="C1279" s="18"/>
      <c r="D1279" s="19"/>
    </row>
    <row r="1280" spans="1:4" x14ac:dyDescent="0.3">
      <c r="A1280" s="16">
        <v>45449.220832999999</v>
      </c>
      <c r="B1280" s="17">
        <v>63.537945000000001</v>
      </c>
      <c r="C1280" s="18"/>
      <c r="D1280" s="19"/>
    </row>
    <row r="1281" spans="1:4" x14ac:dyDescent="0.3">
      <c r="A1281" s="16">
        <v>45449.221528000002</v>
      </c>
      <c r="B1281" s="17">
        <v>63.738858999999998</v>
      </c>
      <c r="C1281" s="18"/>
      <c r="D1281" s="19"/>
    </row>
    <row r="1282" spans="1:4" x14ac:dyDescent="0.3">
      <c r="A1282" s="16">
        <v>45449.222221999997</v>
      </c>
      <c r="B1282" s="17">
        <v>63.464219999999997</v>
      </c>
      <c r="C1282" s="18"/>
      <c r="D1282" s="19"/>
    </row>
    <row r="1283" spans="1:4" x14ac:dyDescent="0.3">
      <c r="A1283" s="16">
        <v>45449.222916999999</v>
      </c>
      <c r="B1283" s="17">
        <v>63.406295</v>
      </c>
      <c r="C1283" s="18"/>
      <c r="D1283" s="19"/>
    </row>
    <row r="1284" spans="1:4" x14ac:dyDescent="0.3">
      <c r="A1284" s="16">
        <v>45449.223611000001</v>
      </c>
      <c r="B1284" s="17">
        <v>63.391998000000001</v>
      </c>
      <c r="C1284" s="18"/>
      <c r="D1284" s="19"/>
    </row>
    <row r="1285" spans="1:4" x14ac:dyDescent="0.3">
      <c r="A1285" s="16">
        <v>45449.224305999996</v>
      </c>
      <c r="B1285" s="17">
        <v>63.506999</v>
      </c>
      <c r="C1285" s="18"/>
      <c r="D1285" s="19"/>
    </row>
    <row r="1286" spans="1:4" x14ac:dyDescent="0.3">
      <c r="A1286" s="16">
        <v>45449.224999999999</v>
      </c>
      <c r="B1286" s="17">
        <v>63.622821000000002</v>
      </c>
      <c r="C1286" s="18"/>
      <c r="D1286" s="19"/>
    </row>
    <row r="1287" spans="1:4" x14ac:dyDescent="0.3">
      <c r="A1287" s="16">
        <v>45449.225694000001</v>
      </c>
      <c r="B1287" s="17">
        <v>63.272216999999998</v>
      </c>
      <c r="C1287" s="18"/>
      <c r="D1287" s="19"/>
    </row>
    <row r="1288" spans="1:4" x14ac:dyDescent="0.3">
      <c r="A1288" s="16">
        <v>45449.226389000003</v>
      </c>
      <c r="B1288" s="17">
        <v>63.546058000000002</v>
      </c>
      <c r="C1288" s="18"/>
      <c r="D1288" s="19"/>
    </row>
    <row r="1289" spans="1:4" x14ac:dyDescent="0.3">
      <c r="A1289" s="16">
        <v>45449.227082999998</v>
      </c>
      <c r="B1289" s="17">
        <v>63.440545</v>
      </c>
      <c r="C1289" s="18"/>
      <c r="D1289" s="19"/>
    </row>
    <row r="1290" spans="1:4" x14ac:dyDescent="0.3">
      <c r="A1290" s="16">
        <v>45449.227778</v>
      </c>
      <c r="B1290" s="17">
        <v>63.176214999999999</v>
      </c>
      <c r="C1290" s="18"/>
      <c r="D1290" s="19"/>
    </row>
    <row r="1291" spans="1:4" x14ac:dyDescent="0.3">
      <c r="A1291" s="16">
        <v>45449.228472000003</v>
      </c>
      <c r="B1291" s="17">
        <v>63.546230000000001</v>
      </c>
      <c r="C1291" s="18"/>
      <c r="D1291" s="19"/>
    </row>
    <row r="1292" spans="1:4" x14ac:dyDescent="0.3">
      <c r="A1292" s="16">
        <v>45449.229166999998</v>
      </c>
      <c r="B1292" s="17">
        <v>63.456009000000002</v>
      </c>
      <c r="C1292" s="18"/>
      <c r="D1292" s="19"/>
    </row>
    <row r="1293" spans="1:4" x14ac:dyDescent="0.3">
      <c r="A1293" s="16">
        <v>45449.229861</v>
      </c>
      <c r="B1293" s="17">
        <v>63.469405999999999</v>
      </c>
      <c r="C1293" s="18"/>
      <c r="D1293" s="19"/>
    </row>
    <row r="1294" spans="1:4" x14ac:dyDescent="0.3">
      <c r="A1294" s="16">
        <v>45449.230556000002</v>
      </c>
      <c r="B1294" s="17">
        <v>63.204759000000003</v>
      </c>
      <c r="C1294" s="18"/>
      <c r="D1294" s="19"/>
    </row>
    <row r="1295" spans="1:4" x14ac:dyDescent="0.3">
      <c r="A1295" s="16">
        <v>45449.231249999997</v>
      </c>
      <c r="B1295" s="17">
        <v>63.479992000000003</v>
      </c>
      <c r="C1295" s="18"/>
      <c r="D1295" s="19"/>
    </row>
    <row r="1296" spans="1:4" x14ac:dyDescent="0.3">
      <c r="A1296" s="16">
        <v>45449.231943999999</v>
      </c>
      <c r="B1296" s="17">
        <v>63.452556000000001</v>
      </c>
      <c r="C1296" s="18"/>
      <c r="D1296" s="19"/>
    </row>
    <row r="1297" spans="1:4" x14ac:dyDescent="0.3">
      <c r="A1297" s="16">
        <v>45449.232639000002</v>
      </c>
      <c r="B1297" s="17">
        <v>63.061768000000001</v>
      </c>
      <c r="C1297" s="18"/>
      <c r="D1297" s="19"/>
    </row>
    <row r="1298" spans="1:4" x14ac:dyDescent="0.3">
      <c r="A1298" s="16">
        <v>45449.233332999996</v>
      </c>
      <c r="B1298" s="17">
        <v>63.501199</v>
      </c>
      <c r="C1298" s="18"/>
      <c r="D1298" s="19"/>
    </row>
    <row r="1299" spans="1:4" x14ac:dyDescent="0.3">
      <c r="A1299" s="16">
        <v>45449.234027999999</v>
      </c>
      <c r="B1299" s="17">
        <v>63.464767999999999</v>
      </c>
      <c r="C1299" s="18"/>
      <c r="D1299" s="19"/>
    </row>
    <row r="1300" spans="1:4" x14ac:dyDescent="0.3">
      <c r="A1300" s="16">
        <v>45449.234722000001</v>
      </c>
      <c r="B1300" s="17">
        <v>63.435623999999997</v>
      </c>
      <c r="C1300" s="18"/>
      <c r="D1300" s="19"/>
    </row>
    <row r="1301" spans="1:4" x14ac:dyDescent="0.3">
      <c r="A1301" s="16">
        <v>45449.235417000004</v>
      </c>
      <c r="B1301" s="17">
        <v>63.191603999999998</v>
      </c>
      <c r="C1301" s="18"/>
      <c r="D1301" s="19"/>
    </row>
    <row r="1302" spans="1:4" x14ac:dyDescent="0.3">
      <c r="A1302" s="16">
        <v>45449.236110999998</v>
      </c>
      <c r="B1302" s="17">
        <v>63.481112000000003</v>
      </c>
      <c r="C1302" s="18"/>
      <c r="D1302" s="19"/>
    </row>
    <row r="1303" spans="1:4" x14ac:dyDescent="0.3">
      <c r="A1303" s="16">
        <v>45449.236806000001</v>
      </c>
      <c r="B1303" s="17">
        <v>63.446126999999997</v>
      </c>
      <c r="C1303" s="18"/>
      <c r="D1303" s="19"/>
    </row>
    <row r="1304" spans="1:4" x14ac:dyDescent="0.3">
      <c r="A1304" s="16">
        <v>45449.237500000003</v>
      </c>
      <c r="B1304" s="17">
        <v>68.246472999999995</v>
      </c>
      <c r="C1304" s="18"/>
      <c r="D1304" s="19"/>
    </row>
    <row r="1305" spans="1:4" x14ac:dyDescent="0.3">
      <c r="A1305" s="16">
        <v>45449.238193999998</v>
      </c>
      <c r="B1305" s="17">
        <v>73.086353000000003</v>
      </c>
      <c r="C1305" s="18"/>
      <c r="D1305" s="19"/>
    </row>
    <row r="1306" spans="1:4" x14ac:dyDescent="0.3">
      <c r="A1306" s="16">
        <v>45449.238889</v>
      </c>
      <c r="B1306" s="17">
        <v>73.267549000000002</v>
      </c>
      <c r="C1306" s="18"/>
      <c r="D1306" s="19"/>
    </row>
    <row r="1307" spans="1:4" x14ac:dyDescent="0.3">
      <c r="A1307" s="16">
        <v>45449.239583000002</v>
      </c>
      <c r="B1307" s="17">
        <v>73.147051000000005</v>
      </c>
      <c r="C1307" s="18"/>
      <c r="D1307" s="19"/>
    </row>
    <row r="1308" spans="1:4" x14ac:dyDescent="0.3">
      <c r="A1308" s="16">
        <v>45449.240277999997</v>
      </c>
      <c r="B1308" s="17">
        <v>73.158026000000007</v>
      </c>
      <c r="C1308" s="18"/>
      <c r="D1308" s="19"/>
    </row>
    <row r="1309" spans="1:4" x14ac:dyDescent="0.3">
      <c r="A1309" s="16">
        <v>45449.240972</v>
      </c>
      <c r="B1309" s="17">
        <v>73.596884000000003</v>
      </c>
      <c r="C1309" s="18"/>
      <c r="D1309" s="19"/>
    </row>
    <row r="1310" spans="1:4" x14ac:dyDescent="0.3">
      <c r="A1310" s="16">
        <v>45449.241667000002</v>
      </c>
      <c r="B1310" s="17">
        <v>73.851979999999998</v>
      </c>
      <c r="C1310" s="18"/>
      <c r="D1310" s="19"/>
    </row>
    <row r="1311" spans="1:4" x14ac:dyDescent="0.3">
      <c r="A1311" s="16">
        <v>45449.242360999997</v>
      </c>
      <c r="B1311" s="17">
        <v>73.719599000000002</v>
      </c>
      <c r="C1311" s="18"/>
      <c r="D1311" s="19"/>
    </row>
    <row r="1312" spans="1:4" x14ac:dyDescent="0.3">
      <c r="A1312" s="16">
        <v>45449.243055999999</v>
      </c>
      <c r="B1312" s="17">
        <v>73.692031999999998</v>
      </c>
      <c r="C1312" s="18"/>
      <c r="D1312" s="19"/>
    </row>
    <row r="1313" spans="1:4" x14ac:dyDescent="0.3">
      <c r="A1313" s="16">
        <v>45449.243750000001</v>
      </c>
      <c r="B1313" s="17">
        <v>73.588612999999995</v>
      </c>
      <c r="C1313" s="18"/>
      <c r="D1313" s="19"/>
    </row>
    <row r="1314" spans="1:4" x14ac:dyDescent="0.3">
      <c r="A1314" s="16">
        <v>45449.244444000004</v>
      </c>
      <c r="B1314" s="17">
        <v>73.565212000000002</v>
      </c>
      <c r="C1314" s="18"/>
      <c r="D1314" s="19"/>
    </row>
    <row r="1315" spans="1:4" x14ac:dyDescent="0.3">
      <c r="A1315" s="16">
        <v>45449.245138999999</v>
      </c>
      <c r="B1315" s="17">
        <v>73.210944999999995</v>
      </c>
      <c r="C1315" s="18"/>
      <c r="D1315" s="19"/>
    </row>
    <row r="1316" spans="1:4" x14ac:dyDescent="0.3">
      <c r="A1316" s="16">
        <v>45449.245833000001</v>
      </c>
      <c r="B1316" s="17">
        <v>73.376631000000003</v>
      </c>
      <c r="C1316" s="18"/>
      <c r="D1316" s="19"/>
    </row>
    <row r="1317" spans="1:4" x14ac:dyDescent="0.3">
      <c r="A1317" s="16">
        <v>45449.246528000003</v>
      </c>
      <c r="B1317" s="17">
        <v>73.245337000000006</v>
      </c>
      <c r="C1317" s="18"/>
      <c r="D1317" s="19"/>
    </row>
    <row r="1318" spans="1:4" x14ac:dyDescent="0.3">
      <c r="A1318" s="16">
        <v>45449.247221999998</v>
      </c>
      <c r="B1318" s="17">
        <v>73.149321</v>
      </c>
      <c r="C1318" s="18"/>
      <c r="D1318" s="19"/>
    </row>
    <row r="1319" spans="1:4" x14ac:dyDescent="0.3">
      <c r="A1319" s="16">
        <v>45449.247917000001</v>
      </c>
      <c r="B1319" s="17">
        <v>73.417627999999993</v>
      </c>
      <c r="C1319" s="18"/>
      <c r="D1319" s="19"/>
    </row>
    <row r="1320" spans="1:4" x14ac:dyDescent="0.3">
      <c r="A1320" s="16">
        <v>45449.248611000003</v>
      </c>
      <c r="B1320" s="17">
        <v>73.456950000000006</v>
      </c>
      <c r="C1320" s="18"/>
      <c r="D1320" s="19"/>
    </row>
    <row r="1321" spans="1:4" x14ac:dyDescent="0.3">
      <c r="A1321" s="16">
        <v>45449.249305999998</v>
      </c>
      <c r="B1321" s="17">
        <v>73.045597000000001</v>
      </c>
      <c r="C1321" s="18"/>
      <c r="D1321" s="19"/>
    </row>
    <row r="1322" spans="1:4" x14ac:dyDescent="0.3">
      <c r="A1322" s="16">
        <v>45449.25</v>
      </c>
      <c r="B1322" s="17">
        <v>73.087098999999995</v>
      </c>
      <c r="C1322" s="18"/>
      <c r="D1322" s="19"/>
    </row>
    <row r="1323" spans="1:4" x14ac:dyDescent="0.3">
      <c r="A1323" s="16">
        <v>45449.250694000002</v>
      </c>
      <c r="B1323" s="17">
        <v>73.185219000000004</v>
      </c>
      <c r="C1323" s="18"/>
      <c r="D1323" s="19"/>
    </row>
    <row r="1324" spans="1:4" x14ac:dyDescent="0.3">
      <c r="A1324" s="16">
        <v>45449.251388999997</v>
      </c>
      <c r="B1324" s="17">
        <v>72.950176999999996</v>
      </c>
      <c r="C1324" s="18"/>
      <c r="D1324" s="19"/>
    </row>
    <row r="1325" spans="1:4" x14ac:dyDescent="0.3">
      <c r="A1325" s="16">
        <v>45449.252082999999</v>
      </c>
      <c r="B1325" s="17">
        <v>72.930069000000003</v>
      </c>
      <c r="C1325" s="18"/>
      <c r="D1325" s="19"/>
    </row>
    <row r="1326" spans="1:4" x14ac:dyDescent="0.3">
      <c r="A1326" s="16">
        <v>45449.252778000002</v>
      </c>
      <c r="B1326" s="17">
        <v>72.921238000000002</v>
      </c>
      <c r="C1326" s="18"/>
      <c r="D1326" s="19"/>
    </row>
    <row r="1327" spans="1:4" x14ac:dyDescent="0.3">
      <c r="A1327" s="16">
        <v>45449.253471999997</v>
      </c>
      <c r="B1327" s="17">
        <v>72.325672999999995</v>
      </c>
      <c r="C1327" s="18"/>
      <c r="D1327" s="19"/>
    </row>
    <row r="1328" spans="1:4" x14ac:dyDescent="0.3">
      <c r="A1328" s="16">
        <v>45449.254166999999</v>
      </c>
      <c r="B1328" s="17">
        <v>72.633769999999998</v>
      </c>
      <c r="C1328" s="18"/>
      <c r="D1328" s="19"/>
    </row>
    <row r="1329" spans="1:4" x14ac:dyDescent="0.3">
      <c r="A1329" s="16">
        <v>45449.254861000001</v>
      </c>
      <c r="B1329" s="17">
        <v>72.559852000000006</v>
      </c>
      <c r="C1329" s="18"/>
      <c r="D1329" s="19"/>
    </row>
    <row r="1330" spans="1:4" x14ac:dyDescent="0.3">
      <c r="A1330" s="16">
        <v>45449.255555999996</v>
      </c>
      <c r="B1330" s="17">
        <v>72.192914999999999</v>
      </c>
      <c r="C1330" s="18"/>
      <c r="D1330" s="19"/>
    </row>
    <row r="1331" spans="1:4" x14ac:dyDescent="0.3">
      <c r="A1331" s="16">
        <v>45449.256249999999</v>
      </c>
      <c r="B1331" s="17">
        <v>72.321140999999997</v>
      </c>
      <c r="C1331" s="18"/>
      <c r="D1331" s="19"/>
    </row>
    <row r="1332" spans="1:4" x14ac:dyDescent="0.3">
      <c r="A1332" s="16">
        <v>45449.256944000001</v>
      </c>
      <c r="B1332" s="17">
        <v>72.388883000000007</v>
      </c>
      <c r="C1332" s="18"/>
      <c r="D1332" s="19"/>
    </row>
    <row r="1333" spans="1:4" x14ac:dyDescent="0.3">
      <c r="A1333" s="16">
        <v>45449.257639000003</v>
      </c>
      <c r="B1333" s="17">
        <v>72.400640999999993</v>
      </c>
      <c r="C1333" s="18"/>
      <c r="D1333" s="19"/>
    </row>
    <row r="1334" spans="1:4" x14ac:dyDescent="0.3">
      <c r="A1334" s="16">
        <v>45449.258332999998</v>
      </c>
      <c r="B1334" s="17">
        <v>72.092196999999999</v>
      </c>
      <c r="C1334" s="18"/>
      <c r="D1334" s="19"/>
    </row>
    <row r="1335" spans="1:4" x14ac:dyDescent="0.3">
      <c r="A1335" s="16">
        <v>45449.259028</v>
      </c>
      <c r="B1335" s="17">
        <v>72.197946000000002</v>
      </c>
      <c r="C1335" s="18"/>
      <c r="D1335" s="19"/>
    </row>
    <row r="1336" spans="1:4" x14ac:dyDescent="0.3">
      <c r="A1336" s="16">
        <v>45449.259722000003</v>
      </c>
      <c r="B1336" s="17">
        <v>72.202404000000001</v>
      </c>
      <c r="C1336" s="18"/>
      <c r="D1336" s="19"/>
    </row>
    <row r="1337" spans="1:4" x14ac:dyDescent="0.3">
      <c r="A1337" s="16">
        <v>45449.260416999998</v>
      </c>
      <c r="B1337" s="17">
        <v>72.026386000000002</v>
      </c>
      <c r="C1337" s="18"/>
      <c r="D1337" s="19"/>
    </row>
    <row r="1338" spans="1:4" x14ac:dyDescent="0.3">
      <c r="A1338" s="16">
        <v>45449.261111</v>
      </c>
      <c r="B1338" s="17">
        <v>72.299582000000001</v>
      </c>
      <c r="C1338" s="18"/>
      <c r="D1338" s="19"/>
    </row>
    <row r="1339" spans="1:4" x14ac:dyDescent="0.3">
      <c r="A1339" s="16">
        <v>45449.261806000002</v>
      </c>
      <c r="B1339" s="17">
        <v>72.017450999999994</v>
      </c>
      <c r="C1339" s="18"/>
      <c r="D1339" s="19"/>
    </row>
    <row r="1340" spans="1:4" x14ac:dyDescent="0.3">
      <c r="A1340" s="16">
        <v>45449.262499999997</v>
      </c>
      <c r="B1340" s="17">
        <v>72.034557000000007</v>
      </c>
      <c r="C1340" s="18"/>
      <c r="D1340" s="19"/>
    </row>
    <row r="1341" spans="1:4" x14ac:dyDescent="0.3">
      <c r="A1341" s="16">
        <v>45449.263193999999</v>
      </c>
      <c r="B1341" s="17">
        <v>71.838510999999997</v>
      </c>
      <c r="C1341" s="18"/>
      <c r="D1341" s="19"/>
    </row>
    <row r="1342" spans="1:4" x14ac:dyDescent="0.3">
      <c r="A1342" s="16">
        <v>45449.263889000002</v>
      </c>
      <c r="B1342" s="17">
        <v>71.431601999999998</v>
      </c>
      <c r="C1342" s="18"/>
      <c r="D1342" s="19"/>
    </row>
    <row r="1343" spans="1:4" x14ac:dyDescent="0.3">
      <c r="A1343" s="16">
        <v>45449.264582999996</v>
      </c>
      <c r="B1343" s="17">
        <v>71.725302999999997</v>
      </c>
      <c r="C1343" s="18"/>
      <c r="D1343" s="19"/>
    </row>
    <row r="1344" spans="1:4" x14ac:dyDescent="0.3">
      <c r="A1344" s="16">
        <v>45449.265277999999</v>
      </c>
      <c r="B1344" s="17">
        <v>71.803578999999999</v>
      </c>
      <c r="C1344" s="18"/>
      <c r="D1344" s="19"/>
    </row>
    <row r="1345" spans="1:4" x14ac:dyDescent="0.3">
      <c r="A1345" s="16">
        <v>45449.265972000001</v>
      </c>
      <c r="B1345" s="17">
        <v>71.78049</v>
      </c>
      <c r="C1345" s="18"/>
      <c r="D1345" s="19"/>
    </row>
    <row r="1346" spans="1:4" x14ac:dyDescent="0.3">
      <c r="A1346" s="16">
        <v>45449.266667000004</v>
      </c>
      <c r="B1346" s="17">
        <v>71.515878999999998</v>
      </c>
      <c r="C1346" s="18"/>
      <c r="D1346" s="19"/>
    </row>
    <row r="1347" spans="1:4" x14ac:dyDescent="0.3">
      <c r="A1347" s="16">
        <v>45449.267360999998</v>
      </c>
      <c r="B1347" s="17">
        <v>71.646109999999993</v>
      </c>
      <c r="C1347" s="18"/>
      <c r="D1347" s="19"/>
    </row>
    <row r="1348" spans="1:4" x14ac:dyDescent="0.3">
      <c r="A1348" s="16">
        <v>45449.268056000001</v>
      </c>
      <c r="B1348" s="17">
        <v>71.738444000000001</v>
      </c>
      <c r="C1348" s="18"/>
      <c r="D1348" s="19"/>
    </row>
    <row r="1349" spans="1:4" x14ac:dyDescent="0.3">
      <c r="A1349" s="16">
        <v>45449.268750000003</v>
      </c>
      <c r="B1349" s="17">
        <v>71.244105000000005</v>
      </c>
      <c r="C1349" s="18"/>
      <c r="D1349" s="19"/>
    </row>
    <row r="1350" spans="1:4" x14ac:dyDescent="0.3">
      <c r="A1350" s="16">
        <v>45449.269443999998</v>
      </c>
      <c r="B1350" s="17">
        <v>71.322704000000002</v>
      </c>
      <c r="C1350" s="18"/>
      <c r="D1350" s="19"/>
    </row>
    <row r="1351" spans="1:4" x14ac:dyDescent="0.3">
      <c r="A1351" s="16">
        <v>45449.270139</v>
      </c>
      <c r="B1351" s="17">
        <v>71.551934000000003</v>
      </c>
      <c r="C1351" s="18"/>
      <c r="D1351" s="19"/>
    </row>
    <row r="1352" spans="1:4" x14ac:dyDescent="0.3">
      <c r="A1352" s="16">
        <v>45449.270833000002</v>
      </c>
      <c r="B1352" s="17">
        <v>71.529166000000004</v>
      </c>
      <c r="C1352" s="18"/>
      <c r="D1352" s="19"/>
    </row>
    <row r="1353" spans="1:4" x14ac:dyDescent="0.3">
      <c r="A1353" s="16">
        <v>45449.271527999997</v>
      </c>
      <c r="B1353" s="17">
        <v>71.241271999999995</v>
      </c>
      <c r="C1353" s="18"/>
      <c r="D1353" s="19"/>
    </row>
    <row r="1354" spans="1:4" x14ac:dyDescent="0.3">
      <c r="A1354" s="16">
        <v>45449.272222</v>
      </c>
      <c r="B1354" s="17">
        <v>71.496149000000003</v>
      </c>
      <c r="C1354" s="18"/>
      <c r="D1354" s="19"/>
    </row>
    <row r="1355" spans="1:4" x14ac:dyDescent="0.3">
      <c r="A1355" s="16">
        <v>45449.272917000002</v>
      </c>
      <c r="B1355" s="17">
        <v>71.595066000000003</v>
      </c>
      <c r="C1355" s="18"/>
      <c r="D1355" s="19"/>
    </row>
    <row r="1356" spans="1:4" x14ac:dyDescent="0.3">
      <c r="A1356" s="16">
        <v>45449.273610999997</v>
      </c>
      <c r="B1356" s="17">
        <v>71.516942999999998</v>
      </c>
      <c r="C1356" s="18"/>
      <c r="D1356" s="19"/>
    </row>
    <row r="1357" spans="1:4" x14ac:dyDescent="0.3">
      <c r="A1357" s="16">
        <v>45449.274305999999</v>
      </c>
      <c r="B1357" s="17">
        <v>71.182194999999993</v>
      </c>
      <c r="C1357" s="18"/>
      <c r="D1357" s="19"/>
    </row>
    <row r="1358" spans="1:4" x14ac:dyDescent="0.3">
      <c r="A1358" s="16">
        <v>45449.275000000001</v>
      </c>
      <c r="B1358" s="17">
        <v>71.451881999999998</v>
      </c>
      <c r="C1358" s="18"/>
      <c r="D1358" s="19"/>
    </row>
    <row r="1359" spans="1:4" x14ac:dyDescent="0.3">
      <c r="A1359" s="16">
        <v>45449.275694000004</v>
      </c>
      <c r="B1359" s="17">
        <v>70.981508000000005</v>
      </c>
      <c r="C1359" s="18"/>
      <c r="D1359" s="19"/>
    </row>
    <row r="1360" spans="1:4" x14ac:dyDescent="0.3">
      <c r="A1360" s="16">
        <v>45449.276388999999</v>
      </c>
      <c r="B1360" s="17">
        <v>70.924869000000001</v>
      </c>
      <c r="C1360" s="18"/>
      <c r="D1360" s="19"/>
    </row>
    <row r="1361" spans="1:4" x14ac:dyDescent="0.3">
      <c r="A1361" s="16">
        <v>45449.277083000001</v>
      </c>
      <c r="B1361" s="17">
        <v>71.149894000000003</v>
      </c>
      <c r="C1361" s="18"/>
      <c r="D1361" s="19"/>
    </row>
    <row r="1362" spans="1:4" x14ac:dyDescent="0.3">
      <c r="A1362" s="16">
        <v>45449.277778000003</v>
      </c>
      <c r="B1362" s="17">
        <v>71.466485000000006</v>
      </c>
      <c r="C1362" s="18"/>
      <c r="D1362" s="19"/>
    </row>
    <row r="1363" spans="1:4" x14ac:dyDescent="0.3">
      <c r="A1363" s="16">
        <v>45449.278471999998</v>
      </c>
      <c r="B1363" s="17">
        <v>71.140855999999999</v>
      </c>
      <c r="C1363" s="18"/>
      <c r="D1363" s="19"/>
    </row>
    <row r="1364" spans="1:4" x14ac:dyDescent="0.3">
      <c r="A1364" s="16">
        <v>45449.279167000001</v>
      </c>
      <c r="B1364" s="17">
        <v>71.304490000000001</v>
      </c>
      <c r="C1364" s="18"/>
      <c r="D1364" s="19"/>
    </row>
    <row r="1365" spans="1:4" x14ac:dyDescent="0.3">
      <c r="A1365" s="16">
        <v>45449.279861000003</v>
      </c>
      <c r="B1365" s="17">
        <v>71.354177000000007</v>
      </c>
      <c r="C1365" s="18"/>
      <c r="D1365" s="19"/>
    </row>
    <row r="1366" spans="1:4" x14ac:dyDescent="0.3">
      <c r="A1366" s="16">
        <v>45449.280555999998</v>
      </c>
      <c r="B1366" s="17">
        <v>70.964207999999999</v>
      </c>
      <c r="C1366" s="18"/>
      <c r="D1366" s="19"/>
    </row>
    <row r="1367" spans="1:4" x14ac:dyDescent="0.3">
      <c r="A1367" s="16">
        <v>45449.28125</v>
      </c>
      <c r="B1367" s="17">
        <v>70.984767000000005</v>
      </c>
      <c r="C1367" s="18"/>
      <c r="D1367" s="19"/>
    </row>
    <row r="1368" spans="1:4" x14ac:dyDescent="0.3">
      <c r="A1368" s="16">
        <v>45449.281944000002</v>
      </c>
      <c r="B1368" s="17">
        <v>70.903874999999999</v>
      </c>
      <c r="C1368" s="18"/>
      <c r="D1368" s="19"/>
    </row>
    <row r="1369" spans="1:4" x14ac:dyDescent="0.3">
      <c r="A1369" s="16">
        <v>45449.282638999997</v>
      </c>
      <c r="B1369" s="17">
        <v>71.057754000000003</v>
      </c>
      <c r="C1369" s="18"/>
      <c r="D1369" s="19"/>
    </row>
    <row r="1370" spans="1:4" x14ac:dyDescent="0.3">
      <c r="A1370" s="16">
        <v>45449.283332999999</v>
      </c>
      <c r="B1370" s="17">
        <v>71.041630999999995</v>
      </c>
      <c r="C1370" s="18"/>
      <c r="D1370" s="19"/>
    </row>
    <row r="1371" spans="1:4" x14ac:dyDescent="0.3">
      <c r="A1371" s="16">
        <v>45449.284028000002</v>
      </c>
      <c r="B1371" s="17">
        <v>70.820240999999996</v>
      </c>
      <c r="C1371" s="18"/>
      <c r="D1371" s="19"/>
    </row>
    <row r="1372" spans="1:4" x14ac:dyDescent="0.3">
      <c r="A1372" s="16">
        <v>45449.284721999997</v>
      </c>
      <c r="B1372" s="17">
        <v>70.779111</v>
      </c>
      <c r="C1372" s="18"/>
      <c r="D1372" s="19"/>
    </row>
    <row r="1373" spans="1:4" x14ac:dyDescent="0.3">
      <c r="A1373" s="16">
        <v>45449.285416999999</v>
      </c>
      <c r="B1373" s="17">
        <v>70.526825000000002</v>
      </c>
      <c r="C1373" s="18"/>
      <c r="D1373" s="19"/>
    </row>
    <row r="1374" spans="1:4" x14ac:dyDescent="0.3">
      <c r="A1374" s="16">
        <v>45449.286111000001</v>
      </c>
      <c r="B1374" s="17">
        <v>70.920305999999997</v>
      </c>
      <c r="C1374" s="18"/>
      <c r="D1374" s="19"/>
    </row>
    <row r="1375" spans="1:4" x14ac:dyDescent="0.3">
      <c r="A1375" s="16">
        <v>45449.286805999996</v>
      </c>
      <c r="B1375" s="17">
        <v>70.892634999999999</v>
      </c>
      <c r="C1375" s="18"/>
      <c r="D1375" s="19"/>
    </row>
    <row r="1376" spans="1:4" x14ac:dyDescent="0.3">
      <c r="A1376" s="16">
        <v>45449.287499999999</v>
      </c>
      <c r="B1376" s="17">
        <v>70.806336999999999</v>
      </c>
      <c r="C1376" s="18"/>
      <c r="D1376" s="19"/>
    </row>
    <row r="1377" spans="1:4" x14ac:dyDescent="0.3">
      <c r="A1377" s="16">
        <v>45449.288194000001</v>
      </c>
      <c r="B1377" s="17">
        <v>71.023097000000007</v>
      </c>
      <c r="C1377" s="18"/>
      <c r="D1377" s="19"/>
    </row>
    <row r="1378" spans="1:4" x14ac:dyDescent="0.3">
      <c r="A1378" s="16">
        <v>45449.288889000003</v>
      </c>
      <c r="B1378" s="17">
        <v>70.712705</v>
      </c>
      <c r="C1378" s="18"/>
      <c r="D1378" s="19"/>
    </row>
    <row r="1379" spans="1:4" x14ac:dyDescent="0.3">
      <c r="A1379" s="16">
        <v>45449.289582999998</v>
      </c>
      <c r="B1379" s="17">
        <v>70.810666999999995</v>
      </c>
      <c r="C1379" s="18"/>
      <c r="D1379" s="19"/>
    </row>
    <row r="1380" spans="1:4" x14ac:dyDescent="0.3">
      <c r="A1380" s="16">
        <v>45449.290278</v>
      </c>
      <c r="B1380" s="17">
        <v>70.934321999999995</v>
      </c>
      <c r="C1380" s="18"/>
      <c r="D1380" s="19"/>
    </row>
    <row r="1381" spans="1:4" x14ac:dyDescent="0.3">
      <c r="A1381" s="16">
        <v>45449.290972000003</v>
      </c>
      <c r="B1381" s="17">
        <v>70.844559000000004</v>
      </c>
      <c r="C1381" s="18"/>
      <c r="D1381" s="19"/>
    </row>
    <row r="1382" spans="1:4" x14ac:dyDescent="0.3">
      <c r="A1382" s="16">
        <v>45449.291666999998</v>
      </c>
      <c r="B1382" s="17">
        <v>70.587584000000007</v>
      </c>
      <c r="C1382" s="18"/>
      <c r="D1382" s="19"/>
    </row>
    <row r="1383" spans="1:4" x14ac:dyDescent="0.3">
      <c r="A1383" s="16">
        <v>45449.292361</v>
      </c>
      <c r="B1383" s="17">
        <v>70.484941000000006</v>
      </c>
      <c r="C1383" s="18"/>
      <c r="D1383" s="19"/>
    </row>
    <row r="1384" spans="1:4" x14ac:dyDescent="0.3">
      <c r="A1384" s="16">
        <v>45449.293056000002</v>
      </c>
      <c r="B1384" s="17">
        <v>70.851888000000002</v>
      </c>
      <c r="C1384" s="18"/>
      <c r="D1384" s="19"/>
    </row>
    <row r="1385" spans="1:4" x14ac:dyDescent="0.3">
      <c r="A1385" s="16">
        <v>45449.293749999997</v>
      </c>
      <c r="B1385" s="17">
        <v>71.250082000000006</v>
      </c>
      <c r="C1385" s="18"/>
      <c r="D1385" s="19"/>
    </row>
    <row r="1386" spans="1:4" x14ac:dyDescent="0.3">
      <c r="A1386" s="16">
        <v>45449.294443999999</v>
      </c>
      <c r="B1386" s="17">
        <v>70.315473999999995</v>
      </c>
      <c r="C1386" s="18"/>
      <c r="D1386" s="19"/>
    </row>
    <row r="1387" spans="1:4" x14ac:dyDescent="0.3">
      <c r="A1387" s="16">
        <v>45449.295139000002</v>
      </c>
      <c r="B1387" s="17">
        <v>70.966943000000001</v>
      </c>
      <c r="C1387" s="18"/>
      <c r="D1387" s="19"/>
    </row>
    <row r="1388" spans="1:4" x14ac:dyDescent="0.3">
      <c r="A1388" s="16">
        <v>45449.295832999996</v>
      </c>
      <c r="B1388" s="17">
        <v>70.669706000000005</v>
      </c>
      <c r="C1388" s="18"/>
      <c r="D1388" s="19"/>
    </row>
    <row r="1389" spans="1:4" x14ac:dyDescent="0.3">
      <c r="A1389" s="16">
        <v>45449.296527999999</v>
      </c>
      <c r="B1389" s="17">
        <v>70.727591000000004</v>
      </c>
      <c r="C1389" s="18"/>
      <c r="D1389" s="19"/>
    </row>
    <row r="1390" spans="1:4" x14ac:dyDescent="0.3">
      <c r="A1390" s="16">
        <v>45449.297222000001</v>
      </c>
      <c r="B1390" s="17">
        <v>70.742208000000005</v>
      </c>
      <c r="C1390" s="18"/>
      <c r="D1390" s="19"/>
    </row>
    <row r="1391" spans="1:4" x14ac:dyDescent="0.3">
      <c r="A1391" s="16">
        <v>45449.297917000004</v>
      </c>
      <c r="B1391" s="17">
        <v>70.831598</v>
      </c>
      <c r="C1391" s="18"/>
      <c r="D1391" s="19"/>
    </row>
    <row r="1392" spans="1:4" x14ac:dyDescent="0.3">
      <c r="A1392" s="16">
        <v>45449.298610999998</v>
      </c>
      <c r="B1392" s="17">
        <v>71.229011</v>
      </c>
      <c r="C1392" s="18"/>
      <c r="D1392" s="19"/>
    </row>
    <row r="1393" spans="1:4" x14ac:dyDescent="0.3">
      <c r="A1393" s="16">
        <v>45449.299306000001</v>
      </c>
      <c r="B1393" s="17">
        <v>70.941806999999997</v>
      </c>
      <c r="C1393" s="18"/>
      <c r="D1393" s="19"/>
    </row>
    <row r="1394" spans="1:4" x14ac:dyDescent="0.3">
      <c r="A1394" s="16">
        <v>45449.3</v>
      </c>
      <c r="B1394" s="17">
        <v>70.664790999999994</v>
      </c>
      <c r="C1394" s="18"/>
      <c r="D1394" s="19"/>
    </row>
    <row r="1395" spans="1:4" x14ac:dyDescent="0.3">
      <c r="A1395" s="16">
        <v>45449.300693999998</v>
      </c>
      <c r="B1395" s="17">
        <v>70.739616999999996</v>
      </c>
      <c r="C1395" s="18"/>
      <c r="D1395" s="19"/>
    </row>
    <row r="1396" spans="1:4" x14ac:dyDescent="0.3">
      <c r="A1396" s="16">
        <v>45449.301389</v>
      </c>
      <c r="B1396" s="17">
        <v>70.666026000000002</v>
      </c>
      <c r="C1396" s="18"/>
      <c r="D1396" s="19"/>
    </row>
    <row r="1397" spans="1:4" x14ac:dyDescent="0.3">
      <c r="A1397" s="16">
        <v>45449.302083000002</v>
      </c>
      <c r="B1397" s="17">
        <v>70.569390999999996</v>
      </c>
      <c r="C1397" s="18"/>
      <c r="D1397" s="19"/>
    </row>
    <row r="1398" spans="1:4" x14ac:dyDescent="0.3">
      <c r="A1398" s="16">
        <v>45449.302777999997</v>
      </c>
      <c r="B1398" s="17">
        <v>70.703494000000006</v>
      </c>
      <c r="C1398" s="18"/>
      <c r="D1398" s="19"/>
    </row>
    <row r="1399" spans="1:4" x14ac:dyDescent="0.3">
      <c r="A1399" s="16">
        <v>45449.303472</v>
      </c>
      <c r="B1399" s="17">
        <v>70.803494000000001</v>
      </c>
      <c r="C1399" s="18"/>
      <c r="D1399" s="19"/>
    </row>
    <row r="1400" spans="1:4" x14ac:dyDescent="0.3">
      <c r="A1400" s="16">
        <v>45449.304167000002</v>
      </c>
      <c r="B1400" s="17">
        <v>70.640101999999999</v>
      </c>
      <c r="C1400" s="18"/>
      <c r="D1400" s="19"/>
    </row>
    <row r="1401" spans="1:4" x14ac:dyDescent="0.3">
      <c r="A1401" s="16">
        <v>45449.304860999997</v>
      </c>
      <c r="B1401" s="17">
        <v>70.481005999999994</v>
      </c>
      <c r="C1401" s="18"/>
      <c r="D1401" s="19"/>
    </row>
    <row r="1402" spans="1:4" x14ac:dyDescent="0.3">
      <c r="A1402" s="16">
        <v>45449.305555999999</v>
      </c>
      <c r="B1402" s="17">
        <v>70.832032999999996</v>
      </c>
      <c r="C1402" s="18"/>
      <c r="D1402" s="19"/>
    </row>
    <row r="1403" spans="1:4" x14ac:dyDescent="0.3">
      <c r="A1403" s="16">
        <v>45449.306250000001</v>
      </c>
      <c r="B1403" s="17">
        <v>70.959263000000007</v>
      </c>
      <c r="C1403" s="18"/>
      <c r="D1403" s="19"/>
    </row>
    <row r="1404" spans="1:4" x14ac:dyDescent="0.3">
      <c r="A1404" s="16">
        <v>45449.306944000004</v>
      </c>
      <c r="B1404" s="17">
        <v>70.605011000000005</v>
      </c>
      <c r="C1404" s="18"/>
      <c r="D1404" s="19"/>
    </row>
    <row r="1405" spans="1:4" x14ac:dyDescent="0.3">
      <c r="A1405" s="16">
        <v>45449.307638999999</v>
      </c>
      <c r="B1405" s="17">
        <v>70.467749999999995</v>
      </c>
      <c r="C1405" s="18"/>
      <c r="D1405" s="19"/>
    </row>
    <row r="1406" spans="1:4" x14ac:dyDescent="0.3">
      <c r="A1406" s="16">
        <v>45449.308333000001</v>
      </c>
      <c r="B1406" s="17">
        <v>70.841920999999999</v>
      </c>
      <c r="C1406" s="18"/>
      <c r="D1406" s="19"/>
    </row>
    <row r="1407" spans="1:4" x14ac:dyDescent="0.3">
      <c r="A1407" s="16">
        <v>45449.309028000003</v>
      </c>
      <c r="B1407" s="17">
        <v>71.090846999999997</v>
      </c>
      <c r="C1407" s="18"/>
      <c r="D1407" s="19"/>
    </row>
    <row r="1408" spans="1:4" x14ac:dyDescent="0.3">
      <c r="A1408" s="16">
        <v>45449.309721999998</v>
      </c>
      <c r="B1408" s="17">
        <v>70.527826000000005</v>
      </c>
      <c r="C1408" s="18"/>
      <c r="D1408" s="19"/>
    </row>
    <row r="1409" spans="1:4" x14ac:dyDescent="0.3">
      <c r="A1409" s="16">
        <v>45449.310417000001</v>
      </c>
      <c r="B1409" s="17">
        <v>70.721659000000002</v>
      </c>
      <c r="C1409" s="18"/>
      <c r="D1409" s="19"/>
    </row>
    <row r="1410" spans="1:4" x14ac:dyDescent="0.3">
      <c r="A1410" s="16">
        <v>45449.311111000003</v>
      </c>
      <c r="B1410" s="17">
        <v>70.721168000000006</v>
      </c>
      <c r="C1410" s="18"/>
      <c r="D1410" s="19"/>
    </row>
    <row r="1411" spans="1:4" x14ac:dyDescent="0.3">
      <c r="A1411" s="16">
        <v>45449.311805999998</v>
      </c>
      <c r="B1411" s="17">
        <v>71.046425999999997</v>
      </c>
      <c r="C1411" s="18"/>
      <c r="D1411" s="19"/>
    </row>
    <row r="1412" spans="1:4" x14ac:dyDescent="0.3">
      <c r="A1412" s="16">
        <v>45449.3125</v>
      </c>
      <c r="B1412" s="17">
        <v>70.673152000000002</v>
      </c>
      <c r="C1412" s="18"/>
      <c r="D1412" s="19"/>
    </row>
    <row r="1413" spans="1:4" x14ac:dyDescent="0.3">
      <c r="A1413" s="16">
        <v>45449.313194000002</v>
      </c>
      <c r="B1413" s="17">
        <v>70.720742000000001</v>
      </c>
      <c r="C1413" s="18"/>
      <c r="D1413" s="19"/>
    </row>
    <row r="1414" spans="1:4" x14ac:dyDescent="0.3">
      <c r="A1414" s="16">
        <v>45449.313888999997</v>
      </c>
      <c r="B1414" s="17">
        <v>70.684247999999997</v>
      </c>
      <c r="C1414" s="18"/>
      <c r="D1414" s="19"/>
    </row>
    <row r="1415" spans="1:4" x14ac:dyDescent="0.3">
      <c r="A1415" s="16">
        <v>45449.314582999999</v>
      </c>
      <c r="B1415" s="17">
        <v>70.883534999999995</v>
      </c>
      <c r="C1415" s="18"/>
      <c r="D1415" s="19"/>
    </row>
    <row r="1416" spans="1:4" x14ac:dyDescent="0.3">
      <c r="A1416" s="16">
        <v>45449.315278000002</v>
      </c>
      <c r="B1416" s="17">
        <v>70.353757999999999</v>
      </c>
      <c r="C1416" s="18"/>
      <c r="D1416" s="19"/>
    </row>
    <row r="1417" spans="1:4" x14ac:dyDescent="0.3">
      <c r="A1417" s="16">
        <v>45449.315971999997</v>
      </c>
      <c r="B1417" s="17">
        <v>70.547732999999994</v>
      </c>
      <c r="C1417" s="18"/>
      <c r="D1417" s="19"/>
    </row>
    <row r="1418" spans="1:4" x14ac:dyDescent="0.3">
      <c r="A1418" s="16">
        <v>45449.316666999999</v>
      </c>
      <c r="B1418" s="17">
        <v>70.749146999999994</v>
      </c>
      <c r="C1418" s="18"/>
      <c r="D1418" s="19"/>
    </row>
    <row r="1419" spans="1:4" x14ac:dyDescent="0.3">
      <c r="A1419" s="16">
        <v>45449.317361000001</v>
      </c>
      <c r="B1419" s="17">
        <v>70.690560000000005</v>
      </c>
      <c r="C1419" s="18"/>
      <c r="D1419" s="19"/>
    </row>
    <row r="1420" spans="1:4" x14ac:dyDescent="0.3">
      <c r="A1420" s="16">
        <v>45449.318055999996</v>
      </c>
      <c r="B1420" s="17">
        <v>70.651325999999997</v>
      </c>
      <c r="C1420" s="18"/>
      <c r="D1420" s="19"/>
    </row>
    <row r="1421" spans="1:4" x14ac:dyDescent="0.3">
      <c r="A1421" s="16">
        <v>45449.318749999999</v>
      </c>
      <c r="B1421" s="17">
        <v>70.311074000000005</v>
      </c>
      <c r="C1421" s="18"/>
      <c r="D1421" s="19"/>
    </row>
    <row r="1422" spans="1:4" x14ac:dyDescent="0.3">
      <c r="A1422" s="16">
        <v>45449.319444000001</v>
      </c>
      <c r="B1422" s="17">
        <v>70.864756999999997</v>
      </c>
      <c r="C1422" s="18"/>
      <c r="D1422" s="19"/>
    </row>
    <row r="1423" spans="1:4" x14ac:dyDescent="0.3">
      <c r="A1423" s="16">
        <v>45449.320139000003</v>
      </c>
      <c r="B1423" s="17">
        <v>70.686199999999999</v>
      </c>
      <c r="C1423" s="18"/>
      <c r="D1423" s="19"/>
    </row>
    <row r="1424" spans="1:4" x14ac:dyDescent="0.3">
      <c r="A1424" s="16">
        <v>45449.320832999998</v>
      </c>
      <c r="B1424" s="17">
        <v>63.602535000000003</v>
      </c>
      <c r="C1424" s="18"/>
      <c r="D1424" s="19"/>
    </row>
    <row r="1425" spans="1:4" x14ac:dyDescent="0.3">
      <c r="A1425" s="16">
        <v>45449.321528</v>
      </c>
      <c r="B1425" s="17">
        <v>58.248460000000001</v>
      </c>
      <c r="C1425" s="18"/>
      <c r="D1425" s="19"/>
    </row>
    <row r="1426" spans="1:4" x14ac:dyDescent="0.3">
      <c r="A1426" s="16">
        <v>45449.322222000003</v>
      </c>
      <c r="B1426" s="17">
        <v>58.143709999999999</v>
      </c>
      <c r="C1426" s="18"/>
      <c r="D1426" s="19"/>
    </row>
    <row r="1427" spans="1:4" x14ac:dyDescent="0.3">
      <c r="A1427" s="16">
        <v>45449.322916999998</v>
      </c>
      <c r="B1427" s="17">
        <v>57.817928000000002</v>
      </c>
      <c r="C1427" s="18"/>
      <c r="D1427" s="19"/>
    </row>
    <row r="1428" spans="1:4" x14ac:dyDescent="0.3">
      <c r="A1428" s="16">
        <v>45449.323611</v>
      </c>
      <c r="B1428" s="17">
        <v>58.069060999999998</v>
      </c>
      <c r="C1428" s="18"/>
      <c r="D1428" s="19"/>
    </row>
    <row r="1429" spans="1:4" x14ac:dyDescent="0.3">
      <c r="A1429" s="16">
        <v>45449.324306000002</v>
      </c>
      <c r="B1429" s="17">
        <v>57.845300999999999</v>
      </c>
      <c r="C1429" s="18"/>
      <c r="D1429" s="19"/>
    </row>
    <row r="1430" spans="1:4" x14ac:dyDescent="0.3">
      <c r="A1430" s="16">
        <v>45449.324999999997</v>
      </c>
      <c r="B1430" s="17">
        <v>57.671436</v>
      </c>
      <c r="C1430" s="18"/>
      <c r="D1430" s="19"/>
    </row>
    <row r="1431" spans="1:4" x14ac:dyDescent="0.3">
      <c r="A1431" s="16">
        <v>45449.325693999999</v>
      </c>
      <c r="B1431" s="17">
        <v>57.825560000000003</v>
      </c>
      <c r="C1431" s="18"/>
      <c r="D1431" s="19"/>
    </row>
    <row r="1432" spans="1:4" x14ac:dyDescent="0.3">
      <c r="A1432" s="16">
        <v>45449.326389000002</v>
      </c>
      <c r="B1432" s="17">
        <v>57.733459000000003</v>
      </c>
      <c r="C1432" s="18"/>
      <c r="D1432" s="19"/>
    </row>
    <row r="1433" spans="1:4" x14ac:dyDescent="0.3">
      <c r="A1433" s="16">
        <v>45449.327082999996</v>
      </c>
      <c r="B1433" s="17">
        <v>57.727708</v>
      </c>
      <c r="C1433" s="18"/>
      <c r="D1433" s="19"/>
    </row>
    <row r="1434" spans="1:4" x14ac:dyDescent="0.3">
      <c r="A1434" s="16">
        <v>45449.327777999999</v>
      </c>
      <c r="B1434" s="17">
        <v>56.012337000000002</v>
      </c>
      <c r="C1434" s="18"/>
      <c r="D1434" s="19"/>
    </row>
    <row r="1435" spans="1:4" x14ac:dyDescent="0.3">
      <c r="A1435" s="16">
        <v>45449.328472000001</v>
      </c>
      <c r="B1435" s="17">
        <v>52.890514000000003</v>
      </c>
      <c r="C1435" s="18"/>
      <c r="D1435" s="19"/>
    </row>
    <row r="1436" spans="1:4" x14ac:dyDescent="0.3">
      <c r="A1436" s="16">
        <v>45449.329167000004</v>
      </c>
      <c r="B1436" s="17">
        <v>54.032229999999998</v>
      </c>
      <c r="C1436" s="18"/>
      <c r="D1436" s="19"/>
    </row>
    <row r="1437" spans="1:4" x14ac:dyDescent="0.3">
      <c r="A1437" s="16">
        <v>45449.329860999998</v>
      </c>
      <c r="B1437" s="17">
        <v>53.968781</v>
      </c>
      <c r="C1437" s="18"/>
      <c r="D1437" s="19"/>
    </row>
    <row r="1438" spans="1:4" x14ac:dyDescent="0.3">
      <c r="A1438" s="16">
        <v>45449.330556000001</v>
      </c>
      <c r="B1438" s="17">
        <v>53.527411999999998</v>
      </c>
      <c r="C1438" s="18"/>
      <c r="D1438" s="19"/>
    </row>
    <row r="1439" spans="1:4" x14ac:dyDescent="0.3">
      <c r="A1439" s="16">
        <v>45449.331250000003</v>
      </c>
      <c r="B1439" s="17">
        <v>53.973030000000001</v>
      </c>
      <c r="C1439" s="18"/>
      <c r="D1439" s="19"/>
    </row>
    <row r="1440" spans="1:4" x14ac:dyDescent="0.3">
      <c r="A1440" s="16">
        <v>45449.331943999998</v>
      </c>
      <c r="B1440" s="17">
        <v>53.628450000000001</v>
      </c>
      <c r="C1440" s="18"/>
      <c r="D1440" s="19"/>
    </row>
    <row r="1441" spans="1:4" x14ac:dyDescent="0.3">
      <c r="A1441" s="16">
        <v>45449.332639</v>
      </c>
      <c r="B1441" s="17">
        <v>53.679164</v>
      </c>
      <c r="C1441" s="18"/>
      <c r="D1441" s="19"/>
    </row>
    <row r="1442" spans="1:4" x14ac:dyDescent="0.3">
      <c r="A1442" s="16">
        <v>45449.333333000002</v>
      </c>
      <c r="B1442" s="17">
        <v>53.747270999999998</v>
      </c>
      <c r="C1442" s="18"/>
      <c r="D1442" s="19"/>
    </row>
    <row r="1443" spans="1:4" x14ac:dyDescent="0.3">
      <c r="A1443" s="16">
        <v>45449.334027999997</v>
      </c>
      <c r="B1443" s="17">
        <v>53.775672</v>
      </c>
      <c r="C1443" s="18"/>
      <c r="D1443" s="19"/>
    </row>
    <row r="1444" spans="1:4" x14ac:dyDescent="0.3">
      <c r="A1444" s="16">
        <v>45449.334722</v>
      </c>
      <c r="B1444" s="17">
        <v>53.730434000000002</v>
      </c>
      <c r="C1444" s="18"/>
      <c r="D1444" s="19"/>
    </row>
    <row r="1445" spans="1:4" x14ac:dyDescent="0.3">
      <c r="A1445" s="16">
        <v>45449.335417000002</v>
      </c>
      <c r="B1445" s="17">
        <v>53.841372</v>
      </c>
      <c r="C1445" s="18"/>
      <c r="D1445" s="19"/>
    </row>
    <row r="1446" spans="1:4" x14ac:dyDescent="0.3">
      <c r="A1446" s="16">
        <v>45449.336110999997</v>
      </c>
      <c r="B1446" s="17">
        <v>54.137141999999997</v>
      </c>
      <c r="C1446" s="18"/>
      <c r="D1446" s="19"/>
    </row>
    <row r="1447" spans="1:4" x14ac:dyDescent="0.3">
      <c r="A1447" s="16">
        <v>45449.336805999999</v>
      </c>
      <c r="B1447" s="17">
        <v>54.351717000000001</v>
      </c>
      <c r="C1447" s="18"/>
      <c r="D1447" s="19"/>
    </row>
    <row r="1448" spans="1:4" x14ac:dyDescent="0.3">
      <c r="A1448" s="16">
        <v>45449.337500000001</v>
      </c>
      <c r="B1448" s="17">
        <v>54.300319999999999</v>
      </c>
      <c r="C1448" s="18"/>
      <c r="D1448" s="19"/>
    </row>
    <row r="1449" spans="1:4" x14ac:dyDescent="0.3">
      <c r="A1449" s="16">
        <v>45449.338194000004</v>
      </c>
      <c r="B1449" s="17">
        <v>54.653419999999997</v>
      </c>
      <c r="C1449" s="18"/>
      <c r="D1449" s="19"/>
    </row>
    <row r="1450" spans="1:4" x14ac:dyDescent="0.3">
      <c r="A1450" s="16">
        <v>45449.338888999999</v>
      </c>
      <c r="B1450" s="17">
        <v>54.535249999999998</v>
      </c>
      <c r="C1450" s="18"/>
      <c r="D1450" s="19"/>
    </row>
    <row r="1451" spans="1:4" x14ac:dyDescent="0.3">
      <c r="A1451" s="16">
        <v>45449.339583000001</v>
      </c>
      <c r="B1451" s="17">
        <v>54.961728000000001</v>
      </c>
      <c r="C1451" s="18"/>
      <c r="D1451" s="19"/>
    </row>
    <row r="1452" spans="1:4" x14ac:dyDescent="0.3">
      <c r="A1452" s="16">
        <v>45449.340278000003</v>
      </c>
      <c r="B1452" s="17">
        <v>54.907428000000003</v>
      </c>
      <c r="C1452" s="18"/>
      <c r="D1452" s="19"/>
    </row>
    <row r="1453" spans="1:4" x14ac:dyDescent="0.3">
      <c r="A1453" s="16">
        <v>45449.340971999998</v>
      </c>
      <c r="B1453" s="17">
        <v>54.822114999999997</v>
      </c>
      <c r="C1453" s="18"/>
      <c r="D1453" s="19"/>
    </row>
    <row r="1454" spans="1:4" x14ac:dyDescent="0.3">
      <c r="A1454" s="16">
        <v>45449.341667000001</v>
      </c>
      <c r="B1454" s="17">
        <v>55.085541999999997</v>
      </c>
      <c r="C1454" s="18"/>
      <c r="D1454" s="19"/>
    </row>
    <row r="1455" spans="1:4" x14ac:dyDescent="0.3">
      <c r="A1455" s="16">
        <v>45449.342361000003</v>
      </c>
      <c r="B1455" s="17">
        <v>54.932380999999999</v>
      </c>
      <c r="C1455" s="18"/>
      <c r="D1455" s="19"/>
    </row>
    <row r="1456" spans="1:4" x14ac:dyDescent="0.3">
      <c r="A1456" s="16">
        <v>45449.343055999998</v>
      </c>
      <c r="B1456" s="17">
        <v>55.154234000000002</v>
      </c>
      <c r="C1456" s="18"/>
      <c r="D1456" s="19"/>
    </row>
    <row r="1457" spans="1:4" x14ac:dyDescent="0.3">
      <c r="A1457" s="16">
        <v>45449.34375</v>
      </c>
      <c r="B1457" s="17">
        <v>55.158225000000002</v>
      </c>
      <c r="C1457" s="18"/>
      <c r="D1457" s="19"/>
    </row>
    <row r="1458" spans="1:4" x14ac:dyDescent="0.3">
      <c r="A1458" s="16">
        <v>45449.344444000002</v>
      </c>
      <c r="B1458" s="17">
        <v>55.428640999999999</v>
      </c>
      <c r="C1458" s="18"/>
      <c r="D1458" s="19"/>
    </row>
    <row r="1459" spans="1:4" x14ac:dyDescent="0.3">
      <c r="A1459" s="16">
        <v>45449.345138999997</v>
      </c>
      <c r="B1459" s="17">
        <v>55.214855</v>
      </c>
      <c r="C1459" s="18"/>
      <c r="D1459" s="19"/>
    </row>
    <row r="1460" spans="1:4" x14ac:dyDescent="0.3">
      <c r="A1460" s="16">
        <v>45449.345832999999</v>
      </c>
      <c r="B1460" s="17">
        <v>55.464080000000003</v>
      </c>
      <c r="C1460" s="18"/>
      <c r="D1460" s="19"/>
    </row>
    <row r="1461" spans="1:4" x14ac:dyDescent="0.3">
      <c r="A1461" s="16">
        <v>45449.346528000002</v>
      </c>
      <c r="B1461" s="17">
        <v>55.363934999999998</v>
      </c>
      <c r="C1461" s="18"/>
      <c r="D1461" s="19"/>
    </row>
    <row r="1462" spans="1:4" x14ac:dyDescent="0.3">
      <c r="A1462" s="16">
        <v>45449.347221999997</v>
      </c>
      <c r="B1462" s="17">
        <v>55.647053</v>
      </c>
      <c r="C1462" s="18"/>
      <c r="D1462" s="19"/>
    </row>
    <row r="1463" spans="1:4" x14ac:dyDescent="0.3">
      <c r="A1463" s="16">
        <v>45449.347916999999</v>
      </c>
      <c r="B1463" s="17">
        <v>55.711689</v>
      </c>
      <c r="C1463" s="18"/>
      <c r="D1463" s="19"/>
    </row>
    <row r="1464" spans="1:4" x14ac:dyDescent="0.3">
      <c r="A1464" s="16">
        <v>45449.348611000001</v>
      </c>
      <c r="B1464" s="17">
        <v>55.554309000000003</v>
      </c>
      <c r="C1464" s="18"/>
      <c r="D1464" s="19"/>
    </row>
    <row r="1465" spans="1:4" x14ac:dyDescent="0.3">
      <c r="A1465" s="16">
        <v>45449.349305999996</v>
      </c>
      <c r="B1465" s="17">
        <v>55.527164999999997</v>
      </c>
      <c r="C1465" s="18"/>
      <c r="D1465" s="19"/>
    </row>
    <row r="1466" spans="1:4" x14ac:dyDescent="0.3">
      <c r="A1466" s="16">
        <v>45449.35</v>
      </c>
      <c r="B1466" s="17">
        <v>55.844315000000002</v>
      </c>
      <c r="C1466" s="18"/>
      <c r="D1466" s="19"/>
    </row>
    <row r="1467" spans="1:4" x14ac:dyDescent="0.3">
      <c r="A1467" s="16">
        <v>45449.350694000001</v>
      </c>
      <c r="B1467" s="17">
        <v>56.159323999999998</v>
      </c>
      <c r="C1467" s="18"/>
      <c r="D1467" s="19"/>
    </row>
    <row r="1468" spans="1:4" x14ac:dyDescent="0.3">
      <c r="A1468" s="16">
        <v>45449.351389000003</v>
      </c>
      <c r="B1468" s="17">
        <v>56.076622999999998</v>
      </c>
      <c r="C1468" s="18"/>
      <c r="D1468" s="19"/>
    </row>
    <row r="1469" spans="1:4" x14ac:dyDescent="0.3">
      <c r="A1469" s="16">
        <v>45449.352082999998</v>
      </c>
      <c r="B1469" s="17">
        <v>55.877679999999998</v>
      </c>
      <c r="C1469" s="18"/>
      <c r="D1469" s="19"/>
    </row>
    <row r="1470" spans="1:4" x14ac:dyDescent="0.3">
      <c r="A1470" s="16">
        <v>45449.352778</v>
      </c>
      <c r="B1470" s="17">
        <v>55.900258999999998</v>
      </c>
      <c r="C1470" s="18"/>
      <c r="D1470" s="19"/>
    </row>
    <row r="1471" spans="1:4" x14ac:dyDescent="0.3">
      <c r="A1471" s="16">
        <v>45449.353472000003</v>
      </c>
      <c r="B1471" s="17">
        <v>56.018203999999997</v>
      </c>
      <c r="C1471" s="18"/>
      <c r="D1471" s="19"/>
    </row>
    <row r="1472" spans="1:4" x14ac:dyDescent="0.3">
      <c r="A1472" s="16">
        <v>45449.354166999998</v>
      </c>
      <c r="B1472" s="17">
        <v>55.879733999999999</v>
      </c>
      <c r="C1472" s="18"/>
      <c r="D1472" s="19"/>
    </row>
    <row r="1473" spans="1:4" x14ac:dyDescent="0.3">
      <c r="A1473" s="16">
        <v>45449.354861</v>
      </c>
      <c r="B1473" s="17">
        <v>55.951014000000001</v>
      </c>
      <c r="C1473" s="18"/>
      <c r="D1473" s="19"/>
    </row>
    <row r="1474" spans="1:4" x14ac:dyDescent="0.3">
      <c r="A1474" s="16">
        <v>45449.355556000002</v>
      </c>
      <c r="B1474" s="17">
        <v>56.093805000000003</v>
      </c>
      <c r="C1474" s="18"/>
      <c r="D1474" s="19"/>
    </row>
    <row r="1475" spans="1:4" x14ac:dyDescent="0.3">
      <c r="A1475" s="16">
        <v>45449.356249999997</v>
      </c>
      <c r="B1475" s="17">
        <v>56.343561999999999</v>
      </c>
      <c r="C1475" s="18"/>
      <c r="D1475" s="19"/>
    </row>
    <row r="1476" spans="1:4" x14ac:dyDescent="0.3">
      <c r="A1476" s="16">
        <v>45449.356943999999</v>
      </c>
      <c r="B1476" s="17">
        <v>55.946950999999999</v>
      </c>
      <c r="C1476" s="18"/>
      <c r="D1476" s="19"/>
    </row>
    <row r="1477" spans="1:4" x14ac:dyDescent="0.3">
      <c r="A1477" s="16">
        <v>45449.357639000002</v>
      </c>
      <c r="B1477" s="17">
        <v>56.430486999999999</v>
      </c>
      <c r="C1477" s="18"/>
      <c r="D1477" s="19"/>
    </row>
    <row r="1478" spans="1:4" x14ac:dyDescent="0.3">
      <c r="A1478" s="16">
        <v>45449.358332999996</v>
      </c>
      <c r="B1478" s="17">
        <v>55.992966000000003</v>
      </c>
      <c r="C1478" s="18"/>
      <c r="D1478" s="19"/>
    </row>
    <row r="1479" spans="1:4" x14ac:dyDescent="0.3">
      <c r="A1479" s="16">
        <v>45449.359027999999</v>
      </c>
      <c r="B1479" s="17">
        <v>56.197454</v>
      </c>
      <c r="C1479" s="18"/>
      <c r="D1479" s="19"/>
    </row>
    <row r="1480" spans="1:4" x14ac:dyDescent="0.3">
      <c r="A1480" s="16">
        <v>45449.359722000001</v>
      </c>
      <c r="B1480" s="17">
        <v>56.420999999999999</v>
      </c>
      <c r="C1480" s="18"/>
      <c r="D1480" s="19"/>
    </row>
    <row r="1481" spans="1:4" x14ac:dyDescent="0.3">
      <c r="A1481" s="16">
        <v>45449.360417000004</v>
      </c>
      <c r="B1481" s="17">
        <v>56.343434999999999</v>
      </c>
      <c r="C1481" s="18"/>
      <c r="D1481" s="19"/>
    </row>
    <row r="1482" spans="1:4" x14ac:dyDescent="0.3">
      <c r="A1482" s="16">
        <v>45449.361110999998</v>
      </c>
      <c r="B1482" s="17">
        <v>56.430987000000002</v>
      </c>
      <c r="C1482" s="18"/>
      <c r="D1482" s="19"/>
    </row>
    <row r="1483" spans="1:4" x14ac:dyDescent="0.3">
      <c r="A1483" s="16">
        <v>45449.361806000001</v>
      </c>
      <c r="B1483" s="17">
        <v>56.623792000000002</v>
      </c>
      <c r="C1483" s="18"/>
      <c r="D1483" s="19"/>
    </row>
    <row r="1484" spans="1:4" x14ac:dyDescent="0.3">
      <c r="A1484" s="16">
        <v>45449.362500000003</v>
      </c>
      <c r="B1484" s="17">
        <v>56.669860999999997</v>
      </c>
      <c r="C1484" s="18"/>
      <c r="D1484" s="19"/>
    </row>
    <row r="1485" spans="1:4" x14ac:dyDescent="0.3">
      <c r="A1485" s="16">
        <v>45449.363193999998</v>
      </c>
      <c r="B1485" s="17">
        <v>56.646034</v>
      </c>
      <c r="C1485" s="18"/>
      <c r="D1485" s="19"/>
    </row>
    <row r="1486" spans="1:4" x14ac:dyDescent="0.3">
      <c r="A1486" s="16">
        <v>45449.363889</v>
      </c>
      <c r="B1486" s="17">
        <v>56.754064</v>
      </c>
      <c r="C1486" s="18"/>
      <c r="D1486" s="19"/>
    </row>
    <row r="1487" spans="1:4" x14ac:dyDescent="0.3">
      <c r="A1487" s="16">
        <v>45449.364583000002</v>
      </c>
      <c r="B1487" s="17">
        <v>56.619680000000002</v>
      </c>
      <c r="C1487" s="18"/>
      <c r="D1487" s="19"/>
    </row>
    <row r="1488" spans="1:4" x14ac:dyDescent="0.3">
      <c r="A1488" s="16">
        <v>45449.365277999997</v>
      </c>
      <c r="B1488" s="17">
        <v>57.128633000000001</v>
      </c>
      <c r="C1488" s="18"/>
      <c r="D1488" s="19"/>
    </row>
    <row r="1489" spans="1:4" x14ac:dyDescent="0.3">
      <c r="A1489" s="16">
        <v>45449.365972</v>
      </c>
      <c r="B1489" s="17">
        <v>56.646360000000001</v>
      </c>
      <c r="C1489" s="18"/>
      <c r="D1489" s="19"/>
    </row>
    <row r="1490" spans="1:4" x14ac:dyDescent="0.3">
      <c r="A1490" s="16">
        <v>45449.366667000002</v>
      </c>
      <c r="B1490" s="17">
        <v>56.935433000000003</v>
      </c>
      <c r="C1490" s="18"/>
      <c r="D1490" s="19"/>
    </row>
    <row r="1491" spans="1:4" x14ac:dyDescent="0.3">
      <c r="A1491" s="16">
        <v>45449.367360999997</v>
      </c>
      <c r="B1491" s="17">
        <v>56.953980000000001</v>
      </c>
      <c r="C1491" s="18"/>
      <c r="D1491" s="19"/>
    </row>
    <row r="1492" spans="1:4" x14ac:dyDescent="0.3">
      <c r="A1492" s="16">
        <v>45449.368055999999</v>
      </c>
      <c r="B1492" s="17">
        <v>56.982087</v>
      </c>
      <c r="C1492" s="18"/>
      <c r="D1492" s="19"/>
    </row>
    <row r="1493" spans="1:4" x14ac:dyDescent="0.3">
      <c r="A1493" s="16">
        <v>45449.368750000001</v>
      </c>
      <c r="B1493" s="17">
        <v>57.052804000000002</v>
      </c>
      <c r="C1493" s="18"/>
      <c r="D1493" s="19"/>
    </row>
    <row r="1494" spans="1:4" x14ac:dyDescent="0.3">
      <c r="A1494" s="16">
        <v>45449.369444000004</v>
      </c>
      <c r="B1494" s="17">
        <v>57.445582999999999</v>
      </c>
      <c r="C1494" s="18"/>
      <c r="D1494" s="19"/>
    </row>
    <row r="1495" spans="1:4" x14ac:dyDescent="0.3">
      <c r="A1495" s="16">
        <v>45449.370138999999</v>
      </c>
      <c r="B1495" s="17">
        <v>57.408408000000001</v>
      </c>
      <c r="C1495" s="18"/>
      <c r="D1495" s="19"/>
    </row>
    <row r="1496" spans="1:4" x14ac:dyDescent="0.3">
      <c r="A1496" s="16">
        <v>45449.370833000001</v>
      </c>
      <c r="B1496" s="17">
        <v>57.205227999999998</v>
      </c>
      <c r="C1496" s="18"/>
      <c r="D1496" s="19"/>
    </row>
    <row r="1497" spans="1:4" x14ac:dyDescent="0.3">
      <c r="A1497" s="16">
        <v>45449.371528000003</v>
      </c>
      <c r="B1497" s="17">
        <v>57.203457</v>
      </c>
      <c r="C1497" s="18"/>
      <c r="D1497" s="19"/>
    </row>
    <row r="1498" spans="1:4" x14ac:dyDescent="0.3">
      <c r="A1498" s="16">
        <v>45449.372221999998</v>
      </c>
      <c r="B1498" s="17">
        <v>57.047649</v>
      </c>
      <c r="C1498" s="18"/>
      <c r="D1498" s="19"/>
    </row>
    <row r="1499" spans="1:4" x14ac:dyDescent="0.3">
      <c r="A1499" s="16">
        <v>45449.372917000001</v>
      </c>
      <c r="B1499" s="17">
        <v>57.466262999999998</v>
      </c>
      <c r="C1499" s="18"/>
      <c r="D1499" s="19"/>
    </row>
    <row r="1500" spans="1:4" x14ac:dyDescent="0.3">
      <c r="A1500" s="16">
        <v>45449.373611000003</v>
      </c>
      <c r="B1500" s="17">
        <v>57.387393000000003</v>
      </c>
      <c r="C1500" s="18"/>
      <c r="D1500" s="19"/>
    </row>
    <row r="1501" spans="1:4" x14ac:dyDescent="0.3">
      <c r="A1501" s="16">
        <v>45449.374305999998</v>
      </c>
      <c r="B1501" s="17">
        <v>57.592261999999998</v>
      </c>
      <c r="C1501" s="18"/>
      <c r="D1501" s="19"/>
    </row>
    <row r="1502" spans="1:4" x14ac:dyDescent="0.3">
      <c r="A1502" s="16">
        <v>45449.375</v>
      </c>
      <c r="B1502" s="17">
        <v>57.149956000000003</v>
      </c>
      <c r="C1502" s="18"/>
      <c r="D1502" s="19"/>
    </row>
    <row r="1503" spans="1:4" x14ac:dyDescent="0.3">
      <c r="A1503" s="16">
        <v>45449.375694000002</v>
      </c>
      <c r="B1503" s="17">
        <v>57.382221000000001</v>
      </c>
      <c r="C1503" s="18"/>
      <c r="D1503" s="19"/>
    </row>
    <row r="1504" spans="1:4" x14ac:dyDescent="0.3">
      <c r="A1504" s="16">
        <v>45449.376388999997</v>
      </c>
      <c r="B1504" s="17">
        <v>57.500098000000001</v>
      </c>
      <c r="C1504" s="18"/>
      <c r="D1504" s="19"/>
    </row>
    <row r="1505" spans="1:4" x14ac:dyDescent="0.3">
      <c r="A1505" s="16">
        <v>45449.377082999999</v>
      </c>
      <c r="B1505" s="17">
        <v>57.592132999999997</v>
      </c>
      <c r="C1505" s="18"/>
      <c r="D1505" s="19"/>
    </row>
    <row r="1506" spans="1:4" x14ac:dyDescent="0.3">
      <c r="A1506" s="16">
        <v>45449.377778000002</v>
      </c>
      <c r="B1506" s="17">
        <v>58.005924</v>
      </c>
      <c r="C1506" s="18"/>
      <c r="D1506" s="19"/>
    </row>
    <row r="1507" spans="1:4" x14ac:dyDescent="0.3">
      <c r="A1507" s="16">
        <v>45449.378471999997</v>
      </c>
      <c r="B1507" s="17">
        <v>57.516784999999999</v>
      </c>
      <c r="C1507" s="18"/>
      <c r="D1507" s="19"/>
    </row>
    <row r="1508" spans="1:4" x14ac:dyDescent="0.3">
      <c r="A1508" s="16">
        <v>45449.379166999999</v>
      </c>
      <c r="B1508" s="17">
        <v>57.941991000000002</v>
      </c>
      <c r="C1508" s="18"/>
      <c r="D1508" s="19"/>
    </row>
    <row r="1509" spans="1:4" x14ac:dyDescent="0.3">
      <c r="A1509" s="16">
        <v>45449.379861000001</v>
      </c>
      <c r="B1509" s="17">
        <v>57.698732999999997</v>
      </c>
      <c r="C1509" s="18"/>
      <c r="D1509" s="19"/>
    </row>
    <row r="1510" spans="1:4" x14ac:dyDescent="0.3">
      <c r="A1510" s="16">
        <v>45449.380555999996</v>
      </c>
      <c r="B1510" s="17">
        <v>57.947791000000002</v>
      </c>
      <c r="C1510" s="18"/>
      <c r="D1510" s="19"/>
    </row>
    <row r="1511" spans="1:4" x14ac:dyDescent="0.3">
      <c r="A1511" s="16">
        <v>45449.381249999999</v>
      </c>
      <c r="B1511" s="17">
        <v>57.975861000000002</v>
      </c>
      <c r="C1511" s="18"/>
      <c r="D1511" s="19"/>
    </row>
    <row r="1512" spans="1:4" x14ac:dyDescent="0.3">
      <c r="A1512" s="16">
        <v>45449.381944000001</v>
      </c>
      <c r="B1512" s="17">
        <v>57.707676999999997</v>
      </c>
      <c r="C1512" s="18"/>
      <c r="D1512" s="19"/>
    </row>
    <row r="1513" spans="1:4" x14ac:dyDescent="0.3">
      <c r="A1513" s="16">
        <v>45449.382639000003</v>
      </c>
      <c r="B1513" s="17">
        <v>57.968144000000002</v>
      </c>
      <c r="C1513" s="18"/>
      <c r="D1513" s="19"/>
    </row>
    <row r="1514" spans="1:4" x14ac:dyDescent="0.3">
      <c r="A1514" s="16">
        <v>45449.383332999998</v>
      </c>
      <c r="B1514" s="17">
        <v>57.993972999999997</v>
      </c>
      <c r="C1514" s="18"/>
      <c r="D1514" s="19"/>
    </row>
    <row r="1515" spans="1:4" x14ac:dyDescent="0.3">
      <c r="A1515" s="16">
        <v>45449.384028</v>
      </c>
      <c r="B1515" s="17">
        <v>58.008229</v>
      </c>
      <c r="C1515" s="18"/>
      <c r="D1515" s="19"/>
    </row>
    <row r="1516" spans="1:4" x14ac:dyDescent="0.3">
      <c r="A1516" s="16">
        <v>45449.384722000003</v>
      </c>
      <c r="B1516" s="17">
        <v>57.844884999999998</v>
      </c>
      <c r="C1516" s="18"/>
      <c r="D1516" s="19"/>
    </row>
    <row r="1517" spans="1:4" x14ac:dyDescent="0.3">
      <c r="A1517" s="16">
        <v>45449.385416999998</v>
      </c>
      <c r="B1517" s="17">
        <v>58.076265999999997</v>
      </c>
      <c r="C1517" s="18"/>
      <c r="D1517" s="19"/>
    </row>
    <row r="1518" spans="1:4" x14ac:dyDescent="0.3">
      <c r="A1518" s="16">
        <v>45449.386111</v>
      </c>
      <c r="B1518" s="17">
        <v>57.885755000000003</v>
      </c>
      <c r="C1518" s="18"/>
      <c r="D1518" s="19"/>
    </row>
    <row r="1519" spans="1:4" x14ac:dyDescent="0.3">
      <c r="A1519" s="16">
        <v>45449.386806000002</v>
      </c>
      <c r="B1519" s="17">
        <v>57.923262999999999</v>
      </c>
      <c r="C1519" s="18"/>
      <c r="D1519" s="19"/>
    </row>
    <row r="1520" spans="1:4" x14ac:dyDescent="0.3">
      <c r="A1520" s="16">
        <v>45449.387499999997</v>
      </c>
      <c r="B1520" s="17">
        <v>58.138179000000001</v>
      </c>
      <c r="C1520" s="18"/>
      <c r="D1520" s="19"/>
    </row>
    <row r="1521" spans="1:4" x14ac:dyDescent="0.3">
      <c r="A1521" s="16">
        <v>45449.388193999999</v>
      </c>
      <c r="B1521" s="17">
        <v>58.027186</v>
      </c>
      <c r="C1521" s="18"/>
      <c r="D1521" s="19"/>
    </row>
    <row r="1522" spans="1:4" x14ac:dyDescent="0.3">
      <c r="A1522" s="16">
        <v>45449.388889000002</v>
      </c>
      <c r="B1522" s="17">
        <v>58.006132999999998</v>
      </c>
      <c r="C1522" s="18"/>
      <c r="D1522" s="19"/>
    </row>
    <row r="1523" spans="1:4" x14ac:dyDescent="0.3">
      <c r="A1523" s="16">
        <v>45449.389582999996</v>
      </c>
      <c r="B1523" s="17">
        <v>58.309801</v>
      </c>
      <c r="C1523" s="18"/>
      <c r="D1523" s="19"/>
    </row>
    <row r="1524" spans="1:4" x14ac:dyDescent="0.3">
      <c r="A1524" s="16">
        <v>45449.390277999999</v>
      </c>
      <c r="B1524" s="17">
        <v>58.180081000000001</v>
      </c>
      <c r="C1524" s="18"/>
      <c r="D1524" s="19"/>
    </row>
    <row r="1525" spans="1:4" x14ac:dyDescent="0.3">
      <c r="A1525" s="16">
        <v>45449.390972000001</v>
      </c>
      <c r="B1525" s="17">
        <v>57.912764000000003</v>
      </c>
      <c r="C1525" s="18"/>
      <c r="D1525" s="19"/>
    </row>
    <row r="1526" spans="1:4" x14ac:dyDescent="0.3">
      <c r="A1526" s="16">
        <v>45449.391667000004</v>
      </c>
      <c r="B1526" s="17">
        <v>58.207929999999998</v>
      </c>
      <c r="C1526" s="18"/>
      <c r="D1526" s="19"/>
    </row>
    <row r="1527" spans="1:4" x14ac:dyDescent="0.3">
      <c r="A1527" s="16">
        <v>45449.392360999998</v>
      </c>
      <c r="B1527" s="17">
        <v>58.344723000000002</v>
      </c>
      <c r="C1527" s="18"/>
      <c r="D1527" s="19"/>
    </row>
    <row r="1528" spans="1:4" x14ac:dyDescent="0.3">
      <c r="A1528" s="16">
        <v>45449.393056000001</v>
      </c>
      <c r="B1528" s="17">
        <v>58.020854999999997</v>
      </c>
      <c r="C1528" s="18"/>
      <c r="D1528" s="19"/>
    </row>
    <row r="1529" spans="1:4" x14ac:dyDescent="0.3">
      <c r="A1529" s="16">
        <v>45449.393750000003</v>
      </c>
      <c r="B1529" s="17">
        <v>58.051476000000001</v>
      </c>
      <c r="C1529" s="18"/>
      <c r="D1529" s="19"/>
    </row>
    <row r="1530" spans="1:4" x14ac:dyDescent="0.3">
      <c r="A1530" s="16">
        <v>45449.394443999998</v>
      </c>
      <c r="B1530" s="17">
        <v>58.160888999999997</v>
      </c>
      <c r="C1530" s="18"/>
      <c r="D1530" s="19"/>
    </row>
    <row r="1531" spans="1:4" x14ac:dyDescent="0.3">
      <c r="A1531" s="16">
        <v>45449.395139</v>
      </c>
      <c r="B1531" s="17">
        <v>58.134470999999998</v>
      </c>
      <c r="C1531" s="18"/>
      <c r="D1531" s="19"/>
    </row>
    <row r="1532" spans="1:4" x14ac:dyDescent="0.3">
      <c r="A1532" s="16">
        <v>45449.395833000002</v>
      </c>
      <c r="B1532" s="17">
        <v>58.133172999999999</v>
      </c>
      <c r="C1532" s="18"/>
      <c r="D1532" s="19"/>
    </row>
    <row r="1533" spans="1:4" x14ac:dyDescent="0.3">
      <c r="A1533" s="16">
        <v>45449.396527999997</v>
      </c>
      <c r="B1533" s="17">
        <v>58.264989</v>
      </c>
      <c r="C1533" s="18"/>
      <c r="D1533" s="19"/>
    </row>
    <row r="1534" spans="1:4" x14ac:dyDescent="0.3">
      <c r="A1534" s="16">
        <v>45449.397222</v>
      </c>
      <c r="B1534" s="17">
        <v>57.881149000000001</v>
      </c>
      <c r="C1534" s="18"/>
      <c r="D1534" s="19"/>
    </row>
    <row r="1535" spans="1:4" x14ac:dyDescent="0.3">
      <c r="A1535" s="16">
        <v>45449.397917000002</v>
      </c>
      <c r="B1535" s="17">
        <v>58.200490000000002</v>
      </c>
      <c r="C1535" s="18"/>
      <c r="D1535" s="19"/>
    </row>
    <row r="1536" spans="1:4" x14ac:dyDescent="0.3">
      <c r="A1536" s="16">
        <v>45449.398610999997</v>
      </c>
      <c r="B1536" s="17">
        <v>58.269109</v>
      </c>
      <c r="C1536" s="18"/>
      <c r="D1536" s="19"/>
    </row>
    <row r="1537" spans="1:4" x14ac:dyDescent="0.3">
      <c r="A1537" s="16">
        <v>45449.399305999999</v>
      </c>
      <c r="B1537" s="17">
        <v>58.494998000000002</v>
      </c>
      <c r="C1537" s="18"/>
      <c r="D1537" s="19"/>
    </row>
    <row r="1538" spans="1:4" x14ac:dyDescent="0.3">
      <c r="A1538" s="16">
        <v>45449.4</v>
      </c>
      <c r="B1538" s="17">
        <v>58.372112000000001</v>
      </c>
      <c r="C1538" s="18"/>
      <c r="D1538" s="19"/>
    </row>
    <row r="1539" spans="1:4" x14ac:dyDescent="0.3">
      <c r="A1539" s="16">
        <v>45449.400694000004</v>
      </c>
      <c r="B1539" s="17">
        <v>58.294918000000003</v>
      </c>
      <c r="C1539" s="18"/>
      <c r="D1539" s="19"/>
    </row>
    <row r="1540" spans="1:4" x14ac:dyDescent="0.3">
      <c r="A1540" s="16">
        <v>45449.401388999999</v>
      </c>
      <c r="B1540" s="17">
        <v>58.399988</v>
      </c>
      <c r="C1540" s="18"/>
      <c r="D1540" s="19"/>
    </row>
    <row r="1541" spans="1:4" x14ac:dyDescent="0.3">
      <c r="A1541" s="16">
        <v>45449.402083000001</v>
      </c>
      <c r="B1541" s="17">
        <v>58.354534999999998</v>
      </c>
      <c r="C1541" s="18"/>
      <c r="D1541" s="19"/>
    </row>
    <row r="1542" spans="1:4" x14ac:dyDescent="0.3">
      <c r="A1542" s="16">
        <v>45449.402778000003</v>
      </c>
      <c r="B1542" s="17">
        <v>58.079186</v>
      </c>
      <c r="C1542" s="18"/>
      <c r="D1542" s="19"/>
    </row>
    <row r="1543" spans="1:4" x14ac:dyDescent="0.3">
      <c r="A1543" s="16">
        <v>45449.403471999998</v>
      </c>
      <c r="B1543" s="17">
        <v>58.325766999999999</v>
      </c>
      <c r="C1543" s="18"/>
      <c r="D1543" s="19"/>
    </row>
    <row r="1544" spans="1:4" x14ac:dyDescent="0.3">
      <c r="A1544" s="16">
        <v>45449.404167000001</v>
      </c>
      <c r="B1544" s="17">
        <v>58.301395999999997</v>
      </c>
      <c r="C1544" s="18"/>
      <c r="D1544" s="19"/>
    </row>
    <row r="1545" spans="1:4" x14ac:dyDescent="0.3">
      <c r="A1545" s="16">
        <v>45449.404861000003</v>
      </c>
      <c r="B1545" s="17">
        <v>58.351864999999997</v>
      </c>
      <c r="C1545" s="18"/>
      <c r="D1545" s="19"/>
    </row>
    <row r="1546" spans="1:4" x14ac:dyDescent="0.3">
      <c r="A1546" s="16">
        <v>45449.405555999998</v>
      </c>
      <c r="B1546" s="17">
        <v>58.433759999999999</v>
      </c>
      <c r="C1546" s="18"/>
      <c r="D1546" s="19"/>
    </row>
    <row r="1547" spans="1:4" x14ac:dyDescent="0.3">
      <c r="A1547" s="16">
        <v>45449.40625</v>
      </c>
      <c r="B1547" s="17">
        <v>58.478554000000003</v>
      </c>
      <c r="C1547" s="18"/>
      <c r="D1547" s="19"/>
    </row>
    <row r="1548" spans="1:4" x14ac:dyDescent="0.3">
      <c r="A1548" s="16">
        <v>45449.406944000002</v>
      </c>
      <c r="B1548" s="17">
        <v>58.327401000000002</v>
      </c>
      <c r="C1548" s="18"/>
      <c r="D1548" s="19"/>
    </row>
    <row r="1549" spans="1:4" x14ac:dyDescent="0.3">
      <c r="A1549" s="16">
        <v>45449.407638999997</v>
      </c>
      <c r="B1549" s="17">
        <v>58.568688000000002</v>
      </c>
      <c r="C1549" s="18"/>
      <c r="D1549" s="19"/>
    </row>
    <row r="1550" spans="1:4" x14ac:dyDescent="0.3">
      <c r="A1550" s="16">
        <v>45449.408332999999</v>
      </c>
      <c r="B1550" s="17">
        <v>58.666947</v>
      </c>
      <c r="C1550" s="18"/>
      <c r="D1550" s="19"/>
    </row>
    <row r="1551" spans="1:4" x14ac:dyDescent="0.3">
      <c r="A1551" s="16">
        <v>45449.409028000002</v>
      </c>
      <c r="B1551" s="17">
        <v>58.239463000000001</v>
      </c>
      <c r="C1551" s="18"/>
      <c r="D1551" s="19"/>
    </row>
    <row r="1552" spans="1:4" x14ac:dyDescent="0.3">
      <c r="A1552" s="16">
        <v>45449.409721999997</v>
      </c>
      <c r="B1552" s="17">
        <v>58.757795000000002</v>
      </c>
      <c r="C1552" s="18"/>
      <c r="D1552" s="19"/>
    </row>
    <row r="1553" spans="1:4" x14ac:dyDescent="0.3">
      <c r="A1553" s="16">
        <v>45449.410416999999</v>
      </c>
      <c r="B1553" s="17">
        <v>58.457417999999997</v>
      </c>
      <c r="C1553" s="18"/>
      <c r="D1553" s="19"/>
    </row>
    <row r="1554" spans="1:4" x14ac:dyDescent="0.3">
      <c r="A1554" s="16">
        <v>45449.411111000001</v>
      </c>
      <c r="B1554" s="17">
        <v>59.001263000000002</v>
      </c>
      <c r="C1554" s="18"/>
      <c r="D1554" s="19"/>
    </row>
    <row r="1555" spans="1:4" x14ac:dyDescent="0.3">
      <c r="A1555" s="16">
        <v>45449.411805999996</v>
      </c>
      <c r="B1555" s="17">
        <v>58.944693999999998</v>
      </c>
      <c r="C1555" s="18"/>
      <c r="D1555" s="19"/>
    </row>
    <row r="1556" spans="1:4" x14ac:dyDescent="0.3">
      <c r="A1556" s="16">
        <v>45449.412499999999</v>
      </c>
      <c r="B1556" s="17">
        <v>58.800986999999999</v>
      </c>
      <c r="C1556" s="18"/>
      <c r="D1556" s="19"/>
    </row>
    <row r="1557" spans="1:4" x14ac:dyDescent="0.3">
      <c r="A1557" s="16">
        <v>45449.413194000001</v>
      </c>
      <c r="B1557" s="17">
        <v>58.602912000000003</v>
      </c>
      <c r="C1557" s="18"/>
      <c r="D1557" s="19"/>
    </row>
    <row r="1558" spans="1:4" x14ac:dyDescent="0.3">
      <c r="A1558" s="16">
        <v>45449.413889000003</v>
      </c>
      <c r="B1558" s="17">
        <v>58.430965999999998</v>
      </c>
      <c r="C1558" s="18"/>
      <c r="D1558" s="19"/>
    </row>
    <row r="1559" spans="1:4" x14ac:dyDescent="0.3">
      <c r="A1559" s="16">
        <v>45449.414582999998</v>
      </c>
      <c r="B1559" s="17">
        <v>58.312106</v>
      </c>
      <c r="C1559" s="18"/>
      <c r="D1559" s="19"/>
    </row>
    <row r="1560" spans="1:4" x14ac:dyDescent="0.3">
      <c r="A1560" s="16">
        <v>45449.415278</v>
      </c>
      <c r="B1560" s="17">
        <v>58.779705999999997</v>
      </c>
      <c r="C1560" s="18"/>
      <c r="D1560" s="19"/>
    </row>
    <row r="1561" spans="1:4" x14ac:dyDescent="0.3">
      <c r="A1561" s="16">
        <v>45449.415972000003</v>
      </c>
      <c r="B1561" s="17">
        <v>58.322408000000003</v>
      </c>
      <c r="C1561" s="18"/>
      <c r="D1561" s="19"/>
    </row>
    <row r="1562" spans="1:4" x14ac:dyDescent="0.3">
      <c r="A1562" s="16">
        <v>45449.416666999998</v>
      </c>
      <c r="B1562" s="17">
        <v>58.521766999999997</v>
      </c>
      <c r="C1562" s="18"/>
      <c r="D1562" s="19"/>
    </row>
    <row r="1563" spans="1:4" x14ac:dyDescent="0.3">
      <c r="A1563" s="16">
        <v>45449.417361</v>
      </c>
      <c r="B1563" s="17">
        <v>58.585903000000002</v>
      </c>
      <c r="C1563" s="18"/>
      <c r="D1563" s="19"/>
    </row>
    <row r="1564" spans="1:4" x14ac:dyDescent="0.3">
      <c r="A1564" s="16">
        <v>45449.418056000002</v>
      </c>
      <c r="B1564" s="17">
        <v>58.586097000000002</v>
      </c>
      <c r="C1564" s="18"/>
      <c r="D1564" s="19"/>
    </row>
    <row r="1565" spans="1:4" x14ac:dyDescent="0.3">
      <c r="A1565" s="16">
        <v>45449.418749999997</v>
      </c>
      <c r="B1565" s="17">
        <v>58.670492000000003</v>
      </c>
      <c r="C1565" s="18"/>
      <c r="D1565" s="19"/>
    </row>
    <row r="1566" spans="1:4" x14ac:dyDescent="0.3">
      <c r="A1566" s="16">
        <v>45449.419443999999</v>
      </c>
      <c r="B1566" s="17">
        <v>58.489899000000001</v>
      </c>
      <c r="C1566" s="18"/>
      <c r="D1566" s="19"/>
    </row>
    <row r="1567" spans="1:4" x14ac:dyDescent="0.3">
      <c r="A1567" s="16">
        <v>45449.420139000002</v>
      </c>
      <c r="B1567" s="17">
        <v>58.560281000000003</v>
      </c>
      <c r="C1567" s="18"/>
      <c r="D1567" s="19"/>
    </row>
    <row r="1568" spans="1:4" x14ac:dyDescent="0.3">
      <c r="A1568" s="16">
        <v>45449.420832999996</v>
      </c>
      <c r="B1568" s="17">
        <v>58.797764999999998</v>
      </c>
      <c r="C1568" s="18"/>
      <c r="D1568" s="19"/>
    </row>
    <row r="1569" spans="1:4" x14ac:dyDescent="0.3">
      <c r="A1569" s="16">
        <v>45449.421527999999</v>
      </c>
      <c r="B1569" s="17">
        <v>58.549219000000001</v>
      </c>
      <c r="C1569" s="18"/>
      <c r="D1569" s="19"/>
    </row>
    <row r="1570" spans="1:4" x14ac:dyDescent="0.3">
      <c r="A1570" s="16">
        <v>45449.422222000001</v>
      </c>
      <c r="B1570" s="17">
        <v>58.790731000000001</v>
      </c>
      <c r="C1570" s="18"/>
      <c r="D1570" s="19"/>
    </row>
    <row r="1571" spans="1:4" x14ac:dyDescent="0.3">
      <c r="A1571" s="16">
        <v>45449.422917000004</v>
      </c>
      <c r="B1571" s="17">
        <v>58.456372000000002</v>
      </c>
      <c r="C1571" s="18"/>
      <c r="D1571" s="19"/>
    </row>
    <row r="1572" spans="1:4" x14ac:dyDescent="0.3">
      <c r="A1572" s="16">
        <v>45449.423610999998</v>
      </c>
      <c r="B1572" s="17">
        <v>58.384458000000002</v>
      </c>
      <c r="C1572" s="18"/>
      <c r="D1572" s="19"/>
    </row>
    <row r="1573" spans="1:4" x14ac:dyDescent="0.3">
      <c r="A1573" s="16">
        <v>45449.424306000001</v>
      </c>
      <c r="B1573" s="17">
        <v>58.932600999999998</v>
      </c>
      <c r="C1573" s="18"/>
      <c r="D1573" s="19"/>
    </row>
    <row r="1574" spans="1:4" x14ac:dyDescent="0.3">
      <c r="A1574" s="16">
        <v>45449.425000000003</v>
      </c>
      <c r="B1574" s="17">
        <v>58.583539000000002</v>
      </c>
      <c r="C1574" s="18"/>
      <c r="D1574" s="19"/>
    </row>
    <row r="1575" spans="1:4" x14ac:dyDescent="0.3">
      <c r="A1575" s="16">
        <v>45449.425693999998</v>
      </c>
      <c r="B1575" s="17">
        <v>58.831553</v>
      </c>
      <c r="C1575" s="18"/>
      <c r="D1575" s="19"/>
    </row>
    <row r="1576" spans="1:4" x14ac:dyDescent="0.3">
      <c r="A1576" s="16">
        <v>45449.426389</v>
      </c>
      <c r="B1576" s="17">
        <v>58.567391000000001</v>
      </c>
      <c r="C1576" s="18"/>
      <c r="D1576" s="19"/>
    </row>
    <row r="1577" spans="1:4" x14ac:dyDescent="0.3">
      <c r="A1577" s="16">
        <v>45449.427083000002</v>
      </c>
      <c r="B1577" s="17">
        <v>58.845022999999998</v>
      </c>
      <c r="C1577" s="18"/>
      <c r="D1577" s="19"/>
    </row>
    <row r="1578" spans="1:4" x14ac:dyDescent="0.3">
      <c r="A1578" s="16">
        <v>45449.427777999997</v>
      </c>
      <c r="B1578" s="17">
        <v>59.010654000000002</v>
      </c>
      <c r="C1578" s="18"/>
      <c r="D1578" s="19"/>
    </row>
    <row r="1579" spans="1:4" x14ac:dyDescent="0.3">
      <c r="A1579" s="16">
        <v>45449.428472</v>
      </c>
      <c r="B1579" s="17">
        <v>58.750106000000002</v>
      </c>
      <c r="C1579" s="18"/>
      <c r="D1579" s="19"/>
    </row>
    <row r="1580" spans="1:4" x14ac:dyDescent="0.3">
      <c r="A1580" s="16">
        <v>45449.429167000002</v>
      </c>
      <c r="B1580" s="17">
        <v>58.967263000000003</v>
      </c>
      <c r="C1580" s="18"/>
      <c r="D1580" s="19"/>
    </row>
    <row r="1581" spans="1:4" x14ac:dyDescent="0.3">
      <c r="A1581" s="16">
        <v>45449.429860999997</v>
      </c>
      <c r="B1581" s="17">
        <v>58.697465999999999</v>
      </c>
      <c r="C1581" s="18"/>
      <c r="D1581" s="19"/>
    </row>
    <row r="1582" spans="1:4" x14ac:dyDescent="0.3">
      <c r="A1582" s="16">
        <v>45449.430555999999</v>
      </c>
      <c r="B1582" s="17">
        <v>58.802121999999997</v>
      </c>
      <c r="C1582" s="18"/>
      <c r="D1582" s="19"/>
    </row>
    <row r="1583" spans="1:4" x14ac:dyDescent="0.3">
      <c r="A1583" s="16">
        <v>45449.431250000001</v>
      </c>
      <c r="B1583" s="17">
        <v>58.927508000000003</v>
      </c>
      <c r="C1583" s="18"/>
      <c r="D1583" s="19"/>
    </row>
    <row r="1584" spans="1:4" x14ac:dyDescent="0.3">
      <c r="A1584" s="16">
        <v>45449.431944000004</v>
      </c>
      <c r="B1584" s="17">
        <v>59.065261</v>
      </c>
      <c r="C1584" s="18"/>
      <c r="D1584" s="19"/>
    </row>
    <row r="1585" spans="1:4" x14ac:dyDescent="0.3">
      <c r="A1585" s="16">
        <v>45449.432638999999</v>
      </c>
      <c r="B1585" s="17">
        <v>58.565643000000001</v>
      </c>
      <c r="C1585" s="18"/>
      <c r="D1585" s="19"/>
    </row>
    <row r="1586" spans="1:4" x14ac:dyDescent="0.3">
      <c r="A1586" s="16">
        <v>45449.433333000001</v>
      </c>
      <c r="B1586" s="17">
        <v>58.692650999999998</v>
      </c>
      <c r="C1586" s="18"/>
      <c r="D1586" s="19"/>
    </row>
    <row r="1587" spans="1:4" x14ac:dyDescent="0.3">
      <c r="A1587" s="16">
        <v>45449.434028000003</v>
      </c>
      <c r="B1587" s="17">
        <v>58.974398000000001</v>
      </c>
      <c r="C1587" s="18"/>
      <c r="D1587" s="19"/>
    </row>
    <row r="1588" spans="1:4" x14ac:dyDescent="0.3">
      <c r="A1588" s="16">
        <v>45449.434721999998</v>
      </c>
      <c r="B1588" s="17">
        <v>58.977421999999997</v>
      </c>
      <c r="C1588" s="18"/>
      <c r="D1588" s="19"/>
    </row>
    <row r="1589" spans="1:4" x14ac:dyDescent="0.3">
      <c r="A1589" s="16">
        <v>45449.435417000001</v>
      </c>
      <c r="B1589" s="17">
        <v>58.885962999999997</v>
      </c>
      <c r="C1589" s="18"/>
      <c r="D1589" s="19"/>
    </row>
    <row r="1590" spans="1:4" x14ac:dyDescent="0.3">
      <c r="A1590" s="16">
        <v>45449.436111000003</v>
      </c>
      <c r="B1590" s="17">
        <v>58.900205999999997</v>
      </c>
      <c r="C1590" s="18"/>
      <c r="D1590" s="19"/>
    </row>
    <row r="1591" spans="1:4" x14ac:dyDescent="0.3">
      <c r="A1591" s="16">
        <v>45449.436805999998</v>
      </c>
      <c r="B1591" s="17">
        <v>58.329239999999999</v>
      </c>
      <c r="C1591" s="18"/>
      <c r="D1591" s="19"/>
    </row>
    <row r="1592" spans="1:4" x14ac:dyDescent="0.3">
      <c r="A1592" s="16">
        <v>45449.4375</v>
      </c>
      <c r="B1592" s="17">
        <v>59.154649999999997</v>
      </c>
      <c r="C1592" s="18"/>
      <c r="D1592" s="19"/>
    </row>
    <row r="1593" spans="1:4" x14ac:dyDescent="0.3">
      <c r="A1593" s="16">
        <v>45449.438194000002</v>
      </c>
      <c r="B1593" s="17">
        <v>58.718967999999997</v>
      </c>
      <c r="C1593" s="18"/>
      <c r="D1593" s="19"/>
    </row>
    <row r="1594" spans="1:4" x14ac:dyDescent="0.3">
      <c r="A1594" s="16">
        <v>45449.438888999997</v>
      </c>
      <c r="B1594" s="17">
        <v>59.211221999999999</v>
      </c>
      <c r="C1594" s="18"/>
      <c r="D1594" s="19"/>
    </row>
    <row r="1595" spans="1:4" x14ac:dyDescent="0.3">
      <c r="A1595" s="16">
        <v>45449.439582999999</v>
      </c>
      <c r="B1595" s="17">
        <v>58.972563999999998</v>
      </c>
      <c r="C1595" s="18"/>
      <c r="D1595" s="19"/>
    </row>
    <row r="1596" spans="1:4" x14ac:dyDescent="0.3">
      <c r="A1596" s="16">
        <v>45449.440278000002</v>
      </c>
      <c r="B1596" s="17">
        <v>58.790934999999998</v>
      </c>
      <c r="C1596" s="18"/>
      <c r="D1596" s="19"/>
    </row>
    <row r="1597" spans="1:4" x14ac:dyDescent="0.3">
      <c r="A1597" s="16">
        <v>45449.440971999997</v>
      </c>
      <c r="B1597" s="17">
        <v>59.049266000000003</v>
      </c>
      <c r="C1597" s="18"/>
      <c r="D1597" s="19"/>
    </row>
    <row r="1598" spans="1:4" x14ac:dyDescent="0.3">
      <c r="A1598" s="16">
        <v>45449.441666999999</v>
      </c>
      <c r="B1598" s="17">
        <v>58.835129000000002</v>
      </c>
      <c r="C1598" s="18"/>
      <c r="D1598" s="19"/>
    </row>
    <row r="1599" spans="1:4" x14ac:dyDescent="0.3">
      <c r="A1599" s="16">
        <v>45449.442361000001</v>
      </c>
      <c r="B1599" s="17">
        <v>58.975330999999997</v>
      </c>
      <c r="C1599" s="18"/>
      <c r="D1599" s="19"/>
    </row>
    <row r="1600" spans="1:4" x14ac:dyDescent="0.3">
      <c r="A1600" s="16">
        <v>45449.443055999996</v>
      </c>
      <c r="B1600" s="17">
        <v>58.881641999999999</v>
      </c>
      <c r="C1600" s="18"/>
      <c r="D1600" s="19"/>
    </row>
    <row r="1601" spans="1:4" x14ac:dyDescent="0.3">
      <c r="A1601" s="16">
        <v>45449.443749999999</v>
      </c>
      <c r="B1601" s="17">
        <v>58.983567999999998</v>
      </c>
      <c r="C1601" s="18"/>
      <c r="D1601" s="19"/>
    </row>
    <row r="1602" spans="1:4" x14ac:dyDescent="0.3">
      <c r="A1602" s="16">
        <v>45449.444444000001</v>
      </c>
      <c r="B1602" s="17">
        <v>59.076112000000002</v>
      </c>
      <c r="C1602" s="18"/>
      <c r="D1602" s="19"/>
    </row>
    <row r="1603" spans="1:4" x14ac:dyDescent="0.3">
      <c r="A1603" s="16">
        <v>45449.445139000003</v>
      </c>
      <c r="B1603" s="17">
        <v>58.881715</v>
      </c>
      <c r="C1603" s="18"/>
      <c r="D1603" s="19"/>
    </row>
    <row r="1604" spans="1:4" x14ac:dyDescent="0.3">
      <c r="A1604" s="16">
        <v>45449.445832999998</v>
      </c>
      <c r="B1604" s="17">
        <v>58.842252999999999</v>
      </c>
      <c r="C1604" s="18"/>
      <c r="D1604" s="19"/>
    </row>
    <row r="1605" spans="1:4" x14ac:dyDescent="0.3">
      <c r="A1605" s="16">
        <v>45449.446528</v>
      </c>
      <c r="B1605" s="17">
        <v>58.964114000000002</v>
      </c>
      <c r="C1605" s="18"/>
      <c r="D1605" s="19"/>
    </row>
    <row r="1606" spans="1:4" x14ac:dyDescent="0.3">
      <c r="A1606" s="16">
        <v>45449.447222000003</v>
      </c>
      <c r="B1606" s="17">
        <v>59.163387999999998</v>
      </c>
      <c r="C1606" s="18"/>
      <c r="D1606" s="19"/>
    </row>
    <row r="1607" spans="1:4" x14ac:dyDescent="0.3">
      <c r="A1607" s="16">
        <v>45449.447916999998</v>
      </c>
      <c r="B1607" s="17">
        <v>58.714118999999997</v>
      </c>
      <c r="C1607" s="18"/>
      <c r="D1607" s="19"/>
    </row>
    <row r="1608" spans="1:4" x14ac:dyDescent="0.3">
      <c r="A1608" s="16">
        <v>45449.448611</v>
      </c>
      <c r="B1608" s="17">
        <v>59.036209999999997</v>
      </c>
      <c r="C1608" s="18"/>
      <c r="D1608" s="19"/>
    </row>
    <row r="1609" spans="1:4" x14ac:dyDescent="0.3">
      <c r="A1609" s="16">
        <v>45449.449306000002</v>
      </c>
      <c r="B1609" s="17">
        <v>59.015135999999998</v>
      </c>
      <c r="C1609" s="18"/>
      <c r="D1609" s="19"/>
    </row>
    <row r="1610" spans="1:4" x14ac:dyDescent="0.3">
      <c r="A1610" s="16">
        <v>45449.45</v>
      </c>
      <c r="B1610" s="17">
        <v>58.834161000000002</v>
      </c>
      <c r="C1610" s="18"/>
      <c r="D1610" s="19"/>
    </row>
    <row r="1611" spans="1:4" x14ac:dyDescent="0.3">
      <c r="A1611" s="16">
        <v>45449.450693999999</v>
      </c>
      <c r="B1611" s="17">
        <v>58.930942000000002</v>
      </c>
      <c r="C1611" s="18"/>
      <c r="D1611" s="19"/>
    </row>
    <row r="1612" spans="1:4" x14ac:dyDescent="0.3">
      <c r="A1612" s="16">
        <v>45449.451389000002</v>
      </c>
      <c r="B1612" s="17">
        <v>58.922607999999997</v>
      </c>
      <c r="C1612" s="18"/>
      <c r="D1612" s="19"/>
    </row>
    <row r="1613" spans="1:4" x14ac:dyDescent="0.3">
      <c r="A1613" s="16">
        <v>45449.452082999996</v>
      </c>
      <c r="B1613" s="17">
        <v>58.908093000000001</v>
      </c>
      <c r="C1613" s="18"/>
      <c r="D1613" s="19"/>
    </row>
    <row r="1614" spans="1:4" x14ac:dyDescent="0.3">
      <c r="A1614" s="16">
        <v>45449.452777999999</v>
      </c>
      <c r="B1614" s="17">
        <v>59.216420999999997</v>
      </c>
      <c r="C1614" s="18"/>
      <c r="D1614" s="19"/>
    </row>
    <row r="1615" spans="1:4" x14ac:dyDescent="0.3">
      <c r="A1615" s="16">
        <v>45449.453472000001</v>
      </c>
      <c r="B1615" s="17">
        <v>58.769309</v>
      </c>
      <c r="C1615" s="18"/>
      <c r="D1615" s="19"/>
    </row>
    <row r="1616" spans="1:4" x14ac:dyDescent="0.3">
      <c r="A1616" s="16">
        <v>45449.454167000004</v>
      </c>
      <c r="B1616" s="17">
        <v>59.013376000000001</v>
      </c>
      <c r="C1616" s="18"/>
      <c r="D1616" s="19"/>
    </row>
    <row r="1617" spans="1:4" x14ac:dyDescent="0.3">
      <c r="A1617" s="16">
        <v>45449.454860999998</v>
      </c>
      <c r="B1617" s="17">
        <v>58.895052</v>
      </c>
      <c r="C1617" s="18"/>
      <c r="D1617" s="19"/>
    </row>
    <row r="1618" spans="1:4" x14ac:dyDescent="0.3">
      <c r="A1618" s="16">
        <v>45449.455556000001</v>
      </c>
      <c r="B1618" s="17">
        <v>58.984254</v>
      </c>
      <c r="C1618" s="18"/>
      <c r="D1618" s="19"/>
    </row>
    <row r="1619" spans="1:4" x14ac:dyDescent="0.3">
      <c r="A1619" s="16">
        <v>45449.456250000003</v>
      </c>
      <c r="B1619" s="17">
        <v>58.954951999999999</v>
      </c>
      <c r="C1619" s="18"/>
      <c r="D1619" s="19"/>
    </row>
    <row r="1620" spans="1:4" x14ac:dyDescent="0.3">
      <c r="A1620" s="16">
        <v>45449.456943999998</v>
      </c>
      <c r="B1620" s="17">
        <v>58.918464999999998</v>
      </c>
      <c r="C1620" s="18"/>
      <c r="D1620" s="19"/>
    </row>
    <row r="1621" spans="1:4" x14ac:dyDescent="0.3">
      <c r="A1621" s="16">
        <v>45449.457639</v>
      </c>
      <c r="B1621" s="17">
        <v>59.023128999999997</v>
      </c>
      <c r="C1621" s="18"/>
      <c r="D1621" s="19"/>
    </row>
    <row r="1622" spans="1:4" x14ac:dyDescent="0.3">
      <c r="A1622" s="16">
        <v>45449.458333000002</v>
      </c>
      <c r="B1622" s="17">
        <v>58.893079</v>
      </c>
      <c r="C1622" s="18"/>
      <c r="D1622" s="19"/>
    </row>
    <row r="1623" spans="1:4" x14ac:dyDescent="0.3">
      <c r="A1623" s="16">
        <v>45449.459027999997</v>
      </c>
      <c r="B1623" s="17">
        <v>58.942852999999999</v>
      </c>
      <c r="C1623" s="18"/>
      <c r="D1623" s="19"/>
    </row>
    <row r="1624" spans="1:4" x14ac:dyDescent="0.3">
      <c r="A1624" s="16">
        <v>45449.459722</v>
      </c>
      <c r="B1624" s="17">
        <v>59.046325000000003</v>
      </c>
      <c r="C1624" s="18"/>
      <c r="D1624" s="19"/>
    </row>
    <row r="1625" spans="1:4" x14ac:dyDescent="0.3">
      <c r="A1625" s="16">
        <v>45449.460417000002</v>
      </c>
      <c r="B1625" s="17">
        <v>58.747076999999997</v>
      </c>
      <c r="C1625" s="18"/>
      <c r="D1625" s="19"/>
    </row>
    <row r="1626" spans="1:4" x14ac:dyDescent="0.3">
      <c r="A1626" s="16">
        <v>45449.461110999997</v>
      </c>
      <c r="B1626" s="17">
        <v>59.039020999999998</v>
      </c>
      <c r="C1626" s="18"/>
      <c r="D1626" s="19"/>
    </row>
    <row r="1627" spans="1:4" x14ac:dyDescent="0.3">
      <c r="A1627" s="16">
        <v>45449.461805999999</v>
      </c>
      <c r="B1627" s="17">
        <v>58.841343999999999</v>
      </c>
      <c r="C1627" s="18"/>
      <c r="D1627" s="19"/>
    </row>
    <row r="1628" spans="1:4" x14ac:dyDescent="0.3">
      <c r="A1628" s="16">
        <v>45449.462500000001</v>
      </c>
      <c r="B1628" s="17">
        <v>58.972673</v>
      </c>
      <c r="C1628" s="18"/>
      <c r="D1628" s="19"/>
    </row>
    <row r="1629" spans="1:4" x14ac:dyDescent="0.3">
      <c r="A1629" s="16">
        <v>45449.463194000004</v>
      </c>
      <c r="B1629" s="17">
        <v>59.138199</v>
      </c>
      <c r="C1629" s="18"/>
      <c r="D1629" s="19"/>
    </row>
    <row r="1630" spans="1:4" x14ac:dyDescent="0.3">
      <c r="A1630" s="16">
        <v>45449.463888999999</v>
      </c>
      <c r="B1630" s="17">
        <v>58.811866999999999</v>
      </c>
      <c r="C1630" s="18"/>
      <c r="D1630" s="19"/>
    </row>
    <row r="1631" spans="1:4" x14ac:dyDescent="0.3">
      <c r="A1631" s="16">
        <v>45449.464583000001</v>
      </c>
      <c r="B1631" s="17">
        <v>58.809339999999999</v>
      </c>
      <c r="C1631" s="18"/>
      <c r="D1631" s="19"/>
    </row>
    <row r="1632" spans="1:4" x14ac:dyDescent="0.3">
      <c r="A1632" s="16">
        <v>45449.465278000003</v>
      </c>
      <c r="B1632" s="17">
        <v>59.042121999999999</v>
      </c>
      <c r="C1632" s="18"/>
      <c r="D1632" s="19"/>
    </row>
    <row r="1633" spans="1:4" x14ac:dyDescent="0.3">
      <c r="A1633" s="16">
        <v>45449.465971999998</v>
      </c>
      <c r="B1633" s="17">
        <v>59.060217000000002</v>
      </c>
      <c r="C1633" s="18"/>
      <c r="D1633" s="19"/>
    </row>
    <row r="1634" spans="1:4" x14ac:dyDescent="0.3">
      <c r="A1634" s="16">
        <v>45449.466667000001</v>
      </c>
      <c r="B1634" s="17">
        <v>58.899903999999999</v>
      </c>
      <c r="C1634" s="18"/>
      <c r="D1634" s="19"/>
    </row>
    <row r="1635" spans="1:4" x14ac:dyDescent="0.3">
      <c r="A1635" s="16">
        <v>45449.467361000003</v>
      </c>
      <c r="B1635" s="17">
        <v>58.785474000000001</v>
      </c>
      <c r="C1635" s="18"/>
      <c r="D1635" s="19"/>
    </row>
    <row r="1636" spans="1:4" x14ac:dyDescent="0.3">
      <c r="A1636" s="16">
        <v>45449.468055999998</v>
      </c>
      <c r="B1636" s="17">
        <v>59.113790000000002</v>
      </c>
      <c r="C1636" s="18"/>
      <c r="D1636" s="19"/>
    </row>
    <row r="1637" spans="1:4" x14ac:dyDescent="0.3">
      <c r="A1637" s="16">
        <v>45449.46875</v>
      </c>
      <c r="B1637" s="17">
        <v>59.024177000000002</v>
      </c>
      <c r="C1637" s="18"/>
      <c r="D1637" s="19"/>
    </row>
    <row r="1638" spans="1:4" x14ac:dyDescent="0.3">
      <c r="A1638" s="16">
        <v>45449.469444000002</v>
      </c>
      <c r="B1638" s="17">
        <v>58.808767000000003</v>
      </c>
      <c r="C1638" s="18"/>
      <c r="D1638" s="19"/>
    </row>
    <row r="1639" spans="1:4" x14ac:dyDescent="0.3">
      <c r="A1639" s="16">
        <v>45449.470138999997</v>
      </c>
      <c r="B1639" s="17">
        <v>58.978216000000003</v>
      </c>
      <c r="C1639" s="18"/>
      <c r="D1639" s="19"/>
    </row>
    <row r="1640" spans="1:4" x14ac:dyDescent="0.3">
      <c r="A1640" s="16">
        <v>45449.470832999999</v>
      </c>
      <c r="B1640" s="17">
        <v>58.809964999999998</v>
      </c>
      <c r="C1640" s="18"/>
      <c r="D1640" s="19"/>
    </row>
    <row r="1641" spans="1:4" x14ac:dyDescent="0.3">
      <c r="A1641" s="16">
        <v>45449.471528000002</v>
      </c>
      <c r="B1641" s="17">
        <v>59.024180000000001</v>
      </c>
      <c r="C1641" s="18"/>
      <c r="D1641" s="19"/>
    </row>
    <row r="1642" spans="1:4" x14ac:dyDescent="0.3">
      <c r="A1642" s="16">
        <v>45449.472221999997</v>
      </c>
      <c r="B1642" s="17">
        <v>59.047918000000003</v>
      </c>
      <c r="C1642" s="18"/>
      <c r="D1642" s="19"/>
    </row>
    <row r="1643" spans="1:4" x14ac:dyDescent="0.3">
      <c r="A1643" s="16">
        <v>45449.472916999999</v>
      </c>
      <c r="B1643" s="17">
        <v>59.107816</v>
      </c>
      <c r="C1643" s="18"/>
      <c r="D1643" s="19"/>
    </row>
    <row r="1644" spans="1:4" x14ac:dyDescent="0.3">
      <c r="A1644" s="16">
        <v>45449.473611000001</v>
      </c>
      <c r="B1644" s="17">
        <v>59.286569999999998</v>
      </c>
      <c r="C1644" s="18"/>
      <c r="D1644" s="19"/>
    </row>
    <row r="1645" spans="1:4" x14ac:dyDescent="0.3">
      <c r="A1645" s="16">
        <v>45449.474305999996</v>
      </c>
      <c r="B1645" s="17">
        <v>58.852376</v>
      </c>
      <c r="C1645" s="18"/>
      <c r="D1645" s="19"/>
    </row>
    <row r="1646" spans="1:4" x14ac:dyDescent="0.3">
      <c r="A1646" s="16">
        <v>45449.474999999999</v>
      </c>
      <c r="B1646" s="17">
        <v>58.938823999999997</v>
      </c>
      <c r="C1646" s="18"/>
      <c r="D1646" s="19"/>
    </row>
    <row r="1647" spans="1:4" x14ac:dyDescent="0.3">
      <c r="A1647" s="16">
        <v>45449.475694000001</v>
      </c>
      <c r="B1647" s="17">
        <v>59.172044</v>
      </c>
      <c r="C1647" s="18"/>
      <c r="D1647" s="19"/>
    </row>
    <row r="1648" spans="1:4" x14ac:dyDescent="0.3">
      <c r="A1648" s="16">
        <v>45449.476389000003</v>
      </c>
      <c r="B1648" s="17">
        <v>59.315114000000001</v>
      </c>
      <c r="C1648" s="18"/>
      <c r="D1648" s="19"/>
    </row>
    <row r="1649" spans="1:4" x14ac:dyDescent="0.3">
      <c r="A1649" s="16">
        <v>45449.477082999998</v>
      </c>
      <c r="B1649" s="17">
        <v>59.251882999999999</v>
      </c>
      <c r="C1649" s="18"/>
      <c r="D1649" s="19"/>
    </row>
    <row r="1650" spans="1:4" x14ac:dyDescent="0.3">
      <c r="A1650" s="16">
        <v>45449.477778</v>
      </c>
      <c r="B1650" s="17">
        <v>59.080019999999998</v>
      </c>
      <c r="C1650" s="18"/>
      <c r="D1650" s="19"/>
    </row>
    <row r="1651" spans="1:4" x14ac:dyDescent="0.3">
      <c r="A1651" s="16">
        <v>45449.478472000003</v>
      </c>
      <c r="B1651" s="17">
        <v>59.422230999999996</v>
      </c>
      <c r="C1651" s="18"/>
      <c r="D1651" s="19"/>
    </row>
    <row r="1652" spans="1:4" x14ac:dyDescent="0.3">
      <c r="A1652" s="16">
        <v>45449.479166999998</v>
      </c>
      <c r="B1652" s="17">
        <v>59.161124000000001</v>
      </c>
      <c r="C1652" s="18"/>
      <c r="D1652" s="19"/>
    </row>
    <row r="1653" spans="1:4" x14ac:dyDescent="0.3">
      <c r="A1653" s="16">
        <v>45449.479861</v>
      </c>
      <c r="B1653" s="17">
        <v>58.978631</v>
      </c>
      <c r="C1653" s="18"/>
      <c r="D1653" s="19"/>
    </row>
    <row r="1654" spans="1:4" x14ac:dyDescent="0.3">
      <c r="A1654" s="16">
        <v>45449.480556000002</v>
      </c>
      <c r="B1654" s="17">
        <v>58.963009</v>
      </c>
      <c r="C1654" s="18"/>
      <c r="D1654" s="19"/>
    </row>
    <row r="1655" spans="1:4" x14ac:dyDescent="0.3">
      <c r="A1655" s="16">
        <v>45449.481249999997</v>
      </c>
      <c r="B1655" s="17">
        <v>59.095284999999997</v>
      </c>
      <c r="C1655" s="18"/>
      <c r="D1655" s="19"/>
    </row>
    <row r="1656" spans="1:4" x14ac:dyDescent="0.3">
      <c r="A1656" s="16">
        <v>45449.481943999999</v>
      </c>
      <c r="B1656" s="17">
        <v>59.167830000000002</v>
      </c>
      <c r="C1656" s="18"/>
      <c r="D1656" s="19"/>
    </row>
    <row r="1657" spans="1:4" x14ac:dyDescent="0.3">
      <c r="A1657" s="16">
        <v>45449.482639000002</v>
      </c>
      <c r="B1657" s="17">
        <v>59.004033</v>
      </c>
      <c r="C1657" s="18"/>
      <c r="D1657" s="19"/>
    </row>
    <row r="1658" spans="1:4" x14ac:dyDescent="0.3">
      <c r="A1658" s="16">
        <v>45449.483332999996</v>
      </c>
      <c r="B1658" s="17">
        <v>58.892280999999997</v>
      </c>
      <c r="C1658" s="18"/>
      <c r="D1658" s="19"/>
    </row>
    <row r="1659" spans="1:4" x14ac:dyDescent="0.3">
      <c r="A1659" s="16">
        <v>45449.484027999999</v>
      </c>
      <c r="B1659" s="17">
        <v>59.044727999999999</v>
      </c>
      <c r="C1659" s="18"/>
      <c r="D1659" s="19"/>
    </row>
    <row r="1660" spans="1:4" x14ac:dyDescent="0.3">
      <c r="A1660" s="16">
        <v>45449.484722000001</v>
      </c>
      <c r="B1660" s="17">
        <v>58.970140999999998</v>
      </c>
      <c r="C1660" s="18"/>
      <c r="D1660" s="19"/>
    </row>
    <row r="1661" spans="1:4" x14ac:dyDescent="0.3">
      <c r="A1661" s="16">
        <v>45449.485417000004</v>
      </c>
      <c r="B1661" s="17">
        <v>59.012188000000002</v>
      </c>
      <c r="C1661" s="18"/>
      <c r="D1661" s="19"/>
    </row>
    <row r="1662" spans="1:4" x14ac:dyDescent="0.3">
      <c r="A1662" s="16">
        <v>45449.486110999998</v>
      </c>
      <c r="B1662" s="17">
        <v>59.226424999999999</v>
      </c>
      <c r="C1662" s="18"/>
      <c r="D1662" s="19"/>
    </row>
    <row r="1663" spans="1:4" x14ac:dyDescent="0.3">
      <c r="A1663" s="16">
        <v>45449.486806000001</v>
      </c>
      <c r="B1663" s="17">
        <v>59.216195999999997</v>
      </c>
      <c r="C1663" s="18"/>
      <c r="D1663" s="19"/>
    </row>
    <row r="1664" spans="1:4" x14ac:dyDescent="0.3">
      <c r="A1664" s="16">
        <v>45449.487500000003</v>
      </c>
      <c r="B1664" s="17">
        <v>59.291727999999999</v>
      </c>
      <c r="C1664" s="18"/>
      <c r="D1664" s="19"/>
    </row>
    <row r="1665" spans="1:4" x14ac:dyDescent="0.3">
      <c r="A1665" s="16">
        <v>45449.488193999998</v>
      </c>
      <c r="B1665" s="17">
        <v>58.869089000000002</v>
      </c>
      <c r="C1665" s="18"/>
      <c r="D1665" s="19"/>
    </row>
    <row r="1666" spans="1:4" x14ac:dyDescent="0.3">
      <c r="A1666" s="16">
        <v>45449.488889</v>
      </c>
      <c r="B1666" s="17">
        <v>59.063127999999999</v>
      </c>
      <c r="C1666" s="18"/>
      <c r="D1666" s="19"/>
    </row>
    <row r="1667" spans="1:4" x14ac:dyDescent="0.3">
      <c r="A1667" s="16">
        <v>45449.489583000002</v>
      </c>
      <c r="B1667" s="17">
        <v>59.021241000000003</v>
      </c>
      <c r="C1667" s="18"/>
      <c r="D1667" s="19"/>
    </row>
    <row r="1668" spans="1:4" x14ac:dyDescent="0.3">
      <c r="A1668" s="16">
        <v>45449.490277999997</v>
      </c>
      <c r="B1668" s="17">
        <v>59.317422000000001</v>
      </c>
      <c r="C1668" s="18"/>
      <c r="D1668" s="19"/>
    </row>
    <row r="1669" spans="1:4" x14ac:dyDescent="0.3">
      <c r="A1669" s="16">
        <v>45449.490972</v>
      </c>
      <c r="B1669" s="17">
        <v>59.112070000000003</v>
      </c>
      <c r="C1669" s="18"/>
      <c r="D1669" s="19"/>
    </row>
    <row r="1670" spans="1:4" x14ac:dyDescent="0.3">
      <c r="A1670" s="16">
        <v>45449.491667000002</v>
      </c>
      <c r="B1670" s="17">
        <v>59.339225999999996</v>
      </c>
      <c r="C1670" s="18"/>
      <c r="D1670" s="19"/>
    </row>
    <row r="1671" spans="1:4" x14ac:dyDescent="0.3">
      <c r="A1671" s="16">
        <v>45449.492360999997</v>
      </c>
      <c r="B1671" s="17">
        <v>59.034602</v>
      </c>
      <c r="C1671" s="18"/>
      <c r="D1671" s="19"/>
    </row>
    <row r="1672" spans="1:4" x14ac:dyDescent="0.3">
      <c r="A1672" s="16">
        <v>45449.493055999999</v>
      </c>
      <c r="B1672" s="17">
        <v>59.416575000000002</v>
      </c>
      <c r="C1672" s="18"/>
      <c r="D1672" s="19"/>
    </row>
    <row r="1673" spans="1:4" x14ac:dyDescent="0.3">
      <c r="A1673" s="16">
        <v>45449.493750000001</v>
      </c>
      <c r="B1673" s="17">
        <v>58.832662999999997</v>
      </c>
      <c r="C1673" s="18"/>
      <c r="D1673" s="19"/>
    </row>
    <row r="1674" spans="1:4" x14ac:dyDescent="0.3">
      <c r="A1674" s="16">
        <v>45449.494444000004</v>
      </c>
      <c r="B1674" s="17">
        <v>59.393436999999999</v>
      </c>
      <c r="C1674" s="18"/>
      <c r="D1674" s="19"/>
    </row>
    <row r="1675" spans="1:4" x14ac:dyDescent="0.3">
      <c r="A1675" s="16">
        <v>45449.495138999999</v>
      </c>
      <c r="B1675" s="17">
        <v>59.074295999999997</v>
      </c>
      <c r="C1675" s="18"/>
      <c r="D1675" s="19"/>
    </row>
    <row r="1676" spans="1:4" x14ac:dyDescent="0.3">
      <c r="A1676" s="16">
        <v>45449.495833000001</v>
      </c>
      <c r="B1676" s="17">
        <v>59.003284000000001</v>
      </c>
      <c r="C1676" s="18"/>
      <c r="D1676" s="19"/>
    </row>
    <row r="1677" spans="1:4" x14ac:dyDescent="0.3">
      <c r="A1677" s="16">
        <v>45449.496528000003</v>
      </c>
      <c r="B1677" s="17">
        <v>59.073351000000002</v>
      </c>
      <c r="C1677" s="18"/>
      <c r="D1677" s="19"/>
    </row>
    <row r="1678" spans="1:4" x14ac:dyDescent="0.3">
      <c r="A1678" s="16">
        <v>45449.497221999998</v>
      </c>
      <c r="B1678" s="17">
        <v>59.255783000000001</v>
      </c>
      <c r="C1678" s="18"/>
      <c r="D1678" s="19"/>
    </row>
    <row r="1679" spans="1:4" x14ac:dyDescent="0.3">
      <c r="A1679" s="16">
        <v>45449.497917000001</v>
      </c>
      <c r="B1679" s="17">
        <v>59.055961000000003</v>
      </c>
      <c r="C1679" s="18"/>
      <c r="D1679" s="19"/>
    </row>
    <row r="1680" spans="1:4" x14ac:dyDescent="0.3">
      <c r="A1680" s="16">
        <v>45449.498611000003</v>
      </c>
      <c r="B1680" s="17">
        <v>59.181604999999998</v>
      </c>
      <c r="C1680" s="18"/>
      <c r="D1680" s="19"/>
    </row>
    <row r="1681" spans="1:4" x14ac:dyDescent="0.3">
      <c r="A1681" s="16">
        <v>45449.499305999998</v>
      </c>
      <c r="B1681" s="17">
        <v>59.277515999999999</v>
      </c>
      <c r="C1681" s="18"/>
      <c r="D1681" s="19"/>
    </row>
    <row r="1682" spans="1:4" x14ac:dyDescent="0.3">
      <c r="A1682" s="16">
        <v>45449.5</v>
      </c>
      <c r="B1682" s="17">
        <v>59.118324000000001</v>
      </c>
      <c r="C1682" s="18"/>
      <c r="D1682" s="19"/>
    </row>
    <row r="1683" spans="1:4" x14ac:dyDescent="0.3">
      <c r="A1683" s="16">
        <v>45449.500694000002</v>
      </c>
      <c r="B1683" s="17">
        <v>59.214551999999998</v>
      </c>
      <c r="C1683" s="18"/>
      <c r="D1683" s="19"/>
    </row>
    <row r="1684" spans="1:4" x14ac:dyDescent="0.3">
      <c r="A1684" s="16">
        <v>45449.501388999997</v>
      </c>
      <c r="B1684" s="17">
        <v>58.991866999999999</v>
      </c>
      <c r="C1684" s="18"/>
      <c r="D1684" s="19"/>
    </row>
    <row r="1685" spans="1:4" x14ac:dyDescent="0.3">
      <c r="A1685" s="16">
        <v>45449.502082999999</v>
      </c>
      <c r="B1685" s="17">
        <v>59.300941000000002</v>
      </c>
      <c r="C1685" s="18"/>
      <c r="D1685" s="19"/>
    </row>
    <row r="1686" spans="1:4" x14ac:dyDescent="0.3">
      <c r="A1686" s="16">
        <v>45449.502778000002</v>
      </c>
      <c r="B1686" s="17">
        <v>59.021227000000003</v>
      </c>
      <c r="C1686" s="18"/>
      <c r="D1686" s="19"/>
    </row>
    <row r="1687" spans="1:4" x14ac:dyDescent="0.3">
      <c r="A1687" s="16">
        <v>45449.503471999997</v>
      </c>
      <c r="B1687" s="17">
        <v>58.970205</v>
      </c>
      <c r="C1687" s="18"/>
      <c r="D1687" s="19"/>
    </row>
    <row r="1688" spans="1:4" x14ac:dyDescent="0.3">
      <c r="A1688" s="16">
        <v>45449.504166999999</v>
      </c>
      <c r="B1688" s="17">
        <v>58.995210999999998</v>
      </c>
      <c r="C1688" s="18"/>
      <c r="D1688" s="19"/>
    </row>
    <row r="1689" spans="1:4" x14ac:dyDescent="0.3">
      <c r="A1689" s="16">
        <v>45449.504861000001</v>
      </c>
      <c r="B1689" s="17">
        <v>59.154283999999997</v>
      </c>
      <c r="C1689" s="18"/>
      <c r="D1689" s="19"/>
    </row>
    <row r="1690" spans="1:4" x14ac:dyDescent="0.3">
      <c r="A1690" s="16">
        <v>45449.505555999996</v>
      </c>
      <c r="B1690" s="17">
        <v>59.469586999999997</v>
      </c>
      <c r="C1690" s="18"/>
      <c r="D1690" s="19"/>
    </row>
    <row r="1691" spans="1:4" x14ac:dyDescent="0.3">
      <c r="A1691" s="16">
        <v>45449.506249999999</v>
      </c>
      <c r="B1691" s="17">
        <v>59.125466000000003</v>
      </c>
      <c r="C1691" s="18"/>
      <c r="D1691" s="19"/>
    </row>
    <row r="1692" spans="1:4" x14ac:dyDescent="0.3">
      <c r="A1692" s="16">
        <v>45449.506944000001</v>
      </c>
      <c r="B1692" s="17">
        <v>58.996926000000002</v>
      </c>
      <c r="C1692" s="18"/>
      <c r="D1692" s="19"/>
    </row>
    <row r="1693" spans="1:4" x14ac:dyDescent="0.3">
      <c r="A1693" s="16">
        <v>45449.507639000003</v>
      </c>
      <c r="B1693" s="17">
        <v>59.132385999999997</v>
      </c>
      <c r="C1693" s="18"/>
      <c r="D1693" s="19"/>
    </row>
    <row r="1694" spans="1:4" x14ac:dyDescent="0.3">
      <c r="A1694" s="16">
        <v>45449.508332999998</v>
      </c>
      <c r="B1694" s="17">
        <v>59.172429999999999</v>
      </c>
      <c r="C1694" s="18"/>
      <c r="D1694" s="19"/>
    </row>
    <row r="1695" spans="1:4" x14ac:dyDescent="0.3">
      <c r="A1695" s="16">
        <v>45449.509028</v>
      </c>
      <c r="B1695" s="17">
        <v>59.124243</v>
      </c>
      <c r="C1695" s="18"/>
      <c r="D1695" s="19"/>
    </row>
    <row r="1696" spans="1:4" x14ac:dyDescent="0.3">
      <c r="A1696" s="16">
        <v>45449.509722000003</v>
      </c>
      <c r="B1696" s="17">
        <v>58.968952999999999</v>
      </c>
      <c r="C1696" s="18"/>
      <c r="D1696" s="19"/>
    </row>
    <row r="1697" spans="1:4" x14ac:dyDescent="0.3">
      <c r="A1697" s="16">
        <v>45449.510416999998</v>
      </c>
      <c r="B1697" s="17">
        <v>59.200265000000002</v>
      </c>
      <c r="C1697" s="18"/>
      <c r="D1697" s="19"/>
    </row>
    <row r="1698" spans="1:4" x14ac:dyDescent="0.3">
      <c r="A1698" s="16">
        <v>45449.511111</v>
      </c>
      <c r="B1698" s="17">
        <v>59.325560000000003</v>
      </c>
      <c r="C1698" s="18"/>
      <c r="D1698" s="19"/>
    </row>
    <row r="1699" spans="1:4" x14ac:dyDescent="0.3">
      <c r="A1699" s="16">
        <v>45449.511806000002</v>
      </c>
      <c r="B1699" s="17">
        <v>59.281885000000003</v>
      </c>
      <c r="C1699" s="18"/>
      <c r="D1699" s="19"/>
    </row>
    <row r="1700" spans="1:4" x14ac:dyDescent="0.3">
      <c r="A1700" s="16">
        <v>45449.512499999997</v>
      </c>
      <c r="B1700" s="17">
        <v>58.999696999999998</v>
      </c>
      <c r="C1700" s="18"/>
      <c r="D1700" s="19"/>
    </row>
    <row r="1701" spans="1:4" x14ac:dyDescent="0.3">
      <c r="A1701" s="16">
        <v>45449.513193999999</v>
      </c>
      <c r="B1701" s="17">
        <v>59.004244</v>
      </c>
      <c r="C1701" s="18"/>
      <c r="D1701" s="19"/>
    </row>
    <row r="1702" spans="1:4" x14ac:dyDescent="0.3">
      <c r="A1702" s="16">
        <v>45449.513889000002</v>
      </c>
      <c r="B1702" s="17">
        <v>59.210771999999999</v>
      </c>
      <c r="C1702" s="18"/>
      <c r="D1702" s="19"/>
    </row>
    <row r="1703" spans="1:4" x14ac:dyDescent="0.3">
      <c r="A1703" s="16">
        <v>45449.514582999996</v>
      </c>
      <c r="B1703" s="17">
        <v>59.017023999999999</v>
      </c>
      <c r="C1703" s="18"/>
      <c r="D1703" s="19"/>
    </row>
    <row r="1704" spans="1:4" x14ac:dyDescent="0.3">
      <c r="A1704" s="16">
        <v>45449.515277999999</v>
      </c>
      <c r="B1704" s="17">
        <v>59.020197000000003</v>
      </c>
      <c r="C1704" s="18"/>
      <c r="D1704" s="19"/>
    </row>
    <row r="1705" spans="1:4" x14ac:dyDescent="0.3">
      <c r="A1705" s="16">
        <v>45449.515972000001</v>
      </c>
      <c r="B1705" s="17">
        <v>58.918882000000004</v>
      </c>
      <c r="C1705" s="18"/>
      <c r="D1705" s="19"/>
    </row>
    <row r="1706" spans="1:4" x14ac:dyDescent="0.3">
      <c r="A1706" s="16">
        <v>45449.516667000004</v>
      </c>
      <c r="B1706" s="17">
        <v>59.458444999999998</v>
      </c>
      <c r="C1706" s="18"/>
      <c r="D1706" s="19"/>
    </row>
    <row r="1707" spans="1:4" x14ac:dyDescent="0.3">
      <c r="A1707" s="16">
        <v>45449.517360999998</v>
      </c>
      <c r="B1707" s="17">
        <v>59.165523999999998</v>
      </c>
      <c r="C1707" s="18"/>
      <c r="D1707" s="19"/>
    </row>
    <row r="1708" spans="1:4" x14ac:dyDescent="0.3">
      <c r="A1708" s="16">
        <v>45449.518056000001</v>
      </c>
      <c r="B1708" s="17">
        <v>59.450108999999998</v>
      </c>
      <c r="C1708" s="18"/>
      <c r="D1708" s="19"/>
    </row>
    <row r="1709" spans="1:4" x14ac:dyDescent="0.3">
      <c r="A1709" s="16">
        <v>45449.518750000003</v>
      </c>
      <c r="B1709" s="17">
        <v>59.405762000000003</v>
      </c>
      <c r="C1709" s="18"/>
      <c r="D1709" s="19"/>
    </row>
    <row r="1710" spans="1:4" x14ac:dyDescent="0.3">
      <c r="A1710" s="16">
        <v>45449.519443999998</v>
      </c>
      <c r="B1710" s="17">
        <v>59.236508999999998</v>
      </c>
      <c r="C1710" s="18"/>
      <c r="D1710" s="19"/>
    </row>
    <row r="1711" spans="1:4" x14ac:dyDescent="0.3">
      <c r="A1711" s="16">
        <v>45449.520139</v>
      </c>
      <c r="B1711" s="17">
        <v>59.099500999999997</v>
      </c>
      <c r="C1711" s="18"/>
      <c r="D1711" s="19"/>
    </row>
    <row r="1712" spans="1:4" x14ac:dyDescent="0.3">
      <c r="A1712" s="16">
        <v>45449.520833000002</v>
      </c>
      <c r="B1712" s="17">
        <v>59.453994999999999</v>
      </c>
      <c r="C1712" s="18"/>
      <c r="D1712" s="19"/>
    </row>
    <row r="1713" spans="1:4" x14ac:dyDescent="0.3">
      <c r="A1713" s="16">
        <v>45449.521527999997</v>
      </c>
      <c r="B1713" s="17">
        <v>59.337040000000002</v>
      </c>
      <c r="C1713" s="18"/>
      <c r="D1713" s="19"/>
    </row>
    <row r="1714" spans="1:4" x14ac:dyDescent="0.3">
      <c r="A1714" s="16">
        <v>45449.522222</v>
      </c>
      <c r="B1714" s="17">
        <v>59.404288000000001</v>
      </c>
      <c r="C1714" s="18"/>
      <c r="D1714" s="19"/>
    </row>
    <row r="1715" spans="1:4" x14ac:dyDescent="0.3">
      <c r="A1715" s="16">
        <v>45449.522917000002</v>
      </c>
      <c r="B1715" s="17">
        <v>59.174849999999999</v>
      </c>
      <c r="C1715" s="18"/>
      <c r="D1715" s="19"/>
    </row>
    <row r="1716" spans="1:4" x14ac:dyDescent="0.3">
      <c r="A1716" s="16">
        <v>45449.523610999997</v>
      </c>
      <c r="B1716" s="17">
        <v>59.575422000000003</v>
      </c>
      <c r="C1716" s="18"/>
      <c r="D1716" s="19"/>
    </row>
    <row r="1717" spans="1:4" x14ac:dyDescent="0.3">
      <c r="A1717" s="16">
        <v>45449.524305999999</v>
      </c>
      <c r="B1717" s="17">
        <v>59.294313000000002</v>
      </c>
      <c r="C1717" s="18"/>
      <c r="D1717" s="19"/>
    </row>
    <row r="1718" spans="1:4" x14ac:dyDescent="0.3">
      <c r="A1718" s="16">
        <v>45449.525000000001</v>
      </c>
      <c r="B1718" s="17">
        <v>59.143911000000003</v>
      </c>
      <c r="C1718" s="18"/>
      <c r="D1718" s="19"/>
    </row>
    <row r="1719" spans="1:4" x14ac:dyDescent="0.3">
      <c r="A1719" s="16">
        <v>45449.525694000004</v>
      </c>
      <c r="B1719" s="17">
        <v>59.255619000000003</v>
      </c>
      <c r="C1719" s="18"/>
      <c r="D1719" s="19"/>
    </row>
    <row r="1720" spans="1:4" x14ac:dyDescent="0.3">
      <c r="A1720" s="16">
        <v>45449.526388999999</v>
      </c>
      <c r="B1720" s="17">
        <v>59.583908999999998</v>
      </c>
      <c r="C1720" s="18"/>
      <c r="D1720" s="19"/>
    </row>
    <row r="1721" spans="1:4" x14ac:dyDescent="0.3">
      <c r="A1721" s="16">
        <v>45449.527083000001</v>
      </c>
      <c r="B1721" s="17">
        <v>59.558247999999999</v>
      </c>
      <c r="C1721" s="18"/>
      <c r="D1721" s="19"/>
    </row>
    <row r="1722" spans="1:4" x14ac:dyDescent="0.3">
      <c r="A1722" s="16">
        <v>45449.527778000003</v>
      </c>
      <c r="B1722" s="17">
        <v>59.328499000000001</v>
      </c>
      <c r="C1722" s="18"/>
      <c r="D1722" s="19"/>
    </row>
    <row r="1723" spans="1:4" x14ac:dyDescent="0.3">
      <c r="A1723" s="16">
        <v>45449.528471999998</v>
      </c>
      <c r="B1723" s="17">
        <v>59.116464000000001</v>
      </c>
      <c r="C1723" s="18"/>
      <c r="D1723" s="19"/>
    </row>
    <row r="1724" spans="1:4" x14ac:dyDescent="0.3">
      <c r="A1724" s="16">
        <v>45449.529167000001</v>
      </c>
      <c r="B1724" s="17">
        <v>59.724860999999997</v>
      </c>
      <c r="C1724" s="18"/>
      <c r="D1724" s="19"/>
    </row>
    <row r="1725" spans="1:4" x14ac:dyDescent="0.3">
      <c r="A1725" s="16">
        <v>45449.529861000003</v>
      </c>
      <c r="B1725" s="17">
        <v>59.018923999999998</v>
      </c>
      <c r="C1725" s="18"/>
      <c r="D1725" s="19"/>
    </row>
    <row r="1726" spans="1:4" x14ac:dyDescent="0.3">
      <c r="A1726" s="16">
        <v>45449.530555999998</v>
      </c>
      <c r="B1726" s="17">
        <v>59.155351000000003</v>
      </c>
      <c r="C1726" s="18"/>
      <c r="D1726" s="19"/>
    </row>
    <row r="1727" spans="1:4" x14ac:dyDescent="0.3">
      <c r="A1727" s="16">
        <v>45449.53125</v>
      </c>
      <c r="B1727" s="17">
        <v>59.285102999999999</v>
      </c>
      <c r="C1727" s="18"/>
      <c r="D1727" s="19"/>
    </row>
    <row r="1728" spans="1:4" x14ac:dyDescent="0.3">
      <c r="A1728" s="16">
        <v>45449.531944000002</v>
      </c>
      <c r="B1728" s="17">
        <v>59.143003999999998</v>
      </c>
      <c r="C1728" s="18"/>
      <c r="D1728" s="19"/>
    </row>
    <row r="1729" spans="1:4" x14ac:dyDescent="0.3">
      <c r="A1729" s="16">
        <v>45449.532638999997</v>
      </c>
      <c r="B1729" s="17">
        <v>59.376139999999999</v>
      </c>
      <c r="C1729" s="18"/>
      <c r="D1729" s="19"/>
    </row>
    <row r="1730" spans="1:4" x14ac:dyDescent="0.3">
      <c r="A1730" s="16">
        <v>45449.533332999999</v>
      </c>
      <c r="B1730" s="17">
        <v>59.150106000000001</v>
      </c>
      <c r="C1730" s="18"/>
      <c r="D1730" s="19"/>
    </row>
    <row r="1731" spans="1:4" x14ac:dyDescent="0.3">
      <c r="A1731" s="16">
        <v>45449.534028000002</v>
      </c>
      <c r="B1731" s="17">
        <v>59.515549</v>
      </c>
      <c r="C1731" s="18"/>
      <c r="D1731" s="19"/>
    </row>
    <row r="1732" spans="1:4" x14ac:dyDescent="0.3">
      <c r="A1732" s="16">
        <v>45449.534721999997</v>
      </c>
      <c r="B1732" s="17">
        <v>59.300083999999998</v>
      </c>
      <c r="C1732" s="18"/>
      <c r="D1732" s="19"/>
    </row>
    <row r="1733" spans="1:4" x14ac:dyDescent="0.3">
      <c r="A1733" s="16">
        <v>45449.535416999999</v>
      </c>
      <c r="B1733" s="17">
        <v>59.345668000000003</v>
      </c>
      <c r="C1733" s="18"/>
      <c r="D1733" s="19"/>
    </row>
    <row r="1734" spans="1:4" x14ac:dyDescent="0.3">
      <c r="A1734" s="16">
        <v>45449.536111000001</v>
      </c>
      <c r="B1734" s="17">
        <v>59.307395</v>
      </c>
      <c r="C1734" s="18"/>
      <c r="D1734" s="19"/>
    </row>
    <row r="1735" spans="1:4" x14ac:dyDescent="0.3">
      <c r="A1735" s="16">
        <v>45449.536805999996</v>
      </c>
      <c r="B1735" s="17">
        <v>58.946556999999999</v>
      </c>
      <c r="C1735" s="18"/>
      <c r="D1735" s="19"/>
    </row>
    <row r="1736" spans="1:4" x14ac:dyDescent="0.3">
      <c r="A1736" s="16">
        <v>45449.537499999999</v>
      </c>
      <c r="B1736" s="17">
        <v>59.178348999999997</v>
      </c>
      <c r="C1736" s="18"/>
      <c r="D1736" s="19"/>
    </row>
    <row r="1737" spans="1:4" x14ac:dyDescent="0.3">
      <c r="A1737" s="16">
        <v>45449.538194000001</v>
      </c>
      <c r="B1737" s="17">
        <v>59.373119000000003</v>
      </c>
      <c r="C1737" s="18"/>
      <c r="D1737" s="19"/>
    </row>
    <row r="1738" spans="1:4" x14ac:dyDescent="0.3">
      <c r="A1738" s="16">
        <v>45449.538889000003</v>
      </c>
      <c r="B1738" s="17">
        <v>59.420825000000001</v>
      </c>
      <c r="C1738" s="18"/>
      <c r="D1738" s="19"/>
    </row>
    <row r="1739" spans="1:4" x14ac:dyDescent="0.3">
      <c r="A1739" s="16">
        <v>45449.539582999998</v>
      </c>
      <c r="B1739" s="17">
        <v>59.222757000000001</v>
      </c>
      <c r="C1739" s="18"/>
      <c r="D1739" s="19"/>
    </row>
    <row r="1740" spans="1:4" x14ac:dyDescent="0.3">
      <c r="A1740" s="16">
        <v>45449.540278</v>
      </c>
      <c r="B1740" s="17">
        <v>59.254131999999998</v>
      </c>
      <c r="C1740" s="18"/>
      <c r="D1740" s="19"/>
    </row>
    <row r="1741" spans="1:4" x14ac:dyDescent="0.3">
      <c r="A1741" s="16">
        <v>45449.540972000003</v>
      </c>
      <c r="B1741" s="17">
        <v>59.388018000000002</v>
      </c>
      <c r="C1741" s="18"/>
      <c r="D1741" s="19"/>
    </row>
    <row r="1742" spans="1:4" x14ac:dyDescent="0.3">
      <c r="A1742" s="16">
        <v>45449.541666999998</v>
      </c>
      <c r="B1742" s="17">
        <v>59.455950999999999</v>
      </c>
      <c r="C1742" s="18"/>
      <c r="D1742" s="19"/>
    </row>
    <row r="1743" spans="1:4" x14ac:dyDescent="0.3">
      <c r="A1743" s="16">
        <v>45449.542361</v>
      </c>
      <c r="B1743" s="17">
        <v>59.273381000000001</v>
      </c>
      <c r="C1743" s="18"/>
      <c r="D1743" s="19"/>
    </row>
    <row r="1744" spans="1:4" x14ac:dyDescent="0.3">
      <c r="A1744" s="16">
        <v>45449.543056000002</v>
      </c>
      <c r="B1744" s="17">
        <v>59.735388999999998</v>
      </c>
      <c r="C1744" s="18"/>
      <c r="D1744" s="19"/>
    </row>
    <row r="1745" spans="1:4" x14ac:dyDescent="0.3">
      <c r="A1745" s="16">
        <v>45449.543749999997</v>
      </c>
      <c r="B1745" s="17">
        <v>59.637911000000003</v>
      </c>
      <c r="C1745" s="18"/>
      <c r="D1745" s="19"/>
    </row>
    <row r="1746" spans="1:4" x14ac:dyDescent="0.3">
      <c r="A1746" s="16">
        <v>45449.544443999999</v>
      </c>
      <c r="B1746" s="17">
        <v>59.274430000000002</v>
      </c>
      <c r="C1746" s="18"/>
      <c r="D1746" s="19"/>
    </row>
    <row r="1747" spans="1:4" x14ac:dyDescent="0.3">
      <c r="A1747" s="16">
        <v>45449.545139000002</v>
      </c>
      <c r="B1747" s="17">
        <v>59.370024000000001</v>
      </c>
      <c r="C1747" s="18"/>
      <c r="D1747" s="19"/>
    </row>
    <row r="1748" spans="1:4" x14ac:dyDescent="0.3">
      <c r="A1748" s="16">
        <v>45449.545832999996</v>
      </c>
      <c r="B1748" s="17">
        <v>59.603416000000003</v>
      </c>
      <c r="C1748" s="18"/>
      <c r="D1748" s="19"/>
    </row>
    <row r="1749" spans="1:4" x14ac:dyDescent="0.3">
      <c r="A1749" s="16">
        <v>45449.546527999999</v>
      </c>
      <c r="B1749" s="17">
        <v>59.396231</v>
      </c>
      <c r="C1749" s="18"/>
      <c r="D1749" s="19"/>
    </row>
    <row r="1750" spans="1:4" x14ac:dyDescent="0.3">
      <c r="A1750" s="16">
        <v>45449.547222000001</v>
      </c>
      <c r="B1750" s="17">
        <v>58.968524000000002</v>
      </c>
      <c r="C1750" s="18"/>
      <c r="D1750" s="19"/>
    </row>
    <row r="1751" spans="1:4" x14ac:dyDescent="0.3">
      <c r="A1751" s="16">
        <v>45449.547917000004</v>
      </c>
      <c r="B1751" s="17">
        <v>59.185358000000001</v>
      </c>
      <c r="C1751" s="18"/>
      <c r="D1751" s="19"/>
    </row>
    <row r="1752" spans="1:4" x14ac:dyDescent="0.3">
      <c r="A1752" s="16">
        <v>45449.548610999998</v>
      </c>
      <c r="B1752" s="17">
        <v>59.239508000000001</v>
      </c>
      <c r="C1752" s="18"/>
      <c r="D1752" s="19"/>
    </row>
    <row r="1753" spans="1:4" x14ac:dyDescent="0.3">
      <c r="A1753" s="16">
        <v>45449.549306000001</v>
      </c>
      <c r="B1753" s="17">
        <v>58.867820999999999</v>
      </c>
      <c r="C1753" s="18"/>
      <c r="D1753" s="19"/>
    </row>
    <row r="1754" spans="1:4" x14ac:dyDescent="0.3">
      <c r="A1754" s="16">
        <v>45449.55</v>
      </c>
      <c r="B1754" s="17">
        <v>59.490310999999998</v>
      </c>
      <c r="C1754" s="18"/>
      <c r="D1754" s="19"/>
    </row>
    <row r="1755" spans="1:4" x14ac:dyDescent="0.3">
      <c r="A1755" s="16">
        <v>45449.550693999998</v>
      </c>
      <c r="B1755" s="17">
        <v>59.448366999999998</v>
      </c>
      <c r="C1755" s="18"/>
      <c r="D1755" s="19"/>
    </row>
    <row r="1756" spans="1:4" x14ac:dyDescent="0.3">
      <c r="A1756" s="16">
        <v>45449.551389</v>
      </c>
      <c r="B1756" s="17">
        <v>59.259892999999998</v>
      </c>
      <c r="C1756" s="18"/>
      <c r="D1756" s="19"/>
    </row>
    <row r="1757" spans="1:4" x14ac:dyDescent="0.3">
      <c r="A1757" s="16">
        <v>45449.552083000002</v>
      </c>
      <c r="B1757" s="17">
        <v>59.322344000000001</v>
      </c>
      <c r="C1757" s="18"/>
      <c r="D1757" s="19"/>
    </row>
    <row r="1758" spans="1:4" x14ac:dyDescent="0.3">
      <c r="A1758" s="16">
        <v>45449.552777999997</v>
      </c>
      <c r="B1758" s="17">
        <v>59.354075999999999</v>
      </c>
      <c r="C1758" s="18"/>
      <c r="D1758" s="19"/>
    </row>
    <row r="1759" spans="1:4" x14ac:dyDescent="0.3">
      <c r="A1759" s="16">
        <v>45449.553472</v>
      </c>
      <c r="B1759" s="17">
        <v>59.548506000000003</v>
      </c>
      <c r="C1759" s="18"/>
      <c r="D1759" s="19"/>
    </row>
    <row r="1760" spans="1:4" x14ac:dyDescent="0.3">
      <c r="A1760" s="16">
        <v>45449.554167000002</v>
      </c>
      <c r="B1760" s="17">
        <v>59.396841999999999</v>
      </c>
      <c r="C1760" s="18"/>
      <c r="D1760" s="19"/>
    </row>
    <row r="1761" spans="1:4" x14ac:dyDescent="0.3">
      <c r="A1761" s="16">
        <v>45449.554860999997</v>
      </c>
      <c r="B1761" s="17">
        <v>59.666623000000001</v>
      </c>
      <c r="C1761" s="18"/>
      <c r="D1761" s="19"/>
    </row>
    <row r="1762" spans="1:4" x14ac:dyDescent="0.3">
      <c r="A1762" s="16">
        <v>45449.555555999999</v>
      </c>
      <c r="B1762" s="17">
        <v>59.281435000000002</v>
      </c>
      <c r="C1762" s="18"/>
      <c r="D1762" s="19"/>
    </row>
    <row r="1763" spans="1:4" x14ac:dyDescent="0.3">
      <c r="A1763" s="16">
        <v>45449.556250000001</v>
      </c>
      <c r="B1763" s="17">
        <v>59.264566000000002</v>
      </c>
      <c r="C1763" s="18"/>
      <c r="D1763" s="19"/>
    </row>
    <row r="1764" spans="1:4" x14ac:dyDescent="0.3">
      <c r="A1764" s="16">
        <v>45449.556944000004</v>
      </c>
      <c r="B1764" s="17">
        <v>59.344076999999999</v>
      </c>
      <c r="C1764" s="18"/>
      <c r="D1764" s="19"/>
    </row>
    <row r="1765" spans="1:4" x14ac:dyDescent="0.3">
      <c r="A1765" s="16">
        <v>45449.557638999999</v>
      </c>
      <c r="B1765" s="17">
        <v>59.300505000000001</v>
      </c>
      <c r="C1765" s="18"/>
      <c r="D1765" s="19"/>
    </row>
    <row r="1766" spans="1:4" x14ac:dyDescent="0.3">
      <c r="A1766" s="16">
        <v>45449.558333000001</v>
      </c>
      <c r="B1766" s="17">
        <v>59.238025999999998</v>
      </c>
      <c r="C1766" s="18"/>
      <c r="D1766" s="19"/>
    </row>
    <row r="1767" spans="1:4" x14ac:dyDescent="0.3">
      <c r="A1767" s="16">
        <v>45449.559028000003</v>
      </c>
      <c r="B1767" s="17">
        <v>59.572094999999997</v>
      </c>
      <c r="C1767" s="18"/>
      <c r="D1767" s="19"/>
    </row>
    <row r="1768" spans="1:4" x14ac:dyDescent="0.3">
      <c r="A1768" s="16">
        <v>45449.559721999998</v>
      </c>
      <c r="B1768" s="17">
        <v>59.091003999999998</v>
      </c>
      <c r="C1768" s="18"/>
      <c r="D1768" s="19"/>
    </row>
    <row r="1769" spans="1:4" x14ac:dyDescent="0.3">
      <c r="A1769" s="16">
        <v>45449.560417000001</v>
      </c>
      <c r="B1769" s="17">
        <v>59.035761000000001</v>
      </c>
      <c r="C1769" s="18"/>
      <c r="D1769" s="19"/>
    </row>
    <row r="1770" spans="1:4" x14ac:dyDescent="0.3">
      <c r="A1770" s="16">
        <v>45449.561111000003</v>
      </c>
      <c r="B1770" s="17">
        <v>59.256258000000003</v>
      </c>
      <c r="C1770" s="18"/>
      <c r="D1770" s="19"/>
    </row>
    <row r="1771" spans="1:4" x14ac:dyDescent="0.3">
      <c r="A1771" s="16">
        <v>45449.561805999998</v>
      </c>
      <c r="B1771" s="17">
        <v>59.118538000000001</v>
      </c>
      <c r="C1771" s="18"/>
      <c r="D1771" s="19"/>
    </row>
    <row r="1772" spans="1:4" x14ac:dyDescent="0.3">
      <c r="A1772" s="16">
        <v>45449.5625</v>
      </c>
      <c r="B1772" s="17">
        <v>59.482824999999998</v>
      </c>
      <c r="C1772" s="18"/>
      <c r="D1772" s="19"/>
    </row>
    <row r="1773" spans="1:4" x14ac:dyDescent="0.3">
      <c r="A1773" s="16">
        <v>45449.563194000002</v>
      </c>
      <c r="B1773" s="17">
        <v>59.467460000000003</v>
      </c>
      <c r="C1773" s="18"/>
      <c r="D1773" s="19"/>
    </row>
    <row r="1774" spans="1:4" x14ac:dyDescent="0.3">
      <c r="A1774" s="16">
        <v>45449.563888999997</v>
      </c>
      <c r="B1774" s="17">
        <v>59.032432</v>
      </c>
      <c r="C1774" s="18"/>
      <c r="D1774" s="19"/>
    </row>
    <row r="1775" spans="1:4" x14ac:dyDescent="0.3">
      <c r="A1775" s="16">
        <v>45449.564582999999</v>
      </c>
      <c r="B1775" s="17">
        <v>59.216495999999999</v>
      </c>
      <c r="C1775" s="18"/>
      <c r="D1775" s="19"/>
    </row>
    <row r="1776" spans="1:4" x14ac:dyDescent="0.3">
      <c r="A1776" s="16">
        <v>45449.565278000002</v>
      </c>
      <c r="B1776" s="17">
        <v>59.456397000000003</v>
      </c>
      <c r="C1776" s="18"/>
      <c r="D1776" s="19"/>
    </row>
    <row r="1777" spans="1:4" x14ac:dyDescent="0.3">
      <c r="A1777" s="16">
        <v>45449.565971999997</v>
      </c>
      <c r="B1777" s="17">
        <v>59.214239999999997</v>
      </c>
      <c r="C1777" s="18"/>
      <c r="D1777" s="19"/>
    </row>
    <row r="1778" spans="1:4" x14ac:dyDescent="0.3">
      <c r="A1778" s="16">
        <v>45449.566666999999</v>
      </c>
      <c r="B1778" s="17">
        <v>59.203000000000003</v>
      </c>
      <c r="C1778" s="18"/>
      <c r="D1778" s="19"/>
    </row>
    <row r="1779" spans="1:4" x14ac:dyDescent="0.3">
      <c r="A1779" s="16">
        <v>45449.567361000001</v>
      </c>
      <c r="B1779" s="17">
        <v>59.088656</v>
      </c>
      <c r="C1779" s="18"/>
      <c r="D1779" s="19"/>
    </row>
    <row r="1780" spans="1:4" x14ac:dyDescent="0.3">
      <c r="A1780" s="16">
        <v>45449.568055999996</v>
      </c>
      <c r="B1780" s="17">
        <v>59.113138999999997</v>
      </c>
      <c r="C1780" s="18"/>
      <c r="D1780" s="19"/>
    </row>
    <row r="1781" spans="1:4" x14ac:dyDescent="0.3">
      <c r="A1781" s="16">
        <v>45449.568749999999</v>
      </c>
      <c r="B1781" s="17">
        <v>59.408684999999998</v>
      </c>
      <c r="C1781" s="18"/>
      <c r="D1781" s="19"/>
    </row>
    <row r="1782" spans="1:4" x14ac:dyDescent="0.3">
      <c r="A1782" s="16">
        <v>45449.569444000001</v>
      </c>
      <c r="B1782" s="17">
        <v>59.296011</v>
      </c>
      <c r="C1782" s="18"/>
      <c r="D1782" s="19"/>
    </row>
    <row r="1783" spans="1:4" x14ac:dyDescent="0.3">
      <c r="A1783" s="16">
        <v>45449.570139000003</v>
      </c>
      <c r="B1783" s="17">
        <v>59.513308000000002</v>
      </c>
      <c r="C1783" s="18"/>
      <c r="D1783" s="19"/>
    </row>
    <row r="1784" spans="1:4" x14ac:dyDescent="0.3">
      <c r="A1784" s="16">
        <v>45449.570832999998</v>
      </c>
      <c r="B1784" s="17">
        <v>59.311427000000002</v>
      </c>
      <c r="C1784" s="18"/>
      <c r="D1784" s="19"/>
    </row>
    <row r="1785" spans="1:4" x14ac:dyDescent="0.3">
      <c r="A1785" s="16">
        <v>45449.571528</v>
      </c>
      <c r="B1785" s="17">
        <v>59.086807</v>
      </c>
      <c r="C1785" s="18"/>
      <c r="D1785" s="19"/>
    </row>
    <row r="1786" spans="1:4" x14ac:dyDescent="0.3">
      <c r="A1786" s="16">
        <v>45449.572222000003</v>
      </c>
      <c r="B1786" s="17">
        <v>59.132702999999999</v>
      </c>
      <c r="C1786" s="18"/>
      <c r="D1786" s="19"/>
    </row>
    <row r="1787" spans="1:4" x14ac:dyDescent="0.3">
      <c r="A1787" s="16">
        <v>45449.572916999998</v>
      </c>
      <c r="B1787" s="17">
        <v>59.509072000000003</v>
      </c>
      <c r="C1787" s="18"/>
      <c r="D1787" s="19"/>
    </row>
    <row r="1788" spans="1:4" x14ac:dyDescent="0.3">
      <c r="A1788" s="16">
        <v>45449.573611</v>
      </c>
      <c r="B1788" s="17">
        <v>59.290582999999998</v>
      </c>
      <c r="C1788" s="18"/>
      <c r="D1788" s="19"/>
    </row>
    <row r="1789" spans="1:4" x14ac:dyDescent="0.3">
      <c r="A1789" s="16">
        <v>45449.574306000002</v>
      </c>
      <c r="B1789" s="17">
        <v>59.327221000000002</v>
      </c>
      <c r="C1789" s="18"/>
      <c r="D1789" s="19"/>
    </row>
    <row r="1790" spans="1:4" x14ac:dyDescent="0.3">
      <c r="A1790" s="16">
        <v>45449.574999999997</v>
      </c>
      <c r="B1790" s="17">
        <v>59.108317999999997</v>
      </c>
      <c r="C1790" s="18"/>
      <c r="D1790" s="19"/>
    </row>
    <row r="1791" spans="1:4" x14ac:dyDescent="0.3">
      <c r="A1791" s="16">
        <v>45449.575693999999</v>
      </c>
      <c r="B1791" s="17">
        <v>59.354835999999999</v>
      </c>
      <c r="C1791" s="18"/>
      <c r="D1791" s="19"/>
    </row>
    <row r="1792" spans="1:4" x14ac:dyDescent="0.3">
      <c r="A1792" s="16">
        <v>45449.576389000002</v>
      </c>
      <c r="B1792" s="17">
        <v>59.436875000000001</v>
      </c>
      <c r="C1792" s="18"/>
      <c r="D1792" s="19"/>
    </row>
    <row r="1793" spans="1:4" x14ac:dyDescent="0.3">
      <c r="A1793" s="16">
        <v>45449.577082999996</v>
      </c>
      <c r="B1793" s="17">
        <v>59.463737999999999</v>
      </c>
      <c r="C1793" s="18"/>
      <c r="D1793" s="19"/>
    </row>
    <row r="1794" spans="1:4" x14ac:dyDescent="0.3">
      <c r="A1794" s="16">
        <v>45449.577777999999</v>
      </c>
      <c r="B1794" s="17">
        <v>59.413127000000003</v>
      </c>
      <c r="C1794" s="18"/>
      <c r="D1794" s="19"/>
    </row>
    <row r="1795" spans="1:4" x14ac:dyDescent="0.3">
      <c r="A1795" s="16">
        <v>45449.578472000001</v>
      </c>
      <c r="B1795" s="17">
        <v>59.014978999999997</v>
      </c>
      <c r="C1795" s="18"/>
      <c r="D1795" s="19"/>
    </row>
    <row r="1796" spans="1:4" x14ac:dyDescent="0.3">
      <c r="A1796" s="16">
        <v>45449.579167000004</v>
      </c>
      <c r="B1796" s="17">
        <v>58.990414999999999</v>
      </c>
      <c r="C1796" s="18"/>
      <c r="D1796" s="19"/>
    </row>
    <row r="1797" spans="1:4" x14ac:dyDescent="0.3">
      <c r="A1797" s="16">
        <v>45449.579860999998</v>
      </c>
      <c r="B1797" s="17">
        <v>59.058691000000003</v>
      </c>
      <c r="C1797" s="18"/>
      <c r="D1797" s="19"/>
    </row>
    <row r="1798" spans="1:4" x14ac:dyDescent="0.3">
      <c r="A1798" s="16">
        <v>45449.580556000001</v>
      </c>
      <c r="B1798" s="17">
        <v>59.177187000000004</v>
      </c>
      <c r="C1798" s="18"/>
      <c r="D1798" s="19"/>
    </row>
    <row r="1799" spans="1:4" x14ac:dyDescent="0.3">
      <c r="A1799" s="16">
        <v>45449.581250000003</v>
      </c>
      <c r="B1799" s="17">
        <v>59.452365</v>
      </c>
      <c r="C1799" s="18"/>
      <c r="D1799" s="19"/>
    </row>
    <row r="1800" spans="1:4" x14ac:dyDescent="0.3">
      <c r="A1800" s="16">
        <v>45449.581943999998</v>
      </c>
      <c r="B1800" s="17">
        <v>59.592649999999999</v>
      </c>
      <c r="C1800" s="18"/>
      <c r="D1800" s="19"/>
    </row>
    <row r="1801" spans="1:4" x14ac:dyDescent="0.3">
      <c r="A1801" s="16">
        <v>45449.582639</v>
      </c>
      <c r="B1801" s="17">
        <v>59.490059000000002</v>
      </c>
      <c r="C1801" s="18"/>
      <c r="D1801" s="19"/>
    </row>
    <row r="1802" spans="1:4" x14ac:dyDescent="0.3">
      <c r="A1802" s="16">
        <v>45449.583333000002</v>
      </c>
      <c r="B1802" s="17">
        <v>59.086680000000001</v>
      </c>
      <c r="C1802" s="18"/>
      <c r="D1802" s="19"/>
    </row>
    <row r="1803" spans="1:4" x14ac:dyDescent="0.3">
      <c r="A1803" s="16">
        <v>45449.584027999997</v>
      </c>
      <c r="B1803" s="17">
        <v>59.322414000000002</v>
      </c>
      <c r="C1803" s="18"/>
      <c r="D1803" s="19"/>
    </row>
    <row r="1804" spans="1:4" x14ac:dyDescent="0.3">
      <c r="A1804" s="16">
        <v>45449.584722</v>
      </c>
      <c r="B1804" s="17">
        <v>59.629080999999999</v>
      </c>
      <c r="C1804" s="18"/>
      <c r="D1804" s="19"/>
    </row>
    <row r="1805" spans="1:4" x14ac:dyDescent="0.3">
      <c r="A1805" s="16">
        <v>45449.585417000002</v>
      </c>
      <c r="B1805" s="17">
        <v>59.017681000000003</v>
      </c>
      <c r="C1805" s="18"/>
      <c r="D1805" s="19"/>
    </row>
    <row r="1806" spans="1:4" x14ac:dyDescent="0.3">
      <c r="A1806" s="16">
        <v>45449.586110999997</v>
      </c>
      <c r="B1806" s="17">
        <v>59.387056999999999</v>
      </c>
      <c r="C1806" s="18"/>
      <c r="D1806" s="19"/>
    </row>
    <row r="1807" spans="1:4" x14ac:dyDescent="0.3">
      <c r="A1807" s="16">
        <v>45449.586805999999</v>
      </c>
      <c r="B1807" s="17">
        <v>59.385551</v>
      </c>
      <c r="C1807" s="18"/>
      <c r="D1807" s="19"/>
    </row>
    <row r="1808" spans="1:4" x14ac:dyDescent="0.3">
      <c r="A1808" s="16">
        <v>45449.587500000001</v>
      </c>
      <c r="B1808" s="17">
        <v>59.379835</v>
      </c>
      <c r="C1808" s="18"/>
      <c r="D1808" s="19"/>
    </row>
    <row r="1809" spans="1:4" x14ac:dyDescent="0.3">
      <c r="A1809" s="16">
        <v>45449.588194000004</v>
      </c>
      <c r="B1809" s="17">
        <v>59.057571000000003</v>
      </c>
      <c r="C1809" s="18"/>
      <c r="D1809" s="19"/>
    </row>
    <row r="1810" spans="1:4" x14ac:dyDescent="0.3">
      <c r="A1810" s="16">
        <v>45449.588888999999</v>
      </c>
      <c r="B1810" s="17">
        <v>58.885731</v>
      </c>
      <c r="C1810" s="18"/>
      <c r="D1810" s="19"/>
    </row>
    <row r="1811" spans="1:4" x14ac:dyDescent="0.3">
      <c r="A1811" s="16">
        <v>45449.589583000001</v>
      </c>
      <c r="B1811" s="17">
        <v>59.287928999999998</v>
      </c>
      <c r="C1811" s="18"/>
      <c r="D1811" s="19"/>
    </row>
    <row r="1812" spans="1:4" x14ac:dyDescent="0.3">
      <c r="A1812" s="16">
        <v>45449.590278000003</v>
      </c>
      <c r="B1812" s="17">
        <v>59.574876000000003</v>
      </c>
      <c r="C1812" s="18"/>
      <c r="D1812" s="19"/>
    </row>
    <row r="1813" spans="1:4" x14ac:dyDescent="0.3">
      <c r="A1813" s="16">
        <v>45449.590971999998</v>
      </c>
      <c r="B1813" s="17">
        <v>59.131669000000002</v>
      </c>
      <c r="C1813" s="18"/>
      <c r="D1813" s="19"/>
    </row>
    <row r="1814" spans="1:4" x14ac:dyDescent="0.3">
      <c r="A1814" s="16">
        <v>45449.591667000001</v>
      </c>
      <c r="B1814" s="17">
        <v>59.322851</v>
      </c>
      <c r="C1814" s="18"/>
      <c r="D1814" s="19"/>
    </row>
    <row r="1815" spans="1:4" x14ac:dyDescent="0.3">
      <c r="A1815" s="16">
        <v>45449.592361000003</v>
      </c>
      <c r="B1815" s="17">
        <v>58.952145999999999</v>
      </c>
      <c r="C1815" s="18"/>
      <c r="D1815" s="19"/>
    </row>
    <row r="1816" spans="1:4" x14ac:dyDescent="0.3">
      <c r="A1816" s="16">
        <v>45449.593055999998</v>
      </c>
      <c r="B1816" s="17">
        <v>59.512968999999998</v>
      </c>
      <c r="C1816" s="18"/>
      <c r="D1816" s="19"/>
    </row>
    <row r="1817" spans="1:4" x14ac:dyDescent="0.3">
      <c r="A1817" s="16">
        <v>45449.59375</v>
      </c>
      <c r="B1817" s="17">
        <v>59.069769000000001</v>
      </c>
      <c r="C1817" s="18"/>
      <c r="D1817" s="19"/>
    </row>
    <row r="1818" spans="1:4" x14ac:dyDescent="0.3">
      <c r="A1818" s="16">
        <v>45449.594444000002</v>
      </c>
      <c r="B1818" s="17">
        <v>59.403083000000002</v>
      </c>
      <c r="C1818" s="18"/>
      <c r="D1818" s="19"/>
    </row>
    <row r="1819" spans="1:4" x14ac:dyDescent="0.3">
      <c r="A1819" s="16">
        <v>45449.595138999997</v>
      </c>
      <c r="B1819" s="17">
        <v>59.361108999999999</v>
      </c>
      <c r="C1819" s="18"/>
      <c r="D1819" s="19"/>
    </row>
    <row r="1820" spans="1:4" x14ac:dyDescent="0.3">
      <c r="A1820" s="16">
        <v>45449.595832999999</v>
      </c>
      <c r="B1820" s="17">
        <v>59.232590000000002</v>
      </c>
      <c r="C1820" s="18"/>
      <c r="D1820" s="19"/>
    </row>
    <row r="1821" spans="1:4" x14ac:dyDescent="0.3">
      <c r="A1821" s="16">
        <v>45449.596528000002</v>
      </c>
      <c r="B1821" s="17">
        <v>59.290922000000002</v>
      </c>
      <c r="C1821" s="18"/>
      <c r="D1821" s="19"/>
    </row>
    <row r="1822" spans="1:4" x14ac:dyDescent="0.3">
      <c r="A1822" s="16">
        <v>45449.597221999997</v>
      </c>
      <c r="B1822" s="17">
        <v>59.372253999999998</v>
      </c>
      <c r="C1822" s="18"/>
      <c r="D1822" s="19"/>
    </row>
    <row r="1823" spans="1:4" x14ac:dyDescent="0.3">
      <c r="A1823" s="16">
        <v>45449.597916999999</v>
      </c>
      <c r="B1823" s="17">
        <v>59.402330999999997</v>
      </c>
      <c r="C1823" s="18"/>
      <c r="D1823" s="19"/>
    </row>
    <row r="1824" spans="1:4" x14ac:dyDescent="0.3">
      <c r="A1824" s="16">
        <v>45449.598611000001</v>
      </c>
      <c r="B1824" s="17">
        <v>59.232241999999999</v>
      </c>
      <c r="C1824" s="18"/>
      <c r="D1824" s="19"/>
    </row>
    <row r="1825" spans="1:4" x14ac:dyDescent="0.3">
      <c r="A1825" s="16">
        <v>45449.599305999996</v>
      </c>
      <c r="B1825" s="17">
        <v>59.275663000000002</v>
      </c>
      <c r="C1825" s="18"/>
      <c r="D1825" s="19"/>
    </row>
    <row r="1826" spans="1:4" x14ac:dyDescent="0.3">
      <c r="A1826" s="16">
        <v>45449.599999999999</v>
      </c>
      <c r="B1826" s="17">
        <v>59.134051999999997</v>
      </c>
      <c r="C1826" s="18"/>
      <c r="D1826" s="19"/>
    </row>
    <row r="1827" spans="1:4" x14ac:dyDescent="0.3">
      <c r="A1827" s="16">
        <v>45449.600694000001</v>
      </c>
      <c r="B1827" s="17">
        <v>59.207222999999999</v>
      </c>
      <c r="C1827" s="18"/>
      <c r="D1827" s="19"/>
    </row>
    <row r="1828" spans="1:4" x14ac:dyDescent="0.3">
      <c r="A1828" s="16">
        <v>45449.601389000003</v>
      </c>
      <c r="B1828" s="17">
        <v>59.570292000000002</v>
      </c>
      <c r="C1828" s="18"/>
      <c r="D1828" s="19"/>
    </row>
    <row r="1829" spans="1:4" x14ac:dyDescent="0.3">
      <c r="A1829" s="16">
        <v>45449.602082999998</v>
      </c>
      <c r="B1829" s="17">
        <v>59.103586</v>
      </c>
      <c r="C1829" s="18"/>
      <c r="D1829" s="19"/>
    </row>
    <row r="1830" spans="1:4" x14ac:dyDescent="0.3">
      <c r="A1830" s="16">
        <v>45449.602778</v>
      </c>
      <c r="B1830" s="17">
        <v>59.316288</v>
      </c>
      <c r="C1830" s="18"/>
      <c r="D1830" s="19"/>
    </row>
    <row r="1831" spans="1:4" x14ac:dyDescent="0.3">
      <c r="A1831" s="16">
        <v>45449.603472000003</v>
      </c>
      <c r="B1831" s="17">
        <v>59.475507999999998</v>
      </c>
      <c r="C1831" s="18"/>
      <c r="D1831" s="19"/>
    </row>
    <row r="1832" spans="1:4" x14ac:dyDescent="0.3">
      <c r="A1832" s="16">
        <v>45449.604166999998</v>
      </c>
      <c r="B1832" s="17">
        <v>58.979354000000001</v>
      </c>
      <c r="C1832" s="18"/>
      <c r="D1832" s="19"/>
    </row>
    <row r="1833" spans="1:4" x14ac:dyDescent="0.3">
      <c r="A1833" s="16">
        <v>45449.604861</v>
      </c>
      <c r="B1833" s="17">
        <v>59.228372999999998</v>
      </c>
      <c r="C1833" s="18"/>
      <c r="D1833" s="19"/>
    </row>
    <row r="1834" spans="1:4" x14ac:dyDescent="0.3">
      <c r="A1834" s="16">
        <v>45449.605556000002</v>
      </c>
      <c r="B1834" s="17">
        <v>59.170299999999997</v>
      </c>
      <c r="C1834" s="18"/>
      <c r="D1834" s="19"/>
    </row>
    <row r="1835" spans="1:4" x14ac:dyDescent="0.3">
      <c r="A1835" s="16">
        <v>45449.606249999997</v>
      </c>
      <c r="B1835" s="17">
        <v>59.019658999999997</v>
      </c>
      <c r="C1835" s="18"/>
      <c r="D1835" s="19"/>
    </row>
    <row r="1836" spans="1:4" x14ac:dyDescent="0.3">
      <c r="A1836" s="16">
        <v>45449.606943999999</v>
      </c>
      <c r="B1836" s="17">
        <v>59.439458000000002</v>
      </c>
      <c r="C1836" s="18"/>
      <c r="D1836" s="19"/>
    </row>
    <row r="1837" spans="1:4" x14ac:dyDescent="0.3">
      <c r="A1837" s="16">
        <v>45449.607639000002</v>
      </c>
      <c r="B1837" s="17">
        <v>59.261169000000002</v>
      </c>
      <c r="C1837" s="18"/>
      <c r="D1837" s="19"/>
    </row>
    <row r="1838" spans="1:4" x14ac:dyDescent="0.3">
      <c r="A1838" s="16">
        <v>45449.608332999996</v>
      </c>
      <c r="B1838" s="17">
        <v>59.272264999999997</v>
      </c>
      <c r="C1838" s="18"/>
      <c r="D1838" s="19"/>
    </row>
    <row r="1839" spans="1:4" x14ac:dyDescent="0.3">
      <c r="A1839" s="16">
        <v>45449.609027999999</v>
      </c>
      <c r="B1839" s="17">
        <v>59.508302</v>
      </c>
      <c r="C1839" s="18"/>
      <c r="D1839" s="19"/>
    </row>
    <row r="1840" spans="1:4" x14ac:dyDescent="0.3">
      <c r="A1840" s="16">
        <v>45449.609722000001</v>
      </c>
      <c r="B1840" s="17">
        <v>59.166156000000001</v>
      </c>
      <c r="C1840" s="18"/>
      <c r="D1840" s="19"/>
    </row>
    <row r="1841" spans="1:4" x14ac:dyDescent="0.3">
      <c r="A1841" s="16">
        <v>45449.610417000004</v>
      </c>
      <c r="B1841" s="17">
        <v>58.926177000000003</v>
      </c>
      <c r="C1841" s="18"/>
      <c r="D1841" s="19"/>
    </row>
    <row r="1842" spans="1:4" x14ac:dyDescent="0.3">
      <c r="A1842" s="16">
        <v>45449.611110999998</v>
      </c>
      <c r="B1842" s="17">
        <v>59.011482000000001</v>
      </c>
      <c r="C1842" s="18"/>
      <c r="D1842" s="19"/>
    </row>
    <row r="1843" spans="1:4" x14ac:dyDescent="0.3">
      <c r="A1843" s="16">
        <v>45449.611806000001</v>
      </c>
      <c r="B1843" s="17">
        <v>59.134476999999997</v>
      </c>
      <c r="C1843" s="18"/>
      <c r="D1843" s="19"/>
    </row>
    <row r="1844" spans="1:4" x14ac:dyDescent="0.3">
      <c r="A1844" s="16">
        <v>45449.612500000003</v>
      </c>
      <c r="B1844" s="17">
        <v>59.326185000000002</v>
      </c>
      <c r="C1844" s="18"/>
      <c r="D1844" s="19"/>
    </row>
    <row r="1845" spans="1:4" x14ac:dyDescent="0.3">
      <c r="A1845" s="16">
        <v>45449.613193999998</v>
      </c>
      <c r="B1845" s="17">
        <v>59.416466</v>
      </c>
      <c r="C1845" s="18"/>
      <c r="D1845" s="19"/>
    </row>
    <row r="1846" spans="1:4" x14ac:dyDescent="0.3">
      <c r="A1846" s="16">
        <v>45449.613889</v>
      </c>
      <c r="B1846" s="17">
        <v>59.043280000000003</v>
      </c>
      <c r="C1846" s="18"/>
      <c r="D1846" s="19"/>
    </row>
    <row r="1847" spans="1:4" x14ac:dyDescent="0.3">
      <c r="A1847" s="16">
        <v>45449.614583000002</v>
      </c>
      <c r="B1847" s="17">
        <v>59.312716000000002</v>
      </c>
      <c r="C1847" s="18"/>
      <c r="D1847" s="19"/>
    </row>
    <row r="1848" spans="1:4" x14ac:dyDescent="0.3">
      <c r="A1848" s="16">
        <v>45449.615277999997</v>
      </c>
      <c r="B1848" s="17">
        <v>59.470140000000001</v>
      </c>
      <c r="C1848" s="18"/>
      <c r="D1848" s="19"/>
    </row>
    <row r="1849" spans="1:4" x14ac:dyDescent="0.3">
      <c r="A1849" s="16">
        <v>45449.615972</v>
      </c>
      <c r="B1849" s="17">
        <v>59.019810999999997</v>
      </c>
      <c r="C1849" s="18"/>
      <c r="D1849" s="19"/>
    </row>
    <row r="1850" spans="1:4" x14ac:dyDescent="0.3">
      <c r="A1850" s="16">
        <v>45449.616667000002</v>
      </c>
      <c r="B1850" s="17">
        <v>59.186855999999999</v>
      </c>
      <c r="C1850" s="18"/>
      <c r="D1850" s="19"/>
    </row>
    <row r="1851" spans="1:4" x14ac:dyDescent="0.3">
      <c r="A1851" s="16">
        <v>45449.617360999997</v>
      </c>
      <c r="B1851" s="17">
        <v>59.540286000000002</v>
      </c>
      <c r="C1851" s="18"/>
      <c r="D1851" s="19"/>
    </row>
    <row r="1852" spans="1:4" x14ac:dyDescent="0.3">
      <c r="A1852" s="16">
        <v>45449.618055999999</v>
      </c>
      <c r="B1852" s="17">
        <v>59.305725000000002</v>
      </c>
      <c r="C1852" s="18"/>
      <c r="D1852" s="19"/>
    </row>
    <row r="1853" spans="1:4" x14ac:dyDescent="0.3">
      <c r="A1853" s="16">
        <v>45449.618750000001</v>
      </c>
      <c r="B1853" s="17">
        <v>59.328595</v>
      </c>
      <c r="C1853" s="18"/>
      <c r="D1853" s="19"/>
    </row>
    <row r="1854" spans="1:4" x14ac:dyDescent="0.3">
      <c r="A1854" s="16">
        <v>45449.619444000004</v>
      </c>
      <c r="B1854" s="17">
        <v>59.517876999999999</v>
      </c>
      <c r="C1854" s="18"/>
      <c r="D1854" s="19"/>
    </row>
    <row r="1855" spans="1:4" x14ac:dyDescent="0.3">
      <c r="A1855" s="16">
        <v>45449.620138999999</v>
      </c>
      <c r="B1855" s="17">
        <v>59.272942</v>
      </c>
      <c r="C1855" s="18"/>
      <c r="D1855" s="19"/>
    </row>
    <row r="1856" spans="1:4" x14ac:dyDescent="0.3">
      <c r="A1856" s="16">
        <v>45449.620833000001</v>
      </c>
      <c r="B1856" s="17">
        <v>59.505079000000002</v>
      </c>
      <c r="C1856" s="18"/>
      <c r="D1856" s="19"/>
    </row>
    <row r="1857" spans="1:4" x14ac:dyDescent="0.3">
      <c r="A1857" s="16">
        <v>45449.621528000003</v>
      </c>
      <c r="B1857" s="17">
        <v>59.142645000000002</v>
      </c>
      <c r="C1857" s="18"/>
      <c r="D1857" s="19"/>
    </row>
    <row r="1858" spans="1:4" x14ac:dyDescent="0.3">
      <c r="A1858" s="16">
        <v>45449.622221999998</v>
      </c>
      <c r="B1858" s="17">
        <v>58.929355000000001</v>
      </c>
      <c r="C1858" s="18"/>
      <c r="D1858" s="19"/>
    </row>
    <row r="1859" spans="1:4" x14ac:dyDescent="0.3">
      <c r="A1859" s="16">
        <v>45449.622917000001</v>
      </c>
      <c r="B1859" s="17">
        <v>59.369475000000001</v>
      </c>
      <c r="C1859" s="18"/>
      <c r="D1859" s="19"/>
    </row>
    <row r="1860" spans="1:4" x14ac:dyDescent="0.3">
      <c r="A1860" s="16">
        <v>45449.623611000003</v>
      </c>
      <c r="B1860" s="17">
        <v>59.033071999999997</v>
      </c>
      <c r="C1860" s="18"/>
      <c r="D1860" s="19"/>
    </row>
    <row r="1861" spans="1:4" x14ac:dyDescent="0.3">
      <c r="A1861" s="16">
        <v>45449.624305999998</v>
      </c>
      <c r="B1861" s="17">
        <v>58.889352000000002</v>
      </c>
      <c r="C1861" s="18"/>
      <c r="D1861" s="19"/>
    </row>
    <row r="1862" spans="1:4" x14ac:dyDescent="0.3">
      <c r="A1862" s="16">
        <v>45449.625</v>
      </c>
      <c r="B1862" s="17">
        <v>59.329191000000002</v>
      </c>
      <c r="C1862" s="18"/>
      <c r="D1862" s="19"/>
    </row>
    <row r="1863" spans="1:4" x14ac:dyDescent="0.3">
      <c r="A1863" s="16">
        <v>45449.625694000002</v>
      </c>
      <c r="B1863" s="17">
        <v>59.163200000000003</v>
      </c>
      <c r="C1863" s="18"/>
      <c r="D1863" s="19"/>
    </row>
    <row r="1864" spans="1:4" x14ac:dyDescent="0.3">
      <c r="A1864" s="16">
        <v>45449.626388999997</v>
      </c>
      <c r="B1864" s="17">
        <v>59.366644999999998</v>
      </c>
      <c r="C1864" s="18"/>
      <c r="D1864" s="19"/>
    </row>
    <row r="1865" spans="1:4" x14ac:dyDescent="0.3">
      <c r="A1865" s="16">
        <v>45449.627082999999</v>
      </c>
      <c r="B1865" s="17">
        <v>58.999985000000002</v>
      </c>
      <c r="C1865" s="18"/>
      <c r="D1865" s="19"/>
    </row>
    <row r="1866" spans="1:4" x14ac:dyDescent="0.3">
      <c r="A1866" s="16">
        <v>45449.627778000002</v>
      </c>
      <c r="B1866" s="17">
        <v>59.098781000000002</v>
      </c>
      <c r="C1866" s="18"/>
      <c r="D1866" s="19"/>
    </row>
    <row r="1867" spans="1:4" x14ac:dyDescent="0.3">
      <c r="A1867" s="16">
        <v>45449.628471999997</v>
      </c>
      <c r="B1867" s="17">
        <v>59.289810000000003</v>
      </c>
      <c r="C1867" s="18"/>
      <c r="D1867" s="19"/>
    </row>
    <row r="1868" spans="1:4" x14ac:dyDescent="0.3">
      <c r="A1868" s="16">
        <v>45449.629166999999</v>
      </c>
      <c r="B1868" s="17">
        <v>58.879682000000003</v>
      </c>
      <c r="C1868" s="18"/>
      <c r="D1868" s="19"/>
    </row>
    <row r="1869" spans="1:4" x14ac:dyDescent="0.3">
      <c r="A1869" s="16">
        <v>45449.629861000001</v>
      </c>
      <c r="B1869" s="17">
        <v>58.924667999999997</v>
      </c>
      <c r="C1869" s="18"/>
      <c r="D1869" s="19"/>
    </row>
    <row r="1870" spans="1:4" x14ac:dyDescent="0.3">
      <c r="A1870" s="16">
        <v>45449.630555999996</v>
      </c>
      <c r="B1870" s="17">
        <v>59.340107000000003</v>
      </c>
      <c r="C1870" s="18"/>
      <c r="D1870" s="19"/>
    </row>
    <row r="1871" spans="1:4" x14ac:dyDescent="0.3">
      <c r="A1871" s="16">
        <v>45449.631249999999</v>
      </c>
      <c r="B1871" s="17">
        <v>59.210704999999997</v>
      </c>
      <c r="C1871" s="18"/>
      <c r="D1871" s="19"/>
    </row>
    <row r="1872" spans="1:4" x14ac:dyDescent="0.3">
      <c r="A1872" s="16">
        <v>45449.631944000001</v>
      </c>
      <c r="B1872" s="17">
        <v>59.339421999999999</v>
      </c>
      <c r="C1872" s="18"/>
      <c r="D1872" s="19"/>
    </row>
    <row r="1873" spans="1:4" x14ac:dyDescent="0.3">
      <c r="A1873" s="16">
        <v>45449.632639000003</v>
      </c>
      <c r="B1873" s="17">
        <v>59.203896999999998</v>
      </c>
      <c r="C1873" s="18"/>
      <c r="D1873" s="19"/>
    </row>
    <row r="1874" spans="1:4" x14ac:dyDescent="0.3">
      <c r="A1874" s="16">
        <v>45449.633332999998</v>
      </c>
      <c r="B1874" s="17">
        <v>59.717283999999999</v>
      </c>
      <c r="C1874" s="18"/>
      <c r="D1874" s="19"/>
    </row>
    <row r="1875" spans="1:4" x14ac:dyDescent="0.3">
      <c r="A1875" s="16">
        <v>45449.634028</v>
      </c>
      <c r="B1875" s="17">
        <v>59.155147999999997</v>
      </c>
      <c r="C1875" s="18"/>
      <c r="D1875" s="19"/>
    </row>
    <row r="1876" spans="1:4" x14ac:dyDescent="0.3">
      <c r="A1876" s="16">
        <v>45449.634722000003</v>
      </c>
      <c r="B1876" s="17">
        <v>59.427045999999997</v>
      </c>
      <c r="C1876" s="18"/>
      <c r="D1876" s="19"/>
    </row>
    <row r="1877" spans="1:4" x14ac:dyDescent="0.3">
      <c r="A1877" s="16">
        <v>45449.635416999998</v>
      </c>
      <c r="B1877" s="17">
        <v>59.506459999999997</v>
      </c>
      <c r="C1877" s="18"/>
      <c r="D1877" s="19"/>
    </row>
    <row r="1878" spans="1:4" x14ac:dyDescent="0.3">
      <c r="A1878" s="16">
        <v>45449.636111</v>
      </c>
      <c r="B1878" s="17">
        <v>59.304214999999999</v>
      </c>
      <c r="C1878" s="18"/>
      <c r="D1878" s="19"/>
    </row>
    <row r="1879" spans="1:4" x14ac:dyDescent="0.3">
      <c r="A1879" s="16">
        <v>45449.636806000002</v>
      </c>
      <c r="B1879" s="17">
        <v>59.004013999999998</v>
      </c>
      <c r="C1879" s="18"/>
      <c r="D1879" s="19"/>
    </row>
    <row r="1880" spans="1:4" x14ac:dyDescent="0.3">
      <c r="A1880" s="16">
        <v>45449.637499999997</v>
      </c>
      <c r="B1880" s="17">
        <v>59.362062999999999</v>
      </c>
      <c r="C1880" s="18"/>
      <c r="D1880" s="19"/>
    </row>
    <row r="1881" spans="1:4" x14ac:dyDescent="0.3">
      <c r="A1881" s="16">
        <v>45449.638193999999</v>
      </c>
      <c r="B1881" s="17">
        <v>59.150441999999998</v>
      </c>
      <c r="C1881" s="18"/>
      <c r="D1881" s="19"/>
    </row>
    <row r="1882" spans="1:4" x14ac:dyDescent="0.3">
      <c r="A1882" s="16">
        <v>45449.638889000002</v>
      </c>
      <c r="B1882" s="17">
        <v>59.283250000000002</v>
      </c>
      <c r="C1882" s="18"/>
      <c r="D1882" s="19"/>
    </row>
    <row r="1883" spans="1:4" x14ac:dyDescent="0.3">
      <c r="A1883" s="16">
        <v>45449.639582999996</v>
      </c>
      <c r="B1883" s="17">
        <v>59.273300999999996</v>
      </c>
      <c r="C1883" s="18"/>
      <c r="D1883" s="19"/>
    </row>
    <row r="1884" spans="1:4" x14ac:dyDescent="0.3">
      <c r="A1884" s="16">
        <v>45449.640277999999</v>
      </c>
      <c r="B1884" s="17">
        <v>59.342005999999998</v>
      </c>
      <c r="C1884" s="18"/>
      <c r="D1884" s="19"/>
    </row>
    <row r="1885" spans="1:4" x14ac:dyDescent="0.3">
      <c r="A1885" s="16">
        <v>45449.640972000001</v>
      </c>
      <c r="B1885" s="17">
        <v>59.321886999999997</v>
      </c>
      <c r="C1885" s="18"/>
      <c r="D1885" s="19"/>
    </row>
    <row r="1886" spans="1:4" x14ac:dyDescent="0.3">
      <c r="A1886" s="16">
        <v>45449.641667000004</v>
      </c>
      <c r="B1886" s="17">
        <v>59.553303</v>
      </c>
      <c r="C1886" s="18"/>
      <c r="D1886" s="19"/>
    </row>
    <row r="1887" spans="1:4" x14ac:dyDescent="0.3">
      <c r="A1887" s="16">
        <v>45449.642360999998</v>
      </c>
      <c r="B1887" s="17">
        <v>59.365794000000001</v>
      </c>
      <c r="C1887" s="18"/>
      <c r="D1887" s="19"/>
    </row>
    <row r="1888" spans="1:4" x14ac:dyDescent="0.3">
      <c r="A1888" s="16">
        <v>45449.643056000001</v>
      </c>
      <c r="B1888" s="17">
        <v>59.109051000000001</v>
      </c>
      <c r="C1888" s="18"/>
      <c r="D1888" s="19"/>
    </row>
    <row r="1889" spans="1:4" x14ac:dyDescent="0.3">
      <c r="A1889" s="16">
        <v>45449.643750000003</v>
      </c>
      <c r="B1889" s="17">
        <v>59.190204999999999</v>
      </c>
      <c r="C1889" s="18"/>
      <c r="D1889" s="19"/>
    </row>
    <row r="1890" spans="1:4" x14ac:dyDescent="0.3">
      <c r="A1890" s="16">
        <v>45449.644443999998</v>
      </c>
      <c r="B1890" s="17">
        <v>59.470757999999996</v>
      </c>
      <c r="C1890" s="18"/>
      <c r="D1890" s="19"/>
    </row>
    <row r="1891" spans="1:4" x14ac:dyDescent="0.3">
      <c r="A1891" s="16">
        <v>45449.645139</v>
      </c>
      <c r="B1891" s="17">
        <v>59.088676999999997</v>
      </c>
      <c r="C1891" s="18"/>
      <c r="D1891" s="19"/>
    </row>
    <row r="1892" spans="1:4" x14ac:dyDescent="0.3">
      <c r="A1892" s="16">
        <v>45449.645833000002</v>
      </c>
      <c r="B1892" s="17">
        <v>59.019418000000002</v>
      </c>
      <c r="C1892" s="18"/>
      <c r="D1892" s="19"/>
    </row>
    <row r="1893" spans="1:4" x14ac:dyDescent="0.3">
      <c r="A1893" s="16">
        <v>45449.646527999997</v>
      </c>
      <c r="B1893" s="17">
        <v>59.324483999999998</v>
      </c>
      <c r="C1893" s="18"/>
      <c r="D1893" s="19"/>
    </row>
    <row r="1894" spans="1:4" x14ac:dyDescent="0.3">
      <c r="A1894" s="16">
        <v>45449.647222</v>
      </c>
      <c r="B1894" s="17">
        <v>59.549092999999999</v>
      </c>
      <c r="C1894" s="18"/>
      <c r="D1894" s="19"/>
    </row>
    <row r="1895" spans="1:4" x14ac:dyDescent="0.3">
      <c r="A1895" s="16">
        <v>45449.647917000002</v>
      </c>
      <c r="B1895" s="17">
        <v>59.020437999999999</v>
      </c>
      <c r="C1895" s="18"/>
      <c r="D1895" s="19"/>
    </row>
    <row r="1896" spans="1:4" x14ac:dyDescent="0.3">
      <c r="A1896" s="16">
        <v>45449.648610999997</v>
      </c>
      <c r="B1896" s="17">
        <v>59.392758999999998</v>
      </c>
      <c r="C1896" s="18"/>
      <c r="D1896" s="19"/>
    </row>
    <row r="1897" spans="1:4" x14ac:dyDescent="0.3">
      <c r="A1897" s="16">
        <v>45449.649305999999</v>
      </c>
      <c r="B1897" s="17">
        <v>59.339568</v>
      </c>
      <c r="C1897" s="18"/>
      <c r="D1897" s="19"/>
    </row>
    <row r="1898" spans="1:4" x14ac:dyDescent="0.3">
      <c r="A1898" s="16">
        <v>45449.65</v>
      </c>
      <c r="B1898" s="17">
        <v>59.120649999999998</v>
      </c>
      <c r="C1898" s="18"/>
      <c r="D1898" s="19"/>
    </row>
    <row r="1899" spans="1:4" x14ac:dyDescent="0.3">
      <c r="A1899" s="16">
        <v>45449.650694000004</v>
      </c>
      <c r="B1899" s="17">
        <v>59.344892999999999</v>
      </c>
      <c r="C1899" s="18"/>
      <c r="D1899" s="19"/>
    </row>
    <row r="1900" spans="1:4" x14ac:dyDescent="0.3">
      <c r="A1900" s="16">
        <v>45449.651388999999</v>
      </c>
      <c r="B1900" s="17">
        <v>59.029539</v>
      </c>
      <c r="C1900" s="18"/>
      <c r="D1900" s="19"/>
    </row>
    <row r="1901" spans="1:4" x14ac:dyDescent="0.3">
      <c r="A1901" s="16">
        <v>45449.652083000001</v>
      </c>
      <c r="B1901" s="17">
        <v>59.012286000000003</v>
      </c>
      <c r="C1901" s="18"/>
      <c r="D1901" s="19"/>
    </row>
    <row r="1902" spans="1:4" x14ac:dyDescent="0.3">
      <c r="A1902" s="16">
        <v>45449.652778000003</v>
      </c>
      <c r="B1902" s="17">
        <v>58.799700999999999</v>
      </c>
      <c r="C1902" s="18"/>
      <c r="D1902" s="19"/>
    </row>
    <row r="1903" spans="1:4" x14ac:dyDescent="0.3">
      <c r="A1903" s="16">
        <v>45449.653471999998</v>
      </c>
      <c r="B1903" s="17">
        <v>59.012410000000003</v>
      </c>
      <c r="C1903" s="18"/>
      <c r="D1903" s="19"/>
    </row>
    <row r="1904" spans="1:4" x14ac:dyDescent="0.3">
      <c r="A1904" s="16">
        <v>45449.654167000001</v>
      </c>
      <c r="B1904" s="17">
        <v>59.054189000000001</v>
      </c>
      <c r="C1904" s="18"/>
      <c r="D1904" s="19"/>
    </row>
    <row r="1905" spans="1:4" x14ac:dyDescent="0.3">
      <c r="A1905" s="16">
        <v>45449.654861000003</v>
      </c>
      <c r="B1905" s="17">
        <v>59.338361999999996</v>
      </c>
      <c r="C1905" s="18"/>
      <c r="D1905" s="19"/>
    </row>
    <row r="1906" spans="1:4" x14ac:dyDescent="0.3">
      <c r="A1906" s="16">
        <v>45449.655555999998</v>
      </c>
      <c r="B1906" s="17">
        <v>58.865602000000003</v>
      </c>
      <c r="C1906" s="18"/>
      <c r="D1906" s="19"/>
    </row>
    <row r="1907" spans="1:4" x14ac:dyDescent="0.3">
      <c r="A1907" s="16">
        <v>45449.65625</v>
      </c>
      <c r="B1907" s="17">
        <v>59.320619999999998</v>
      </c>
      <c r="C1907" s="18"/>
      <c r="D1907" s="19"/>
    </row>
    <row r="1908" spans="1:4" x14ac:dyDescent="0.3">
      <c r="A1908" s="16">
        <v>45449.656944000002</v>
      </c>
      <c r="B1908" s="17">
        <v>59.050012000000002</v>
      </c>
      <c r="C1908" s="18"/>
      <c r="D1908" s="19"/>
    </row>
    <row r="1909" spans="1:4" x14ac:dyDescent="0.3">
      <c r="A1909" s="16">
        <v>45449.657638999997</v>
      </c>
      <c r="B1909" s="17">
        <v>59.082757999999998</v>
      </c>
      <c r="C1909" s="18"/>
      <c r="D1909" s="19"/>
    </row>
    <row r="1910" spans="1:4" x14ac:dyDescent="0.3">
      <c r="A1910" s="16">
        <v>45449.658332999999</v>
      </c>
      <c r="B1910" s="17">
        <v>59.095526</v>
      </c>
      <c r="C1910" s="18"/>
      <c r="D1910" s="19"/>
    </row>
    <row r="1911" spans="1:4" x14ac:dyDescent="0.3">
      <c r="A1911" s="16">
        <v>45449.659028000002</v>
      </c>
      <c r="B1911" s="17">
        <v>59.391533000000003</v>
      </c>
      <c r="C1911" s="18"/>
      <c r="D1911" s="19"/>
    </row>
    <row r="1912" spans="1:4" x14ac:dyDescent="0.3">
      <c r="A1912" s="16">
        <v>45449.659721999997</v>
      </c>
      <c r="B1912" s="17">
        <v>58.88608</v>
      </c>
      <c r="C1912" s="18"/>
      <c r="D1912" s="19"/>
    </row>
    <row r="1913" spans="1:4" x14ac:dyDescent="0.3">
      <c r="A1913" s="16">
        <v>45449.660416999999</v>
      </c>
      <c r="B1913" s="17">
        <v>59.341574999999999</v>
      </c>
      <c r="C1913" s="18"/>
      <c r="D1913" s="19"/>
    </row>
    <row r="1914" spans="1:4" x14ac:dyDescent="0.3">
      <c r="A1914" s="16">
        <v>45449.661111000001</v>
      </c>
      <c r="B1914" s="17">
        <v>59.135744000000003</v>
      </c>
      <c r="C1914" s="18"/>
      <c r="D1914" s="19"/>
    </row>
    <row r="1915" spans="1:4" x14ac:dyDescent="0.3">
      <c r="A1915" s="16">
        <v>45449.661805999996</v>
      </c>
      <c r="B1915" s="17">
        <v>58.971072999999997</v>
      </c>
      <c r="C1915" s="18"/>
      <c r="D1915" s="19"/>
    </row>
    <row r="1916" spans="1:4" x14ac:dyDescent="0.3">
      <c r="A1916" s="16">
        <v>45449.662499999999</v>
      </c>
      <c r="B1916" s="17">
        <v>59.241079999999997</v>
      </c>
      <c r="C1916" s="18"/>
      <c r="D1916" s="19"/>
    </row>
    <row r="1917" spans="1:4" x14ac:dyDescent="0.3">
      <c r="A1917" s="16">
        <v>45449.663194000001</v>
      </c>
      <c r="B1917" s="17">
        <v>58.970393000000001</v>
      </c>
      <c r="C1917" s="18"/>
      <c r="D1917" s="19"/>
    </row>
    <row r="1918" spans="1:4" x14ac:dyDescent="0.3">
      <c r="A1918" s="16">
        <v>45449.663889000003</v>
      </c>
      <c r="B1918" s="17">
        <v>59.246499</v>
      </c>
      <c r="C1918" s="18"/>
      <c r="D1918" s="19"/>
    </row>
    <row r="1919" spans="1:4" x14ac:dyDescent="0.3">
      <c r="A1919" s="16">
        <v>45449.664582999998</v>
      </c>
      <c r="B1919" s="17">
        <v>59.327277000000002</v>
      </c>
      <c r="C1919" s="18"/>
      <c r="D1919" s="19"/>
    </row>
    <row r="1920" spans="1:4" x14ac:dyDescent="0.3">
      <c r="A1920" s="16">
        <v>45449.665278</v>
      </c>
      <c r="B1920" s="17">
        <v>59.373617000000003</v>
      </c>
      <c r="C1920" s="18"/>
      <c r="D1920" s="19"/>
    </row>
    <row r="1921" spans="1:4" x14ac:dyDescent="0.3">
      <c r="A1921" s="16">
        <v>45449.665972000003</v>
      </c>
      <c r="B1921" s="17">
        <v>58.962366000000003</v>
      </c>
      <c r="C1921" s="18"/>
      <c r="D1921" s="19"/>
    </row>
    <row r="1922" spans="1:4" x14ac:dyDescent="0.3">
      <c r="A1922" s="16">
        <v>45449.666666999998</v>
      </c>
      <c r="B1922" s="17">
        <v>59.058490999999997</v>
      </c>
      <c r="C1922" s="18"/>
      <c r="D1922" s="19"/>
    </row>
    <row r="1923" spans="1:4" x14ac:dyDescent="0.3">
      <c r="A1923" s="16">
        <v>45449.667361</v>
      </c>
      <c r="B1923" s="17">
        <v>59.049498999999997</v>
      </c>
      <c r="C1923" s="18"/>
      <c r="D1923" s="19"/>
    </row>
    <row r="1924" spans="1:4" x14ac:dyDescent="0.3">
      <c r="A1924" s="16">
        <v>45449.668056000002</v>
      </c>
      <c r="B1924" s="17">
        <v>59.353437</v>
      </c>
      <c r="C1924" s="18"/>
      <c r="D1924" s="19"/>
    </row>
    <row r="1925" spans="1:4" x14ac:dyDescent="0.3">
      <c r="A1925" s="16">
        <v>45449.668749999997</v>
      </c>
      <c r="B1925" s="17">
        <v>59.431728999999997</v>
      </c>
      <c r="C1925" s="18"/>
      <c r="D1925" s="19"/>
    </row>
    <row r="1926" spans="1:4" x14ac:dyDescent="0.3">
      <c r="A1926" s="16">
        <v>45449.669443999999</v>
      </c>
      <c r="B1926" s="17">
        <v>58.879334</v>
      </c>
      <c r="C1926" s="18"/>
      <c r="D1926" s="19"/>
    </row>
    <row r="1927" spans="1:4" x14ac:dyDescent="0.3">
      <c r="A1927" s="16">
        <v>45449.670139000002</v>
      </c>
      <c r="B1927" s="17">
        <v>59.164580000000001</v>
      </c>
      <c r="C1927" s="18"/>
      <c r="D1927" s="19"/>
    </row>
    <row r="1928" spans="1:4" x14ac:dyDescent="0.3">
      <c r="A1928" s="16">
        <v>45449.670832999996</v>
      </c>
      <c r="B1928" s="17">
        <v>59.306088000000003</v>
      </c>
      <c r="C1928" s="18"/>
      <c r="D1928" s="19"/>
    </row>
    <row r="1929" spans="1:4" x14ac:dyDescent="0.3">
      <c r="A1929" s="16">
        <v>45449.671527999999</v>
      </c>
      <c r="B1929" s="17">
        <v>59.377499999999998</v>
      </c>
      <c r="C1929" s="18"/>
      <c r="D1929" s="19"/>
    </row>
    <row r="1930" spans="1:4" x14ac:dyDescent="0.3">
      <c r="A1930" s="16">
        <v>45449.672222000001</v>
      </c>
      <c r="B1930" s="17">
        <v>59.206691999999997</v>
      </c>
      <c r="C1930" s="18"/>
      <c r="D1930" s="19"/>
    </row>
    <row r="1931" spans="1:4" x14ac:dyDescent="0.3">
      <c r="A1931" s="16">
        <v>45449.672917000004</v>
      </c>
      <c r="B1931" s="17">
        <v>59.101565000000001</v>
      </c>
      <c r="C1931" s="18"/>
      <c r="D1931" s="19"/>
    </row>
    <row r="1932" spans="1:4" x14ac:dyDescent="0.3">
      <c r="A1932" s="16">
        <v>45449.673610999998</v>
      </c>
      <c r="B1932" s="17">
        <v>59.159286999999999</v>
      </c>
      <c r="C1932" s="18"/>
      <c r="D1932" s="19"/>
    </row>
    <row r="1933" spans="1:4" x14ac:dyDescent="0.3">
      <c r="A1933" s="16">
        <v>45449.674306000001</v>
      </c>
      <c r="B1933" s="17">
        <v>59.312280000000001</v>
      </c>
      <c r="C1933" s="18"/>
      <c r="D1933" s="19"/>
    </row>
    <row r="1934" spans="1:4" x14ac:dyDescent="0.3">
      <c r="A1934" s="16">
        <v>45449.675000000003</v>
      </c>
      <c r="B1934" s="17">
        <v>59.129765999999996</v>
      </c>
      <c r="C1934" s="18"/>
      <c r="D1934" s="19"/>
    </row>
    <row r="1935" spans="1:4" x14ac:dyDescent="0.3">
      <c r="A1935" s="16">
        <v>45449.675693999998</v>
      </c>
      <c r="B1935" s="17">
        <v>59.037793000000001</v>
      </c>
      <c r="C1935" s="18"/>
      <c r="D1935" s="19"/>
    </row>
    <row r="1936" spans="1:4" x14ac:dyDescent="0.3">
      <c r="A1936" s="16">
        <v>45449.676389</v>
      </c>
      <c r="B1936" s="17">
        <v>59.205807</v>
      </c>
      <c r="C1936" s="18"/>
      <c r="D1936" s="19"/>
    </row>
    <row r="1937" spans="1:4" x14ac:dyDescent="0.3">
      <c r="A1937" s="16">
        <v>45449.677083000002</v>
      </c>
      <c r="B1937" s="17">
        <v>59.186990999999999</v>
      </c>
      <c r="C1937" s="18"/>
      <c r="D1937" s="19"/>
    </row>
    <row r="1938" spans="1:4" x14ac:dyDescent="0.3">
      <c r="A1938" s="16">
        <v>45449.677777999997</v>
      </c>
      <c r="B1938" s="17">
        <v>59.264454999999998</v>
      </c>
      <c r="C1938" s="18"/>
      <c r="D1938" s="19"/>
    </row>
    <row r="1939" spans="1:4" x14ac:dyDescent="0.3">
      <c r="A1939" s="16">
        <v>45449.678472</v>
      </c>
      <c r="B1939" s="17">
        <v>59.124217999999999</v>
      </c>
      <c r="C1939" s="18"/>
      <c r="D1939" s="19"/>
    </row>
    <row r="1940" spans="1:4" x14ac:dyDescent="0.3">
      <c r="A1940" s="16">
        <v>45449.679167000002</v>
      </c>
      <c r="B1940" s="17">
        <v>58.916893999999999</v>
      </c>
      <c r="C1940" s="18"/>
      <c r="D1940" s="19"/>
    </row>
    <row r="1941" spans="1:4" x14ac:dyDescent="0.3">
      <c r="A1941" s="16">
        <v>45449.679860999997</v>
      </c>
      <c r="B1941" s="17">
        <v>59.362575</v>
      </c>
      <c r="C1941" s="18"/>
      <c r="D1941" s="19"/>
    </row>
    <row r="1942" spans="1:4" x14ac:dyDescent="0.3">
      <c r="A1942" s="16">
        <v>45449.680555999999</v>
      </c>
      <c r="B1942" s="17">
        <v>59.259286000000003</v>
      </c>
      <c r="C1942" s="18"/>
      <c r="D1942" s="19"/>
    </row>
    <row r="1943" spans="1:4" x14ac:dyDescent="0.3">
      <c r="A1943" s="16">
        <v>45449.681250000001</v>
      </c>
      <c r="B1943" s="17">
        <v>59.242407</v>
      </c>
      <c r="C1943" s="18"/>
      <c r="D1943" s="19"/>
    </row>
    <row r="1944" spans="1:4" x14ac:dyDescent="0.3">
      <c r="A1944" s="16">
        <v>45449.681944000004</v>
      </c>
      <c r="B1944" s="17">
        <v>58.906936999999999</v>
      </c>
      <c r="C1944" s="18"/>
      <c r="D1944" s="19"/>
    </row>
    <row r="1945" spans="1:4" x14ac:dyDescent="0.3">
      <c r="A1945" s="16">
        <v>45449.682638999999</v>
      </c>
      <c r="B1945" s="17">
        <v>59.459842999999999</v>
      </c>
      <c r="C1945" s="18"/>
      <c r="D1945" s="19"/>
    </row>
    <row r="1946" spans="1:4" x14ac:dyDescent="0.3">
      <c r="A1946" s="16">
        <v>45449.683333000001</v>
      </c>
      <c r="B1946" s="17">
        <v>59.298067000000003</v>
      </c>
      <c r="C1946" s="18"/>
      <c r="D1946" s="19"/>
    </row>
    <row r="1947" spans="1:4" x14ac:dyDescent="0.3">
      <c r="A1947" s="16">
        <v>45449.684028000003</v>
      </c>
      <c r="B1947" s="17">
        <v>59.194231000000002</v>
      </c>
      <c r="C1947" s="18"/>
      <c r="D1947" s="19"/>
    </row>
    <row r="1948" spans="1:4" x14ac:dyDescent="0.3">
      <c r="A1948" s="16">
        <v>45449.684721999998</v>
      </c>
      <c r="B1948" s="17">
        <v>59.415094000000003</v>
      </c>
      <c r="C1948" s="18"/>
      <c r="D1948" s="19"/>
    </row>
    <row r="1949" spans="1:4" x14ac:dyDescent="0.3">
      <c r="A1949" s="16">
        <v>45449.685417000001</v>
      </c>
      <c r="B1949" s="17">
        <v>58.819575999999998</v>
      </c>
      <c r="C1949" s="18"/>
      <c r="D1949" s="19"/>
    </row>
    <row r="1950" spans="1:4" x14ac:dyDescent="0.3">
      <c r="A1950" s="16">
        <v>45449.686111000003</v>
      </c>
      <c r="B1950" s="17">
        <v>58.803449000000001</v>
      </c>
      <c r="C1950" s="18"/>
      <c r="D1950" s="19"/>
    </row>
    <row r="1951" spans="1:4" x14ac:dyDescent="0.3">
      <c r="A1951" s="16">
        <v>45449.686805999998</v>
      </c>
      <c r="B1951" s="17">
        <v>59.065221999999999</v>
      </c>
      <c r="C1951" s="18"/>
      <c r="D1951" s="19"/>
    </row>
    <row r="1952" spans="1:4" x14ac:dyDescent="0.3">
      <c r="A1952" s="16">
        <v>45449.6875</v>
      </c>
      <c r="B1952" s="17">
        <v>59.273280999999997</v>
      </c>
      <c r="C1952" s="18"/>
      <c r="D1952" s="19"/>
    </row>
    <row r="1953" spans="1:4" x14ac:dyDescent="0.3">
      <c r="A1953" s="16">
        <v>45449.688194000002</v>
      </c>
      <c r="B1953" s="17">
        <v>59.113737</v>
      </c>
      <c r="C1953" s="18"/>
      <c r="D1953" s="19"/>
    </row>
    <row r="1954" spans="1:4" x14ac:dyDescent="0.3">
      <c r="A1954" s="16">
        <v>45449.688888999997</v>
      </c>
      <c r="B1954" s="17">
        <v>59.170988999999999</v>
      </c>
      <c r="C1954" s="18"/>
      <c r="D1954" s="19"/>
    </row>
    <row r="1955" spans="1:4" x14ac:dyDescent="0.3">
      <c r="A1955" s="16">
        <v>45449.689582999999</v>
      </c>
      <c r="B1955" s="17">
        <v>59.362645000000001</v>
      </c>
      <c r="C1955" s="18"/>
      <c r="D1955" s="19"/>
    </row>
    <row r="1956" spans="1:4" x14ac:dyDescent="0.3">
      <c r="A1956" s="16">
        <v>45449.690278000002</v>
      </c>
      <c r="B1956" s="17">
        <v>58.939973999999999</v>
      </c>
      <c r="C1956" s="18"/>
      <c r="D1956" s="19"/>
    </row>
    <row r="1957" spans="1:4" x14ac:dyDescent="0.3">
      <c r="A1957" s="16">
        <v>45449.690971999997</v>
      </c>
      <c r="B1957" s="17">
        <v>59.488686999999999</v>
      </c>
      <c r="C1957" s="18"/>
      <c r="D1957" s="19"/>
    </row>
    <row r="1958" spans="1:4" x14ac:dyDescent="0.3">
      <c r="A1958" s="16">
        <v>45449.691666999999</v>
      </c>
      <c r="B1958" s="17">
        <v>58.930523999999998</v>
      </c>
      <c r="C1958" s="18"/>
      <c r="D1958" s="19"/>
    </row>
    <row r="1959" spans="1:4" x14ac:dyDescent="0.3">
      <c r="A1959" s="16">
        <v>45449.692361000001</v>
      </c>
      <c r="B1959" s="17">
        <v>59.076777</v>
      </c>
      <c r="C1959" s="18"/>
      <c r="D1959" s="19"/>
    </row>
    <row r="1960" spans="1:4" x14ac:dyDescent="0.3">
      <c r="A1960" s="16">
        <v>45449.693055999996</v>
      </c>
      <c r="B1960" s="17">
        <v>59.253145000000004</v>
      </c>
      <c r="C1960" s="18"/>
      <c r="D1960" s="19"/>
    </row>
    <row r="1961" spans="1:4" x14ac:dyDescent="0.3">
      <c r="A1961" s="16">
        <v>45449.693749999999</v>
      </c>
      <c r="B1961" s="17">
        <v>58.958677999999999</v>
      </c>
      <c r="C1961" s="18"/>
      <c r="D1961" s="19"/>
    </row>
    <row r="1962" spans="1:4" x14ac:dyDescent="0.3">
      <c r="A1962" s="16">
        <v>45449.694444000001</v>
      </c>
      <c r="B1962" s="17">
        <v>58.924048999999997</v>
      </c>
      <c r="C1962" s="18"/>
      <c r="D1962" s="19"/>
    </row>
    <row r="1963" spans="1:4" x14ac:dyDescent="0.3">
      <c r="A1963" s="16">
        <v>45449.695139000003</v>
      </c>
      <c r="B1963" s="17">
        <v>59.120066999999999</v>
      </c>
      <c r="C1963" s="18"/>
      <c r="D1963" s="19"/>
    </row>
    <row r="1964" spans="1:4" x14ac:dyDescent="0.3">
      <c r="A1964" s="16">
        <v>45449.695832999998</v>
      </c>
      <c r="B1964" s="17">
        <v>59.510007999999999</v>
      </c>
      <c r="C1964" s="18"/>
      <c r="D1964" s="19"/>
    </row>
    <row r="1965" spans="1:4" x14ac:dyDescent="0.3">
      <c r="A1965" s="16">
        <v>45449.696528</v>
      </c>
      <c r="B1965" s="17">
        <v>59.445112000000002</v>
      </c>
      <c r="C1965" s="18"/>
      <c r="D1965" s="19"/>
    </row>
    <row r="1966" spans="1:4" x14ac:dyDescent="0.3">
      <c r="A1966" s="16">
        <v>45449.697222000003</v>
      </c>
      <c r="B1966" s="17">
        <v>59.289572999999997</v>
      </c>
      <c r="C1966" s="18"/>
      <c r="D1966" s="19"/>
    </row>
    <row r="1967" spans="1:4" x14ac:dyDescent="0.3">
      <c r="A1967" s="16">
        <v>45449.697916999998</v>
      </c>
      <c r="B1967" s="17">
        <v>59.400627</v>
      </c>
      <c r="C1967" s="18"/>
      <c r="D1967" s="19"/>
    </row>
    <row r="1968" spans="1:4" x14ac:dyDescent="0.3">
      <c r="A1968" s="16">
        <v>45449.698611</v>
      </c>
      <c r="B1968" s="17">
        <v>59.197740000000003</v>
      </c>
      <c r="C1968" s="18"/>
      <c r="D1968" s="19"/>
    </row>
    <row r="1969" spans="1:4" x14ac:dyDescent="0.3">
      <c r="A1969" s="16">
        <v>45449.699306000002</v>
      </c>
      <c r="B1969" s="17">
        <v>59.348461999999998</v>
      </c>
      <c r="C1969" s="18"/>
      <c r="D1969" s="19"/>
    </row>
    <row r="1970" spans="1:4" x14ac:dyDescent="0.3">
      <c r="A1970" s="16">
        <v>45449.7</v>
      </c>
      <c r="B1970" s="17">
        <v>59.203308</v>
      </c>
      <c r="C1970" s="18"/>
      <c r="D1970" s="19"/>
    </row>
    <row r="1971" spans="1:4" x14ac:dyDescent="0.3">
      <c r="A1971" s="16">
        <v>45449.700693999999</v>
      </c>
      <c r="B1971" s="17">
        <v>59.165815000000002</v>
      </c>
      <c r="C1971" s="18"/>
      <c r="D1971" s="19"/>
    </row>
    <row r="1972" spans="1:4" x14ac:dyDescent="0.3">
      <c r="A1972" s="16">
        <v>45449.701389000002</v>
      </c>
      <c r="B1972" s="17">
        <v>59.249583000000001</v>
      </c>
      <c r="C1972" s="18"/>
      <c r="D1972" s="19"/>
    </row>
    <row r="1973" spans="1:4" x14ac:dyDescent="0.3">
      <c r="A1973" s="16">
        <v>45449.702082999996</v>
      </c>
      <c r="B1973" s="17">
        <v>59.363509999999998</v>
      </c>
      <c r="C1973" s="18"/>
      <c r="D1973" s="19"/>
    </row>
    <row r="1974" spans="1:4" x14ac:dyDescent="0.3">
      <c r="A1974" s="16">
        <v>45449.702777999999</v>
      </c>
      <c r="B1974" s="17">
        <v>59.174419999999998</v>
      </c>
      <c r="C1974" s="18"/>
      <c r="D1974" s="19"/>
    </row>
    <row r="1975" spans="1:4" x14ac:dyDescent="0.3">
      <c r="A1975" s="16">
        <v>45449.703472000001</v>
      </c>
      <c r="B1975" s="17">
        <v>59.082098000000002</v>
      </c>
      <c r="C1975" s="18"/>
      <c r="D1975" s="19"/>
    </row>
    <row r="1976" spans="1:4" x14ac:dyDescent="0.3">
      <c r="A1976" s="16">
        <v>45449.704167000004</v>
      </c>
      <c r="B1976" s="17">
        <v>59.091822999999998</v>
      </c>
      <c r="C1976" s="18"/>
      <c r="D1976" s="19"/>
    </row>
    <row r="1977" spans="1:4" x14ac:dyDescent="0.3">
      <c r="A1977" s="16">
        <v>45449.704860999998</v>
      </c>
      <c r="B1977" s="17">
        <v>58.970497000000002</v>
      </c>
      <c r="C1977" s="18"/>
      <c r="D1977" s="19"/>
    </row>
    <row r="1978" spans="1:4" x14ac:dyDescent="0.3">
      <c r="A1978" s="16">
        <v>45449.705556000001</v>
      </c>
      <c r="B1978" s="17">
        <v>59.311399999999999</v>
      </c>
      <c r="C1978" s="18"/>
      <c r="D1978" s="19"/>
    </row>
    <row r="1979" spans="1:4" x14ac:dyDescent="0.3">
      <c r="A1979" s="16">
        <v>45449.706250000003</v>
      </c>
      <c r="B1979" s="17">
        <v>59.243645000000001</v>
      </c>
      <c r="C1979" s="18"/>
      <c r="D1979" s="19"/>
    </row>
    <row r="1980" spans="1:4" x14ac:dyDescent="0.3">
      <c r="A1980" s="16">
        <v>45449.706943999998</v>
      </c>
      <c r="B1980" s="17">
        <v>59.455798000000001</v>
      </c>
      <c r="C1980" s="18"/>
      <c r="D1980" s="19"/>
    </row>
    <row r="1981" spans="1:4" x14ac:dyDescent="0.3">
      <c r="A1981" s="16">
        <v>45449.707639</v>
      </c>
      <c r="B1981" s="17">
        <v>59.213962000000002</v>
      </c>
      <c r="C1981" s="18"/>
      <c r="D1981" s="19"/>
    </row>
    <row r="1982" spans="1:4" x14ac:dyDescent="0.3">
      <c r="A1982" s="16">
        <v>45449.708333000002</v>
      </c>
      <c r="B1982" s="17">
        <v>59.163786000000002</v>
      </c>
      <c r="C1982" s="18"/>
      <c r="D1982" s="19"/>
    </row>
    <row r="1983" spans="1:4" x14ac:dyDescent="0.3">
      <c r="A1983" s="16">
        <v>45449.709027999997</v>
      </c>
      <c r="B1983" s="17">
        <v>59.214548999999998</v>
      </c>
      <c r="C1983" s="18"/>
      <c r="D1983" s="19"/>
    </row>
    <row r="1984" spans="1:4" x14ac:dyDescent="0.3">
      <c r="A1984" s="16">
        <v>45449.709722</v>
      </c>
      <c r="B1984" s="17">
        <v>59.493870999999999</v>
      </c>
      <c r="C1984" s="18"/>
      <c r="D1984" s="19"/>
    </row>
    <row r="1985" spans="1:4" x14ac:dyDescent="0.3">
      <c r="A1985" s="16">
        <v>45449.710417000002</v>
      </c>
      <c r="B1985" s="17">
        <v>59.331645000000002</v>
      </c>
      <c r="C1985" s="18"/>
      <c r="D1985" s="19"/>
    </row>
    <row r="1986" spans="1:4" x14ac:dyDescent="0.3">
      <c r="A1986" s="16">
        <v>45449.711110999997</v>
      </c>
      <c r="B1986" s="17">
        <v>59.38373</v>
      </c>
      <c r="C1986" s="18"/>
      <c r="D1986" s="19"/>
    </row>
    <row r="1987" spans="1:4" x14ac:dyDescent="0.3">
      <c r="A1987" s="16">
        <v>45449.711805999999</v>
      </c>
      <c r="B1987" s="17">
        <v>59.114457000000002</v>
      </c>
      <c r="C1987" s="18"/>
      <c r="D1987" s="19"/>
    </row>
    <row r="1988" spans="1:4" x14ac:dyDescent="0.3">
      <c r="A1988" s="16">
        <v>45449.712500000001</v>
      </c>
      <c r="B1988" s="17">
        <v>59.401097999999998</v>
      </c>
      <c r="C1988" s="18"/>
      <c r="D1988" s="19"/>
    </row>
    <row r="1989" spans="1:4" x14ac:dyDescent="0.3">
      <c r="A1989" s="16">
        <v>45449.713194000004</v>
      </c>
      <c r="B1989" s="17">
        <v>59.467523</v>
      </c>
      <c r="C1989" s="18"/>
      <c r="D1989" s="19"/>
    </row>
    <row r="1990" spans="1:4" x14ac:dyDescent="0.3">
      <c r="A1990" s="16">
        <v>45449.713888999999</v>
      </c>
      <c r="B1990" s="17">
        <v>59.004728999999998</v>
      </c>
      <c r="C1990" s="18"/>
      <c r="D1990" s="19"/>
    </row>
    <row r="1991" spans="1:4" x14ac:dyDescent="0.3">
      <c r="A1991" s="16">
        <v>45449.714583000001</v>
      </c>
      <c r="B1991" s="17">
        <v>59.225377999999999</v>
      </c>
      <c r="C1991" s="18"/>
      <c r="D1991" s="19"/>
    </row>
    <row r="1992" spans="1:4" x14ac:dyDescent="0.3">
      <c r="A1992" s="16">
        <v>45449.715278000003</v>
      </c>
      <c r="B1992" s="17">
        <v>59.192207000000003</v>
      </c>
      <c r="C1992" s="18"/>
      <c r="D1992" s="19"/>
    </row>
    <row r="1993" spans="1:4" x14ac:dyDescent="0.3">
      <c r="A1993" s="16">
        <v>45449.715971999998</v>
      </c>
      <c r="B1993" s="17">
        <v>59.055621000000002</v>
      </c>
      <c r="C1993" s="18"/>
      <c r="D1993" s="19"/>
    </row>
    <row r="1994" spans="1:4" x14ac:dyDescent="0.3">
      <c r="A1994" s="16">
        <v>45449.716667000001</v>
      </c>
      <c r="B1994" s="17">
        <v>59.412368000000001</v>
      </c>
      <c r="C1994" s="18"/>
      <c r="D1994" s="19"/>
    </row>
    <row r="1995" spans="1:4" x14ac:dyDescent="0.3">
      <c r="A1995" s="16">
        <v>45449.717361000003</v>
      </c>
      <c r="B1995" s="17">
        <v>59.525174999999997</v>
      </c>
      <c r="C1995" s="18"/>
      <c r="D1995" s="19"/>
    </row>
    <row r="1996" spans="1:4" x14ac:dyDescent="0.3">
      <c r="A1996" s="16">
        <v>45449.718055999998</v>
      </c>
      <c r="B1996" s="17">
        <v>59.191265000000001</v>
      </c>
      <c r="C1996" s="18"/>
      <c r="D1996" s="19"/>
    </row>
    <row r="1997" spans="1:4" x14ac:dyDescent="0.3">
      <c r="A1997" s="16">
        <v>45449.71875</v>
      </c>
      <c r="B1997" s="17">
        <v>59.318876000000003</v>
      </c>
      <c r="C1997" s="18"/>
      <c r="D1997" s="19"/>
    </row>
    <row r="1998" spans="1:4" x14ac:dyDescent="0.3">
      <c r="A1998" s="16">
        <v>45449.719444000002</v>
      </c>
      <c r="B1998" s="17">
        <v>59.402732</v>
      </c>
      <c r="C1998" s="18"/>
      <c r="D1998" s="19"/>
    </row>
    <row r="1999" spans="1:4" x14ac:dyDescent="0.3">
      <c r="A1999" s="16">
        <v>45449.720138999997</v>
      </c>
      <c r="B1999" s="17">
        <v>59.551074999999997</v>
      </c>
      <c r="C1999" s="18"/>
      <c r="D1999" s="19"/>
    </row>
    <row r="2000" spans="1:4" x14ac:dyDescent="0.3">
      <c r="A2000" s="16">
        <v>45449.720832999999</v>
      </c>
      <c r="B2000" s="17">
        <v>59.349089999999997</v>
      </c>
      <c r="C2000" s="18"/>
      <c r="D2000" s="19"/>
    </row>
    <row r="2001" spans="1:4" x14ac:dyDescent="0.3">
      <c r="A2001" s="16">
        <v>45449.721528000002</v>
      </c>
      <c r="B2001" s="17">
        <v>59.411589999999997</v>
      </c>
      <c r="C2001" s="18"/>
      <c r="D2001" s="19"/>
    </row>
    <row r="2002" spans="1:4" x14ac:dyDescent="0.3">
      <c r="A2002" s="16">
        <v>45449.722221999997</v>
      </c>
      <c r="B2002" s="17">
        <v>59.054180000000002</v>
      </c>
      <c r="C2002" s="18"/>
      <c r="D2002" s="19"/>
    </row>
    <row r="2003" spans="1:4" x14ac:dyDescent="0.3">
      <c r="A2003" s="16">
        <v>45449.722916999999</v>
      </c>
      <c r="B2003" s="17">
        <v>59.4619</v>
      </c>
      <c r="C2003" s="18"/>
      <c r="D2003" s="19"/>
    </row>
    <row r="2004" spans="1:4" x14ac:dyDescent="0.3">
      <c r="A2004" s="16">
        <v>45449.723611000001</v>
      </c>
      <c r="B2004" s="17">
        <v>59.413564000000001</v>
      </c>
      <c r="C2004" s="18"/>
      <c r="D2004" s="19"/>
    </row>
    <row r="2005" spans="1:4" x14ac:dyDescent="0.3">
      <c r="A2005" s="16">
        <v>45449.724305999996</v>
      </c>
      <c r="B2005" s="17">
        <v>59.050721000000003</v>
      </c>
      <c r="C2005" s="18"/>
      <c r="D2005" s="19"/>
    </row>
    <row r="2006" spans="1:4" x14ac:dyDescent="0.3">
      <c r="A2006" s="16">
        <v>45449.724999999999</v>
      </c>
      <c r="B2006" s="17">
        <v>59.365844000000003</v>
      </c>
      <c r="C2006" s="18"/>
      <c r="D2006" s="19"/>
    </row>
    <row r="2007" spans="1:4" x14ac:dyDescent="0.3">
      <c r="A2007" s="16">
        <v>45449.725694000001</v>
      </c>
      <c r="B2007" s="17">
        <v>58.926949</v>
      </c>
      <c r="C2007" s="18"/>
      <c r="D2007" s="19"/>
    </row>
    <row r="2008" spans="1:4" x14ac:dyDescent="0.3">
      <c r="A2008" s="16">
        <v>45449.726389000003</v>
      </c>
      <c r="B2008" s="17">
        <v>58.954568999999999</v>
      </c>
      <c r="C2008" s="18"/>
      <c r="D2008" s="19"/>
    </row>
    <row r="2009" spans="1:4" x14ac:dyDescent="0.3">
      <c r="A2009" s="16">
        <v>45449.727082999998</v>
      </c>
      <c r="B2009" s="17">
        <v>58.840902999999997</v>
      </c>
      <c r="C2009" s="18"/>
      <c r="D2009" s="19"/>
    </row>
    <row r="2010" spans="1:4" x14ac:dyDescent="0.3">
      <c r="A2010" s="16">
        <v>45449.727778</v>
      </c>
      <c r="B2010" s="17">
        <v>59.364488999999999</v>
      </c>
      <c r="C2010" s="18"/>
      <c r="D2010" s="19"/>
    </row>
    <row r="2011" spans="1:4" x14ac:dyDescent="0.3">
      <c r="A2011" s="16">
        <v>45449.728472000003</v>
      </c>
      <c r="B2011" s="17">
        <v>59.147084</v>
      </c>
      <c r="C2011" s="18"/>
      <c r="D2011" s="19"/>
    </row>
    <row r="2012" spans="1:4" x14ac:dyDescent="0.3">
      <c r="A2012" s="16">
        <v>45449.729166999998</v>
      </c>
      <c r="B2012" s="17">
        <v>59.139919999999996</v>
      </c>
      <c r="C2012" s="18"/>
      <c r="D2012" s="19"/>
    </row>
    <row r="2013" spans="1:4" x14ac:dyDescent="0.3">
      <c r="A2013" s="16">
        <v>45449.729861</v>
      </c>
      <c r="B2013" s="17">
        <v>59.246617000000001</v>
      </c>
      <c r="C2013" s="18"/>
      <c r="D2013" s="19"/>
    </row>
    <row r="2014" spans="1:4" x14ac:dyDescent="0.3">
      <c r="A2014" s="16">
        <v>45449.730556000002</v>
      </c>
      <c r="B2014" s="17">
        <v>59.112417999999998</v>
      </c>
      <c r="C2014" s="18"/>
      <c r="D2014" s="19"/>
    </row>
    <row r="2015" spans="1:4" x14ac:dyDescent="0.3">
      <c r="A2015" s="16">
        <v>45449.731249999997</v>
      </c>
      <c r="B2015" s="17">
        <v>59.332791</v>
      </c>
      <c r="C2015" s="18"/>
      <c r="D2015" s="19"/>
    </row>
    <row r="2016" spans="1:4" x14ac:dyDescent="0.3">
      <c r="A2016" s="16">
        <v>45449.731943999999</v>
      </c>
      <c r="B2016" s="17">
        <v>58.869076999999997</v>
      </c>
      <c r="C2016" s="18"/>
      <c r="D2016" s="19"/>
    </row>
    <row r="2017" spans="1:4" x14ac:dyDescent="0.3">
      <c r="A2017" s="16">
        <v>45449.732639000002</v>
      </c>
      <c r="B2017" s="17">
        <v>59.042146000000002</v>
      </c>
      <c r="C2017" s="18"/>
      <c r="D2017" s="19"/>
    </row>
    <row r="2018" spans="1:4" x14ac:dyDescent="0.3">
      <c r="A2018" s="16">
        <v>45449.733332999996</v>
      </c>
      <c r="B2018" s="17">
        <v>59.193854000000002</v>
      </c>
      <c r="C2018" s="18"/>
      <c r="D2018" s="19"/>
    </row>
    <row r="2019" spans="1:4" x14ac:dyDescent="0.3">
      <c r="A2019" s="16">
        <v>45449.734027999999</v>
      </c>
      <c r="B2019" s="17">
        <v>59.298020999999999</v>
      </c>
      <c r="C2019" s="18"/>
      <c r="D2019" s="19"/>
    </row>
    <row r="2020" spans="1:4" x14ac:dyDescent="0.3">
      <c r="A2020" s="16">
        <v>45449.734722000001</v>
      </c>
      <c r="B2020" s="17">
        <v>59.315131999999998</v>
      </c>
      <c r="C2020" s="18"/>
      <c r="D2020" s="19"/>
    </row>
    <row r="2021" spans="1:4" x14ac:dyDescent="0.3">
      <c r="A2021" s="16">
        <v>45449.735417000004</v>
      </c>
      <c r="B2021" s="17">
        <v>59.470315999999997</v>
      </c>
      <c r="C2021" s="18"/>
      <c r="D2021" s="19"/>
    </row>
    <row r="2022" spans="1:4" x14ac:dyDescent="0.3">
      <c r="A2022" s="16">
        <v>45449.736110999998</v>
      </c>
      <c r="B2022" s="17">
        <v>59.480400000000003</v>
      </c>
      <c r="C2022" s="18"/>
      <c r="D2022" s="19"/>
    </row>
    <row r="2023" spans="1:4" x14ac:dyDescent="0.3">
      <c r="A2023" s="16">
        <v>45449.736806000001</v>
      </c>
      <c r="B2023" s="17">
        <v>59.319589999999998</v>
      </c>
      <c r="C2023" s="18"/>
      <c r="D2023" s="19"/>
    </row>
    <row r="2024" spans="1:4" x14ac:dyDescent="0.3">
      <c r="A2024" s="16">
        <v>45449.737500000003</v>
      </c>
      <c r="B2024" s="17">
        <v>59.173485999999997</v>
      </c>
      <c r="C2024" s="18"/>
      <c r="D2024" s="19"/>
    </row>
    <row r="2025" spans="1:4" x14ac:dyDescent="0.3">
      <c r="A2025" s="16">
        <v>45449.738193999998</v>
      </c>
      <c r="B2025" s="17">
        <v>59.328856000000002</v>
      </c>
      <c r="C2025" s="18"/>
      <c r="D2025" s="19"/>
    </row>
    <row r="2026" spans="1:4" x14ac:dyDescent="0.3">
      <c r="A2026" s="16">
        <v>45449.738889</v>
      </c>
      <c r="B2026" s="17">
        <v>59.152298999999999</v>
      </c>
      <c r="C2026" s="18"/>
      <c r="D2026" s="19"/>
    </row>
    <row r="2027" spans="1:4" x14ac:dyDescent="0.3">
      <c r="A2027" s="16">
        <v>45449.739583000002</v>
      </c>
      <c r="B2027" s="17">
        <v>59.693126999999997</v>
      </c>
      <c r="C2027" s="18"/>
      <c r="D2027" s="19"/>
    </row>
    <row r="2028" spans="1:4" x14ac:dyDescent="0.3">
      <c r="A2028" s="16">
        <v>45449.740277999997</v>
      </c>
      <c r="B2028" s="17">
        <v>59.572476000000002</v>
      </c>
      <c r="C2028" s="18"/>
      <c r="D2028" s="19"/>
    </row>
    <row r="2029" spans="1:4" x14ac:dyDescent="0.3">
      <c r="A2029" s="16">
        <v>45449.740972</v>
      </c>
      <c r="B2029" s="17">
        <v>59.068835999999997</v>
      </c>
      <c r="C2029" s="18"/>
      <c r="D2029" s="19"/>
    </row>
    <row r="2030" spans="1:4" x14ac:dyDescent="0.3">
      <c r="A2030" s="16">
        <v>45449.741667000002</v>
      </c>
      <c r="B2030" s="17">
        <v>59.236344000000003</v>
      </c>
      <c r="C2030" s="18"/>
      <c r="D2030" s="19"/>
    </row>
    <row r="2031" spans="1:4" x14ac:dyDescent="0.3">
      <c r="A2031" s="16">
        <v>45449.742360999997</v>
      </c>
      <c r="B2031" s="17">
        <v>59.572701000000002</v>
      </c>
      <c r="C2031" s="18"/>
      <c r="D2031" s="19"/>
    </row>
    <row r="2032" spans="1:4" x14ac:dyDescent="0.3">
      <c r="A2032" s="16">
        <v>45449.743055999999</v>
      </c>
      <c r="B2032" s="17">
        <v>59.316049</v>
      </c>
      <c r="C2032" s="18"/>
      <c r="D2032" s="19"/>
    </row>
    <row r="2033" spans="1:4" x14ac:dyDescent="0.3">
      <c r="A2033" s="16">
        <v>45449.743750000001</v>
      </c>
      <c r="B2033" s="17">
        <v>59.310588000000003</v>
      </c>
      <c r="C2033" s="18"/>
      <c r="D2033" s="19"/>
    </row>
    <row r="2034" spans="1:4" x14ac:dyDescent="0.3">
      <c r="A2034" s="16">
        <v>45449.744444000004</v>
      </c>
      <c r="B2034" s="17">
        <v>59.447927</v>
      </c>
      <c r="C2034" s="18"/>
      <c r="D2034" s="19"/>
    </row>
    <row r="2035" spans="1:4" x14ac:dyDescent="0.3">
      <c r="A2035" s="16">
        <v>45449.745138999999</v>
      </c>
      <c r="B2035" s="17">
        <v>59.431756999999998</v>
      </c>
      <c r="C2035" s="18"/>
      <c r="D2035" s="19"/>
    </row>
    <row r="2036" spans="1:4" x14ac:dyDescent="0.3">
      <c r="A2036" s="16">
        <v>45449.745833000001</v>
      </c>
      <c r="B2036" s="17">
        <v>59.391444</v>
      </c>
      <c r="C2036" s="18"/>
      <c r="D2036" s="19"/>
    </row>
    <row r="2037" spans="1:4" x14ac:dyDescent="0.3">
      <c r="A2037" s="16">
        <v>45449.746528000003</v>
      </c>
      <c r="B2037" s="17">
        <v>59.129513000000003</v>
      </c>
      <c r="C2037" s="18"/>
      <c r="D2037" s="19"/>
    </row>
    <row r="2038" spans="1:4" x14ac:dyDescent="0.3">
      <c r="A2038" s="16">
        <v>45449.747221999998</v>
      </c>
      <c r="B2038" s="17">
        <v>59.345948999999997</v>
      </c>
      <c r="C2038" s="18"/>
      <c r="D2038" s="19"/>
    </row>
    <row r="2039" spans="1:4" x14ac:dyDescent="0.3">
      <c r="A2039" s="16">
        <v>45449.747917000001</v>
      </c>
      <c r="B2039" s="17">
        <v>59.290821000000001</v>
      </c>
      <c r="C2039" s="18"/>
      <c r="D2039" s="19"/>
    </row>
    <row r="2040" spans="1:4" x14ac:dyDescent="0.3">
      <c r="A2040" s="16">
        <v>45449.748611000003</v>
      </c>
      <c r="B2040" s="17">
        <v>59.409289999999999</v>
      </c>
      <c r="C2040" s="18"/>
      <c r="D2040" s="19"/>
    </row>
    <row r="2041" spans="1:4" x14ac:dyDescent="0.3">
      <c r="A2041" s="16">
        <v>45449.749305999998</v>
      </c>
      <c r="B2041" s="17">
        <v>59.230525</v>
      </c>
      <c r="C2041" s="18"/>
      <c r="D2041" s="19"/>
    </row>
    <row r="2042" spans="1:4" x14ac:dyDescent="0.3">
      <c r="A2042" s="16">
        <v>45449.75</v>
      </c>
      <c r="B2042" s="17">
        <v>59.665683000000001</v>
      </c>
      <c r="C2042" s="18"/>
      <c r="D2042" s="19"/>
    </row>
    <row r="2043" spans="1:4" x14ac:dyDescent="0.3">
      <c r="A2043" s="16">
        <v>45449.750694000002</v>
      </c>
      <c r="B2043" s="17">
        <v>59.629547000000002</v>
      </c>
      <c r="C2043" s="18"/>
      <c r="D2043" s="19"/>
    </row>
    <row r="2044" spans="1:4" x14ac:dyDescent="0.3">
      <c r="A2044" s="16">
        <v>45449.751388999997</v>
      </c>
      <c r="B2044" s="17">
        <v>59.294353999999998</v>
      </c>
      <c r="C2044" s="18"/>
      <c r="D2044" s="19"/>
    </row>
    <row r="2045" spans="1:4" x14ac:dyDescent="0.3">
      <c r="A2045" s="16">
        <v>45449.752082999999</v>
      </c>
      <c r="B2045" s="17">
        <v>59.701146000000001</v>
      </c>
      <c r="C2045" s="18"/>
      <c r="D2045" s="19"/>
    </row>
    <row r="2046" spans="1:4" x14ac:dyDescent="0.3">
      <c r="A2046" s="16">
        <v>45449.752778000002</v>
      </c>
      <c r="B2046" s="17">
        <v>59.617117</v>
      </c>
      <c r="C2046" s="18"/>
      <c r="D2046" s="19"/>
    </row>
    <row r="2047" spans="1:4" x14ac:dyDescent="0.3">
      <c r="A2047" s="16">
        <v>45449.753471999997</v>
      </c>
      <c r="B2047" s="17">
        <v>59.518886000000002</v>
      </c>
      <c r="C2047" s="18"/>
      <c r="D2047" s="19"/>
    </row>
    <row r="2048" spans="1:4" x14ac:dyDescent="0.3">
      <c r="A2048" s="16">
        <v>45449.754166999999</v>
      </c>
      <c r="B2048" s="17">
        <v>59.517189999999999</v>
      </c>
      <c r="C2048" s="18"/>
      <c r="D2048" s="19"/>
    </row>
    <row r="2049" spans="1:4" x14ac:dyDescent="0.3">
      <c r="A2049" s="16">
        <v>45449.754861000001</v>
      </c>
      <c r="B2049" s="17">
        <v>59.344389999999997</v>
      </c>
      <c r="C2049" s="18"/>
      <c r="D2049" s="19"/>
    </row>
    <row r="2050" spans="1:4" x14ac:dyDescent="0.3">
      <c r="A2050" s="16">
        <v>45449.755555999996</v>
      </c>
      <c r="B2050" s="17">
        <v>59.524369</v>
      </c>
      <c r="C2050" s="18"/>
      <c r="D2050" s="19"/>
    </row>
    <row r="2051" spans="1:4" x14ac:dyDescent="0.3">
      <c r="A2051" s="16">
        <v>45449.756249999999</v>
      </c>
      <c r="B2051" s="17">
        <v>59.525900999999998</v>
      </c>
      <c r="C2051" s="18"/>
      <c r="D2051" s="19"/>
    </row>
    <row r="2052" spans="1:4" x14ac:dyDescent="0.3">
      <c r="A2052" s="16">
        <v>45449.756944000001</v>
      </c>
      <c r="B2052" s="17">
        <v>59.754660000000001</v>
      </c>
      <c r="C2052" s="18"/>
      <c r="D2052" s="19"/>
    </row>
    <row r="2053" spans="1:4" x14ac:dyDescent="0.3">
      <c r="A2053" s="16">
        <v>45449.757639000003</v>
      </c>
      <c r="B2053" s="17">
        <v>59.481811</v>
      </c>
      <c r="C2053" s="18"/>
      <c r="D2053" s="19"/>
    </row>
    <row r="2054" spans="1:4" x14ac:dyDescent="0.3">
      <c r="A2054" s="16">
        <v>45449.758332999998</v>
      </c>
      <c r="B2054" s="17">
        <v>59.144671000000002</v>
      </c>
      <c r="C2054" s="18"/>
      <c r="D2054" s="19"/>
    </row>
    <row r="2055" spans="1:4" x14ac:dyDescent="0.3">
      <c r="A2055" s="16">
        <v>45449.759028</v>
      </c>
      <c r="B2055" s="17">
        <v>59.268332999999998</v>
      </c>
      <c r="C2055" s="18"/>
      <c r="D2055" s="19"/>
    </row>
    <row r="2056" spans="1:4" x14ac:dyDescent="0.3">
      <c r="A2056" s="16">
        <v>45449.759722000003</v>
      </c>
      <c r="B2056" s="17">
        <v>59.323137000000003</v>
      </c>
      <c r="C2056" s="18"/>
      <c r="D2056" s="19"/>
    </row>
    <row r="2057" spans="1:4" x14ac:dyDescent="0.3">
      <c r="A2057" s="16">
        <v>45449.760416999998</v>
      </c>
      <c r="B2057" s="17">
        <v>59.302601000000003</v>
      </c>
      <c r="C2057" s="18"/>
      <c r="D2057" s="19"/>
    </row>
    <row r="2058" spans="1:4" x14ac:dyDescent="0.3">
      <c r="A2058" s="16">
        <v>45449.761111</v>
      </c>
      <c r="B2058" s="17">
        <v>59.249696</v>
      </c>
      <c r="C2058" s="18"/>
      <c r="D2058" s="19"/>
    </row>
    <row r="2059" spans="1:4" x14ac:dyDescent="0.3">
      <c r="A2059" s="16">
        <v>45449.761806000002</v>
      </c>
      <c r="B2059" s="17">
        <v>59.009608</v>
      </c>
      <c r="C2059" s="18"/>
      <c r="D2059" s="19"/>
    </row>
    <row r="2060" spans="1:4" x14ac:dyDescent="0.3">
      <c r="A2060" s="16">
        <v>45449.762499999997</v>
      </c>
      <c r="B2060" s="17">
        <v>59.285404999999997</v>
      </c>
      <c r="C2060" s="18"/>
      <c r="D2060" s="19"/>
    </row>
    <row r="2061" spans="1:4" x14ac:dyDescent="0.3">
      <c r="A2061" s="16">
        <v>45449.763193999999</v>
      </c>
      <c r="B2061" s="17">
        <v>59.109017999999999</v>
      </c>
      <c r="C2061" s="18"/>
      <c r="D2061" s="19"/>
    </row>
    <row r="2062" spans="1:4" x14ac:dyDescent="0.3">
      <c r="A2062" s="16">
        <v>45449.763889000002</v>
      </c>
      <c r="B2062" s="17">
        <v>59.077441999999998</v>
      </c>
      <c r="C2062" s="18"/>
      <c r="D2062" s="19"/>
    </row>
    <row r="2063" spans="1:4" x14ac:dyDescent="0.3">
      <c r="A2063" s="16">
        <v>45449.764582999996</v>
      </c>
      <c r="B2063" s="17">
        <v>59.429619000000002</v>
      </c>
      <c r="C2063" s="18"/>
      <c r="D2063" s="19"/>
    </row>
    <row r="2064" spans="1:4" x14ac:dyDescent="0.3">
      <c r="A2064" s="16">
        <v>45449.765277999999</v>
      </c>
      <c r="B2064" s="17">
        <v>58.942852999999999</v>
      </c>
      <c r="C2064" s="18"/>
      <c r="D2064" s="19"/>
    </row>
    <row r="2065" spans="1:4" x14ac:dyDescent="0.3">
      <c r="A2065" s="16">
        <v>45449.765972000001</v>
      </c>
      <c r="B2065" s="17">
        <v>59.646375999999997</v>
      </c>
      <c r="C2065" s="18"/>
      <c r="D2065" s="19"/>
    </row>
    <row r="2066" spans="1:4" x14ac:dyDescent="0.3">
      <c r="A2066" s="16">
        <v>45449.766667000004</v>
      </c>
      <c r="B2066" s="17">
        <v>58.904378999999999</v>
      </c>
      <c r="C2066" s="18"/>
      <c r="D2066" s="19"/>
    </row>
    <row r="2067" spans="1:4" x14ac:dyDescent="0.3">
      <c r="A2067" s="16">
        <v>45449.767360999998</v>
      </c>
      <c r="B2067" s="17">
        <v>59.232579000000001</v>
      </c>
      <c r="C2067" s="18"/>
      <c r="D2067" s="19"/>
    </row>
    <row r="2068" spans="1:4" x14ac:dyDescent="0.3">
      <c r="A2068" s="16">
        <v>45449.768056000001</v>
      </c>
      <c r="B2068" s="17">
        <v>58.983924000000002</v>
      </c>
      <c r="C2068" s="18"/>
      <c r="D2068" s="19"/>
    </row>
    <row r="2069" spans="1:4" x14ac:dyDescent="0.3">
      <c r="A2069" s="16">
        <v>45449.768750000003</v>
      </c>
      <c r="B2069" s="17">
        <v>59.235061000000002</v>
      </c>
      <c r="C2069" s="18"/>
      <c r="D2069" s="19"/>
    </row>
    <row r="2070" spans="1:4" x14ac:dyDescent="0.3">
      <c r="A2070" s="16">
        <v>45449.769443999998</v>
      </c>
      <c r="B2070" s="17">
        <v>59.072594000000002</v>
      </c>
      <c r="C2070" s="18"/>
      <c r="D2070" s="19"/>
    </row>
    <row r="2071" spans="1:4" x14ac:dyDescent="0.3">
      <c r="A2071" s="16">
        <v>45449.770139</v>
      </c>
      <c r="B2071" s="17">
        <v>59.027921999999997</v>
      </c>
      <c r="C2071" s="18"/>
      <c r="D2071" s="19"/>
    </row>
    <row r="2072" spans="1:4" x14ac:dyDescent="0.3">
      <c r="A2072" s="16">
        <v>45449.770833000002</v>
      </c>
      <c r="B2072" s="17">
        <v>59.699702000000002</v>
      </c>
      <c r="C2072" s="18"/>
      <c r="D2072" s="19"/>
    </row>
    <row r="2073" spans="1:4" x14ac:dyDescent="0.3">
      <c r="A2073" s="16">
        <v>45449.771527999997</v>
      </c>
      <c r="B2073" s="17">
        <v>59.514608000000003</v>
      </c>
      <c r="C2073" s="18"/>
      <c r="D2073" s="19"/>
    </row>
    <row r="2074" spans="1:4" x14ac:dyDescent="0.3">
      <c r="A2074" s="16">
        <v>45449.772222</v>
      </c>
      <c r="B2074" s="17">
        <v>59.348627</v>
      </c>
      <c r="C2074" s="18"/>
      <c r="D2074" s="19"/>
    </row>
    <row r="2075" spans="1:4" x14ac:dyDescent="0.3">
      <c r="A2075" s="16">
        <v>45449.772917000002</v>
      </c>
      <c r="B2075" s="17">
        <v>59.405555999999997</v>
      </c>
      <c r="C2075" s="18"/>
      <c r="D2075" s="19"/>
    </row>
    <row r="2076" spans="1:4" x14ac:dyDescent="0.3">
      <c r="A2076" s="16">
        <v>45449.773610999997</v>
      </c>
      <c r="B2076" s="17">
        <v>59.380830000000003</v>
      </c>
      <c r="C2076" s="18"/>
      <c r="D2076" s="19"/>
    </row>
    <row r="2077" spans="1:4" x14ac:dyDescent="0.3">
      <c r="A2077" s="16">
        <v>45449.774305999999</v>
      </c>
      <c r="B2077" s="17">
        <v>59.407111999999998</v>
      </c>
      <c r="C2077" s="18"/>
      <c r="D2077" s="19"/>
    </row>
    <row r="2078" spans="1:4" x14ac:dyDescent="0.3">
      <c r="A2078" s="16">
        <v>45449.775000000001</v>
      </c>
      <c r="B2078" s="17">
        <v>59.466253999999999</v>
      </c>
      <c r="C2078" s="18"/>
      <c r="D2078" s="19"/>
    </row>
    <row r="2079" spans="1:4" x14ac:dyDescent="0.3">
      <c r="A2079" s="16">
        <v>45449.775694000004</v>
      </c>
      <c r="B2079" s="17">
        <v>58.975095000000003</v>
      </c>
      <c r="C2079" s="18"/>
      <c r="D2079" s="19"/>
    </row>
    <row r="2080" spans="1:4" x14ac:dyDescent="0.3">
      <c r="A2080" s="16">
        <v>45449.776388999999</v>
      </c>
      <c r="B2080" s="17">
        <v>59.028908999999999</v>
      </c>
      <c r="C2080" s="18"/>
      <c r="D2080" s="19"/>
    </row>
    <row r="2081" spans="1:4" x14ac:dyDescent="0.3">
      <c r="A2081" s="16">
        <v>45449.777083000001</v>
      </c>
      <c r="B2081" s="17">
        <v>59.358573999999997</v>
      </c>
      <c r="C2081" s="18"/>
      <c r="D2081" s="19"/>
    </row>
    <row r="2082" spans="1:4" x14ac:dyDescent="0.3">
      <c r="A2082" s="16">
        <v>45449.777778000003</v>
      </c>
      <c r="B2082" s="17">
        <v>59.112361999999997</v>
      </c>
      <c r="C2082" s="18"/>
      <c r="D2082" s="19"/>
    </row>
    <row r="2083" spans="1:4" x14ac:dyDescent="0.3">
      <c r="A2083" s="16">
        <v>45449.778471999998</v>
      </c>
      <c r="B2083" s="17">
        <v>58.908346000000002</v>
      </c>
      <c r="C2083" s="18"/>
      <c r="D2083" s="19"/>
    </row>
    <row r="2084" spans="1:4" x14ac:dyDescent="0.3">
      <c r="A2084" s="16">
        <v>45449.779167000001</v>
      </c>
      <c r="B2084" s="17">
        <v>59.52458</v>
      </c>
      <c r="C2084" s="18"/>
      <c r="D2084" s="19"/>
    </row>
    <row r="2085" spans="1:4" x14ac:dyDescent="0.3">
      <c r="A2085" s="16">
        <v>45449.779861000003</v>
      </c>
      <c r="B2085" s="17">
        <v>59.158436999999999</v>
      </c>
      <c r="C2085" s="18"/>
      <c r="D2085" s="19"/>
    </row>
    <row r="2086" spans="1:4" x14ac:dyDescent="0.3">
      <c r="A2086" s="16">
        <v>45449.780555999998</v>
      </c>
      <c r="B2086" s="17">
        <v>59.707852000000003</v>
      </c>
      <c r="C2086" s="18"/>
      <c r="D2086" s="19"/>
    </row>
    <row r="2087" spans="1:4" x14ac:dyDescent="0.3">
      <c r="A2087" s="16">
        <v>45449.78125</v>
      </c>
      <c r="B2087" s="17">
        <v>59.427733000000003</v>
      </c>
      <c r="C2087" s="18"/>
      <c r="D2087" s="19"/>
    </row>
    <row r="2088" spans="1:4" x14ac:dyDescent="0.3">
      <c r="A2088" s="16">
        <v>45449.781944000002</v>
      </c>
      <c r="B2088" s="17">
        <v>59.332619000000001</v>
      </c>
      <c r="C2088" s="18"/>
      <c r="D2088" s="19"/>
    </row>
    <row r="2089" spans="1:4" x14ac:dyDescent="0.3">
      <c r="A2089" s="16">
        <v>45449.782638999997</v>
      </c>
      <c r="B2089" s="17">
        <v>59.404302999999999</v>
      </c>
      <c r="C2089" s="18"/>
      <c r="D2089" s="19"/>
    </row>
    <row r="2090" spans="1:4" x14ac:dyDescent="0.3">
      <c r="A2090" s="16">
        <v>45449.783332999999</v>
      </c>
      <c r="B2090" s="17">
        <v>59.292003999999999</v>
      </c>
      <c r="C2090" s="18"/>
      <c r="D2090" s="19"/>
    </row>
    <row r="2091" spans="1:4" x14ac:dyDescent="0.3">
      <c r="A2091" s="16">
        <v>45449.784028000002</v>
      </c>
      <c r="B2091" s="17">
        <v>59.286720000000003</v>
      </c>
      <c r="C2091" s="18"/>
      <c r="D2091" s="19"/>
    </row>
    <row r="2092" spans="1:4" x14ac:dyDescent="0.3">
      <c r="A2092" s="16">
        <v>45449.784721999997</v>
      </c>
      <c r="B2092" s="17">
        <v>59.313611000000002</v>
      </c>
      <c r="C2092" s="18"/>
      <c r="D2092" s="19"/>
    </row>
    <row r="2093" spans="1:4" x14ac:dyDescent="0.3">
      <c r="A2093" s="16">
        <v>45449.785416999999</v>
      </c>
      <c r="B2093" s="17">
        <v>59.071818999999998</v>
      </c>
      <c r="C2093" s="18"/>
      <c r="D2093" s="19"/>
    </row>
    <row r="2094" spans="1:4" x14ac:dyDescent="0.3">
      <c r="A2094" s="16">
        <v>45449.786111000001</v>
      </c>
      <c r="B2094" s="17">
        <v>59.002827000000003</v>
      </c>
      <c r="C2094" s="18"/>
      <c r="D2094" s="19"/>
    </row>
    <row r="2095" spans="1:4" x14ac:dyDescent="0.3">
      <c r="A2095" s="16">
        <v>45449.786805999996</v>
      </c>
      <c r="B2095" s="17">
        <v>59.494275999999999</v>
      </c>
      <c r="C2095" s="18"/>
      <c r="D2095" s="19"/>
    </row>
    <row r="2096" spans="1:4" x14ac:dyDescent="0.3">
      <c r="A2096" s="16">
        <v>45449.787499999999</v>
      </c>
      <c r="B2096" s="17">
        <v>59.381656999999997</v>
      </c>
      <c r="C2096" s="18"/>
      <c r="D2096" s="19"/>
    </row>
    <row r="2097" spans="1:4" x14ac:dyDescent="0.3">
      <c r="A2097" s="16">
        <v>45449.788194000001</v>
      </c>
      <c r="B2097" s="17">
        <v>59.057552000000001</v>
      </c>
      <c r="C2097" s="18"/>
      <c r="D2097" s="19"/>
    </row>
    <row r="2098" spans="1:4" x14ac:dyDescent="0.3">
      <c r="A2098" s="16">
        <v>45449.788889000003</v>
      </c>
      <c r="B2098" s="17">
        <v>59.356561999999997</v>
      </c>
      <c r="C2098" s="18"/>
      <c r="D2098" s="19"/>
    </row>
    <row r="2099" spans="1:4" x14ac:dyDescent="0.3">
      <c r="A2099" s="16">
        <v>45449.789582999998</v>
      </c>
      <c r="B2099" s="17">
        <v>59.429831999999998</v>
      </c>
      <c r="C2099" s="18"/>
      <c r="D2099" s="19"/>
    </row>
    <row r="2100" spans="1:4" x14ac:dyDescent="0.3">
      <c r="A2100" s="16">
        <v>45449.790278</v>
      </c>
      <c r="B2100" s="17">
        <v>59.517831999999999</v>
      </c>
      <c r="C2100" s="18"/>
      <c r="D2100" s="19"/>
    </row>
    <row r="2101" spans="1:4" x14ac:dyDescent="0.3">
      <c r="A2101" s="16">
        <v>45449.790972000003</v>
      </c>
      <c r="B2101" s="17">
        <v>59.347119999999997</v>
      </c>
      <c r="C2101" s="18"/>
      <c r="D2101" s="19"/>
    </row>
    <row r="2102" spans="1:4" x14ac:dyDescent="0.3">
      <c r="A2102" s="16">
        <v>45449.791666999998</v>
      </c>
      <c r="B2102" s="17">
        <v>59.519007000000002</v>
      </c>
      <c r="C2102" s="18"/>
      <c r="D2102" s="19"/>
    </row>
    <row r="2103" spans="1:4" x14ac:dyDescent="0.3">
      <c r="A2103" s="16">
        <v>45449.792361</v>
      </c>
      <c r="B2103" s="17">
        <v>59.202148999999999</v>
      </c>
      <c r="C2103" s="18"/>
      <c r="D2103" s="19"/>
    </row>
    <row r="2104" spans="1:4" x14ac:dyDescent="0.3">
      <c r="A2104" s="16">
        <v>45449.793056000002</v>
      </c>
      <c r="B2104" s="17">
        <v>59.247318999999997</v>
      </c>
      <c r="C2104" s="18"/>
      <c r="D2104" s="19"/>
    </row>
    <row r="2105" spans="1:4" x14ac:dyDescent="0.3">
      <c r="A2105" s="16">
        <v>45449.793749999997</v>
      </c>
      <c r="B2105" s="17">
        <v>59.425161000000003</v>
      </c>
      <c r="C2105" s="18"/>
      <c r="D2105" s="19"/>
    </row>
    <row r="2106" spans="1:4" x14ac:dyDescent="0.3">
      <c r="A2106" s="16">
        <v>45449.794443999999</v>
      </c>
      <c r="B2106" s="17">
        <v>59.440677000000001</v>
      </c>
      <c r="C2106" s="18"/>
      <c r="D2106" s="19"/>
    </row>
    <row r="2107" spans="1:4" x14ac:dyDescent="0.3">
      <c r="A2107" s="16">
        <v>45449.795139000002</v>
      </c>
      <c r="B2107" s="17">
        <v>59.267310000000002</v>
      </c>
      <c r="C2107" s="18"/>
      <c r="D2107" s="19"/>
    </row>
    <row r="2108" spans="1:4" x14ac:dyDescent="0.3">
      <c r="A2108" s="16">
        <v>45449.795832999996</v>
      </c>
      <c r="B2108" s="17">
        <v>59.272936999999999</v>
      </c>
      <c r="C2108" s="18"/>
      <c r="D2108" s="19"/>
    </row>
    <row r="2109" spans="1:4" x14ac:dyDescent="0.3">
      <c r="A2109" s="16">
        <v>45449.796527999999</v>
      </c>
      <c r="B2109" s="17">
        <v>59.540018000000003</v>
      </c>
      <c r="C2109" s="18"/>
      <c r="D2109" s="19"/>
    </row>
    <row r="2110" spans="1:4" x14ac:dyDescent="0.3">
      <c r="A2110" s="16">
        <v>45449.797222000001</v>
      </c>
      <c r="B2110" s="17">
        <v>59.281202</v>
      </c>
      <c r="C2110" s="18"/>
      <c r="D2110" s="19"/>
    </row>
    <row r="2111" spans="1:4" x14ac:dyDescent="0.3">
      <c r="A2111" s="16">
        <v>45449.797917000004</v>
      </c>
      <c r="B2111" s="17">
        <v>59.147910000000003</v>
      </c>
      <c r="C2111" s="18"/>
      <c r="D2111" s="19"/>
    </row>
    <row r="2112" spans="1:4" x14ac:dyDescent="0.3">
      <c r="A2112" s="16">
        <v>45449.798610999998</v>
      </c>
      <c r="B2112" s="17">
        <v>59.457552999999997</v>
      </c>
      <c r="C2112" s="18"/>
      <c r="D2112" s="19"/>
    </row>
    <row r="2113" spans="1:4" x14ac:dyDescent="0.3">
      <c r="A2113" s="16">
        <v>45449.799306000001</v>
      </c>
      <c r="B2113" s="17">
        <v>59.334879999999998</v>
      </c>
      <c r="C2113" s="18"/>
      <c r="D2113" s="19"/>
    </row>
    <row r="2114" spans="1:4" x14ac:dyDescent="0.3">
      <c r="A2114" s="16">
        <v>45449.8</v>
      </c>
      <c r="B2114" s="17">
        <v>59.058174999999999</v>
      </c>
      <c r="C2114" s="18"/>
      <c r="D2114" s="19"/>
    </row>
    <row r="2115" spans="1:4" x14ac:dyDescent="0.3">
      <c r="A2115" s="16">
        <v>45449.800693999998</v>
      </c>
      <c r="B2115" s="17">
        <v>59.264502</v>
      </c>
      <c r="C2115" s="18"/>
      <c r="D2115" s="19"/>
    </row>
    <row r="2116" spans="1:4" x14ac:dyDescent="0.3">
      <c r="A2116" s="16">
        <v>45449.801389</v>
      </c>
      <c r="B2116" s="17">
        <v>59.976087</v>
      </c>
      <c r="C2116" s="18"/>
      <c r="D2116" s="19"/>
    </row>
    <row r="2117" spans="1:4" x14ac:dyDescent="0.3">
      <c r="A2117" s="16">
        <v>45449.802083000002</v>
      </c>
      <c r="B2117" s="17">
        <v>59.726768999999997</v>
      </c>
      <c r="C2117" s="18"/>
      <c r="D2117" s="19"/>
    </row>
    <row r="2118" spans="1:4" x14ac:dyDescent="0.3">
      <c r="A2118" s="16">
        <v>45449.802777999997</v>
      </c>
      <c r="B2118" s="17">
        <v>58.843702999999998</v>
      </c>
      <c r="C2118" s="18"/>
      <c r="D2118" s="19"/>
    </row>
    <row r="2119" spans="1:4" x14ac:dyDescent="0.3">
      <c r="A2119" s="16">
        <v>45449.803472</v>
      </c>
      <c r="B2119" s="17">
        <v>59.380282999999999</v>
      </c>
      <c r="C2119" s="18"/>
      <c r="D2119" s="19"/>
    </row>
    <row r="2120" spans="1:4" x14ac:dyDescent="0.3">
      <c r="A2120" s="16">
        <v>45449.804167000002</v>
      </c>
      <c r="B2120" s="17">
        <v>59.275508000000002</v>
      </c>
      <c r="C2120" s="18"/>
      <c r="D2120" s="19"/>
    </row>
    <row r="2121" spans="1:4" x14ac:dyDescent="0.3">
      <c r="A2121" s="16">
        <v>45449.804860999997</v>
      </c>
      <c r="B2121" s="17">
        <v>59.261600000000001</v>
      </c>
      <c r="C2121" s="18"/>
      <c r="D2121" s="19"/>
    </row>
    <row r="2122" spans="1:4" x14ac:dyDescent="0.3">
      <c r="A2122" s="16">
        <v>45449.805555999999</v>
      </c>
      <c r="B2122" s="17">
        <v>58.863593999999999</v>
      </c>
      <c r="C2122" s="18"/>
      <c r="D2122" s="19"/>
    </row>
    <row r="2123" spans="1:4" x14ac:dyDescent="0.3">
      <c r="A2123" s="16">
        <v>45449.806250000001</v>
      </c>
      <c r="B2123" s="17">
        <v>59.555292999999999</v>
      </c>
      <c r="C2123" s="18"/>
      <c r="D2123" s="19"/>
    </row>
    <row r="2124" spans="1:4" x14ac:dyDescent="0.3">
      <c r="A2124" s="16">
        <v>45449.806944000004</v>
      </c>
      <c r="B2124" s="17">
        <v>59.268987000000003</v>
      </c>
      <c r="C2124" s="18"/>
      <c r="D2124" s="19"/>
    </row>
    <row r="2125" spans="1:4" x14ac:dyDescent="0.3">
      <c r="A2125" s="16">
        <v>45449.807638999999</v>
      </c>
      <c r="B2125" s="17">
        <v>59.329152000000001</v>
      </c>
      <c r="C2125" s="18"/>
      <c r="D2125" s="19"/>
    </row>
    <row r="2126" spans="1:4" x14ac:dyDescent="0.3">
      <c r="A2126" s="16">
        <v>45449.808333000001</v>
      </c>
      <c r="B2126" s="17">
        <v>59.556761000000002</v>
      </c>
      <c r="C2126" s="18"/>
      <c r="D2126" s="19"/>
    </row>
    <row r="2127" spans="1:4" x14ac:dyDescent="0.3">
      <c r="A2127" s="16">
        <v>45449.809028000003</v>
      </c>
      <c r="B2127" s="17">
        <v>59.128002000000002</v>
      </c>
      <c r="C2127" s="18"/>
      <c r="D2127" s="19"/>
    </row>
    <row r="2128" spans="1:4" x14ac:dyDescent="0.3">
      <c r="A2128" s="16">
        <v>45449.809721999998</v>
      </c>
      <c r="B2128" s="17">
        <v>59.128977999999996</v>
      </c>
      <c r="C2128" s="18"/>
      <c r="D2128" s="19"/>
    </row>
    <row r="2129" spans="1:4" x14ac:dyDescent="0.3">
      <c r="A2129" s="16">
        <v>45449.810417000001</v>
      </c>
      <c r="B2129" s="17">
        <v>59.299238000000003</v>
      </c>
      <c r="C2129" s="18"/>
      <c r="D2129" s="19"/>
    </row>
    <row r="2130" spans="1:4" x14ac:dyDescent="0.3">
      <c r="A2130" s="16">
        <v>45449.811111000003</v>
      </c>
      <c r="B2130" s="17">
        <v>59.602865999999999</v>
      </c>
      <c r="C2130" s="18"/>
      <c r="D2130" s="19"/>
    </row>
    <row r="2131" spans="1:4" x14ac:dyDescent="0.3">
      <c r="A2131" s="16">
        <v>45449.811805999998</v>
      </c>
      <c r="B2131" s="17">
        <v>59.380656999999999</v>
      </c>
      <c r="C2131" s="18"/>
      <c r="D2131" s="19"/>
    </row>
    <row r="2132" spans="1:4" x14ac:dyDescent="0.3">
      <c r="A2132" s="16">
        <v>45449.8125</v>
      </c>
      <c r="B2132" s="17">
        <v>58.920982000000002</v>
      </c>
      <c r="C2132" s="18"/>
      <c r="D2132" s="19"/>
    </row>
    <row r="2133" spans="1:4" x14ac:dyDescent="0.3">
      <c r="A2133" s="16">
        <v>45449.813194000002</v>
      </c>
      <c r="B2133" s="17">
        <v>58.879644999999996</v>
      </c>
      <c r="C2133" s="18"/>
      <c r="D2133" s="19"/>
    </row>
    <row r="2134" spans="1:4" x14ac:dyDescent="0.3">
      <c r="A2134" s="16">
        <v>45449.813888999997</v>
      </c>
      <c r="B2134" s="17">
        <v>59.042431000000001</v>
      </c>
      <c r="C2134" s="18"/>
      <c r="D2134" s="19"/>
    </row>
    <row r="2135" spans="1:4" x14ac:dyDescent="0.3">
      <c r="A2135" s="16">
        <v>45449.814582999999</v>
      </c>
      <c r="B2135" s="17">
        <v>59.363813</v>
      </c>
      <c r="C2135" s="18"/>
      <c r="D2135" s="19"/>
    </row>
    <row r="2136" spans="1:4" x14ac:dyDescent="0.3">
      <c r="A2136" s="16">
        <v>45449.815278000002</v>
      </c>
      <c r="B2136" s="17">
        <v>59.698082999999997</v>
      </c>
      <c r="C2136" s="18"/>
      <c r="D2136" s="19"/>
    </row>
    <row r="2137" spans="1:4" x14ac:dyDescent="0.3">
      <c r="A2137" s="16">
        <v>45449.815971999997</v>
      </c>
      <c r="B2137" s="17">
        <v>59.382480999999999</v>
      </c>
      <c r="C2137" s="18"/>
      <c r="D2137" s="19"/>
    </row>
    <row r="2138" spans="1:4" x14ac:dyDescent="0.3">
      <c r="A2138" s="16">
        <v>45449.816666999999</v>
      </c>
      <c r="B2138" s="17">
        <v>59.426515000000002</v>
      </c>
      <c r="C2138" s="18"/>
      <c r="D2138" s="19"/>
    </row>
    <row r="2139" spans="1:4" x14ac:dyDescent="0.3">
      <c r="A2139" s="16">
        <v>45449.817361000001</v>
      </c>
      <c r="B2139" s="17">
        <v>59.918089999999999</v>
      </c>
      <c r="C2139" s="18"/>
      <c r="D2139" s="19"/>
    </row>
    <row r="2140" spans="1:4" x14ac:dyDescent="0.3">
      <c r="A2140" s="16">
        <v>45449.818055999996</v>
      </c>
      <c r="B2140" s="17">
        <v>59.485360999999997</v>
      </c>
      <c r="C2140" s="18"/>
      <c r="D2140" s="19"/>
    </row>
    <row r="2141" spans="1:4" x14ac:dyDescent="0.3">
      <c r="A2141" s="16">
        <v>45449.818749999999</v>
      </c>
      <c r="B2141" s="17">
        <v>59.320664999999998</v>
      </c>
      <c r="C2141" s="18"/>
      <c r="D2141" s="19"/>
    </row>
    <row r="2142" spans="1:4" x14ac:dyDescent="0.3">
      <c r="A2142" s="16">
        <v>45449.819444000001</v>
      </c>
      <c r="B2142" s="17">
        <v>59.128796000000001</v>
      </c>
      <c r="C2142" s="18"/>
      <c r="D2142" s="19"/>
    </row>
    <row r="2143" spans="1:4" x14ac:dyDescent="0.3">
      <c r="A2143" s="16">
        <v>45449.820139000003</v>
      </c>
      <c r="B2143" s="17">
        <v>59.377066999999997</v>
      </c>
      <c r="C2143" s="18"/>
      <c r="D2143" s="19"/>
    </row>
    <row r="2144" spans="1:4" x14ac:dyDescent="0.3">
      <c r="A2144" s="16">
        <v>45449.820832999998</v>
      </c>
      <c r="B2144" s="17">
        <v>59.592621999999999</v>
      </c>
      <c r="C2144" s="18"/>
      <c r="D2144" s="19"/>
    </row>
    <row r="2145" spans="1:4" x14ac:dyDescent="0.3">
      <c r="A2145" s="16">
        <v>45449.821528</v>
      </c>
      <c r="B2145" s="17">
        <v>59.623682000000002</v>
      </c>
      <c r="C2145" s="18"/>
      <c r="D2145" s="19"/>
    </row>
    <row r="2146" spans="1:4" x14ac:dyDescent="0.3">
      <c r="A2146" s="16">
        <v>45449.822222000003</v>
      </c>
      <c r="B2146" s="17">
        <v>59.230288000000002</v>
      </c>
      <c r="C2146" s="18"/>
      <c r="D2146" s="19"/>
    </row>
    <row r="2147" spans="1:4" x14ac:dyDescent="0.3">
      <c r="A2147" s="16">
        <v>45449.822916999998</v>
      </c>
      <c r="B2147" s="17">
        <v>59.071160999999996</v>
      </c>
      <c r="C2147" s="18"/>
      <c r="D2147" s="19"/>
    </row>
    <row r="2148" spans="1:4" x14ac:dyDescent="0.3">
      <c r="A2148" s="16">
        <v>45449.823611</v>
      </c>
      <c r="B2148" s="17">
        <v>59.418869000000001</v>
      </c>
      <c r="C2148" s="18"/>
      <c r="D2148" s="19"/>
    </row>
    <row r="2149" spans="1:4" x14ac:dyDescent="0.3">
      <c r="A2149" s="16">
        <v>45449.824306000002</v>
      </c>
      <c r="B2149" s="17">
        <v>59.347678000000002</v>
      </c>
      <c r="C2149" s="18"/>
      <c r="D2149" s="19"/>
    </row>
    <row r="2150" spans="1:4" x14ac:dyDescent="0.3">
      <c r="A2150" s="16">
        <v>45449.824999999997</v>
      </c>
      <c r="B2150" s="17">
        <v>59.609873</v>
      </c>
      <c r="C2150" s="18"/>
      <c r="D2150" s="19"/>
    </row>
    <row r="2151" spans="1:4" x14ac:dyDescent="0.3">
      <c r="A2151" s="16">
        <v>45449.825693999999</v>
      </c>
      <c r="B2151" s="17">
        <v>59.399731000000003</v>
      </c>
      <c r="C2151" s="18"/>
      <c r="D2151" s="19"/>
    </row>
    <row r="2152" spans="1:4" x14ac:dyDescent="0.3">
      <c r="A2152" s="16">
        <v>45449.826389000002</v>
      </c>
      <c r="B2152" s="17">
        <v>59.452460000000002</v>
      </c>
      <c r="C2152" s="18"/>
      <c r="D2152" s="19"/>
    </row>
    <row r="2153" spans="1:4" x14ac:dyDescent="0.3">
      <c r="A2153" s="16">
        <v>45449.827082999996</v>
      </c>
      <c r="B2153" s="17">
        <v>59.044521000000003</v>
      </c>
      <c r="C2153" s="18"/>
      <c r="D2153" s="19"/>
    </row>
    <row r="2154" spans="1:4" x14ac:dyDescent="0.3">
      <c r="A2154" s="16">
        <v>45449.827777999999</v>
      </c>
      <c r="B2154" s="17">
        <v>59.694243</v>
      </c>
      <c r="C2154" s="18"/>
      <c r="D2154" s="19"/>
    </row>
    <row r="2155" spans="1:4" x14ac:dyDescent="0.3">
      <c r="A2155" s="16">
        <v>45449.828472000001</v>
      </c>
      <c r="B2155" s="17">
        <v>59.551223999999998</v>
      </c>
      <c r="C2155" s="18"/>
      <c r="D2155" s="19"/>
    </row>
    <row r="2156" spans="1:4" x14ac:dyDescent="0.3">
      <c r="A2156" s="16">
        <v>45449.829167000004</v>
      </c>
      <c r="B2156" s="17">
        <v>59.634466000000003</v>
      </c>
      <c r="C2156" s="18"/>
      <c r="D2156" s="19"/>
    </row>
    <row r="2157" spans="1:4" x14ac:dyDescent="0.3">
      <c r="A2157" s="16">
        <v>45449.829860999998</v>
      </c>
      <c r="B2157" s="17">
        <v>59.956837</v>
      </c>
      <c r="C2157" s="18"/>
      <c r="D2157" s="19"/>
    </row>
    <row r="2158" spans="1:4" x14ac:dyDescent="0.3">
      <c r="A2158" s="16">
        <v>45449.830556000001</v>
      </c>
      <c r="B2158" s="17">
        <v>59.460875999999999</v>
      </c>
      <c r="C2158" s="18"/>
      <c r="D2158" s="19"/>
    </row>
    <row r="2159" spans="1:4" x14ac:dyDescent="0.3">
      <c r="A2159" s="16">
        <v>45449.831250000003</v>
      </c>
      <c r="B2159" s="17">
        <v>59.432295000000003</v>
      </c>
      <c r="C2159" s="18"/>
      <c r="D2159" s="19"/>
    </row>
    <row r="2160" spans="1:4" x14ac:dyDescent="0.3">
      <c r="A2160" s="16">
        <v>45449.831943999998</v>
      </c>
      <c r="B2160" s="17">
        <v>59.674743999999997</v>
      </c>
      <c r="C2160" s="18"/>
      <c r="D2160" s="19"/>
    </row>
    <row r="2161" spans="1:4" x14ac:dyDescent="0.3">
      <c r="A2161" s="16">
        <v>45449.832639</v>
      </c>
      <c r="B2161" s="17">
        <v>59.257469</v>
      </c>
      <c r="C2161" s="18"/>
      <c r="D2161" s="19"/>
    </row>
    <row r="2162" spans="1:4" x14ac:dyDescent="0.3">
      <c r="A2162" s="16">
        <v>45449.833333000002</v>
      </c>
      <c r="B2162" s="17">
        <v>59.787821000000001</v>
      </c>
      <c r="C2162" s="18"/>
      <c r="D2162" s="19"/>
    </row>
    <row r="2163" spans="1:4" x14ac:dyDescent="0.3">
      <c r="A2163" s="16">
        <v>45449.834027999997</v>
      </c>
      <c r="B2163" s="17">
        <v>59.390932999999997</v>
      </c>
      <c r="C2163" s="18"/>
      <c r="D2163" s="19"/>
    </row>
    <row r="2164" spans="1:4" x14ac:dyDescent="0.3">
      <c r="A2164" s="16">
        <v>45449.834722</v>
      </c>
      <c r="B2164" s="17">
        <v>59.244405999999998</v>
      </c>
      <c r="C2164" s="18"/>
      <c r="D2164" s="19"/>
    </row>
    <row r="2165" spans="1:4" x14ac:dyDescent="0.3">
      <c r="A2165" s="16">
        <v>45449.835417000002</v>
      </c>
      <c r="B2165" s="17">
        <v>59.032820000000001</v>
      </c>
      <c r="C2165" s="18"/>
      <c r="D2165" s="19"/>
    </row>
    <row r="2166" spans="1:4" x14ac:dyDescent="0.3">
      <c r="A2166" s="16">
        <v>45449.836110999997</v>
      </c>
      <c r="B2166" s="17">
        <v>59.539042999999999</v>
      </c>
      <c r="C2166" s="18"/>
      <c r="D2166" s="19"/>
    </row>
    <row r="2167" spans="1:4" x14ac:dyDescent="0.3">
      <c r="A2167" s="16">
        <v>45449.836805999999</v>
      </c>
      <c r="B2167" s="17">
        <v>59.286450000000002</v>
      </c>
      <c r="C2167" s="18"/>
      <c r="D2167" s="19"/>
    </row>
    <row r="2168" spans="1:4" x14ac:dyDescent="0.3">
      <c r="A2168" s="16">
        <v>45449.837500000001</v>
      </c>
      <c r="B2168" s="17">
        <v>59.461826000000002</v>
      </c>
      <c r="C2168" s="18"/>
      <c r="D2168" s="19"/>
    </row>
    <row r="2169" spans="1:4" x14ac:dyDescent="0.3">
      <c r="A2169" s="16">
        <v>45449.838194000004</v>
      </c>
      <c r="B2169" s="17">
        <v>59.111176999999998</v>
      </c>
      <c r="C2169" s="18"/>
      <c r="D2169" s="19"/>
    </row>
    <row r="2170" spans="1:4" x14ac:dyDescent="0.3">
      <c r="A2170" s="16">
        <v>45449.838888999999</v>
      </c>
      <c r="B2170" s="17">
        <v>59.383823999999997</v>
      </c>
      <c r="C2170" s="18"/>
      <c r="D2170" s="19"/>
    </row>
    <row r="2171" spans="1:4" x14ac:dyDescent="0.3">
      <c r="A2171" s="16">
        <v>45449.839583000001</v>
      </c>
      <c r="B2171" s="17">
        <v>59.830903999999997</v>
      </c>
      <c r="C2171" s="18"/>
      <c r="D2171" s="19"/>
    </row>
    <row r="2172" spans="1:4" x14ac:dyDescent="0.3">
      <c r="A2172" s="16">
        <v>45449.840278000003</v>
      </c>
      <c r="B2172" s="17">
        <v>59.556119000000002</v>
      </c>
      <c r="C2172" s="18"/>
      <c r="D2172" s="19"/>
    </row>
    <row r="2173" spans="1:4" x14ac:dyDescent="0.3">
      <c r="A2173" s="16">
        <v>45449.840971999998</v>
      </c>
      <c r="B2173" s="17">
        <v>59.088203999999998</v>
      </c>
      <c r="C2173" s="18"/>
      <c r="D2173" s="19"/>
    </row>
    <row r="2174" spans="1:4" x14ac:dyDescent="0.3">
      <c r="A2174" s="16">
        <v>45449.841667000001</v>
      </c>
      <c r="B2174" s="17">
        <v>59.397123000000001</v>
      </c>
      <c r="C2174" s="18"/>
      <c r="D2174" s="19"/>
    </row>
    <row r="2175" spans="1:4" x14ac:dyDescent="0.3">
      <c r="A2175" s="16">
        <v>45449.842361000003</v>
      </c>
      <c r="B2175" s="17">
        <v>59.526713999999998</v>
      </c>
      <c r="C2175" s="18"/>
      <c r="D2175" s="19"/>
    </row>
    <row r="2176" spans="1:4" x14ac:dyDescent="0.3">
      <c r="A2176" s="16">
        <v>45449.843055999998</v>
      </c>
      <c r="B2176" s="17">
        <v>59.446283000000001</v>
      </c>
      <c r="C2176" s="18"/>
      <c r="D2176" s="19"/>
    </row>
    <row r="2177" spans="1:4" x14ac:dyDescent="0.3">
      <c r="A2177" s="16">
        <v>45449.84375</v>
      </c>
      <c r="B2177" s="17">
        <v>58.88147</v>
      </c>
      <c r="C2177" s="18"/>
      <c r="D2177" s="19"/>
    </row>
    <row r="2178" spans="1:4" x14ac:dyDescent="0.3">
      <c r="A2178" s="16">
        <v>45449.844444000002</v>
      </c>
      <c r="B2178" s="17">
        <v>59.034272999999999</v>
      </c>
      <c r="C2178" s="18"/>
      <c r="D2178" s="19"/>
    </row>
    <row r="2179" spans="1:4" x14ac:dyDescent="0.3">
      <c r="A2179" s="16">
        <v>45449.845138999997</v>
      </c>
      <c r="B2179" s="17">
        <v>59.383093000000002</v>
      </c>
      <c r="C2179" s="18"/>
      <c r="D2179" s="19"/>
    </row>
    <row r="2180" spans="1:4" x14ac:dyDescent="0.3">
      <c r="A2180" s="16">
        <v>45449.845832999999</v>
      </c>
      <c r="B2180" s="17">
        <v>59.391610999999997</v>
      </c>
      <c r="C2180" s="18"/>
      <c r="D2180" s="19"/>
    </row>
    <row r="2181" spans="1:4" x14ac:dyDescent="0.3">
      <c r="A2181" s="16">
        <v>45449.846528000002</v>
      </c>
      <c r="B2181" s="17">
        <v>59.105144000000003</v>
      </c>
      <c r="C2181" s="18"/>
      <c r="D2181" s="19"/>
    </row>
    <row r="2182" spans="1:4" x14ac:dyDescent="0.3">
      <c r="A2182" s="16">
        <v>45449.847221999997</v>
      </c>
      <c r="B2182" s="17">
        <v>58.946756999999998</v>
      </c>
      <c r="C2182" s="18"/>
      <c r="D2182" s="19"/>
    </row>
    <row r="2183" spans="1:4" x14ac:dyDescent="0.3">
      <c r="A2183" s="16">
        <v>45449.847916999999</v>
      </c>
      <c r="B2183" s="17">
        <v>58.942273999999998</v>
      </c>
      <c r="C2183" s="18"/>
      <c r="D2183" s="19"/>
    </row>
    <row r="2184" spans="1:4" x14ac:dyDescent="0.3">
      <c r="A2184" s="16">
        <v>45449.848611000001</v>
      </c>
      <c r="B2184" s="17">
        <v>58.896079</v>
      </c>
      <c r="C2184" s="18"/>
      <c r="D2184" s="19"/>
    </row>
    <row r="2185" spans="1:4" x14ac:dyDescent="0.3">
      <c r="A2185" s="16">
        <v>45449.849305999996</v>
      </c>
      <c r="B2185" s="17">
        <v>59.188442999999999</v>
      </c>
      <c r="C2185" s="18"/>
      <c r="D2185" s="19"/>
    </row>
    <row r="2186" spans="1:4" x14ac:dyDescent="0.3">
      <c r="A2186" s="16">
        <v>45449.85</v>
      </c>
      <c r="B2186" s="17">
        <v>59.20232</v>
      </c>
      <c r="C2186" s="18"/>
      <c r="D2186" s="19"/>
    </row>
    <row r="2187" spans="1:4" x14ac:dyDescent="0.3">
      <c r="A2187" s="16">
        <v>45449.850694000001</v>
      </c>
      <c r="B2187" s="17">
        <v>59.069757000000003</v>
      </c>
      <c r="C2187" s="18"/>
      <c r="D2187" s="19"/>
    </row>
    <row r="2188" spans="1:4" x14ac:dyDescent="0.3">
      <c r="A2188" s="16">
        <v>45449.851389000003</v>
      </c>
      <c r="B2188" s="17">
        <v>59.107945000000001</v>
      </c>
      <c r="C2188" s="18"/>
      <c r="D2188" s="19"/>
    </row>
    <row r="2189" spans="1:4" x14ac:dyDescent="0.3">
      <c r="A2189" s="16">
        <v>45449.852082999998</v>
      </c>
      <c r="B2189" s="17">
        <v>59.452081</v>
      </c>
      <c r="C2189" s="18"/>
      <c r="D2189" s="19"/>
    </row>
    <row r="2190" spans="1:4" x14ac:dyDescent="0.3">
      <c r="A2190" s="16">
        <v>45449.852778</v>
      </c>
      <c r="B2190" s="17">
        <v>59.312468000000003</v>
      </c>
      <c r="C2190" s="18"/>
      <c r="D2190" s="19"/>
    </row>
    <row r="2191" spans="1:4" x14ac:dyDescent="0.3">
      <c r="A2191" s="16">
        <v>45449.853472000003</v>
      </c>
      <c r="B2191" s="17">
        <v>59.838123000000003</v>
      </c>
      <c r="C2191" s="18"/>
      <c r="D2191" s="19"/>
    </row>
    <row r="2192" spans="1:4" x14ac:dyDescent="0.3">
      <c r="A2192" s="16">
        <v>45449.854166999998</v>
      </c>
      <c r="B2192" s="17">
        <v>59.298797</v>
      </c>
      <c r="C2192" s="18"/>
      <c r="D2192" s="19"/>
    </row>
    <row r="2193" spans="1:4" x14ac:dyDescent="0.3">
      <c r="A2193" s="16">
        <v>45449.854861</v>
      </c>
      <c r="B2193" s="17">
        <v>59.172901000000003</v>
      </c>
      <c r="C2193" s="18"/>
      <c r="D2193" s="19"/>
    </row>
    <row r="2194" spans="1:4" x14ac:dyDescent="0.3">
      <c r="A2194" s="16">
        <v>45449.855556000002</v>
      </c>
      <c r="B2194" s="17">
        <v>59.417442999999999</v>
      </c>
      <c r="C2194" s="18"/>
      <c r="D2194" s="19"/>
    </row>
    <row r="2195" spans="1:4" x14ac:dyDescent="0.3">
      <c r="A2195" s="16">
        <v>45449.856249999997</v>
      </c>
      <c r="B2195" s="17">
        <v>59.103088999999997</v>
      </c>
      <c r="C2195" s="18"/>
      <c r="D2195" s="19"/>
    </row>
    <row r="2196" spans="1:4" x14ac:dyDescent="0.3">
      <c r="A2196" s="16">
        <v>45449.856943999999</v>
      </c>
      <c r="B2196" s="17">
        <v>58.872033999999999</v>
      </c>
      <c r="C2196" s="18"/>
      <c r="D2196" s="19"/>
    </row>
    <row r="2197" spans="1:4" x14ac:dyDescent="0.3">
      <c r="A2197" s="16">
        <v>45449.857639000002</v>
      </c>
      <c r="B2197" s="17">
        <v>59.016674000000002</v>
      </c>
      <c r="C2197" s="18"/>
      <c r="D2197" s="19"/>
    </row>
    <row r="2198" spans="1:4" x14ac:dyDescent="0.3">
      <c r="A2198" s="16">
        <v>45449.858332999996</v>
      </c>
      <c r="B2198" s="17">
        <v>58.958081999999997</v>
      </c>
      <c r="C2198" s="18"/>
      <c r="D2198" s="19"/>
    </row>
    <row r="2199" spans="1:4" x14ac:dyDescent="0.3">
      <c r="A2199" s="16">
        <v>45449.859027999999</v>
      </c>
      <c r="B2199" s="17">
        <v>59.330094000000003</v>
      </c>
      <c r="C2199" s="18"/>
      <c r="D2199" s="19"/>
    </row>
    <row r="2200" spans="1:4" x14ac:dyDescent="0.3">
      <c r="A2200" s="16">
        <v>45449.859722000001</v>
      </c>
      <c r="B2200" s="17">
        <v>59.473685000000003</v>
      </c>
      <c r="C2200" s="18"/>
      <c r="D2200" s="19"/>
    </row>
    <row r="2201" spans="1:4" x14ac:dyDescent="0.3">
      <c r="A2201" s="16">
        <v>45449.860417000004</v>
      </c>
      <c r="B2201" s="17">
        <v>59.019958000000003</v>
      </c>
      <c r="C2201" s="18"/>
      <c r="D2201" s="19"/>
    </row>
    <row r="2202" spans="1:4" x14ac:dyDescent="0.3">
      <c r="A2202" s="16">
        <v>45449.861110999998</v>
      </c>
      <c r="B2202" s="17">
        <v>59.329935999999996</v>
      </c>
      <c r="C2202" s="18"/>
      <c r="D2202" s="19"/>
    </row>
    <row r="2203" spans="1:4" x14ac:dyDescent="0.3">
      <c r="A2203" s="16">
        <v>45449.861806000001</v>
      </c>
      <c r="B2203" s="17">
        <v>59.027316999999996</v>
      </c>
      <c r="C2203" s="18"/>
      <c r="D2203" s="19"/>
    </row>
    <row r="2204" spans="1:4" x14ac:dyDescent="0.3">
      <c r="A2204" s="16">
        <v>45449.862500000003</v>
      </c>
      <c r="B2204" s="17">
        <v>59.010897999999997</v>
      </c>
      <c r="C2204" s="18"/>
      <c r="D2204" s="19"/>
    </row>
    <row r="2205" spans="1:4" x14ac:dyDescent="0.3">
      <c r="A2205" s="16">
        <v>45449.863193999998</v>
      </c>
      <c r="B2205" s="17">
        <v>58.847571000000002</v>
      </c>
      <c r="C2205" s="18"/>
      <c r="D2205" s="19"/>
    </row>
    <row r="2206" spans="1:4" x14ac:dyDescent="0.3">
      <c r="A2206" s="16">
        <v>45449.863889</v>
      </c>
      <c r="B2206" s="17">
        <v>59.066307999999999</v>
      </c>
      <c r="C2206" s="18"/>
      <c r="D2206" s="19"/>
    </row>
    <row r="2207" spans="1:4" x14ac:dyDescent="0.3">
      <c r="A2207" s="16">
        <v>45449.864583000002</v>
      </c>
      <c r="B2207" s="17">
        <v>59.485942999999999</v>
      </c>
      <c r="C2207" s="18"/>
      <c r="D2207" s="19"/>
    </row>
    <row r="2208" spans="1:4" x14ac:dyDescent="0.3">
      <c r="A2208" s="16">
        <v>45449.865277999997</v>
      </c>
      <c r="B2208" s="17">
        <v>59.886052999999997</v>
      </c>
      <c r="C2208" s="18"/>
      <c r="D2208" s="19"/>
    </row>
    <row r="2209" spans="1:4" x14ac:dyDescent="0.3">
      <c r="A2209" s="16">
        <v>45449.865972</v>
      </c>
      <c r="B2209" s="17">
        <v>59.359853000000001</v>
      </c>
      <c r="C2209" s="18"/>
      <c r="D2209" s="19"/>
    </row>
    <row r="2210" spans="1:4" x14ac:dyDescent="0.3">
      <c r="A2210" s="16">
        <v>45449.866667000002</v>
      </c>
      <c r="B2210" s="17">
        <v>59.344723999999999</v>
      </c>
      <c r="C2210" s="18"/>
      <c r="D2210" s="19"/>
    </row>
    <row r="2211" spans="1:4" x14ac:dyDescent="0.3">
      <c r="A2211" s="16">
        <v>45449.867360999997</v>
      </c>
      <c r="B2211" s="17">
        <v>59.137977999999997</v>
      </c>
      <c r="C2211" s="18"/>
      <c r="D2211" s="19"/>
    </row>
    <row r="2212" spans="1:4" x14ac:dyDescent="0.3">
      <c r="A2212" s="16">
        <v>45449.868055999999</v>
      </c>
      <c r="B2212" s="17">
        <v>59.433847999999998</v>
      </c>
      <c r="C2212" s="18"/>
      <c r="D2212" s="19"/>
    </row>
    <row r="2213" spans="1:4" x14ac:dyDescent="0.3">
      <c r="A2213" s="16">
        <v>45449.868750000001</v>
      </c>
      <c r="B2213" s="17">
        <v>59.294147000000002</v>
      </c>
      <c r="C2213" s="18"/>
      <c r="D2213" s="19"/>
    </row>
    <row r="2214" spans="1:4" x14ac:dyDescent="0.3">
      <c r="A2214" s="16">
        <v>45449.869444000004</v>
      </c>
      <c r="B2214" s="17">
        <v>59.209775</v>
      </c>
      <c r="C2214" s="18"/>
      <c r="D2214" s="19"/>
    </row>
    <row r="2215" spans="1:4" x14ac:dyDescent="0.3">
      <c r="A2215" s="16">
        <v>45449.870138999999</v>
      </c>
      <c r="B2215" s="17">
        <v>59.042116999999998</v>
      </c>
      <c r="C2215" s="18"/>
      <c r="D2215" s="19"/>
    </row>
    <row r="2216" spans="1:4" x14ac:dyDescent="0.3">
      <c r="A2216" s="16">
        <v>45449.870833000001</v>
      </c>
      <c r="B2216" s="17">
        <v>59.419575999999999</v>
      </c>
      <c r="C2216" s="18"/>
      <c r="D2216" s="19"/>
    </row>
    <row r="2217" spans="1:4" x14ac:dyDescent="0.3">
      <c r="A2217" s="16">
        <v>45449.871528000003</v>
      </c>
      <c r="B2217" s="17">
        <v>59.329770000000003</v>
      </c>
      <c r="C2217" s="18"/>
      <c r="D2217" s="19"/>
    </row>
    <row r="2218" spans="1:4" x14ac:dyDescent="0.3">
      <c r="A2218" s="16">
        <v>45449.872221999998</v>
      </c>
      <c r="B2218" s="17">
        <v>59.013773999999998</v>
      </c>
      <c r="C2218" s="18"/>
      <c r="D2218" s="19"/>
    </row>
    <row r="2219" spans="1:4" x14ac:dyDescent="0.3">
      <c r="A2219" s="16">
        <v>45449.872917000001</v>
      </c>
      <c r="B2219" s="17">
        <v>59.130085999999999</v>
      </c>
      <c r="C2219" s="18"/>
      <c r="D2219" s="19"/>
    </row>
    <row r="2220" spans="1:4" x14ac:dyDescent="0.3">
      <c r="A2220" s="16">
        <v>45449.873611000003</v>
      </c>
      <c r="B2220" s="17">
        <v>59.86692</v>
      </c>
      <c r="C2220" s="18"/>
      <c r="D2220" s="19"/>
    </row>
    <row r="2221" spans="1:4" x14ac:dyDescent="0.3">
      <c r="A2221" s="16">
        <v>45449.874305999998</v>
      </c>
      <c r="B2221" s="17">
        <v>58.976322000000003</v>
      </c>
      <c r="C2221" s="18"/>
      <c r="D2221" s="19"/>
    </row>
    <row r="2222" spans="1:4" x14ac:dyDescent="0.3">
      <c r="A2222" s="16">
        <v>45449.875</v>
      </c>
      <c r="B2222" s="17">
        <v>59.207256999999998</v>
      </c>
      <c r="C2222" s="18"/>
      <c r="D2222" s="19"/>
    </row>
    <row r="2223" spans="1:4" x14ac:dyDescent="0.3">
      <c r="A2223" s="16">
        <v>45449.875694000002</v>
      </c>
      <c r="B2223" s="17">
        <v>59.202069999999999</v>
      </c>
      <c r="C2223" s="18"/>
      <c r="D2223" s="19"/>
    </row>
    <row r="2224" spans="1:4" x14ac:dyDescent="0.3">
      <c r="A2224" s="16">
        <v>45449.876388999997</v>
      </c>
      <c r="B2224" s="17">
        <v>59.514848999999998</v>
      </c>
      <c r="C2224" s="18"/>
      <c r="D2224" s="19"/>
    </row>
    <row r="2225" spans="1:4" x14ac:dyDescent="0.3">
      <c r="A2225" s="16">
        <v>45449.877082999999</v>
      </c>
      <c r="B2225" s="17">
        <v>59.405692000000002</v>
      </c>
      <c r="C2225" s="18"/>
      <c r="D2225" s="19"/>
    </row>
    <row r="2226" spans="1:4" x14ac:dyDescent="0.3">
      <c r="A2226" s="16">
        <v>45449.877778000002</v>
      </c>
      <c r="B2226" s="17">
        <v>59.007437000000003</v>
      </c>
      <c r="C2226" s="18"/>
      <c r="D2226" s="19"/>
    </row>
    <row r="2227" spans="1:4" x14ac:dyDescent="0.3">
      <c r="A2227" s="16">
        <v>45449.878471999997</v>
      </c>
      <c r="B2227" s="17">
        <v>59.449209000000003</v>
      </c>
      <c r="C2227" s="18"/>
      <c r="D2227" s="19"/>
    </row>
    <row r="2228" spans="1:4" x14ac:dyDescent="0.3">
      <c r="A2228" s="16">
        <v>45449.879166999999</v>
      </c>
      <c r="B2228" s="17">
        <v>58.956316999999999</v>
      </c>
      <c r="C2228" s="18"/>
      <c r="D2228" s="19"/>
    </row>
    <row r="2229" spans="1:4" x14ac:dyDescent="0.3">
      <c r="A2229" s="16">
        <v>45449.879861000001</v>
      </c>
      <c r="B2229" s="17">
        <v>58.842984000000001</v>
      </c>
      <c r="C2229" s="18"/>
      <c r="D2229" s="19"/>
    </row>
    <row r="2230" spans="1:4" x14ac:dyDescent="0.3">
      <c r="A2230" s="16">
        <v>45449.880555999996</v>
      </c>
      <c r="B2230" s="17">
        <v>59.094509000000002</v>
      </c>
      <c r="C2230" s="18"/>
      <c r="D2230" s="19"/>
    </row>
    <row r="2231" spans="1:4" x14ac:dyDescent="0.3">
      <c r="A2231" s="16">
        <v>45449.881249999999</v>
      </c>
      <c r="B2231" s="17">
        <v>59.323219000000002</v>
      </c>
      <c r="C2231" s="18"/>
      <c r="D2231" s="19"/>
    </row>
    <row r="2232" spans="1:4" x14ac:dyDescent="0.3">
      <c r="A2232" s="16">
        <v>45449.881944000001</v>
      </c>
      <c r="B2232" s="17">
        <v>59.005881000000002</v>
      </c>
      <c r="C2232" s="18"/>
      <c r="D2232" s="19"/>
    </row>
    <row r="2233" spans="1:4" x14ac:dyDescent="0.3">
      <c r="A2233" s="16">
        <v>45449.882639000003</v>
      </c>
      <c r="B2233" s="17">
        <v>59.404969000000001</v>
      </c>
      <c r="C2233" s="18"/>
      <c r="D2233" s="19"/>
    </row>
    <row r="2234" spans="1:4" x14ac:dyDescent="0.3">
      <c r="A2234" s="16">
        <v>45449.883332999998</v>
      </c>
      <c r="B2234" s="17">
        <v>58.937517999999997</v>
      </c>
      <c r="C2234" s="18"/>
      <c r="D2234" s="19"/>
    </row>
    <row r="2235" spans="1:4" x14ac:dyDescent="0.3">
      <c r="A2235" s="16">
        <v>45449.884028</v>
      </c>
      <c r="B2235" s="17">
        <v>58.995851000000002</v>
      </c>
      <c r="C2235" s="18"/>
      <c r="D2235" s="19"/>
    </row>
    <row r="2236" spans="1:4" x14ac:dyDescent="0.3">
      <c r="A2236" s="16">
        <v>45449.884722000003</v>
      </c>
      <c r="B2236" s="17">
        <v>59.534847999999997</v>
      </c>
      <c r="C2236" s="18"/>
      <c r="D2236" s="19"/>
    </row>
    <row r="2237" spans="1:4" x14ac:dyDescent="0.3">
      <c r="A2237" s="16">
        <v>45449.885416999998</v>
      </c>
      <c r="B2237" s="17">
        <v>59.208303000000001</v>
      </c>
      <c r="C2237" s="18"/>
      <c r="D2237" s="19"/>
    </row>
    <row r="2238" spans="1:4" x14ac:dyDescent="0.3">
      <c r="A2238" s="16">
        <v>45449.886111</v>
      </c>
      <c r="B2238" s="17">
        <v>59.17407</v>
      </c>
      <c r="C2238" s="18"/>
      <c r="D2238" s="19"/>
    </row>
    <row r="2239" spans="1:4" x14ac:dyDescent="0.3">
      <c r="A2239" s="16">
        <v>45449.886806000002</v>
      </c>
      <c r="B2239" s="17">
        <v>59.446584999999999</v>
      </c>
      <c r="C2239" s="18"/>
      <c r="D2239" s="19"/>
    </row>
    <row r="2240" spans="1:4" x14ac:dyDescent="0.3">
      <c r="A2240" s="16">
        <v>45449.887499999997</v>
      </c>
      <c r="B2240" s="17">
        <v>59.696595000000002</v>
      </c>
      <c r="C2240" s="18"/>
      <c r="D2240" s="19"/>
    </row>
    <row r="2241" spans="1:4" x14ac:dyDescent="0.3">
      <c r="A2241" s="16">
        <v>45449.888193999999</v>
      </c>
      <c r="B2241" s="17">
        <v>59.244266000000003</v>
      </c>
      <c r="C2241" s="18"/>
      <c r="D2241" s="19"/>
    </row>
    <row r="2242" spans="1:4" x14ac:dyDescent="0.3">
      <c r="A2242" s="16">
        <v>45449.888889000002</v>
      </c>
      <c r="B2242" s="17">
        <v>59.166665999999999</v>
      </c>
      <c r="C2242" s="18"/>
      <c r="D2242" s="19"/>
    </row>
    <row r="2243" spans="1:4" x14ac:dyDescent="0.3">
      <c r="A2243" s="16">
        <v>45449.889582999996</v>
      </c>
      <c r="B2243" s="17">
        <v>59.297494</v>
      </c>
      <c r="C2243" s="18"/>
      <c r="D2243" s="19"/>
    </row>
    <row r="2244" spans="1:4" x14ac:dyDescent="0.3">
      <c r="A2244" s="16">
        <v>45449.890277999999</v>
      </c>
      <c r="B2244" s="17">
        <v>59.315494999999999</v>
      </c>
      <c r="C2244" s="18"/>
      <c r="D2244" s="19"/>
    </row>
    <row r="2245" spans="1:4" x14ac:dyDescent="0.3">
      <c r="A2245" s="16">
        <v>45449.890972000001</v>
      </c>
      <c r="B2245" s="17">
        <v>59.552031999999997</v>
      </c>
      <c r="C2245" s="18"/>
      <c r="D2245" s="19"/>
    </row>
    <row r="2246" spans="1:4" x14ac:dyDescent="0.3">
      <c r="A2246" s="16">
        <v>45449.891667000004</v>
      </c>
      <c r="B2246" s="17">
        <v>58.958094000000003</v>
      </c>
      <c r="C2246" s="18"/>
      <c r="D2246" s="19"/>
    </row>
    <row r="2247" spans="1:4" x14ac:dyDescent="0.3">
      <c r="A2247" s="16">
        <v>45449.892360999998</v>
      </c>
      <c r="B2247" s="17">
        <v>59.031077000000003</v>
      </c>
      <c r="C2247" s="18"/>
      <c r="D2247" s="19"/>
    </row>
    <row r="2248" spans="1:4" x14ac:dyDescent="0.3">
      <c r="A2248" s="16">
        <v>45449.893056000001</v>
      </c>
      <c r="B2248" s="17">
        <v>59.502975999999997</v>
      </c>
      <c r="C2248" s="18"/>
      <c r="D2248" s="19"/>
    </row>
    <row r="2249" spans="1:4" x14ac:dyDescent="0.3">
      <c r="A2249" s="16">
        <v>45449.893750000003</v>
      </c>
      <c r="B2249" s="17">
        <v>59.183036999999999</v>
      </c>
      <c r="C2249" s="18"/>
      <c r="D2249" s="19"/>
    </row>
    <row r="2250" spans="1:4" x14ac:dyDescent="0.3">
      <c r="A2250" s="16">
        <v>45449.894443999998</v>
      </c>
      <c r="B2250" s="17">
        <v>59.377136</v>
      </c>
      <c r="C2250" s="18"/>
      <c r="D2250" s="19"/>
    </row>
    <row r="2251" spans="1:4" x14ac:dyDescent="0.3">
      <c r="A2251" s="16">
        <v>45449.895139</v>
      </c>
      <c r="B2251" s="17">
        <v>59.165025999999997</v>
      </c>
      <c r="C2251" s="18"/>
      <c r="D2251" s="19"/>
    </row>
    <row r="2252" spans="1:4" x14ac:dyDescent="0.3">
      <c r="A2252" s="16">
        <v>45449.895833000002</v>
      </c>
      <c r="B2252" s="17">
        <v>59.146980999999997</v>
      </c>
      <c r="C2252" s="18"/>
      <c r="D2252" s="19"/>
    </row>
    <row r="2253" spans="1:4" x14ac:dyDescent="0.3">
      <c r="A2253" s="16">
        <v>45449.896527999997</v>
      </c>
      <c r="B2253" s="17">
        <v>60.034601000000002</v>
      </c>
      <c r="C2253" s="18"/>
      <c r="D2253" s="19"/>
    </row>
    <row r="2254" spans="1:4" x14ac:dyDescent="0.3">
      <c r="A2254" s="16">
        <v>45449.897222</v>
      </c>
      <c r="B2254" s="17">
        <v>59.439011000000001</v>
      </c>
      <c r="C2254" s="18"/>
      <c r="D2254" s="19"/>
    </row>
    <row r="2255" spans="1:4" x14ac:dyDescent="0.3">
      <c r="A2255" s="16">
        <v>45449.897917000002</v>
      </c>
      <c r="B2255" s="17">
        <v>59.40014</v>
      </c>
      <c r="C2255" s="18"/>
      <c r="D2255" s="19"/>
    </row>
    <row r="2256" spans="1:4" x14ac:dyDescent="0.3">
      <c r="A2256" s="16">
        <v>45449.898610999997</v>
      </c>
      <c r="B2256" s="17">
        <v>59.227414000000003</v>
      </c>
      <c r="C2256" s="18"/>
      <c r="D2256" s="19"/>
    </row>
    <row r="2257" spans="1:4" x14ac:dyDescent="0.3">
      <c r="A2257" s="16">
        <v>45449.899305999999</v>
      </c>
      <c r="B2257" s="17">
        <v>59.068553999999999</v>
      </c>
      <c r="C2257" s="18"/>
      <c r="D2257" s="19"/>
    </row>
    <row r="2258" spans="1:4" x14ac:dyDescent="0.3">
      <c r="A2258" s="16">
        <v>45449.9</v>
      </c>
      <c r="B2258" s="17">
        <v>59.048363000000002</v>
      </c>
      <c r="C2258" s="18"/>
      <c r="D2258" s="19"/>
    </row>
    <row r="2259" spans="1:4" x14ac:dyDescent="0.3">
      <c r="A2259" s="16">
        <v>45449.900694000004</v>
      </c>
      <c r="B2259" s="17">
        <v>59.404108999999998</v>
      </c>
      <c r="C2259" s="18"/>
      <c r="D2259" s="19"/>
    </row>
    <row r="2260" spans="1:4" x14ac:dyDescent="0.3">
      <c r="A2260" s="16">
        <v>45449.901388999999</v>
      </c>
      <c r="B2260" s="17">
        <v>59.025705000000002</v>
      </c>
      <c r="C2260" s="18"/>
      <c r="D2260" s="19"/>
    </row>
    <row r="2261" spans="1:4" x14ac:dyDescent="0.3">
      <c r="A2261" s="16">
        <v>45449.902083000001</v>
      </c>
      <c r="B2261" s="17">
        <v>59.759096999999997</v>
      </c>
      <c r="C2261" s="18"/>
      <c r="D2261" s="19"/>
    </row>
    <row r="2262" spans="1:4" x14ac:dyDescent="0.3">
      <c r="A2262" s="16">
        <v>45449.902778000003</v>
      </c>
      <c r="B2262" s="17">
        <v>59.214379999999998</v>
      </c>
      <c r="C2262" s="18"/>
      <c r="D2262" s="19"/>
    </row>
    <row r="2263" spans="1:4" x14ac:dyDescent="0.3">
      <c r="A2263" s="16">
        <v>45449.903471999998</v>
      </c>
      <c r="B2263" s="17">
        <v>58.879092999999997</v>
      </c>
      <c r="C2263" s="18"/>
      <c r="D2263" s="19"/>
    </row>
    <row r="2264" spans="1:4" x14ac:dyDescent="0.3">
      <c r="A2264" s="16">
        <v>45449.904167000001</v>
      </c>
      <c r="B2264" s="17">
        <v>59.086351000000001</v>
      </c>
      <c r="C2264" s="18"/>
      <c r="D2264" s="19"/>
    </row>
    <row r="2265" spans="1:4" x14ac:dyDescent="0.3">
      <c r="A2265" s="16">
        <v>45449.904861000003</v>
      </c>
      <c r="B2265" s="17">
        <v>59.368844000000003</v>
      </c>
      <c r="C2265" s="18"/>
      <c r="D2265" s="19"/>
    </row>
    <row r="2266" spans="1:4" x14ac:dyDescent="0.3">
      <c r="A2266" s="16">
        <v>45449.905555999998</v>
      </c>
      <c r="B2266" s="17">
        <v>58.832023</v>
      </c>
      <c r="C2266" s="18"/>
      <c r="D2266" s="19"/>
    </row>
    <row r="2267" spans="1:4" x14ac:dyDescent="0.3">
      <c r="A2267" s="16">
        <v>45449.90625</v>
      </c>
      <c r="B2267" s="17">
        <v>59.297635999999997</v>
      </c>
      <c r="C2267" s="18"/>
      <c r="D2267" s="19"/>
    </row>
    <row r="2268" spans="1:4" x14ac:dyDescent="0.3">
      <c r="A2268" s="16">
        <v>45449.906944000002</v>
      </c>
      <c r="B2268" s="17">
        <v>59.087474</v>
      </c>
      <c r="C2268" s="18"/>
      <c r="D2268" s="19"/>
    </row>
    <row r="2269" spans="1:4" x14ac:dyDescent="0.3">
      <c r="A2269" s="16">
        <v>45449.907638999997</v>
      </c>
      <c r="B2269" s="17">
        <v>59.063425000000002</v>
      </c>
      <c r="C2269" s="18"/>
      <c r="D2269" s="19"/>
    </row>
    <row r="2270" spans="1:4" x14ac:dyDescent="0.3">
      <c r="A2270" s="16">
        <v>45449.908332999999</v>
      </c>
      <c r="B2270" s="17">
        <v>59.090228000000003</v>
      </c>
      <c r="C2270" s="18"/>
      <c r="D2270" s="19"/>
    </row>
    <row r="2271" spans="1:4" x14ac:dyDescent="0.3">
      <c r="A2271" s="16">
        <v>45449.909028000002</v>
      </c>
      <c r="B2271" s="17">
        <v>59.150852</v>
      </c>
      <c r="C2271" s="18"/>
      <c r="D2271" s="19"/>
    </row>
    <row r="2272" spans="1:4" x14ac:dyDescent="0.3">
      <c r="A2272" s="16">
        <v>45449.909721999997</v>
      </c>
      <c r="B2272" s="17">
        <v>59.028807</v>
      </c>
      <c r="C2272" s="18"/>
      <c r="D2272" s="19"/>
    </row>
    <row r="2273" spans="1:4" x14ac:dyDescent="0.3">
      <c r="A2273" s="16">
        <v>45449.910416999999</v>
      </c>
      <c r="B2273" s="17">
        <v>59.387593000000003</v>
      </c>
      <c r="C2273" s="18"/>
      <c r="D2273" s="19"/>
    </row>
    <row r="2274" spans="1:4" x14ac:dyDescent="0.3">
      <c r="A2274" s="16">
        <v>45449.911111000001</v>
      </c>
      <c r="B2274" s="17">
        <v>59.161079000000001</v>
      </c>
      <c r="C2274" s="18"/>
      <c r="D2274" s="19"/>
    </row>
    <row r="2275" spans="1:4" x14ac:dyDescent="0.3">
      <c r="A2275" s="16">
        <v>45449.911805999996</v>
      </c>
      <c r="B2275" s="17">
        <v>59.377181999999998</v>
      </c>
      <c r="C2275" s="18"/>
      <c r="D2275" s="19"/>
    </row>
    <row r="2276" spans="1:4" x14ac:dyDescent="0.3">
      <c r="A2276" s="16">
        <v>45449.912499999999</v>
      </c>
      <c r="B2276" s="17">
        <v>59.141435000000001</v>
      </c>
      <c r="C2276" s="18"/>
      <c r="D2276" s="19"/>
    </row>
    <row r="2277" spans="1:4" x14ac:dyDescent="0.3">
      <c r="A2277" s="16">
        <v>45449.913194000001</v>
      </c>
      <c r="B2277" s="17">
        <v>59.133546000000003</v>
      </c>
      <c r="C2277" s="18"/>
      <c r="D2277" s="19"/>
    </row>
    <row r="2278" spans="1:4" x14ac:dyDescent="0.3">
      <c r="A2278" s="16">
        <v>45449.913889000003</v>
      </c>
      <c r="B2278" s="17">
        <v>59.419291999999999</v>
      </c>
      <c r="C2278" s="18"/>
      <c r="D2278" s="19"/>
    </row>
    <row r="2279" spans="1:4" x14ac:dyDescent="0.3">
      <c r="A2279" s="16">
        <v>45449.914582999998</v>
      </c>
      <c r="B2279" s="17">
        <v>59.012258000000003</v>
      </c>
      <c r="C2279" s="18"/>
      <c r="D2279" s="19"/>
    </row>
    <row r="2280" spans="1:4" x14ac:dyDescent="0.3">
      <c r="A2280" s="16">
        <v>45449.915278</v>
      </c>
      <c r="B2280" s="17">
        <v>59.100515000000001</v>
      </c>
      <c r="C2280" s="18"/>
      <c r="D2280" s="19"/>
    </row>
    <row r="2281" spans="1:4" x14ac:dyDescent="0.3">
      <c r="A2281" s="16">
        <v>45449.915972000003</v>
      </c>
      <c r="B2281" s="17">
        <v>59.301793000000004</v>
      </c>
      <c r="C2281" s="18"/>
      <c r="D2281" s="19"/>
    </row>
    <row r="2282" spans="1:4" x14ac:dyDescent="0.3">
      <c r="A2282" s="16">
        <v>45449.916666999998</v>
      </c>
      <c r="B2282" s="17">
        <v>58.960250000000002</v>
      </c>
      <c r="C2282" s="18"/>
      <c r="D2282" s="19"/>
    </row>
    <row r="2283" spans="1:4" x14ac:dyDescent="0.3">
      <c r="A2283" s="16">
        <v>45449.917361</v>
      </c>
      <c r="B2283" s="17">
        <v>58.992226000000002</v>
      </c>
      <c r="C2283" s="18"/>
      <c r="D2283" s="19"/>
    </row>
    <row r="2284" spans="1:4" x14ac:dyDescent="0.3">
      <c r="A2284" s="16">
        <v>45449.918056000002</v>
      </c>
      <c r="B2284" s="17">
        <v>58.972642</v>
      </c>
      <c r="C2284" s="18"/>
      <c r="D2284" s="19"/>
    </row>
    <row r="2285" spans="1:4" x14ac:dyDescent="0.3">
      <c r="A2285" s="16">
        <v>45449.918749999997</v>
      </c>
      <c r="B2285" s="17">
        <v>59.118225000000002</v>
      </c>
      <c r="C2285" s="18"/>
      <c r="D2285" s="19"/>
    </row>
    <row r="2286" spans="1:4" x14ac:dyDescent="0.3">
      <c r="A2286" s="16">
        <v>45449.919443999999</v>
      </c>
      <c r="B2286" s="17">
        <v>59.469859</v>
      </c>
      <c r="C2286" s="18"/>
      <c r="D2286" s="19"/>
    </row>
    <row r="2287" spans="1:4" x14ac:dyDescent="0.3">
      <c r="A2287" s="16">
        <v>45449.920139000002</v>
      </c>
      <c r="B2287" s="17">
        <v>59.395952000000001</v>
      </c>
      <c r="C2287" s="18"/>
      <c r="D2287" s="19"/>
    </row>
    <row r="2288" spans="1:4" x14ac:dyDescent="0.3">
      <c r="A2288" s="16">
        <v>45449.920832999996</v>
      </c>
      <c r="B2288" s="17">
        <v>59.400378000000003</v>
      </c>
      <c r="C2288" s="18"/>
      <c r="D2288" s="19"/>
    </row>
    <row r="2289" spans="1:4" x14ac:dyDescent="0.3">
      <c r="A2289" s="16">
        <v>45449.921527999999</v>
      </c>
      <c r="B2289" s="17">
        <v>58.836497999999999</v>
      </c>
      <c r="C2289" s="18"/>
      <c r="D2289" s="19"/>
    </row>
    <row r="2290" spans="1:4" x14ac:dyDescent="0.3">
      <c r="A2290" s="16">
        <v>45449.922222000001</v>
      </c>
      <c r="B2290" s="17">
        <v>59.132395000000002</v>
      </c>
      <c r="C2290" s="18"/>
      <c r="D2290" s="19"/>
    </row>
    <row r="2291" spans="1:4" x14ac:dyDescent="0.3">
      <c r="A2291" s="16">
        <v>45449.922917000004</v>
      </c>
      <c r="B2291" s="17">
        <v>59.504533000000002</v>
      </c>
      <c r="C2291" s="18"/>
      <c r="D2291" s="19"/>
    </row>
    <row r="2292" spans="1:4" x14ac:dyDescent="0.3">
      <c r="A2292" s="16">
        <v>45449.923610999998</v>
      </c>
      <c r="B2292" s="17">
        <v>58.762202000000002</v>
      </c>
      <c r="C2292" s="18"/>
      <c r="D2292" s="19"/>
    </row>
    <row r="2293" spans="1:4" x14ac:dyDescent="0.3">
      <c r="A2293" s="16">
        <v>45449.924306000001</v>
      </c>
      <c r="B2293" s="17">
        <v>59.353650999999999</v>
      </c>
      <c r="C2293" s="18"/>
      <c r="D2293" s="19"/>
    </row>
    <row r="2294" spans="1:4" x14ac:dyDescent="0.3">
      <c r="A2294" s="16">
        <v>45449.925000000003</v>
      </c>
      <c r="B2294" s="17">
        <v>59.117066000000001</v>
      </c>
      <c r="C2294" s="18"/>
      <c r="D2294" s="19"/>
    </row>
    <row r="2295" spans="1:4" x14ac:dyDescent="0.3">
      <c r="A2295" s="16">
        <v>45449.925693999998</v>
      </c>
      <c r="B2295" s="17">
        <v>58.954830000000001</v>
      </c>
      <c r="C2295" s="18"/>
      <c r="D2295" s="19"/>
    </row>
    <row r="2296" spans="1:4" x14ac:dyDescent="0.3">
      <c r="A2296" s="16">
        <v>45449.926389</v>
      </c>
      <c r="B2296" s="17">
        <v>58.919488999999999</v>
      </c>
      <c r="C2296" s="18"/>
      <c r="D2296" s="19"/>
    </row>
    <row r="2297" spans="1:4" x14ac:dyDescent="0.3">
      <c r="A2297" s="16">
        <v>45449.927083000002</v>
      </c>
      <c r="B2297" s="17">
        <v>59.115761999999997</v>
      </c>
      <c r="C2297" s="18"/>
      <c r="D2297" s="19"/>
    </row>
    <row r="2298" spans="1:4" x14ac:dyDescent="0.3">
      <c r="A2298" s="16">
        <v>45449.927777999997</v>
      </c>
      <c r="B2298" s="17">
        <v>59.195298999999999</v>
      </c>
      <c r="C2298" s="18"/>
      <c r="D2298" s="19"/>
    </row>
    <row r="2299" spans="1:4" x14ac:dyDescent="0.3">
      <c r="A2299" s="16">
        <v>45449.928472</v>
      </c>
      <c r="B2299" s="17">
        <v>59.386575999999998</v>
      </c>
      <c r="C2299" s="18"/>
      <c r="D2299" s="19"/>
    </row>
    <row r="2300" spans="1:4" x14ac:dyDescent="0.3">
      <c r="A2300" s="16">
        <v>45449.929167000002</v>
      </c>
      <c r="B2300" s="17">
        <v>59.552771</v>
      </c>
      <c r="C2300" s="18"/>
      <c r="D2300" s="19"/>
    </row>
    <row r="2301" spans="1:4" x14ac:dyDescent="0.3">
      <c r="A2301" s="16">
        <v>45449.929860999997</v>
      </c>
      <c r="B2301" s="17">
        <v>59.07788</v>
      </c>
      <c r="C2301" s="18"/>
      <c r="D2301" s="19"/>
    </row>
    <row r="2302" spans="1:4" x14ac:dyDescent="0.3">
      <c r="A2302" s="16">
        <v>45449.930555999999</v>
      </c>
      <c r="B2302" s="17">
        <v>58.795413000000003</v>
      </c>
      <c r="C2302" s="18"/>
      <c r="D2302" s="19"/>
    </row>
    <row r="2303" spans="1:4" x14ac:dyDescent="0.3">
      <c r="A2303" s="16">
        <v>45449.931250000001</v>
      </c>
      <c r="B2303" s="17">
        <v>59.024318000000001</v>
      </c>
      <c r="C2303" s="18"/>
      <c r="D2303" s="19"/>
    </row>
    <row r="2304" spans="1:4" x14ac:dyDescent="0.3">
      <c r="A2304" s="16">
        <v>45449.931944000004</v>
      </c>
      <c r="B2304" s="17">
        <v>59.419814000000002</v>
      </c>
      <c r="C2304" s="18"/>
      <c r="D2304" s="19"/>
    </row>
    <row r="2305" spans="1:4" x14ac:dyDescent="0.3">
      <c r="A2305" s="16">
        <v>45449.932638999999</v>
      </c>
      <c r="B2305" s="17">
        <v>59.102381999999999</v>
      </c>
      <c r="C2305" s="18"/>
      <c r="D2305" s="19"/>
    </row>
    <row r="2306" spans="1:4" x14ac:dyDescent="0.3">
      <c r="A2306" s="16">
        <v>45449.933333000001</v>
      </c>
      <c r="B2306" s="17">
        <v>59.142076000000003</v>
      </c>
      <c r="C2306" s="18"/>
      <c r="D2306" s="19"/>
    </row>
    <row r="2307" spans="1:4" x14ac:dyDescent="0.3">
      <c r="A2307" s="16">
        <v>45449.934028000003</v>
      </c>
      <c r="B2307" s="17">
        <v>59.153109999999998</v>
      </c>
      <c r="C2307" s="18"/>
      <c r="D2307" s="19"/>
    </row>
    <row r="2308" spans="1:4" x14ac:dyDescent="0.3">
      <c r="A2308" s="16">
        <v>45449.934721999998</v>
      </c>
      <c r="B2308" s="17">
        <v>59.185644000000003</v>
      </c>
      <c r="C2308" s="18"/>
      <c r="D2308" s="19"/>
    </row>
    <row r="2309" spans="1:4" x14ac:dyDescent="0.3">
      <c r="A2309" s="16">
        <v>45449.935417000001</v>
      </c>
      <c r="B2309" s="17">
        <v>59.333782999999997</v>
      </c>
      <c r="C2309" s="18"/>
      <c r="D2309" s="19"/>
    </row>
    <row r="2310" spans="1:4" x14ac:dyDescent="0.3">
      <c r="A2310" s="16">
        <v>45449.936111000003</v>
      </c>
      <c r="B2310" s="17">
        <v>59.361410999999997</v>
      </c>
      <c r="C2310" s="18"/>
      <c r="D2310" s="19"/>
    </row>
    <row r="2311" spans="1:4" x14ac:dyDescent="0.3">
      <c r="A2311" s="16">
        <v>45449.936805999998</v>
      </c>
      <c r="B2311" s="17">
        <v>59.049368000000001</v>
      </c>
      <c r="C2311" s="18"/>
      <c r="D2311" s="19"/>
    </row>
    <row r="2312" spans="1:4" x14ac:dyDescent="0.3">
      <c r="A2312" s="16">
        <v>45449.9375</v>
      </c>
      <c r="B2312" s="17">
        <v>59.147579</v>
      </c>
      <c r="C2312" s="18"/>
      <c r="D2312" s="19"/>
    </row>
    <row r="2313" spans="1:4" x14ac:dyDescent="0.3">
      <c r="A2313" s="16">
        <v>45449.938194000002</v>
      </c>
      <c r="B2313" s="17">
        <v>59.245562999999997</v>
      </c>
      <c r="C2313" s="18"/>
      <c r="D2313" s="19"/>
    </row>
    <row r="2314" spans="1:4" x14ac:dyDescent="0.3">
      <c r="A2314" s="16">
        <v>45449.938888999997</v>
      </c>
      <c r="B2314" s="17">
        <v>59.246572999999998</v>
      </c>
      <c r="C2314" s="18"/>
      <c r="D2314" s="19"/>
    </row>
    <row r="2315" spans="1:4" x14ac:dyDescent="0.3">
      <c r="A2315" s="16">
        <v>45449.939582999999</v>
      </c>
      <c r="B2315" s="17">
        <v>59.268808999999997</v>
      </c>
      <c r="C2315" s="18"/>
      <c r="D2315" s="19"/>
    </row>
    <row r="2316" spans="1:4" x14ac:dyDescent="0.3">
      <c r="A2316" s="16">
        <v>45449.940278000002</v>
      </c>
      <c r="B2316" s="17">
        <v>59.184503999999997</v>
      </c>
      <c r="C2316" s="18"/>
      <c r="D2316" s="19"/>
    </row>
    <row r="2317" spans="1:4" x14ac:dyDescent="0.3">
      <c r="A2317" s="16">
        <v>45449.940971999997</v>
      </c>
      <c r="B2317" s="17">
        <v>59.106777000000001</v>
      </c>
      <c r="C2317" s="18"/>
      <c r="D2317" s="19"/>
    </row>
    <row r="2318" spans="1:4" x14ac:dyDescent="0.3">
      <c r="A2318" s="16">
        <v>45449.941666999999</v>
      </c>
      <c r="B2318" s="17">
        <v>58.922541000000002</v>
      </c>
      <c r="C2318" s="18"/>
      <c r="D2318" s="19"/>
    </row>
    <row r="2319" spans="1:4" x14ac:dyDescent="0.3">
      <c r="A2319" s="16">
        <v>45449.942361000001</v>
      </c>
      <c r="B2319" s="17">
        <v>59.156790999999998</v>
      </c>
      <c r="C2319" s="18"/>
      <c r="D2319" s="19"/>
    </row>
    <row r="2320" spans="1:4" x14ac:dyDescent="0.3">
      <c r="A2320" s="16">
        <v>45449.943055999996</v>
      </c>
      <c r="B2320" s="17">
        <v>59.322816000000003</v>
      </c>
      <c r="C2320" s="18"/>
      <c r="D2320" s="19"/>
    </row>
    <row r="2321" spans="1:4" x14ac:dyDescent="0.3">
      <c r="A2321" s="16">
        <v>45449.943749999999</v>
      </c>
      <c r="B2321" s="17">
        <v>59.227021999999998</v>
      </c>
      <c r="C2321" s="18"/>
      <c r="D2321" s="19"/>
    </row>
    <row r="2322" spans="1:4" x14ac:dyDescent="0.3">
      <c r="A2322" s="16">
        <v>45449.944444000001</v>
      </c>
      <c r="B2322" s="17">
        <v>59.317954</v>
      </c>
      <c r="C2322" s="18"/>
      <c r="D2322" s="19"/>
    </row>
    <row r="2323" spans="1:4" x14ac:dyDescent="0.3">
      <c r="A2323" s="16">
        <v>45449.945139000003</v>
      </c>
      <c r="B2323" s="17">
        <v>59.364766000000003</v>
      </c>
      <c r="C2323" s="18"/>
      <c r="D2323" s="19"/>
    </row>
    <row r="2324" spans="1:4" x14ac:dyDescent="0.3">
      <c r="A2324" s="16">
        <v>45449.945832999998</v>
      </c>
      <c r="B2324" s="17">
        <v>59.077511000000001</v>
      </c>
      <c r="C2324" s="18"/>
      <c r="D2324" s="19"/>
    </row>
    <row r="2325" spans="1:4" x14ac:dyDescent="0.3">
      <c r="A2325" s="16">
        <v>45449.946528</v>
      </c>
      <c r="B2325" s="17">
        <v>59.163550999999998</v>
      </c>
      <c r="C2325" s="18"/>
      <c r="D2325" s="19"/>
    </row>
    <row r="2326" spans="1:4" x14ac:dyDescent="0.3">
      <c r="A2326" s="16">
        <v>45449.947222000003</v>
      </c>
      <c r="B2326" s="17">
        <v>59.364528</v>
      </c>
      <c r="C2326" s="18"/>
      <c r="D2326" s="19"/>
    </row>
    <row r="2327" spans="1:4" x14ac:dyDescent="0.3">
      <c r="A2327" s="16">
        <v>45449.947916999998</v>
      </c>
      <c r="B2327" s="17">
        <v>59.284968999999997</v>
      </c>
      <c r="C2327" s="18"/>
      <c r="D2327" s="19"/>
    </row>
    <row r="2328" spans="1:4" x14ac:dyDescent="0.3">
      <c r="A2328" s="16">
        <v>45449.948611</v>
      </c>
      <c r="B2328" s="17">
        <v>59.445523000000001</v>
      </c>
      <c r="C2328" s="18"/>
      <c r="D2328" s="19"/>
    </row>
    <row r="2329" spans="1:4" x14ac:dyDescent="0.3">
      <c r="A2329" s="16">
        <v>45449.949306000002</v>
      </c>
      <c r="B2329" s="17">
        <v>58.842236</v>
      </c>
      <c r="C2329" s="18"/>
      <c r="D2329" s="19"/>
    </row>
    <row r="2330" spans="1:4" x14ac:dyDescent="0.3">
      <c r="A2330" s="16">
        <v>45449.95</v>
      </c>
      <c r="B2330" s="17">
        <v>58.907117</v>
      </c>
      <c r="C2330" s="18"/>
      <c r="D2330" s="19"/>
    </row>
    <row r="2331" spans="1:4" x14ac:dyDescent="0.3">
      <c r="A2331" s="16">
        <v>45449.950693999999</v>
      </c>
      <c r="B2331" s="17">
        <v>59.514130999999999</v>
      </c>
      <c r="C2331" s="18"/>
      <c r="D2331" s="19"/>
    </row>
    <row r="2332" spans="1:4" x14ac:dyDescent="0.3">
      <c r="A2332" s="16">
        <v>45449.951389000002</v>
      </c>
      <c r="B2332" s="17">
        <v>59.047435999999998</v>
      </c>
      <c r="C2332" s="18"/>
      <c r="D2332" s="19"/>
    </row>
    <row r="2333" spans="1:4" x14ac:dyDescent="0.3">
      <c r="A2333" s="16">
        <v>45449.952082999996</v>
      </c>
      <c r="B2333" s="17">
        <v>59.289797999999998</v>
      </c>
      <c r="C2333" s="18"/>
      <c r="D2333" s="19"/>
    </row>
    <row r="2334" spans="1:4" x14ac:dyDescent="0.3">
      <c r="A2334" s="16">
        <v>45449.952777999999</v>
      </c>
      <c r="B2334" s="17">
        <v>59.144337999999998</v>
      </c>
      <c r="C2334" s="18"/>
      <c r="D2334" s="19"/>
    </row>
    <row r="2335" spans="1:4" x14ac:dyDescent="0.3">
      <c r="A2335" s="16">
        <v>45449.953472000001</v>
      </c>
      <c r="B2335" s="17">
        <v>59.475163999999999</v>
      </c>
      <c r="C2335" s="18"/>
      <c r="D2335" s="19"/>
    </row>
    <row r="2336" spans="1:4" x14ac:dyDescent="0.3">
      <c r="A2336" s="16">
        <v>45449.954167000004</v>
      </c>
      <c r="B2336" s="17">
        <v>59.358536999999998</v>
      </c>
      <c r="C2336" s="18"/>
      <c r="D2336" s="19"/>
    </row>
    <row r="2337" spans="1:4" x14ac:dyDescent="0.3">
      <c r="A2337" s="16">
        <v>45449.954860999998</v>
      </c>
      <c r="B2337" s="17">
        <v>58.947868</v>
      </c>
      <c r="C2337" s="18"/>
      <c r="D2337" s="19"/>
    </row>
    <row r="2338" spans="1:4" x14ac:dyDescent="0.3">
      <c r="A2338" s="16">
        <v>45449.955556000001</v>
      </c>
      <c r="B2338" s="17">
        <v>59.445087999999998</v>
      </c>
      <c r="C2338" s="18"/>
      <c r="D2338" s="19"/>
    </row>
    <row r="2339" spans="1:4" x14ac:dyDescent="0.3">
      <c r="A2339" s="16">
        <v>45449.956250000003</v>
      </c>
      <c r="B2339" s="17">
        <v>59.339559000000001</v>
      </c>
      <c r="C2339" s="18"/>
      <c r="D2339" s="19"/>
    </row>
    <row r="2340" spans="1:4" x14ac:dyDescent="0.3">
      <c r="A2340" s="16">
        <v>45449.956943999998</v>
      </c>
      <c r="B2340" s="17">
        <v>59.021974999999998</v>
      </c>
      <c r="C2340" s="18"/>
      <c r="D2340" s="19"/>
    </row>
    <row r="2341" spans="1:4" x14ac:dyDescent="0.3">
      <c r="A2341" s="16">
        <v>45449.957639</v>
      </c>
      <c r="B2341" s="17">
        <v>59.129973999999997</v>
      </c>
      <c r="C2341" s="18"/>
      <c r="D2341" s="19"/>
    </row>
    <row r="2342" spans="1:4" x14ac:dyDescent="0.3">
      <c r="A2342" s="16">
        <v>45449.958333000002</v>
      </c>
      <c r="B2342" s="17">
        <v>59.303859000000003</v>
      </c>
      <c r="C2342" s="18"/>
      <c r="D2342" s="19"/>
    </row>
    <row r="2343" spans="1:4" x14ac:dyDescent="0.3">
      <c r="A2343" s="16">
        <v>45449.959027999997</v>
      </c>
      <c r="B2343" s="17">
        <v>59.343268000000002</v>
      </c>
      <c r="C2343" s="18"/>
      <c r="D2343" s="19"/>
    </row>
    <row r="2344" spans="1:4" x14ac:dyDescent="0.3">
      <c r="A2344" s="16">
        <v>45449.959722</v>
      </c>
      <c r="B2344" s="17">
        <v>59.219202000000003</v>
      </c>
      <c r="C2344" s="18"/>
      <c r="D2344" s="19"/>
    </row>
    <row r="2345" spans="1:4" x14ac:dyDescent="0.3">
      <c r="A2345" s="16">
        <v>45449.960417000002</v>
      </c>
      <c r="B2345" s="17">
        <v>59.286962000000003</v>
      </c>
      <c r="C2345" s="18"/>
      <c r="D2345" s="19"/>
    </row>
    <row r="2346" spans="1:4" x14ac:dyDescent="0.3">
      <c r="A2346" s="16">
        <v>45449.961110999997</v>
      </c>
      <c r="B2346" s="17">
        <v>59.167183000000001</v>
      </c>
      <c r="C2346" s="18"/>
      <c r="D2346" s="19"/>
    </row>
    <row r="2347" spans="1:4" x14ac:dyDescent="0.3">
      <c r="A2347" s="16">
        <v>45449.961805999999</v>
      </c>
      <c r="B2347" s="17">
        <v>59.284545999999999</v>
      </c>
      <c r="C2347" s="18"/>
      <c r="D2347" s="19"/>
    </row>
    <row r="2348" spans="1:4" x14ac:dyDescent="0.3">
      <c r="A2348" s="16">
        <v>45449.962500000001</v>
      </c>
      <c r="B2348" s="17">
        <v>59.207462</v>
      </c>
      <c r="C2348" s="18"/>
      <c r="D2348" s="19"/>
    </row>
    <row r="2349" spans="1:4" x14ac:dyDescent="0.3">
      <c r="A2349" s="16">
        <v>45449.963194000004</v>
      </c>
      <c r="B2349" s="17">
        <v>59.237761999999996</v>
      </c>
      <c r="C2349" s="18"/>
      <c r="D2349" s="19"/>
    </row>
    <row r="2350" spans="1:4" x14ac:dyDescent="0.3">
      <c r="A2350" s="16">
        <v>45449.963888999999</v>
      </c>
      <c r="B2350" s="17">
        <v>59.055230999999999</v>
      </c>
      <c r="C2350" s="18"/>
      <c r="D2350" s="19"/>
    </row>
    <row r="2351" spans="1:4" x14ac:dyDescent="0.3">
      <c r="A2351" s="16">
        <v>45449.964583000001</v>
      </c>
      <c r="B2351" s="17">
        <v>59.419746000000004</v>
      </c>
      <c r="C2351" s="18"/>
      <c r="D2351" s="19"/>
    </row>
    <row r="2352" spans="1:4" x14ac:dyDescent="0.3">
      <c r="A2352" s="16">
        <v>45449.965278000003</v>
      </c>
      <c r="B2352" s="17">
        <v>59.123815999999998</v>
      </c>
      <c r="C2352" s="18"/>
      <c r="D2352" s="19"/>
    </row>
    <row r="2353" spans="1:4" x14ac:dyDescent="0.3">
      <c r="A2353" s="16">
        <v>45449.965971999998</v>
      </c>
      <c r="B2353" s="17">
        <v>59.353724</v>
      </c>
      <c r="C2353" s="18"/>
      <c r="D2353" s="19"/>
    </row>
    <row r="2354" spans="1:4" x14ac:dyDescent="0.3">
      <c r="A2354" s="16">
        <v>45449.966667000001</v>
      </c>
      <c r="B2354" s="17">
        <v>59.326582000000002</v>
      </c>
      <c r="C2354" s="18"/>
      <c r="D2354" s="19"/>
    </row>
    <row r="2355" spans="1:4" x14ac:dyDescent="0.3">
      <c r="A2355" s="16">
        <v>45449.967361000003</v>
      </c>
      <c r="B2355" s="17">
        <v>59.150677999999999</v>
      </c>
      <c r="C2355" s="18"/>
      <c r="D2355" s="19"/>
    </row>
    <row r="2356" spans="1:4" x14ac:dyDescent="0.3">
      <c r="A2356" s="16">
        <v>45449.968055999998</v>
      </c>
      <c r="B2356" s="17">
        <v>59.176183000000002</v>
      </c>
      <c r="C2356" s="18"/>
      <c r="D2356" s="19"/>
    </row>
    <row r="2357" spans="1:4" x14ac:dyDescent="0.3">
      <c r="A2357" s="16">
        <v>45449.96875</v>
      </c>
      <c r="B2357" s="17">
        <v>59.168660000000003</v>
      </c>
      <c r="C2357" s="18"/>
      <c r="D2357" s="19"/>
    </row>
    <row r="2358" spans="1:4" x14ac:dyDescent="0.3">
      <c r="A2358" s="16">
        <v>45449.969444000002</v>
      </c>
      <c r="B2358" s="17">
        <v>59.609859999999998</v>
      </c>
      <c r="C2358" s="18"/>
      <c r="D2358" s="19"/>
    </row>
    <row r="2359" spans="1:4" x14ac:dyDescent="0.3">
      <c r="A2359" s="16">
        <v>45449.970138999997</v>
      </c>
      <c r="B2359" s="17">
        <v>59.285798999999997</v>
      </c>
      <c r="C2359" s="18"/>
      <c r="D2359" s="19"/>
    </row>
    <row r="2360" spans="1:4" x14ac:dyDescent="0.3">
      <c r="A2360" s="16">
        <v>45449.970832999999</v>
      </c>
      <c r="B2360" s="17">
        <v>59.619599000000001</v>
      </c>
      <c r="C2360" s="18"/>
      <c r="D2360" s="19"/>
    </row>
    <row r="2361" spans="1:4" x14ac:dyDescent="0.3">
      <c r="A2361" s="16">
        <v>45449.971528000002</v>
      </c>
      <c r="B2361" s="17">
        <v>59.254627999999997</v>
      </c>
      <c r="C2361" s="18"/>
      <c r="D2361" s="19"/>
    </row>
    <row r="2362" spans="1:4" x14ac:dyDescent="0.3">
      <c r="A2362" s="16">
        <v>45449.972221999997</v>
      </c>
      <c r="B2362" s="17">
        <v>59.285525999999997</v>
      </c>
      <c r="C2362" s="18"/>
      <c r="D2362" s="19"/>
    </row>
    <row r="2363" spans="1:4" x14ac:dyDescent="0.3">
      <c r="A2363" s="16">
        <v>45449.972916999999</v>
      </c>
      <c r="B2363" s="17">
        <v>59.665903</v>
      </c>
      <c r="C2363" s="18"/>
      <c r="D2363" s="19"/>
    </row>
    <row r="2364" spans="1:4" x14ac:dyDescent="0.3">
      <c r="A2364" s="16">
        <v>45449.973611000001</v>
      </c>
      <c r="B2364" s="17">
        <v>59.593286999999997</v>
      </c>
      <c r="C2364" s="18"/>
      <c r="D2364" s="19"/>
    </row>
    <row r="2365" spans="1:4" x14ac:dyDescent="0.3">
      <c r="A2365" s="16">
        <v>45449.974305999996</v>
      </c>
      <c r="B2365" s="17">
        <v>59.337155000000003</v>
      </c>
      <c r="C2365" s="18"/>
      <c r="D2365" s="19"/>
    </row>
    <row r="2366" spans="1:4" x14ac:dyDescent="0.3">
      <c r="A2366" s="16">
        <v>45449.974999999999</v>
      </c>
      <c r="B2366" s="17">
        <v>59.431525000000001</v>
      </c>
      <c r="C2366" s="18"/>
      <c r="D2366" s="19"/>
    </row>
    <row r="2367" spans="1:4" x14ac:dyDescent="0.3">
      <c r="A2367" s="16">
        <v>45449.975694000001</v>
      </c>
      <c r="B2367" s="17">
        <v>59.356513</v>
      </c>
      <c r="C2367" s="18"/>
      <c r="D2367" s="19"/>
    </row>
    <row r="2368" spans="1:4" x14ac:dyDescent="0.3">
      <c r="A2368" s="16">
        <v>45449.976389000003</v>
      </c>
      <c r="B2368" s="17">
        <v>59.028212000000003</v>
      </c>
      <c r="C2368" s="18"/>
      <c r="D2368" s="19"/>
    </row>
    <row r="2369" spans="1:4" x14ac:dyDescent="0.3">
      <c r="A2369" s="16">
        <v>45449.977082999998</v>
      </c>
      <c r="B2369" s="17">
        <v>59.200971000000003</v>
      </c>
      <c r="C2369" s="18"/>
      <c r="D2369" s="19"/>
    </row>
    <row r="2370" spans="1:4" x14ac:dyDescent="0.3">
      <c r="A2370" s="16">
        <v>45449.977778</v>
      </c>
      <c r="B2370" s="17">
        <v>59.264302000000001</v>
      </c>
      <c r="C2370" s="18"/>
      <c r="D2370" s="19"/>
    </row>
    <row r="2371" spans="1:4" x14ac:dyDescent="0.3">
      <c r="A2371" s="16">
        <v>45449.978472000003</v>
      </c>
      <c r="B2371" s="17">
        <v>59.180298000000001</v>
      </c>
      <c r="C2371" s="18"/>
      <c r="D2371" s="19"/>
    </row>
    <row r="2372" spans="1:4" x14ac:dyDescent="0.3">
      <c r="A2372" s="16">
        <v>45449.979166999998</v>
      </c>
      <c r="B2372" s="17">
        <v>59.224578000000001</v>
      </c>
      <c r="C2372" s="18"/>
      <c r="D2372" s="19"/>
    </row>
    <row r="2373" spans="1:4" x14ac:dyDescent="0.3">
      <c r="A2373" s="16">
        <v>45449.979861</v>
      </c>
      <c r="B2373" s="17">
        <v>59.396563</v>
      </c>
      <c r="C2373" s="18"/>
      <c r="D2373" s="19"/>
    </row>
    <row r="2374" spans="1:4" x14ac:dyDescent="0.3">
      <c r="A2374" s="16">
        <v>45449.980556000002</v>
      </c>
      <c r="B2374" s="17">
        <v>58.936647999999998</v>
      </c>
      <c r="C2374" s="18"/>
      <c r="D2374" s="19"/>
    </row>
    <row r="2375" spans="1:4" x14ac:dyDescent="0.3">
      <c r="A2375" s="16">
        <v>45449.981249999997</v>
      </c>
      <c r="B2375" s="17">
        <v>59.135824999999997</v>
      </c>
      <c r="C2375" s="18"/>
      <c r="D2375" s="19"/>
    </row>
    <row r="2376" spans="1:4" x14ac:dyDescent="0.3">
      <c r="A2376" s="16">
        <v>45449.981943999999</v>
      </c>
      <c r="B2376" s="17">
        <v>59.297271000000002</v>
      </c>
      <c r="C2376" s="18"/>
      <c r="D2376" s="19"/>
    </row>
    <row r="2377" spans="1:4" x14ac:dyDescent="0.3">
      <c r="A2377" s="16">
        <v>45449.982639000002</v>
      </c>
      <c r="B2377" s="17">
        <v>58.890630999999999</v>
      </c>
      <c r="C2377" s="18"/>
      <c r="D2377" s="19"/>
    </row>
    <row r="2378" spans="1:4" x14ac:dyDescent="0.3">
      <c r="A2378" s="16">
        <v>45449.983332999996</v>
      </c>
      <c r="B2378" s="17">
        <v>59.173915000000001</v>
      </c>
      <c r="C2378" s="18"/>
      <c r="D2378" s="19"/>
    </row>
    <row r="2379" spans="1:4" x14ac:dyDescent="0.3">
      <c r="A2379" s="16">
        <v>45449.984027999999</v>
      </c>
      <c r="B2379" s="17">
        <v>59.336722000000002</v>
      </c>
      <c r="C2379" s="18"/>
      <c r="D2379" s="19"/>
    </row>
    <row r="2380" spans="1:4" x14ac:dyDescent="0.3">
      <c r="A2380" s="16">
        <v>45449.984722000001</v>
      </c>
      <c r="B2380" s="17">
        <v>59.427886999999998</v>
      </c>
      <c r="C2380" s="18"/>
      <c r="D2380" s="19"/>
    </row>
    <row r="2381" spans="1:4" x14ac:dyDescent="0.3">
      <c r="A2381" s="16">
        <v>45449.985417000004</v>
      </c>
      <c r="B2381" s="17">
        <v>59.082768000000002</v>
      </c>
      <c r="C2381" s="18"/>
      <c r="D2381" s="19"/>
    </row>
    <row r="2382" spans="1:4" x14ac:dyDescent="0.3">
      <c r="A2382" s="16">
        <v>45449.986110999998</v>
      </c>
      <c r="B2382" s="17">
        <v>59.203268000000001</v>
      </c>
      <c r="C2382" s="18"/>
      <c r="D2382" s="19"/>
    </row>
    <row r="2383" spans="1:4" x14ac:dyDescent="0.3">
      <c r="A2383" s="16">
        <v>45449.986806000001</v>
      </c>
      <c r="B2383" s="17">
        <v>59.211258000000001</v>
      </c>
      <c r="C2383" s="18"/>
      <c r="D2383" s="19"/>
    </row>
    <row r="2384" spans="1:4" x14ac:dyDescent="0.3">
      <c r="A2384" s="16">
        <v>45449.987500000003</v>
      </c>
      <c r="B2384" s="17">
        <v>59.402909999999999</v>
      </c>
      <c r="C2384" s="18"/>
      <c r="D2384" s="19"/>
    </row>
    <row r="2385" spans="1:4" x14ac:dyDescent="0.3">
      <c r="A2385" s="16">
        <v>45449.988193999998</v>
      </c>
      <c r="B2385" s="17">
        <v>59.428852999999997</v>
      </c>
      <c r="C2385" s="18"/>
      <c r="D2385" s="19"/>
    </row>
    <row r="2386" spans="1:4" x14ac:dyDescent="0.3">
      <c r="A2386" s="16">
        <v>45449.988889</v>
      </c>
      <c r="B2386" s="17">
        <v>59.497472999999999</v>
      </c>
      <c r="C2386" s="18"/>
      <c r="D2386" s="19"/>
    </row>
    <row r="2387" spans="1:4" x14ac:dyDescent="0.3">
      <c r="A2387" s="16">
        <v>45449.989583000002</v>
      </c>
      <c r="B2387" s="17">
        <v>58.760202</v>
      </c>
      <c r="C2387" s="18"/>
      <c r="D2387" s="19"/>
    </row>
    <row r="2388" spans="1:4" x14ac:dyDescent="0.3">
      <c r="A2388" s="16">
        <v>45449.990277999997</v>
      </c>
      <c r="B2388" s="17">
        <v>59.567331000000003</v>
      </c>
      <c r="C2388" s="18"/>
      <c r="D2388" s="19"/>
    </row>
    <row r="2389" spans="1:4" x14ac:dyDescent="0.3">
      <c r="A2389" s="16">
        <v>45449.990972</v>
      </c>
      <c r="B2389" s="17">
        <v>59.045254</v>
      </c>
      <c r="C2389" s="18"/>
      <c r="D2389" s="19"/>
    </row>
    <row r="2390" spans="1:4" x14ac:dyDescent="0.3">
      <c r="A2390" s="16">
        <v>45449.991667000002</v>
      </c>
      <c r="B2390" s="17">
        <v>59.794567000000001</v>
      </c>
      <c r="C2390" s="18"/>
      <c r="D2390" s="19"/>
    </row>
    <row r="2391" spans="1:4" x14ac:dyDescent="0.3">
      <c r="A2391" s="16">
        <v>45449.992360999997</v>
      </c>
      <c r="B2391" s="17">
        <v>59.199190999999999</v>
      </c>
      <c r="C2391" s="18"/>
      <c r="D2391" s="19"/>
    </row>
    <row r="2392" spans="1:4" x14ac:dyDescent="0.3">
      <c r="A2392" s="16">
        <v>45449.993055999999</v>
      </c>
      <c r="B2392" s="17">
        <v>59.669657999999998</v>
      </c>
      <c r="C2392" s="18"/>
      <c r="D2392" s="19"/>
    </row>
    <row r="2393" spans="1:4" x14ac:dyDescent="0.3">
      <c r="A2393" s="16">
        <v>45449.993750000001</v>
      </c>
      <c r="B2393" s="17">
        <v>59.361221999999998</v>
      </c>
      <c r="C2393" s="18"/>
      <c r="D2393" s="19"/>
    </row>
    <row r="2394" spans="1:4" x14ac:dyDescent="0.3">
      <c r="A2394" s="16">
        <v>45449.994444000004</v>
      </c>
      <c r="B2394" s="17">
        <v>59.392254000000001</v>
      </c>
      <c r="C2394" s="18"/>
      <c r="D2394" s="19"/>
    </row>
    <row r="2395" spans="1:4" x14ac:dyDescent="0.3">
      <c r="A2395" s="16">
        <v>45449.995138999999</v>
      </c>
      <c r="B2395" s="17">
        <v>58.994152</v>
      </c>
      <c r="C2395" s="18"/>
      <c r="D2395" s="19"/>
    </row>
    <row r="2396" spans="1:4" x14ac:dyDescent="0.3">
      <c r="A2396" s="16">
        <v>45449.995833000001</v>
      </c>
      <c r="B2396" s="17">
        <v>59.328775999999998</v>
      </c>
      <c r="C2396" s="18"/>
      <c r="D2396" s="19"/>
    </row>
    <row r="2397" spans="1:4" x14ac:dyDescent="0.3">
      <c r="A2397" s="16">
        <v>45449.996528000003</v>
      </c>
      <c r="B2397" s="17">
        <v>58.941113999999999</v>
      </c>
      <c r="C2397" s="18"/>
      <c r="D2397" s="19"/>
    </row>
    <row r="2398" spans="1:4" x14ac:dyDescent="0.3">
      <c r="A2398" s="16">
        <v>45449.997221999998</v>
      </c>
      <c r="B2398" s="17">
        <v>59.486736999999998</v>
      </c>
      <c r="C2398" s="18"/>
      <c r="D2398" s="19"/>
    </row>
    <row r="2399" spans="1:4" x14ac:dyDescent="0.3">
      <c r="A2399" s="16">
        <v>45449.997917000001</v>
      </c>
      <c r="B2399" s="17">
        <v>59.080689</v>
      </c>
      <c r="C2399" s="18"/>
      <c r="D2399" s="19"/>
    </row>
    <row r="2400" spans="1:4" x14ac:dyDescent="0.3">
      <c r="A2400" s="16">
        <v>45449.998611000003</v>
      </c>
      <c r="B2400" s="17">
        <v>59.385095</v>
      </c>
      <c r="C2400" s="18"/>
      <c r="D2400" s="19"/>
    </row>
    <row r="2401" spans="1:4" x14ac:dyDescent="0.3">
      <c r="A2401" s="16">
        <v>45449.999305999998</v>
      </c>
      <c r="B2401" s="17">
        <v>59.429457999999997</v>
      </c>
      <c r="C2401" s="18"/>
      <c r="D2401" s="19"/>
    </row>
    <row r="2402" spans="1:4" x14ac:dyDescent="0.3">
      <c r="A2402" s="16">
        <v>45450</v>
      </c>
      <c r="B2402" s="17">
        <v>59.305157999999999</v>
      </c>
      <c r="C2402" s="18"/>
      <c r="D2402" s="19"/>
    </row>
    <row r="2403" spans="1:4" x14ac:dyDescent="0.3">
      <c r="A2403" s="16">
        <v>45450.000694000002</v>
      </c>
      <c r="B2403" s="17">
        <v>59.166938999999999</v>
      </c>
      <c r="C2403" s="18"/>
      <c r="D2403" s="19"/>
    </row>
    <row r="2404" spans="1:4" x14ac:dyDescent="0.3">
      <c r="A2404" s="16">
        <v>45450.001388999997</v>
      </c>
      <c r="B2404" s="17">
        <v>59.400326</v>
      </c>
      <c r="C2404" s="18"/>
      <c r="D2404" s="19"/>
    </row>
    <row r="2405" spans="1:4" x14ac:dyDescent="0.3">
      <c r="A2405" s="16">
        <v>45450.002082999999</v>
      </c>
      <c r="B2405" s="17">
        <v>59.461655999999998</v>
      </c>
      <c r="C2405" s="18"/>
      <c r="D2405" s="19"/>
    </row>
    <row r="2406" spans="1:4" x14ac:dyDescent="0.3">
      <c r="A2406" s="16">
        <v>45450.002778000002</v>
      </c>
      <c r="B2406" s="17">
        <v>59.333395000000003</v>
      </c>
      <c r="C2406" s="18"/>
      <c r="D2406" s="19"/>
    </row>
    <row r="2407" spans="1:4" x14ac:dyDescent="0.3">
      <c r="A2407" s="16">
        <v>45450.003471999997</v>
      </c>
      <c r="B2407" s="17">
        <v>59.368099999999998</v>
      </c>
      <c r="C2407" s="18"/>
      <c r="D2407" s="19"/>
    </row>
    <row r="2408" spans="1:4" x14ac:dyDescent="0.3">
      <c r="A2408" s="16">
        <v>45450.004166999999</v>
      </c>
      <c r="B2408" s="17">
        <v>59.282640000000001</v>
      </c>
      <c r="C2408" s="18"/>
      <c r="D2408" s="19"/>
    </row>
    <row r="2409" spans="1:4" x14ac:dyDescent="0.3">
      <c r="A2409" s="16">
        <v>45450.004861000001</v>
      </c>
      <c r="B2409" s="17">
        <v>59.462392000000001</v>
      </c>
      <c r="C2409" s="18"/>
      <c r="D2409" s="19"/>
    </row>
    <row r="2410" spans="1:4" x14ac:dyDescent="0.3">
      <c r="A2410" s="16">
        <v>45450.005555999996</v>
      </c>
      <c r="B2410" s="17">
        <v>59.178457999999999</v>
      </c>
      <c r="C2410" s="18"/>
      <c r="D2410" s="19"/>
    </row>
    <row r="2411" spans="1:4" x14ac:dyDescent="0.3">
      <c r="A2411" s="16">
        <v>45450.006249999999</v>
      </c>
      <c r="B2411" s="17">
        <v>59.865295000000003</v>
      </c>
      <c r="C2411" s="18"/>
      <c r="D2411" s="19"/>
    </row>
    <row r="2412" spans="1:4" x14ac:dyDescent="0.3">
      <c r="A2412" s="16">
        <v>45450.006944000001</v>
      </c>
      <c r="B2412" s="17">
        <v>59.671770000000002</v>
      </c>
      <c r="C2412" s="18"/>
      <c r="D2412" s="19"/>
    </row>
    <row r="2413" spans="1:4" x14ac:dyDescent="0.3">
      <c r="A2413" s="16">
        <v>45450.007639000003</v>
      </c>
      <c r="B2413" s="17">
        <v>59.192210000000003</v>
      </c>
      <c r="C2413" s="18"/>
      <c r="D2413" s="19"/>
    </row>
    <row r="2414" spans="1:4" x14ac:dyDescent="0.3">
      <c r="A2414" s="16">
        <v>45450.008332999998</v>
      </c>
      <c r="B2414" s="17">
        <v>59.439912999999997</v>
      </c>
      <c r="C2414" s="18"/>
      <c r="D2414" s="19"/>
    </row>
    <row r="2415" spans="1:4" x14ac:dyDescent="0.3">
      <c r="A2415" s="16">
        <v>45450.009028</v>
      </c>
      <c r="B2415" s="17">
        <v>59.414346000000002</v>
      </c>
      <c r="C2415" s="18"/>
      <c r="D2415" s="19"/>
    </row>
    <row r="2416" spans="1:4" x14ac:dyDescent="0.3">
      <c r="A2416" s="16">
        <v>45450.009722000003</v>
      </c>
      <c r="B2416" s="17">
        <v>59.096992</v>
      </c>
      <c r="C2416" s="18"/>
      <c r="D2416" s="19"/>
    </row>
    <row r="2417" spans="1:4" x14ac:dyDescent="0.3">
      <c r="A2417" s="16">
        <v>45450.010416999998</v>
      </c>
      <c r="B2417" s="17">
        <v>59.269171</v>
      </c>
      <c r="C2417" s="18"/>
      <c r="D2417" s="19"/>
    </row>
    <row r="2418" spans="1:4" x14ac:dyDescent="0.3">
      <c r="A2418" s="16">
        <v>45450.011111</v>
      </c>
      <c r="B2418" s="17">
        <v>59.575882999999997</v>
      </c>
      <c r="C2418" s="18"/>
      <c r="D2418" s="19"/>
    </row>
    <row r="2419" spans="1:4" x14ac:dyDescent="0.3">
      <c r="A2419" s="16">
        <v>45450.011806000002</v>
      </c>
      <c r="B2419" s="17">
        <v>59.489106</v>
      </c>
      <c r="C2419" s="18"/>
      <c r="D2419" s="19"/>
    </row>
    <row r="2420" spans="1:4" x14ac:dyDescent="0.3">
      <c r="A2420" s="16">
        <v>45450.012499999997</v>
      </c>
      <c r="B2420" s="17">
        <v>59.833475</v>
      </c>
      <c r="C2420" s="18"/>
      <c r="D2420" s="19"/>
    </row>
    <row r="2421" spans="1:4" x14ac:dyDescent="0.3">
      <c r="A2421" s="16">
        <v>45450.013193999999</v>
      </c>
      <c r="B2421" s="17">
        <v>58.987062000000002</v>
      </c>
      <c r="C2421" s="18"/>
      <c r="D2421" s="19"/>
    </row>
    <row r="2422" spans="1:4" x14ac:dyDescent="0.3">
      <c r="A2422" s="16">
        <v>45450.013889000002</v>
      </c>
      <c r="B2422" s="17">
        <v>59.016061999999998</v>
      </c>
      <c r="C2422" s="18"/>
      <c r="D2422" s="19"/>
    </row>
    <row r="2423" spans="1:4" x14ac:dyDescent="0.3">
      <c r="A2423" s="16">
        <v>45450.014582999996</v>
      </c>
      <c r="B2423" s="17">
        <v>59.418931999999998</v>
      </c>
      <c r="C2423" s="18"/>
      <c r="D2423" s="19"/>
    </row>
    <row r="2424" spans="1:4" x14ac:dyDescent="0.3">
      <c r="A2424" s="16">
        <v>45450.015277999999</v>
      </c>
      <c r="B2424" s="17">
        <v>59.437317</v>
      </c>
      <c r="C2424" s="18"/>
      <c r="D2424" s="19"/>
    </row>
    <row r="2425" spans="1:4" x14ac:dyDescent="0.3">
      <c r="A2425" s="16">
        <v>45450.015972000001</v>
      </c>
      <c r="B2425" s="17">
        <v>59.539839999999998</v>
      </c>
      <c r="C2425" s="18"/>
      <c r="D2425" s="19"/>
    </row>
    <row r="2426" spans="1:4" x14ac:dyDescent="0.3">
      <c r="A2426" s="16">
        <v>45450.016667000004</v>
      </c>
      <c r="B2426" s="17">
        <v>59.092486000000001</v>
      </c>
      <c r="C2426" s="18"/>
      <c r="D2426" s="19"/>
    </row>
    <row r="2427" spans="1:4" x14ac:dyDescent="0.3">
      <c r="A2427" s="16">
        <v>45450.017360999998</v>
      </c>
      <c r="B2427" s="17">
        <v>59.243671999999997</v>
      </c>
      <c r="C2427" s="18"/>
      <c r="D2427" s="19"/>
    </row>
    <row r="2428" spans="1:4" x14ac:dyDescent="0.3">
      <c r="A2428" s="16">
        <v>45450.018056000001</v>
      </c>
      <c r="B2428" s="17">
        <v>59.293388999999998</v>
      </c>
      <c r="C2428" s="18"/>
      <c r="D2428" s="19"/>
    </row>
    <row r="2429" spans="1:4" x14ac:dyDescent="0.3">
      <c r="A2429" s="16">
        <v>45450.018750000003</v>
      </c>
      <c r="B2429" s="17">
        <v>59.196078</v>
      </c>
      <c r="C2429" s="18"/>
      <c r="D2429" s="19"/>
    </row>
    <row r="2430" spans="1:4" x14ac:dyDescent="0.3">
      <c r="A2430" s="16">
        <v>45450.019443999998</v>
      </c>
      <c r="B2430" s="17">
        <v>59.073624000000002</v>
      </c>
      <c r="C2430" s="18"/>
      <c r="D2430" s="19"/>
    </row>
    <row r="2431" spans="1:4" x14ac:dyDescent="0.3">
      <c r="A2431" s="16">
        <v>45450.020139</v>
      </c>
      <c r="B2431" s="17">
        <v>58.738446000000003</v>
      </c>
      <c r="C2431" s="18"/>
      <c r="D2431" s="19"/>
    </row>
    <row r="2432" spans="1:4" x14ac:dyDescent="0.3">
      <c r="A2432" s="16">
        <v>45450.020833000002</v>
      </c>
      <c r="B2432" s="17">
        <v>59.626641999999997</v>
      </c>
      <c r="C2432" s="18"/>
      <c r="D2432" s="19"/>
    </row>
    <row r="2433" spans="1:4" x14ac:dyDescent="0.3">
      <c r="A2433" s="16">
        <v>45450.021527999997</v>
      </c>
      <c r="B2433" s="17">
        <v>59.458959</v>
      </c>
      <c r="C2433" s="18"/>
      <c r="D2433" s="19"/>
    </row>
    <row r="2434" spans="1:4" x14ac:dyDescent="0.3">
      <c r="A2434" s="16">
        <v>45450.022222</v>
      </c>
      <c r="B2434" s="17">
        <v>59.459032999999998</v>
      </c>
      <c r="C2434" s="18"/>
      <c r="D2434" s="19"/>
    </row>
    <row r="2435" spans="1:4" x14ac:dyDescent="0.3">
      <c r="A2435" s="16">
        <v>45450.022917000002</v>
      </c>
      <c r="B2435" s="17">
        <v>59.400981000000002</v>
      </c>
      <c r="C2435" s="18"/>
      <c r="D2435" s="19"/>
    </row>
    <row r="2436" spans="1:4" x14ac:dyDescent="0.3">
      <c r="A2436" s="16">
        <v>45450.023610999997</v>
      </c>
      <c r="B2436" s="17">
        <v>59.431370000000001</v>
      </c>
      <c r="C2436" s="18"/>
      <c r="D2436" s="19"/>
    </row>
    <row r="2437" spans="1:4" x14ac:dyDescent="0.3">
      <c r="A2437" s="16">
        <v>45450.024305999999</v>
      </c>
      <c r="B2437" s="17">
        <v>58.968772999999999</v>
      </c>
      <c r="C2437" s="18"/>
      <c r="D2437" s="19"/>
    </row>
    <row r="2438" spans="1:4" x14ac:dyDescent="0.3">
      <c r="A2438" s="16">
        <v>45450.025000000001</v>
      </c>
      <c r="B2438" s="17">
        <v>59.067219000000001</v>
      </c>
      <c r="C2438" s="18"/>
      <c r="D2438" s="19"/>
    </row>
    <row r="2439" spans="1:4" x14ac:dyDescent="0.3">
      <c r="A2439" s="16">
        <v>45450.025694000004</v>
      </c>
      <c r="B2439" s="17">
        <v>59.381101000000001</v>
      </c>
      <c r="C2439" s="18"/>
      <c r="D2439" s="19"/>
    </row>
    <row r="2440" spans="1:4" x14ac:dyDescent="0.3">
      <c r="A2440" s="16">
        <v>45450.026388999999</v>
      </c>
      <c r="B2440" s="17">
        <v>58.949123999999998</v>
      </c>
      <c r="C2440" s="18"/>
      <c r="D2440" s="19"/>
    </row>
    <row r="2441" spans="1:4" x14ac:dyDescent="0.3">
      <c r="A2441" s="16">
        <v>45450.027083000001</v>
      </c>
      <c r="B2441" s="17">
        <v>59.367556999999998</v>
      </c>
      <c r="C2441" s="18"/>
      <c r="D2441" s="19"/>
    </row>
    <row r="2442" spans="1:4" x14ac:dyDescent="0.3">
      <c r="A2442" s="16">
        <v>45450.027778000003</v>
      </c>
      <c r="B2442" s="17">
        <v>59.337749000000002</v>
      </c>
      <c r="C2442" s="18"/>
      <c r="D2442" s="19"/>
    </row>
    <row r="2443" spans="1:4" x14ac:dyDescent="0.3">
      <c r="A2443" s="16">
        <v>45450.028471999998</v>
      </c>
      <c r="B2443" s="17">
        <v>59.088439000000001</v>
      </c>
      <c r="C2443" s="18"/>
      <c r="D2443" s="19"/>
    </row>
    <row r="2444" spans="1:4" x14ac:dyDescent="0.3">
      <c r="A2444" s="16">
        <v>45450.029167000001</v>
      </c>
      <c r="B2444" s="17">
        <v>59.196382999999997</v>
      </c>
      <c r="C2444" s="18"/>
      <c r="D2444" s="19"/>
    </row>
    <row r="2445" spans="1:4" x14ac:dyDescent="0.3">
      <c r="A2445" s="16">
        <v>45450.029861000003</v>
      </c>
      <c r="B2445" s="17">
        <v>59.418273999999997</v>
      </c>
      <c r="C2445" s="18"/>
      <c r="D2445" s="19"/>
    </row>
    <row r="2446" spans="1:4" x14ac:dyDescent="0.3">
      <c r="A2446" s="16">
        <v>45450.030555999998</v>
      </c>
      <c r="B2446" s="17">
        <v>59.312733000000001</v>
      </c>
      <c r="C2446" s="18"/>
      <c r="D2446" s="19"/>
    </row>
    <row r="2447" spans="1:4" x14ac:dyDescent="0.3">
      <c r="A2447" s="16">
        <v>45450.03125</v>
      </c>
      <c r="B2447" s="17">
        <v>59.055819</v>
      </c>
      <c r="C2447" s="18"/>
      <c r="D2447" s="19"/>
    </row>
    <row r="2448" spans="1:4" x14ac:dyDescent="0.3">
      <c r="A2448" s="16">
        <v>45450.031944000002</v>
      </c>
      <c r="B2448" s="17">
        <v>59.383251000000001</v>
      </c>
      <c r="C2448" s="18"/>
      <c r="D2448" s="19"/>
    </row>
    <row r="2449" spans="1:4" x14ac:dyDescent="0.3">
      <c r="A2449" s="16">
        <v>45450.032638999997</v>
      </c>
      <c r="B2449" s="17">
        <v>59.308312000000001</v>
      </c>
      <c r="C2449" s="18"/>
      <c r="D2449" s="19"/>
    </row>
    <row r="2450" spans="1:4" x14ac:dyDescent="0.3">
      <c r="A2450" s="16">
        <v>45450.033332999999</v>
      </c>
      <c r="B2450" s="17">
        <v>59.161928000000003</v>
      </c>
      <c r="C2450" s="18"/>
      <c r="D2450" s="19"/>
    </row>
    <row r="2451" spans="1:4" x14ac:dyDescent="0.3">
      <c r="A2451" s="16">
        <v>45450.034028000002</v>
      </c>
      <c r="B2451" s="17">
        <v>59.19699</v>
      </c>
      <c r="C2451" s="18"/>
      <c r="D2451" s="19"/>
    </row>
    <row r="2452" spans="1:4" x14ac:dyDescent="0.3">
      <c r="A2452" s="16">
        <v>45450.034721999997</v>
      </c>
      <c r="B2452" s="17">
        <v>59.260928999999997</v>
      </c>
      <c r="C2452" s="18"/>
      <c r="D2452" s="19"/>
    </row>
    <row r="2453" spans="1:4" x14ac:dyDescent="0.3">
      <c r="A2453" s="16">
        <v>45450.035416999999</v>
      </c>
      <c r="B2453" s="17">
        <v>59.272314999999999</v>
      </c>
      <c r="C2453" s="18"/>
      <c r="D2453" s="19"/>
    </row>
    <row r="2454" spans="1:4" x14ac:dyDescent="0.3">
      <c r="A2454" s="16">
        <v>45450.036111000001</v>
      </c>
      <c r="B2454" s="17">
        <v>59.230280999999998</v>
      </c>
      <c r="C2454" s="18"/>
      <c r="D2454" s="19"/>
    </row>
    <row r="2455" spans="1:4" x14ac:dyDescent="0.3">
      <c r="A2455" s="16">
        <v>45450.036805999996</v>
      </c>
      <c r="B2455" s="17">
        <v>59.239930999999999</v>
      </c>
      <c r="C2455" s="18"/>
      <c r="D2455" s="19"/>
    </row>
    <row r="2456" spans="1:4" x14ac:dyDescent="0.3">
      <c r="A2456" s="16">
        <v>45450.037499999999</v>
      </c>
      <c r="B2456" s="17">
        <v>59.320718999999997</v>
      </c>
      <c r="C2456" s="18"/>
      <c r="D2456" s="19"/>
    </row>
    <row r="2457" spans="1:4" x14ac:dyDescent="0.3">
      <c r="A2457" s="16">
        <v>45450.038194000001</v>
      </c>
      <c r="B2457" s="17">
        <v>59.172527000000002</v>
      </c>
      <c r="C2457" s="18"/>
      <c r="D2457" s="19"/>
    </row>
    <row r="2458" spans="1:4" x14ac:dyDescent="0.3">
      <c r="A2458" s="16">
        <v>45450.038889000003</v>
      </c>
      <c r="B2458" s="17">
        <v>58.968589000000001</v>
      </c>
      <c r="C2458" s="18"/>
      <c r="D2458" s="19"/>
    </row>
    <row r="2459" spans="1:4" x14ac:dyDescent="0.3">
      <c r="A2459" s="16">
        <v>45450.039582999998</v>
      </c>
      <c r="B2459" s="17">
        <v>59.312151</v>
      </c>
      <c r="C2459" s="18"/>
      <c r="D2459" s="19"/>
    </row>
    <row r="2460" spans="1:4" x14ac:dyDescent="0.3">
      <c r="A2460" s="16">
        <v>45450.040278</v>
      </c>
      <c r="B2460" s="17">
        <v>58.961714000000001</v>
      </c>
      <c r="C2460" s="18"/>
      <c r="D2460" s="19"/>
    </row>
    <row r="2461" spans="1:4" x14ac:dyDescent="0.3">
      <c r="A2461" s="16">
        <v>45450.040972000003</v>
      </c>
      <c r="B2461" s="17">
        <v>59.052812000000003</v>
      </c>
      <c r="C2461" s="18"/>
      <c r="D2461" s="19"/>
    </row>
    <row r="2462" spans="1:4" x14ac:dyDescent="0.3">
      <c r="A2462" s="16">
        <v>45450.041666999998</v>
      </c>
      <c r="B2462" s="17">
        <v>59.485284</v>
      </c>
      <c r="C2462" s="18"/>
      <c r="D2462" s="19"/>
    </row>
    <row r="2463" spans="1:4" x14ac:dyDescent="0.3">
      <c r="A2463" s="16">
        <v>45450.042361</v>
      </c>
      <c r="B2463" s="17">
        <v>59.356388000000003</v>
      </c>
      <c r="C2463" s="18"/>
      <c r="D2463" s="19"/>
    </row>
    <row r="2464" spans="1:4" x14ac:dyDescent="0.3">
      <c r="A2464" s="16">
        <v>45450.043056000002</v>
      </c>
      <c r="B2464" s="17">
        <v>58.964120000000001</v>
      </c>
      <c r="C2464" s="18"/>
      <c r="D2464" s="19"/>
    </row>
    <row r="2465" spans="1:4" x14ac:dyDescent="0.3">
      <c r="A2465" s="16">
        <v>45450.043749999997</v>
      </c>
      <c r="B2465" s="17">
        <v>58.981354000000003</v>
      </c>
      <c r="C2465" s="18"/>
      <c r="D2465" s="19"/>
    </row>
    <row r="2466" spans="1:4" x14ac:dyDescent="0.3">
      <c r="A2466" s="16">
        <v>45450.044443999999</v>
      </c>
      <c r="B2466" s="17">
        <v>58.877105</v>
      </c>
      <c r="C2466" s="18"/>
      <c r="D2466" s="19"/>
    </row>
    <row r="2467" spans="1:4" x14ac:dyDescent="0.3">
      <c r="A2467" s="16">
        <v>45450.045139000002</v>
      </c>
      <c r="B2467" s="17">
        <v>59.732067000000001</v>
      </c>
      <c r="C2467" s="18"/>
      <c r="D2467" s="19"/>
    </row>
    <row r="2468" spans="1:4" x14ac:dyDescent="0.3">
      <c r="A2468" s="16">
        <v>45450.045832999996</v>
      </c>
      <c r="B2468" s="17">
        <v>59.273685</v>
      </c>
      <c r="C2468" s="18"/>
      <c r="D2468" s="19"/>
    </row>
    <row r="2469" spans="1:4" x14ac:dyDescent="0.3">
      <c r="A2469" s="16">
        <v>45450.046527999999</v>
      </c>
      <c r="B2469" s="17">
        <v>59.477677999999997</v>
      </c>
      <c r="C2469" s="18"/>
      <c r="D2469" s="19"/>
    </row>
    <row r="2470" spans="1:4" x14ac:dyDescent="0.3">
      <c r="A2470" s="16">
        <v>45450.047222000001</v>
      </c>
      <c r="B2470" s="17">
        <v>58.839858999999997</v>
      </c>
      <c r="C2470" s="18"/>
      <c r="D2470" s="19"/>
    </row>
    <row r="2471" spans="1:4" x14ac:dyDescent="0.3">
      <c r="A2471" s="16">
        <v>45450.047917000004</v>
      </c>
      <c r="B2471" s="17">
        <v>59.354846999999999</v>
      </c>
      <c r="C2471" s="18"/>
      <c r="D2471" s="19"/>
    </row>
    <row r="2472" spans="1:4" x14ac:dyDescent="0.3">
      <c r="A2472" s="16">
        <v>45450.048610999998</v>
      </c>
      <c r="B2472" s="17">
        <v>59.407743000000004</v>
      </c>
      <c r="C2472" s="18"/>
      <c r="D2472" s="19"/>
    </row>
    <row r="2473" spans="1:4" x14ac:dyDescent="0.3">
      <c r="A2473" s="16">
        <v>45450.049306000001</v>
      </c>
      <c r="B2473" s="17">
        <v>59.290897999999999</v>
      </c>
      <c r="C2473" s="18"/>
      <c r="D2473" s="19"/>
    </row>
    <row r="2474" spans="1:4" x14ac:dyDescent="0.3">
      <c r="A2474" s="16">
        <v>45450.05</v>
      </c>
      <c r="B2474" s="17">
        <v>59.393883000000002</v>
      </c>
      <c r="C2474" s="18"/>
      <c r="D2474" s="19"/>
    </row>
    <row r="2475" spans="1:4" x14ac:dyDescent="0.3">
      <c r="A2475" s="16">
        <v>45450.050693999998</v>
      </c>
      <c r="B2475" s="17">
        <v>58.921024000000003</v>
      </c>
      <c r="C2475" s="18"/>
      <c r="D2475" s="19"/>
    </row>
    <row r="2476" spans="1:4" x14ac:dyDescent="0.3">
      <c r="A2476" s="16">
        <v>45450.051389</v>
      </c>
      <c r="B2476" s="17">
        <v>59.461413</v>
      </c>
      <c r="C2476" s="18"/>
      <c r="D2476" s="19"/>
    </row>
    <row r="2477" spans="1:4" x14ac:dyDescent="0.3">
      <c r="A2477" s="16">
        <v>45450.052083000002</v>
      </c>
      <c r="B2477" s="17">
        <v>59.111882000000001</v>
      </c>
      <c r="C2477" s="18"/>
      <c r="D2477" s="19"/>
    </row>
    <row r="2478" spans="1:4" x14ac:dyDescent="0.3">
      <c r="A2478" s="16">
        <v>45450.052777999997</v>
      </c>
      <c r="B2478" s="17">
        <v>59.305993000000001</v>
      </c>
      <c r="C2478" s="18"/>
      <c r="D2478" s="19"/>
    </row>
    <row r="2479" spans="1:4" x14ac:dyDescent="0.3">
      <c r="A2479" s="16">
        <v>45450.053472</v>
      </c>
      <c r="B2479" s="17">
        <v>59.025145000000002</v>
      </c>
      <c r="C2479" s="18"/>
      <c r="D2479" s="19"/>
    </row>
    <row r="2480" spans="1:4" x14ac:dyDescent="0.3">
      <c r="A2480" s="16">
        <v>45450.054167000002</v>
      </c>
      <c r="B2480" s="17">
        <v>59.215777000000003</v>
      </c>
      <c r="C2480" s="18"/>
      <c r="D2480" s="19"/>
    </row>
    <row r="2481" spans="1:4" x14ac:dyDescent="0.3">
      <c r="A2481" s="16">
        <v>45450.054860999997</v>
      </c>
      <c r="B2481" s="17">
        <v>59.279943000000003</v>
      </c>
      <c r="C2481" s="18"/>
      <c r="D2481" s="19"/>
    </row>
    <row r="2482" spans="1:4" x14ac:dyDescent="0.3">
      <c r="A2482" s="16">
        <v>45450.055555999999</v>
      </c>
      <c r="B2482" s="17">
        <v>59.388623000000003</v>
      </c>
      <c r="C2482" s="18"/>
      <c r="D2482" s="19"/>
    </row>
    <row r="2483" spans="1:4" x14ac:dyDescent="0.3">
      <c r="A2483" s="16">
        <v>45450.056250000001</v>
      </c>
      <c r="B2483" s="17">
        <v>59.26397</v>
      </c>
      <c r="C2483" s="18"/>
      <c r="D2483" s="19"/>
    </row>
    <row r="2484" spans="1:4" x14ac:dyDescent="0.3">
      <c r="A2484" s="16">
        <v>45450.056944000004</v>
      </c>
      <c r="B2484" s="17">
        <v>59.245856000000003</v>
      </c>
      <c r="C2484" s="18"/>
      <c r="D2484" s="19"/>
    </row>
    <row r="2485" spans="1:4" x14ac:dyDescent="0.3">
      <c r="A2485" s="16">
        <v>45450.057638999999</v>
      </c>
      <c r="B2485" s="17">
        <v>59.438420999999998</v>
      </c>
      <c r="C2485" s="18"/>
      <c r="D2485" s="19"/>
    </row>
    <row r="2486" spans="1:4" x14ac:dyDescent="0.3">
      <c r="A2486" s="16">
        <v>45450.058333000001</v>
      </c>
      <c r="B2486" s="17">
        <v>58.746594000000002</v>
      </c>
      <c r="C2486" s="18"/>
      <c r="D2486" s="19"/>
    </row>
    <row r="2487" spans="1:4" x14ac:dyDescent="0.3">
      <c r="A2487" s="16">
        <v>45450.059028000003</v>
      </c>
      <c r="B2487" s="17">
        <v>59.455351999999998</v>
      </c>
      <c r="C2487" s="18"/>
      <c r="D2487" s="19"/>
    </row>
    <row r="2488" spans="1:4" x14ac:dyDescent="0.3">
      <c r="A2488" s="16">
        <v>45450.059721999998</v>
      </c>
      <c r="B2488" s="17">
        <v>59.459772000000001</v>
      </c>
      <c r="C2488" s="18"/>
      <c r="D2488" s="19"/>
    </row>
    <row r="2489" spans="1:4" x14ac:dyDescent="0.3">
      <c r="A2489" s="16">
        <v>45450.060417000001</v>
      </c>
      <c r="B2489" s="17">
        <v>59.466341</v>
      </c>
      <c r="C2489" s="18"/>
      <c r="D2489" s="19"/>
    </row>
    <row r="2490" spans="1:4" x14ac:dyDescent="0.3">
      <c r="A2490" s="16">
        <v>45450.061111000003</v>
      </c>
      <c r="B2490" s="17">
        <v>59.643230000000003</v>
      </c>
      <c r="C2490" s="18"/>
      <c r="D2490" s="19"/>
    </row>
    <row r="2491" spans="1:4" x14ac:dyDescent="0.3">
      <c r="A2491" s="16">
        <v>45450.061805999998</v>
      </c>
      <c r="B2491" s="17">
        <v>58.861621</v>
      </c>
      <c r="C2491" s="18"/>
      <c r="D2491" s="19"/>
    </row>
    <row r="2492" spans="1:4" x14ac:dyDescent="0.3">
      <c r="A2492" s="16">
        <v>45450.0625</v>
      </c>
      <c r="B2492" s="17">
        <v>58.957129000000002</v>
      </c>
      <c r="C2492" s="18"/>
      <c r="D2492" s="19"/>
    </row>
    <row r="2493" spans="1:4" x14ac:dyDescent="0.3">
      <c r="A2493" s="16">
        <v>45450.063194000002</v>
      </c>
      <c r="B2493" s="17">
        <v>58.777203999999998</v>
      </c>
      <c r="C2493" s="18"/>
      <c r="D2493" s="19"/>
    </row>
    <row r="2494" spans="1:4" x14ac:dyDescent="0.3">
      <c r="A2494" s="16">
        <v>45450.063888999997</v>
      </c>
      <c r="B2494" s="17">
        <v>59.547331999999997</v>
      </c>
      <c r="C2494" s="18"/>
      <c r="D2494" s="19"/>
    </row>
    <row r="2495" spans="1:4" x14ac:dyDescent="0.3">
      <c r="A2495" s="16">
        <v>45450.064582999999</v>
      </c>
      <c r="B2495" s="17">
        <v>59.246535999999999</v>
      </c>
      <c r="C2495" s="18"/>
      <c r="D2495" s="19"/>
    </row>
    <row r="2496" spans="1:4" x14ac:dyDescent="0.3">
      <c r="A2496" s="16">
        <v>45450.065278000002</v>
      </c>
      <c r="B2496" s="17">
        <v>59.444333999999998</v>
      </c>
      <c r="C2496" s="18"/>
      <c r="D2496" s="19"/>
    </row>
    <row r="2497" spans="1:4" x14ac:dyDescent="0.3">
      <c r="A2497" s="16">
        <v>45450.065971999997</v>
      </c>
      <c r="B2497" s="17">
        <v>59.683649000000003</v>
      </c>
      <c r="C2497" s="18"/>
      <c r="D2497" s="19"/>
    </row>
    <row r="2498" spans="1:4" x14ac:dyDescent="0.3">
      <c r="A2498" s="16">
        <v>45450.066666999999</v>
      </c>
      <c r="B2498" s="17">
        <v>59.119774</v>
      </c>
      <c r="C2498" s="18"/>
      <c r="D2498" s="19"/>
    </row>
    <row r="2499" spans="1:4" x14ac:dyDescent="0.3">
      <c r="A2499" s="16">
        <v>45450.067361000001</v>
      </c>
      <c r="B2499" s="17">
        <v>59.301051000000001</v>
      </c>
      <c r="C2499" s="18"/>
      <c r="D2499" s="19"/>
    </row>
    <row r="2500" spans="1:4" x14ac:dyDescent="0.3">
      <c r="A2500" s="16">
        <v>45450.068055999996</v>
      </c>
      <c r="B2500" s="17">
        <v>59.309733999999999</v>
      </c>
      <c r="C2500" s="18"/>
      <c r="D2500" s="19"/>
    </row>
    <row r="2501" spans="1:4" x14ac:dyDescent="0.3">
      <c r="A2501" s="16">
        <v>45450.068749999999</v>
      </c>
      <c r="B2501" s="17">
        <v>59.160589000000002</v>
      </c>
      <c r="C2501" s="18"/>
      <c r="D2501" s="19"/>
    </row>
    <row r="2502" spans="1:4" x14ac:dyDescent="0.3">
      <c r="A2502" s="16">
        <v>45450.069444000001</v>
      </c>
      <c r="B2502" s="17">
        <v>59.213614999999997</v>
      </c>
      <c r="C2502" s="18"/>
      <c r="D2502" s="19"/>
    </row>
    <row r="2503" spans="1:4" x14ac:dyDescent="0.3">
      <c r="A2503" s="16">
        <v>45450.070139000003</v>
      </c>
      <c r="B2503" s="17">
        <v>59.235827999999998</v>
      </c>
      <c r="C2503" s="18"/>
      <c r="D2503" s="19"/>
    </row>
    <row r="2504" spans="1:4" x14ac:dyDescent="0.3">
      <c r="A2504" s="16">
        <v>45450.070832999998</v>
      </c>
      <c r="B2504" s="17">
        <v>59.399088999999996</v>
      </c>
      <c r="C2504" s="18"/>
      <c r="D2504" s="19"/>
    </row>
    <row r="2505" spans="1:4" x14ac:dyDescent="0.3">
      <c r="A2505" s="16">
        <v>45450.071528</v>
      </c>
      <c r="B2505" s="17">
        <v>59.38702</v>
      </c>
      <c r="C2505" s="18"/>
      <c r="D2505" s="19"/>
    </row>
    <row r="2506" spans="1:4" x14ac:dyDescent="0.3">
      <c r="A2506" s="16">
        <v>45450.072222000003</v>
      </c>
      <c r="B2506" s="17">
        <v>59.103700000000003</v>
      </c>
      <c r="C2506" s="18"/>
      <c r="D2506" s="19"/>
    </row>
    <row r="2507" spans="1:4" x14ac:dyDescent="0.3">
      <c r="A2507" s="16">
        <v>45450.072916999998</v>
      </c>
      <c r="B2507" s="17">
        <v>59.481153999999997</v>
      </c>
      <c r="C2507" s="18"/>
      <c r="D2507" s="19"/>
    </row>
    <row r="2508" spans="1:4" x14ac:dyDescent="0.3">
      <c r="A2508" s="16">
        <v>45450.073611</v>
      </c>
      <c r="B2508" s="17">
        <v>59.488565000000001</v>
      </c>
      <c r="C2508" s="18"/>
      <c r="D2508" s="19"/>
    </row>
    <row r="2509" spans="1:4" x14ac:dyDescent="0.3">
      <c r="A2509" s="16">
        <v>45450.074306000002</v>
      </c>
      <c r="B2509" s="17">
        <v>59.097844000000002</v>
      </c>
      <c r="C2509" s="18"/>
      <c r="D2509" s="19"/>
    </row>
    <row r="2510" spans="1:4" x14ac:dyDescent="0.3">
      <c r="A2510" s="16">
        <v>45450.074999999997</v>
      </c>
      <c r="B2510" s="17">
        <v>59.452629000000002</v>
      </c>
      <c r="C2510" s="18"/>
      <c r="D2510" s="19"/>
    </row>
    <row r="2511" spans="1:4" x14ac:dyDescent="0.3">
      <c r="A2511" s="16">
        <v>45450.075693999999</v>
      </c>
      <c r="B2511" s="17">
        <v>59.354044999999999</v>
      </c>
      <c r="C2511" s="18"/>
      <c r="D2511" s="19"/>
    </row>
    <row r="2512" spans="1:4" x14ac:dyDescent="0.3">
      <c r="A2512" s="16">
        <v>45450.076389000002</v>
      </c>
      <c r="B2512" s="17">
        <v>59.437600000000003</v>
      </c>
      <c r="C2512" s="18"/>
      <c r="D2512" s="19"/>
    </row>
    <row r="2513" spans="1:4" x14ac:dyDescent="0.3">
      <c r="A2513" s="16">
        <v>45450.077082999996</v>
      </c>
      <c r="B2513" s="17">
        <v>59.608625000000004</v>
      </c>
      <c r="C2513" s="18"/>
      <c r="D2513" s="19"/>
    </row>
    <row r="2514" spans="1:4" x14ac:dyDescent="0.3">
      <c r="A2514" s="16">
        <v>45450.077777999999</v>
      </c>
      <c r="B2514" s="17">
        <v>59.156930000000003</v>
      </c>
      <c r="C2514" s="18"/>
      <c r="D2514" s="19"/>
    </row>
    <row r="2515" spans="1:4" x14ac:dyDescent="0.3">
      <c r="A2515" s="16">
        <v>45450.078472000001</v>
      </c>
      <c r="B2515" s="17">
        <v>59.121780000000001</v>
      </c>
      <c r="C2515" s="18"/>
      <c r="D2515" s="19"/>
    </row>
    <row r="2516" spans="1:4" x14ac:dyDescent="0.3">
      <c r="A2516" s="16">
        <v>45450.079167000004</v>
      </c>
      <c r="B2516" s="17">
        <v>58.916594000000003</v>
      </c>
      <c r="C2516" s="18"/>
      <c r="D2516" s="19"/>
    </row>
    <row r="2517" spans="1:4" x14ac:dyDescent="0.3">
      <c r="A2517" s="16">
        <v>45450.079860999998</v>
      </c>
      <c r="B2517" s="17">
        <v>59.055171999999999</v>
      </c>
      <c r="C2517" s="18"/>
      <c r="D2517" s="19"/>
    </row>
    <row r="2518" spans="1:4" x14ac:dyDescent="0.3">
      <c r="A2518" s="16">
        <v>45450.080556000001</v>
      </c>
      <c r="B2518" s="17">
        <v>58.866356000000003</v>
      </c>
      <c r="C2518" s="18"/>
      <c r="D2518" s="19"/>
    </row>
    <row r="2519" spans="1:4" x14ac:dyDescent="0.3">
      <c r="A2519" s="16">
        <v>45450.081250000003</v>
      </c>
      <c r="B2519" s="17">
        <v>59.471456000000003</v>
      </c>
      <c r="C2519" s="18"/>
      <c r="D2519" s="19"/>
    </row>
    <row r="2520" spans="1:4" x14ac:dyDescent="0.3">
      <c r="A2520" s="16">
        <v>45450.081943999998</v>
      </c>
      <c r="B2520" s="17">
        <v>59.380533999999997</v>
      </c>
      <c r="C2520" s="18"/>
      <c r="D2520" s="19"/>
    </row>
    <row r="2521" spans="1:4" x14ac:dyDescent="0.3">
      <c r="A2521" s="16">
        <v>45450.082639</v>
      </c>
      <c r="B2521" s="17">
        <v>59.321672</v>
      </c>
      <c r="C2521" s="18"/>
      <c r="D2521" s="19"/>
    </row>
    <row r="2522" spans="1:4" x14ac:dyDescent="0.3">
      <c r="A2522" s="16">
        <v>45450.083333000002</v>
      </c>
      <c r="B2522" s="17">
        <v>59.676276000000001</v>
      </c>
      <c r="C2522" s="18"/>
      <c r="D2522" s="19"/>
    </row>
    <row r="2523" spans="1:4" x14ac:dyDescent="0.3">
      <c r="A2523" s="16">
        <v>45450.084027999997</v>
      </c>
      <c r="B2523" s="17">
        <v>59.774827000000002</v>
      </c>
      <c r="C2523" s="18"/>
      <c r="D2523" s="19"/>
    </row>
    <row r="2524" spans="1:4" x14ac:dyDescent="0.3">
      <c r="A2524" s="16">
        <v>45450.084722</v>
      </c>
      <c r="B2524" s="17">
        <v>59.589171999999998</v>
      </c>
      <c r="C2524" s="18"/>
      <c r="D2524" s="19"/>
    </row>
    <row r="2525" spans="1:4" x14ac:dyDescent="0.3">
      <c r="A2525" s="16">
        <v>45450.085417000002</v>
      </c>
      <c r="B2525" s="17">
        <v>59.189658999999999</v>
      </c>
      <c r="C2525" s="18"/>
      <c r="D2525" s="19"/>
    </row>
    <row r="2526" spans="1:4" x14ac:dyDescent="0.3">
      <c r="A2526" s="16">
        <v>45450.086110999997</v>
      </c>
      <c r="B2526" s="17">
        <v>59.427033999999999</v>
      </c>
      <c r="C2526" s="18"/>
      <c r="D2526" s="19"/>
    </row>
    <row r="2527" spans="1:4" x14ac:dyDescent="0.3">
      <c r="A2527" s="16">
        <v>45450.086805999999</v>
      </c>
      <c r="B2527" s="17">
        <v>59.063778999999997</v>
      </c>
      <c r="C2527" s="18"/>
      <c r="D2527" s="19"/>
    </row>
    <row r="2528" spans="1:4" x14ac:dyDescent="0.3">
      <c r="A2528" s="16">
        <v>45450.087500000001</v>
      </c>
      <c r="B2528" s="17">
        <v>59.241739000000003</v>
      </c>
      <c r="C2528" s="18"/>
      <c r="D2528" s="19"/>
    </row>
    <row r="2529" spans="1:4" x14ac:dyDescent="0.3">
      <c r="A2529" s="16">
        <v>45450.088194000004</v>
      </c>
      <c r="B2529" s="17">
        <v>59.194007999999997</v>
      </c>
      <c r="C2529" s="18"/>
      <c r="D2529" s="19"/>
    </row>
    <row r="2530" spans="1:4" x14ac:dyDescent="0.3">
      <c r="A2530" s="16">
        <v>45450.088888999999</v>
      </c>
      <c r="B2530" s="17">
        <v>59.327604000000001</v>
      </c>
      <c r="C2530" s="18"/>
      <c r="D2530" s="19"/>
    </row>
    <row r="2531" spans="1:4" x14ac:dyDescent="0.3">
      <c r="A2531" s="16">
        <v>45450.089583000001</v>
      </c>
      <c r="B2531" s="17">
        <v>59.008201999999997</v>
      </c>
      <c r="C2531" s="18"/>
      <c r="D2531" s="19"/>
    </row>
    <row r="2532" spans="1:4" x14ac:dyDescent="0.3">
      <c r="A2532" s="16">
        <v>45450.090278000003</v>
      </c>
      <c r="B2532" s="17">
        <v>59.336736000000002</v>
      </c>
      <c r="C2532" s="18"/>
      <c r="D2532" s="19"/>
    </row>
    <row r="2533" spans="1:4" x14ac:dyDescent="0.3">
      <c r="A2533" s="16">
        <v>45450.090971999998</v>
      </c>
      <c r="B2533" s="17">
        <v>59.547353000000001</v>
      </c>
      <c r="C2533" s="18"/>
      <c r="D2533" s="19"/>
    </row>
    <row r="2534" spans="1:4" x14ac:dyDescent="0.3">
      <c r="A2534" s="16">
        <v>45450.091667000001</v>
      </c>
      <c r="B2534" s="17">
        <v>58.926651999999997</v>
      </c>
      <c r="C2534" s="18"/>
      <c r="D2534" s="19"/>
    </row>
    <row r="2535" spans="1:4" x14ac:dyDescent="0.3">
      <c r="A2535" s="16">
        <v>45450.092361000003</v>
      </c>
      <c r="B2535" s="17">
        <v>59.288668999999999</v>
      </c>
      <c r="C2535" s="18"/>
      <c r="D2535" s="19"/>
    </row>
    <row r="2536" spans="1:4" x14ac:dyDescent="0.3">
      <c r="A2536" s="16">
        <v>45450.093055999998</v>
      </c>
      <c r="B2536" s="17">
        <v>59.448762000000002</v>
      </c>
      <c r="C2536" s="18"/>
      <c r="D2536" s="19"/>
    </row>
    <row r="2537" spans="1:4" x14ac:dyDescent="0.3">
      <c r="A2537" s="16">
        <v>45450.09375</v>
      </c>
      <c r="B2537" s="17">
        <v>59.520178000000001</v>
      </c>
      <c r="C2537" s="18"/>
      <c r="D2537" s="19"/>
    </row>
    <row r="2538" spans="1:4" x14ac:dyDescent="0.3">
      <c r="A2538" s="16">
        <v>45450.094444000002</v>
      </c>
      <c r="B2538" s="17">
        <v>59.182861000000003</v>
      </c>
      <c r="C2538" s="18"/>
      <c r="D2538" s="19"/>
    </row>
    <row r="2539" spans="1:4" x14ac:dyDescent="0.3">
      <c r="A2539" s="16">
        <v>45450.095138999997</v>
      </c>
      <c r="B2539" s="17">
        <v>59.402616999999999</v>
      </c>
      <c r="C2539" s="18"/>
      <c r="D2539" s="19"/>
    </row>
    <row r="2540" spans="1:4" x14ac:dyDescent="0.3">
      <c r="A2540" s="16">
        <v>45450.095832999999</v>
      </c>
      <c r="B2540" s="17">
        <v>59.355916999999998</v>
      </c>
      <c r="C2540" s="18"/>
      <c r="D2540" s="19"/>
    </row>
    <row r="2541" spans="1:4" x14ac:dyDescent="0.3">
      <c r="A2541" s="16">
        <v>45450.096528000002</v>
      </c>
      <c r="B2541" s="17">
        <v>59.688495000000003</v>
      </c>
      <c r="C2541" s="18"/>
      <c r="D2541" s="19"/>
    </row>
    <row r="2542" spans="1:4" x14ac:dyDescent="0.3">
      <c r="A2542" s="16">
        <v>45450.097221999997</v>
      </c>
      <c r="B2542" s="17">
        <v>59.317261999999999</v>
      </c>
      <c r="C2542" s="18"/>
      <c r="D2542" s="19"/>
    </row>
    <row r="2543" spans="1:4" x14ac:dyDescent="0.3">
      <c r="A2543" s="16">
        <v>45450.097916999999</v>
      </c>
      <c r="B2543" s="17">
        <v>59.327885999999999</v>
      </c>
      <c r="C2543" s="18"/>
      <c r="D2543" s="19"/>
    </row>
    <row r="2544" spans="1:4" x14ac:dyDescent="0.3">
      <c r="A2544" s="16">
        <v>45450.098611000001</v>
      </c>
      <c r="B2544" s="17">
        <v>59.210163999999999</v>
      </c>
      <c r="C2544" s="18"/>
      <c r="D2544" s="19"/>
    </row>
    <row r="2545" spans="1:4" x14ac:dyDescent="0.3">
      <c r="A2545" s="16">
        <v>45450.099305999996</v>
      </c>
      <c r="B2545" s="17">
        <v>59.543148000000002</v>
      </c>
      <c r="C2545" s="18"/>
      <c r="D2545" s="19"/>
    </row>
    <row r="2546" spans="1:4" x14ac:dyDescent="0.3">
      <c r="A2546" s="16">
        <v>45450.1</v>
      </c>
      <c r="B2546" s="17">
        <v>59.327725000000001</v>
      </c>
      <c r="C2546" s="18"/>
      <c r="D2546" s="19"/>
    </row>
    <row r="2547" spans="1:4" x14ac:dyDescent="0.3">
      <c r="A2547" s="16">
        <v>45450.100694000001</v>
      </c>
      <c r="B2547" s="17">
        <v>59.335855000000002</v>
      </c>
      <c r="C2547" s="18"/>
      <c r="D2547" s="19"/>
    </row>
    <row r="2548" spans="1:4" x14ac:dyDescent="0.3">
      <c r="A2548" s="16">
        <v>45450.101389000003</v>
      </c>
      <c r="B2548" s="17">
        <v>59.613368999999999</v>
      </c>
      <c r="C2548" s="18"/>
      <c r="D2548" s="19"/>
    </row>
    <row r="2549" spans="1:4" x14ac:dyDescent="0.3">
      <c r="A2549" s="16">
        <v>45450.102082999998</v>
      </c>
      <c r="B2549" s="17">
        <v>58.781768999999997</v>
      </c>
      <c r="C2549" s="18"/>
      <c r="D2549" s="19"/>
    </row>
    <row r="2550" spans="1:4" x14ac:dyDescent="0.3">
      <c r="A2550" s="16">
        <v>45450.102778</v>
      </c>
      <c r="B2550" s="17">
        <v>59.622430999999999</v>
      </c>
      <c r="C2550" s="18"/>
      <c r="D2550" s="19"/>
    </row>
    <row r="2551" spans="1:4" x14ac:dyDescent="0.3">
      <c r="A2551" s="16">
        <v>45450.103472000003</v>
      </c>
      <c r="B2551" s="17">
        <v>59.197349000000003</v>
      </c>
      <c r="C2551" s="18"/>
      <c r="D2551" s="19"/>
    </row>
    <row r="2552" spans="1:4" x14ac:dyDescent="0.3">
      <c r="A2552" s="16">
        <v>45450.104166999998</v>
      </c>
      <c r="B2552" s="17">
        <v>59.34995</v>
      </c>
      <c r="C2552" s="18"/>
      <c r="D2552" s="19"/>
    </row>
    <row r="2553" spans="1:4" x14ac:dyDescent="0.3">
      <c r="A2553" s="16">
        <v>45450.104861</v>
      </c>
      <c r="B2553" s="17">
        <v>59.203032999999998</v>
      </c>
      <c r="C2553" s="18"/>
      <c r="D2553" s="19"/>
    </row>
    <row r="2554" spans="1:4" x14ac:dyDescent="0.3">
      <c r="A2554" s="16">
        <v>45450.105556000002</v>
      </c>
      <c r="B2554" s="17">
        <v>59.295352999999999</v>
      </c>
      <c r="C2554" s="18"/>
      <c r="D2554" s="19"/>
    </row>
    <row r="2555" spans="1:4" x14ac:dyDescent="0.3">
      <c r="A2555" s="16">
        <v>45450.106249999997</v>
      </c>
      <c r="B2555" s="17">
        <v>59.314239000000001</v>
      </c>
      <c r="C2555" s="18"/>
      <c r="D2555" s="19"/>
    </row>
    <row r="2556" spans="1:4" x14ac:dyDescent="0.3">
      <c r="A2556" s="16">
        <v>45450.106943999999</v>
      </c>
      <c r="B2556" s="17">
        <v>59.236744999999999</v>
      </c>
      <c r="C2556" s="18"/>
      <c r="D2556" s="19"/>
    </row>
    <row r="2557" spans="1:4" x14ac:dyDescent="0.3">
      <c r="A2557" s="16">
        <v>45450.107639000002</v>
      </c>
      <c r="B2557" s="17">
        <v>59.300159999999998</v>
      </c>
      <c r="C2557" s="18"/>
      <c r="D2557" s="19"/>
    </row>
    <row r="2558" spans="1:4" x14ac:dyDescent="0.3">
      <c r="A2558" s="16">
        <v>45450.108332999996</v>
      </c>
      <c r="B2558" s="17">
        <v>59.049669999999999</v>
      </c>
      <c r="C2558" s="18"/>
      <c r="D2558" s="19"/>
    </row>
    <row r="2559" spans="1:4" x14ac:dyDescent="0.3">
      <c r="A2559" s="16">
        <v>45450.109027999999</v>
      </c>
      <c r="B2559" s="17">
        <v>59.275320999999998</v>
      </c>
      <c r="C2559" s="18"/>
      <c r="D2559" s="19"/>
    </row>
    <row r="2560" spans="1:4" x14ac:dyDescent="0.3">
      <c r="A2560" s="16">
        <v>45450.109722000001</v>
      </c>
      <c r="B2560" s="17">
        <v>59.283845999999997</v>
      </c>
      <c r="C2560" s="18"/>
      <c r="D2560" s="19"/>
    </row>
    <row r="2561" spans="1:4" x14ac:dyDescent="0.3">
      <c r="A2561" s="16">
        <v>45450.110417000004</v>
      </c>
      <c r="B2561" s="17">
        <v>59.301769</v>
      </c>
      <c r="C2561" s="18"/>
      <c r="D2561" s="19"/>
    </row>
    <row r="2562" spans="1:4" x14ac:dyDescent="0.3">
      <c r="A2562" s="16">
        <v>45450.111110999998</v>
      </c>
      <c r="B2562" s="17">
        <v>59.104989000000003</v>
      </c>
      <c r="C2562" s="18"/>
      <c r="D2562" s="19"/>
    </row>
    <row r="2563" spans="1:4" x14ac:dyDescent="0.3">
      <c r="A2563" s="16">
        <v>45450.111806000001</v>
      </c>
      <c r="B2563" s="17">
        <v>59.089697000000001</v>
      </c>
      <c r="C2563" s="18"/>
      <c r="D2563" s="19"/>
    </row>
    <row r="2564" spans="1:4" x14ac:dyDescent="0.3">
      <c r="A2564" s="16">
        <v>45450.112500000003</v>
      </c>
      <c r="B2564" s="17">
        <v>59.100169999999999</v>
      </c>
      <c r="C2564" s="18"/>
      <c r="D2564" s="19"/>
    </row>
    <row r="2565" spans="1:4" x14ac:dyDescent="0.3">
      <c r="A2565" s="16">
        <v>45450.113193999998</v>
      </c>
      <c r="B2565" s="17">
        <v>59.759099999999997</v>
      </c>
      <c r="C2565" s="18"/>
      <c r="D2565" s="19"/>
    </row>
    <row r="2566" spans="1:4" x14ac:dyDescent="0.3">
      <c r="A2566" s="16">
        <v>45450.113889</v>
      </c>
      <c r="B2566" s="17">
        <v>59.551296999999998</v>
      </c>
      <c r="C2566" s="18"/>
      <c r="D2566" s="19"/>
    </row>
    <row r="2567" spans="1:4" x14ac:dyDescent="0.3">
      <c r="A2567" s="16">
        <v>45450.114583000002</v>
      </c>
      <c r="B2567" s="17">
        <v>59.610143999999998</v>
      </c>
      <c r="C2567" s="18"/>
      <c r="D2567" s="19"/>
    </row>
    <row r="2568" spans="1:4" x14ac:dyDescent="0.3">
      <c r="A2568" s="16">
        <v>45450.115277999997</v>
      </c>
      <c r="B2568" s="17">
        <v>59.122988999999997</v>
      </c>
      <c r="C2568" s="18"/>
      <c r="D2568" s="19"/>
    </row>
    <row r="2569" spans="1:4" x14ac:dyDescent="0.3">
      <c r="A2569" s="16">
        <v>45450.115972</v>
      </c>
      <c r="B2569" s="17">
        <v>59.012723000000001</v>
      </c>
      <c r="C2569" s="18"/>
      <c r="D2569" s="19"/>
    </row>
    <row r="2570" spans="1:4" x14ac:dyDescent="0.3">
      <c r="A2570" s="16">
        <v>45450.116667000002</v>
      </c>
      <c r="B2570" s="17">
        <v>59.310630000000003</v>
      </c>
      <c r="C2570" s="18"/>
      <c r="D2570" s="19"/>
    </row>
    <row r="2571" spans="1:4" x14ac:dyDescent="0.3">
      <c r="A2571" s="16">
        <v>45450.117360999997</v>
      </c>
      <c r="B2571" s="17">
        <v>59.338501000000001</v>
      </c>
      <c r="C2571" s="18"/>
      <c r="D2571" s="19"/>
    </row>
    <row r="2572" spans="1:4" x14ac:dyDescent="0.3">
      <c r="A2572" s="16">
        <v>45450.118055999999</v>
      </c>
      <c r="B2572" s="17">
        <v>59.163257000000002</v>
      </c>
      <c r="C2572" s="18"/>
      <c r="D2572" s="19"/>
    </row>
    <row r="2573" spans="1:4" x14ac:dyDescent="0.3">
      <c r="A2573" s="16">
        <v>45450.118750000001</v>
      </c>
      <c r="B2573" s="17">
        <v>59.525495999999997</v>
      </c>
      <c r="C2573" s="18"/>
      <c r="D2573" s="19"/>
    </row>
    <row r="2574" spans="1:4" x14ac:dyDescent="0.3">
      <c r="A2574" s="16">
        <v>45450.119444000004</v>
      </c>
      <c r="B2574" s="17">
        <v>59.311591</v>
      </c>
      <c r="C2574" s="18"/>
      <c r="D2574" s="19"/>
    </row>
    <row r="2575" spans="1:4" x14ac:dyDescent="0.3">
      <c r="A2575" s="16">
        <v>45450.120138999999</v>
      </c>
      <c r="B2575" s="17">
        <v>59.218311</v>
      </c>
      <c r="C2575" s="18"/>
      <c r="D2575" s="19"/>
    </row>
    <row r="2576" spans="1:4" x14ac:dyDescent="0.3">
      <c r="A2576" s="16">
        <v>45450.120833000001</v>
      </c>
      <c r="B2576" s="17">
        <v>58.989528999999997</v>
      </c>
      <c r="C2576" s="18"/>
      <c r="D2576" s="19"/>
    </row>
    <row r="2577" spans="1:4" x14ac:dyDescent="0.3">
      <c r="A2577" s="16">
        <v>45450.121528000003</v>
      </c>
      <c r="B2577" s="17">
        <v>59.218164000000002</v>
      </c>
      <c r="C2577" s="18"/>
      <c r="D2577" s="19"/>
    </row>
    <row r="2578" spans="1:4" x14ac:dyDescent="0.3">
      <c r="A2578" s="16">
        <v>45450.122221999998</v>
      </c>
      <c r="B2578" s="17">
        <v>59.170606999999997</v>
      </c>
      <c r="C2578" s="18"/>
      <c r="D2578" s="19"/>
    </row>
    <row r="2579" spans="1:4" x14ac:dyDescent="0.3">
      <c r="A2579" s="16">
        <v>45450.122917000001</v>
      </c>
      <c r="B2579" s="17">
        <v>58.946559999999998</v>
      </c>
      <c r="C2579" s="18"/>
      <c r="D2579" s="19"/>
    </row>
    <row r="2580" spans="1:4" x14ac:dyDescent="0.3">
      <c r="A2580" s="16">
        <v>45450.123611000003</v>
      </c>
      <c r="B2580" s="17">
        <v>59.387520000000002</v>
      </c>
      <c r="C2580" s="18"/>
      <c r="D2580" s="19"/>
    </row>
    <row r="2581" spans="1:4" x14ac:dyDescent="0.3">
      <c r="A2581" s="16">
        <v>45450.124305999998</v>
      </c>
      <c r="B2581" s="17">
        <v>59.013483999999998</v>
      </c>
      <c r="C2581" s="18"/>
      <c r="D2581" s="19"/>
    </row>
    <row r="2582" spans="1:4" x14ac:dyDescent="0.3">
      <c r="A2582" s="16">
        <v>45450.125</v>
      </c>
      <c r="B2582" s="17">
        <v>59.055495000000001</v>
      </c>
      <c r="C2582" s="18"/>
      <c r="D2582" s="19"/>
    </row>
    <row r="2583" spans="1:4" x14ac:dyDescent="0.3">
      <c r="A2583" s="16">
        <v>45450.125694000002</v>
      </c>
      <c r="B2583" s="17">
        <v>59.287100000000002</v>
      </c>
      <c r="C2583" s="18"/>
      <c r="D2583" s="19"/>
    </row>
    <row r="2584" spans="1:4" x14ac:dyDescent="0.3">
      <c r="A2584" s="16">
        <v>45450.126388999997</v>
      </c>
      <c r="B2584" s="17">
        <v>59.448754999999998</v>
      </c>
      <c r="C2584" s="18"/>
      <c r="D2584" s="19"/>
    </row>
    <row r="2585" spans="1:4" x14ac:dyDescent="0.3">
      <c r="A2585" s="16">
        <v>45450.127082999999</v>
      </c>
      <c r="B2585" s="17">
        <v>59.016640000000002</v>
      </c>
      <c r="C2585" s="18"/>
      <c r="D2585" s="19"/>
    </row>
    <row r="2586" spans="1:4" x14ac:dyDescent="0.3">
      <c r="A2586" s="16">
        <v>45450.127778000002</v>
      </c>
      <c r="B2586" s="17">
        <v>59.141652000000001</v>
      </c>
      <c r="C2586" s="18"/>
      <c r="D2586" s="19"/>
    </row>
    <row r="2587" spans="1:4" x14ac:dyDescent="0.3">
      <c r="A2587" s="16">
        <v>45450.128471999997</v>
      </c>
      <c r="B2587" s="17">
        <v>59.206710000000001</v>
      </c>
      <c r="C2587" s="18"/>
      <c r="D2587" s="19"/>
    </row>
    <row r="2588" spans="1:4" x14ac:dyDescent="0.3">
      <c r="A2588" s="16">
        <v>45450.129166999999</v>
      </c>
      <c r="B2588" s="17">
        <v>59.006359000000003</v>
      </c>
      <c r="C2588" s="18"/>
      <c r="D2588" s="19"/>
    </row>
    <row r="2589" spans="1:4" x14ac:dyDescent="0.3">
      <c r="A2589" s="16">
        <v>45450.129861000001</v>
      </c>
      <c r="B2589" s="17">
        <v>59.338895000000001</v>
      </c>
      <c r="C2589" s="18"/>
      <c r="D2589" s="19"/>
    </row>
    <row r="2590" spans="1:4" x14ac:dyDescent="0.3">
      <c r="A2590" s="16">
        <v>45450.130555999996</v>
      </c>
      <c r="B2590" s="17">
        <v>58.925091000000002</v>
      </c>
      <c r="C2590" s="18"/>
      <c r="D2590" s="19"/>
    </row>
    <row r="2591" spans="1:4" x14ac:dyDescent="0.3">
      <c r="A2591" s="16">
        <v>45450.131249999999</v>
      </c>
      <c r="B2591" s="17">
        <v>59.648411000000003</v>
      </c>
      <c r="C2591" s="18"/>
      <c r="D2591" s="19"/>
    </row>
    <row r="2592" spans="1:4" x14ac:dyDescent="0.3">
      <c r="A2592" s="16">
        <v>45450.131944000001</v>
      </c>
      <c r="B2592" s="17">
        <v>59.025449999999999</v>
      </c>
      <c r="C2592" s="18"/>
      <c r="D2592" s="19"/>
    </row>
    <row r="2593" spans="1:4" x14ac:dyDescent="0.3">
      <c r="A2593" s="16">
        <v>45450.132639000003</v>
      </c>
      <c r="B2593" s="17">
        <v>58.666823999999998</v>
      </c>
      <c r="C2593" s="18"/>
      <c r="D2593" s="19"/>
    </row>
    <row r="2594" spans="1:4" x14ac:dyDescent="0.3">
      <c r="A2594" s="16">
        <v>45450.133332999998</v>
      </c>
      <c r="B2594" s="17">
        <v>59.566518000000002</v>
      </c>
      <c r="C2594" s="18"/>
      <c r="D2594" s="19"/>
    </row>
    <row r="2595" spans="1:4" x14ac:dyDescent="0.3">
      <c r="A2595" s="16">
        <v>45450.134028</v>
      </c>
      <c r="B2595" s="17">
        <v>58.868868999999997</v>
      </c>
      <c r="C2595" s="18"/>
      <c r="D2595" s="19"/>
    </row>
    <row r="2596" spans="1:4" x14ac:dyDescent="0.3">
      <c r="A2596" s="16">
        <v>45450.134722000003</v>
      </c>
      <c r="B2596" s="17">
        <v>59.483733000000001</v>
      </c>
      <c r="C2596" s="18"/>
      <c r="D2596" s="19"/>
    </row>
    <row r="2597" spans="1:4" x14ac:dyDescent="0.3">
      <c r="A2597" s="16">
        <v>45450.135416999998</v>
      </c>
      <c r="B2597" s="17">
        <v>59.325066</v>
      </c>
      <c r="C2597" s="18"/>
      <c r="D2597" s="19"/>
    </row>
    <row r="2598" spans="1:4" x14ac:dyDescent="0.3">
      <c r="A2598" s="16">
        <v>45450.136111</v>
      </c>
      <c r="B2598" s="17">
        <v>58.986414000000003</v>
      </c>
      <c r="C2598" s="18"/>
      <c r="D2598" s="19"/>
    </row>
    <row r="2599" spans="1:4" x14ac:dyDescent="0.3">
      <c r="A2599" s="16">
        <v>45450.136806000002</v>
      </c>
      <c r="B2599" s="17">
        <v>59.556510000000003</v>
      </c>
      <c r="C2599" s="18"/>
      <c r="D2599" s="19"/>
    </row>
    <row r="2600" spans="1:4" x14ac:dyDescent="0.3">
      <c r="A2600" s="16">
        <v>45450.137499999997</v>
      </c>
      <c r="B2600" s="17">
        <v>59.344357000000002</v>
      </c>
      <c r="C2600" s="18"/>
      <c r="D2600" s="19"/>
    </row>
    <row r="2601" spans="1:4" x14ac:dyDescent="0.3">
      <c r="A2601" s="16">
        <v>45450.138193999999</v>
      </c>
      <c r="B2601" s="17">
        <v>59.352088999999999</v>
      </c>
      <c r="C2601" s="18"/>
      <c r="D2601" s="19"/>
    </row>
    <row r="2602" spans="1:4" x14ac:dyDescent="0.3">
      <c r="A2602" s="16">
        <v>45450.138889000002</v>
      </c>
      <c r="B2602" s="17">
        <v>59.616098999999998</v>
      </c>
      <c r="C2602" s="18"/>
      <c r="D2602" s="19"/>
    </row>
    <row r="2603" spans="1:4" x14ac:dyDescent="0.3">
      <c r="A2603" s="16">
        <v>45450.139582999996</v>
      </c>
      <c r="B2603" s="17">
        <v>59.631445999999997</v>
      </c>
      <c r="C2603" s="18"/>
      <c r="D2603" s="19"/>
    </row>
    <row r="2604" spans="1:4" x14ac:dyDescent="0.3">
      <c r="A2604" s="16">
        <v>45450.140277999999</v>
      </c>
      <c r="B2604" s="17">
        <v>59.923963000000001</v>
      </c>
      <c r="C2604" s="18"/>
      <c r="D2604" s="19"/>
    </row>
    <row r="2605" spans="1:4" x14ac:dyDescent="0.3">
      <c r="A2605" s="16">
        <v>45450.140972000001</v>
      </c>
      <c r="B2605" s="17">
        <v>59.128348000000003</v>
      </c>
      <c r="C2605" s="18"/>
      <c r="D2605" s="19"/>
    </row>
    <row r="2606" spans="1:4" x14ac:dyDescent="0.3">
      <c r="A2606" s="16">
        <v>45450.141667000004</v>
      </c>
      <c r="B2606" s="17">
        <v>60.119149999999998</v>
      </c>
      <c r="C2606" s="18"/>
      <c r="D2606" s="19"/>
    </row>
    <row r="2607" spans="1:4" x14ac:dyDescent="0.3">
      <c r="A2607" s="16">
        <v>45450.142360999998</v>
      </c>
      <c r="B2607" s="17">
        <v>59.073498000000001</v>
      </c>
      <c r="C2607" s="18"/>
      <c r="D2607" s="19"/>
    </row>
    <row r="2608" spans="1:4" x14ac:dyDescent="0.3">
      <c r="A2608" s="16">
        <v>45450.143056000001</v>
      </c>
      <c r="B2608" s="17">
        <v>59.215018000000001</v>
      </c>
      <c r="C2608" s="18"/>
      <c r="D2608" s="19"/>
    </row>
    <row r="2609" spans="1:4" x14ac:dyDescent="0.3">
      <c r="A2609" s="16">
        <v>45450.143750000003</v>
      </c>
      <c r="B2609" s="17">
        <v>59.258769999999998</v>
      </c>
      <c r="C2609" s="18"/>
      <c r="D2609" s="19"/>
    </row>
    <row r="2610" spans="1:4" x14ac:dyDescent="0.3">
      <c r="A2610" s="16">
        <v>45450.144443999998</v>
      </c>
      <c r="B2610" s="17">
        <v>59.172898000000004</v>
      </c>
      <c r="C2610" s="18"/>
      <c r="D2610" s="19"/>
    </row>
    <row r="2611" spans="1:4" x14ac:dyDescent="0.3">
      <c r="A2611" s="16">
        <v>45450.145139</v>
      </c>
      <c r="B2611" s="17">
        <v>59.241559000000002</v>
      </c>
      <c r="C2611" s="18"/>
      <c r="D2611" s="19"/>
    </row>
    <row r="2612" spans="1:4" x14ac:dyDescent="0.3">
      <c r="A2612" s="16">
        <v>45450.145833000002</v>
      </c>
      <c r="B2612" s="17">
        <v>59.566450000000003</v>
      </c>
      <c r="C2612" s="18"/>
      <c r="D2612" s="19"/>
    </row>
    <row r="2613" spans="1:4" x14ac:dyDescent="0.3">
      <c r="A2613" s="16">
        <v>45450.146527999997</v>
      </c>
      <c r="B2613" s="17">
        <v>59.066868999999997</v>
      </c>
      <c r="C2613" s="18"/>
      <c r="D2613" s="19"/>
    </row>
    <row r="2614" spans="1:4" x14ac:dyDescent="0.3">
      <c r="A2614" s="16">
        <v>45450.147222</v>
      </c>
      <c r="B2614" s="17">
        <v>58.772458999999998</v>
      </c>
      <c r="C2614" s="18"/>
      <c r="D2614" s="19"/>
    </row>
    <row r="2615" spans="1:4" x14ac:dyDescent="0.3">
      <c r="A2615" s="16">
        <v>45450.147917000002</v>
      </c>
      <c r="B2615" s="17">
        <v>59.099645000000002</v>
      </c>
      <c r="C2615" s="18"/>
      <c r="D2615" s="19"/>
    </row>
    <row r="2616" spans="1:4" x14ac:dyDescent="0.3">
      <c r="A2616" s="16">
        <v>45450.148610999997</v>
      </c>
      <c r="B2616" s="17">
        <v>59.75168</v>
      </c>
      <c r="C2616" s="18"/>
      <c r="D2616" s="19"/>
    </row>
    <row r="2617" spans="1:4" x14ac:dyDescent="0.3">
      <c r="A2617" s="16">
        <v>45450.149305999999</v>
      </c>
      <c r="B2617" s="17">
        <v>59.075482999999998</v>
      </c>
      <c r="C2617" s="18"/>
      <c r="D2617" s="19"/>
    </row>
    <row r="2618" spans="1:4" x14ac:dyDescent="0.3">
      <c r="A2618" s="16">
        <v>45450.15</v>
      </c>
      <c r="B2618" s="17">
        <v>59.398142</v>
      </c>
      <c r="C2618" s="18"/>
      <c r="D2618" s="19"/>
    </row>
    <row r="2619" spans="1:4" x14ac:dyDescent="0.3">
      <c r="A2619" s="16">
        <v>45450.150694000004</v>
      </c>
      <c r="B2619" s="17">
        <v>59.511617000000001</v>
      </c>
      <c r="C2619" s="18"/>
      <c r="D2619" s="19"/>
    </row>
    <row r="2620" spans="1:4" x14ac:dyDescent="0.3">
      <c r="A2620" s="16">
        <v>45450.151388999999</v>
      </c>
      <c r="B2620" s="17">
        <v>59.428843000000001</v>
      </c>
      <c r="C2620" s="18"/>
      <c r="D2620" s="19"/>
    </row>
    <row r="2621" spans="1:4" x14ac:dyDescent="0.3">
      <c r="A2621" s="16">
        <v>45450.152083000001</v>
      </c>
      <c r="B2621" s="17">
        <v>59.326250000000002</v>
      </c>
      <c r="C2621" s="18"/>
      <c r="D2621" s="19"/>
    </row>
    <row r="2622" spans="1:4" x14ac:dyDescent="0.3">
      <c r="A2622" s="16">
        <v>45450.152778000003</v>
      </c>
      <c r="B2622" s="17">
        <v>59.702133000000003</v>
      </c>
      <c r="C2622" s="18"/>
      <c r="D2622" s="19"/>
    </row>
    <row r="2623" spans="1:4" x14ac:dyDescent="0.3">
      <c r="A2623" s="16">
        <v>45450.153471999998</v>
      </c>
      <c r="B2623" s="17">
        <v>58.86741</v>
      </c>
      <c r="C2623" s="18"/>
      <c r="D2623" s="19"/>
    </row>
    <row r="2624" spans="1:4" x14ac:dyDescent="0.3">
      <c r="A2624" s="16">
        <v>45450.154167000001</v>
      </c>
      <c r="B2624" s="17">
        <v>58.972534000000003</v>
      </c>
      <c r="C2624" s="18"/>
      <c r="D2624" s="19"/>
    </row>
    <row r="2625" spans="1:4" x14ac:dyDescent="0.3">
      <c r="A2625" s="16">
        <v>45450.154861000003</v>
      </c>
      <c r="B2625" s="17">
        <v>59.293160999999998</v>
      </c>
      <c r="C2625" s="18"/>
      <c r="D2625" s="19"/>
    </row>
    <row r="2626" spans="1:4" x14ac:dyDescent="0.3">
      <c r="A2626" s="16">
        <v>45450.155555999998</v>
      </c>
      <c r="B2626" s="17">
        <v>59.488613000000001</v>
      </c>
      <c r="C2626" s="18"/>
      <c r="D2626" s="19"/>
    </row>
    <row r="2627" spans="1:4" x14ac:dyDescent="0.3">
      <c r="A2627" s="16">
        <v>45450.15625</v>
      </c>
      <c r="B2627" s="17">
        <v>59.402715000000001</v>
      </c>
      <c r="C2627" s="18"/>
      <c r="D2627" s="19"/>
    </row>
    <row r="2628" spans="1:4" x14ac:dyDescent="0.3">
      <c r="A2628" s="16">
        <v>45450.156944000002</v>
      </c>
      <c r="B2628" s="17">
        <v>59.539323000000003</v>
      </c>
      <c r="C2628" s="18"/>
      <c r="D2628" s="19"/>
    </row>
    <row r="2629" spans="1:4" x14ac:dyDescent="0.3">
      <c r="A2629" s="16">
        <v>45450.157638999997</v>
      </c>
      <c r="B2629" s="17">
        <v>59.689256999999998</v>
      </c>
      <c r="C2629" s="18"/>
      <c r="D2629" s="19"/>
    </row>
    <row r="2630" spans="1:4" x14ac:dyDescent="0.3">
      <c r="A2630" s="16">
        <v>45450.158332999999</v>
      </c>
      <c r="B2630" s="17">
        <v>59.610190000000003</v>
      </c>
      <c r="C2630" s="18"/>
      <c r="D2630" s="19"/>
    </row>
    <row r="2631" spans="1:4" x14ac:dyDescent="0.3">
      <c r="A2631" s="16">
        <v>45450.159028000002</v>
      </c>
      <c r="B2631" s="17">
        <v>59.371886000000003</v>
      </c>
      <c r="C2631" s="18"/>
      <c r="D2631" s="19"/>
    </row>
    <row r="2632" spans="1:4" x14ac:dyDescent="0.3">
      <c r="A2632" s="16">
        <v>45450.159721999997</v>
      </c>
      <c r="B2632" s="17">
        <v>59.297559999999997</v>
      </c>
      <c r="C2632" s="18"/>
      <c r="D2632" s="19"/>
    </row>
    <row r="2633" spans="1:4" x14ac:dyDescent="0.3">
      <c r="A2633" s="16">
        <v>45450.160416999999</v>
      </c>
      <c r="B2633" s="17">
        <v>59.863332</v>
      </c>
      <c r="C2633" s="18"/>
      <c r="D2633" s="19"/>
    </row>
    <row r="2634" spans="1:4" x14ac:dyDescent="0.3">
      <c r="A2634" s="16">
        <v>45450.161111000001</v>
      </c>
      <c r="B2634" s="17">
        <v>59.457473</v>
      </c>
      <c r="C2634" s="18"/>
      <c r="D2634" s="19"/>
    </row>
    <row r="2635" spans="1:4" x14ac:dyDescent="0.3">
      <c r="A2635" s="16">
        <v>45450.161805999996</v>
      </c>
      <c r="B2635" s="17">
        <v>59.218120999999996</v>
      </c>
      <c r="C2635" s="18"/>
      <c r="D2635" s="19"/>
    </row>
    <row r="2636" spans="1:4" x14ac:dyDescent="0.3">
      <c r="A2636" s="16">
        <v>45450.162499999999</v>
      </c>
      <c r="B2636" s="17">
        <v>59.643450000000001</v>
      </c>
      <c r="C2636" s="18"/>
      <c r="D2636" s="19"/>
    </row>
    <row r="2637" spans="1:4" x14ac:dyDescent="0.3">
      <c r="A2637" s="16">
        <v>45450.163194000001</v>
      </c>
      <c r="B2637" s="17">
        <v>59.219199000000003</v>
      </c>
      <c r="C2637" s="18"/>
      <c r="D2637" s="19"/>
    </row>
    <row r="2638" spans="1:4" x14ac:dyDescent="0.3">
      <c r="A2638" s="16">
        <v>45450.163889000003</v>
      </c>
      <c r="B2638" s="17">
        <v>59.097918999999997</v>
      </c>
      <c r="C2638" s="18"/>
      <c r="D2638" s="19"/>
    </row>
    <row r="2639" spans="1:4" x14ac:dyDescent="0.3">
      <c r="A2639" s="16">
        <v>45450.164582999998</v>
      </c>
      <c r="B2639" s="17">
        <v>58.758626999999997</v>
      </c>
      <c r="C2639" s="18"/>
      <c r="D2639" s="19"/>
    </row>
    <row r="2640" spans="1:4" x14ac:dyDescent="0.3">
      <c r="A2640" s="16">
        <v>45450.165278</v>
      </c>
      <c r="B2640" s="17">
        <v>59.791783000000002</v>
      </c>
      <c r="C2640" s="18"/>
      <c r="D2640" s="19"/>
    </row>
    <row r="2641" spans="1:4" x14ac:dyDescent="0.3">
      <c r="A2641" s="16">
        <v>45450.165972000003</v>
      </c>
      <c r="B2641" s="17">
        <v>59.318793999999997</v>
      </c>
      <c r="C2641" s="18"/>
      <c r="D2641" s="19"/>
    </row>
    <row r="2642" spans="1:4" x14ac:dyDescent="0.3">
      <c r="A2642" s="16">
        <v>45450.166666999998</v>
      </c>
      <c r="B2642" s="17">
        <v>59.712256000000004</v>
      </c>
      <c r="C2642" s="18"/>
      <c r="D2642" s="19"/>
    </row>
    <row r="2643" spans="1:4" x14ac:dyDescent="0.3">
      <c r="A2643" s="16">
        <v>45450.167361</v>
      </c>
      <c r="B2643" s="17">
        <v>59.336703</v>
      </c>
      <c r="C2643" s="18"/>
      <c r="D2643" s="19"/>
    </row>
    <row r="2644" spans="1:4" x14ac:dyDescent="0.3">
      <c r="A2644" s="16">
        <v>45450.168056000002</v>
      </c>
      <c r="B2644" s="17">
        <v>59.588031999999998</v>
      </c>
      <c r="C2644" s="18"/>
      <c r="D2644" s="19"/>
    </row>
    <row r="2645" spans="1:4" x14ac:dyDescent="0.3">
      <c r="A2645" s="16">
        <v>45450.168749999997</v>
      </c>
      <c r="B2645" s="17">
        <v>59.152852000000003</v>
      </c>
      <c r="C2645" s="18"/>
      <c r="D2645" s="19"/>
    </row>
    <row r="2646" spans="1:4" x14ac:dyDescent="0.3">
      <c r="A2646" s="16">
        <v>45450.169443999999</v>
      </c>
      <c r="B2646" s="17">
        <v>59.001435000000001</v>
      </c>
      <c r="C2646" s="18"/>
      <c r="D2646" s="19"/>
    </row>
    <row r="2647" spans="1:4" x14ac:dyDescent="0.3">
      <c r="A2647" s="16">
        <v>45450.170139000002</v>
      </c>
      <c r="B2647" s="17">
        <v>59.271000999999998</v>
      </c>
      <c r="C2647" s="18"/>
      <c r="D2647" s="19"/>
    </row>
    <row r="2648" spans="1:4" x14ac:dyDescent="0.3">
      <c r="A2648" s="16">
        <v>45450.170832999996</v>
      </c>
      <c r="B2648" s="17">
        <v>59.059776999999997</v>
      </c>
      <c r="C2648" s="18"/>
      <c r="D2648" s="19"/>
    </row>
    <row r="2649" spans="1:4" x14ac:dyDescent="0.3">
      <c r="A2649" s="16">
        <v>45450.171527999999</v>
      </c>
      <c r="B2649" s="17">
        <v>59.265466000000004</v>
      </c>
      <c r="C2649" s="18"/>
      <c r="D2649" s="19"/>
    </row>
    <row r="2650" spans="1:4" x14ac:dyDescent="0.3">
      <c r="A2650" s="16">
        <v>45450.172222000001</v>
      </c>
      <c r="B2650" s="17">
        <v>59.999758</v>
      </c>
      <c r="C2650" s="18"/>
      <c r="D2650" s="19"/>
    </row>
    <row r="2651" spans="1:4" x14ac:dyDescent="0.3">
      <c r="A2651" s="16">
        <v>45450.172917000004</v>
      </c>
      <c r="B2651" s="17">
        <v>59.287936999999999</v>
      </c>
      <c r="C2651" s="18"/>
      <c r="D2651" s="19"/>
    </row>
    <row r="2652" spans="1:4" x14ac:dyDescent="0.3">
      <c r="A2652" s="16">
        <v>45450.173610999998</v>
      </c>
      <c r="B2652" s="17">
        <v>59.68188</v>
      </c>
      <c r="C2652" s="18"/>
      <c r="D2652" s="19"/>
    </row>
    <row r="2653" spans="1:4" x14ac:dyDescent="0.3">
      <c r="A2653" s="16">
        <v>45450.174306000001</v>
      </c>
      <c r="B2653" s="17">
        <v>59.091213000000003</v>
      </c>
      <c r="C2653" s="18"/>
      <c r="D2653" s="19"/>
    </row>
    <row r="2654" spans="1:4" x14ac:dyDescent="0.3">
      <c r="A2654" s="16">
        <v>45450.175000000003</v>
      </c>
      <c r="B2654" s="17">
        <v>59.429619000000002</v>
      </c>
      <c r="C2654" s="18"/>
      <c r="D2654" s="19"/>
    </row>
    <row r="2655" spans="1:4" x14ac:dyDescent="0.3">
      <c r="A2655" s="16">
        <v>45450.175693999998</v>
      </c>
      <c r="B2655" s="17">
        <v>58.988641999999999</v>
      </c>
      <c r="C2655" s="18"/>
      <c r="D2655" s="19"/>
    </row>
    <row r="2656" spans="1:4" x14ac:dyDescent="0.3">
      <c r="A2656" s="16">
        <v>45450.176389</v>
      </c>
      <c r="B2656" s="17">
        <v>60.096753999999997</v>
      </c>
      <c r="C2656" s="18"/>
      <c r="D2656" s="19"/>
    </row>
    <row r="2657" spans="1:4" x14ac:dyDescent="0.3">
      <c r="A2657" s="16">
        <v>45450.177083000002</v>
      </c>
      <c r="B2657" s="17">
        <v>59.487887000000001</v>
      </c>
      <c r="C2657" s="18"/>
      <c r="D2657" s="19"/>
    </row>
    <row r="2658" spans="1:4" x14ac:dyDescent="0.3">
      <c r="A2658" s="16">
        <v>45450.177777999997</v>
      </c>
      <c r="B2658" s="17">
        <v>59.337899</v>
      </c>
      <c r="C2658" s="18"/>
      <c r="D2658" s="19"/>
    </row>
    <row r="2659" spans="1:4" x14ac:dyDescent="0.3">
      <c r="A2659" s="16">
        <v>45450.178472</v>
      </c>
      <c r="B2659" s="17">
        <v>59.642654</v>
      </c>
      <c r="C2659" s="18"/>
      <c r="D2659" s="19"/>
    </row>
    <row r="2660" spans="1:4" x14ac:dyDescent="0.3">
      <c r="A2660" s="16">
        <v>45450.179167000002</v>
      </c>
      <c r="B2660" s="17">
        <v>59.752007999999996</v>
      </c>
      <c r="C2660" s="18"/>
      <c r="D2660" s="19"/>
    </row>
    <row r="2661" spans="1:4" x14ac:dyDescent="0.3">
      <c r="A2661" s="16">
        <v>45450.179860999997</v>
      </c>
      <c r="B2661" s="17">
        <v>59.614355000000003</v>
      </c>
      <c r="C2661" s="18"/>
      <c r="D2661" s="19"/>
    </row>
    <row r="2662" spans="1:4" x14ac:dyDescent="0.3">
      <c r="A2662" s="16">
        <v>45450.180555999999</v>
      </c>
      <c r="B2662" s="17">
        <v>59.051825000000001</v>
      </c>
      <c r="C2662" s="18"/>
      <c r="D2662" s="19"/>
    </row>
    <row r="2663" spans="1:4" x14ac:dyDescent="0.3">
      <c r="A2663" s="16">
        <v>45450.181250000001</v>
      </c>
      <c r="B2663" s="17">
        <v>59.476954999999997</v>
      </c>
      <c r="C2663" s="18"/>
      <c r="D2663" s="19"/>
    </row>
    <row r="2664" spans="1:4" x14ac:dyDescent="0.3">
      <c r="A2664" s="16">
        <v>45450.181944000004</v>
      </c>
      <c r="B2664" s="17">
        <v>59.660125000000001</v>
      </c>
      <c r="C2664" s="18"/>
      <c r="D2664" s="19"/>
    </row>
    <row r="2665" spans="1:4" x14ac:dyDescent="0.3">
      <c r="A2665" s="16">
        <v>45450.182638999999</v>
      </c>
      <c r="B2665" s="17">
        <v>59.257491999999999</v>
      </c>
      <c r="C2665" s="18"/>
      <c r="D2665" s="19"/>
    </row>
    <row r="2666" spans="1:4" x14ac:dyDescent="0.3">
      <c r="A2666" s="16">
        <v>45450.183333000001</v>
      </c>
      <c r="B2666" s="17">
        <v>59.382126</v>
      </c>
      <c r="C2666" s="18"/>
      <c r="D2666" s="19"/>
    </row>
    <row r="2667" spans="1:4" x14ac:dyDescent="0.3">
      <c r="A2667" s="16">
        <v>45450.184028000003</v>
      </c>
      <c r="B2667" s="17">
        <v>59.390194000000001</v>
      </c>
      <c r="C2667" s="18"/>
      <c r="D2667" s="19"/>
    </row>
    <row r="2668" spans="1:4" x14ac:dyDescent="0.3">
      <c r="A2668" s="16">
        <v>45450.184721999998</v>
      </c>
      <c r="B2668" s="17">
        <v>59.631186999999997</v>
      </c>
      <c r="C2668" s="18"/>
      <c r="D2668" s="19"/>
    </row>
    <row r="2669" spans="1:4" x14ac:dyDescent="0.3">
      <c r="A2669" s="16">
        <v>45450.185417000001</v>
      </c>
      <c r="B2669" s="17">
        <v>59.323810000000002</v>
      </c>
      <c r="C2669" s="18"/>
      <c r="D2669" s="19"/>
    </row>
    <row r="2670" spans="1:4" x14ac:dyDescent="0.3">
      <c r="A2670" s="16">
        <v>45450.186111000003</v>
      </c>
      <c r="B2670" s="17">
        <v>59.032843999999997</v>
      </c>
      <c r="C2670" s="18"/>
      <c r="D2670" s="19"/>
    </row>
    <row r="2671" spans="1:4" x14ac:dyDescent="0.3">
      <c r="A2671" s="16">
        <v>45450.186805999998</v>
      </c>
      <c r="B2671" s="17">
        <v>59.669825000000003</v>
      </c>
      <c r="C2671" s="18"/>
      <c r="D2671" s="19"/>
    </row>
    <row r="2672" spans="1:4" x14ac:dyDescent="0.3">
      <c r="A2672" s="16">
        <v>45450.1875</v>
      </c>
      <c r="B2672" s="17">
        <v>59.770563000000003</v>
      </c>
      <c r="C2672" s="18"/>
      <c r="D2672" s="19"/>
    </row>
    <row r="2673" spans="1:4" x14ac:dyDescent="0.3">
      <c r="A2673" s="16">
        <v>45450.188194000002</v>
      </c>
      <c r="B2673" s="17">
        <v>59.588113</v>
      </c>
      <c r="C2673" s="18"/>
      <c r="D2673" s="19"/>
    </row>
    <row r="2674" spans="1:4" x14ac:dyDescent="0.3">
      <c r="A2674" s="16">
        <v>45450.188888999997</v>
      </c>
      <c r="B2674" s="17">
        <v>58.911622000000001</v>
      </c>
      <c r="C2674" s="18"/>
      <c r="D2674" s="19"/>
    </row>
    <row r="2675" spans="1:4" x14ac:dyDescent="0.3">
      <c r="A2675" s="16">
        <v>45450.189582999999</v>
      </c>
      <c r="B2675" s="17">
        <v>59.328878000000003</v>
      </c>
      <c r="C2675" s="18"/>
      <c r="D2675" s="19"/>
    </row>
    <row r="2676" spans="1:4" x14ac:dyDescent="0.3">
      <c r="A2676" s="16">
        <v>45450.190278000002</v>
      </c>
      <c r="B2676" s="17">
        <v>59.192256999999998</v>
      </c>
      <c r="C2676" s="18"/>
      <c r="D2676" s="19"/>
    </row>
    <row r="2677" spans="1:4" x14ac:dyDescent="0.3">
      <c r="A2677" s="16">
        <v>45450.190971999997</v>
      </c>
      <c r="B2677" s="17">
        <v>59.412796</v>
      </c>
      <c r="C2677" s="18"/>
      <c r="D2677" s="19"/>
    </row>
    <row r="2678" spans="1:4" x14ac:dyDescent="0.3">
      <c r="A2678" s="16">
        <v>45450.191666999999</v>
      </c>
      <c r="B2678" s="17">
        <v>59.271887999999997</v>
      </c>
      <c r="C2678" s="18"/>
      <c r="D2678" s="19"/>
    </row>
    <row r="2679" spans="1:4" x14ac:dyDescent="0.3">
      <c r="A2679" s="16">
        <v>45450.192361000001</v>
      </c>
      <c r="B2679" s="17">
        <v>59.450344999999999</v>
      </c>
      <c r="C2679" s="18"/>
      <c r="D2679" s="19"/>
    </row>
    <row r="2680" spans="1:4" x14ac:dyDescent="0.3">
      <c r="A2680" s="16">
        <v>45450.193055999996</v>
      </c>
      <c r="B2680" s="17">
        <v>60.040827999999998</v>
      </c>
      <c r="C2680" s="18"/>
      <c r="D2680" s="19"/>
    </row>
    <row r="2681" spans="1:4" x14ac:dyDescent="0.3">
      <c r="A2681" s="16">
        <v>45450.193749999999</v>
      </c>
      <c r="B2681" s="17">
        <v>59.473066000000003</v>
      </c>
      <c r="C2681" s="18"/>
      <c r="D2681" s="19"/>
    </row>
    <row r="2682" spans="1:4" x14ac:dyDescent="0.3">
      <c r="A2682" s="16">
        <v>45450.194444000001</v>
      </c>
      <c r="B2682" s="17">
        <v>59.569951000000003</v>
      </c>
      <c r="C2682" s="18"/>
      <c r="D2682" s="19"/>
    </row>
    <row r="2683" spans="1:4" x14ac:dyDescent="0.3">
      <c r="A2683" s="16">
        <v>45450.195139000003</v>
      </c>
      <c r="B2683" s="17">
        <v>59.416640999999998</v>
      </c>
      <c r="C2683" s="18"/>
      <c r="D2683" s="19"/>
    </row>
    <row r="2684" spans="1:4" x14ac:dyDescent="0.3">
      <c r="A2684" s="16">
        <v>45450.195832999998</v>
      </c>
      <c r="B2684" s="17">
        <v>59.008096999999999</v>
      </c>
      <c r="C2684" s="18"/>
      <c r="D2684" s="19"/>
    </row>
    <row r="2685" spans="1:4" x14ac:dyDescent="0.3">
      <c r="A2685" s="16">
        <v>45450.196528</v>
      </c>
      <c r="B2685" s="17">
        <v>59.240574000000002</v>
      </c>
      <c r="C2685" s="18"/>
      <c r="D2685" s="19"/>
    </row>
    <row r="2686" spans="1:4" x14ac:dyDescent="0.3">
      <c r="A2686" s="16">
        <v>45450.197222000003</v>
      </c>
      <c r="B2686" s="17">
        <v>59.078951000000004</v>
      </c>
      <c r="C2686" s="18"/>
      <c r="D2686" s="19"/>
    </row>
    <row r="2687" spans="1:4" x14ac:dyDescent="0.3">
      <c r="A2687" s="16">
        <v>45450.197916999998</v>
      </c>
      <c r="B2687" s="17">
        <v>59.803868999999999</v>
      </c>
      <c r="C2687" s="18"/>
      <c r="D2687" s="19"/>
    </row>
    <row r="2688" spans="1:4" x14ac:dyDescent="0.3">
      <c r="A2688" s="16">
        <v>45450.198611</v>
      </c>
      <c r="B2688" s="17">
        <v>59.895516000000001</v>
      </c>
      <c r="C2688" s="18"/>
      <c r="D2688" s="19"/>
    </row>
    <row r="2689" spans="1:4" x14ac:dyDescent="0.3">
      <c r="A2689" s="16">
        <v>45450.199306000002</v>
      </c>
      <c r="B2689" s="17">
        <v>59.552132999999998</v>
      </c>
      <c r="C2689" s="18"/>
      <c r="D2689" s="19"/>
    </row>
    <row r="2690" spans="1:4" x14ac:dyDescent="0.3">
      <c r="A2690" s="16">
        <v>45450.2</v>
      </c>
      <c r="B2690" s="17">
        <v>59.499932000000001</v>
      </c>
      <c r="C2690" s="18"/>
      <c r="D2690" s="19"/>
    </row>
    <row r="2691" spans="1:4" x14ac:dyDescent="0.3">
      <c r="A2691" s="16">
        <v>45450.200693999999</v>
      </c>
      <c r="B2691" s="17">
        <v>59.266623000000003</v>
      </c>
      <c r="C2691" s="18"/>
      <c r="D2691" s="19"/>
    </row>
    <row r="2692" spans="1:4" x14ac:dyDescent="0.3">
      <c r="A2692" s="16">
        <v>45450.201389000002</v>
      </c>
      <c r="B2692" s="17">
        <v>59.607762000000001</v>
      </c>
      <c r="C2692" s="18"/>
      <c r="D2692" s="19"/>
    </row>
    <row r="2693" spans="1:4" x14ac:dyDescent="0.3">
      <c r="A2693" s="16">
        <v>45450.202082999996</v>
      </c>
      <c r="B2693" s="17">
        <v>59.182960000000001</v>
      </c>
      <c r="C2693" s="18"/>
      <c r="D2693" s="19"/>
    </row>
    <row r="2694" spans="1:4" x14ac:dyDescent="0.3">
      <c r="A2694" s="16">
        <v>45450.202777999999</v>
      </c>
      <c r="B2694" s="17">
        <v>59.386341999999999</v>
      </c>
      <c r="C2694" s="18"/>
      <c r="D2694" s="19"/>
    </row>
    <row r="2695" spans="1:4" x14ac:dyDescent="0.3">
      <c r="A2695" s="16">
        <v>45450.203472000001</v>
      </c>
      <c r="B2695" s="17">
        <v>59.618746000000002</v>
      </c>
      <c r="C2695" s="18"/>
      <c r="D2695" s="19"/>
    </row>
    <row r="2696" spans="1:4" x14ac:dyDescent="0.3">
      <c r="A2696" s="16">
        <v>45450.204167000004</v>
      </c>
      <c r="B2696" s="17">
        <v>60.104652999999999</v>
      </c>
      <c r="C2696" s="18"/>
      <c r="D2696" s="19"/>
    </row>
    <row r="2697" spans="1:4" x14ac:dyDescent="0.3">
      <c r="A2697" s="16">
        <v>45450.204860999998</v>
      </c>
      <c r="B2697" s="17">
        <v>59.531543999999997</v>
      </c>
      <c r="C2697" s="18"/>
      <c r="D2697" s="19"/>
    </row>
    <row r="2698" spans="1:4" x14ac:dyDescent="0.3">
      <c r="A2698" s="16">
        <v>45450.205556000001</v>
      </c>
      <c r="B2698" s="17">
        <v>59.101073999999997</v>
      </c>
      <c r="C2698" s="18"/>
      <c r="D2698" s="19"/>
    </row>
    <row r="2699" spans="1:4" x14ac:dyDescent="0.3">
      <c r="A2699" s="16">
        <v>45450.206250000003</v>
      </c>
      <c r="B2699" s="17">
        <v>59.096912000000003</v>
      </c>
      <c r="C2699" s="18"/>
      <c r="D2699" s="19"/>
    </row>
    <row r="2700" spans="1:4" x14ac:dyDescent="0.3">
      <c r="A2700" s="16">
        <v>45450.206943999998</v>
      </c>
      <c r="B2700" s="17">
        <v>58.869684999999997</v>
      </c>
      <c r="C2700" s="18"/>
      <c r="D2700" s="19"/>
    </row>
    <row r="2701" spans="1:4" x14ac:dyDescent="0.3">
      <c r="A2701" s="16">
        <v>45450.207639</v>
      </c>
      <c r="B2701" s="17">
        <v>59.422845000000002</v>
      </c>
      <c r="C2701" s="18"/>
      <c r="D2701" s="19"/>
    </row>
    <row r="2702" spans="1:4" x14ac:dyDescent="0.3">
      <c r="A2702" s="16">
        <v>45450.208333000002</v>
      </c>
      <c r="B2702" s="17">
        <v>59.050074000000002</v>
      </c>
      <c r="C2702" s="18"/>
      <c r="D2702" s="19"/>
    </row>
    <row r="2703" spans="1:4" x14ac:dyDescent="0.3">
      <c r="A2703" s="16">
        <v>45450.209027999997</v>
      </c>
      <c r="B2703" s="17">
        <v>59.421438000000002</v>
      </c>
      <c r="C2703" s="18"/>
      <c r="D2703" s="19"/>
    </row>
    <row r="2704" spans="1:4" x14ac:dyDescent="0.3">
      <c r="A2704" s="16">
        <v>45450.209722</v>
      </c>
      <c r="B2704" s="17">
        <v>59.469814</v>
      </c>
      <c r="C2704" s="18"/>
      <c r="D2704" s="19"/>
    </row>
    <row r="2705" spans="1:4" x14ac:dyDescent="0.3">
      <c r="A2705" s="16">
        <v>45450.210417000002</v>
      </c>
      <c r="B2705" s="17">
        <v>59.206437999999999</v>
      </c>
      <c r="C2705" s="18"/>
      <c r="D2705" s="19"/>
    </row>
    <row r="2706" spans="1:4" x14ac:dyDescent="0.3">
      <c r="A2706" s="16">
        <v>45450.211110999997</v>
      </c>
      <c r="B2706" s="17">
        <v>59.538986999999999</v>
      </c>
      <c r="C2706" s="18"/>
      <c r="D2706" s="19"/>
    </row>
    <row r="2707" spans="1:4" x14ac:dyDescent="0.3">
      <c r="A2707" s="16">
        <v>45450.211805999999</v>
      </c>
      <c r="B2707" s="17">
        <v>59.709581</v>
      </c>
      <c r="C2707" s="18"/>
      <c r="D2707" s="19"/>
    </row>
    <row r="2708" spans="1:4" x14ac:dyDescent="0.3">
      <c r="A2708" s="16">
        <v>45450.212500000001</v>
      </c>
      <c r="B2708" s="17">
        <v>59.387804000000003</v>
      </c>
      <c r="C2708" s="18"/>
      <c r="D2708" s="19"/>
    </row>
    <row r="2709" spans="1:4" x14ac:dyDescent="0.3">
      <c r="A2709" s="16">
        <v>45450.213194000004</v>
      </c>
      <c r="B2709" s="17">
        <v>58.943103000000001</v>
      </c>
      <c r="C2709" s="18"/>
      <c r="D2709" s="19"/>
    </row>
    <row r="2710" spans="1:4" x14ac:dyDescent="0.3">
      <c r="A2710" s="16">
        <v>45450.213888999999</v>
      </c>
      <c r="B2710" s="17">
        <v>58.975392999999997</v>
      </c>
      <c r="C2710" s="18"/>
      <c r="D2710" s="19"/>
    </row>
    <row r="2711" spans="1:4" x14ac:dyDescent="0.3">
      <c r="A2711" s="16">
        <v>45450.214583000001</v>
      </c>
      <c r="B2711" s="17">
        <v>58.865620999999997</v>
      </c>
      <c r="C2711" s="18"/>
      <c r="D2711" s="19"/>
    </row>
    <row r="2712" spans="1:4" x14ac:dyDescent="0.3">
      <c r="A2712" s="16">
        <v>45450.215278000003</v>
      </c>
      <c r="B2712" s="17">
        <v>59.582510999999997</v>
      </c>
      <c r="C2712" s="18"/>
      <c r="D2712" s="19"/>
    </row>
    <row r="2713" spans="1:4" x14ac:dyDescent="0.3">
      <c r="A2713" s="16">
        <v>45450.215971999998</v>
      </c>
      <c r="B2713" s="17">
        <v>59.689416999999999</v>
      </c>
      <c r="C2713" s="18"/>
      <c r="D2713" s="19"/>
    </row>
    <row r="2714" spans="1:4" x14ac:dyDescent="0.3">
      <c r="A2714" s="16">
        <v>45450.216667000001</v>
      </c>
      <c r="B2714" s="17">
        <v>59.905382000000003</v>
      </c>
      <c r="C2714" s="18"/>
      <c r="D2714" s="19"/>
    </row>
    <row r="2715" spans="1:4" x14ac:dyDescent="0.3">
      <c r="A2715" s="16">
        <v>45450.217361000003</v>
      </c>
      <c r="B2715" s="17">
        <v>59.073217</v>
      </c>
      <c r="C2715" s="18"/>
      <c r="D2715" s="19"/>
    </row>
    <row r="2716" spans="1:4" x14ac:dyDescent="0.3">
      <c r="A2716" s="16">
        <v>45450.218055999998</v>
      </c>
      <c r="B2716" s="17">
        <v>59.474007999999998</v>
      </c>
      <c r="C2716" s="18"/>
      <c r="D2716" s="19"/>
    </row>
    <row r="2717" spans="1:4" x14ac:dyDescent="0.3">
      <c r="A2717" s="16">
        <v>45450.21875</v>
      </c>
      <c r="B2717" s="17">
        <v>59.919165</v>
      </c>
      <c r="C2717" s="18"/>
      <c r="D2717" s="19"/>
    </row>
    <row r="2718" spans="1:4" x14ac:dyDescent="0.3">
      <c r="A2718" s="16">
        <v>45450.219444000002</v>
      </c>
      <c r="B2718" s="17">
        <v>59.415163</v>
      </c>
      <c r="C2718" s="18"/>
      <c r="D2718" s="19"/>
    </row>
    <row r="2719" spans="1:4" x14ac:dyDescent="0.3">
      <c r="A2719" s="16">
        <v>45450.220138999997</v>
      </c>
      <c r="B2719" s="17">
        <v>59.428514999999997</v>
      </c>
      <c r="C2719" s="18"/>
      <c r="D2719" s="19"/>
    </row>
    <row r="2720" spans="1:4" x14ac:dyDescent="0.3">
      <c r="A2720" s="16">
        <v>45450.220832999999</v>
      </c>
      <c r="B2720" s="17">
        <v>59.836972000000003</v>
      </c>
      <c r="C2720" s="18"/>
      <c r="D2720" s="19"/>
    </row>
    <row r="2721" spans="1:4" x14ac:dyDescent="0.3">
      <c r="A2721" s="16">
        <v>45450.221528000002</v>
      </c>
      <c r="B2721" s="17">
        <v>60.065809000000002</v>
      </c>
      <c r="C2721" s="18"/>
      <c r="D2721" s="19"/>
    </row>
    <row r="2722" spans="1:4" x14ac:dyDescent="0.3">
      <c r="A2722" s="16">
        <v>45450.222221999997</v>
      </c>
      <c r="B2722" s="17">
        <v>58.928448000000003</v>
      </c>
      <c r="C2722" s="18"/>
      <c r="D2722" s="19"/>
    </row>
    <row r="2723" spans="1:4" x14ac:dyDescent="0.3">
      <c r="A2723" s="16">
        <v>45450.222916999999</v>
      </c>
      <c r="B2723" s="17">
        <v>59.925659000000003</v>
      </c>
      <c r="C2723" s="18"/>
      <c r="D2723" s="19"/>
    </row>
    <row r="2724" spans="1:4" x14ac:dyDescent="0.3">
      <c r="A2724" s="16">
        <v>45450.223611000001</v>
      </c>
      <c r="B2724" s="17">
        <v>59.725417999999998</v>
      </c>
      <c r="C2724" s="18"/>
      <c r="D2724" s="19"/>
    </row>
    <row r="2725" spans="1:4" x14ac:dyDescent="0.3">
      <c r="A2725" s="16">
        <v>45450.224305999996</v>
      </c>
      <c r="B2725" s="17">
        <v>59.748871999999999</v>
      </c>
      <c r="C2725" s="18"/>
      <c r="D2725" s="19"/>
    </row>
    <row r="2726" spans="1:4" x14ac:dyDescent="0.3">
      <c r="A2726" s="16">
        <v>45450.224999999999</v>
      </c>
      <c r="B2726" s="17">
        <v>59.221411000000003</v>
      </c>
      <c r="C2726" s="18"/>
      <c r="D2726" s="19"/>
    </row>
    <row r="2727" spans="1:4" x14ac:dyDescent="0.3">
      <c r="A2727" s="16">
        <v>45450.225694000001</v>
      </c>
      <c r="B2727" s="17">
        <v>59.266613999999997</v>
      </c>
      <c r="C2727" s="18"/>
      <c r="D2727" s="19"/>
    </row>
    <row r="2728" spans="1:4" x14ac:dyDescent="0.3">
      <c r="A2728" s="16">
        <v>45450.226389000003</v>
      </c>
      <c r="B2728" s="17">
        <v>59.271867999999998</v>
      </c>
      <c r="C2728" s="18"/>
      <c r="D2728" s="19"/>
    </row>
    <row r="2729" spans="1:4" x14ac:dyDescent="0.3">
      <c r="A2729" s="16">
        <v>45450.227082999998</v>
      </c>
      <c r="B2729" s="17">
        <v>59.679876</v>
      </c>
      <c r="C2729" s="18"/>
      <c r="D2729" s="19"/>
    </row>
    <row r="2730" spans="1:4" x14ac:dyDescent="0.3">
      <c r="A2730" s="16">
        <v>45450.227778</v>
      </c>
      <c r="B2730" s="17">
        <v>59.819873000000001</v>
      </c>
      <c r="C2730" s="18"/>
      <c r="D2730" s="19"/>
    </row>
    <row r="2731" spans="1:4" x14ac:dyDescent="0.3">
      <c r="A2731" s="16">
        <v>45450.228472000003</v>
      </c>
      <c r="B2731" s="17">
        <v>59.483505999999998</v>
      </c>
      <c r="C2731" s="18"/>
      <c r="D2731" s="19"/>
    </row>
    <row r="2732" spans="1:4" x14ac:dyDescent="0.3">
      <c r="A2732" s="16">
        <v>45450.229166999998</v>
      </c>
      <c r="B2732" s="17">
        <v>59.701580999999997</v>
      </c>
      <c r="C2732" s="18"/>
      <c r="D2732" s="19"/>
    </row>
    <row r="2733" spans="1:4" x14ac:dyDescent="0.3">
      <c r="A2733" s="16">
        <v>45450.229861</v>
      </c>
      <c r="B2733" s="17">
        <v>59.460633000000001</v>
      </c>
      <c r="C2733" s="18"/>
      <c r="D2733" s="19"/>
    </row>
    <row r="2734" spans="1:4" x14ac:dyDescent="0.3">
      <c r="A2734" s="16">
        <v>45450.230556000002</v>
      </c>
      <c r="B2734" s="17">
        <v>59.587820000000001</v>
      </c>
      <c r="C2734" s="18"/>
      <c r="D2734" s="19"/>
    </row>
    <row r="2735" spans="1:4" x14ac:dyDescent="0.3">
      <c r="A2735" s="16">
        <v>45450.231249999997</v>
      </c>
      <c r="B2735" s="17">
        <v>59.406370000000003</v>
      </c>
      <c r="C2735" s="18"/>
      <c r="D2735" s="19"/>
    </row>
    <row r="2736" spans="1:4" x14ac:dyDescent="0.3">
      <c r="A2736" s="16">
        <v>45450.231943999999</v>
      </c>
      <c r="B2736" s="17">
        <v>59.322139999999997</v>
      </c>
      <c r="C2736" s="18"/>
      <c r="D2736" s="19"/>
    </row>
    <row r="2737" spans="1:4" x14ac:dyDescent="0.3">
      <c r="A2737" s="16">
        <v>45450.232639000002</v>
      </c>
      <c r="B2737" s="17">
        <v>59.788494999999998</v>
      </c>
      <c r="C2737" s="18"/>
      <c r="D2737" s="19"/>
    </row>
    <row r="2738" spans="1:4" x14ac:dyDescent="0.3">
      <c r="A2738" s="16">
        <v>45450.233332999996</v>
      </c>
      <c r="B2738" s="17">
        <v>59.311732999999997</v>
      </c>
      <c r="C2738" s="18"/>
      <c r="D2738" s="19"/>
    </row>
    <row r="2739" spans="1:4" x14ac:dyDescent="0.3">
      <c r="A2739" s="16">
        <v>45450.234027999999</v>
      </c>
      <c r="B2739" s="17">
        <v>59.913083</v>
      </c>
      <c r="C2739" s="18"/>
      <c r="D2739" s="19"/>
    </row>
    <row r="2740" spans="1:4" x14ac:dyDescent="0.3">
      <c r="A2740" s="16">
        <v>45450.234722000001</v>
      </c>
      <c r="B2740" s="17">
        <v>59.151924000000001</v>
      </c>
      <c r="C2740" s="18"/>
      <c r="D2740" s="19"/>
    </row>
    <row r="2741" spans="1:4" x14ac:dyDescent="0.3">
      <c r="A2741" s="16">
        <v>45450.235417000004</v>
      </c>
      <c r="B2741" s="17">
        <v>59.435122</v>
      </c>
      <c r="C2741" s="18"/>
      <c r="D2741" s="19"/>
    </row>
    <row r="2742" spans="1:4" x14ac:dyDescent="0.3">
      <c r="A2742" s="16">
        <v>45450.236110999998</v>
      </c>
      <c r="B2742" s="17">
        <v>59.304456000000002</v>
      </c>
      <c r="C2742" s="18"/>
      <c r="D2742" s="19"/>
    </row>
    <row r="2743" spans="1:4" x14ac:dyDescent="0.3">
      <c r="A2743" s="16">
        <v>45450.236806000001</v>
      </c>
      <c r="B2743" s="17">
        <v>59.66386</v>
      </c>
      <c r="C2743" s="18"/>
      <c r="D2743" s="19"/>
    </row>
    <row r="2744" spans="1:4" x14ac:dyDescent="0.3">
      <c r="A2744" s="16">
        <v>45450.237500000003</v>
      </c>
      <c r="B2744" s="17">
        <v>60.366374999999998</v>
      </c>
      <c r="C2744" s="18"/>
      <c r="D2744" s="19"/>
    </row>
    <row r="2745" spans="1:4" x14ac:dyDescent="0.3">
      <c r="A2745" s="16">
        <v>45450.238193999998</v>
      </c>
      <c r="B2745" s="17">
        <v>59.461663000000001</v>
      </c>
      <c r="C2745" s="18"/>
      <c r="D2745" s="19"/>
    </row>
    <row r="2746" spans="1:4" x14ac:dyDescent="0.3">
      <c r="A2746" s="16">
        <v>45450.238889</v>
      </c>
      <c r="B2746" s="17">
        <v>59.820528000000003</v>
      </c>
      <c r="C2746" s="18"/>
      <c r="D2746" s="19"/>
    </row>
    <row r="2747" spans="1:4" x14ac:dyDescent="0.3">
      <c r="A2747" s="16">
        <v>45450.239583000002</v>
      </c>
      <c r="B2747" s="17">
        <v>59.954957999999998</v>
      </c>
      <c r="C2747" s="18"/>
      <c r="D2747" s="19"/>
    </row>
    <row r="2748" spans="1:4" x14ac:dyDescent="0.3">
      <c r="A2748" s="16">
        <v>45450.240277999997</v>
      </c>
      <c r="B2748" s="17">
        <v>59.676761999999997</v>
      </c>
      <c r="C2748" s="18"/>
      <c r="D2748" s="19"/>
    </row>
    <row r="2749" spans="1:4" x14ac:dyDescent="0.3">
      <c r="A2749" s="16">
        <v>45450.240972</v>
      </c>
      <c r="B2749" s="17">
        <v>59.460410000000003</v>
      </c>
      <c r="C2749" s="18"/>
      <c r="D2749" s="19"/>
    </row>
    <row r="2750" spans="1:4" x14ac:dyDescent="0.3">
      <c r="A2750" s="16">
        <v>45450.241667000002</v>
      </c>
      <c r="B2750" s="17">
        <v>59.594341</v>
      </c>
      <c r="C2750" s="18"/>
      <c r="D2750" s="19"/>
    </row>
    <row r="2751" spans="1:4" x14ac:dyDescent="0.3">
      <c r="A2751" s="16">
        <v>45450.242360999997</v>
      </c>
      <c r="B2751" s="17">
        <v>59.402214000000001</v>
      </c>
      <c r="C2751" s="18"/>
      <c r="D2751" s="19"/>
    </row>
    <row r="2752" spans="1:4" x14ac:dyDescent="0.3">
      <c r="A2752" s="16">
        <v>45450.243055999999</v>
      </c>
      <c r="B2752" s="17">
        <v>60.269359999999999</v>
      </c>
      <c r="C2752" s="18"/>
      <c r="D2752" s="19"/>
    </row>
    <row r="2753" spans="1:4" x14ac:dyDescent="0.3">
      <c r="A2753" s="16">
        <v>45450.243750000001</v>
      </c>
      <c r="B2753" s="17">
        <v>59.683714999999999</v>
      </c>
      <c r="C2753" s="18"/>
      <c r="D2753" s="19"/>
    </row>
    <row r="2754" spans="1:4" x14ac:dyDescent="0.3">
      <c r="A2754" s="16">
        <v>45450.244444000004</v>
      </c>
      <c r="B2754" s="17">
        <v>59.903767000000002</v>
      </c>
      <c r="C2754" s="18"/>
      <c r="D2754" s="19"/>
    </row>
    <row r="2755" spans="1:4" x14ac:dyDescent="0.3">
      <c r="A2755" s="16">
        <v>45450.245138999999</v>
      </c>
      <c r="B2755" s="17">
        <v>59.569004999999997</v>
      </c>
      <c r="C2755" s="18"/>
      <c r="D2755" s="19"/>
    </row>
    <row r="2756" spans="1:4" x14ac:dyDescent="0.3">
      <c r="A2756" s="16">
        <v>45450.245833000001</v>
      </c>
      <c r="B2756" s="17">
        <v>59.565356999999999</v>
      </c>
      <c r="C2756" s="18"/>
      <c r="D2756" s="19"/>
    </row>
    <row r="2757" spans="1:4" x14ac:dyDescent="0.3">
      <c r="A2757" s="16">
        <v>45450.246528000003</v>
      </c>
      <c r="B2757" s="17">
        <v>59.259393000000003</v>
      </c>
      <c r="C2757" s="18"/>
      <c r="D2757" s="19"/>
    </row>
    <row r="2758" spans="1:4" x14ac:dyDescent="0.3">
      <c r="A2758" s="16">
        <v>45450.247221999998</v>
      </c>
      <c r="B2758" s="17">
        <v>59.512881999999998</v>
      </c>
      <c r="C2758" s="18"/>
      <c r="D2758" s="19"/>
    </row>
    <row r="2759" spans="1:4" x14ac:dyDescent="0.3">
      <c r="A2759" s="16">
        <v>45450.247917000001</v>
      </c>
      <c r="B2759" s="17">
        <v>59.541463</v>
      </c>
      <c r="C2759" s="18"/>
      <c r="D2759" s="19"/>
    </row>
    <row r="2760" spans="1:4" x14ac:dyDescent="0.3">
      <c r="A2760" s="16">
        <v>45450.248611000003</v>
      </c>
      <c r="B2760" s="17">
        <v>59.471851000000001</v>
      </c>
      <c r="C2760" s="18"/>
      <c r="D2760" s="19"/>
    </row>
    <row r="2761" spans="1:4" x14ac:dyDescent="0.3">
      <c r="A2761" s="16">
        <v>45450.249305999998</v>
      </c>
      <c r="B2761" s="17">
        <v>59.43403</v>
      </c>
      <c r="C2761" s="18"/>
      <c r="D2761" s="19"/>
    </row>
    <row r="2762" spans="1:4" x14ac:dyDescent="0.3">
      <c r="A2762" s="16">
        <v>45450.25</v>
      </c>
      <c r="B2762" s="17">
        <v>59.712721999999999</v>
      </c>
      <c r="C2762" s="18"/>
      <c r="D2762" s="19"/>
    </row>
    <row r="2763" spans="1:4" x14ac:dyDescent="0.3">
      <c r="A2763" s="16">
        <v>45450.250694000002</v>
      </c>
      <c r="B2763" s="17">
        <v>59.951889999999999</v>
      </c>
      <c r="C2763" s="18"/>
      <c r="D2763" s="19"/>
    </row>
    <row r="2764" spans="1:4" x14ac:dyDescent="0.3">
      <c r="A2764" s="16">
        <v>45450.251388999997</v>
      </c>
      <c r="B2764" s="17">
        <v>59.724915000000003</v>
      </c>
      <c r="C2764" s="18"/>
      <c r="D2764" s="19"/>
    </row>
    <row r="2765" spans="1:4" x14ac:dyDescent="0.3">
      <c r="A2765" s="16">
        <v>45450.252082999999</v>
      </c>
      <c r="B2765" s="17">
        <v>59.752721000000001</v>
      </c>
      <c r="C2765" s="18"/>
      <c r="D2765" s="19"/>
    </row>
    <row r="2766" spans="1:4" x14ac:dyDescent="0.3">
      <c r="A2766" s="16">
        <v>45450.252778000002</v>
      </c>
      <c r="B2766" s="17">
        <v>59.465978999999997</v>
      </c>
      <c r="C2766" s="18"/>
      <c r="D2766" s="19"/>
    </row>
    <row r="2767" spans="1:4" x14ac:dyDescent="0.3">
      <c r="A2767" s="16">
        <v>45450.253471999997</v>
      </c>
      <c r="B2767" s="17">
        <v>59.297051000000003</v>
      </c>
      <c r="C2767" s="18"/>
      <c r="D2767" s="19"/>
    </row>
    <row r="2768" spans="1:4" x14ac:dyDescent="0.3">
      <c r="A2768" s="16">
        <v>45450.254166999999</v>
      </c>
      <c r="B2768" s="17">
        <v>59.467008999999997</v>
      </c>
      <c r="C2768" s="18"/>
      <c r="D2768" s="19"/>
    </row>
    <row r="2769" spans="1:4" x14ac:dyDescent="0.3">
      <c r="A2769" s="16">
        <v>45450.254861000001</v>
      </c>
      <c r="B2769" s="17">
        <v>59.762020999999997</v>
      </c>
      <c r="C2769" s="18"/>
      <c r="D2769" s="19"/>
    </row>
    <row r="2770" spans="1:4" x14ac:dyDescent="0.3">
      <c r="A2770" s="16">
        <v>45450.255555999996</v>
      </c>
      <c r="B2770" s="17">
        <v>59.509467999999998</v>
      </c>
      <c r="C2770" s="18"/>
      <c r="D2770" s="19"/>
    </row>
    <row r="2771" spans="1:4" x14ac:dyDescent="0.3">
      <c r="A2771" s="16">
        <v>45450.256249999999</v>
      </c>
      <c r="B2771" s="17">
        <v>59.727133000000002</v>
      </c>
      <c r="C2771" s="18"/>
      <c r="D2771" s="19"/>
    </row>
    <row r="2772" spans="1:4" x14ac:dyDescent="0.3">
      <c r="A2772" s="16">
        <v>45450.256944000001</v>
      </c>
      <c r="B2772" s="17">
        <v>59.769852999999998</v>
      </c>
      <c r="C2772" s="18"/>
      <c r="D2772" s="19"/>
    </row>
    <row r="2773" spans="1:4" x14ac:dyDescent="0.3">
      <c r="A2773" s="16">
        <v>45450.257639000003</v>
      </c>
      <c r="B2773" s="17">
        <v>59.179859</v>
      </c>
      <c r="C2773" s="18"/>
      <c r="D2773" s="19"/>
    </row>
    <row r="2774" spans="1:4" x14ac:dyDescent="0.3">
      <c r="A2774" s="16">
        <v>45450.258332999998</v>
      </c>
      <c r="B2774" s="17">
        <v>60.054125999999997</v>
      </c>
      <c r="C2774" s="18"/>
      <c r="D2774" s="19"/>
    </row>
    <row r="2775" spans="1:4" x14ac:dyDescent="0.3">
      <c r="A2775" s="16">
        <v>45450.259028</v>
      </c>
      <c r="B2775" s="17">
        <v>59.599068000000003</v>
      </c>
      <c r="C2775" s="18"/>
      <c r="D2775" s="19"/>
    </row>
    <row r="2776" spans="1:4" x14ac:dyDescent="0.3">
      <c r="A2776" s="16">
        <v>45450.259722000003</v>
      </c>
      <c r="B2776" s="17">
        <v>59.520085999999999</v>
      </c>
      <c r="C2776" s="18"/>
      <c r="D2776" s="19"/>
    </row>
    <row r="2777" spans="1:4" x14ac:dyDescent="0.3">
      <c r="A2777" s="16">
        <v>45450.260416999998</v>
      </c>
      <c r="B2777" s="17">
        <v>60.037067999999998</v>
      </c>
      <c r="C2777" s="18"/>
      <c r="D2777" s="19"/>
    </row>
    <row r="2778" spans="1:4" x14ac:dyDescent="0.3">
      <c r="A2778" s="16">
        <v>45450.261111</v>
      </c>
      <c r="B2778" s="17">
        <v>59.707903000000002</v>
      </c>
      <c r="C2778" s="18"/>
      <c r="D2778" s="19"/>
    </row>
    <row r="2779" spans="1:4" x14ac:dyDescent="0.3">
      <c r="A2779" s="16">
        <v>45450.261806000002</v>
      </c>
      <c r="B2779" s="17">
        <v>59.955696000000003</v>
      </c>
      <c r="C2779" s="18"/>
      <c r="D2779" s="19"/>
    </row>
    <row r="2780" spans="1:4" x14ac:dyDescent="0.3">
      <c r="A2780" s="16">
        <v>45450.262499999997</v>
      </c>
      <c r="B2780" s="17">
        <v>59.633499999999998</v>
      </c>
      <c r="C2780" s="18"/>
      <c r="D2780" s="19"/>
    </row>
    <row r="2781" spans="1:4" x14ac:dyDescent="0.3">
      <c r="A2781" s="16">
        <v>45450.263193999999</v>
      </c>
      <c r="B2781" s="17">
        <v>59.726796</v>
      </c>
      <c r="C2781" s="18"/>
      <c r="D2781" s="19"/>
    </row>
    <row r="2782" spans="1:4" x14ac:dyDescent="0.3">
      <c r="A2782" s="16">
        <v>45450.263889000002</v>
      </c>
      <c r="B2782" s="17">
        <v>59.648803999999998</v>
      </c>
      <c r="C2782" s="18"/>
      <c r="D2782" s="19"/>
    </row>
    <row r="2783" spans="1:4" x14ac:dyDescent="0.3">
      <c r="A2783" s="16">
        <v>45450.264582999996</v>
      </c>
      <c r="B2783" s="17">
        <v>59.398325</v>
      </c>
      <c r="C2783" s="18"/>
      <c r="D2783" s="19"/>
    </row>
    <row r="2784" spans="1:4" x14ac:dyDescent="0.3">
      <c r="A2784" s="16">
        <v>45450.265277999999</v>
      </c>
      <c r="B2784" s="17">
        <v>59.648724999999999</v>
      </c>
      <c r="C2784" s="18"/>
      <c r="D2784" s="19"/>
    </row>
    <row r="2785" spans="1:4" x14ac:dyDescent="0.3">
      <c r="A2785" s="16">
        <v>45450.265972000001</v>
      </c>
      <c r="B2785" s="17">
        <v>59.934474999999999</v>
      </c>
      <c r="C2785" s="18"/>
      <c r="D2785" s="19"/>
    </row>
    <row r="2786" spans="1:4" x14ac:dyDescent="0.3">
      <c r="A2786" s="16">
        <v>45450.266667000004</v>
      </c>
      <c r="B2786" s="17">
        <v>59.612476999999998</v>
      </c>
      <c r="C2786" s="18"/>
      <c r="D2786" s="19"/>
    </row>
    <row r="2787" spans="1:4" x14ac:dyDescent="0.3">
      <c r="A2787" s="16">
        <v>45450.267360999998</v>
      </c>
      <c r="B2787" s="17">
        <v>59.634239000000001</v>
      </c>
      <c r="C2787" s="18"/>
      <c r="D2787" s="19"/>
    </row>
    <row r="2788" spans="1:4" x14ac:dyDescent="0.3">
      <c r="A2788" s="16">
        <v>45450.268056000001</v>
      </c>
      <c r="B2788" s="17">
        <v>59.697736999999996</v>
      </c>
      <c r="C2788" s="18"/>
      <c r="D2788" s="19"/>
    </row>
    <row r="2789" spans="1:4" x14ac:dyDescent="0.3">
      <c r="A2789" s="16">
        <v>45450.268750000003</v>
      </c>
      <c r="B2789" s="17">
        <v>59.835976000000002</v>
      </c>
      <c r="C2789" s="18"/>
      <c r="D2789" s="19"/>
    </row>
    <row r="2790" spans="1:4" x14ac:dyDescent="0.3">
      <c r="A2790" s="16">
        <v>45450.269443999998</v>
      </c>
      <c r="B2790" s="17">
        <v>60.140636999999998</v>
      </c>
      <c r="C2790" s="18"/>
      <c r="D2790" s="19"/>
    </row>
    <row r="2791" spans="1:4" x14ac:dyDescent="0.3">
      <c r="A2791" s="16">
        <v>45450.270139</v>
      </c>
      <c r="B2791" s="17">
        <v>60.062322999999999</v>
      </c>
      <c r="C2791" s="18"/>
      <c r="D2791" s="19"/>
    </row>
    <row r="2792" spans="1:4" x14ac:dyDescent="0.3">
      <c r="A2792" s="16">
        <v>45450.270833000002</v>
      </c>
      <c r="B2792" s="17">
        <v>59.798730999999997</v>
      </c>
      <c r="C2792" s="18"/>
      <c r="D2792" s="19"/>
    </row>
    <row r="2793" spans="1:4" x14ac:dyDescent="0.3">
      <c r="A2793" s="16">
        <v>45450.271527999997</v>
      </c>
      <c r="B2793" s="17">
        <v>59.846542999999997</v>
      </c>
      <c r="C2793" s="18"/>
      <c r="D2793" s="19"/>
    </row>
    <row r="2794" spans="1:4" x14ac:dyDescent="0.3">
      <c r="A2794" s="16">
        <v>45450.272222</v>
      </c>
      <c r="B2794" s="17">
        <v>59.686154999999999</v>
      </c>
      <c r="C2794" s="18"/>
      <c r="D2794" s="19"/>
    </row>
    <row r="2795" spans="1:4" x14ac:dyDescent="0.3">
      <c r="A2795" s="16">
        <v>45450.272917000002</v>
      </c>
      <c r="B2795" s="17">
        <v>59.845188999999998</v>
      </c>
      <c r="C2795" s="18"/>
      <c r="D2795" s="19"/>
    </row>
    <row r="2796" spans="1:4" x14ac:dyDescent="0.3">
      <c r="A2796" s="16">
        <v>45450.273610999997</v>
      </c>
      <c r="B2796" s="17">
        <v>59.499097999999996</v>
      </c>
      <c r="C2796" s="18"/>
      <c r="D2796" s="19"/>
    </row>
    <row r="2797" spans="1:4" x14ac:dyDescent="0.3">
      <c r="A2797" s="16">
        <v>45450.274305999999</v>
      </c>
      <c r="B2797" s="17">
        <v>59.948359000000004</v>
      </c>
      <c r="C2797" s="18"/>
      <c r="D2797" s="19"/>
    </row>
    <row r="2798" spans="1:4" x14ac:dyDescent="0.3">
      <c r="A2798" s="16">
        <v>45450.275000000001</v>
      </c>
      <c r="B2798" s="17">
        <v>59.055554999999998</v>
      </c>
      <c r="C2798" s="18"/>
      <c r="D2798" s="19"/>
    </row>
    <row r="2799" spans="1:4" x14ac:dyDescent="0.3">
      <c r="A2799" s="16">
        <v>45450.275694000004</v>
      </c>
      <c r="B2799" s="17">
        <v>59.885106999999998</v>
      </c>
      <c r="C2799" s="18"/>
      <c r="D2799" s="19"/>
    </row>
    <row r="2800" spans="1:4" x14ac:dyDescent="0.3">
      <c r="A2800" s="16">
        <v>45450.276388999999</v>
      </c>
      <c r="B2800" s="17">
        <v>59.867784999999998</v>
      </c>
      <c r="C2800" s="18"/>
      <c r="D2800" s="19"/>
    </row>
    <row r="2801" spans="1:4" x14ac:dyDescent="0.3">
      <c r="A2801" s="16">
        <v>45450.277083000001</v>
      </c>
      <c r="B2801" s="17">
        <v>60.313687000000002</v>
      </c>
      <c r="C2801" s="18"/>
      <c r="D2801" s="19"/>
    </row>
    <row r="2802" spans="1:4" x14ac:dyDescent="0.3">
      <c r="A2802" s="16">
        <v>45450.277778000003</v>
      </c>
      <c r="B2802" s="17">
        <v>59.777903999999999</v>
      </c>
      <c r="C2802" s="18"/>
      <c r="D2802" s="19"/>
    </row>
    <row r="2803" spans="1:4" x14ac:dyDescent="0.3">
      <c r="A2803" s="16">
        <v>45450.278471999998</v>
      </c>
      <c r="B2803" s="17">
        <v>59.838673999999997</v>
      </c>
      <c r="C2803" s="18"/>
      <c r="D2803" s="19"/>
    </row>
    <row r="2804" spans="1:4" x14ac:dyDescent="0.3">
      <c r="A2804" s="16">
        <v>45450.279167000001</v>
      </c>
      <c r="B2804" s="17">
        <v>60.039968000000002</v>
      </c>
      <c r="C2804" s="18"/>
      <c r="D2804" s="19"/>
    </row>
    <row r="2805" spans="1:4" x14ac:dyDescent="0.3">
      <c r="A2805" s="16">
        <v>45450.279861000003</v>
      </c>
      <c r="B2805" s="17">
        <v>59.799596999999999</v>
      </c>
      <c r="C2805" s="18"/>
      <c r="D2805" s="19"/>
    </row>
    <row r="2806" spans="1:4" x14ac:dyDescent="0.3">
      <c r="A2806" s="16">
        <v>45450.280555999998</v>
      </c>
      <c r="B2806" s="17">
        <v>59.974159</v>
      </c>
      <c r="C2806" s="18"/>
      <c r="D2806" s="19"/>
    </row>
    <row r="2807" spans="1:4" x14ac:dyDescent="0.3">
      <c r="A2807" s="16">
        <v>45450.28125</v>
      </c>
      <c r="B2807" s="17">
        <v>59.926341999999998</v>
      </c>
      <c r="C2807" s="18"/>
      <c r="D2807" s="19"/>
    </row>
    <row r="2808" spans="1:4" x14ac:dyDescent="0.3">
      <c r="A2808" s="16">
        <v>45450.281944000002</v>
      </c>
      <c r="B2808" s="17">
        <v>60.433383999999997</v>
      </c>
      <c r="C2808" s="18"/>
      <c r="D2808" s="19"/>
    </row>
    <row r="2809" spans="1:4" x14ac:dyDescent="0.3">
      <c r="A2809" s="16">
        <v>45450.282638999997</v>
      </c>
      <c r="B2809" s="17">
        <v>60.205486000000001</v>
      </c>
      <c r="C2809" s="18"/>
      <c r="D2809" s="19"/>
    </row>
    <row r="2810" spans="1:4" x14ac:dyDescent="0.3">
      <c r="A2810" s="16">
        <v>45450.283332999999</v>
      </c>
      <c r="B2810" s="17">
        <v>59.919617000000002</v>
      </c>
      <c r="C2810" s="18"/>
      <c r="D2810" s="19"/>
    </row>
    <row r="2811" spans="1:4" x14ac:dyDescent="0.3">
      <c r="A2811" s="16">
        <v>45450.284028000002</v>
      </c>
      <c r="B2811" s="17">
        <v>60.204608</v>
      </c>
      <c r="C2811" s="18"/>
      <c r="D2811" s="19"/>
    </row>
    <row r="2812" spans="1:4" x14ac:dyDescent="0.3">
      <c r="A2812" s="16">
        <v>45450.284721999997</v>
      </c>
      <c r="B2812" s="17">
        <v>59.771740999999999</v>
      </c>
      <c r="C2812" s="18"/>
      <c r="D2812" s="19"/>
    </row>
    <row r="2813" spans="1:4" x14ac:dyDescent="0.3">
      <c r="A2813" s="16">
        <v>45450.285416999999</v>
      </c>
      <c r="B2813" s="17">
        <v>60.073709000000001</v>
      </c>
      <c r="C2813" s="18"/>
      <c r="D2813" s="19"/>
    </row>
    <row r="2814" spans="1:4" x14ac:dyDescent="0.3">
      <c r="A2814" s="16">
        <v>45450.286111000001</v>
      </c>
      <c r="B2814" s="17">
        <v>59.973896000000003</v>
      </c>
      <c r="C2814" s="18"/>
      <c r="D2814" s="19"/>
    </row>
    <row r="2815" spans="1:4" x14ac:dyDescent="0.3">
      <c r="A2815" s="16">
        <v>45450.286805999996</v>
      </c>
      <c r="B2815" s="17">
        <v>59.733469999999997</v>
      </c>
      <c r="C2815" s="18"/>
      <c r="D2815" s="19"/>
    </row>
    <row r="2816" spans="1:4" x14ac:dyDescent="0.3">
      <c r="A2816" s="16">
        <v>45450.287499999999</v>
      </c>
      <c r="B2816" s="17">
        <v>60.065252999999998</v>
      </c>
      <c r="C2816" s="18"/>
      <c r="D2816" s="19"/>
    </row>
    <row r="2817" spans="1:4" x14ac:dyDescent="0.3">
      <c r="A2817" s="16">
        <v>45450.288194000001</v>
      </c>
      <c r="B2817" s="17">
        <v>60.093763000000003</v>
      </c>
      <c r="C2817" s="18"/>
      <c r="D2817" s="19"/>
    </row>
    <row r="2818" spans="1:4" x14ac:dyDescent="0.3">
      <c r="A2818" s="16">
        <v>45450.288889000003</v>
      </c>
      <c r="B2818" s="17">
        <v>60.128169999999997</v>
      </c>
      <c r="C2818" s="18"/>
      <c r="D2818" s="19"/>
    </row>
    <row r="2819" spans="1:4" x14ac:dyDescent="0.3">
      <c r="A2819" s="16">
        <v>45450.289582999998</v>
      </c>
      <c r="B2819" s="17">
        <v>59.986677999999998</v>
      </c>
      <c r="C2819" s="18"/>
      <c r="D2819" s="19"/>
    </row>
    <row r="2820" spans="1:4" x14ac:dyDescent="0.3">
      <c r="A2820" s="16">
        <v>45450.290278</v>
      </c>
      <c r="B2820" s="17">
        <v>60.011581</v>
      </c>
      <c r="C2820" s="18"/>
      <c r="D2820" s="19"/>
    </row>
    <row r="2821" spans="1:4" x14ac:dyDescent="0.3">
      <c r="A2821" s="16">
        <v>45450.290972000003</v>
      </c>
      <c r="B2821" s="17">
        <v>59.853552000000001</v>
      </c>
      <c r="C2821" s="18"/>
      <c r="D2821" s="19"/>
    </row>
    <row r="2822" spans="1:4" x14ac:dyDescent="0.3">
      <c r="A2822" s="16">
        <v>45450.291666999998</v>
      </c>
      <c r="B2822" s="17">
        <v>59.555214999999997</v>
      </c>
      <c r="C2822" s="18"/>
      <c r="D2822" s="19"/>
    </row>
    <row r="2823" spans="1:4" x14ac:dyDescent="0.3">
      <c r="A2823" s="16">
        <v>45450.292361</v>
      </c>
      <c r="B2823" s="17">
        <v>59.949781000000002</v>
      </c>
      <c r="C2823" s="18"/>
      <c r="D2823" s="19"/>
    </row>
    <row r="2824" spans="1:4" x14ac:dyDescent="0.3">
      <c r="A2824" s="16">
        <v>45450.293056000002</v>
      </c>
      <c r="B2824" s="17">
        <v>59.919929000000003</v>
      </c>
      <c r="C2824" s="18"/>
      <c r="D2824" s="19"/>
    </row>
    <row r="2825" spans="1:4" x14ac:dyDescent="0.3">
      <c r="A2825" s="16">
        <v>45450.293749999997</v>
      </c>
      <c r="B2825" s="17">
        <v>59.867339999999999</v>
      </c>
      <c r="C2825" s="18"/>
      <c r="D2825" s="19"/>
    </row>
    <row r="2826" spans="1:4" x14ac:dyDescent="0.3">
      <c r="A2826" s="16">
        <v>45450.294443999999</v>
      </c>
      <c r="B2826" s="17">
        <v>59.274222000000002</v>
      </c>
      <c r="C2826" s="18"/>
      <c r="D2826" s="19"/>
    </row>
    <row r="2827" spans="1:4" x14ac:dyDescent="0.3">
      <c r="A2827" s="16">
        <v>45450.295139000002</v>
      </c>
      <c r="B2827" s="17">
        <v>60.065761000000002</v>
      </c>
      <c r="C2827" s="18"/>
      <c r="D2827" s="19"/>
    </row>
    <row r="2828" spans="1:4" x14ac:dyDescent="0.3">
      <c r="A2828" s="16">
        <v>45450.295832999996</v>
      </c>
      <c r="B2828" s="17">
        <v>60.248344000000003</v>
      </c>
      <c r="C2828" s="18"/>
      <c r="D2828" s="19"/>
    </row>
    <row r="2829" spans="1:4" x14ac:dyDescent="0.3">
      <c r="A2829" s="16">
        <v>45450.296527999999</v>
      </c>
      <c r="B2829" s="17">
        <v>59.520045000000003</v>
      </c>
      <c r="C2829" s="18"/>
      <c r="D2829" s="19"/>
    </row>
    <row r="2830" spans="1:4" x14ac:dyDescent="0.3">
      <c r="A2830" s="16">
        <v>45450.297222000001</v>
      </c>
      <c r="B2830" s="17">
        <v>59.894899000000002</v>
      </c>
      <c r="C2830" s="18"/>
      <c r="D2830" s="19"/>
    </row>
    <row r="2831" spans="1:4" x14ac:dyDescent="0.3">
      <c r="A2831" s="16">
        <v>45450.297917000004</v>
      </c>
      <c r="B2831" s="17">
        <v>60.381923</v>
      </c>
      <c r="C2831" s="18"/>
      <c r="D2831" s="19"/>
    </row>
    <row r="2832" spans="1:4" x14ac:dyDescent="0.3">
      <c r="A2832" s="16">
        <v>45450.298610999998</v>
      </c>
      <c r="B2832" s="17">
        <v>59.897303999999998</v>
      </c>
      <c r="C2832" s="18"/>
      <c r="D2832" s="19"/>
    </row>
    <row r="2833" spans="1:4" x14ac:dyDescent="0.3">
      <c r="A2833" s="16">
        <v>45450.299306000001</v>
      </c>
      <c r="B2833" s="17">
        <v>60.027189</v>
      </c>
      <c r="C2833" s="18"/>
      <c r="D2833" s="19"/>
    </row>
    <row r="2834" spans="1:4" x14ac:dyDescent="0.3">
      <c r="A2834" s="16">
        <v>45450.3</v>
      </c>
      <c r="B2834" s="17">
        <v>60.051676</v>
      </c>
      <c r="C2834" s="18"/>
      <c r="D2834" s="19"/>
    </row>
    <row r="2835" spans="1:4" x14ac:dyDescent="0.3">
      <c r="A2835" s="16">
        <v>45450.300693999998</v>
      </c>
      <c r="B2835" s="17">
        <v>60.438302</v>
      </c>
      <c r="C2835" s="18"/>
      <c r="D2835" s="19"/>
    </row>
    <row r="2836" spans="1:4" x14ac:dyDescent="0.3">
      <c r="A2836" s="16">
        <v>45450.301389</v>
      </c>
      <c r="B2836" s="17">
        <v>60.044739</v>
      </c>
      <c r="C2836" s="18"/>
      <c r="D2836" s="19"/>
    </row>
    <row r="2837" spans="1:4" x14ac:dyDescent="0.3">
      <c r="A2837" s="16">
        <v>45450.302083000002</v>
      </c>
      <c r="B2837" s="17">
        <v>60.442636</v>
      </c>
      <c r="C2837" s="18"/>
      <c r="D2837" s="19"/>
    </row>
    <row r="2838" spans="1:4" x14ac:dyDescent="0.3">
      <c r="A2838" s="16">
        <v>45450.302777999997</v>
      </c>
      <c r="B2838" s="17">
        <v>59.950240000000001</v>
      </c>
      <c r="C2838" s="18"/>
      <c r="D2838" s="19"/>
    </row>
    <row r="2839" spans="1:4" x14ac:dyDescent="0.3">
      <c r="A2839" s="16">
        <v>45450.303472</v>
      </c>
      <c r="B2839" s="17">
        <v>60.312789000000002</v>
      </c>
      <c r="C2839" s="18"/>
      <c r="D2839" s="19"/>
    </row>
    <row r="2840" spans="1:4" x14ac:dyDescent="0.3">
      <c r="A2840" s="16">
        <v>45450.304167000002</v>
      </c>
      <c r="B2840" s="17">
        <v>60.219217</v>
      </c>
      <c r="C2840" s="18"/>
      <c r="D2840" s="19"/>
    </row>
    <row r="2841" spans="1:4" x14ac:dyDescent="0.3">
      <c r="A2841" s="16">
        <v>45450.304860999997</v>
      </c>
      <c r="B2841" s="17">
        <v>59.429426999999997</v>
      </c>
      <c r="C2841" s="18"/>
      <c r="D2841" s="19"/>
    </row>
    <row r="2842" spans="1:4" x14ac:dyDescent="0.3">
      <c r="A2842" s="16">
        <v>45450.305555999999</v>
      </c>
      <c r="B2842" s="17">
        <v>60.240667999999999</v>
      </c>
      <c r="C2842" s="18"/>
      <c r="D2842" s="19"/>
    </row>
    <row r="2843" spans="1:4" x14ac:dyDescent="0.3">
      <c r="A2843" s="16">
        <v>45450.306250000001</v>
      </c>
      <c r="B2843" s="17">
        <v>60.088970000000003</v>
      </c>
      <c r="C2843" s="18"/>
      <c r="D2843" s="19"/>
    </row>
    <row r="2844" spans="1:4" x14ac:dyDescent="0.3">
      <c r="A2844" s="16">
        <v>45450.306944000004</v>
      </c>
      <c r="B2844" s="17">
        <v>59.687784000000001</v>
      </c>
      <c r="C2844" s="18"/>
      <c r="D2844" s="19"/>
    </row>
    <row r="2845" spans="1:4" x14ac:dyDescent="0.3">
      <c r="A2845" s="16">
        <v>45450.307638999999</v>
      </c>
      <c r="B2845" s="17">
        <v>59.480260999999999</v>
      </c>
      <c r="C2845" s="18"/>
      <c r="D2845" s="19"/>
    </row>
    <row r="2846" spans="1:4" x14ac:dyDescent="0.3">
      <c r="A2846" s="16">
        <v>45450.308333000001</v>
      </c>
      <c r="B2846" s="17">
        <v>60.068447999999997</v>
      </c>
      <c r="C2846" s="18"/>
      <c r="D2846" s="19"/>
    </row>
    <row r="2847" spans="1:4" x14ac:dyDescent="0.3">
      <c r="A2847" s="16">
        <v>45450.309028000003</v>
      </c>
      <c r="B2847" s="17">
        <v>59.937370999999999</v>
      </c>
      <c r="C2847" s="18"/>
      <c r="D2847" s="19"/>
    </row>
    <row r="2848" spans="1:4" x14ac:dyDescent="0.3">
      <c r="A2848" s="16">
        <v>45450.309721999998</v>
      </c>
      <c r="B2848" s="17">
        <v>59.710281000000002</v>
      </c>
      <c r="C2848" s="18"/>
      <c r="D2848" s="19"/>
    </row>
    <row r="2849" spans="1:4" x14ac:dyDescent="0.3">
      <c r="A2849" s="16">
        <v>45450.310417000001</v>
      </c>
      <c r="B2849" s="17">
        <v>59.871336999999997</v>
      </c>
      <c r="C2849" s="18"/>
      <c r="D2849" s="19"/>
    </row>
    <row r="2850" spans="1:4" x14ac:dyDescent="0.3">
      <c r="A2850" s="16">
        <v>45450.311111000003</v>
      </c>
      <c r="B2850" s="17">
        <v>60.172013999999997</v>
      </c>
      <c r="C2850" s="18"/>
      <c r="D2850" s="19"/>
    </row>
    <row r="2851" spans="1:4" x14ac:dyDescent="0.3">
      <c r="A2851" s="16">
        <v>45450.311805999998</v>
      </c>
      <c r="B2851" s="17">
        <v>60.135387999999999</v>
      </c>
      <c r="C2851" s="18"/>
      <c r="D2851" s="19"/>
    </row>
    <row r="2852" spans="1:4" x14ac:dyDescent="0.3">
      <c r="A2852" s="16">
        <v>45450.3125</v>
      </c>
      <c r="B2852" s="17">
        <v>59.454628999999997</v>
      </c>
      <c r="C2852" s="18"/>
      <c r="D2852" s="19"/>
    </row>
    <row r="2853" spans="1:4" x14ac:dyDescent="0.3">
      <c r="A2853" s="16">
        <v>45450.313194000002</v>
      </c>
      <c r="B2853" s="17">
        <v>59.989579999999997</v>
      </c>
      <c r="C2853" s="18"/>
      <c r="D2853" s="19"/>
    </row>
    <row r="2854" spans="1:4" x14ac:dyDescent="0.3">
      <c r="A2854" s="16">
        <v>45450.313888999997</v>
      </c>
      <c r="B2854" s="17">
        <v>59.920979000000003</v>
      </c>
      <c r="C2854" s="18"/>
      <c r="D2854" s="19"/>
    </row>
    <row r="2855" spans="1:4" x14ac:dyDescent="0.3">
      <c r="A2855" s="16">
        <v>45450.314582999999</v>
      </c>
      <c r="B2855" s="17">
        <v>59.584806999999998</v>
      </c>
      <c r="C2855" s="18"/>
      <c r="D2855" s="19"/>
    </row>
    <row r="2856" spans="1:4" x14ac:dyDescent="0.3">
      <c r="A2856" s="16">
        <v>45450.315278000002</v>
      </c>
      <c r="B2856" s="17">
        <v>59.624972</v>
      </c>
      <c r="C2856" s="18"/>
      <c r="D2856" s="19"/>
    </row>
    <row r="2857" spans="1:4" x14ac:dyDescent="0.3">
      <c r="A2857" s="16">
        <v>45450.315971999997</v>
      </c>
      <c r="B2857" s="17">
        <v>59.881900999999999</v>
      </c>
      <c r="C2857" s="18"/>
      <c r="D2857" s="19"/>
    </row>
    <row r="2858" spans="1:4" x14ac:dyDescent="0.3">
      <c r="A2858" s="16">
        <v>45450.316666999999</v>
      </c>
      <c r="B2858" s="17">
        <v>59.916621999999997</v>
      </c>
      <c r="C2858" s="18"/>
      <c r="D2858" s="19"/>
    </row>
    <row r="2859" spans="1:4" x14ac:dyDescent="0.3">
      <c r="A2859" s="16">
        <v>45450.317361000001</v>
      </c>
      <c r="B2859" s="17">
        <v>59.608885999999998</v>
      </c>
      <c r="C2859" s="18"/>
      <c r="D2859" s="19"/>
    </row>
    <row r="2860" spans="1:4" x14ac:dyDescent="0.3">
      <c r="A2860" s="16">
        <v>45450.318055999996</v>
      </c>
      <c r="B2860" s="17">
        <v>60.139850000000003</v>
      </c>
      <c r="C2860" s="18"/>
      <c r="D2860" s="19"/>
    </row>
    <row r="2861" spans="1:4" x14ac:dyDescent="0.3">
      <c r="A2861" s="16">
        <v>45450.318749999999</v>
      </c>
      <c r="B2861" s="17">
        <v>59.458686999999998</v>
      </c>
      <c r="C2861" s="18"/>
      <c r="D2861" s="19"/>
    </row>
    <row r="2862" spans="1:4" x14ac:dyDescent="0.3">
      <c r="A2862" s="16">
        <v>45450.319444000001</v>
      </c>
      <c r="B2862" s="17">
        <v>59.731439999999999</v>
      </c>
      <c r="C2862" s="18"/>
      <c r="D2862" s="19"/>
    </row>
    <row r="2863" spans="1:4" x14ac:dyDescent="0.3">
      <c r="A2863" s="16">
        <v>45450.320139000003</v>
      </c>
      <c r="B2863" s="17">
        <v>59.643591000000001</v>
      </c>
      <c r="C2863" s="18"/>
      <c r="D2863" s="19"/>
    </row>
    <row r="2864" spans="1:4" x14ac:dyDescent="0.3">
      <c r="A2864" s="16">
        <v>45450.320832999998</v>
      </c>
      <c r="B2864" s="17">
        <v>60.018182000000003</v>
      </c>
      <c r="C2864" s="18"/>
      <c r="D2864" s="19"/>
    </row>
    <row r="2865" spans="1:4" x14ac:dyDescent="0.3">
      <c r="A2865" s="16">
        <v>45450.321528</v>
      </c>
      <c r="B2865" s="17">
        <v>60.170603</v>
      </c>
      <c r="C2865" s="18"/>
      <c r="D2865" s="19"/>
    </row>
    <row r="2866" spans="1:4" x14ac:dyDescent="0.3">
      <c r="A2866" s="16">
        <v>45450.322222000003</v>
      </c>
      <c r="B2866" s="17">
        <v>59.682454</v>
      </c>
      <c r="C2866" s="18"/>
      <c r="D2866" s="19"/>
    </row>
    <row r="2867" spans="1:4" x14ac:dyDescent="0.3">
      <c r="A2867" s="16">
        <v>45450.322916999998</v>
      </c>
      <c r="B2867" s="17">
        <v>60.183498999999998</v>
      </c>
      <c r="C2867" s="18"/>
      <c r="D2867" s="19"/>
    </row>
    <row r="2868" spans="1:4" x14ac:dyDescent="0.3">
      <c r="A2868" s="16">
        <v>45450.323611</v>
      </c>
      <c r="B2868" s="17">
        <v>59.876857999999999</v>
      </c>
      <c r="C2868" s="18"/>
      <c r="D2868" s="19"/>
    </row>
    <row r="2869" spans="1:4" x14ac:dyDescent="0.3">
      <c r="A2869" s="16">
        <v>45450.324306000002</v>
      </c>
      <c r="B2869" s="17">
        <v>59.698464999999999</v>
      </c>
      <c r="C2869" s="18"/>
      <c r="D2869" s="19"/>
    </row>
    <row r="2870" spans="1:4" x14ac:dyDescent="0.3">
      <c r="A2870" s="16">
        <v>45450.324999999997</v>
      </c>
      <c r="B2870" s="17">
        <v>60.111756</v>
      </c>
      <c r="C2870" s="18"/>
      <c r="D2870" s="19"/>
    </row>
    <row r="2871" spans="1:4" x14ac:dyDescent="0.3">
      <c r="A2871" s="16">
        <v>45450.325693999999</v>
      </c>
      <c r="B2871" s="17">
        <v>59.673104000000002</v>
      </c>
      <c r="C2871" s="18"/>
      <c r="D2871" s="19"/>
    </row>
    <row r="2872" spans="1:4" x14ac:dyDescent="0.3">
      <c r="A2872" s="16">
        <v>45450.326389000002</v>
      </c>
      <c r="B2872" s="17">
        <v>60.144936999999999</v>
      </c>
      <c r="C2872" s="18"/>
      <c r="D2872" s="19"/>
    </row>
    <row r="2873" spans="1:4" x14ac:dyDescent="0.3">
      <c r="A2873" s="16">
        <v>45450.327082999996</v>
      </c>
      <c r="B2873" s="17">
        <v>59.501260000000002</v>
      </c>
      <c r="C2873" s="18"/>
      <c r="D2873" s="19"/>
    </row>
    <row r="2874" spans="1:4" x14ac:dyDescent="0.3">
      <c r="A2874" s="16">
        <v>45450.327777999999</v>
      </c>
      <c r="B2874" s="17">
        <v>59.943603000000003</v>
      </c>
      <c r="C2874" s="18"/>
      <c r="D2874" s="19"/>
    </row>
    <row r="2875" spans="1:4" x14ac:dyDescent="0.3">
      <c r="A2875" s="16">
        <v>45450.328472000001</v>
      </c>
      <c r="B2875" s="17">
        <v>59.862017000000002</v>
      </c>
      <c r="C2875" s="18"/>
      <c r="D2875" s="19"/>
    </row>
    <row r="2876" spans="1:4" x14ac:dyDescent="0.3">
      <c r="A2876" s="16">
        <v>45450.329167000004</v>
      </c>
      <c r="B2876" s="17">
        <v>60.108781999999998</v>
      </c>
      <c r="C2876" s="18"/>
      <c r="D2876" s="19"/>
    </row>
    <row r="2877" spans="1:4" x14ac:dyDescent="0.3">
      <c r="A2877" s="16">
        <v>45450.329860999998</v>
      </c>
      <c r="B2877" s="17">
        <v>59.938690000000001</v>
      </c>
      <c r="C2877" s="18"/>
      <c r="D2877" s="19"/>
    </row>
    <row r="2878" spans="1:4" x14ac:dyDescent="0.3">
      <c r="A2878" s="16">
        <v>45450.330556000001</v>
      </c>
      <c r="B2878" s="17">
        <v>59.871656000000002</v>
      </c>
      <c r="C2878" s="18"/>
      <c r="D2878" s="19"/>
    </row>
    <row r="2879" spans="1:4" x14ac:dyDescent="0.3">
      <c r="A2879" s="16">
        <v>45450.331250000003</v>
      </c>
      <c r="B2879" s="17">
        <v>60.206814999999999</v>
      </c>
      <c r="C2879" s="18"/>
      <c r="D2879" s="19"/>
    </row>
    <row r="2880" spans="1:4" x14ac:dyDescent="0.3">
      <c r="A2880" s="16">
        <v>45450.331943999998</v>
      </c>
      <c r="B2880" s="17">
        <v>59.952762999999997</v>
      </c>
      <c r="C2880" s="18"/>
      <c r="D2880" s="19"/>
    </row>
    <row r="2881" spans="1:4" x14ac:dyDescent="0.3">
      <c r="A2881" s="16">
        <v>45450.332639</v>
      </c>
      <c r="B2881" s="17">
        <v>60.190193000000001</v>
      </c>
      <c r="C2881" s="18"/>
      <c r="D2881" s="19"/>
    </row>
    <row r="2882" spans="1:4" x14ac:dyDescent="0.3">
      <c r="A2882" s="16">
        <v>45450.333333000002</v>
      </c>
      <c r="B2882" s="17">
        <v>60.137062</v>
      </c>
      <c r="C2882" s="18"/>
      <c r="D2882" s="19"/>
    </row>
    <row r="2883" spans="1:4" x14ac:dyDescent="0.3">
      <c r="A2883" s="16">
        <v>45450.334027999997</v>
      </c>
      <c r="B2883" s="17">
        <v>59.827457000000003</v>
      </c>
      <c r="C2883" s="18"/>
      <c r="D2883" s="19"/>
    </row>
    <row r="2884" spans="1:4" x14ac:dyDescent="0.3">
      <c r="A2884" s="16">
        <v>45450.334722</v>
      </c>
      <c r="B2884" s="17">
        <v>59.561407000000003</v>
      </c>
      <c r="C2884" s="18"/>
      <c r="D2884" s="19"/>
    </row>
    <row r="2885" spans="1:4" x14ac:dyDescent="0.3">
      <c r="A2885" s="16">
        <v>45450.335417000002</v>
      </c>
      <c r="B2885" s="17">
        <v>59.417036000000003</v>
      </c>
      <c r="C2885" s="18"/>
      <c r="D2885" s="19"/>
    </row>
    <row r="2886" spans="1:4" x14ac:dyDescent="0.3">
      <c r="A2886" s="16">
        <v>45450.336110999997</v>
      </c>
      <c r="B2886" s="17">
        <v>59.647024999999999</v>
      </c>
      <c r="C2886" s="18"/>
      <c r="D2886" s="19"/>
    </row>
    <row r="2887" spans="1:4" x14ac:dyDescent="0.3">
      <c r="A2887" s="16">
        <v>45450.336805999999</v>
      </c>
      <c r="B2887" s="17">
        <v>59.492286999999997</v>
      </c>
      <c r="C2887" s="18"/>
      <c r="D2887" s="19"/>
    </row>
    <row r="2888" spans="1:4" x14ac:dyDescent="0.3">
      <c r="A2888" s="16">
        <v>45450.337500000001</v>
      </c>
      <c r="B2888" s="17">
        <v>60.486032999999999</v>
      </c>
      <c r="C2888" s="18"/>
      <c r="D2888" s="19"/>
    </row>
    <row r="2889" spans="1:4" x14ac:dyDescent="0.3">
      <c r="A2889" s="16">
        <v>45450.338194000004</v>
      </c>
      <c r="B2889" s="17">
        <v>60.252476999999999</v>
      </c>
      <c r="C2889" s="18"/>
      <c r="D2889" s="19"/>
    </row>
    <row r="2890" spans="1:4" x14ac:dyDescent="0.3">
      <c r="A2890" s="16">
        <v>45450.338888999999</v>
      </c>
      <c r="B2890" s="17">
        <v>59.511273000000003</v>
      </c>
      <c r="C2890" s="18"/>
      <c r="D2890" s="19"/>
    </row>
    <row r="2891" spans="1:4" x14ac:dyDescent="0.3">
      <c r="A2891" s="16">
        <v>45450.339583000001</v>
      </c>
      <c r="B2891" s="17">
        <v>59.987932000000001</v>
      </c>
      <c r="C2891" s="18"/>
      <c r="D2891" s="19"/>
    </row>
    <row r="2892" spans="1:4" x14ac:dyDescent="0.3">
      <c r="A2892" s="16">
        <v>45450.340278000003</v>
      </c>
      <c r="B2892" s="17">
        <v>60.109344</v>
      </c>
      <c r="C2892" s="18"/>
      <c r="D2892" s="19"/>
    </row>
    <row r="2893" spans="1:4" x14ac:dyDescent="0.3">
      <c r="A2893" s="16">
        <v>45450.340971999998</v>
      </c>
      <c r="B2893" s="17">
        <v>60.281841</v>
      </c>
      <c r="C2893" s="18"/>
      <c r="D2893" s="19"/>
    </row>
    <row r="2894" spans="1:4" x14ac:dyDescent="0.3">
      <c r="A2894" s="16">
        <v>45450.341667000001</v>
      </c>
      <c r="B2894" s="17">
        <v>60.380777999999999</v>
      </c>
      <c r="C2894" s="18"/>
      <c r="D2894" s="19"/>
    </row>
    <row r="2895" spans="1:4" x14ac:dyDescent="0.3">
      <c r="A2895" s="16">
        <v>45450.342361000003</v>
      </c>
      <c r="B2895" s="17">
        <v>60.135288000000003</v>
      </c>
      <c r="C2895" s="18"/>
      <c r="D2895" s="19"/>
    </row>
    <row r="2896" spans="1:4" x14ac:dyDescent="0.3">
      <c r="A2896" s="16">
        <v>45450.343055999998</v>
      </c>
      <c r="B2896" s="17">
        <v>60.104157000000001</v>
      </c>
      <c r="C2896" s="18"/>
      <c r="D2896" s="19"/>
    </row>
    <row r="2897" spans="1:4" x14ac:dyDescent="0.3">
      <c r="A2897" s="16">
        <v>45450.34375</v>
      </c>
      <c r="B2897" s="17">
        <v>60.273915000000002</v>
      </c>
      <c r="C2897" s="18"/>
      <c r="D2897" s="19"/>
    </row>
    <row r="2898" spans="1:4" x14ac:dyDescent="0.3">
      <c r="A2898" s="16">
        <v>45450.344444000002</v>
      </c>
      <c r="B2898" s="17">
        <v>60.240403999999998</v>
      </c>
      <c r="C2898" s="18"/>
      <c r="D2898" s="19"/>
    </row>
    <row r="2899" spans="1:4" x14ac:dyDescent="0.3">
      <c r="A2899" s="16">
        <v>45450.345138999997</v>
      </c>
      <c r="B2899" s="17">
        <v>60.224218999999998</v>
      </c>
      <c r="C2899" s="18"/>
      <c r="D2899" s="19"/>
    </row>
    <row r="2900" spans="1:4" x14ac:dyDescent="0.3">
      <c r="A2900" s="16">
        <v>45450.345832999999</v>
      </c>
      <c r="B2900" s="17">
        <v>60.107844999999998</v>
      </c>
      <c r="C2900" s="18"/>
      <c r="D2900" s="19"/>
    </row>
    <row r="2901" spans="1:4" x14ac:dyDescent="0.3">
      <c r="A2901" s="16">
        <v>45450.346528000002</v>
      </c>
      <c r="B2901" s="17">
        <v>59.817431999999997</v>
      </c>
      <c r="C2901" s="18"/>
      <c r="D2901" s="19"/>
    </row>
    <row r="2902" spans="1:4" x14ac:dyDescent="0.3">
      <c r="A2902" s="16">
        <v>45450.347221999997</v>
      </c>
      <c r="B2902" s="17">
        <v>59.735967000000002</v>
      </c>
      <c r="C2902" s="18"/>
      <c r="D2902" s="19"/>
    </row>
    <row r="2903" spans="1:4" x14ac:dyDescent="0.3">
      <c r="A2903" s="16">
        <v>45450.347916999999</v>
      </c>
      <c r="B2903" s="17">
        <v>60.142760000000003</v>
      </c>
      <c r="C2903" s="18"/>
      <c r="D2903" s="19"/>
    </row>
    <row r="2904" spans="1:4" x14ac:dyDescent="0.3">
      <c r="A2904" s="16">
        <v>45450.348611000001</v>
      </c>
      <c r="B2904" s="17">
        <v>59.966737999999999</v>
      </c>
      <c r="C2904" s="18"/>
      <c r="D2904" s="19"/>
    </row>
    <row r="2905" spans="1:4" x14ac:dyDescent="0.3">
      <c r="A2905" s="16">
        <v>45450.349305999996</v>
      </c>
      <c r="B2905" s="17">
        <v>59.948359000000004</v>
      </c>
      <c r="C2905" s="18"/>
      <c r="D2905" s="19"/>
    </row>
    <row r="2906" spans="1:4" x14ac:dyDescent="0.3">
      <c r="A2906" s="16">
        <v>45450.35</v>
      </c>
      <c r="B2906" s="17">
        <v>60.404426999999998</v>
      </c>
      <c r="C2906" s="18"/>
      <c r="D2906" s="19"/>
    </row>
    <row r="2907" spans="1:4" x14ac:dyDescent="0.3">
      <c r="A2907" s="16">
        <v>45450.350694000001</v>
      </c>
      <c r="B2907" s="17">
        <v>59.767294</v>
      </c>
      <c r="C2907" s="18"/>
      <c r="D2907" s="19"/>
    </row>
    <row r="2908" spans="1:4" x14ac:dyDescent="0.3">
      <c r="A2908" s="16">
        <v>45450.351389000003</v>
      </c>
      <c r="B2908" s="17">
        <v>59.985098999999998</v>
      </c>
      <c r="C2908" s="18"/>
      <c r="D2908" s="19"/>
    </row>
    <row r="2909" spans="1:4" x14ac:dyDescent="0.3">
      <c r="A2909" s="16">
        <v>45450.352082999998</v>
      </c>
      <c r="B2909" s="17">
        <v>60.092514999999999</v>
      </c>
      <c r="C2909" s="18"/>
      <c r="D2909" s="19"/>
    </row>
    <row r="2910" spans="1:4" x14ac:dyDescent="0.3">
      <c r="A2910" s="16">
        <v>45450.352778</v>
      </c>
      <c r="B2910" s="17">
        <v>60.104764000000003</v>
      </c>
      <c r="C2910" s="18"/>
      <c r="D2910" s="19"/>
    </row>
    <row r="2911" spans="1:4" x14ac:dyDescent="0.3">
      <c r="A2911" s="16">
        <v>45450.353472000003</v>
      </c>
      <c r="B2911" s="17">
        <v>60.072429</v>
      </c>
      <c r="C2911" s="18"/>
      <c r="D2911" s="19"/>
    </row>
    <row r="2912" spans="1:4" x14ac:dyDescent="0.3">
      <c r="A2912" s="16">
        <v>45450.354166999998</v>
      </c>
      <c r="B2912" s="17">
        <v>59.964700999999998</v>
      </c>
      <c r="C2912" s="18"/>
      <c r="D2912" s="19"/>
    </row>
    <row r="2913" spans="1:4" x14ac:dyDescent="0.3">
      <c r="A2913" s="16">
        <v>45450.354861</v>
      </c>
      <c r="B2913" s="17">
        <v>60.152161</v>
      </c>
      <c r="C2913" s="18"/>
      <c r="D2913" s="19"/>
    </row>
    <row r="2914" spans="1:4" x14ac:dyDescent="0.3">
      <c r="A2914" s="16">
        <v>45450.355556000002</v>
      </c>
      <c r="B2914" s="17">
        <v>60.310101000000003</v>
      </c>
      <c r="C2914" s="18"/>
      <c r="D2914" s="19"/>
    </row>
    <row r="2915" spans="1:4" x14ac:dyDescent="0.3">
      <c r="A2915" s="16">
        <v>45450.356249999997</v>
      </c>
      <c r="B2915" s="17">
        <v>59.900739000000002</v>
      </c>
      <c r="C2915" s="18"/>
      <c r="D2915" s="19"/>
    </row>
    <row r="2916" spans="1:4" x14ac:dyDescent="0.3">
      <c r="A2916" s="16">
        <v>45450.356943999999</v>
      </c>
      <c r="B2916" s="17">
        <v>60.181151999999997</v>
      </c>
      <c r="C2916" s="18"/>
      <c r="D2916" s="19"/>
    </row>
    <row r="2917" spans="1:4" x14ac:dyDescent="0.3">
      <c r="A2917" s="16">
        <v>45450.357639000002</v>
      </c>
      <c r="B2917" s="17">
        <v>60.405180000000001</v>
      </c>
      <c r="C2917" s="18"/>
      <c r="D2917" s="19"/>
    </row>
    <row r="2918" spans="1:4" x14ac:dyDescent="0.3">
      <c r="A2918" s="16">
        <v>45450.358332999996</v>
      </c>
      <c r="B2918" s="17">
        <v>60.062108000000002</v>
      </c>
      <c r="C2918" s="18"/>
      <c r="D2918" s="19"/>
    </row>
    <row r="2919" spans="1:4" x14ac:dyDescent="0.3">
      <c r="A2919" s="16">
        <v>45450.359027999999</v>
      </c>
      <c r="B2919" s="17">
        <v>59.922978999999998</v>
      </c>
      <c r="C2919" s="18"/>
      <c r="D2919" s="19"/>
    </row>
    <row r="2920" spans="1:4" x14ac:dyDescent="0.3">
      <c r="A2920" s="16">
        <v>45450.359722000001</v>
      </c>
      <c r="B2920" s="17">
        <v>60.043450999999997</v>
      </c>
      <c r="C2920" s="18"/>
      <c r="D2920" s="19"/>
    </row>
    <row r="2921" spans="1:4" x14ac:dyDescent="0.3">
      <c r="A2921" s="16">
        <v>45450.360417000004</v>
      </c>
      <c r="B2921" s="17">
        <v>60.149228999999998</v>
      </c>
      <c r="C2921" s="18"/>
      <c r="D2921" s="19"/>
    </row>
    <row r="2922" spans="1:4" x14ac:dyDescent="0.3">
      <c r="A2922" s="16">
        <v>45450.361110999998</v>
      </c>
      <c r="B2922" s="17">
        <v>60.314369999999997</v>
      </c>
      <c r="C2922" s="18"/>
      <c r="D2922" s="19"/>
    </row>
    <row r="2923" spans="1:4" x14ac:dyDescent="0.3">
      <c r="A2923" s="16">
        <v>45450.361806000001</v>
      </c>
      <c r="B2923" s="17">
        <v>60.226179000000002</v>
      </c>
      <c r="C2923" s="18"/>
      <c r="D2923" s="19"/>
    </row>
    <row r="2924" spans="1:4" x14ac:dyDescent="0.3">
      <c r="A2924" s="16">
        <v>45450.362500000003</v>
      </c>
      <c r="B2924" s="17">
        <v>59.999527</v>
      </c>
      <c r="C2924" s="18"/>
      <c r="D2924" s="19"/>
    </row>
    <row r="2925" spans="1:4" x14ac:dyDescent="0.3">
      <c r="A2925" s="16">
        <v>45450.363193999998</v>
      </c>
      <c r="B2925" s="17">
        <v>60.342948</v>
      </c>
      <c r="C2925" s="18"/>
      <c r="D2925" s="19"/>
    </row>
    <row r="2926" spans="1:4" x14ac:dyDescent="0.3">
      <c r="A2926" s="16">
        <v>45450.363889</v>
      </c>
      <c r="B2926" s="17">
        <v>60.311878999999998</v>
      </c>
      <c r="C2926" s="18"/>
      <c r="D2926" s="19"/>
    </row>
    <row r="2927" spans="1:4" x14ac:dyDescent="0.3">
      <c r="A2927" s="16">
        <v>45450.364583000002</v>
      </c>
      <c r="B2927" s="17">
        <v>60.300770999999997</v>
      </c>
      <c r="C2927" s="18"/>
      <c r="D2927" s="19"/>
    </row>
    <row r="2928" spans="1:4" x14ac:dyDescent="0.3">
      <c r="A2928" s="16">
        <v>45450.365277999997</v>
      </c>
      <c r="B2928" s="17">
        <v>60.100544999999997</v>
      </c>
      <c r="C2928" s="18"/>
      <c r="D2928" s="19"/>
    </row>
    <row r="2929" spans="1:4" x14ac:dyDescent="0.3">
      <c r="A2929" s="16">
        <v>45450.365972</v>
      </c>
      <c r="B2929" s="17">
        <v>60.293053999999998</v>
      </c>
      <c r="C2929" s="18"/>
      <c r="D2929" s="19"/>
    </row>
    <row r="2930" spans="1:4" x14ac:dyDescent="0.3">
      <c r="A2930" s="16">
        <v>45450.366667000002</v>
      </c>
      <c r="B2930" s="17">
        <v>60.150939999999999</v>
      </c>
      <c r="C2930" s="18"/>
      <c r="D2930" s="19"/>
    </row>
    <row r="2931" spans="1:4" x14ac:dyDescent="0.3">
      <c r="A2931" s="16">
        <v>45450.367360999997</v>
      </c>
      <c r="B2931" s="17">
        <v>60.480167000000002</v>
      </c>
      <c r="C2931" s="18"/>
      <c r="D2931" s="19"/>
    </row>
    <row r="2932" spans="1:4" x14ac:dyDescent="0.3">
      <c r="A2932" s="16">
        <v>45450.368055999999</v>
      </c>
      <c r="B2932" s="17">
        <v>60.909387000000002</v>
      </c>
      <c r="C2932" s="18"/>
      <c r="D2932" s="19"/>
    </row>
    <row r="2933" spans="1:4" x14ac:dyDescent="0.3">
      <c r="A2933" s="16">
        <v>45450.368750000001</v>
      </c>
      <c r="B2933" s="17">
        <v>60.156115</v>
      </c>
      <c r="C2933" s="18"/>
      <c r="D2933" s="19"/>
    </row>
    <row r="2934" spans="1:4" x14ac:dyDescent="0.3">
      <c r="A2934" s="16">
        <v>45450.369444000004</v>
      </c>
      <c r="B2934" s="17">
        <v>60.214044999999999</v>
      </c>
      <c r="C2934" s="18"/>
      <c r="D2934" s="19"/>
    </row>
    <row r="2935" spans="1:4" x14ac:dyDescent="0.3">
      <c r="A2935" s="16">
        <v>45450.370138999999</v>
      </c>
      <c r="B2935" s="17">
        <v>60.299861</v>
      </c>
      <c r="C2935" s="18"/>
      <c r="D2935" s="19"/>
    </row>
    <row r="2936" spans="1:4" x14ac:dyDescent="0.3">
      <c r="A2936" s="16">
        <v>45450.370833000001</v>
      </c>
      <c r="B2936" s="17">
        <v>60.144100000000002</v>
      </c>
      <c r="C2936" s="18"/>
      <c r="D2936" s="19"/>
    </row>
    <row r="2937" spans="1:4" x14ac:dyDescent="0.3">
      <c r="A2937" s="16">
        <v>45450.371528000003</v>
      </c>
      <c r="B2937" s="17">
        <v>60.057015999999997</v>
      </c>
      <c r="C2937" s="18"/>
      <c r="D2937" s="19"/>
    </row>
    <row r="2938" spans="1:4" x14ac:dyDescent="0.3">
      <c r="A2938" s="16">
        <v>45450.372221999998</v>
      </c>
      <c r="B2938" s="17">
        <v>60.280785000000002</v>
      </c>
      <c r="C2938" s="18"/>
      <c r="D2938" s="19"/>
    </row>
    <row r="2939" spans="1:4" x14ac:dyDescent="0.3">
      <c r="A2939" s="16">
        <v>45450.372917000001</v>
      </c>
      <c r="B2939" s="17">
        <v>60.426395999999997</v>
      </c>
      <c r="C2939" s="18"/>
      <c r="D2939" s="19"/>
    </row>
    <row r="2940" spans="1:4" x14ac:dyDescent="0.3">
      <c r="A2940" s="16">
        <v>45450.373611000003</v>
      </c>
      <c r="B2940" s="17">
        <v>60.436948999999998</v>
      </c>
      <c r="C2940" s="18"/>
      <c r="D2940" s="19"/>
    </row>
    <row r="2941" spans="1:4" x14ac:dyDescent="0.3">
      <c r="A2941" s="16">
        <v>45450.374305999998</v>
      </c>
      <c r="B2941" s="17">
        <v>60.095267</v>
      </c>
      <c r="C2941" s="18"/>
      <c r="D2941" s="19"/>
    </row>
    <row r="2942" spans="1:4" x14ac:dyDescent="0.3">
      <c r="A2942" s="16">
        <v>45450.375</v>
      </c>
      <c r="B2942" s="17">
        <v>60.395881000000003</v>
      </c>
      <c r="C2942" s="18"/>
      <c r="D2942" s="19"/>
    </row>
    <row r="2943" spans="1:4" x14ac:dyDescent="0.3">
      <c r="A2943" s="16">
        <v>45450.375694000002</v>
      </c>
      <c r="B2943" s="17">
        <v>60.402177999999999</v>
      </c>
      <c r="C2943" s="18"/>
      <c r="D2943" s="19"/>
    </row>
    <row r="2944" spans="1:4" x14ac:dyDescent="0.3">
      <c r="A2944" s="16">
        <v>45450.376388999997</v>
      </c>
      <c r="B2944" s="17">
        <v>60.374977000000001</v>
      </c>
      <c r="C2944" s="18"/>
      <c r="D2944" s="19"/>
    </row>
    <row r="2945" spans="1:4" x14ac:dyDescent="0.3">
      <c r="A2945" s="16">
        <v>45450.377082999999</v>
      </c>
      <c r="B2945" s="17">
        <v>60.403212000000003</v>
      </c>
      <c r="C2945" s="18"/>
      <c r="D2945" s="19"/>
    </row>
    <row r="2946" spans="1:4" x14ac:dyDescent="0.3">
      <c r="A2946" s="16">
        <v>45450.377778000002</v>
      </c>
      <c r="B2946" s="17">
        <v>60.499127000000001</v>
      </c>
      <c r="C2946" s="18"/>
      <c r="D2946" s="19"/>
    </row>
    <row r="2947" spans="1:4" x14ac:dyDescent="0.3">
      <c r="A2947" s="16">
        <v>45450.378471999997</v>
      </c>
      <c r="B2947" s="17">
        <v>60.559741000000002</v>
      </c>
      <c r="C2947" s="18"/>
      <c r="D2947" s="19"/>
    </row>
    <row r="2948" spans="1:4" x14ac:dyDescent="0.3">
      <c r="A2948" s="16">
        <v>45450.379166999999</v>
      </c>
      <c r="B2948" s="17">
        <v>60.173506000000003</v>
      </c>
      <c r="C2948" s="18"/>
      <c r="D2948" s="19"/>
    </row>
    <row r="2949" spans="1:4" x14ac:dyDescent="0.3">
      <c r="A2949" s="16">
        <v>45450.379861000001</v>
      </c>
      <c r="B2949" s="17">
        <v>60.243322999999997</v>
      </c>
      <c r="C2949" s="18"/>
      <c r="D2949" s="19"/>
    </row>
    <row r="2950" spans="1:4" x14ac:dyDescent="0.3">
      <c r="A2950" s="16">
        <v>45450.380555999996</v>
      </c>
      <c r="B2950" s="17">
        <v>60.349406999999999</v>
      </c>
      <c r="C2950" s="18"/>
      <c r="D2950" s="19"/>
    </row>
    <row r="2951" spans="1:4" x14ac:dyDescent="0.3">
      <c r="A2951" s="16">
        <v>45450.381249999999</v>
      </c>
      <c r="B2951" s="17">
        <v>60.348489000000001</v>
      </c>
      <c r="C2951" s="18"/>
      <c r="D2951" s="19"/>
    </row>
    <row r="2952" spans="1:4" x14ac:dyDescent="0.3">
      <c r="A2952" s="16">
        <v>45450.381944000001</v>
      </c>
      <c r="B2952" s="17">
        <v>60.253556000000003</v>
      </c>
      <c r="C2952" s="18"/>
      <c r="D2952" s="19"/>
    </row>
    <row r="2953" spans="1:4" x14ac:dyDescent="0.3">
      <c r="A2953" s="16">
        <v>45450.382639000003</v>
      </c>
      <c r="B2953" s="17">
        <v>60.564093999999997</v>
      </c>
      <c r="C2953" s="18"/>
      <c r="D2953" s="19"/>
    </row>
    <row r="2954" spans="1:4" x14ac:dyDescent="0.3">
      <c r="A2954" s="16">
        <v>45450.383332999998</v>
      </c>
      <c r="B2954" s="17">
        <v>60.523527000000001</v>
      </c>
      <c r="C2954" s="18"/>
      <c r="D2954" s="19"/>
    </row>
    <row r="2955" spans="1:4" x14ac:dyDescent="0.3">
      <c r="A2955" s="16">
        <v>45450.384028</v>
      </c>
      <c r="B2955" s="17">
        <v>60.288286999999997</v>
      </c>
      <c r="C2955" s="18"/>
      <c r="D2955" s="19"/>
    </row>
    <row r="2956" spans="1:4" x14ac:dyDescent="0.3">
      <c r="A2956" s="16">
        <v>45450.384722000003</v>
      </c>
      <c r="B2956" s="17">
        <v>60.531100000000002</v>
      </c>
      <c r="C2956" s="18"/>
      <c r="D2956" s="19"/>
    </row>
    <row r="2957" spans="1:4" x14ac:dyDescent="0.3">
      <c r="A2957" s="16">
        <v>45450.385416999998</v>
      </c>
      <c r="B2957" s="17">
        <v>60.333219</v>
      </c>
      <c r="C2957" s="18"/>
      <c r="D2957" s="19"/>
    </row>
    <row r="2958" spans="1:4" x14ac:dyDescent="0.3">
      <c r="A2958" s="16">
        <v>45450.386111</v>
      </c>
      <c r="B2958" s="17">
        <v>59.940435000000001</v>
      </c>
      <c r="C2958" s="18"/>
      <c r="D2958" s="19"/>
    </row>
    <row r="2959" spans="1:4" x14ac:dyDescent="0.3">
      <c r="A2959" s="16">
        <v>45450.386806000002</v>
      </c>
      <c r="B2959" s="17">
        <v>60.258142999999997</v>
      </c>
      <c r="C2959" s="18"/>
      <c r="D2959" s="19"/>
    </row>
    <row r="2960" spans="1:4" x14ac:dyDescent="0.3">
      <c r="A2960" s="16">
        <v>45450.387499999997</v>
      </c>
      <c r="B2960" s="17">
        <v>60.168183999999997</v>
      </c>
      <c r="C2960" s="18"/>
      <c r="D2960" s="19"/>
    </row>
    <row r="2961" spans="1:4" x14ac:dyDescent="0.3">
      <c r="A2961" s="16">
        <v>45450.388193999999</v>
      </c>
      <c r="B2961" s="17">
        <v>60.283558999999997</v>
      </c>
      <c r="C2961" s="18"/>
      <c r="D2961" s="19"/>
    </row>
    <row r="2962" spans="1:4" x14ac:dyDescent="0.3">
      <c r="A2962" s="16">
        <v>45450.388889000002</v>
      </c>
      <c r="B2962" s="17">
        <v>60.397325000000002</v>
      </c>
      <c r="C2962" s="18"/>
      <c r="D2962" s="19"/>
    </row>
    <row r="2963" spans="1:4" x14ac:dyDescent="0.3">
      <c r="A2963" s="16">
        <v>45450.389582999996</v>
      </c>
      <c r="B2963" s="17">
        <v>60.293554</v>
      </c>
      <c r="C2963" s="18"/>
      <c r="D2963" s="19"/>
    </row>
    <row r="2964" spans="1:4" x14ac:dyDescent="0.3">
      <c r="A2964" s="16">
        <v>45450.390277999999</v>
      </c>
      <c r="B2964" s="17">
        <v>60.461914999999998</v>
      </c>
      <c r="C2964" s="18"/>
      <c r="D2964" s="19"/>
    </row>
    <row r="2965" spans="1:4" x14ac:dyDescent="0.3">
      <c r="A2965" s="16">
        <v>45450.390972000001</v>
      </c>
      <c r="B2965" s="17">
        <v>60.106665999999997</v>
      </c>
      <c r="C2965" s="18"/>
      <c r="D2965" s="19"/>
    </row>
    <row r="2966" spans="1:4" x14ac:dyDescent="0.3">
      <c r="A2966" s="16">
        <v>45450.391667000004</v>
      </c>
      <c r="B2966" s="17">
        <v>60.334130999999999</v>
      </c>
      <c r="C2966" s="18"/>
      <c r="D2966" s="19"/>
    </row>
    <row r="2967" spans="1:4" x14ac:dyDescent="0.3">
      <c r="A2967" s="16">
        <v>45450.392360999998</v>
      </c>
      <c r="B2967" s="17">
        <v>60.422688000000001</v>
      </c>
      <c r="C2967" s="18"/>
      <c r="D2967" s="19"/>
    </row>
    <row r="2968" spans="1:4" x14ac:dyDescent="0.3">
      <c r="A2968" s="16">
        <v>45450.393056000001</v>
      </c>
      <c r="B2968" s="17">
        <v>60.064748000000002</v>
      </c>
      <c r="C2968" s="18"/>
      <c r="D2968" s="19"/>
    </row>
    <row r="2969" spans="1:4" x14ac:dyDescent="0.3">
      <c r="A2969" s="16">
        <v>45450.393750000003</v>
      </c>
      <c r="B2969" s="17">
        <v>60.442326000000001</v>
      </c>
      <c r="C2969" s="18"/>
      <c r="D2969" s="19"/>
    </row>
    <row r="2970" spans="1:4" x14ac:dyDescent="0.3">
      <c r="A2970" s="16">
        <v>45450.394443999998</v>
      </c>
      <c r="B2970" s="17">
        <v>60.534416999999998</v>
      </c>
      <c r="C2970" s="18"/>
      <c r="D2970" s="19"/>
    </row>
    <row r="2971" spans="1:4" x14ac:dyDescent="0.3">
      <c r="A2971" s="16">
        <v>45450.395139</v>
      </c>
      <c r="B2971" s="17">
        <v>60.156253999999997</v>
      </c>
      <c r="C2971" s="18"/>
      <c r="D2971" s="19"/>
    </row>
    <row r="2972" spans="1:4" x14ac:dyDescent="0.3">
      <c r="A2972" s="16">
        <v>45450.395833000002</v>
      </c>
      <c r="B2972" s="17">
        <v>60.083396</v>
      </c>
      <c r="C2972" s="18"/>
      <c r="D2972" s="19"/>
    </row>
    <row r="2973" spans="1:4" x14ac:dyDescent="0.3">
      <c r="A2973" s="16">
        <v>45450.396527999997</v>
      </c>
      <c r="B2973" s="17">
        <v>60.444356999999997</v>
      </c>
      <c r="C2973" s="18"/>
      <c r="D2973" s="19"/>
    </row>
    <row r="2974" spans="1:4" x14ac:dyDescent="0.3">
      <c r="A2974" s="16">
        <v>45450.397222</v>
      </c>
      <c r="B2974" s="17">
        <v>60.376638999999997</v>
      </c>
      <c r="C2974" s="18"/>
      <c r="D2974" s="19"/>
    </row>
    <row r="2975" spans="1:4" x14ac:dyDescent="0.3">
      <c r="A2975" s="16">
        <v>45450.397917000002</v>
      </c>
      <c r="B2975" s="17">
        <v>60.061514000000003</v>
      </c>
      <c r="C2975" s="18"/>
      <c r="D2975" s="19"/>
    </row>
    <row r="2976" spans="1:4" x14ac:dyDescent="0.3">
      <c r="A2976" s="16">
        <v>45450.398610999997</v>
      </c>
      <c r="B2976" s="17">
        <v>60.197687000000002</v>
      </c>
      <c r="C2976" s="18"/>
      <c r="D2976" s="19"/>
    </row>
    <row r="2977" spans="1:4" x14ac:dyDescent="0.3">
      <c r="A2977" s="16">
        <v>45450.399305999999</v>
      </c>
      <c r="B2977" s="17">
        <v>59.787013999999999</v>
      </c>
      <c r="C2977" s="18"/>
      <c r="D2977" s="19"/>
    </row>
    <row r="2978" spans="1:4" x14ac:dyDescent="0.3">
      <c r="A2978" s="16">
        <v>45450.400000000001</v>
      </c>
      <c r="B2978" s="17">
        <v>60.299975000000003</v>
      </c>
      <c r="C2978" s="18"/>
      <c r="D2978" s="19"/>
    </row>
    <row r="2979" spans="1:4" x14ac:dyDescent="0.3">
      <c r="A2979" s="16">
        <v>45450.400694000004</v>
      </c>
      <c r="B2979" s="17">
        <v>60.078150000000001</v>
      </c>
      <c r="C2979" s="18"/>
      <c r="D2979" s="19"/>
    </row>
    <row r="2980" spans="1:4" x14ac:dyDescent="0.3">
      <c r="A2980" s="16">
        <v>45450.401388999999</v>
      </c>
      <c r="B2980" s="17">
        <v>59.961005999999998</v>
      </c>
      <c r="C2980" s="18"/>
      <c r="D2980" s="19"/>
    </row>
    <row r="2981" spans="1:4" x14ac:dyDescent="0.3">
      <c r="A2981" s="16">
        <v>45450.402083000001</v>
      </c>
      <c r="B2981" s="17">
        <v>60.030495999999999</v>
      </c>
      <c r="C2981" s="18"/>
      <c r="D2981" s="19"/>
    </row>
    <row r="2982" spans="1:4" x14ac:dyDescent="0.3">
      <c r="A2982" s="16">
        <v>45450.402778000003</v>
      </c>
      <c r="B2982" s="17">
        <v>59.85924</v>
      </c>
      <c r="C2982" s="18"/>
      <c r="D2982" s="19"/>
    </row>
    <row r="2983" spans="1:4" x14ac:dyDescent="0.3">
      <c r="A2983" s="16">
        <v>45450.403471999998</v>
      </c>
      <c r="B2983" s="17">
        <v>59.687455</v>
      </c>
      <c r="C2983" s="18"/>
      <c r="D2983" s="19"/>
    </row>
    <row r="2984" spans="1:4" x14ac:dyDescent="0.3">
      <c r="A2984" s="16">
        <v>45450.404167000001</v>
      </c>
      <c r="B2984" s="17">
        <v>59.97007</v>
      </c>
      <c r="C2984" s="18"/>
      <c r="D2984" s="19"/>
    </row>
    <row r="2985" spans="1:4" x14ac:dyDescent="0.3">
      <c r="A2985" s="16">
        <v>45450.404861000003</v>
      </c>
      <c r="B2985" s="17">
        <v>59.772889999999997</v>
      </c>
      <c r="C2985" s="18"/>
      <c r="D2985" s="19"/>
    </row>
    <row r="2986" spans="1:4" x14ac:dyDescent="0.3">
      <c r="A2986" s="16">
        <v>45450.405555999998</v>
      </c>
      <c r="B2986" s="17">
        <v>60.234935999999998</v>
      </c>
      <c r="C2986" s="18"/>
      <c r="D2986" s="19"/>
    </row>
    <row r="2987" spans="1:4" x14ac:dyDescent="0.3">
      <c r="A2987" s="16">
        <v>45450.40625</v>
      </c>
      <c r="B2987" s="17">
        <v>59.912703</v>
      </c>
      <c r="C2987" s="18"/>
      <c r="D2987" s="19"/>
    </row>
    <row r="2988" spans="1:4" x14ac:dyDescent="0.3">
      <c r="A2988" s="16">
        <v>45450.406944000002</v>
      </c>
      <c r="B2988" s="17">
        <v>59.903554999999997</v>
      </c>
      <c r="C2988" s="18"/>
      <c r="D2988" s="19"/>
    </row>
    <row r="2989" spans="1:4" x14ac:dyDescent="0.3">
      <c r="A2989" s="16">
        <v>45450.407638999997</v>
      </c>
      <c r="B2989" s="17">
        <v>59.717015000000004</v>
      </c>
      <c r="C2989" s="18"/>
      <c r="D2989" s="19"/>
    </row>
    <row r="2990" spans="1:4" x14ac:dyDescent="0.3">
      <c r="A2990" s="16">
        <v>45450.408332999999</v>
      </c>
      <c r="B2990" s="17">
        <v>59.620956999999997</v>
      </c>
      <c r="C2990" s="18"/>
      <c r="D2990" s="19"/>
    </row>
    <row r="2991" spans="1:4" x14ac:dyDescent="0.3">
      <c r="A2991" s="16">
        <v>45450.409028000002</v>
      </c>
      <c r="B2991" s="17">
        <v>59.734414999999998</v>
      </c>
      <c r="C2991" s="18"/>
      <c r="D2991" s="19"/>
    </row>
    <row r="2992" spans="1:4" x14ac:dyDescent="0.3">
      <c r="A2992" s="16">
        <v>45450.409721999997</v>
      </c>
      <c r="B2992" s="17">
        <v>59.954872999999999</v>
      </c>
      <c r="C2992" s="18"/>
      <c r="D2992" s="19"/>
    </row>
    <row r="2993" spans="1:4" x14ac:dyDescent="0.3">
      <c r="A2993" s="16">
        <v>45450.410416999999</v>
      </c>
      <c r="B2993" s="17">
        <v>59.535781</v>
      </c>
      <c r="C2993" s="18"/>
      <c r="D2993" s="19"/>
    </row>
    <row r="2994" spans="1:4" x14ac:dyDescent="0.3">
      <c r="A2994" s="16">
        <v>45450.411111000001</v>
      </c>
      <c r="B2994" s="17">
        <v>59.857050999999998</v>
      </c>
      <c r="C2994" s="18"/>
      <c r="D2994" s="19"/>
    </row>
    <row r="2995" spans="1:4" x14ac:dyDescent="0.3">
      <c r="A2995" s="16">
        <v>45450.411805999996</v>
      </c>
      <c r="B2995" s="17">
        <v>59.626607999999997</v>
      </c>
      <c r="C2995" s="18"/>
      <c r="D2995" s="19"/>
    </row>
    <row r="2996" spans="1:4" x14ac:dyDescent="0.3">
      <c r="A2996" s="16">
        <v>45450.412499999999</v>
      </c>
      <c r="B2996" s="17">
        <v>59.674382999999999</v>
      </c>
      <c r="C2996" s="18"/>
      <c r="D2996" s="19"/>
    </row>
    <row r="2997" spans="1:4" x14ac:dyDescent="0.3">
      <c r="A2997" s="16">
        <v>45450.413194000001</v>
      </c>
      <c r="B2997" s="17">
        <v>59.700648999999999</v>
      </c>
      <c r="C2997" s="18"/>
      <c r="D2997" s="19"/>
    </row>
    <row r="2998" spans="1:4" x14ac:dyDescent="0.3">
      <c r="A2998" s="16">
        <v>45450.413889000003</v>
      </c>
      <c r="B2998" s="17">
        <v>59.681339000000001</v>
      </c>
      <c r="C2998" s="18"/>
      <c r="D2998" s="19"/>
    </row>
    <row r="2999" spans="1:4" x14ac:dyDescent="0.3">
      <c r="A2999" s="16">
        <v>45450.414582999998</v>
      </c>
      <c r="B2999" s="17">
        <v>59.315201999999999</v>
      </c>
      <c r="C2999" s="18"/>
      <c r="D2999" s="19"/>
    </row>
    <row r="3000" spans="1:4" x14ac:dyDescent="0.3">
      <c r="A3000" s="16">
        <v>45450.415278</v>
      </c>
      <c r="B3000" s="17">
        <v>59.443758000000003</v>
      </c>
      <c r="C3000" s="18"/>
      <c r="D3000" s="19"/>
    </row>
    <row r="3001" spans="1:4" x14ac:dyDescent="0.3">
      <c r="A3001" s="16">
        <v>45450.415972000003</v>
      </c>
      <c r="B3001" s="17">
        <v>59.526575000000001</v>
      </c>
      <c r="C3001" s="18"/>
      <c r="D3001" s="19"/>
    </row>
    <row r="3002" spans="1:4" x14ac:dyDescent="0.3">
      <c r="A3002" s="16">
        <v>45450.416666999998</v>
      </c>
      <c r="B3002" s="17">
        <v>59.747906</v>
      </c>
      <c r="C3002" s="18"/>
      <c r="D3002" s="19"/>
    </row>
    <row r="3003" spans="1:4" x14ac:dyDescent="0.3">
      <c r="A3003" s="16">
        <v>45450.417361</v>
      </c>
      <c r="B3003" s="17">
        <v>59.673366000000001</v>
      </c>
      <c r="C3003" s="18"/>
      <c r="D3003" s="19"/>
    </row>
    <row r="3004" spans="1:4" x14ac:dyDescent="0.3">
      <c r="A3004" s="16">
        <v>45450.418056000002</v>
      </c>
      <c r="B3004" s="17">
        <v>59.848174999999998</v>
      </c>
      <c r="C3004" s="18"/>
      <c r="D3004" s="19"/>
    </row>
    <row r="3005" spans="1:4" x14ac:dyDescent="0.3">
      <c r="A3005" s="16">
        <v>45450.418749999997</v>
      </c>
      <c r="B3005" s="17">
        <v>59.595748</v>
      </c>
      <c r="C3005" s="18"/>
      <c r="D3005" s="19"/>
    </row>
    <row r="3006" spans="1:4" x14ac:dyDescent="0.3">
      <c r="A3006" s="16">
        <v>45450.419443999999</v>
      </c>
      <c r="B3006" s="17">
        <v>59.610610000000001</v>
      </c>
      <c r="C3006" s="18"/>
      <c r="D3006" s="19"/>
    </row>
    <row r="3007" spans="1:4" x14ac:dyDescent="0.3">
      <c r="A3007" s="16">
        <v>45450.420139000002</v>
      </c>
      <c r="B3007" s="17">
        <v>59.874060999999998</v>
      </c>
      <c r="C3007" s="18"/>
      <c r="D3007" s="19"/>
    </row>
    <row r="3008" spans="1:4" x14ac:dyDescent="0.3">
      <c r="A3008" s="16">
        <v>45450.420832999996</v>
      </c>
      <c r="B3008" s="17">
        <v>59.4392</v>
      </c>
      <c r="C3008" s="18"/>
      <c r="D3008" s="19"/>
    </row>
    <row r="3009" spans="1:4" x14ac:dyDescent="0.3">
      <c r="A3009" s="16">
        <v>45450.421527999999</v>
      </c>
      <c r="B3009" s="17">
        <v>59.438775</v>
      </c>
      <c r="C3009" s="18"/>
      <c r="D3009" s="19"/>
    </row>
    <row r="3010" spans="1:4" x14ac:dyDescent="0.3">
      <c r="A3010" s="16">
        <v>45450.422222000001</v>
      </c>
      <c r="B3010" s="17">
        <v>59.539755</v>
      </c>
      <c r="C3010" s="18"/>
      <c r="D3010" s="19"/>
    </row>
    <row r="3011" spans="1:4" x14ac:dyDescent="0.3">
      <c r="A3011" s="16">
        <v>45450.422917000004</v>
      </c>
      <c r="B3011" s="17">
        <v>59.334166000000003</v>
      </c>
      <c r="C3011" s="18"/>
      <c r="D3011" s="19"/>
    </row>
    <row r="3012" spans="1:4" x14ac:dyDescent="0.3">
      <c r="A3012" s="16">
        <v>45450.423610999998</v>
      </c>
      <c r="B3012" s="17">
        <v>59.519545999999998</v>
      </c>
      <c r="C3012" s="18"/>
      <c r="D3012" s="19"/>
    </row>
    <row r="3013" spans="1:4" x14ac:dyDescent="0.3">
      <c r="A3013" s="16">
        <v>45450.424306000001</v>
      </c>
      <c r="B3013" s="17">
        <v>59.624944999999997</v>
      </c>
      <c r="C3013" s="18"/>
      <c r="D3013" s="19"/>
    </row>
    <row r="3014" spans="1:4" x14ac:dyDescent="0.3">
      <c r="A3014" s="16">
        <v>45450.425000000003</v>
      </c>
      <c r="B3014" s="17">
        <v>59.463841000000002</v>
      </c>
      <c r="C3014" s="18"/>
      <c r="D3014" s="19"/>
    </row>
    <row r="3015" spans="1:4" x14ac:dyDescent="0.3">
      <c r="A3015" s="16">
        <v>45450.425693999998</v>
      </c>
      <c r="B3015" s="17">
        <v>59.466589999999997</v>
      </c>
      <c r="C3015" s="18"/>
      <c r="D3015" s="19"/>
    </row>
    <row r="3016" spans="1:4" x14ac:dyDescent="0.3">
      <c r="A3016" s="16">
        <v>45450.426389</v>
      </c>
      <c r="B3016" s="17">
        <v>59.39667</v>
      </c>
      <c r="C3016" s="18"/>
      <c r="D3016" s="19"/>
    </row>
    <row r="3017" spans="1:4" x14ac:dyDescent="0.3">
      <c r="A3017" s="16">
        <v>45450.427083000002</v>
      </c>
      <c r="B3017" s="17">
        <v>59.491433000000001</v>
      </c>
      <c r="C3017" s="18"/>
      <c r="D3017" s="19"/>
    </row>
    <row r="3018" spans="1:4" x14ac:dyDescent="0.3">
      <c r="A3018" s="16">
        <v>45450.427777999997</v>
      </c>
      <c r="B3018" s="17">
        <v>59.387121</v>
      </c>
      <c r="C3018" s="18"/>
      <c r="D3018" s="19"/>
    </row>
    <row r="3019" spans="1:4" x14ac:dyDescent="0.3">
      <c r="A3019" s="16">
        <v>45450.428472</v>
      </c>
      <c r="B3019" s="17">
        <v>59.428241999999997</v>
      </c>
      <c r="C3019" s="18"/>
      <c r="D3019" s="19"/>
    </row>
    <row r="3020" spans="1:4" x14ac:dyDescent="0.3">
      <c r="A3020" s="16">
        <v>45450.429167000002</v>
      </c>
      <c r="B3020" s="17">
        <v>59.748083999999999</v>
      </c>
      <c r="C3020" s="18"/>
      <c r="D3020" s="19"/>
    </row>
    <row r="3021" spans="1:4" x14ac:dyDescent="0.3">
      <c r="A3021" s="16">
        <v>45450.429860999997</v>
      </c>
      <c r="B3021" s="17">
        <v>59.718235999999997</v>
      </c>
      <c r="C3021" s="18"/>
      <c r="D3021" s="19"/>
    </row>
    <row r="3022" spans="1:4" x14ac:dyDescent="0.3">
      <c r="A3022" s="16">
        <v>45450.430555999999</v>
      </c>
      <c r="B3022" s="17">
        <v>59.546283000000003</v>
      </c>
      <c r="C3022" s="18"/>
      <c r="D3022" s="19"/>
    </row>
    <row r="3023" spans="1:4" x14ac:dyDescent="0.3">
      <c r="A3023" s="16">
        <v>45450.431250000001</v>
      </c>
      <c r="B3023" s="17">
        <v>59.331189999999999</v>
      </c>
      <c r="C3023" s="18"/>
      <c r="D3023" s="19"/>
    </row>
    <row r="3024" spans="1:4" x14ac:dyDescent="0.3">
      <c r="A3024" s="16">
        <v>45450.431944000004</v>
      </c>
      <c r="B3024" s="17">
        <v>59.614643999999998</v>
      </c>
      <c r="C3024" s="18"/>
      <c r="D3024" s="19"/>
    </row>
    <row r="3025" spans="1:4" x14ac:dyDescent="0.3">
      <c r="A3025" s="16">
        <v>45450.432638999999</v>
      </c>
      <c r="B3025" s="17">
        <v>59.386336999999997</v>
      </c>
      <c r="C3025" s="18"/>
      <c r="D3025" s="19"/>
    </row>
    <row r="3026" spans="1:4" x14ac:dyDescent="0.3">
      <c r="A3026" s="16">
        <v>45450.433333000001</v>
      </c>
      <c r="B3026" s="17">
        <v>59.377301000000003</v>
      </c>
      <c r="C3026" s="18"/>
      <c r="D3026" s="19"/>
    </row>
    <row r="3027" spans="1:4" x14ac:dyDescent="0.3">
      <c r="A3027" s="16">
        <v>45450.434028000003</v>
      </c>
      <c r="B3027" s="17">
        <v>59.187477999999999</v>
      </c>
      <c r="C3027" s="18"/>
      <c r="D3027" s="19"/>
    </row>
    <row r="3028" spans="1:4" x14ac:dyDescent="0.3">
      <c r="A3028" s="16">
        <v>45450.434721999998</v>
      </c>
      <c r="B3028" s="17">
        <v>59.108324000000003</v>
      </c>
      <c r="C3028" s="18"/>
      <c r="D3028" s="19"/>
    </row>
    <row r="3029" spans="1:4" x14ac:dyDescent="0.3">
      <c r="A3029" s="16">
        <v>45450.435417000001</v>
      </c>
      <c r="B3029" s="17">
        <v>59.561466000000003</v>
      </c>
      <c r="C3029" s="18"/>
      <c r="D3029" s="19"/>
    </row>
    <row r="3030" spans="1:4" x14ac:dyDescent="0.3">
      <c r="A3030" s="16">
        <v>45450.436111000003</v>
      </c>
      <c r="B3030" s="17">
        <v>59.383997000000001</v>
      </c>
      <c r="C3030" s="18"/>
      <c r="D3030" s="19"/>
    </row>
    <row r="3031" spans="1:4" x14ac:dyDescent="0.3">
      <c r="A3031" s="16">
        <v>45450.436805999998</v>
      </c>
      <c r="B3031" s="17">
        <v>59.159439999999996</v>
      </c>
      <c r="C3031" s="18"/>
      <c r="D3031" s="19"/>
    </row>
    <row r="3032" spans="1:4" x14ac:dyDescent="0.3">
      <c r="A3032" s="16">
        <v>45450.4375</v>
      </c>
      <c r="B3032" s="17">
        <v>59.125864</v>
      </c>
      <c r="C3032" s="18"/>
      <c r="D3032" s="19"/>
    </row>
    <row r="3033" spans="1:4" x14ac:dyDescent="0.3">
      <c r="A3033" s="16">
        <v>45450.438194000002</v>
      </c>
      <c r="B3033" s="17">
        <v>59.572603000000001</v>
      </c>
      <c r="C3033" s="18"/>
      <c r="D3033" s="19"/>
    </row>
    <row r="3034" spans="1:4" x14ac:dyDescent="0.3">
      <c r="A3034" s="16">
        <v>45450.438888999997</v>
      </c>
      <c r="B3034" s="17">
        <v>59.316363000000003</v>
      </c>
      <c r="C3034" s="18"/>
      <c r="D3034" s="19"/>
    </row>
    <row r="3035" spans="1:4" x14ac:dyDescent="0.3">
      <c r="A3035" s="16">
        <v>45450.439582999999</v>
      </c>
      <c r="B3035" s="17">
        <v>59.445259999999998</v>
      </c>
      <c r="C3035" s="18"/>
      <c r="D3035" s="19"/>
    </row>
    <row r="3036" spans="1:4" x14ac:dyDescent="0.3">
      <c r="A3036" s="16">
        <v>45450.440278000002</v>
      </c>
      <c r="B3036" s="17">
        <v>59.016607</v>
      </c>
      <c r="C3036" s="18"/>
      <c r="D3036" s="19"/>
    </row>
    <row r="3037" spans="1:4" x14ac:dyDescent="0.3">
      <c r="A3037" s="16">
        <v>45450.440971999997</v>
      </c>
      <c r="B3037" s="17">
        <v>59.395415999999997</v>
      </c>
      <c r="C3037" s="18"/>
      <c r="D3037" s="19"/>
    </row>
    <row r="3038" spans="1:4" x14ac:dyDescent="0.3">
      <c r="A3038" s="16">
        <v>45450.441666999999</v>
      </c>
      <c r="B3038" s="17">
        <v>59.471134999999997</v>
      </c>
      <c r="C3038" s="18"/>
      <c r="D3038" s="19"/>
    </row>
    <row r="3039" spans="1:4" x14ac:dyDescent="0.3">
      <c r="A3039" s="16">
        <v>45450.442361000001</v>
      </c>
      <c r="B3039" s="17">
        <v>59.416291000000001</v>
      </c>
      <c r="C3039" s="18"/>
      <c r="D3039" s="19"/>
    </row>
    <row r="3040" spans="1:4" x14ac:dyDescent="0.3">
      <c r="A3040" s="16">
        <v>45450.443055999996</v>
      </c>
      <c r="B3040" s="17">
        <v>59.362673000000001</v>
      </c>
      <c r="C3040" s="18"/>
      <c r="D3040" s="19"/>
    </row>
    <row r="3041" spans="1:4" x14ac:dyDescent="0.3">
      <c r="A3041" s="16">
        <v>45450.443749999999</v>
      </c>
      <c r="B3041" s="17">
        <v>59.115945000000004</v>
      </c>
      <c r="C3041" s="18"/>
      <c r="D3041" s="19"/>
    </row>
    <row r="3042" spans="1:4" x14ac:dyDescent="0.3">
      <c r="A3042" s="16">
        <v>45450.444444000001</v>
      </c>
      <c r="B3042" s="17">
        <v>59.515934000000001</v>
      </c>
      <c r="C3042" s="18"/>
      <c r="D3042" s="19"/>
    </row>
    <row r="3043" spans="1:4" x14ac:dyDescent="0.3">
      <c r="A3043" s="16">
        <v>45450.445139000003</v>
      </c>
      <c r="B3043" s="17">
        <v>59.311487</v>
      </c>
      <c r="C3043" s="18"/>
      <c r="D3043" s="19"/>
    </row>
    <row r="3044" spans="1:4" x14ac:dyDescent="0.3">
      <c r="A3044" s="16">
        <v>45450.445832999998</v>
      </c>
      <c r="B3044" s="17">
        <v>59.147793</v>
      </c>
      <c r="C3044" s="18"/>
      <c r="D3044" s="19"/>
    </row>
    <row r="3045" spans="1:4" x14ac:dyDescent="0.3">
      <c r="A3045" s="16">
        <v>45450.446528</v>
      </c>
      <c r="B3045" s="17">
        <v>59.846992999999998</v>
      </c>
      <c r="C3045" s="18"/>
      <c r="D3045" s="19"/>
    </row>
    <row r="3046" spans="1:4" x14ac:dyDescent="0.3">
      <c r="A3046" s="16">
        <v>45450.447222000003</v>
      </c>
      <c r="B3046" s="17">
        <v>59.409005999999998</v>
      </c>
      <c r="C3046" s="18"/>
      <c r="D3046" s="19"/>
    </row>
    <row r="3047" spans="1:4" x14ac:dyDescent="0.3">
      <c r="A3047" s="16">
        <v>45450.447916999998</v>
      </c>
      <c r="B3047" s="17">
        <v>59.028970000000001</v>
      </c>
      <c r="C3047" s="18"/>
      <c r="D3047" s="19"/>
    </row>
    <row r="3048" spans="1:4" x14ac:dyDescent="0.3">
      <c r="A3048" s="16">
        <v>45450.448611</v>
      </c>
      <c r="B3048" s="17">
        <v>59.363680000000002</v>
      </c>
      <c r="C3048" s="18"/>
      <c r="D3048" s="19"/>
    </row>
    <row r="3049" spans="1:4" x14ac:dyDescent="0.3">
      <c r="A3049" s="16">
        <v>45450.449306000002</v>
      </c>
      <c r="B3049" s="17">
        <v>59.073002000000002</v>
      </c>
      <c r="C3049" s="18"/>
      <c r="D3049" s="19"/>
    </row>
    <row r="3050" spans="1:4" x14ac:dyDescent="0.3">
      <c r="A3050" s="16">
        <v>45450.45</v>
      </c>
      <c r="B3050" s="17">
        <v>59.340564999999998</v>
      </c>
      <c r="C3050" s="18"/>
      <c r="D3050" s="19"/>
    </row>
    <row r="3051" spans="1:4" x14ac:dyDescent="0.3">
      <c r="A3051" s="16">
        <v>45450.450693999999</v>
      </c>
      <c r="B3051" s="17">
        <v>59.120116000000003</v>
      </c>
      <c r="C3051" s="18"/>
      <c r="D3051" s="19"/>
    </row>
    <row r="3052" spans="1:4" x14ac:dyDescent="0.3">
      <c r="A3052" s="16">
        <v>45450.451389000002</v>
      </c>
      <c r="B3052" s="17">
        <v>59.335251</v>
      </c>
      <c r="C3052" s="18"/>
      <c r="D3052" s="19"/>
    </row>
    <row r="3053" spans="1:4" x14ac:dyDescent="0.3">
      <c r="A3053" s="16">
        <v>45450.452082999996</v>
      </c>
      <c r="B3053" s="17">
        <v>59.059973999999997</v>
      </c>
      <c r="C3053" s="18"/>
      <c r="D3053" s="19"/>
    </row>
    <row r="3054" spans="1:4" x14ac:dyDescent="0.3">
      <c r="A3054" s="16">
        <v>45450.452777999999</v>
      </c>
      <c r="B3054" s="17">
        <v>58.913834999999999</v>
      </c>
      <c r="C3054" s="18"/>
      <c r="D3054" s="19"/>
    </row>
    <row r="3055" spans="1:4" x14ac:dyDescent="0.3">
      <c r="A3055" s="16">
        <v>45450.453472000001</v>
      </c>
      <c r="B3055" s="17">
        <v>59.016764999999999</v>
      </c>
      <c r="C3055" s="18"/>
      <c r="D3055" s="19"/>
    </row>
    <row r="3056" spans="1:4" x14ac:dyDescent="0.3">
      <c r="A3056" s="16">
        <v>45450.454167000004</v>
      </c>
      <c r="B3056" s="17">
        <v>58.889651000000001</v>
      </c>
      <c r="C3056" s="18"/>
      <c r="D3056" s="19"/>
    </row>
    <row r="3057" spans="1:4" x14ac:dyDescent="0.3">
      <c r="A3057" s="16">
        <v>45450.454860999998</v>
      </c>
      <c r="B3057" s="17">
        <v>59.048838000000003</v>
      </c>
      <c r="C3057" s="18"/>
      <c r="D3057" s="19"/>
    </row>
    <row r="3058" spans="1:4" x14ac:dyDescent="0.3">
      <c r="A3058" s="16">
        <v>45450.455556000001</v>
      </c>
      <c r="B3058" s="17">
        <v>59.167532000000001</v>
      </c>
      <c r="C3058" s="18"/>
      <c r="D3058" s="19"/>
    </row>
    <row r="3059" spans="1:4" x14ac:dyDescent="0.3">
      <c r="A3059" s="16">
        <v>45450.456250000003</v>
      </c>
      <c r="B3059" s="17">
        <v>59.280805000000001</v>
      </c>
      <c r="C3059" s="18"/>
      <c r="D3059" s="19"/>
    </row>
    <row r="3060" spans="1:4" x14ac:dyDescent="0.3">
      <c r="A3060" s="16">
        <v>45450.456943999998</v>
      </c>
      <c r="B3060" s="17">
        <v>59.249110999999999</v>
      </c>
      <c r="C3060" s="18"/>
      <c r="D3060" s="19"/>
    </row>
    <row r="3061" spans="1:4" x14ac:dyDescent="0.3">
      <c r="A3061" s="16">
        <v>45450.457639</v>
      </c>
      <c r="B3061" s="17">
        <v>58.968297999999997</v>
      </c>
      <c r="C3061" s="18"/>
      <c r="D3061" s="19"/>
    </row>
    <row r="3062" spans="1:4" x14ac:dyDescent="0.3">
      <c r="A3062" s="16">
        <v>45450.458333000002</v>
      </c>
      <c r="B3062" s="17">
        <v>58.896299999999997</v>
      </c>
      <c r="C3062" s="18"/>
      <c r="D3062" s="19"/>
    </row>
    <row r="3063" spans="1:4" x14ac:dyDescent="0.3">
      <c r="A3063" s="16">
        <v>45450.459027999997</v>
      </c>
      <c r="B3063" s="17">
        <v>58.904578999999998</v>
      </c>
      <c r="C3063" s="18"/>
      <c r="D3063" s="19"/>
    </row>
    <row r="3064" spans="1:4" x14ac:dyDescent="0.3">
      <c r="A3064" s="16">
        <v>45450.459722</v>
      </c>
      <c r="B3064" s="17">
        <v>59.103580999999998</v>
      </c>
      <c r="C3064" s="18"/>
      <c r="D3064" s="19"/>
    </row>
    <row r="3065" spans="1:4" x14ac:dyDescent="0.3">
      <c r="A3065" s="16">
        <v>45450.460417000002</v>
      </c>
      <c r="B3065" s="17">
        <v>59.477207999999997</v>
      </c>
      <c r="C3065" s="18"/>
      <c r="D3065" s="19"/>
    </row>
    <row r="3066" spans="1:4" x14ac:dyDescent="0.3">
      <c r="A3066" s="16">
        <v>45450.461110999997</v>
      </c>
      <c r="B3066" s="17">
        <v>58.935296999999998</v>
      </c>
      <c r="C3066" s="18"/>
      <c r="D3066" s="19"/>
    </row>
    <row r="3067" spans="1:4" x14ac:dyDescent="0.3">
      <c r="A3067" s="16">
        <v>45450.461805999999</v>
      </c>
      <c r="B3067" s="17">
        <v>59.014054000000002</v>
      </c>
      <c r="C3067" s="18"/>
      <c r="D3067" s="19"/>
    </row>
    <row r="3068" spans="1:4" x14ac:dyDescent="0.3">
      <c r="A3068" s="16">
        <v>45450.462500000001</v>
      </c>
      <c r="B3068" s="17">
        <v>58.864148999999998</v>
      </c>
      <c r="C3068" s="18"/>
      <c r="D3068" s="19"/>
    </row>
    <row r="3069" spans="1:4" x14ac:dyDescent="0.3">
      <c r="A3069" s="16">
        <v>45450.463194000004</v>
      </c>
      <c r="B3069" s="17">
        <v>59.378020999999997</v>
      </c>
      <c r="C3069" s="18"/>
      <c r="D3069" s="19"/>
    </row>
    <row r="3070" spans="1:4" x14ac:dyDescent="0.3">
      <c r="A3070" s="16">
        <v>45450.463888999999</v>
      </c>
      <c r="B3070" s="17">
        <v>59.063484000000003</v>
      </c>
      <c r="C3070" s="18"/>
      <c r="D3070" s="19"/>
    </row>
    <row r="3071" spans="1:4" x14ac:dyDescent="0.3">
      <c r="A3071" s="16">
        <v>45450.464583000001</v>
      </c>
      <c r="B3071" s="17">
        <v>59.372441999999999</v>
      </c>
      <c r="C3071" s="18"/>
      <c r="D3071" s="19"/>
    </row>
    <row r="3072" spans="1:4" x14ac:dyDescent="0.3">
      <c r="A3072" s="16">
        <v>45450.465278000003</v>
      </c>
      <c r="B3072" s="17">
        <v>58.934139999999999</v>
      </c>
      <c r="C3072" s="18"/>
      <c r="D3072" s="19"/>
    </row>
    <row r="3073" spans="1:4" x14ac:dyDescent="0.3">
      <c r="A3073" s="16">
        <v>45450.465971999998</v>
      </c>
      <c r="B3073" s="17">
        <v>59.089649000000001</v>
      </c>
      <c r="C3073" s="18"/>
      <c r="D3073" s="19"/>
    </row>
    <row r="3074" spans="1:4" x14ac:dyDescent="0.3">
      <c r="A3074" s="16">
        <v>45450.466667000001</v>
      </c>
      <c r="B3074" s="17">
        <v>59.346469999999997</v>
      </c>
      <c r="C3074" s="18"/>
      <c r="D3074" s="19"/>
    </row>
    <row r="3075" spans="1:4" x14ac:dyDescent="0.3">
      <c r="A3075" s="16">
        <v>45450.467361000003</v>
      </c>
      <c r="B3075" s="17">
        <v>59.372166</v>
      </c>
      <c r="C3075" s="18"/>
      <c r="D3075" s="19"/>
    </row>
    <row r="3076" spans="1:4" x14ac:dyDescent="0.3">
      <c r="A3076" s="16">
        <v>45450.468055999998</v>
      </c>
      <c r="B3076" s="17">
        <v>58.928125000000001</v>
      </c>
      <c r="C3076" s="18"/>
      <c r="D3076" s="19"/>
    </row>
    <row r="3077" spans="1:4" x14ac:dyDescent="0.3">
      <c r="A3077" s="16">
        <v>45450.46875</v>
      </c>
      <c r="B3077" s="17">
        <v>59.181852999999997</v>
      </c>
      <c r="C3077" s="18"/>
      <c r="D3077" s="19"/>
    </row>
    <row r="3078" spans="1:4" x14ac:dyDescent="0.3">
      <c r="A3078" s="16">
        <v>45450.469444000002</v>
      </c>
      <c r="B3078" s="17">
        <v>59.381380999999998</v>
      </c>
      <c r="C3078" s="18"/>
      <c r="D3078" s="19"/>
    </row>
    <row r="3079" spans="1:4" x14ac:dyDescent="0.3">
      <c r="A3079" s="16">
        <v>45450.470138999997</v>
      </c>
      <c r="B3079" s="17">
        <v>58.947284000000003</v>
      </c>
      <c r="C3079" s="18"/>
      <c r="D3079" s="19"/>
    </row>
    <row r="3080" spans="1:4" x14ac:dyDescent="0.3">
      <c r="A3080" s="16">
        <v>45450.470832999999</v>
      </c>
      <c r="B3080" s="17">
        <v>59.21781</v>
      </c>
      <c r="C3080" s="18"/>
      <c r="D3080" s="19"/>
    </row>
    <row r="3081" spans="1:4" x14ac:dyDescent="0.3">
      <c r="A3081" s="16">
        <v>45450.471528000002</v>
      </c>
      <c r="B3081" s="17">
        <v>59.059860999999998</v>
      </c>
      <c r="C3081" s="18"/>
      <c r="D3081" s="19"/>
    </row>
    <row r="3082" spans="1:4" x14ac:dyDescent="0.3">
      <c r="A3082" s="16">
        <v>45450.472221999997</v>
      </c>
      <c r="B3082" s="17">
        <v>59.023833000000003</v>
      </c>
      <c r="C3082" s="18"/>
      <c r="D3082" s="19"/>
    </row>
    <row r="3083" spans="1:4" x14ac:dyDescent="0.3">
      <c r="A3083" s="16">
        <v>45450.472916999999</v>
      </c>
      <c r="B3083" s="17">
        <v>59.317386999999997</v>
      </c>
      <c r="C3083" s="18"/>
      <c r="D3083" s="19"/>
    </row>
    <row r="3084" spans="1:4" x14ac:dyDescent="0.3">
      <c r="A3084" s="16">
        <v>45450.473611000001</v>
      </c>
      <c r="B3084" s="17">
        <v>59.057949000000001</v>
      </c>
      <c r="C3084" s="18"/>
      <c r="D3084" s="19"/>
    </row>
    <row r="3085" spans="1:4" x14ac:dyDescent="0.3">
      <c r="A3085" s="16">
        <v>45450.474305999996</v>
      </c>
      <c r="B3085" s="17">
        <v>58.946947999999999</v>
      </c>
      <c r="C3085" s="18"/>
      <c r="D3085" s="19"/>
    </row>
    <row r="3086" spans="1:4" x14ac:dyDescent="0.3">
      <c r="A3086" s="16">
        <v>45450.474999999999</v>
      </c>
      <c r="B3086" s="17">
        <v>59.223475999999998</v>
      </c>
      <c r="C3086" s="18"/>
      <c r="D3086" s="19"/>
    </row>
    <row r="3087" spans="1:4" x14ac:dyDescent="0.3">
      <c r="A3087" s="16">
        <v>45450.475694000001</v>
      </c>
      <c r="B3087" s="17">
        <v>59.263573999999998</v>
      </c>
      <c r="C3087" s="18"/>
      <c r="D3087" s="19"/>
    </row>
    <row r="3088" spans="1:4" x14ac:dyDescent="0.3">
      <c r="A3088" s="16">
        <v>45450.476389000003</v>
      </c>
      <c r="B3088" s="17">
        <v>59.005989999999997</v>
      </c>
      <c r="C3088" s="18"/>
      <c r="D3088" s="19"/>
    </row>
    <row r="3089" spans="1:4" x14ac:dyDescent="0.3">
      <c r="A3089" s="16">
        <v>45450.477082999998</v>
      </c>
      <c r="B3089" s="17">
        <v>59.254854999999999</v>
      </c>
      <c r="C3089" s="18"/>
      <c r="D3089" s="19"/>
    </row>
    <row r="3090" spans="1:4" x14ac:dyDescent="0.3">
      <c r="A3090" s="16">
        <v>45450.477778</v>
      </c>
      <c r="B3090" s="17">
        <v>58.880411000000002</v>
      </c>
      <c r="C3090" s="18"/>
      <c r="D3090" s="19"/>
    </row>
    <row r="3091" spans="1:4" x14ac:dyDescent="0.3">
      <c r="A3091" s="16">
        <v>45450.478472000003</v>
      </c>
      <c r="B3091" s="17">
        <v>59.147187000000002</v>
      </c>
      <c r="C3091" s="18"/>
      <c r="D3091" s="19"/>
    </row>
    <row r="3092" spans="1:4" x14ac:dyDescent="0.3">
      <c r="A3092" s="16">
        <v>45450.479166999998</v>
      </c>
      <c r="B3092" s="17">
        <v>58.876541000000003</v>
      </c>
      <c r="C3092" s="18"/>
      <c r="D3092" s="19"/>
    </row>
    <row r="3093" spans="1:4" x14ac:dyDescent="0.3">
      <c r="A3093" s="16">
        <v>45450.479861</v>
      </c>
      <c r="B3093" s="17">
        <v>59.097614999999998</v>
      </c>
      <c r="C3093" s="18"/>
      <c r="D3093" s="19"/>
    </row>
    <row r="3094" spans="1:4" x14ac:dyDescent="0.3">
      <c r="A3094" s="16">
        <v>45450.480556000002</v>
      </c>
      <c r="B3094" s="17">
        <v>58.845779999999998</v>
      </c>
      <c r="C3094" s="18"/>
      <c r="D3094" s="19"/>
    </row>
    <row r="3095" spans="1:4" x14ac:dyDescent="0.3">
      <c r="A3095" s="16">
        <v>45450.481249999997</v>
      </c>
      <c r="B3095" s="17">
        <v>59.348503000000001</v>
      </c>
      <c r="C3095" s="18"/>
      <c r="D3095" s="19"/>
    </row>
    <row r="3096" spans="1:4" x14ac:dyDescent="0.3">
      <c r="A3096" s="16">
        <v>45450.481943999999</v>
      </c>
      <c r="B3096" s="17">
        <v>59.225434</v>
      </c>
      <c r="C3096" s="18"/>
      <c r="D3096" s="19"/>
    </row>
    <row r="3097" spans="1:4" x14ac:dyDescent="0.3">
      <c r="A3097" s="16">
        <v>45450.482639000002</v>
      </c>
      <c r="B3097" s="17">
        <v>59.214422999999996</v>
      </c>
      <c r="C3097" s="18"/>
      <c r="D3097" s="19"/>
    </row>
    <row r="3098" spans="1:4" x14ac:dyDescent="0.3">
      <c r="A3098" s="16">
        <v>45450.483332999996</v>
      </c>
      <c r="B3098" s="17">
        <v>59.050370000000001</v>
      </c>
      <c r="C3098" s="18"/>
      <c r="D3098" s="19"/>
    </row>
    <row r="3099" spans="1:4" x14ac:dyDescent="0.3">
      <c r="A3099" s="16">
        <v>45450.484027999999</v>
      </c>
      <c r="B3099" s="17">
        <v>59.034466999999999</v>
      </c>
      <c r="C3099" s="18"/>
      <c r="D3099" s="19"/>
    </row>
    <row r="3100" spans="1:4" x14ac:dyDescent="0.3">
      <c r="A3100" s="16">
        <v>45450.484722000001</v>
      </c>
      <c r="B3100" s="17">
        <v>58.846584999999997</v>
      </c>
      <c r="C3100" s="18"/>
      <c r="D3100" s="19"/>
    </row>
    <row r="3101" spans="1:4" x14ac:dyDescent="0.3">
      <c r="A3101" s="16">
        <v>45450.485417000004</v>
      </c>
      <c r="B3101" s="17">
        <v>58.902329999999999</v>
      </c>
      <c r="C3101" s="18"/>
      <c r="D3101" s="19"/>
    </row>
    <row r="3102" spans="1:4" x14ac:dyDescent="0.3">
      <c r="A3102" s="16">
        <v>45450.486110999998</v>
      </c>
      <c r="B3102" s="17">
        <v>59.184621</v>
      </c>
      <c r="C3102" s="18"/>
      <c r="D3102" s="19"/>
    </row>
    <row r="3103" spans="1:4" x14ac:dyDescent="0.3">
      <c r="A3103" s="16">
        <v>45450.486806000001</v>
      </c>
      <c r="B3103" s="17">
        <v>59.334415</v>
      </c>
      <c r="C3103" s="18"/>
      <c r="D3103" s="19"/>
    </row>
    <row r="3104" spans="1:4" x14ac:dyDescent="0.3">
      <c r="A3104" s="16">
        <v>45450.487500000003</v>
      </c>
      <c r="B3104" s="17">
        <v>58.965259000000003</v>
      </c>
      <c r="C3104" s="18"/>
      <c r="D3104" s="19"/>
    </row>
    <row r="3105" spans="1:4" x14ac:dyDescent="0.3">
      <c r="A3105" s="16">
        <v>45450.488193999998</v>
      </c>
      <c r="B3105" s="17">
        <v>58.940488000000002</v>
      </c>
      <c r="C3105" s="18"/>
      <c r="D3105" s="19"/>
    </row>
    <row r="3106" spans="1:4" x14ac:dyDescent="0.3">
      <c r="A3106" s="16">
        <v>45450.488889</v>
      </c>
      <c r="B3106" s="17">
        <v>59.291893999999999</v>
      </c>
      <c r="C3106" s="18"/>
      <c r="D3106" s="19"/>
    </row>
    <row r="3107" spans="1:4" x14ac:dyDescent="0.3">
      <c r="A3107" s="16">
        <v>45450.489583000002</v>
      </c>
      <c r="B3107" s="17">
        <v>59.023935000000002</v>
      </c>
      <c r="C3107" s="18"/>
      <c r="D3107" s="19"/>
    </row>
    <row r="3108" spans="1:4" x14ac:dyDescent="0.3">
      <c r="A3108" s="16">
        <v>45450.490277999997</v>
      </c>
      <c r="B3108" s="17">
        <v>58.961297999999999</v>
      </c>
      <c r="C3108" s="18"/>
      <c r="D3108" s="19"/>
    </row>
    <row r="3109" spans="1:4" x14ac:dyDescent="0.3">
      <c r="A3109" s="16">
        <v>45450.490972</v>
      </c>
      <c r="B3109" s="17">
        <v>59.169573999999997</v>
      </c>
      <c r="C3109" s="18"/>
      <c r="D3109" s="19"/>
    </row>
    <row r="3110" spans="1:4" x14ac:dyDescent="0.3">
      <c r="A3110" s="16">
        <v>45450.491667000002</v>
      </c>
      <c r="B3110" s="17">
        <v>59.140672000000002</v>
      </c>
      <c r="C3110" s="18"/>
      <c r="D3110" s="19"/>
    </row>
    <row r="3111" spans="1:4" x14ac:dyDescent="0.3">
      <c r="A3111" s="16">
        <v>45450.492360999997</v>
      </c>
      <c r="B3111" s="17">
        <v>59.106397999999999</v>
      </c>
      <c r="C3111" s="18"/>
      <c r="D3111" s="19"/>
    </row>
    <row r="3112" spans="1:4" x14ac:dyDescent="0.3">
      <c r="A3112" s="16">
        <v>45450.493055999999</v>
      </c>
      <c r="B3112" s="17">
        <v>59.006695999999998</v>
      </c>
      <c r="C3112" s="18"/>
      <c r="D3112" s="19"/>
    </row>
    <row r="3113" spans="1:4" x14ac:dyDescent="0.3">
      <c r="A3113" s="16">
        <v>45450.493750000001</v>
      </c>
      <c r="B3113" s="17">
        <v>59.575983000000001</v>
      </c>
      <c r="C3113" s="18"/>
      <c r="D3113" s="19"/>
    </row>
    <row r="3114" spans="1:4" x14ac:dyDescent="0.3">
      <c r="A3114" s="16">
        <v>45450.494444000004</v>
      </c>
      <c r="B3114" s="17">
        <v>59.347011999999999</v>
      </c>
      <c r="C3114" s="18"/>
      <c r="D3114" s="19"/>
    </row>
    <row r="3115" spans="1:4" x14ac:dyDescent="0.3">
      <c r="A3115" s="16">
        <v>45450.495138999999</v>
      </c>
      <c r="B3115" s="17">
        <v>59.272450999999997</v>
      </c>
      <c r="C3115" s="18"/>
      <c r="D3115" s="19"/>
    </row>
    <row r="3116" spans="1:4" x14ac:dyDescent="0.3">
      <c r="A3116" s="16">
        <v>45450.495833000001</v>
      </c>
      <c r="B3116" s="17">
        <v>59.053058</v>
      </c>
      <c r="C3116" s="18"/>
      <c r="D3116" s="19"/>
    </row>
    <row r="3117" spans="1:4" x14ac:dyDescent="0.3">
      <c r="A3117" s="16">
        <v>45450.496528000003</v>
      </c>
      <c r="B3117" s="17">
        <v>59.446739999999998</v>
      </c>
      <c r="C3117" s="18"/>
      <c r="D3117" s="19"/>
    </row>
    <row r="3118" spans="1:4" x14ac:dyDescent="0.3">
      <c r="A3118" s="16">
        <v>45450.497221999998</v>
      </c>
      <c r="B3118" s="17">
        <v>58.862744999999997</v>
      </c>
      <c r="C3118" s="18"/>
      <c r="D3118" s="19"/>
    </row>
    <row r="3119" spans="1:4" x14ac:dyDescent="0.3">
      <c r="A3119" s="16">
        <v>45450.497917000001</v>
      </c>
      <c r="B3119" s="17">
        <v>59.277169999999998</v>
      </c>
      <c r="C3119" s="18"/>
      <c r="D3119" s="19"/>
    </row>
    <row r="3120" spans="1:4" x14ac:dyDescent="0.3">
      <c r="A3120" s="16">
        <v>45450.498611000003</v>
      </c>
      <c r="B3120" s="17">
        <v>59.290596000000001</v>
      </c>
      <c r="C3120" s="18"/>
      <c r="D3120" s="19"/>
    </row>
    <row r="3121" spans="1:4" x14ac:dyDescent="0.3">
      <c r="A3121" s="16">
        <v>45450.499305999998</v>
      </c>
      <c r="B3121" s="17">
        <v>59.387363000000001</v>
      </c>
      <c r="C3121" s="18"/>
      <c r="D3121" s="19"/>
    </row>
    <row r="3122" spans="1:4" x14ac:dyDescent="0.3">
      <c r="A3122" s="16">
        <v>45450.5</v>
      </c>
      <c r="B3122" s="17">
        <v>59.286155000000001</v>
      </c>
      <c r="C3122" s="18"/>
      <c r="D3122" s="19"/>
    </row>
    <row r="3123" spans="1:4" x14ac:dyDescent="0.3">
      <c r="A3123" s="16">
        <v>45450.500694000002</v>
      </c>
      <c r="B3123" s="17">
        <v>59.083302000000003</v>
      </c>
      <c r="C3123" s="18"/>
      <c r="D3123" s="19"/>
    </row>
    <row r="3124" spans="1:4" x14ac:dyDescent="0.3">
      <c r="A3124" s="16">
        <v>45450.501388999997</v>
      </c>
      <c r="B3124" s="17">
        <v>59.034002999999998</v>
      </c>
      <c r="C3124" s="18"/>
      <c r="D3124" s="19"/>
    </row>
    <row r="3125" spans="1:4" x14ac:dyDescent="0.3">
      <c r="A3125" s="16">
        <v>45450.502082999999</v>
      </c>
      <c r="B3125" s="17">
        <v>59.299391</v>
      </c>
      <c r="C3125" s="18"/>
      <c r="D3125" s="19"/>
    </row>
    <row r="3126" spans="1:4" x14ac:dyDescent="0.3">
      <c r="A3126" s="16">
        <v>45450.502778000002</v>
      </c>
      <c r="B3126" s="17">
        <v>59.135291000000002</v>
      </c>
      <c r="C3126" s="18"/>
      <c r="D3126" s="19"/>
    </row>
    <row r="3127" spans="1:4" x14ac:dyDescent="0.3">
      <c r="A3127" s="16">
        <v>45450.503471999997</v>
      </c>
      <c r="B3127" s="17">
        <v>59.415576999999999</v>
      </c>
      <c r="C3127" s="18"/>
      <c r="D3127" s="19"/>
    </row>
    <row r="3128" spans="1:4" x14ac:dyDescent="0.3">
      <c r="A3128" s="16">
        <v>45450.504166999999</v>
      </c>
      <c r="B3128" s="17">
        <v>58.962851999999998</v>
      </c>
      <c r="C3128" s="18"/>
      <c r="D3128" s="19"/>
    </row>
    <row r="3129" spans="1:4" x14ac:dyDescent="0.3">
      <c r="A3129" s="16">
        <v>45450.504861000001</v>
      </c>
      <c r="B3129" s="17">
        <v>59.488841999999998</v>
      </c>
      <c r="C3129" s="18"/>
      <c r="D3129" s="19"/>
    </row>
    <row r="3130" spans="1:4" x14ac:dyDescent="0.3">
      <c r="A3130" s="16">
        <v>45450.505555999996</v>
      </c>
      <c r="B3130" s="17">
        <v>59.239955000000002</v>
      </c>
      <c r="C3130" s="18"/>
      <c r="D3130" s="19"/>
    </row>
    <row r="3131" spans="1:4" x14ac:dyDescent="0.3">
      <c r="A3131" s="16">
        <v>45450.506249999999</v>
      </c>
      <c r="B3131" s="17">
        <v>58.962524999999999</v>
      </c>
      <c r="C3131" s="18"/>
      <c r="D3131" s="19"/>
    </row>
    <row r="3132" spans="1:4" x14ac:dyDescent="0.3">
      <c r="A3132" s="16">
        <v>45450.506944000001</v>
      </c>
      <c r="B3132" s="17">
        <v>59.187700999999997</v>
      </c>
      <c r="C3132" s="18"/>
      <c r="D3132" s="19"/>
    </row>
    <row r="3133" spans="1:4" x14ac:dyDescent="0.3">
      <c r="A3133" s="16">
        <v>45450.507639000003</v>
      </c>
      <c r="B3133" s="17">
        <v>58.843662000000002</v>
      </c>
      <c r="C3133" s="18"/>
      <c r="D3133" s="19"/>
    </row>
    <row r="3134" spans="1:4" x14ac:dyDescent="0.3">
      <c r="A3134" s="16">
        <v>45450.508332999998</v>
      </c>
      <c r="B3134" s="17">
        <v>59.147483000000001</v>
      </c>
      <c r="C3134" s="18"/>
      <c r="D3134" s="19"/>
    </row>
    <row r="3135" spans="1:4" x14ac:dyDescent="0.3">
      <c r="A3135" s="16">
        <v>45450.509028</v>
      </c>
      <c r="B3135" s="17">
        <v>60.269055000000002</v>
      </c>
      <c r="C3135" s="18"/>
      <c r="D3135" s="19"/>
    </row>
    <row r="3136" spans="1:4" x14ac:dyDescent="0.3">
      <c r="A3136" s="16">
        <v>45450.509722000003</v>
      </c>
      <c r="B3136" s="17">
        <v>59.505431999999999</v>
      </c>
      <c r="C3136" s="18"/>
      <c r="D3136" s="19"/>
    </row>
    <row r="3137" spans="1:4" x14ac:dyDescent="0.3">
      <c r="A3137" s="16">
        <v>45450.510416999998</v>
      </c>
      <c r="B3137" s="17">
        <v>59.577134999999998</v>
      </c>
      <c r="C3137" s="18"/>
      <c r="D3137" s="19"/>
    </row>
    <row r="3138" spans="1:4" x14ac:dyDescent="0.3">
      <c r="A3138" s="16">
        <v>45450.511111</v>
      </c>
      <c r="B3138" s="17">
        <v>59.581710000000001</v>
      </c>
      <c r="C3138" s="18"/>
      <c r="D3138" s="19"/>
    </row>
    <row r="3139" spans="1:4" x14ac:dyDescent="0.3">
      <c r="A3139" s="16">
        <v>45450.511806000002</v>
      </c>
      <c r="B3139" s="17">
        <v>59.644331999999999</v>
      </c>
      <c r="C3139" s="18"/>
      <c r="D3139" s="19"/>
    </row>
    <row r="3140" spans="1:4" x14ac:dyDescent="0.3">
      <c r="A3140" s="16">
        <v>45450.512499999997</v>
      </c>
      <c r="B3140" s="17">
        <v>59.467655999999998</v>
      </c>
      <c r="C3140" s="18"/>
      <c r="D3140" s="19"/>
    </row>
    <row r="3141" spans="1:4" x14ac:dyDescent="0.3">
      <c r="A3141" s="16">
        <v>45450.513193999999</v>
      </c>
      <c r="B3141" s="17">
        <v>59.485224000000002</v>
      </c>
      <c r="C3141" s="18"/>
      <c r="D3141" s="19"/>
    </row>
    <row r="3142" spans="1:4" x14ac:dyDescent="0.3">
      <c r="A3142" s="16">
        <v>45450.513889000002</v>
      </c>
      <c r="B3142" s="17">
        <v>59.564444000000002</v>
      </c>
      <c r="C3142" s="18"/>
      <c r="D3142" s="19"/>
    </row>
    <row r="3143" spans="1:4" x14ac:dyDescent="0.3">
      <c r="A3143" s="16">
        <v>45450.514582999996</v>
      </c>
      <c r="B3143" s="17">
        <v>59.487309000000003</v>
      </c>
      <c r="C3143" s="18"/>
      <c r="D3143" s="19"/>
    </row>
    <row r="3144" spans="1:4" x14ac:dyDescent="0.3">
      <c r="A3144" s="16">
        <v>45450.515277999999</v>
      </c>
      <c r="B3144" s="17">
        <v>59.460005000000002</v>
      </c>
      <c r="C3144" s="18"/>
      <c r="D3144" s="19"/>
    </row>
    <row r="3145" spans="1:4" x14ac:dyDescent="0.3">
      <c r="A3145" s="16">
        <v>45450.515972000001</v>
      </c>
      <c r="B3145" s="17">
        <v>59.452139000000003</v>
      </c>
      <c r="C3145" s="18"/>
      <c r="D3145" s="19"/>
    </row>
    <row r="3146" spans="1:4" x14ac:dyDescent="0.3">
      <c r="A3146" s="16">
        <v>45450.516667000004</v>
      </c>
      <c r="B3146" s="17">
        <v>59.178534999999997</v>
      </c>
      <c r="C3146" s="18"/>
      <c r="D3146" s="19"/>
    </row>
    <row r="3147" spans="1:4" x14ac:dyDescent="0.3">
      <c r="A3147" s="16">
        <v>45450.517360999998</v>
      </c>
      <c r="B3147" s="17">
        <v>59.440662000000003</v>
      </c>
      <c r="C3147" s="18"/>
      <c r="D3147" s="19"/>
    </row>
    <row r="3148" spans="1:4" x14ac:dyDescent="0.3">
      <c r="A3148" s="16">
        <v>45450.518056000001</v>
      </c>
      <c r="B3148" s="17">
        <v>59.466203999999998</v>
      </c>
      <c r="C3148" s="18"/>
      <c r="D3148" s="19"/>
    </row>
    <row r="3149" spans="1:4" x14ac:dyDescent="0.3">
      <c r="A3149" s="16">
        <v>45450.518750000003</v>
      </c>
      <c r="B3149" s="17">
        <v>38.830097000000002</v>
      </c>
      <c r="C3149" s="18"/>
      <c r="D3149" s="19"/>
    </row>
    <row r="3150" spans="1:4" x14ac:dyDescent="0.3">
      <c r="A3150" s="16">
        <v>45450.519443999998</v>
      </c>
      <c r="B3150" s="17">
        <v>0.313726</v>
      </c>
      <c r="C3150" s="18"/>
      <c r="D3150" s="19"/>
    </row>
    <row r="3151" spans="1:4" x14ac:dyDescent="0.3">
      <c r="A3151" s="16">
        <v>45450.520139</v>
      </c>
      <c r="B3151" s="17">
        <v>0.313726</v>
      </c>
      <c r="C3151" s="18"/>
      <c r="D3151" s="19"/>
    </row>
    <row r="3152" spans="1:4" x14ac:dyDescent="0.3">
      <c r="A3152" s="16">
        <v>45450.520833000002</v>
      </c>
      <c r="B3152" s="17">
        <v>0.313726</v>
      </c>
      <c r="C3152" s="18"/>
      <c r="D3152" s="19"/>
    </row>
    <row r="3153" spans="1:4" x14ac:dyDescent="0.3">
      <c r="A3153" s="16">
        <v>45450.521527999997</v>
      </c>
      <c r="B3153" s="17">
        <v>0.313726</v>
      </c>
      <c r="C3153" s="18"/>
      <c r="D3153" s="19"/>
    </row>
    <row r="3154" spans="1:4" x14ac:dyDescent="0.3">
      <c r="A3154" s="16">
        <v>45450.522222</v>
      </c>
      <c r="B3154" s="17">
        <v>0.313726</v>
      </c>
      <c r="C3154" s="18"/>
      <c r="D3154" s="19"/>
    </row>
    <row r="3155" spans="1:4" x14ac:dyDescent="0.3">
      <c r="A3155" s="16">
        <v>45450.522917000002</v>
      </c>
      <c r="B3155" s="17">
        <v>0.313726</v>
      </c>
      <c r="C3155" s="18"/>
      <c r="D3155" s="19"/>
    </row>
    <row r="3156" spans="1:4" x14ac:dyDescent="0.3">
      <c r="A3156" s="16">
        <v>45450.523610999997</v>
      </c>
      <c r="B3156" s="17">
        <v>0.313726</v>
      </c>
      <c r="C3156" s="18"/>
      <c r="D3156" s="19"/>
    </row>
    <row r="3157" spans="1:4" x14ac:dyDescent="0.3">
      <c r="A3157" s="16">
        <v>45450.524305999999</v>
      </c>
      <c r="B3157" s="17">
        <v>0.313726</v>
      </c>
      <c r="C3157" s="18"/>
      <c r="D3157" s="19"/>
    </row>
    <row r="3158" spans="1:4" x14ac:dyDescent="0.3">
      <c r="A3158" s="16">
        <v>45450.525000000001</v>
      </c>
      <c r="B3158" s="17">
        <v>0.313726</v>
      </c>
      <c r="C3158" s="18"/>
      <c r="D3158" s="19"/>
    </row>
    <row r="3159" spans="1:4" x14ac:dyDescent="0.3">
      <c r="A3159" s="16">
        <v>45450.525694000004</v>
      </c>
      <c r="B3159" s="17">
        <v>0.313726</v>
      </c>
      <c r="C3159" s="18"/>
      <c r="D3159" s="19"/>
    </row>
    <row r="3160" spans="1:4" x14ac:dyDescent="0.3">
      <c r="A3160" s="16">
        <v>45450.526388999999</v>
      </c>
      <c r="B3160" s="17">
        <v>0.313726</v>
      </c>
      <c r="C3160" s="18"/>
      <c r="D3160" s="19"/>
    </row>
    <row r="3161" spans="1:4" x14ac:dyDescent="0.3">
      <c r="A3161" s="16">
        <v>45450.527083000001</v>
      </c>
      <c r="B3161" s="17">
        <v>0.313726</v>
      </c>
      <c r="C3161" s="18"/>
      <c r="D3161" s="19"/>
    </row>
    <row r="3162" spans="1:4" x14ac:dyDescent="0.3">
      <c r="A3162" s="16">
        <v>45450.527778000003</v>
      </c>
      <c r="B3162" s="17">
        <v>0.313726</v>
      </c>
      <c r="C3162" s="18"/>
      <c r="D3162" s="19"/>
    </row>
    <row r="3163" spans="1:4" x14ac:dyDescent="0.3">
      <c r="A3163" s="16">
        <v>45450.528471999998</v>
      </c>
      <c r="B3163" s="17">
        <v>0.313726</v>
      </c>
      <c r="C3163" s="18"/>
      <c r="D3163" s="19"/>
    </row>
    <row r="3164" spans="1:4" x14ac:dyDescent="0.3">
      <c r="A3164" s="16">
        <v>45450.529167000001</v>
      </c>
      <c r="B3164" s="17">
        <v>0.313726</v>
      </c>
      <c r="C3164" s="18"/>
      <c r="D3164" s="19"/>
    </row>
    <row r="3165" spans="1:4" x14ac:dyDescent="0.3">
      <c r="A3165" s="16">
        <v>45450.529861000003</v>
      </c>
      <c r="B3165" s="17">
        <v>0.313726</v>
      </c>
      <c r="C3165" s="18"/>
      <c r="D3165" s="19"/>
    </row>
    <row r="3166" spans="1:4" x14ac:dyDescent="0.3">
      <c r="A3166" s="16">
        <v>45450.530555999998</v>
      </c>
      <c r="B3166" s="17">
        <v>0.313726</v>
      </c>
      <c r="C3166" s="18"/>
      <c r="D3166" s="19"/>
    </row>
    <row r="3167" spans="1:4" x14ac:dyDescent="0.3">
      <c r="A3167" s="16">
        <v>45450.53125</v>
      </c>
      <c r="B3167" s="17">
        <v>0.313726</v>
      </c>
      <c r="C3167" s="18"/>
      <c r="D3167" s="19"/>
    </row>
    <row r="3168" spans="1:4" x14ac:dyDescent="0.3">
      <c r="A3168" s="16">
        <v>45450.531944000002</v>
      </c>
      <c r="B3168" s="17">
        <v>0.313726</v>
      </c>
      <c r="C3168" s="18"/>
      <c r="D3168" s="19"/>
    </row>
    <row r="3169" spans="1:4" x14ac:dyDescent="0.3">
      <c r="A3169" s="16">
        <v>45450.532638999997</v>
      </c>
      <c r="B3169" s="17">
        <v>0.313726</v>
      </c>
      <c r="C3169" s="18"/>
      <c r="D3169" s="19"/>
    </row>
    <row r="3170" spans="1:4" x14ac:dyDescent="0.3">
      <c r="A3170" s="16">
        <v>45450.533332999999</v>
      </c>
      <c r="B3170" s="17">
        <v>0.313726</v>
      </c>
      <c r="C3170" s="18"/>
      <c r="D3170" s="19"/>
    </row>
    <row r="3171" spans="1:4" x14ac:dyDescent="0.3">
      <c r="A3171" s="16">
        <v>45450.534028000002</v>
      </c>
      <c r="B3171" s="17">
        <v>0.313726</v>
      </c>
      <c r="C3171" s="18"/>
      <c r="D3171" s="19"/>
    </row>
    <row r="3172" spans="1:4" x14ac:dyDescent="0.3">
      <c r="A3172" s="16">
        <v>45450.534721999997</v>
      </c>
      <c r="B3172" s="17">
        <v>0.313726</v>
      </c>
      <c r="C3172" s="18"/>
      <c r="D3172" s="19"/>
    </row>
    <row r="3173" spans="1:4" x14ac:dyDescent="0.3">
      <c r="A3173" s="16">
        <v>45450.535416999999</v>
      </c>
      <c r="B3173" s="17">
        <v>0.313726</v>
      </c>
      <c r="C3173" s="18"/>
      <c r="D3173" s="19"/>
    </row>
    <row r="3174" spans="1:4" x14ac:dyDescent="0.3">
      <c r="A3174" s="16">
        <v>45450.536111000001</v>
      </c>
      <c r="B3174" s="17">
        <v>0.313726</v>
      </c>
      <c r="C3174" s="18"/>
      <c r="D3174" s="19"/>
    </row>
    <row r="3175" spans="1:4" x14ac:dyDescent="0.3">
      <c r="A3175" s="16">
        <v>45450.536805999996</v>
      </c>
      <c r="B3175" s="17">
        <v>0.313726</v>
      </c>
      <c r="C3175" s="18"/>
      <c r="D3175" s="19"/>
    </row>
    <row r="3176" spans="1:4" x14ac:dyDescent="0.3">
      <c r="A3176" s="16">
        <v>45450.537499999999</v>
      </c>
      <c r="B3176" s="17">
        <v>0.313726</v>
      </c>
      <c r="C3176" s="18"/>
      <c r="D3176" s="19"/>
    </row>
    <row r="3177" spans="1:4" x14ac:dyDescent="0.3">
      <c r="A3177" s="16">
        <v>45450.538194000001</v>
      </c>
      <c r="B3177" s="17">
        <v>0.313726</v>
      </c>
      <c r="C3177" s="18"/>
      <c r="D3177" s="19"/>
    </row>
    <row r="3178" spans="1:4" x14ac:dyDescent="0.3">
      <c r="A3178" s="16">
        <v>45450.538889000003</v>
      </c>
      <c r="B3178" s="17">
        <v>0.249836</v>
      </c>
      <c r="C3178" s="18"/>
      <c r="D3178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2026-08-11T14:30:58Z</dcterms:modified>
</cp:coreProperties>
</file>