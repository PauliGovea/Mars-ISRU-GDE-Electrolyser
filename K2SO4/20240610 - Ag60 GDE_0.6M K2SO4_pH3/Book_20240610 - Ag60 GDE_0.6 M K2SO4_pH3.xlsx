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K2SO4/20240610 - Ag60 GDE_0.6M K2SO4_pH3/"/>
    </mc:Choice>
  </mc:AlternateContent>
  <xr:revisionPtr revIDLastSave="223" documentId="8_{99172C6E-3916-40BE-A50D-EF70DFCC63BC}" xr6:coauthVersionLast="47" xr6:coauthVersionMax="47" xr10:uidLastSave="{496D6E07-7697-4501-8801-D09607BC0C46}"/>
  <bookViews>
    <workbookView xWindow="-96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" i="1" l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S3" i="1"/>
  <c r="Q3" i="1"/>
  <c r="R3" i="1"/>
  <c r="P3" i="1"/>
  <c r="C55" i="1"/>
  <c r="C56" i="1"/>
  <c r="C3" i="2"/>
  <c r="D3" i="2" s="1"/>
  <c r="E3" i="2" s="1" a="1"/>
  <c r="E3" i="2" s="1"/>
  <c r="C4" i="1" s="1"/>
  <c r="C4" i="2"/>
  <c r="D4" i="2" s="1"/>
  <c r="E4" i="2" s="1" a="1"/>
  <c r="E4" i="2" s="1"/>
  <c r="C5" i="1" s="1"/>
  <c r="C5" i="2"/>
  <c r="D5" i="2" s="1"/>
  <c r="E5" i="2" s="1" a="1"/>
  <c r="E5" i="2" s="1"/>
  <c r="C6" i="1" s="1"/>
  <c r="C6" i="2"/>
  <c r="D6" i="2" s="1"/>
  <c r="E6" i="2" s="1" a="1"/>
  <c r="E6" i="2" s="1"/>
  <c r="C7" i="1" s="1"/>
  <c r="C7" i="2"/>
  <c r="D7" i="2" s="1"/>
  <c r="E7" i="2" s="1" a="1"/>
  <c r="E7" i="2" s="1"/>
  <c r="C8" i="1" s="1"/>
  <c r="C8" i="2"/>
  <c r="D8" i="2" s="1"/>
  <c r="E8" i="2" s="1" a="1"/>
  <c r="E8" i="2" s="1"/>
  <c r="C9" i="1" s="1"/>
  <c r="C9" i="2"/>
  <c r="D9" i="2" s="1"/>
  <c r="E9" i="2" s="1" a="1"/>
  <c r="E9" i="2" s="1"/>
  <c r="C10" i="1" s="1"/>
  <c r="C10" i="2"/>
  <c r="D10" i="2" s="1"/>
  <c r="E10" i="2" s="1" a="1"/>
  <c r="E10" i="2" s="1"/>
  <c r="C11" i="1" s="1"/>
  <c r="C11" i="2"/>
  <c r="D11" i="2" s="1"/>
  <c r="E11" i="2" s="1" a="1"/>
  <c r="E11" i="2" s="1"/>
  <c r="C12" i="1" s="1"/>
  <c r="C12" i="2"/>
  <c r="D12" i="2" s="1"/>
  <c r="E12" i="2" s="1" a="1"/>
  <c r="E12" i="2" s="1"/>
  <c r="C13" i="1" s="1"/>
  <c r="C13" i="2"/>
  <c r="D13" i="2" s="1"/>
  <c r="E13" i="2" s="1" a="1"/>
  <c r="E13" i="2" s="1"/>
  <c r="C14" i="1" s="1"/>
  <c r="C14" i="2"/>
  <c r="D14" i="2" s="1"/>
  <c r="E14" i="2" s="1" a="1"/>
  <c r="E14" i="2" s="1"/>
  <c r="C15" i="1" s="1"/>
  <c r="C15" i="2"/>
  <c r="D15" i="2" s="1"/>
  <c r="E15" i="2" s="1" a="1"/>
  <c r="E15" i="2" s="1"/>
  <c r="C16" i="1" s="1"/>
  <c r="C16" i="2"/>
  <c r="D16" i="2" s="1"/>
  <c r="E16" i="2" s="1" a="1"/>
  <c r="E16" i="2" s="1"/>
  <c r="C17" i="1" s="1"/>
  <c r="C17" i="2"/>
  <c r="D17" i="2" s="1"/>
  <c r="E17" i="2" s="1" a="1"/>
  <c r="E17" i="2" s="1"/>
  <c r="C18" i="1" s="1"/>
  <c r="C18" i="2"/>
  <c r="D18" i="2" s="1"/>
  <c r="E18" i="2" s="1" a="1"/>
  <c r="E18" i="2" s="1"/>
  <c r="C19" i="1" s="1"/>
  <c r="C19" i="2"/>
  <c r="D19" i="2" s="1"/>
  <c r="E19" i="2" s="1" a="1"/>
  <c r="E19" i="2" s="1"/>
  <c r="C20" i="1" s="1"/>
  <c r="C20" i="2"/>
  <c r="D20" i="2" s="1"/>
  <c r="E20" i="2" s="1" a="1"/>
  <c r="E20" i="2" s="1"/>
  <c r="C21" i="1" s="1"/>
  <c r="C21" i="2"/>
  <c r="D21" i="2" s="1"/>
  <c r="E21" i="2" s="1" a="1"/>
  <c r="E21" i="2" s="1"/>
  <c r="C22" i="1" s="1"/>
  <c r="C22" i="2"/>
  <c r="D22" i="2" s="1"/>
  <c r="E22" i="2" s="1" a="1"/>
  <c r="E22" i="2" s="1"/>
  <c r="C23" i="1" s="1"/>
  <c r="C23" i="2"/>
  <c r="D23" i="2" s="1"/>
  <c r="E23" i="2" s="1" a="1"/>
  <c r="E23" i="2" s="1"/>
  <c r="C24" i="1" s="1"/>
  <c r="C24" i="2"/>
  <c r="D24" i="2" s="1"/>
  <c r="E24" i="2" s="1" a="1"/>
  <c r="E24" i="2" s="1"/>
  <c r="C25" i="1" s="1"/>
  <c r="C25" i="2"/>
  <c r="D25" i="2" s="1"/>
  <c r="E25" i="2" s="1" a="1"/>
  <c r="E25" i="2" s="1"/>
  <c r="C26" i="1" s="1"/>
  <c r="C26" i="2"/>
  <c r="D26" i="2" s="1"/>
  <c r="E26" i="2" s="1" a="1"/>
  <c r="E26" i="2" s="1"/>
  <c r="C27" i="1" s="1"/>
  <c r="C27" i="2"/>
  <c r="D27" i="2" s="1"/>
  <c r="E27" i="2" s="1" a="1"/>
  <c r="E27" i="2" s="1"/>
  <c r="C28" i="1" s="1"/>
  <c r="C28" i="2"/>
  <c r="D28" i="2" s="1"/>
  <c r="E28" i="2" s="1" a="1"/>
  <c r="E28" i="2" s="1"/>
  <c r="C29" i="1" s="1"/>
  <c r="C29" i="2"/>
  <c r="D29" i="2" s="1"/>
  <c r="E29" i="2" s="1" a="1"/>
  <c r="E29" i="2" s="1"/>
  <c r="C30" i="1" s="1"/>
  <c r="C30" i="2"/>
  <c r="D30" i="2" s="1"/>
  <c r="E30" i="2" s="1" a="1"/>
  <c r="E30" i="2" s="1"/>
  <c r="C31" i="1" s="1"/>
  <c r="C31" i="2"/>
  <c r="D31" i="2" s="1"/>
  <c r="E31" i="2" s="1" a="1"/>
  <c r="E31" i="2" s="1"/>
  <c r="C32" i="1" s="1"/>
  <c r="C32" i="2"/>
  <c r="D32" i="2" s="1"/>
  <c r="E32" i="2" s="1" a="1"/>
  <c r="E32" i="2" s="1"/>
  <c r="C33" i="1" s="1"/>
  <c r="C33" i="2"/>
  <c r="D33" i="2" s="1"/>
  <c r="E33" i="2" s="1" a="1"/>
  <c r="E33" i="2" s="1"/>
  <c r="C34" i="1" s="1"/>
  <c r="C34" i="2"/>
  <c r="D34" i="2" s="1"/>
  <c r="E34" i="2" s="1" a="1"/>
  <c r="E34" i="2" s="1"/>
  <c r="C35" i="1" s="1"/>
  <c r="C35" i="2"/>
  <c r="D35" i="2" s="1"/>
  <c r="E35" i="2" s="1" a="1"/>
  <c r="E35" i="2" s="1"/>
  <c r="C36" i="1" s="1"/>
  <c r="C36" i="2"/>
  <c r="D36" i="2" s="1"/>
  <c r="E36" i="2" s="1" a="1"/>
  <c r="E36" i="2" s="1"/>
  <c r="C37" i="1" s="1"/>
  <c r="C37" i="2"/>
  <c r="D37" i="2" s="1"/>
  <c r="E37" i="2" s="1" a="1"/>
  <c r="E37" i="2" s="1"/>
  <c r="C38" i="1" s="1"/>
  <c r="C38" i="2"/>
  <c r="D38" i="2" s="1"/>
  <c r="E38" i="2" s="1" a="1"/>
  <c r="E38" i="2" s="1"/>
  <c r="C39" i="1" s="1"/>
  <c r="C39" i="2"/>
  <c r="D39" i="2" s="1"/>
  <c r="E39" i="2" s="1" a="1"/>
  <c r="E39" i="2" s="1"/>
  <c r="C40" i="1" s="1"/>
  <c r="C40" i="2"/>
  <c r="D40" i="2" s="1"/>
  <c r="E40" i="2" s="1" a="1"/>
  <c r="E40" i="2" s="1"/>
  <c r="C41" i="1" s="1"/>
  <c r="C41" i="2"/>
  <c r="D41" i="2" s="1"/>
  <c r="E41" i="2" s="1" a="1"/>
  <c r="E41" i="2" s="1"/>
  <c r="C42" i="1" s="1"/>
  <c r="C42" i="2"/>
  <c r="D42" i="2" s="1"/>
  <c r="E42" i="2" s="1" a="1"/>
  <c r="E42" i="2" s="1"/>
  <c r="C43" i="1" s="1"/>
  <c r="C43" i="2"/>
  <c r="D43" i="2" s="1"/>
  <c r="E43" i="2" s="1" a="1"/>
  <c r="E43" i="2" s="1"/>
  <c r="C44" i="1" s="1"/>
  <c r="C44" i="2"/>
  <c r="D44" i="2" s="1"/>
  <c r="E44" i="2" s="1" a="1"/>
  <c r="E44" i="2" s="1"/>
  <c r="C45" i="1" s="1"/>
  <c r="C45" i="2"/>
  <c r="D45" i="2" s="1"/>
  <c r="E45" i="2" s="1" a="1"/>
  <c r="E45" i="2" s="1"/>
  <c r="C46" i="1" s="1"/>
  <c r="C46" i="2"/>
  <c r="D46" i="2" s="1"/>
  <c r="E46" i="2" s="1" a="1"/>
  <c r="E46" i="2" s="1"/>
  <c r="C47" i="1" s="1"/>
  <c r="C47" i="2"/>
  <c r="D47" i="2"/>
  <c r="E47" i="2" s="1" a="1"/>
  <c r="E47" i="2" s="1"/>
  <c r="C48" i="1" s="1"/>
  <c r="C48" i="2"/>
  <c r="D48" i="2" s="1"/>
  <c r="E48" i="2" s="1" a="1"/>
  <c r="E48" i="2" s="1"/>
  <c r="C49" i="1" s="1"/>
  <c r="C49" i="2"/>
  <c r="D49" i="2" s="1"/>
  <c r="E49" i="2" s="1" a="1"/>
  <c r="E49" i="2" s="1"/>
  <c r="C50" i="1" s="1"/>
  <c r="C50" i="2"/>
  <c r="D50" i="2" s="1"/>
  <c r="E50" i="2" s="1" a="1"/>
  <c r="E50" i="2" s="1"/>
  <c r="C51" i="1" s="1"/>
  <c r="C51" i="2"/>
  <c r="D51" i="2" s="1"/>
  <c r="E51" i="2" s="1" a="1"/>
  <c r="E51" i="2" s="1"/>
  <c r="C52" i="1" s="1"/>
  <c r="C52" i="2"/>
  <c r="D52" i="2" s="1"/>
  <c r="E52" i="2" s="1" a="1"/>
  <c r="E52" i="2" s="1"/>
  <c r="C53" i="1" s="1"/>
  <c r="C53" i="2"/>
  <c r="D53" i="2" s="1"/>
  <c r="E53" i="2" s="1" a="1"/>
  <c r="E53" i="2" s="1"/>
  <c r="C54" i="1" s="1"/>
  <c r="C54" i="2"/>
  <c r="D54" i="2" s="1"/>
  <c r="E54" i="2" s="1" a="1"/>
  <c r="E54" i="2" s="1"/>
  <c r="C55" i="2"/>
  <c r="D55" i="2" s="1"/>
  <c r="E55" i="2" s="1" a="1"/>
  <c r="E55" i="2" s="1"/>
  <c r="C56" i="2"/>
  <c r="D56" i="2" s="1"/>
  <c r="E56" i="2" s="1" a="1"/>
  <c r="E56" i="2" s="1"/>
  <c r="C57" i="1" s="1"/>
  <c r="C57" i="2"/>
  <c r="D57" i="2" s="1"/>
  <c r="E57" i="2" s="1" a="1"/>
  <c r="E57" i="2" s="1"/>
  <c r="C58" i="1" s="1"/>
  <c r="C58" i="2"/>
  <c r="D58" i="2" s="1"/>
  <c r="E58" i="2" s="1" a="1"/>
  <c r="E58" i="2" s="1"/>
  <c r="C59" i="1" s="1"/>
  <c r="C59" i="2"/>
  <c r="D59" i="2" s="1"/>
  <c r="E59" i="2" s="1" a="1"/>
  <c r="E59" i="2" s="1"/>
  <c r="C60" i="1" s="1"/>
  <c r="C60" i="2"/>
  <c r="D60" i="2" s="1"/>
  <c r="E60" i="2" s="1" a="1"/>
  <c r="E60" i="2" s="1"/>
  <c r="C61" i="1" s="1"/>
  <c r="C61" i="2"/>
  <c r="D61" i="2" s="1"/>
  <c r="E61" i="2" s="1" a="1"/>
  <c r="E61" i="2" s="1"/>
  <c r="C62" i="1" s="1"/>
  <c r="C62" i="2"/>
  <c r="D62" i="2" s="1"/>
  <c r="E62" i="2" s="1" a="1"/>
  <c r="E62" i="2" s="1"/>
  <c r="C63" i="1" s="1"/>
  <c r="C63" i="2"/>
  <c r="D63" i="2" s="1"/>
  <c r="E63" i="2" s="1" a="1"/>
  <c r="E63" i="2" s="1"/>
  <c r="C64" i="1" s="1"/>
  <c r="C2" i="2"/>
  <c r="D2" i="2" s="1"/>
  <c r="E2" i="2" s="1" a="1"/>
  <c r="E2" i="2" s="1"/>
  <c r="C3" i="1" s="1"/>
  <c r="C1" i="2"/>
  <c r="D1" i="2"/>
  <c r="E1" i="2" s="1" a="1"/>
  <c r="E1" i="2" s="1"/>
  <c r="C2" i="1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3" i="1"/>
  <c r="Y64" i="1"/>
  <c r="X64" i="1"/>
  <c r="X63" i="1"/>
  <c r="Y62" i="1"/>
  <c r="X62" i="1"/>
  <c r="X61" i="1"/>
  <c r="Y60" i="1"/>
  <c r="X60" i="1"/>
  <c r="X59" i="1"/>
  <c r="Y58" i="1"/>
  <c r="X58" i="1"/>
  <c r="X57" i="1"/>
  <c r="Y56" i="1"/>
  <c r="X56" i="1"/>
  <c r="X55" i="1"/>
  <c r="Y54" i="1"/>
  <c r="X54" i="1"/>
  <c r="X53" i="1"/>
  <c r="Y52" i="1"/>
  <c r="X52" i="1"/>
  <c r="X51" i="1"/>
  <c r="Y50" i="1"/>
  <c r="X50" i="1"/>
  <c r="X49" i="1"/>
  <c r="Y48" i="1"/>
  <c r="X48" i="1"/>
  <c r="X47" i="1"/>
  <c r="Y46" i="1"/>
  <c r="X46" i="1"/>
  <c r="X45" i="1"/>
  <c r="Y44" i="1"/>
  <c r="X44" i="1"/>
  <c r="X43" i="1"/>
  <c r="Y42" i="1"/>
  <c r="X42" i="1"/>
  <c r="X41" i="1"/>
  <c r="Y40" i="1"/>
  <c r="X40" i="1"/>
  <c r="X39" i="1"/>
  <c r="Y38" i="1"/>
  <c r="X38" i="1"/>
  <c r="X37" i="1"/>
  <c r="Y36" i="1"/>
  <c r="X36" i="1"/>
  <c r="X35" i="1"/>
  <c r="Y34" i="1"/>
  <c r="X34" i="1"/>
  <c r="X33" i="1"/>
  <c r="Y32" i="1"/>
  <c r="X32" i="1"/>
  <c r="X31" i="1"/>
  <c r="Y30" i="1"/>
  <c r="X30" i="1"/>
  <c r="X29" i="1"/>
  <c r="Y28" i="1"/>
  <c r="X28" i="1"/>
  <c r="X27" i="1"/>
  <c r="Y26" i="1"/>
  <c r="X26" i="1"/>
  <c r="X25" i="1"/>
  <c r="Y24" i="1"/>
  <c r="X24" i="1"/>
  <c r="X23" i="1"/>
  <c r="Y22" i="1"/>
  <c r="X22" i="1"/>
  <c r="X21" i="1"/>
  <c r="Y20" i="1"/>
  <c r="X20" i="1"/>
  <c r="X19" i="1"/>
  <c r="Y18" i="1"/>
  <c r="X18" i="1"/>
  <c r="X17" i="1"/>
  <c r="Y16" i="1"/>
  <c r="X16" i="1"/>
  <c r="X15" i="1"/>
  <c r="Y14" i="1"/>
  <c r="X14" i="1"/>
  <c r="X13" i="1"/>
  <c r="Y12" i="1"/>
  <c r="X12" i="1"/>
  <c r="X11" i="1"/>
  <c r="Y10" i="1"/>
  <c r="X10" i="1"/>
  <c r="X9" i="1"/>
  <c r="Y8" i="1"/>
  <c r="X8" i="1"/>
  <c r="X7" i="1"/>
  <c r="Y6" i="1"/>
  <c r="X6" i="1"/>
  <c r="X5" i="1"/>
  <c r="Y4" i="1"/>
  <c r="X4" i="1"/>
  <c r="X3" i="1"/>
  <c r="Y2" i="1"/>
  <c r="S2" i="1"/>
  <c r="R2" i="1"/>
  <c r="Q2" i="1"/>
  <c r="P2" i="1"/>
  <c r="U59" i="1" l="1"/>
  <c r="U37" i="1"/>
  <c r="U13" i="1"/>
  <c r="U46" i="1"/>
  <c r="T34" i="1"/>
  <c r="U22" i="1"/>
  <c r="U43" i="1"/>
  <c r="T50" i="1"/>
  <c r="U61" i="1"/>
  <c r="U38" i="1"/>
  <c r="T26" i="1"/>
  <c r="U14" i="1"/>
  <c r="U62" i="1"/>
  <c r="U54" i="1"/>
  <c r="U12" i="1"/>
  <c r="T42" i="1"/>
  <c r="U30" i="1"/>
  <c r="T35" i="1"/>
  <c r="U35" i="1"/>
  <c r="U21" i="1"/>
  <c r="U20" i="1"/>
  <c r="U51" i="1"/>
  <c r="T58" i="1"/>
  <c r="U34" i="1"/>
  <c r="T3" i="1"/>
  <c r="U36" i="1"/>
  <c r="U6" i="1"/>
  <c r="U60" i="1"/>
  <c r="T45" i="1"/>
  <c r="T53" i="1"/>
  <c r="U53" i="1"/>
  <c r="U29" i="1"/>
  <c r="T29" i="1"/>
  <c r="T5" i="1"/>
  <c r="U5" i="1"/>
  <c r="U28" i="1"/>
  <c r="T28" i="1"/>
  <c r="U4" i="1"/>
  <c r="T4" i="1"/>
  <c r="T52" i="1"/>
  <c r="U52" i="1"/>
  <c r="T44" i="1"/>
  <c r="U44" i="1"/>
  <c r="U3" i="1"/>
  <c r="T46" i="1"/>
  <c r="T54" i="1"/>
  <c r="U58" i="1"/>
  <c r="T30" i="1"/>
  <c r="U42" i="1"/>
  <c r="U17" i="1"/>
  <c r="U11" i="1"/>
  <c r="T18" i="1"/>
  <c r="T51" i="1"/>
  <c r="U18" i="1"/>
  <c r="T10" i="1"/>
  <c r="U8" i="1"/>
  <c r="T19" i="1"/>
  <c r="T39" i="1"/>
  <c r="T8" i="1"/>
  <c r="U10" i="1"/>
  <c r="T20" i="1"/>
  <c r="U19" i="1"/>
  <c r="T23" i="1"/>
  <c r="T43" i="1"/>
  <c r="T59" i="1"/>
  <c r="T60" i="1"/>
  <c r="U31" i="1"/>
  <c r="U39" i="1"/>
  <c r="U47" i="1"/>
  <c r="T11" i="1"/>
  <c r="U45" i="1"/>
  <c r="U26" i="1"/>
  <c r="T9" i="1"/>
  <c r="T21" i="1"/>
  <c r="U25" i="1"/>
  <c r="T27" i="1"/>
  <c r="T37" i="1"/>
  <c r="W37" i="1" s="1"/>
  <c r="T62" i="1"/>
  <c r="T13" i="1"/>
  <c r="U27" i="1"/>
  <c r="T38" i="1"/>
  <c r="T25" i="1"/>
  <c r="T36" i="1"/>
  <c r="U55" i="1"/>
  <c r="T14" i="1"/>
  <c r="U50" i="1"/>
  <c r="T12" i="1"/>
  <c r="W12" i="1" s="1"/>
  <c r="U63" i="1"/>
  <c r="T61" i="1"/>
  <c r="U41" i="1"/>
  <c r="U49" i="1"/>
  <c r="U57" i="1"/>
  <c r="T24" i="1"/>
  <c r="U7" i="1"/>
  <c r="U24" i="1"/>
  <c r="T16" i="1"/>
  <c r="U33" i="1"/>
  <c r="T41" i="1"/>
  <c r="T49" i="1"/>
  <c r="T7" i="1"/>
  <c r="T6" i="1"/>
  <c r="T15" i="1"/>
  <c r="T32" i="1"/>
  <c r="U15" i="1"/>
  <c r="U32" i="1"/>
  <c r="T40" i="1"/>
  <c r="T48" i="1"/>
  <c r="T56" i="1"/>
  <c r="T64" i="1"/>
  <c r="T57" i="1"/>
  <c r="U40" i="1"/>
  <c r="U48" i="1"/>
  <c r="U56" i="1"/>
  <c r="U64" i="1"/>
  <c r="T33" i="1"/>
  <c r="U9" i="1"/>
  <c r="U23" i="1"/>
  <c r="U16" i="1"/>
  <c r="T17" i="1"/>
  <c r="T22" i="1"/>
  <c r="T31" i="1"/>
  <c r="T47" i="1"/>
  <c r="T55" i="1"/>
  <c r="T63" i="1"/>
  <c r="W22" i="1" l="1"/>
  <c r="W13" i="1"/>
  <c r="W59" i="1"/>
  <c r="W14" i="1"/>
  <c r="W26" i="1"/>
  <c r="W34" i="1"/>
  <c r="W46" i="1"/>
  <c r="W43" i="1"/>
  <c r="W50" i="1"/>
  <c r="W62" i="1"/>
  <c r="W61" i="1"/>
  <c r="W17" i="1"/>
  <c r="W36" i="1"/>
  <c r="W38" i="1"/>
  <c r="W8" i="1"/>
  <c r="W10" i="1"/>
  <c r="W30" i="1"/>
  <c r="W54" i="1"/>
  <c r="W35" i="1"/>
  <c r="W42" i="1"/>
  <c r="W53" i="1"/>
  <c r="W44" i="1"/>
  <c r="W4" i="1"/>
  <c r="W21" i="1"/>
  <c r="W58" i="1"/>
  <c r="W45" i="1"/>
  <c r="W39" i="1"/>
  <c r="W29" i="1"/>
  <c r="W3" i="1"/>
  <c r="W60" i="1"/>
  <c r="W6" i="1"/>
  <c r="W51" i="1"/>
  <c r="W18" i="1"/>
  <c r="W52" i="1"/>
  <c r="W20" i="1"/>
  <c r="W28" i="1"/>
  <c r="W11" i="1"/>
  <c r="W5" i="1"/>
  <c r="W19" i="1"/>
  <c r="W23" i="1"/>
  <c r="W48" i="1"/>
  <c r="W40" i="1"/>
  <c r="W55" i="1"/>
  <c r="W9" i="1"/>
  <c r="W33" i="1"/>
  <c r="W47" i="1"/>
  <c r="W31" i="1"/>
  <c r="W25" i="1"/>
  <c r="W63" i="1"/>
  <c r="W57" i="1"/>
  <c r="W41" i="1"/>
  <c r="W27" i="1"/>
  <c r="W56" i="1"/>
  <c r="W16" i="1"/>
  <c r="W2" i="1"/>
  <c r="W24" i="1"/>
  <c r="W32" i="1"/>
  <c r="W15" i="1"/>
  <c r="W7" i="1"/>
  <c r="W49" i="1"/>
  <c r="W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<sst xmlns="http://schemas.openxmlformats.org/spreadsheetml/2006/main" count="277" uniqueCount="29">
  <si>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</si>
  <si>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</si>
  <si>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</si>
  <si>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</si>
  <si>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</si>
  <si>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</si>
  <si>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</si>
  <si>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</si>
  <si>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</si>
  <si>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</si>
  <si>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</si>
  <si>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</si>
  <si>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</si>
  <si>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</si>
  <si>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</si>
  <si>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</si>
  <si>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</si>
  <si>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</si>
  <si>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</si>
  <si>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</si>
  <si>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</si>
  <si>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</si>
  <si>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</si>
  <si>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</si>
  <si>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</si>
  <si>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t>Time</t>
  </si>
  <si>
    <t>Deionized wated</t>
  </si>
  <si>
    <r>
      <t>0.3 M K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</si>
  <si>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0.6MK2so4pH3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</si>
</sst>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  <xf numFmtId="16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127"/>
  <sheetViews>
    <sheetView tabSelected="1" topLeftCell="I1" zoomScale="70" zoomScaleNormal="70" workbookViewId="0">
      <selection activeCell="K3" sqref="K3:K64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5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25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 x14ac:dyDescent="0.3">
      <c r="A2" s="1" t="s">
        <v>23</v>
      </c>
      <c r="B2" s="1">
        <v>60</v>
      </c>
      <c r="C2" s="12">
        <f>+'Flow rate'!E1</f>
        <v>43.278511999999999</v>
      </c>
      <c r="D2" s="1" t="s">
        <v>27</v>
      </c>
      <c r="E2" s="1" t="s">
        <v>26</v>
      </c>
      <c r="F2" s="1" t="s">
        <v>24</v>
      </c>
      <c r="G2" s="1">
        <v>0</v>
      </c>
      <c r="H2" s="15">
        <v>45453.648080671293</v>
      </c>
      <c r="I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>+N2/100</f>
        <v>0</v>
      </c>
      <c r="T2" s="4">
        <v>0</v>
      </c>
      <c r="U2" s="5">
        <v>0</v>
      </c>
      <c r="V2" s="14"/>
      <c r="W2" s="3">
        <f t="shared" ref="W2:W64" si="1">+T2+U2</f>
        <v>0</v>
      </c>
      <c r="X2" s="3">
        <v>0</v>
      </c>
      <c r="Y2">
        <f t="shared" ref="Y2" si="2">+SUM(K2:L2)</f>
        <v>0</v>
      </c>
    </row>
    <row r="3" spans="1:25" ht="15.6" x14ac:dyDescent="0.3">
      <c r="A3" s="1" t="s">
        <v>23</v>
      </c>
      <c r="B3" s="1">
        <v>60</v>
      </c>
      <c r="C3" s="12">
        <f>+'Flow rate'!E2</f>
        <v>53.247892</v>
      </c>
      <c r="D3" s="1" t="s">
        <v>27</v>
      </c>
      <c r="E3" s="1" t="s">
        <v>26</v>
      </c>
      <c r="F3" s="1" t="s">
        <v>24</v>
      </c>
      <c r="G3" s="1">
        <v>-0.125</v>
      </c>
      <c r="H3" s="15">
        <v>45453.674710648149</v>
      </c>
      <c r="I3" s="2">
        <f>+(H3-H$2)*24</f>
        <v>0.63911944453138858</v>
      </c>
      <c r="J3" s="21">
        <v>7.6311437674433005E-2</v>
      </c>
      <c r="K3" s="21">
        <v>2.0732095634535601</v>
      </c>
      <c r="L3" s="21">
        <v>104.37537547451255</v>
      </c>
      <c r="N3" s="21">
        <v>0.42808675132564089</v>
      </c>
      <c r="O3" s="21">
        <v>0.88926933621945825</v>
      </c>
      <c r="P3" s="3">
        <f>+J3/SUM($J3:$O3)</f>
        <v>7.0762095431678342E-4</v>
      </c>
      <c r="Q3" s="3">
        <f t="shared" ref="Q3:R3" si="3">+K3/SUM($J3:$O3)</f>
        <v>1.9224464569106158E-2</v>
      </c>
      <c r="R3" s="3">
        <f t="shared" si="3"/>
        <v>0.96785233054510045</v>
      </c>
      <c r="S3" s="3">
        <f>+N3/SUM($J3:$O3)</f>
        <v>3.9695642584507539E-3</v>
      </c>
      <c r="T3" s="4">
        <f t="shared" ref="T3:T64" si="4">+P3*C3/1000/60/24.3*2*96485/-1/G3</f>
        <v>3.9895633370030464E-2</v>
      </c>
      <c r="U3" s="5">
        <f t="shared" ref="U3:U64" si="5">+Q3*C3/1000/60/24.3*2*96485/-1/G3</f>
        <v>1.0838743334342338</v>
      </c>
      <c r="V3" s="14"/>
      <c r="W3" s="3">
        <f t="shared" si="1"/>
        <v>1.1237699668042642</v>
      </c>
      <c r="X3" s="3">
        <f t="shared" ref="X3:X64" si="6">+K3/(K3+L3)</f>
        <v>1.947615896175723E-2</v>
      </c>
    </row>
    <row r="4" spans="1:25" ht="15.6" x14ac:dyDescent="0.3">
      <c r="A4" s="1" t="s">
        <v>23</v>
      </c>
      <c r="B4" s="1">
        <v>60</v>
      </c>
      <c r="C4" s="12">
        <f>+'Flow rate'!E3</f>
        <v>57.490757000000002</v>
      </c>
      <c r="D4" s="1" t="s">
        <v>27</v>
      </c>
      <c r="E4" s="1" t="s">
        <v>26</v>
      </c>
      <c r="F4" s="1" t="s">
        <v>24</v>
      </c>
      <c r="G4" s="1">
        <v>-0.125</v>
      </c>
      <c r="H4" s="15">
        <v>45453.696956018517</v>
      </c>
      <c r="I4" s="2">
        <f t="shared" ref="I4:I64" si="7">+(H4-H$2)*24</f>
        <v>1.1730083333677612</v>
      </c>
      <c r="J4" s="21">
        <v>0.110050566641512</v>
      </c>
      <c r="K4" s="21">
        <v>1.9464932689993</v>
      </c>
      <c r="L4" s="21">
        <v>105.43940790485676</v>
      </c>
      <c r="N4" s="21">
        <v>0.19257170994446293</v>
      </c>
      <c r="O4" s="21">
        <v>0.2278043881881272</v>
      </c>
      <c r="P4" s="3">
        <f t="shared" ref="P4:P64" si="8">+J4/SUM($J4:$O4)</f>
        <v>1.0197767923133302E-3</v>
      </c>
      <c r="Q4" s="3">
        <f t="shared" ref="Q4:Q64" si="9">+K4/SUM($J4:$O4)</f>
        <v>1.8037059896162676E-2</v>
      </c>
      <c r="R4" s="3">
        <f t="shared" ref="R4:R64" si="10">+L4/SUM($J4:$O4)</f>
        <v>0.97704777410998267</v>
      </c>
      <c r="S4" s="3">
        <f t="shared" ref="S4:S64" si="11">+N4/SUM($J4:$O4)</f>
        <v>1.7844538801618597E-3</v>
      </c>
      <c r="T4" s="4">
        <f t="shared" si="4"/>
        <v>6.2076241106745214E-2</v>
      </c>
      <c r="U4" s="5">
        <f t="shared" si="5"/>
        <v>1.0979587762838356</v>
      </c>
      <c r="V4" s="14"/>
      <c r="W4" s="3">
        <f t="shared" si="1"/>
        <v>1.1600350173905809</v>
      </c>
      <c r="X4" s="3">
        <f t="shared" si="6"/>
        <v>1.8126152946725829E-2</v>
      </c>
      <c r="Y4">
        <f t="shared" ref="Y4" si="12">+SUM(K4:L4)</f>
        <v>107.38590117385607</v>
      </c>
    </row>
    <row r="5" spans="1:25" ht="15.6" x14ac:dyDescent="0.3">
      <c r="A5" s="1" t="s">
        <v>23</v>
      </c>
      <c r="B5" s="1">
        <v>60</v>
      </c>
      <c r="C5" s="12">
        <f>+'Flow rate'!E4</f>
        <v>58.253663000000003</v>
      </c>
      <c r="D5" s="1" t="s">
        <v>27</v>
      </c>
      <c r="E5" s="1" t="s">
        <v>26</v>
      </c>
      <c r="F5" s="1" t="s">
        <v>24</v>
      </c>
      <c r="G5" s="1">
        <v>-0.125</v>
      </c>
      <c r="H5" s="15">
        <v>45453.713275462964</v>
      </c>
      <c r="I5" s="2">
        <f t="shared" si="7"/>
        <v>1.564675000088755</v>
      </c>
      <c r="J5" s="21">
        <v>0.119554836370856</v>
      </c>
      <c r="K5" s="21">
        <v>1.8806742722854399</v>
      </c>
      <c r="L5" s="21">
        <v>105.45982768702545</v>
      </c>
      <c r="N5" s="21">
        <v>0.14710850593579108</v>
      </c>
      <c r="O5" s="21">
        <v>0.14666804571302317</v>
      </c>
      <c r="P5" s="3">
        <f t="shared" si="8"/>
        <v>1.1095181735714813E-3</v>
      </c>
      <c r="Q5" s="3">
        <f t="shared" si="9"/>
        <v>1.7453432642375973E-2</v>
      </c>
      <c r="R5" s="3">
        <f t="shared" si="10"/>
        <v>0.97871068166168451</v>
      </c>
      <c r="S5" s="3">
        <f t="shared" si="11"/>
        <v>1.3652275874177563E-3</v>
      </c>
      <c r="T5" s="4">
        <f t="shared" si="4"/>
        <v>6.8435259620077848E-2</v>
      </c>
      <c r="U5" s="5">
        <f t="shared" si="5"/>
        <v>1.0765305360413633</v>
      </c>
      <c r="V5" s="14"/>
      <c r="W5" s="3">
        <f t="shared" si="1"/>
        <v>1.1449657956614412</v>
      </c>
      <c r="X5" s="3">
        <f t="shared" si="6"/>
        <v>1.7520639814022288E-2</v>
      </c>
    </row>
    <row r="6" spans="1:25" ht="15.6" x14ac:dyDescent="0.3">
      <c r="A6" s="1" t="s">
        <v>23</v>
      </c>
      <c r="B6" s="1">
        <v>60</v>
      </c>
      <c r="C6" s="12">
        <f>+'Flow rate'!E5</f>
        <v>61.574866</v>
      </c>
      <c r="D6" s="1" t="s">
        <v>27</v>
      </c>
      <c r="E6" s="1" t="s">
        <v>26</v>
      </c>
      <c r="F6" s="1" t="s">
        <v>24</v>
      </c>
      <c r="G6" s="1">
        <v>-0.27</v>
      </c>
      <c r="H6" s="15">
        <v>45453.737592592595</v>
      </c>
      <c r="I6" s="2">
        <f t="shared" si="7"/>
        <v>2.1482861112453975</v>
      </c>
      <c r="J6" s="21">
        <v>0.14240673990938299</v>
      </c>
      <c r="K6" s="21">
        <v>2.4327275595710205</v>
      </c>
      <c r="L6" s="21">
        <v>105.05422027841774</v>
      </c>
      <c r="N6" s="21">
        <v>0.13502689751678726</v>
      </c>
      <c r="O6" s="21">
        <v>0.10154764926635507</v>
      </c>
      <c r="P6" s="3">
        <f t="shared" si="8"/>
        <v>1.3202198420297878E-3</v>
      </c>
      <c r="Q6" s="3">
        <f t="shared" si="9"/>
        <v>2.2553252721339397E-2</v>
      </c>
      <c r="R6" s="3">
        <f t="shared" si="10"/>
        <v>0.97393329970751474</v>
      </c>
      <c r="S6" s="3">
        <f t="shared" si="11"/>
        <v>1.2518030356064597E-3</v>
      </c>
      <c r="T6" s="4">
        <f t="shared" si="4"/>
        <v>3.9849074538597991E-2</v>
      </c>
      <c r="U6" s="5">
        <f t="shared" si="5"/>
        <v>0.68073984359963435</v>
      </c>
      <c r="V6" s="14"/>
      <c r="W6" s="3">
        <f t="shared" si="1"/>
        <v>0.72058891813823234</v>
      </c>
      <c r="X6" s="3">
        <f t="shared" si="6"/>
        <v>2.2632771778372418E-2</v>
      </c>
      <c r="Y6">
        <f t="shared" ref="Y6" si="13">+SUM(K6:L6)</f>
        <v>107.48694783798877</v>
      </c>
    </row>
    <row r="7" spans="1:25" ht="15.6" x14ac:dyDescent="0.3">
      <c r="A7" s="1" t="s">
        <v>23</v>
      </c>
      <c r="B7" s="1">
        <v>60</v>
      </c>
      <c r="C7" s="12">
        <f>+'Flow rate'!E6</f>
        <v>61.980775999999999</v>
      </c>
      <c r="D7" s="1" t="s">
        <v>27</v>
      </c>
      <c r="E7" s="1" t="s">
        <v>26</v>
      </c>
      <c r="F7" s="1" t="s">
        <v>24</v>
      </c>
      <c r="G7" s="1">
        <v>-0.27</v>
      </c>
      <c r="H7" s="15">
        <v>45453.761921296296</v>
      </c>
      <c r="I7" s="2">
        <f t="shared" si="7"/>
        <v>2.7321750000701286</v>
      </c>
      <c r="J7" s="21">
        <v>0.24314420247116553</v>
      </c>
      <c r="K7" s="21">
        <v>3.3114244073001808</v>
      </c>
      <c r="L7" s="21">
        <v>103.53163093055022</v>
      </c>
      <c r="N7" s="21">
        <v>0.12838592167999416</v>
      </c>
      <c r="O7" s="21">
        <v>8.6199464723779554E-2</v>
      </c>
      <c r="P7" s="3">
        <f t="shared" si="8"/>
        <v>2.2660058138177304E-3</v>
      </c>
      <c r="Q7" s="3">
        <f t="shared" si="9"/>
        <v>3.0861138709856784E-2</v>
      </c>
      <c r="R7" s="3">
        <f t="shared" si="10"/>
        <v>0.96487300629954353</v>
      </c>
      <c r="S7" s="3">
        <f t="shared" si="11"/>
        <v>1.1965049628263917E-3</v>
      </c>
      <c r="T7" s="4">
        <f t="shared" si="4"/>
        <v>6.8847240504235921E-2</v>
      </c>
      <c r="U7" s="5">
        <f t="shared" si="5"/>
        <v>0.93764288954423636</v>
      </c>
      <c r="V7" s="14"/>
      <c r="W7" s="3">
        <f t="shared" si="1"/>
        <v>1.0064901300484723</v>
      </c>
      <c r="X7" s="3">
        <f t="shared" si="6"/>
        <v>3.0993351854540892E-2</v>
      </c>
    </row>
    <row r="8" spans="1:25" ht="15.6" x14ac:dyDescent="0.3">
      <c r="A8" s="1" t="s">
        <v>23</v>
      </c>
      <c r="B8" s="1">
        <v>60</v>
      </c>
      <c r="C8" s="12">
        <f>+'Flow rate'!E7</f>
        <v>62.722160000000002</v>
      </c>
      <c r="D8" s="1" t="s">
        <v>27</v>
      </c>
      <c r="E8" s="1" t="s">
        <v>26</v>
      </c>
      <c r="F8" s="1" t="s">
        <v>24</v>
      </c>
      <c r="G8" s="1">
        <v>-0.27</v>
      </c>
      <c r="H8" s="15">
        <v>45453.779282407406</v>
      </c>
      <c r="I8" s="2">
        <f t="shared" si="7"/>
        <v>3.1488416666979901</v>
      </c>
      <c r="J8" s="21">
        <v>0.23282264162083291</v>
      </c>
      <c r="K8" s="21">
        <v>3.310635567278279</v>
      </c>
      <c r="L8" s="21">
        <v>103.22077244552867</v>
      </c>
      <c r="N8" s="21">
        <v>0.11156008337961629</v>
      </c>
      <c r="O8" s="21">
        <v>3.8492190614657557E-2</v>
      </c>
      <c r="P8" s="3">
        <f t="shared" si="8"/>
        <v>2.1776570467830301E-3</v>
      </c>
      <c r="Q8" s="3">
        <f t="shared" si="9"/>
        <v>3.0965325460721775E-2</v>
      </c>
      <c r="R8" s="3">
        <f t="shared" si="10"/>
        <v>0.96545353547040902</v>
      </c>
      <c r="S8" s="3">
        <f t="shared" si="11"/>
        <v>1.0434535061541268E-3</v>
      </c>
      <c r="T8" s="4">
        <f t="shared" si="4"/>
        <v>6.6954381054933093E-2</v>
      </c>
      <c r="U8" s="5">
        <f t="shared" si="5"/>
        <v>0.95206185172726898</v>
      </c>
      <c r="V8" s="14"/>
      <c r="W8" s="3">
        <f t="shared" si="1"/>
        <v>1.0190162327822021</v>
      </c>
      <c r="X8" s="3">
        <f t="shared" si="6"/>
        <v>3.1076615141332614E-2</v>
      </c>
      <c r="Y8">
        <f t="shared" ref="Y8" si="14">+SUM(K8:L8)</f>
        <v>106.53140801280695</v>
      </c>
    </row>
    <row r="9" spans="1:25" ht="15.6" x14ac:dyDescent="0.3">
      <c r="A9" s="1" t="s">
        <v>23</v>
      </c>
      <c r="B9" s="1">
        <v>60</v>
      </c>
      <c r="C9" s="12">
        <f>+'Flow rate'!E8</f>
        <v>61.802396000000002</v>
      </c>
      <c r="D9" s="1" t="s">
        <v>27</v>
      </c>
      <c r="E9" s="1" t="s">
        <v>26</v>
      </c>
      <c r="F9" s="1" t="s">
        <v>24</v>
      </c>
      <c r="G9" s="1">
        <v>-0.27</v>
      </c>
      <c r="H9" s="15">
        <v>45453.789687500001</v>
      </c>
      <c r="I9" s="2">
        <f t="shared" si="7"/>
        <v>3.3985638889716938</v>
      </c>
      <c r="J9" s="21">
        <v>0.23620061107824733</v>
      </c>
      <c r="K9" s="21">
        <v>3.2934791005947863</v>
      </c>
      <c r="L9" s="21">
        <v>103.18252313169883</v>
      </c>
      <c r="N9" s="21">
        <v>0.10376285069398108</v>
      </c>
      <c r="O9" s="21">
        <v>1.4243266691997762E-2</v>
      </c>
      <c r="P9" s="3">
        <f t="shared" si="8"/>
        <v>2.2109908178220578E-3</v>
      </c>
      <c r="Q9" s="3">
        <f t="shared" si="9"/>
        <v>3.0829099115631111E-2</v>
      </c>
      <c r="R9" s="3">
        <f t="shared" si="10"/>
        <v>0.96585529631979916</v>
      </c>
      <c r="S9" s="3">
        <f t="shared" si="11"/>
        <v>9.7128753845362689E-4</v>
      </c>
      <c r="T9" s="4">
        <f t="shared" si="4"/>
        <v>6.6982408597902887E-2</v>
      </c>
      <c r="U9" s="5">
        <f t="shared" si="5"/>
        <v>0.9339737175853996</v>
      </c>
      <c r="V9" s="14"/>
      <c r="W9" s="3">
        <f t="shared" si="1"/>
        <v>1.0009561261833024</v>
      </c>
      <c r="X9" s="3">
        <f t="shared" si="6"/>
        <v>3.0931656256304216E-2</v>
      </c>
    </row>
    <row r="10" spans="1:25" ht="15.6" x14ac:dyDescent="0.3">
      <c r="A10" s="1" t="s">
        <v>23</v>
      </c>
      <c r="B10" s="1">
        <v>60</v>
      </c>
      <c r="C10" s="12">
        <f>+'Flow rate'!E9</f>
        <v>60.853023999999998</v>
      </c>
      <c r="D10" s="1" t="s">
        <v>27</v>
      </c>
      <c r="E10" s="1" t="s">
        <v>26</v>
      </c>
      <c r="F10" s="1" t="s">
        <v>24</v>
      </c>
      <c r="G10" s="1">
        <v>-0.27</v>
      </c>
      <c r="H10" s="15">
        <v>45453.800115740742</v>
      </c>
      <c r="I10" s="2">
        <f t="shared" si="7"/>
        <v>3.6488416667561978</v>
      </c>
      <c r="J10" s="21">
        <v>0.24005213650475676</v>
      </c>
      <c r="K10" s="21">
        <v>3.2965516669235768</v>
      </c>
      <c r="L10" s="21">
        <v>103.26034655905679</v>
      </c>
      <c r="N10" s="21">
        <v>0.10501426426494419</v>
      </c>
      <c r="O10" s="21">
        <v>1.9040229679391098E-2</v>
      </c>
      <c r="P10" s="3">
        <f t="shared" si="8"/>
        <v>2.2451354327158832E-3</v>
      </c>
      <c r="Q10" s="3">
        <f t="shared" si="9"/>
        <v>3.083165624331809E-2</v>
      </c>
      <c r="R10" s="3">
        <f t="shared" si="10"/>
        <v>0.96576296395373296</v>
      </c>
      <c r="S10" s="3">
        <f t="shared" si="11"/>
        <v>9.8216682873448883E-4</v>
      </c>
      <c r="T10" s="4">
        <f t="shared" si="4"/>
        <v>6.6971992107551503E-2</v>
      </c>
      <c r="U10" s="5">
        <f t="shared" si="5"/>
        <v>0.9197028421988932</v>
      </c>
      <c r="V10" s="14"/>
      <c r="W10" s="3">
        <f t="shared" si="1"/>
        <v>0.98667483430644465</v>
      </c>
      <c r="X10" s="3">
        <f t="shared" si="6"/>
        <v>3.0937008507252346E-2</v>
      </c>
      <c r="Y10">
        <f t="shared" ref="Y10" si="15">+SUM(K10:L10)</f>
        <v>106.55689822598036</v>
      </c>
    </row>
    <row r="11" spans="1:25" ht="15.6" x14ac:dyDescent="0.3">
      <c r="A11" s="1" t="s">
        <v>23</v>
      </c>
      <c r="B11" s="1">
        <v>60</v>
      </c>
      <c r="C11" s="12">
        <f>+'Flow rate'!E10</f>
        <v>62.502867999999999</v>
      </c>
      <c r="D11" s="1" t="s">
        <v>27</v>
      </c>
      <c r="E11" s="1" t="s">
        <v>26</v>
      </c>
      <c r="F11" s="1" t="s">
        <v>24</v>
      </c>
      <c r="G11" s="1">
        <v>-0.27</v>
      </c>
      <c r="H11" s="15">
        <v>45453.810543981483</v>
      </c>
      <c r="I11" s="2">
        <f t="shared" si="7"/>
        <v>3.8991194445407018</v>
      </c>
      <c r="J11" s="21">
        <v>0.24404440502322478</v>
      </c>
      <c r="K11" s="21">
        <v>3.281115795417064</v>
      </c>
      <c r="L11" s="21">
        <v>103.17251383843643</v>
      </c>
      <c r="N11" s="21">
        <v>0.10392708909024573</v>
      </c>
      <c r="O11" s="21">
        <v>1.7976099343093667E-2</v>
      </c>
      <c r="P11" s="3">
        <f t="shared" si="8"/>
        <v>2.2846411805572202E-3</v>
      </c>
      <c r="Q11" s="3">
        <f t="shared" si="9"/>
        <v>3.071642746193342E-2</v>
      </c>
      <c r="R11" s="3">
        <f t="shared" si="10"/>
        <v>0.96585772492702593</v>
      </c>
      <c r="S11" s="3">
        <f t="shared" si="11"/>
        <v>9.7292174138726307E-4</v>
      </c>
      <c r="T11" s="4">
        <f t="shared" si="4"/>
        <v>6.9998132767901802E-2</v>
      </c>
      <c r="U11" s="5">
        <f t="shared" si="5"/>
        <v>0.94110733271105462</v>
      </c>
      <c r="V11" s="14"/>
      <c r="W11" s="3">
        <f t="shared" si="1"/>
        <v>1.0111054654789564</v>
      </c>
      <c r="X11" s="3">
        <f t="shared" si="6"/>
        <v>3.0822019002099209E-2</v>
      </c>
    </row>
    <row r="12" spans="1:25" ht="15.6" x14ac:dyDescent="0.3">
      <c r="A12" s="1" t="s">
        <v>23</v>
      </c>
      <c r="B12" s="1">
        <v>60</v>
      </c>
      <c r="C12" s="12">
        <f>+'Flow rate'!E11</f>
        <v>62.211035000000003</v>
      </c>
      <c r="D12" s="1" t="s">
        <v>27</v>
      </c>
      <c r="E12" s="1" t="s">
        <v>26</v>
      </c>
      <c r="F12" s="1" t="s">
        <v>24</v>
      </c>
      <c r="G12" s="1">
        <v>-0.52</v>
      </c>
      <c r="H12" s="15">
        <v>45453.820960648147</v>
      </c>
      <c r="I12" s="2">
        <f t="shared" si="7"/>
        <v>4.1491194444824941</v>
      </c>
      <c r="J12" s="21">
        <v>0.30371371590935758</v>
      </c>
      <c r="K12" s="21">
        <v>4.7572760244858117</v>
      </c>
      <c r="L12" s="21">
        <v>101.32900114043821</v>
      </c>
      <c r="N12" s="21">
        <v>0.12308724712381647</v>
      </c>
      <c r="O12" s="21">
        <v>3.8546059152755933E-3</v>
      </c>
      <c r="P12" s="3">
        <f t="shared" si="8"/>
        <v>2.8513186412170914E-3</v>
      </c>
      <c r="Q12" s="3">
        <f t="shared" si="9"/>
        <v>4.4662157484121709E-2</v>
      </c>
      <c r="R12" s="3">
        <f t="shared" si="10"/>
        <v>0.95129477107272631</v>
      </c>
      <c r="S12" s="3">
        <f t="shared" si="11"/>
        <v>1.1555650727508662E-3</v>
      </c>
      <c r="T12" s="4">
        <f t="shared" si="4"/>
        <v>4.5148373517428869E-2</v>
      </c>
      <c r="U12" s="5">
        <f t="shared" si="5"/>
        <v>0.70718990821967331</v>
      </c>
      <c r="V12" s="14"/>
      <c r="W12" s="3">
        <f t="shared" si="1"/>
        <v>0.75233828173710215</v>
      </c>
      <c r="X12" s="3">
        <f t="shared" si="6"/>
        <v>4.4843462808012838E-2</v>
      </c>
      <c r="Y12">
        <f t="shared" ref="Y12" si="16">+SUM(K12:L12)</f>
        <v>106.08627716492401</v>
      </c>
    </row>
    <row r="13" spans="1:25" ht="15.6" x14ac:dyDescent="0.3">
      <c r="A13" s="1" t="s">
        <v>23</v>
      </c>
      <c r="B13" s="1">
        <v>60</v>
      </c>
      <c r="C13" s="12">
        <f>+'Flow rate'!E12</f>
        <v>62.117305000000002</v>
      </c>
      <c r="D13" s="1" t="s">
        <v>27</v>
      </c>
      <c r="E13" s="1" t="s">
        <v>26</v>
      </c>
      <c r="F13" s="1" t="s">
        <v>24</v>
      </c>
      <c r="G13" s="1">
        <v>-0.52</v>
      </c>
      <c r="H13" s="15">
        <v>45453.831388888888</v>
      </c>
      <c r="I13" s="2">
        <f t="shared" si="7"/>
        <v>4.3993972222669981</v>
      </c>
      <c r="J13" s="21">
        <v>0.35400554069246004</v>
      </c>
      <c r="K13" s="21">
        <v>5.8369070741090692</v>
      </c>
      <c r="L13" s="21">
        <v>99.659132759380867</v>
      </c>
      <c r="N13" s="21">
        <v>0.13295898270061285</v>
      </c>
      <c r="O13" s="21">
        <v>0</v>
      </c>
      <c r="P13" s="3">
        <f t="shared" si="8"/>
        <v>3.3402104690332768E-3</v>
      </c>
      <c r="Q13" s="3">
        <f t="shared" si="9"/>
        <v>5.5073991434080288E-2</v>
      </c>
      <c r="R13" s="3">
        <f t="shared" si="10"/>
        <v>0.94033126692457791</v>
      </c>
      <c r="S13" s="3">
        <f t="shared" si="11"/>
        <v>1.2545311723084578E-3</v>
      </c>
      <c r="T13" s="4">
        <f t="shared" si="4"/>
        <v>5.2809902712314838E-2</v>
      </c>
      <c r="U13" s="5">
        <f t="shared" si="5"/>
        <v>0.87073918143080509</v>
      </c>
      <c r="V13" s="14"/>
      <c r="W13" s="3">
        <f t="shared" si="1"/>
        <v>0.92354908414311998</v>
      </c>
      <c r="X13" s="3">
        <f t="shared" si="6"/>
        <v>5.532821026572915E-2</v>
      </c>
    </row>
    <row r="14" spans="1:25" ht="15.6" x14ac:dyDescent="0.3">
      <c r="A14" s="1" t="s">
        <v>23</v>
      </c>
      <c r="B14" s="1">
        <v>60</v>
      </c>
      <c r="C14" s="12">
        <f>+'Flow rate'!E13</f>
        <v>61.599269</v>
      </c>
      <c r="D14" s="1" t="s">
        <v>27</v>
      </c>
      <c r="E14" s="1" t="s">
        <v>26</v>
      </c>
      <c r="F14" s="1" t="s">
        <v>24</v>
      </c>
      <c r="G14" s="1">
        <v>-0.52</v>
      </c>
      <c r="H14" s="15">
        <v>45453.841805555552</v>
      </c>
      <c r="I14" s="2">
        <f t="shared" si="7"/>
        <v>4.6493972222087905</v>
      </c>
      <c r="J14" s="21">
        <v>0.37707115099098798</v>
      </c>
      <c r="K14" s="21">
        <v>5.9697899619531114</v>
      </c>
      <c r="L14" s="21">
        <v>99.546983615710715</v>
      </c>
      <c r="N14" s="21">
        <v>0.14551059085299631</v>
      </c>
      <c r="O14" s="21">
        <v>1.9100766083892426E-2</v>
      </c>
      <c r="P14" s="3">
        <f t="shared" si="8"/>
        <v>3.5553143512355354E-3</v>
      </c>
      <c r="Q14" s="3">
        <f t="shared" si="9"/>
        <v>5.6287732089323916E-2</v>
      </c>
      <c r="R14" s="3">
        <f t="shared" si="10"/>
        <v>0.9386048721600655</v>
      </c>
      <c r="S14" s="3">
        <f t="shared" si="11"/>
        <v>1.3719848112399996E-3</v>
      </c>
      <c r="T14" s="4">
        <f t="shared" si="4"/>
        <v>5.5741993143401627E-2</v>
      </c>
      <c r="U14" s="5">
        <f t="shared" si="5"/>
        <v>0.88250716145264407</v>
      </c>
      <c r="V14" s="14"/>
      <c r="W14" s="3">
        <f t="shared" si="1"/>
        <v>0.93824915459604574</v>
      </c>
      <c r="X14" s="3">
        <f t="shared" si="6"/>
        <v>5.6576691643809116E-2</v>
      </c>
      <c r="Y14">
        <f t="shared" ref="Y14" si="17">+SUM(K14:L14)</f>
        <v>105.51677357766383</v>
      </c>
    </row>
    <row r="15" spans="1:25" ht="15.6" x14ac:dyDescent="0.3">
      <c r="A15" s="1" t="s">
        <v>23</v>
      </c>
      <c r="B15" s="1">
        <v>60</v>
      </c>
      <c r="C15" s="12">
        <f>+'Flow rate'!E14</f>
        <v>61.04486</v>
      </c>
      <c r="D15" s="1" t="s">
        <v>27</v>
      </c>
      <c r="E15" s="1" t="s">
        <v>26</v>
      </c>
      <c r="F15" s="1" t="s">
        <v>24</v>
      </c>
      <c r="G15" s="1">
        <v>-0.52</v>
      </c>
      <c r="H15" s="15">
        <v>45453.852222222224</v>
      </c>
      <c r="I15" s="2">
        <f t="shared" si="7"/>
        <v>4.8993972223252058</v>
      </c>
      <c r="J15" s="21">
        <v>0.41863950712659559</v>
      </c>
      <c r="K15" s="21">
        <v>5.9904586224614631</v>
      </c>
      <c r="L15" s="21">
        <v>99.48067461851241</v>
      </c>
      <c r="N15" s="21">
        <v>0.13740444768196855</v>
      </c>
      <c r="O15" s="21">
        <v>2.102719733285329E-3</v>
      </c>
      <c r="P15" s="3">
        <f t="shared" si="8"/>
        <v>3.9483386802227471E-3</v>
      </c>
      <c r="Q15" s="3">
        <f t="shared" si="9"/>
        <v>5.6498154351653319E-2</v>
      </c>
      <c r="R15" s="3">
        <f t="shared" si="10"/>
        <v>0.93823776505677248</v>
      </c>
      <c r="S15" s="3">
        <f t="shared" si="11"/>
        <v>1.29591041070403E-3</v>
      </c>
      <c r="T15" s="4">
        <f t="shared" si="4"/>
        <v>6.1346872884523056E-2</v>
      </c>
      <c r="U15" s="5">
        <f t="shared" si="5"/>
        <v>0.8778337862914799</v>
      </c>
      <c r="V15" s="14"/>
      <c r="W15" s="3">
        <f t="shared" si="1"/>
        <v>0.93918065917600291</v>
      </c>
      <c r="X15" s="3">
        <f t="shared" si="6"/>
        <v>5.6797139069083825E-2</v>
      </c>
    </row>
    <row r="16" spans="1:25" ht="15.6" x14ac:dyDescent="0.3">
      <c r="A16" s="1" t="s">
        <v>23</v>
      </c>
      <c r="B16" s="1">
        <v>60</v>
      </c>
      <c r="C16" s="12">
        <f>+'Flow rate'!E15</f>
        <v>60.767175000000002</v>
      </c>
      <c r="D16" s="1" t="s">
        <v>27</v>
      </c>
      <c r="E16" s="1" t="s">
        <v>26</v>
      </c>
      <c r="F16" s="1" t="s">
        <v>24</v>
      </c>
      <c r="G16" s="1">
        <v>-0.52</v>
      </c>
      <c r="H16" s="15">
        <v>45453.862650462965</v>
      </c>
      <c r="I16" s="2">
        <f t="shared" si="7"/>
        <v>5.1496750001097098</v>
      </c>
      <c r="J16" s="21">
        <v>0.40611877819025266</v>
      </c>
      <c r="K16" s="21">
        <v>5.9885985775565977</v>
      </c>
      <c r="L16" s="21">
        <v>99.538799226797437</v>
      </c>
      <c r="N16" s="21">
        <v>0.14034461143430893</v>
      </c>
      <c r="O16" s="21">
        <v>1.0068289895839324E-2</v>
      </c>
      <c r="P16" s="3">
        <f t="shared" si="8"/>
        <v>3.8282780451867194E-3</v>
      </c>
      <c r="Q16" s="3">
        <f t="shared" si="9"/>
        <v>5.6451515386851406E-2</v>
      </c>
      <c r="R16" s="3">
        <f t="shared" si="10"/>
        <v>0.9383023395822464</v>
      </c>
      <c r="S16" s="3">
        <f t="shared" si="11"/>
        <v>1.3229582663191446E-3</v>
      </c>
      <c r="T16" s="4">
        <f t="shared" si="4"/>
        <v>5.9210870899813507E-2</v>
      </c>
      <c r="U16" s="5">
        <f t="shared" si="5"/>
        <v>0.87311928501960878</v>
      </c>
      <c r="V16" s="14"/>
      <c r="W16" s="3">
        <f t="shared" si="1"/>
        <v>0.93233015591942225</v>
      </c>
      <c r="X16" s="3">
        <f t="shared" si="6"/>
        <v>5.6749230078233855E-2</v>
      </c>
      <c r="Y16">
        <f t="shared" ref="Y16" si="18">+SUM(K16:L16)</f>
        <v>105.52739780435404</v>
      </c>
    </row>
    <row r="17" spans="1:25" ht="15.6" x14ac:dyDescent="0.3">
      <c r="A17" s="1" t="s">
        <v>23</v>
      </c>
      <c r="B17" s="1">
        <v>60</v>
      </c>
      <c r="C17" s="12">
        <f>+'Flow rate'!E16</f>
        <v>61.270693000000001</v>
      </c>
      <c r="D17" s="1" t="s">
        <v>27</v>
      </c>
      <c r="E17" s="1" t="s">
        <v>26</v>
      </c>
      <c r="F17" s="1" t="s">
        <v>24</v>
      </c>
      <c r="G17" s="1">
        <v>-0.52</v>
      </c>
      <c r="H17" s="15">
        <v>45453.873067129629</v>
      </c>
      <c r="I17" s="2">
        <f t="shared" si="7"/>
        <v>5.3996750000515021</v>
      </c>
      <c r="J17" s="21">
        <v>0.41969212256002858</v>
      </c>
      <c r="K17" s="21">
        <v>5.9902538732815023</v>
      </c>
      <c r="L17" s="21">
        <v>99.485591667909432</v>
      </c>
      <c r="N17" s="21">
        <v>0.13988047491230141</v>
      </c>
      <c r="O17" s="21">
        <v>5.0447847179226103E-3</v>
      </c>
      <c r="P17" s="3">
        <f t="shared" si="8"/>
        <v>3.957848834206564E-3</v>
      </c>
      <c r="Q17" s="3">
        <f t="shared" si="9"/>
        <v>5.6490265207628523E-2</v>
      </c>
      <c r="R17" s="3">
        <f t="shared" si="10"/>
        <v>0.93818518823132702</v>
      </c>
      <c r="S17" s="3">
        <f t="shared" si="11"/>
        <v>1.3191235784529825E-3</v>
      </c>
      <c r="T17" s="4">
        <f t="shared" si="4"/>
        <v>6.1722132771396897E-2</v>
      </c>
      <c r="U17" s="5">
        <f t="shared" si="5"/>
        <v>0.88095826684994027</v>
      </c>
      <c r="V17" s="14"/>
      <c r="W17" s="3">
        <f t="shared" si="1"/>
        <v>0.94268039962133721</v>
      </c>
      <c r="X17" s="3">
        <f t="shared" si="6"/>
        <v>5.6792660372105376E-2</v>
      </c>
    </row>
    <row r="18" spans="1:25" ht="15.6" x14ac:dyDescent="0.3">
      <c r="A18" s="1" t="s">
        <v>23</v>
      </c>
      <c r="B18" s="1">
        <v>60</v>
      </c>
      <c r="C18" s="12">
        <f>+'Flow rate'!E17</f>
        <v>61.714151999999999</v>
      </c>
      <c r="D18" s="1" t="s">
        <v>27</v>
      </c>
      <c r="E18" s="1" t="s">
        <v>26</v>
      </c>
      <c r="F18" s="1" t="s">
        <v>24</v>
      </c>
      <c r="G18" s="1">
        <v>-0.52</v>
      </c>
      <c r="H18" s="15">
        <v>45453.88349537037</v>
      </c>
      <c r="I18" s="2">
        <f t="shared" si="7"/>
        <v>5.6499527778360061</v>
      </c>
      <c r="J18" s="21">
        <v>0.42933643693188039</v>
      </c>
      <c r="K18" s="21">
        <v>5.9885394839561785</v>
      </c>
      <c r="L18" s="21">
        <v>99.53539015358443</v>
      </c>
      <c r="N18" s="21">
        <v>0.14502084025619222</v>
      </c>
      <c r="O18" s="21">
        <v>9.232252646023122E-3</v>
      </c>
      <c r="P18" s="3">
        <f t="shared" si="8"/>
        <v>4.0462395153602849E-3</v>
      </c>
      <c r="Q18" s="3">
        <f t="shared" si="9"/>
        <v>5.6438408238626482E-2</v>
      </c>
      <c r="R18" s="3">
        <f t="shared" si="10"/>
        <v>0.93806160896643553</v>
      </c>
      <c r="S18" s="3">
        <f t="shared" si="11"/>
        <v>1.3667348119546115E-3</v>
      </c>
      <c r="T18" s="4">
        <f t="shared" si="4"/>
        <v>6.3557276966999518E-2</v>
      </c>
      <c r="U18" s="5">
        <f t="shared" si="5"/>
        <v>0.88651982424218168</v>
      </c>
      <c r="V18" s="14"/>
      <c r="W18" s="3">
        <f t="shared" si="1"/>
        <v>0.95007710120918121</v>
      </c>
      <c r="X18" s="3">
        <f t="shared" si="6"/>
        <v>5.6750535205862249E-2</v>
      </c>
      <c r="Y18">
        <f t="shared" ref="Y18" si="19">+SUM(K18:L18)</f>
        <v>105.5239296375406</v>
      </c>
    </row>
    <row r="19" spans="1:25" ht="15.6" x14ac:dyDescent="0.3">
      <c r="A19" s="1" t="s">
        <v>23</v>
      </c>
      <c r="B19" s="1">
        <v>60</v>
      </c>
      <c r="C19" s="12">
        <f>+'Flow rate'!E18</f>
        <v>62.083005999999997</v>
      </c>
      <c r="D19" s="1" t="s">
        <v>27</v>
      </c>
      <c r="E19" s="1" t="s">
        <v>26</v>
      </c>
      <c r="F19" s="1" t="s">
        <v>24</v>
      </c>
      <c r="G19" s="1">
        <v>-0.52</v>
      </c>
      <c r="H19" s="15">
        <v>45453.893923611111</v>
      </c>
      <c r="I19" s="2">
        <f t="shared" si="7"/>
        <v>5.9002305556205101</v>
      </c>
      <c r="J19" s="21">
        <v>0.46490510934193369</v>
      </c>
      <c r="K19" s="21">
        <v>5.9729468777256693</v>
      </c>
      <c r="L19" s="21">
        <v>99.511660223592415</v>
      </c>
      <c r="N19" s="21">
        <v>0.13816006288846622</v>
      </c>
      <c r="O19" s="21">
        <v>0</v>
      </c>
      <c r="P19" s="3">
        <f t="shared" si="8"/>
        <v>4.3822726936940393E-3</v>
      </c>
      <c r="Q19" s="3">
        <f t="shared" si="9"/>
        <v>5.6301988249156283E-2</v>
      </c>
      <c r="R19" s="3">
        <f t="shared" si="10"/>
        <v>0.93801341938203975</v>
      </c>
      <c r="S19" s="3">
        <f t="shared" si="11"/>
        <v>1.3023196751100227E-3</v>
      </c>
      <c r="T19" s="4">
        <f t="shared" si="4"/>
        <v>6.9247016215359336E-2</v>
      </c>
      <c r="U19" s="5">
        <f t="shared" si="5"/>
        <v>0.88966273113411565</v>
      </c>
      <c r="V19" s="14"/>
      <c r="W19" s="3">
        <f t="shared" si="1"/>
        <v>0.95890974734947498</v>
      </c>
      <c r="X19" s="3">
        <f t="shared" si="6"/>
        <v>5.662387187913253E-2</v>
      </c>
    </row>
    <row r="20" spans="1:25" ht="15.6" x14ac:dyDescent="0.3">
      <c r="A20" s="1" t="s">
        <v>23</v>
      </c>
      <c r="B20" s="1">
        <v>60</v>
      </c>
      <c r="C20" s="12">
        <f>+'Flow rate'!E19</f>
        <v>62.144350000000003</v>
      </c>
      <c r="D20" s="1" t="s">
        <v>27</v>
      </c>
      <c r="E20" s="1" t="s">
        <v>26</v>
      </c>
      <c r="F20" s="1" t="s">
        <v>24</v>
      </c>
      <c r="G20" s="1">
        <v>-0.77</v>
      </c>
      <c r="H20" s="15">
        <v>45453.904340277775</v>
      </c>
      <c r="I20" s="2">
        <f t="shared" si="7"/>
        <v>6.1502305555623025</v>
      </c>
      <c r="J20" s="21">
        <v>0.65984913867211425</v>
      </c>
      <c r="K20" s="21">
        <v>7.1394219326492392</v>
      </c>
      <c r="L20" s="21">
        <v>97.779715484136574</v>
      </c>
      <c r="N20" s="21">
        <v>0.16435851805814594</v>
      </c>
      <c r="O20" s="21">
        <v>1.7753260597795709E-2</v>
      </c>
      <c r="P20" s="3">
        <f t="shared" si="8"/>
        <v>6.2390533860338694E-3</v>
      </c>
      <c r="Q20" s="3">
        <f t="shared" si="9"/>
        <v>6.7505179551887992E-2</v>
      </c>
      <c r="R20" s="3">
        <f t="shared" si="10"/>
        <v>0.92453385057743043</v>
      </c>
      <c r="S20" s="3">
        <f t="shared" si="11"/>
        <v>1.5540545687121625E-3</v>
      </c>
      <c r="T20" s="4">
        <f t="shared" si="4"/>
        <v>6.664412945996423E-2</v>
      </c>
      <c r="U20" s="5">
        <f t="shared" si="5"/>
        <v>0.7210747603706642</v>
      </c>
      <c r="V20" s="14"/>
      <c r="W20" s="3">
        <f t="shared" si="1"/>
        <v>0.78771888983062843</v>
      </c>
      <c r="X20" s="3">
        <f t="shared" si="6"/>
        <v>6.8046898863533892E-2</v>
      </c>
      <c r="Y20">
        <f t="shared" ref="Y20" si="20">+SUM(K20:L20)</f>
        <v>104.91913741678582</v>
      </c>
    </row>
    <row r="21" spans="1:25" ht="15.6" x14ac:dyDescent="0.3">
      <c r="A21" s="1" t="s">
        <v>23</v>
      </c>
      <c r="B21" s="1">
        <v>60</v>
      </c>
      <c r="C21" s="12">
        <f>+'Flow rate'!E20</f>
        <v>61.449089000000001</v>
      </c>
      <c r="D21" s="1" t="s">
        <v>27</v>
      </c>
      <c r="E21" s="1" t="s">
        <v>26</v>
      </c>
      <c r="F21" s="1" t="s">
        <v>24</v>
      </c>
      <c r="G21" s="1">
        <v>-0.77</v>
      </c>
      <c r="H21" s="15">
        <v>45453.914768518516</v>
      </c>
      <c r="I21" s="2">
        <f t="shared" si="7"/>
        <v>6.4005083333468065</v>
      </c>
      <c r="J21" s="21">
        <v>0.8359624531652724</v>
      </c>
      <c r="K21" s="21">
        <v>8.0993791253771033</v>
      </c>
      <c r="L21" s="21">
        <v>96.198543116100581</v>
      </c>
      <c r="N21" s="21">
        <v>0.1782150210209969</v>
      </c>
      <c r="O21" s="21">
        <v>0</v>
      </c>
      <c r="P21" s="3">
        <f t="shared" si="8"/>
        <v>7.9379525754620633E-3</v>
      </c>
      <c r="Q21" s="3">
        <f t="shared" si="9"/>
        <v>7.6908343364579343E-2</v>
      </c>
      <c r="R21" s="3">
        <f t="shared" si="10"/>
        <v>0.91346144817006392</v>
      </c>
      <c r="S21" s="3">
        <f t="shared" si="11"/>
        <v>1.6922558898945727E-3</v>
      </c>
      <c r="T21" s="4">
        <f t="shared" si="4"/>
        <v>8.3842746493889023E-2</v>
      </c>
      <c r="U21" s="5">
        <f t="shared" si="5"/>
        <v>0.81232618545923363</v>
      </c>
      <c r="V21" s="14"/>
      <c r="W21" s="3">
        <f t="shared" si="1"/>
        <v>0.89616893195312264</v>
      </c>
      <c r="X21" s="3">
        <f t="shared" si="6"/>
        <v>7.7656188649902994E-2</v>
      </c>
    </row>
    <row r="22" spans="1:25" ht="15.6" x14ac:dyDescent="0.3">
      <c r="A22" s="1" t="s">
        <v>23</v>
      </c>
      <c r="B22" s="1">
        <v>60</v>
      </c>
      <c r="C22" s="12">
        <f>+'Flow rate'!E21</f>
        <v>62.116956000000002</v>
      </c>
      <c r="D22" s="1" t="s">
        <v>27</v>
      </c>
      <c r="E22" s="1" t="s">
        <v>26</v>
      </c>
      <c r="F22" s="1" t="s">
        <v>24</v>
      </c>
      <c r="G22" s="1">
        <v>-0.77</v>
      </c>
      <c r="H22" s="15">
        <v>45453.925196759257</v>
      </c>
      <c r="I22" s="2">
        <f t="shared" si="7"/>
        <v>6.6507861111313105</v>
      </c>
      <c r="J22" s="21">
        <v>0.87528954207988607</v>
      </c>
      <c r="K22" s="21">
        <v>8.2119202013874375</v>
      </c>
      <c r="L22" s="21">
        <v>96.074028569212985</v>
      </c>
      <c r="N22" s="21">
        <v>0.1836357181834963</v>
      </c>
      <c r="O22" s="21">
        <v>8.0134846918786078E-3</v>
      </c>
      <c r="P22" s="3">
        <f t="shared" si="8"/>
        <v>8.3081685060663081E-3</v>
      </c>
      <c r="Q22" s="3">
        <f t="shared" si="9"/>
        <v>7.7946797615536856E-2</v>
      </c>
      <c r="R22" s="3">
        <f t="shared" si="10"/>
        <v>0.91192591712331905</v>
      </c>
      <c r="S22" s="3">
        <f t="shared" si="11"/>
        <v>1.7430534892209947E-3</v>
      </c>
      <c r="T22" s="4">
        <f t="shared" si="4"/>
        <v>8.8706819695662076E-2</v>
      </c>
      <c r="U22" s="5">
        <f t="shared" si="5"/>
        <v>0.83224269186247857</v>
      </c>
      <c r="V22" s="14"/>
      <c r="W22" s="3">
        <f t="shared" si="1"/>
        <v>0.92094951155814064</v>
      </c>
      <c r="X22" s="3">
        <f t="shared" si="6"/>
        <v>7.8744263231965581E-2</v>
      </c>
      <c r="Y22">
        <f t="shared" ref="Y22" si="21">+SUM(K22:L22)</f>
        <v>104.28594877060043</v>
      </c>
    </row>
    <row r="23" spans="1:25" ht="15.6" x14ac:dyDescent="0.3">
      <c r="A23" s="1" t="s">
        <v>23</v>
      </c>
      <c r="B23" s="1">
        <v>60</v>
      </c>
      <c r="C23" s="12">
        <f>+'Flow rate'!E22</f>
        <v>61.278238999999999</v>
      </c>
      <c r="D23" s="1" t="s">
        <v>27</v>
      </c>
      <c r="E23" s="1" t="s">
        <v>26</v>
      </c>
      <c r="F23" s="1" t="s">
        <v>24</v>
      </c>
      <c r="G23" s="1">
        <v>-0.77</v>
      </c>
      <c r="H23" s="15">
        <v>45453.935624999998</v>
      </c>
      <c r="I23" s="2">
        <f t="shared" si="7"/>
        <v>6.9010638889158145</v>
      </c>
      <c r="J23" s="21">
        <v>0.88875659533562812</v>
      </c>
      <c r="K23" s="21">
        <v>8.2647808042493978</v>
      </c>
      <c r="L23" s="21">
        <v>95.935566077235947</v>
      </c>
      <c r="N23" s="21">
        <v>0.18250514138205989</v>
      </c>
      <c r="O23" s="21">
        <v>0</v>
      </c>
      <c r="P23" s="3">
        <f t="shared" si="8"/>
        <v>8.4425098751834664E-3</v>
      </c>
      <c r="Q23" s="3">
        <f t="shared" si="9"/>
        <v>7.8509114781592615E-2</v>
      </c>
      <c r="R23" s="3">
        <f t="shared" si="10"/>
        <v>0.91131471568153888</v>
      </c>
      <c r="S23" s="3">
        <f t="shared" si="11"/>
        <v>1.7336596616849076E-3</v>
      </c>
      <c r="T23" s="4">
        <f t="shared" si="4"/>
        <v>8.8924084183006707E-2</v>
      </c>
      <c r="U23" s="5">
        <f t="shared" si="5"/>
        <v>0.82692839394753614</v>
      </c>
      <c r="V23" s="14"/>
      <c r="W23" s="3">
        <f t="shared" si="1"/>
        <v>0.91585247813054282</v>
      </c>
      <c r="X23" s="3">
        <f t="shared" si="6"/>
        <v>7.9316250392616597E-2</v>
      </c>
    </row>
    <row r="24" spans="1:25" ht="15.6" x14ac:dyDescent="0.3">
      <c r="A24" s="1" t="s">
        <v>23</v>
      </c>
      <c r="B24" s="1">
        <v>60</v>
      </c>
      <c r="C24" s="12">
        <f>+'Flow rate'!E23</f>
        <v>62.053651000000002</v>
      </c>
      <c r="D24" s="1" t="s">
        <v>27</v>
      </c>
      <c r="E24" s="1" t="s">
        <v>26</v>
      </c>
      <c r="F24" s="1" t="s">
        <v>24</v>
      </c>
      <c r="G24" s="1">
        <v>-0.77</v>
      </c>
      <c r="H24" s="15">
        <v>45453.946053240739</v>
      </c>
      <c r="I24" s="2">
        <f t="shared" si="7"/>
        <v>7.1513416667003185</v>
      </c>
      <c r="J24" s="21">
        <v>0.92496524875941322</v>
      </c>
      <c r="K24" s="21">
        <v>8.2225088067311187</v>
      </c>
      <c r="L24" s="21">
        <v>95.993570232205258</v>
      </c>
      <c r="N24" s="21">
        <v>0.186395871910181</v>
      </c>
      <c r="O24" s="21">
        <v>0</v>
      </c>
      <c r="P24" s="3">
        <f t="shared" si="8"/>
        <v>8.7818069760148398E-3</v>
      </c>
      <c r="Q24" s="3">
        <f t="shared" si="9"/>
        <v>7.8066160102925636E-2</v>
      </c>
      <c r="R24" s="3">
        <f t="shared" si="10"/>
        <v>0.91138235284882263</v>
      </c>
      <c r="S24" s="3">
        <f t="shared" si="11"/>
        <v>1.7696800722369166E-3</v>
      </c>
      <c r="T24" s="4">
        <f t="shared" si="4"/>
        <v>9.3668329196344352E-2</v>
      </c>
      <c r="U24" s="5">
        <f t="shared" si="5"/>
        <v>0.8326676734739249</v>
      </c>
      <c r="V24" s="14"/>
      <c r="W24" s="3">
        <f t="shared" si="1"/>
        <v>0.92633600267026928</v>
      </c>
      <c r="X24" s="3">
        <f t="shared" si="6"/>
        <v>7.8898658273826361E-2</v>
      </c>
      <c r="Y24">
        <f t="shared" ref="Y24" si="22">+SUM(K24:L24)</f>
        <v>104.21607903893637</v>
      </c>
    </row>
    <row r="25" spans="1:25" ht="15.6" x14ac:dyDescent="0.3">
      <c r="A25" s="1" t="s">
        <v>23</v>
      </c>
      <c r="B25" s="1">
        <v>60</v>
      </c>
      <c r="C25" s="12">
        <f>+'Flow rate'!E24</f>
        <v>61.965612</v>
      </c>
      <c r="D25" s="1" t="s">
        <v>27</v>
      </c>
      <c r="E25" s="1" t="s">
        <v>26</v>
      </c>
      <c r="F25" s="1" t="s">
        <v>24</v>
      </c>
      <c r="G25" s="1">
        <v>-0.77</v>
      </c>
      <c r="H25" s="15">
        <v>45453.956493055557</v>
      </c>
      <c r="I25" s="2">
        <f t="shared" si="7"/>
        <v>7.4018972223275341</v>
      </c>
      <c r="J25" s="21">
        <v>0.95654090299520977</v>
      </c>
      <c r="K25" s="21">
        <v>8.2118789993800707</v>
      </c>
      <c r="L25" s="21">
        <v>95.992606174366628</v>
      </c>
      <c r="N25" s="21">
        <v>0.18316541531014865</v>
      </c>
      <c r="O25" s="21">
        <v>0</v>
      </c>
      <c r="P25" s="3">
        <f t="shared" si="8"/>
        <v>9.0801485060272961E-3</v>
      </c>
      <c r="Q25" s="3">
        <f t="shared" si="9"/>
        <v>7.795284090247763E-2</v>
      </c>
      <c r="R25" s="3">
        <f t="shared" si="10"/>
        <v>0.91122827765600178</v>
      </c>
      <c r="S25" s="3">
        <f t="shared" si="11"/>
        <v>1.7387329354933445E-3</v>
      </c>
      <c r="T25" s="4">
        <f t="shared" si="4"/>
        <v>9.6713086261208697E-2</v>
      </c>
      <c r="U25" s="5">
        <f t="shared" si="5"/>
        <v>0.8302793529756981</v>
      </c>
      <c r="V25" s="14"/>
      <c r="W25" s="3">
        <f t="shared" si="1"/>
        <v>0.92699243923690677</v>
      </c>
      <c r="X25" s="3">
        <f t="shared" si="6"/>
        <v>7.8805427479324786E-2</v>
      </c>
    </row>
    <row r="26" spans="1:25" ht="15.6" x14ac:dyDescent="0.3">
      <c r="A26" s="1" t="s">
        <v>23</v>
      </c>
      <c r="B26" s="1">
        <v>60</v>
      </c>
      <c r="C26" s="12">
        <f>+'Flow rate'!E25</f>
        <v>62.658431</v>
      </c>
      <c r="D26" s="1" t="s">
        <v>27</v>
      </c>
      <c r="E26" s="1" t="s">
        <v>26</v>
      </c>
      <c r="F26" s="1" t="s">
        <v>24</v>
      </c>
      <c r="G26" s="1">
        <v>-0.77</v>
      </c>
      <c r="H26" s="15">
        <v>45453.966898148145</v>
      </c>
      <c r="I26" s="2">
        <f t="shared" si="7"/>
        <v>7.6516194444266148</v>
      </c>
      <c r="J26" s="21">
        <v>0.98098460635052576</v>
      </c>
      <c r="K26" s="21">
        <v>8.1802830020938213</v>
      </c>
      <c r="L26" s="21">
        <v>95.908278205767189</v>
      </c>
      <c r="N26" s="21">
        <v>0.18270222745757783</v>
      </c>
      <c r="O26" s="21">
        <v>0</v>
      </c>
      <c r="P26" s="3">
        <f t="shared" si="8"/>
        <v>9.3203197518608467E-3</v>
      </c>
      <c r="Q26" s="3">
        <f t="shared" si="9"/>
        <v>7.7720743777893148E-2</v>
      </c>
      <c r="R26" s="3">
        <f t="shared" si="10"/>
        <v>0.91122308539953778</v>
      </c>
      <c r="S26" s="3">
        <f t="shared" si="11"/>
        <v>1.7358510707082137E-3</v>
      </c>
      <c r="T26" s="4">
        <f t="shared" si="4"/>
        <v>0.10038108263510816</v>
      </c>
      <c r="U26" s="5">
        <f t="shared" si="5"/>
        <v>0.83706274155166349</v>
      </c>
      <c r="V26" s="14"/>
      <c r="W26" s="3">
        <f t="shared" si="1"/>
        <v>0.93744382418677163</v>
      </c>
      <c r="X26" s="3">
        <f t="shared" si="6"/>
        <v>7.8589644310272475E-2</v>
      </c>
      <c r="Y26">
        <f t="shared" ref="Y26" si="23">+SUM(K26:L26)</f>
        <v>104.08856120786101</v>
      </c>
    </row>
    <row r="27" spans="1:25" ht="15.6" x14ac:dyDescent="0.3">
      <c r="A27" s="1" t="s">
        <v>23</v>
      </c>
      <c r="B27" s="1">
        <v>60</v>
      </c>
      <c r="C27" s="12">
        <f>+'Flow rate'!E26</f>
        <v>62.228073000000002</v>
      </c>
      <c r="D27" s="1" t="s">
        <v>27</v>
      </c>
      <c r="E27" s="1" t="s">
        <v>26</v>
      </c>
      <c r="F27" s="1" t="s">
        <v>24</v>
      </c>
      <c r="G27" s="1">
        <v>-0.77</v>
      </c>
      <c r="H27" s="15">
        <v>45453.977337962962</v>
      </c>
      <c r="I27" s="2">
        <f t="shared" si="7"/>
        <v>7.9021750000538304</v>
      </c>
      <c r="J27" s="21">
        <v>1.0063119417615221</v>
      </c>
      <c r="K27" s="21">
        <v>8.1715613558229894</v>
      </c>
      <c r="L27" s="21">
        <v>95.868187907725613</v>
      </c>
      <c r="N27" s="21">
        <v>0.18445702874850006</v>
      </c>
      <c r="O27" s="21">
        <v>0</v>
      </c>
      <c r="P27" s="3">
        <f t="shared" si="8"/>
        <v>9.5629286888356483E-3</v>
      </c>
      <c r="Q27" s="3">
        <f t="shared" si="9"/>
        <v>7.7653911554891542E-2</v>
      </c>
      <c r="R27" s="3">
        <f t="shared" si="10"/>
        <v>0.91103027445413809</v>
      </c>
      <c r="S27" s="3">
        <f t="shared" si="11"/>
        <v>1.7528853021347109E-3</v>
      </c>
      <c r="T27" s="4">
        <f t="shared" si="4"/>
        <v>0.10228661754938886</v>
      </c>
      <c r="U27" s="5">
        <f t="shared" si="5"/>
        <v>0.83059868068475251</v>
      </c>
      <c r="V27" s="14"/>
      <c r="W27" s="3">
        <f t="shared" si="1"/>
        <v>0.93288529823414135</v>
      </c>
      <c r="X27" s="3">
        <f t="shared" si="6"/>
        <v>7.8542685979790042E-2</v>
      </c>
    </row>
    <row r="28" spans="1:25" ht="15.6" x14ac:dyDescent="0.3">
      <c r="A28" s="1" t="s">
        <v>23</v>
      </c>
      <c r="B28" s="1">
        <v>60</v>
      </c>
      <c r="C28" s="12">
        <f>+'Flow rate'!E27</f>
        <v>62.151938999999999</v>
      </c>
      <c r="D28" s="1" t="s">
        <v>27</v>
      </c>
      <c r="E28" s="1" t="s">
        <v>26</v>
      </c>
      <c r="F28" s="1" t="s">
        <v>24</v>
      </c>
      <c r="G28" s="1">
        <v>-1.1000000000000001</v>
      </c>
      <c r="H28" s="15">
        <v>45453.987766203703</v>
      </c>
      <c r="I28" s="2">
        <f t="shared" si="7"/>
        <v>8.1524527778383344</v>
      </c>
      <c r="J28" s="21">
        <v>1.5539532892386279</v>
      </c>
      <c r="K28" s="21">
        <v>9.0310563800515702</v>
      </c>
      <c r="L28" s="21">
        <v>94.179216726067693</v>
      </c>
      <c r="N28" s="21">
        <v>0.19712532324162377</v>
      </c>
      <c r="O28" s="21">
        <v>0</v>
      </c>
      <c r="P28" s="3">
        <f t="shared" si="8"/>
        <v>1.4805004544956351E-2</v>
      </c>
      <c r="Q28" s="3">
        <f t="shared" si="9"/>
        <v>8.6041730905521821E-2</v>
      </c>
      <c r="R28" s="3">
        <f t="shared" si="10"/>
        <v>0.89727518923881011</v>
      </c>
      <c r="S28" s="3">
        <f t="shared" si="11"/>
        <v>1.8780753107116518E-3</v>
      </c>
      <c r="T28" s="4">
        <f t="shared" si="4"/>
        <v>0.11071406965131489</v>
      </c>
      <c r="U28" s="5">
        <f t="shared" si="5"/>
        <v>0.64343311475975784</v>
      </c>
      <c r="V28" s="14"/>
      <c r="W28" s="3">
        <f t="shared" si="1"/>
        <v>0.75414718441107276</v>
      </c>
      <c r="X28" s="3">
        <f t="shared" si="6"/>
        <v>8.7501525848749304E-2</v>
      </c>
      <c r="Y28">
        <f t="shared" ref="Y28" si="24">+SUM(K28:L28)</f>
        <v>103.21027310611926</v>
      </c>
    </row>
    <row r="29" spans="1:25" ht="15.6" x14ac:dyDescent="0.3">
      <c r="A29" s="1" t="s">
        <v>23</v>
      </c>
      <c r="B29" s="1">
        <v>60</v>
      </c>
      <c r="C29" s="12">
        <f>+'Flow rate'!E28</f>
        <v>63.949703</v>
      </c>
      <c r="D29" s="1" t="s">
        <v>27</v>
      </c>
      <c r="E29" s="1" t="s">
        <v>26</v>
      </c>
      <c r="F29" s="1" t="s">
        <v>24</v>
      </c>
      <c r="G29" s="1">
        <v>-1.1000000000000001</v>
      </c>
      <c r="H29" s="15">
        <v>45453.998194444444</v>
      </c>
      <c r="I29" s="2">
        <f t="shared" si="7"/>
        <v>8.4027305556228384</v>
      </c>
      <c r="J29" s="21">
        <v>2.0112542240633604</v>
      </c>
      <c r="K29" s="21">
        <v>9.5613925751090623</v>
      </c>
      <c r="L29" s="21">
        <v>92.782710410297227</v>
      </c>
      <c r="N29" s="21">
        <v>0.21578067055108024</v>
      </c>
      <c r="O29" s="21">
        <v>0</v>
      </c>
      <c r="P29" s="3">
        <f t="shared" si="8"/>
        <v>1.9233358886951817E-2</v>
      </c>
      <c r="Q29" s="3">
        <f t="shared" si="9"/>
        <v>9.1434336174856273E-2</v>
      </c>
      <c r="R29" s="3">
        <f t="shared" si="10"/>
        <v>0.88726882284432151</v>
      </c>
      <c r="S29" s="3">
        <f t="shared" si="11"/>
        <v>2.0634820938704454E-3</v>
      </c>
      <c r="T29" s="4">
        <f t="shared" si="4"/>
        <v>0.14799030150601669</v>
      </c>
      <c r="U29" s="5">
        <f t="shared" si="5"/>
        <v>0.70353779899044888</v>
      </c>
      <c r="V29" s="14"/>
      <c r="W29" s="3">
        <f t="shared" si="1"/>
        <v>0.85152810049646555</v>
      </c>
      <c r="X29" s="3">
        <f t="shared" si="6"/>
        <v>9.3423971642728296E-2</v>
      </c>
    </row>
    <row r="30" spans="1:25" ht="15.6" x14ac:dyDescent="0.3">
      <c r="A30" s="1" t="s">
        <v>23</v>
      </c>
      <c r="B30" s="1">
        <v>60</v>
      </c>
      <c r="C30" s="12">
        <f>+'Flow rate'!E29</f>
        <v>63.501631000000003</v>
      </c>
      <c r="D30" s="1" t="s">
        <v>27</v>
      </c>
      <c r="E30" s="1" t="s">
        <v>26</v>
      </c>
      <c r="F30" s="1" t="s">
        <v>24</v>
      </c>
      <c r="G30" s="1">
        <v>-1.1000000000000001</v>
      </c>
      <c r="H30" s="15">
        <v>45454.008622685185</v>
      </c>
      <c r="I30" s="2">
        <f t="shared" si="7"/>
        <v>8.6530083334073424</v>
      </c>
      <c r="J30" s="21">
        <v>2.0593381122257508</v>
      </c>
      <c r="K30" s="21">
        <v>9.6681897761267539</v>
      </c>
      <c r="L30" s="21">
        <v>92.650730811355572</v>
      </c>
      <c r="N30" s="21">
        <v>0.22597424223434684</v>
      </c>
      <c r="O30" s="21">
        <v>0</v>
      </c>
      <c r="P30" s="3">
        <f t="shared" si="8"/>
        <v>1.9686948169379791E-2</v>
      </c>
      <c r="Q30" s="3">
        <f t="shared" si="9"/>
        <v>9.2426372281634195E-2</v>
      </c>
      <c r="R30" s="3">
        <f t="shared" si="10"/>
        <v>0.88572640136636438</v>
      </c>
      <c r="S30" s="3">
        <f t="shared" si="11"/>
        <v>2.1602781826216091E-3</v>
      </c>
      <c r="T30" s="4">
        <f t="shared" si="4"/>
        <v>0.15041905836569058</v>
      </c>
      <c r="U30" s="5">
        <f t="shared" si="5"/>
        <v>0.70618806770588272</v>
      </c>
      <c r="V30" s="14"/>
      <c r="W30" s="3">
        <f t="shared" si="1"/>
        <v>0.8566071260715733</v>
      </c>
      <c r="X30" s="3">
        <f t="shared" si="6"/>
        <v>9.4490732707256081E-2</v>
      </c>
      <c r="Y30">
        <f t="shared" ref="Y30" si="25">+SUM(K30:L30)</f>
        <v>102.31892058748232</v>
      </c>
    </row>
    <row r="31" spans="1:25" ht="15.6" x14ac:dyDescent="0.3">
      <c r="A31" s="1" t="s">
        <v>23</v>
      </c>
      <c r="B31" s="1">
        <v>60</v>
      </c>
      <c r="C31" s="12">
        <f>+'Flow rate'!E30</f>
        <v>61.939050000000002</v>
      </c>
      <c r="D31" s="1" t="s">
        <v>27</v>
      </c>
      <c r="E31" s="1" t="s">
        <v>26</v>
      </c>
      <c r="F31" s="1" t="s">
        <v>24</v>
      </c>
      <c r="G31" s="1">
        <v>-1.1000000000000001</v>
      </c>
      <c r="H31" s="15">
        <v>45454.01903935185</v>
      </c>
      <c r="I31" s="2">
        <f t="shared" si="7"/>
        <v>8.9030083333491348</v>
      </c>
      <c r="J31" s="21">
        <v>2.0982740867447229</v>
      </c>
      <c r="K31" s="21">
        <v>9.6937215691021947</v>
      </c>
      <c r="L31" s="21">
        <v>92.593713540287624</v>
      </c>
      <c r="N31" s="21">
        <v>0.22801542311153605</v>
      </c>
      <c r="O31" s="21">
        <v>0</v>
      </c>
      <c r="P31" s="3">
        <f t="shared" si="8"/>
        <v>2.0057349973740424E-2</v>
      </c>
      <c r="Q31" s="3">
        <f t="shared" si="9"/>
        <v>9.266204414749242E-2</v>
      </c>
      <c r="R31" s="3">
        <f t="shared" si="10"/>
        <v>0.88510101210231551</v>
      </c>
      <c r="S31" s="3">
        <f t="shared" si="11"/>
        <v>2.1795937764516552E-3</v>
      </c>
      <c r="T31" s="4">
        <f t="shared" si="4"/>
        <v>0.14947813827277562</v>
      </c>
      <c r="U31" s="5">
        <f t="shared" si="5"/>
        <v>0.69056729158392893</v>
      </c>
      <c r="V31" s="14"/>
      <c r="W31" s="3">
        <f t="shared" si="1"/>
        <v>0.84004542985670461</v>
      </c>
      <c r="X31" s="3">
        <f t="shared" si="6"/>
        <v>9.4769426555034689E-2</v>
      </c>
    </row>
    <row r="32" spans="1:25" ht="15.6" x14ac:dyDescent="0.3">
      <c r="A32" s="1" t="s">
        <v>23</v>
      </c>
      <c r="B32" s="1">
        <v>60</v>
      </c>
      <c r="C32" s="12">
        <f>+'Flow rate'!E31</f>
        <v>62.085351000000003</v>
      </c>
      <c r="D32" s="1" t="s">
        <v>27</v>
      </c>
      <c r="E32" s="1" t="s">
        <v>26</v>
      </c>
      <c r="F32" s="1" t="s">
        <v>24</v>
      </c>
      <c r="G32" s="1">
        <v>-1.1000000000000001</v>
      </c>
      <c r="H32" s="15">
        <v>45454.029467592591</v>
      </c>
      <c r="I32" s="2">
        <f t="shared" si="7"/>
        <v>9.1532861111336388</v>
      </c>
      <c r="J32" s="21">
        <v>2.1103925702764155</v>
      </c>
      <c r="K32" s="21">
        <v>9.7070993342965686</v>
      </c>
      <c r="L32" s="21">
        <v>92.612346619057448</v>
      </c>
      <c r="N32" s="21">
        <v>0.22922331647208069</v>
      </c>
      <c r="O32" s="21">
        <v>0</v>
      </c>
      <c r="P32" s="3">
        <f t="shared" si="8"/>
        <v>2.0164451440436763E-2</v>
      </c>
      <c r="Q32" s="3">
        <f t="shared" si="9"/>
        <v>9.2749726240877406E-2</v>
      </c>
      <c r="R32" s="3">
        <f t="shared" si="10"/>
        <v>0.884895631498685</v>
      </c>
      <c r="S32" s="3">
        <f t="shared" si="11"/>
        <v>2.1901908200007247E-3</v>
      </c>
      <c r="T32" s="4">
        <f t="shared" si="4"/>
        <v>0.15063127088865103</v>
      </c>
      <c r="U32" s="5">
        <f t="shared" si="5"/>
        <v>0.69285341976727821</v>
      </c>
      <c r="V32" s="14"/>
      <c r="W32" s="3">
        <f t="shared" si="1"/>
        <v>0.84348469065592924</v>
      </c>
      <c r="X32" s="3">
        <f t="shared" si="6"/>
        <v>9.487052284002688E-2</v>
      </c>
      <c r="Y32">
        <f t="shared" ref="Y32" si="26">+SUM(K32:L32)</f>
        <v>102.31944595335402</v>
      </c>
    </row>
    <row r="33" spans="1:25" ht="15.6" x14ac:dyDescent="0.3">
      <c r="A33" s="1" t="s">
        <v>23</v>
      </c>
      <c r="B33" s="1">
        <v>60</v>
      </c>
      <c r="C33" s="12">
        <f>+'Flow rate'!E32</f>
        <v>62.206738999999999</v>
      </c>
      <c r="D33" s="1" t="s">
        <v>27</v>
      </c>
      <c r="E33" s="1" t="s">
        <v>26</v>
      </c>
      <c r="F33" s="1" t="s">
        <v>24</v>
      </c>
      <c r="G33" s="1">
        <v>-1.1000000000000001</v>
      </c>
      <c r="H33" s="15">
        <v>45454.039895833332</v>
      </c>
      <c r="I33" s="2">
        <f t="shared" si="7"/>
        <v>9.4035638889181428</v>
      </c>
      <c r="J33" s="21">
        <v>2.1224919554599406</v>
      </c>
      <c r="K33" s="21">
        <v>9.6800781682359354</v>
      </c>
      <c r="L33" s="21">
        <v>92.562792594334297</v>
      </c>
      <c r="N33" s="21">
        <v>0.22767141185697651</v>
      </c>
      <c r="O33" s="21">
        <v>0</v>
      </c>
      <c r="P33" s="3">
        <f t="shared" si="8"/>
        <v>2.0292861499974835E-2</v>
      </c>
      <c r="Q33" s="3">
        <f t="shared" si="9"/>
        <v>9.2549931730777496E-2</v>
      </c>
      <c r="R33" s="3">
        <f t="shared" si="10"/>
        <v>0.88498047087329645</v>
      </c>
      <c r="S33" s="3">
        <f t="shared" si="11"/>
        <v>2.1767358959512207E-3</v>
      </c>
      <c r="T33" s="4">
        <f t="shared" si="4"/>
        <v>0.15188689863075522</v>
      </c>
      <c r="U33" s="5">
        <f t="shared" si="5"/>
        <v>0.69271266149888977</v>
      </c>
      <c r="V33" s="14"/>
      <c r="W33" s="3">
        <f t="shared" si="1"/>
        <v>0.84459956012964499</v>
      </c>
      <c r="X33" s="3">
        <f t="shared" si="6"/>
        <v>9.467729237293368E-2</v>
      </c>
    </row>
    <row r="34" spans="1:25" ht="15.6" x14ac:dyDescent="0.3">
      <c r="A34" s="1" t="s">
        <v>23</v>
      </c>
      <c r="B34" s="1">
        <v>60</v>
      </c>
      <c r="C34" s="12">
        <f>+'Flow rate'!E33</f>
        <v>62.919825000000003</v>
      </c>
      <c r="D34" s="1" t="s">
        <v>27</v>
      </c>
      <c r="E34" s="1" t="s">
        <v>26</v>
      </c>
      <c r="F34" s="1" t="s">
        <v>24</v>
      </c>
      <c r="G34" s="1">
        <v>-1.1000000000000001</v>
      </c>
      <c r="H34" s="15">
        <v>45454.050312500003</v>
      </c>
      <c r="I34" s="2">
        <f t="shared" si="7"/>
        <v>9.6535638890345581</v>
      </c>
      <c r="J34" s="21">
        <v>2.1541950917043065</v>
      </c>
      <c r="K34" s="21">
        <v>9.6699302896601473</v>
      </c>
      <c r="L34" s="21">
        <v>92.551678825637026</v>
      </c>
      <c r="N34" s="21">
        <v>0.22751096813845953</v>
      </c>
      <c r="O34" s="21">
        <v>0</v>
      </c>
      <c r="P34" s="3">
        <f t="shared" si="8"/>
        <v>2.0593946645930714E-2</v>
      </c>
      <c r="Q34" s="3">
        <f t="shared" si="9"/>
        <v>9.244382239195327E-2</v>
      </c>
      <c r="R34" s="3">
        <f t="shared" si="10"/>
        <v>0.88478724283905763</v>
      </c>
      <c r="S34" s="3">
        <f t="shared" si="11"/>
        <v>2.1749881230583587E-3</v>
      </c>
      <c r="T34" s="4">
        <f t="shared" si="4"/>
        <v>0.15590738131035031</v>
      </c>
      <c r="U34" s="5">
        <f t="shared" si="5"/>
        <v>0.69985003434474968</v>
      </c>
      <c r="V34" s="14"/>
      <c r="W34" s="3">
        <f t="shared" si="1"/>
        <v>0.8557574156551</v>
      </c>
      <c r="X34" s="3">
        <f t="shared" si="6"/>
        <v>9.4597711514727761E-2</v>
      </c>
      <c r="Y34">
        <f t="shared" ref="Y34" si="27">+SUM(K34:L34)</f>
        <v>102.22160911529717</v>
      </c>
    </row>
    <row r="35" spans="1:25" ht="15.6" x14ac:dyDescent="0.3">
      <c r="A35" s="1" t="s">
        <v>23</v>
      </c>
      <c r="B35" s="1">
        <v>60</v>
      </c>
      <c r="C35" s="12">
        <f>+'Flow rate'!E34</f>
        <v>61.917211000000002</v>
      </c>
      <c r="D35" s="1" t="s">
        <v>27</v>
      </c>
      <c r="E35" s="1" t="s">
        <v>26</v>
      </c>
      <c r="F35" s="1" t="s">
        <v>24</v>
      </c>
      <c r="G35" s="1">
        <v>-1.1000000000000001</v>
      </c>
      <c r="H35" s="15">
        <v>45454.060752314814</v>
      </c>
      <c r="I35" s="2">
        <f t="shared" si="7"/>
        <v>9.9041194444871508</v>
      </c>
      <c r="J35" s="21">
        <v>2.1682473311163784</v>
      </c>
      <c r="K35" s="21">
        <v>9.7111983732636116</v>
      </c>
      <c r="L35" s="21">
        <v>92.553995936346183</v>
      </c>
      <c r="N35" s="21">
        <v>0.22490366877479531</v>
      </c>
      <c r="O35" s="21">
        <v>0</v>
      </c>
      <c r="P35" s="3">
        <f t="shared" si="8"/>
        <v>2.0717385935200172E-2</v>
      </c>
      <c r="Q35" s="3">
        <f t="shared" si="9"/>
        <v>9.2789527147072337E-2</v>
      </c>
      <c r="R35" s="3">
        <f t="shared" si="10"/>
        <v>0.88434415490366114</v>
      </c>
      <c r="S35" s="3">
        <f t="shared" si="11"/>
        <v>2.1489320140663294E-3</v>
      </c>
      <c r="T35" s="4">
        <f t="shared" si="4"/>
        <v>0.15434264190468086</v>
      </c>
      <c r="U35" s="5">
        <f t="shared" si="5"/>
        <v>0.69127354222002979</v>
      </c>
      <c r="V35" s="14"/>
      <c r="W35" s="3">
        <f t="shared" si="1"/>
        <v>0.84561618412471062</v>
      </c>
      <c r="X35" s="3">
        <f t="shared" si="6"/>
        <v>9.4960934058001947E-2</v>
      </c>
    </row>
    <row r="36" spans="1:25" ht="15.6" x14ac:dyDescent="0.3">
      <c r="A36" s="1" t="s">
        <v>23</v>
      </c>
      <c r="B36" s="1">
        <v>60</v>
      </c>
      <c r="C36" s="12">
        <f>+'Flow rate'!E35</f>
        <v>66.491468999999995</v>
      </c>
      <c r="D36" s="1" t="s">
        <v>27</v>
      </c>
      <c r="E36" s="1" t="s">
        <v>26</v>
      </c>
      <c r="F36" s="1" t="s">
        <v>24</v>
      </c>
      <c r="G36" s="1">
        <v>-1.52</v>
      </c>
      <c r="H36" s="15">
        <v>45454.071168981478</v>
      </c>
      <c r="I36" s="2">
        <f t="shared" si="7"/>
        <v>10.154119444428943</v>
      </c>
      <c r="J36" s="21">
        <v>3.8543771553404991</v>
      </c>
      <c r="K36" s="21">
        <v>11.207324179839212</v>
      </c>
      <c r="L36" s="21">
        <v>89.255057203464105</v>
      </c>
      <c r="N36" s="21">
        <v>0.2552227882273686</v>
      </c>
      <c r="O36" s="21">
        <v>0</v>
      </c>
      <c r="P36" s="3">
        <f t="shared" si="8"/>
        <v>3.6858603102225669E-2</v>
      </c>
      <c r="Q36" s="3">
        <f t="shared" si="9"/>
        <v>0.10717329859905159</v>
      </c>
      <c r="R36" s="3">
        <f t="shared" si="10"/>
        <v>0.85352745612106729</v>
      </c>
      <c r="S36" s="3">
        <f t="shared" si="11"/>
        <v>2.4406421776555329E-3</v>
      </c>
      <c r="T36" s="4">
        <f t="shared" si="4"/>
        <v>0.21339954289046686</v>
      </c>
      <c r="U36" s="5">
        <f t="shared" si="5"/>
        <v>0.6204991781069451</v>
      </c>
      <c r="V36" s="14"/>
      <c r="W36" s="3">
        <f t="shared" si="1"/>
        <v>0.83389872099741202</v>
      </c>
      <c r="X36" s="3">
        <f t="shared" si="6"/>
        <v>0.11155742105175549</v>
      </c>
      <c r="Y36">
        <f t="shared" ref="Y36" si="28">+SUM(K36:L36)</f>
        <v>100.46238138330332</v>
      </c>
    </row>
    <row r="37" spans="1:25" ht="15.6" x14ac:dyDescent="0.3">
      <c r="A37" s="1" t="s">
        <v>23</v>
      </c>
      <c r="B37" s="1">
        <v>60</v>
      </c>
      <c r="C37" s="12">
        <f>+'Flow rate'!E36</f>
        <v>66.322597000000002</v>
      </c>
      <c r="D37" s="1" t="s">
        <v>27</v>
      </c>
      <c r="E37" s="1" t="s">
        <v>26</v>
      </c>
      <c r="F37" s="1" t="s">
        <v>24</v>
      </c>
      <c r="G37" s="1">
        <v>-1.52</v>
      </c>
      <c r="H37" s="15">
        <v>45454.081597222219</v>
      </c>
      <c r="I37" s="2">
        <f t="shared" si="7"/>
        <v>10.404397222213447</v>
      </c>
      <c r="J37" s="21">
        <v>5.0403157845031226</v>
      </c>
      <c r="K37" s="21">
        <v>11.861003332761593</v>
      </c>
      <c r="L37" s="21">
        <v>86.965783864451367</v>
      </c>
      <c r="N37" s="21">
        <v>0.28283879270314849</v>
      </c>
      <c r="O37" s="21">
        <v>0</v>
      </c>
      <c r="P37" s="3">
        <f t="shared" si="8"/>
        <v>4.8394801750538265E-2</v>
      </c>
      <c r="Q37" s="3">
        <f t="shared" si="9"/>
        <v>0.11388391707843307</v>
      </c>
      <c r="R37" s="3">
        <f t="shared" si="10"/>
        <v>0.83500559273295194</v>
      </c>
      <c r="S37" s="3">
        <f t="shared" si="11"/>
        <v>2.7156884380766682E-3</v>
      </c>
      <c r="T37" s="4">
        <f t="shared" si="4"/>
        <v>0.27947883459560502</v>
      </c>
      <c r="U37" s="5">
        <f t="shared" si="5"/>
        <v>0.65767692547493473</v>
      </c>
      <c r="V37" s="14"/>
      <c r="W37" s="3">
        <f t="shared" si="1"/>
        <v>0.9371557600705398</v>
      </c>
      <c r="X37" s="3">
        <f t="shared" si="6"/>
        <v>0.12001810105485335</v>
      </c>
    </row>
    <row r="38" spans="1:25" ht="15.6" x14ac:dyDescent="0.3">
      <c r="A38" s="1" t="s">
        <v>23</v>
      </c>
      <c r="B38" s="1">
        <v>60</v>
      </c>
      <c r="C38" s="12">
        <f>+'Flow rate'!E37</f>
        <v>65.660066999999998</v>
      </c>
      <c r="D38" s="1" t="s">
        <v>27</v>
      </c>
      <c r="E38" s="1" t="s">
        <v>26</v>
      </c>
      <c r="F38" s="1" t="s">
        <v>24</v>
      </c>
      <c r="G38" s="1">
        <v>-1.52</v>
      </c>
      <c r="H38" s="15">
        <v>45454.09202546296</v>
      </c>
      <c r="I38" s="2">
        <f t="shared" si="7"/>
        <v>10.654674999997951</v>
      </c>
      <c r="J38" s="21">
        <v>5.2526060148168394</v>
      </c>
      <c r="K38" s="21">
        <v>12.019310321947053</v>
      </c>
      <c r="L38" s="21">
        <v>86.572490961448523</v>
      </c>
      <c r="N38" s="21">
        <v>0.29037929172242033</v>
      </c>
      <c r="O38" s="21">
        <v>0</v>
      </c>
      <c r="P38" s="3">
        <f t="shared" si="8"/>
        <v>5.0440454979763037E-2</v>
      </c>
      <c r="Q38" s="3">
        <f t="shared" si="9"/>
        <v>0.11542070345116337</v>
      </c>
      <c r="R38" s="3">
        <f t="shared" si="10"/>
        <v>0.83135034695328414</v>
      </c>
      <c r="S38" s="3">
        <f t="shared" si="11"/>
        <v>2.7884946157894848E-3</v>
      </c>
      <c r="T38" s="4">
        <f t="shared" si="4"/>
        <v>0.28838256597554707</v>
      </c>
      <c r="U38" s="5">
        <f t="shared" si="5"/>
        <v>0.65989330669803448</v>
      </c>
      <c r="V38" s="14"/>
      <c r="W38" s="3">
        <f t="shared" si="1"/>
        <v>0.9482758726735816</v>
      </c>
      <c r="X38" s="3">
        <f t="shared" si="6"/>
        <v>0.12190983596494342</v>
      </c>
      <c r="Y38">
        <f t="shared" ref="Y38" si="29">+SUM(K38:L38)</f>
        <v>98.591801283395569</v>
      </c>
    </row>
    <row r="39" spans="1:25" ht="15.6" x14ac:dyDescent="0.3">
      <c r="A39" s="1" t="s">
        <v>23</v>
      </c>
      <c r="B39" s="1">
        <v>60</v>
      </c>
      <c r="C39" s="12">
        <f>+'Flow rate'!E38</f>
        <v>66.153816000000006</v>
      </c>
      <c r="D39" s="1" t="s">
        <v>27</v>
      </c>
      <c r="E39" s="1" t="s">
        <v>26</v>
      </c>
      <c r="F39" s="1" t="s">
        <v>24</v>
      </c>
      <c r="G39" s="1">
        <v>-1.52</v>
      </c>
      <c r="H39" s="15">
        <v>45454.102465277778</v>
      </c>
      <c r="I39" s="2">
        <f t="shared" si="7"/>
        <v>10.905230555625167</v>
      </c>
      <c r="J39" s="21">
        <v>5.2918733928562993</v>
      </c>
      <c r="K39" s="21">
        <v>12.077271740273908</v>
      </c>
      <c r="L39" s="21">
        <v>86.56706930533781</v>
      </c>
      <c r="N39" s="21">
        <v>0.29817830316324873</v>
      </c>
      <c r="O39" s="21">
        <v>0</v>
      </c>
      <c r="P39" s="3">
        <f t="shared" si="8"/>
        <v>5.076897609000721E-2</v>
      </c>
      <c r="Q39" s="3">
        <f t="shared" si="9"/>
        <v>0.11586647576304476</v>
      </c>
      <c r="R39" s="3">
        <f t="shared" si="10"/>
        <v>0.83050389634747568</v>
      </c>
      <c r="S39" s="3">
        <f t="shared" si="11"/>
        <v>2.8606517994722884E-3</v>
      </c>
      <c r="T39" s="4">
        <f t="shared" si="4"/>
        <v>0.29244351183529044</v>
      </c>
      <c r="U39" s="5">
        <f t="shared" si="5"/>
        <v>0.66742332987079478</v>
      </c>
      <c r="V39" s="14"/>
      <c r="W39" s="3">
        <f t="shared" si="1"/>
        <v>0.95986684170608516</v>
      </c>
      <c r="X39" s="3">
        <f t="shared" si="6"/>
        <v>0.12243248433977121</v>
      </c>
    </row>
    <row r="40" spans="1:25" ht="15.6" x14ac:dyDescent="0.3">
      <c r="A40" s="1" t="s">
        <v>23</v>
      </c>
      <c r="B40" s="1">
        <v>60</v>
      </c>
      <c r="C40" s="12">
        <f>+'Flow rate'!E39</f>
        <v>65.479196999999999</v>
      </c>
      <c r="D40" s="1" t="s">
        <v>27</v>
      </c>
      <c r="E40" s="1" t="s">
        <v>26</v>
      </c>
      <c r="F40" s="1" t="s">
        <v>24</v>
      </c>
      <c r="G40" s="1">
        <v>-1.52</v>
      </c>
      <c r="H40" s="15">
        <v>45454.112881944442</v>
      </c>
      <c r="I40" s="2">
        <f t="shared" si="7"/>
        <v>11.155230555566959</v>
      </c>
      <c r="J40" s="21">
        <v>5.3490633274872756</v>
      </c>
      <c r="K40" s="21">
        <v>12.141180726655923</v>
      </c>
      <c r="L40" s="21">
        <v>86.367912666635263</v>
      </c>
      <c r="N40" s="21">
        <v>0.30461407662323986</v>
      </c>
      <c r="O40" s="21">
        <v>0</v>
      </c>
      <c r="P40" s="3">
        <f t="shared" si="8"/>
        <v>5.1352928561119907E-2</v>
      </c>
      <c r="Q40" s="3">
        <f t="shared" si="9"/>
        <v>0.11655969434867204</v>
      </c>
      <c r="R40" s="3">
        <f t="shared" si="10"/>
        <v>0.82916297258088767</v>
      </c>
      <c r="S40" s="3">
        <f t="shared" si="11"/>
        <v>2.9244045093205061E-3</v>
      </c>
      <c r="T40" s="4">
        <f t="shared" si="4"/>
        <v>0.29279067802860009</v>
      </c>
      <c r="U40" s="5">
        <f t="shared" si="5"/>
        <v>0.6645695366435751</v>
      </c>
      <c r="V40" s="14"/>
      <c r="W40" s="3">
        <f t="shared" si="1"/>
        <v>0.95736021467217514</v>
      </c>
      <c r="X40" s="3">
        <f t="shared" si="6"/>
        <v>0.12324933981661007</v>
      </c>
      <c r="Y40">
        <f t="shared" ref="Y40" si="30">+SUM(K40:L40)</f>
        <v>98.509093393291181</v>
      </c>
    </row>
    <row r="41" spans="1:25" ht="15.6" x14ac:dyDescent="0.3">
      <c r="A41" s="1" t="s">
        <v>23</v>
      </c>
      <c r="B41" s="1">
        <v>60</v>
      </c>
      <c r="C41" s="12">
        <f>+'Flow rate'!E40</f>
        <v>64.656305000000003</v>
      </c>
      <c r="D41" s="1" t="s">
        <v>27</v>
      </c>
      <c r="E41" s="1" t="s">
        <v>26</v>
      </c>
      <c r="F41" s="1" t="s">
        <v>24</v>
      </c>
      <c r="G41" s="1">
        <v>-1.52</v>
      </c>
      <c r="H41" s="15">
        <v>45454.123310185183</v>
      </c>
      <c r="I41" s="2">
        <f t="shared" si="7"/>
        <v>11.405508333351463</v>
      </c>
      <c r="J41" s="21">
        <v>5.4010976931461574</v>
      </c>
      <c r="K41" s="21">
        <v>12.062760716985341</v>
      </c>
      <c r="L41" s="21">
        <v>86.370839808745885</v>
      </c>
      <c r="N41" s="21">
        <v>0.31134393760867185</v>
      </c>
      <c r="O41" s="21">
        <v>8.7437524980900978E-4</v>
      </c>
      <c r="P41" s="3">
        <f t="shared" si="8"/>
        <v>5.1860370647654502E-2</v>
      </c>
      <c r="Q41" s="3">
        <f t="shared" si="9"/>
        <v>0.11582446335134226</v>
      </c>
      <c r="R41" s="3">
        <f t="shared" si="10"/>
        <v>0.82931730179862595</v>
      </c>
      <c r="S41" s="3">
        <f t="shared" si="11"/>
        <v>2.9894686081637233E-3</v>
      </c>
      <c r="T41" s="4">
        <f t="shared" si="4"/>
        <v>0.29196795168636047</v>
      </c>
      <c r="U41" s="5">
        <f t="shared" si="5"/>
        <v>0.65207847336109959</v>
      </c>
      <c r="V41" s="14"/>
      <c r="W41" s="3">
        <f t="shared" si="1"/>
        <v>0.94404642504746006</v>
      </c>
      <c r="X41" s="3">
        <f t="shared" si="6"/>
        <v>0.12254718564147263</v>
      </c>
    </row>
    <row r="42" spans="1:25" ht="15.6" x14ac:dyDescent="0.3">
      <c r="A42" s="1" t="s">
        <v>23</v>
      </c>
      <c r="B42" s="1">
        <v>60</v>
      </c>
      <c r="C42" s="12">
        <f>+'Flow rate'!E41</f>
        <v>64.884270000000001</v>
      </c>
      <c r="D42" s="1" t="s">
        <v>27</v>
      </c>
      <c r="E42" s="1" t="s">
        <v>26</v>
      </c>
      <c r="F42" s="1" t="s">
        <v>24</v>
      </c>
      <c r="G42" s="1">
        <v>-1.52</v>
      </c>
      <c r="H42" s="15">
        <v>45454.133738425924</v>
      </c>
      <c r="I42" s="2">
        <f t="shared" si="7"/>
        <v>11.655786111135967</v>
      </c>
      <c r="J42" s="21">
        <v>5.554751961359738</v>
      </c>
      <c r="K42" s="21">
        <v>11.759432805050517</v>
      </c>
      <c r="L42" s="21">
        <v>86.467908701260257</v>
      </c>
      <c r="N42" s="21">
        <v>0.32020545881884033</v>
      </c>
      <c r="O42" s="21">
        <v>0</v>
      </c>
      <c r="P42" s="3">
        <f t="shared" si="8"/>
        <v>5.3358590719328525E-2</v>
      </c>
      <c r="Q42" s="3">
        <f t="shared" si="9"/>
        <v>0.11296035655614395</v>
      </c>
      <c r="R42" s="3">
        <f t="shared" si="10"/>
        <v>0.83060517964467429</v>
      </c>
      <c r="S42" s="3">
        <f t="shared" si="11"/>
        <v>3.0758730798534023E-3</v>
      </c>
      <c r="T42" s="4">
        <f t="shared" si="4"/>
        <v>0.30146191834745817</v>
      </c>
      <c r="U42" s="5">
        <f t="shared" si="5"/>
        <v>0.63819612410214255</v>
      </c>
      <c r="V42" s="14"/>
      <c r="W42" s="3">
        <f t="shared" si="1"/>
        <v>0.93965804244960072</v>
      </c>
      <c r="X42" s="3">
        <f t="shared" si="6"/>
        <v>0.11971649262537573</v>
      </c>
      <c r="Y42">
        <f t="shared" ref="Y42" si="31">+SUM(K42:L42)</f>
        <v>98.227341506310779</v>
      </c>
    </row>
    <row r="43" spans="1:25" ht="15.6" x14ac:dyDescent="0.3">
      <c r="A43" s="1" t="s">
        <v>23</v>
      </c>
      <c r="B43" s="1">
        <v>60</v>
      </c>
      <c r="C43" s="12">
        <f>+'Flow rate'!E42</f>
        <v>65.453618000000006</v>
      </c>
      <c r="D43" s="1" t="s">
        <v>27</v>
      </c>
      <c r="E43" s="1" t="s">
        <v>26</v>
      </c>
      <c r="F43" s="1" t="s">
        <v>24</v>
      </c>
      <c r="G43" s="1">
        <v>-1.52</v>
      </c>
      <c r="H43" s="15">
        <v>45454.144166666665</v>
      </c>
      <c r="I43" s="2">
        <f t="shared" si="7"/>
        <v>11.906063888920471</v>
      </c>
      <c r="J43" s="21">
        <v>5.6774328367066556</v>
      </c>
      <c r="K43" s="21">
        <v>11.836001917592659</v>
      </c>
      <c r="L43" s="21">
        <v>86.325568054654525</v>
      </c>
      <c r="N43" s="21">
        <v>0.34601744977665955</v>
      </c>
      <c r="O43" s="21">
        <v>0</v>
      </c>
      <c r="P43" s="3">
        <f t="shared" si="8"/>
        <v>5.4493753733573791E-2</v>
      </c>
      <c r="Q43" s="3">
        <f t="shared" si="9"/>
        <v>0.11360560172853473</v>
      </c>
      <c r="R43" s="3">
        <f t="shared" si="10"/>
        <v>0.82857946219404432</v>
      </c>
      <c r="S43" s="3">
        <f t="shared" si="11"/>
        <v>3.3211823438472096E-3</v>
      </c>
      <c r="T43" s="4">
        <f t="shared" si="4"/>
        <v>0.31057684024196386</v>
      </c>
      <c r="U43" s="5">
        <f t="shared" si="5"/>
        <v>0.64747363507273259</v>
      </c>
      <c r="V43" s="14"/>
      <c r="W43" s="3">
        <f t="shared" si="1"/>
        <v>0.95805047531469645</v>
      </c>
      <c r="X43" s="3">
        <f t="shared" si="6"/>
        <v>0.1205767381363094</v>
      </c>
    </row>
    <row r="44" spans="1:25" ht="15.6" x14ac:dyDescent="0.3">
      <c r="A44" s="1" t="s">
        <v>23</v>
      </c>
      <c r="B44" s="1">
        <v>60</v>
      </c>
      <c r="C44" s="12">
        <f>+'Flow rate'!E43</f>
        <v>69.962496000000002</v>
      </c>
      <c r="D44" s="1" t="s">
        <v>27</v>
      </c>
      <c r="E44" s="1" t="s">
        <v>26</v>
      </c>
      <c r="F44" s="1" t="s">
        <v>24</v>
      </c>
      <c r="G44" s="1">
        <v>-2.1</v>
      </c>
      <c r="H44" s="15">
        <v>45454.154594907406</v>
      </c>
      <c r="I44" s="2">
        <f t="shared" si="7"/>
        <v>12.156341666704975</v>
      </c>
      <c r="J44" s="21">
        <v>7.8440754512849322</v>
      </c>
      <c r="K44" s="21">
        <v>12.386630914057838</v>
      </c>
      <c r="L44" s="21">
        <v>82.914158382048882</v>
      </c>
      <c r="N44" s="21">
        <v>0.46141182132707786</v>
      </c>
      <c r="O44" s="21">
        <v>0</v>
      </c>
      <c r="P44" s="3">
        <f t="shared" si="8"/>
        <v>7.5710427119559776E-2</v>
      </c>
      <c r="Q44" s="3">
        <f t="shared" si="9"/>
        <v>0.11955483127358778</v>
      </c>
      <c r="R44" s="3">
        <f t="shared" si="10"/>
        <v>0.80028122936214752</v>
      </c>
      <c r="S44" s="3">
        <f t="shared" si="11"/>
        <v>4.4535122447049644E-3</v>
      </c>
      <c r="T44" s="4">
        <f t="shared" si="4"/>
        <v>0.33383661604510084</v>
      </c>
      <c r="U44" s="5">
        <f t="shared" si="5"/>
        <v>0.52716358661125995</v>
      </c>
      <c r="V44" s="14"/>
      <c r="W44" s="3">
        <f t="shared" si="1"/>
        <v>0.86100020265636079</v>
      </c>
      <c r="X44" s="3">
        <f t="shared" si="6"/>
        <v>0.1299740642815837</v>
      </c>
      <c r="Y44">
        <f t="shared" ref="Y44" si="32">+SUM(K44:L44)</f>
        <v>95.300789296106714</v>
      </c>
    </row>
    <row r="45" spans="1:25" ht="15.6" x14ac:dyDescent="0.3">
      <c r="A45" s="1" t="s">
        <v>23</v>
      </c>
      <c r="B45" s="1">
        <v>60</v>
      </c>
      <c r="C45" s="12">
        <f>+'Flow rate'!E44</f>
        <v>69.996190999999996</v>
      </c>
      <c r="D45" s="1" t="s">
        <v>27</v>
      </c>
      <c r="E45" s="1" t="s">
        <v>26</v>
      </c>
      <c r="F45" s="1" t="s">
        <v>24</v>
      </c>
      <c r="G45" s="1">
        <v>-2.1</v>
      </c>
      <c r="H45" s="15">
        <v>45454.165023148147</v>
      </c>
      <c r="I45" s="2">
        <f t="shared" si="7"/>
        <v>12.406619444489479</v>
      </c>
      <c r="J45" s="21">
        <v>9.3111387833970998</v>
      </c>
      <c r="K45" s="21">
        <v>12.550552552003154</v>
      </c>
      <c r="L45" s="21">
        <v>80.854147896387971</v>
      </c>
      <c r="N45" s="21">
        <v>0.5749523742140964</v>
      </c>
      <c r="O45" s="21">
        <v>0</v>
      </c>
      <c r="P45" s="3">
        <f t="shared" si="8"/>
        <v>9.0144906807510819E-2</v>
      </c>
      <c r="Q45" s="3">
        <f t="shared" si="9"/>
        <v>0.12150698389336219</v>
      </c>
      <c r="R45" s="3">
        <f t="shared" si="10"/>
        <v>0.78278176243243613</v>
      </c>
      <c r="S45" s="3">
        <f t="shared" si="11"/>
        <v>5.5663468666909263E-3</v>
      </c>
      <c r="T45" s="4">
        <f t="shared" si="4"/>
        <v>0.39767526556590171</v>
      </c>
      <c r="U45" s="5">
        <f t="shared" si="5"/>
        <v>0.53602941973287976</v>
      </c>
      <c r="V45" s="14"/>
      <c r="W45" s="3">
        <f t="shared" si="1"/>
        <v>0.93370468529878148</v>
      </c>
      <c r="X45" s="3">
        <f t="shared" si="6"/>
        <v>0.13436746214862824</v>
      </c>
    </row>
    <row r="46" spans="1:25" ht="15.6" x14ac:dyDescent="0.3">
      <c r="A46" s="1" t="s">
        <v>23</v>
      </c>
      <c r="B46" s="1">
        <v>60</v>
      </c>
      <c r="C46" s="12">
        <f>+'Flow rate'!E45</f>
        <v>68.863632999999993</v>
      </c>
      <c r="D46" s="1" t="s">
        <v>27</v>
      </c>
      <c r="E46" s="1" t="s">
        <v>26</v>
      </c>
      <c r="F46" s="1" t="s">
        <v>24</v>
      </c>
      <c r="G46" s="1">
        <v>-2.1</v>
      </c>
      <c r="H46" s="15">
        <v>45454.175428240742</v>
      </c>
      <c r="I46" s="2">
        <f t="shared" si="7"/>
        <v>12.656341666763183</v>
      </c>
      <c r="J46" s="21">
        <v>9.6062160213226733</v>
      </c>
      <c r="K46" s="21">
        <v>12.623879129185731</v>
      </c>
      <c r="L46" s="21">
        <v>80.530795889317631</v>
      </c>
      <c r="N46" s="21">
        <v>0.61089807713949362</v>
      </c>
      <c r="O46" s="21">
        <v>0</v>
      </c>
      <c r="P46" s="3">
        <f t="shared" si="8"/>
        <v>9.2928797144578842E-2</v>
      </c>
      <c r="Q46" s="3">
        <f t="shared" si="9"/>
        <v>0.12212112450623999</v>
      </c>
      <c r="R46" s="3">
        <f t="shared" si="10"/>
        <v>0.77904036079124805</v>
      </c>
      <c r="S46" s="3">
        <f t="shared" si="11"/>
        <v>5.9097175579331451E-3</v>
      </c>
      <c r="T46" s="4">
        <f t="shared" si="4"/>
        <v>0.40332321896591017</v>
      </c>
      <c r="U46" s="5">
        <f t="shared" si="5"/>
        <v>0.53002176454477801</v>
      </c>
      <c r="V46" s="14"/>
      <c r="W46" s="3">
        <f t="shared" si="1"/>
        <v>0.93334498351068818</v>
      </c>
      <c r="X46" s="3">
        <f t="shared" si="6"/>
        <v>0.13551525059454336</v>
      </c>
      <c r="Y46">
        <f t="shared" ref="Y46" si="33">+SUM(K46:L46)</f>
        <v>93.154675018503355</v>
      </c>
    </row>
    <row r="47" spans="1:25" ht="15.6" x14ac:dyDescent="0.3">
      <c r="A47" s="1" t="s">
        <v>23</v>
      </c>
      <c r="B47" s="1">
        <v>60</v>
      </c>
      <c r="C47" s="12">
        <f>+'Flow rate'!E46</f>
        <v>69.981596999999994</v>
      </c>
      <c r="D47" s="1" t="s">
        <v>27</v>
      </c>
      <c r="E47" s="1" t="s">
        <v>26</v>
      </c>
      <c r="F47" s="1" t="s">
        <v>24</v>
      </c>
      <c r="G47" s="1">
        <v>-2.1</v>
      </c>
      <c r="H47" s="15">
        <v>45454.185856481483</v>
      </c>
      <c r="I47" s="2">
        <f t="shared" si="7"/>
        <v>12.906619444547687</v>
      </c>
      <c r="J47" s="21">
        <v>9.7744843138960604</v>
      </c>
      <c r="K47" s="21">
        <v>12.521899933910108</v>
      </c>
      <c r="L47" s="21">
        <v>80.413768384557287</v>
      </c>
      <c r="N47" s="21">
        <v>0.62936025162973264</v>
      </c>
      <c r="O47" s="21">
        <v>0</v>
      </c>
      <c r="P47" s="3">
        <f t="shared" si="8"/>
        <v>9.4586127233526801E-2</v>
      </c>
      <c r="Q47" s="3">
        <f t="shared" si="9"/>
        <v>0.12117243041359152</v>
      </c>
      <c r="R47" s="3">
        <f t="shared" si="10"/>
        <v>0.77815122348049126</v>
      </c>
      <c r="S47" s="3">
        <f t="shared" si="11"/>
        <v>6.0902188723904625E-3</v>
      </c>
      <c r="T47" s="4">
        <f t="shared" si="4"/>
        <v>0.41718076009452348</v>
      </c>
      <c r="U47" s="5">
        <f t="shared" si="5"/>
        <v>0.53444208047165653</v>
      </c>
      <c r="V47" s="14"/>
      <c r="W47" s="3">
        <f t="shared" si="1"/>
        <v>0.95162284056617996</v>
      </c>
      <c r="X47" s="3">
        <f t="shared" si="6"/>
        <v>0.1347372882820477</v>
      </c>
    </row>
    <row r="48" spans="1:25" ht="15.6" x14ac:dyDescent="0.3">
      <c r="A48" s="1" t="s">
        <v>23</v>
      </c>
      <c r="B48" s="1">
        <v>60</v>
      </c>
      <c r="C48" s="12">
        <f>+'Flow rate'!E47</f>
        <v>69.148132000000004</v>
      </c>
      <c r="D48" s="1" t="s">
        <v>27</v>
      </c>
      <c r="E48" s="1" t="s">
        <v>26</v>
      </c>
      <c r="F48" s="1" t="s">
        <v>24</v>
      </c>
      <c r="G48" s="1">
        <v>-2.1</v>
      </c>
      <c r="H48" s="15">
        <v>45454.196284722224</v>
      </c>
      <c r="I48" s="2">
        <f t="shared" si="7"/>
        <v>13.156897222332191</v>
      </c>
      <c r="J48" s="21">
        <v>9.9252734920810788</v>
      </c>
      <c r="K48" s="21">
        <v>12.491579022800696</v>
      </c>
      <c r="L48" s="21">
        <v>80.30856636276944</v>
      </c>
      <c r="N48" s="21">
        <v>0.63925546083718454</v>
      </c>
      <c r="O48" s="21">
        <v>0</v>
      </c>
      <c r="P48" s="3">
        <f t="shared" si="8"/>
        <v>9.6021910344135333E-2</v>
      </c>
      <c r="Q48" s="3">
        <f t="shared" si="9"/>
        <v>0.12084959491958065</v>
      </c>
      <c r="R48" s="3">
        <f t="shared" si="10"/>
        <v>0.77694402731616896</v>
      </c>
      <c r="S48" s="3">
        <f t="shared" si="11"/>
        <v>6.1844674201150581E-3</v>
      </c>
      <c r="T48" s="4">
        <f t="shared" si="4"/>
        <v>0.41846946374099131</v>
      </c>
      <c r="U48" s="5">
        <f t="shared" si="5"/>
        <v>0.52667005892787555</v>
      </c>
      <c r="V48" s="14"/>
      <c r="W48" s="3">
        <f t="shared" si="1"/>
        <v>0.9451395226688668</v>
      </c>
      <c r="X48" s="3">
        <f t="shared" si="6"/>
        <v>0.13460732169006992</v>
      </c>
      <c r="Y48">
        <f t="shared" ref="Y48" si="34">+SUM(K48:L48)</f>
        <v>92.800145385570133</v>
      </c>
    </row>
    <row r="49" spans="1:25" ht="15.6" x14ac:dyDescent="0.3">
      <c r="A49" s="1" t="s">
        <v>23</v>
      </c>
      <c r="B49" s="1">
        <v>60</v>
      </c>
      <c r="C49" s="12">
        <f>+'Flow rate'!E48</f>
        <v>69.048447999999993</v>
      </c>
      <c r="D49" s="1" t="s">
        <v>27</v>
      </c>
      <c r="E49" s="1" t="s">
        <v>26</v>
      </c>
      <c r="F49" s="1" t="s">
        <v>24</v>
      </c>
      <c r="G49" s="1">
        <v>-2.1</v>
      </c>
      <c r="H49" s="15">
        <v>45454.206724537034</v>
      </c>
      <c r="I49" s="2">
        <f t="shared" si="7"/>
        <v>13.407452777784783</v>
      </c>
      <c r="J49" s="21">
        <v>10.081722433044874</v>
      </c>
      <c r="K49" s="21">
        <v>12.345878538052018</v>
      </c>
      <c r="L49" s="21">
        <v>80.240769889632091</v>
      </c>
      <c r="N49" s="21">
        <v>0.65310015297773816</v>
      </c>
      <c r="O49" s="21">
        <v>0</v>
      </c>
      <c r="P49" s="3">
        <f t="shared" si="8"/>
        <v>9.7576257230284916E-2</v>
      </c>
      <c r="Q49" s="3">
        <f t="shared" si="9"/>
        <v>0.11948996096284964</v>
      </c>
      <c r="R49" s="3">
        <f t="shared" si="10"/>
        <v>0.77661273211051429</v>
      </c>
      <c r="S49" s="3">
        <f t="shared" si="11"/>
        <v>6.3210496963510832E-3</v>
      </c>
      <c r="T49" s="4">
        <f t="shared" si="4"/>
        <v>0.42463037302975004</v>
      </c>
      <c r="U49" s="5">
        <f t="shared" si="5"/>
        <v>0.51999398354887039</v>
      </c>
      <c r="V49" s="14"/>
      <c r="W49" s="3">
        <f t="shared" si="1"/>
        <v>0.94462435657862043</v>
      </c>
      <c r="X49" s="3">
        <f t="shared" si="6"/>
        <v>0.13334404849631112</v>
      </c>
    </row>
    <row r="50" spans="1:25" ht="15.6" x14ac:dyDescent="0.3">
      <c r="A50" s="1" t="s">
        <v>23</v>
      </c>
      <c r="B50" s="1">
        <v>60</v>
      </c>
      <c r="C50" s="12">
        <f>+'Flow rate'!E49</f>
        <v>68.809513999999993</v>
      </c>
      <c r="D50" s="1" t="s">
        <v>27</v>
      </c>
      <c r="E50" s="1" t="s">
        <v>26</v>
      </c>
      <c r="F50" s="1" t="s">
        <v>24</v>
      </c>
      <c r="G50" s="1">
        <v>-2.1</v>
      </c>
      <c r="H50" s="15">
        <v>45454.217152777775</v>
      </c>
      <c r="I50" s="2">
        <f t="shared" si="7"/>
        <v>13.657730555569287</v>
      </c>
      <c r="J50" s="21">
        <v>10.181311894258435</v>
      </c>
      <c r="K50" s="21">
        <v>12.246268561231854</v>
      </c>
      <c r="L50" s="21">
        <v>80.191544894041215</v>
      </c>
      <c r="N50" s="21">
        <v>0.6562642393663467</v>
      </c>
      <c r="O50" s="21">
        <v>0</v>
      </c>
      <c r="P50" s="3">
        <f t="shared" si="8"/>
        <v>9.8584105417433648E-2</v>
      </c>
      <c r="Q50" s="3">
        <f t="shared" si="9"/>
        <v>0.11857876895918612</v>
      </c>
      <c r="R50" s="3">
        <f t="shared" si="10"/>
        <v>0.77648261810732344</v>
      </c>
      <c r="S50" s="3">
        <f t="shared" si="11"/>
        <v>6.3545075160568107E-3</v>
      </c>
      <c r="T50" s="4">
        <f t="shared" si="4"/>
        <v>0.42753174602355781</v>
      </c>
      <c r="U50" s="5">
        <f t="shared" si="5"/>
        <v>0.51424302041168368</v>
      </c>
      <c r="V50" s="14"/>
      <c r="W50" s="3">
        <f t="shared" si="1"/>
        <v>0.94177476643524149</v>
      </c>
      <c r="X50" s="3">
        <f t="shared" si="6"/>
        <v>0.13248115791009413</v>
      </c>
      <c r="Y50">
        <f t="shared" ref="Y50" si="35">+SUM(K50:L50)</f>
        <v>92.437813455273073</v>
      </c>
    </row>
    <row r="51" spans="1:25" ht="15.6" x14ac:dyDescent="0.3">
      <c r="A51" s="1" t="s">
        <v>23</v>
      </c>
      <c r="B51" s="1">
        <v>60</v>
      </c>
      <c r="C51" s="12">
        <f>+'Flow rate'!E50</f>
        <v>68.321669999999997</v>
      </c>
      <c r="D51" s="1" t="s">
        <v>27</v>
      </c>
      <c r="E51" s="1" t="s">
        <v>26</v>
      </c>
      <c r="F51" s="1" t="s">
        <v>24</v>
      </c>
      <c r="G51" s="1">
        <v>-2.1</v>
      </c>
      <c r="H51" s="15">
        <v>45454.227581018517</v>
      </c>
      <c r="I51" s="2">
        <f t="shared" si="7"/>
        <v>13.908008333353791</v>
      </c>
      <c r="J51" s="21">
        <v>10.268752469098354</v>
      </c>
      <c r="K51" s="21">
        <v>12.221507801390683</v>
      </c>
      <c r="L51" s="21">
        <v>80.184907499561476</v>
      </c>
      <c r="N51" s="21">
        <v>0.66237862503746603</v>
      </c>
      <c r="O51" s="21">
        <v>0</v>
      </c>
      <c r="P51" s="3">
        <f t="shared" si="8"/>
        <v>9.9370972384403997E-2</v>
      </c>
      <c r="Q51" s="3">
        <f t="shared" si="9"/>
        <v>0.11826783417775844</v>
      </c>
      <c r="R51" s="3">
        <f t="shared" si="10"/>
        <v>0.77595133905146574</v>
      </c>
      <c r="S51" s="3">
        <f t="shared" si="11"/>
        <v>6.4098543863719167E-3</v>
      </c>
      <c r="T51" s="4">
        <f t="shared" si="4"/>
        <v>0.42788887104383139</v>
      </c>
      <c r="U51" s="5">
        <f t="shared" si="5"/>
        <v>0.5092582756598093</v>
      </c>
      <c r="V51" s="14"/>
      <c r="W51" s="3">
        <f t="shared" si="1"/>
        <v>0.93714714670364074</v>
      </c>
      <c r="X51" s="3">
        <f t="shared" si="6"/>
        <v>0.13225821780432978</v>
      </c>
    </row>
    <row r="52" spans="1:25" ht="15.6" x14ac:dyDescent="0.3">
      <c r="A52" s="1" t="s">
        <v>23</v>
      </c>
      <c r="B52" s="1">
        <v>60</v>
      </c>
      <c r="C52" s="12">
        <f>+'Flow rate'!E51</f>
        <v>80.010362999999998</v>
      </c>
      <c r="D52" s="1" t="s">
        <v>27</v>
      </c>
      <c r="E52" s="1" t="s">
        <v>26</v>
      </c>
      <c r="F52" s="1" t="s">
        <v>24</v>
      </c>
      <c r="G52" s="1">
        <v>-3.1</v>
      </c>
      <c r="H52" s="15">
        <v>45454.237997685188</v>
      </c>
      <c r="I52" s="2">
        <f t="shared" si="7"/>
        <v>14.158008333470207</v>
      </c>
      <c r="J52" s="21">
        <v>15.666358810104782</v>
      </c>
      <c r="K52" s="21">
        <v>11.743527150622123</v>
      </c>
      <c r="L52" s="21">
        <v>74.130538330247958</v>
      </c>
      <c r="N52" s="21">
        <v>0.88358999856080234</v>
      </c>
      <c r="O52" s="21">
        <v>0</v>
      </c>
      <c r="P52" s="3">
        <f t="shared" si="8"/>
        <v>0.15295591486795848</v>
      </c>
      <c r="Q52" s="3">
        <f t="shared" si="9"/>
        <v>0.11465599383192619</v>
      </c>
      <c r="R52" s="3">
        <f t="shared" si="10"/>
        <v>0.72376130582710063</v>
      </c>
      <c r="S52" s="3">
        <f t="shared" si="11"/>
        <v>8.6267854730145629E-3</v>
      </c>
      <c r="T52" s="4">
        <f t="shared" si="4"/>
        <v>0.52249615130476268</v>
      </c>
      <c r="U52" s="5">
        <f t="shared" si="5"/>
        <v>0.39166393501630803</v>
      </c>
      <c r="V52" s="14"/>
      <c r="W52" s="3">
        <f t="shared" si="1"/>
        <v>0.91416008632107071</v>
      </c>
      <c r="X52" s="3">
        <f t="shared" si="6"/>
        <v>0.13675289605612295</v>
      </c>
      <c r="Y52">
        <f t="shared" ref="Y52" si="36">+SUM(K52:L52)</f>
        <v>85.874065480870087</v>
      </c>
    </row>
    <row r="53" spans="1:25" ht="15.6" x14ac:dyDescent="0.3">
      <c r="A53" s="1" t="s">
        <v>23</v>
      </c>
      <c r="B53" s="1">
        <v>60</v>
      </c>
      <c r="C53" s="12">
        <f>+'Flow rate'!E52</f>
        <v>79.395551999999995</v>
      </c>
      <c r="D53" s="1" t="s">
        <v>27</v>
      </c>
      <c r="E53" s="1" t="s">
        <v>26</v>
      </c>
      <c r="F53" s="1" t="s">
        <v>24</v>
      </c>
      <c r="G53" s="1">
        <v>-3.1</v>
      </c>
      <c r="H53" s="15">
        <v>45454.248425925929</v>
      </c>
      <c r="I53" s="2">
        <f t="shared" si="7"/>
        <v>14.408286111254711</v>
      </c>
      <c r="J53" s="21">
        <v>18.104369988158478</v>
      </c>
      <c r="K53" s="21">
        <v>11.803006880945849</v>
      </c>
      <c r="L53" s="21">
        <v>71.190771632039443</v>
      </c>
      <c r="N53" s="21">
        <v>1.097052124482256</v>
      </c>
      <c r="O53" s="21">
        <v>0</v>
      </c>
      <c r="P53" s="3">
        <f t="shared" si="8"/>
        <v>0.17715479667661324</v>
      </c>
      <c r="Q53" s="3">
        <f t="shared" si="9"/>
        <v>0.11549472782175035</v>
      </c>
      <c r="R53" s="3">
        <f t="shared" si="10"/>
        <v>0.69661560617542295</v>
      </c>
      <c r="S53" s="3">
        <f t="shared" si="11"/>
        <v>1.0734869326213387E-2</v>
      </c>
      <c r="T53" s="4">
        <f t="shared" si="4"/>
        <v>0.60050920286964793</v>
      </c>
      <c r="U53" s="5">
        <f t="shared" si="5"/>
        <v>0.39149742621133388</v>
      </c>
      <c r="V53" s="14"/>
      <c r="W53" s="3">
        <f t="shared" si="1"/>
        <v>0.99200662908098181</v>
      </c>
      <c r="X53" s="3">
        <f t="shared" si="6"/>
        <v>0.14221556232795377</v>
      </c>
    </row>
    <row r="54" spans="1:25" ht="15.6" x14ac:dyDescent="0.3">
      <c r="A54" s="1" t="s">
        <v>23</v>
      </c>
      <c r="B54" s="1">
        <v>60</v>
      </c>
      <c r="C54" s="12">
        <f>+'Flow rate'!E53</f>
        <v>77.439407000000003</v>
      </c>
      <c r="D54" s="1" t="s">
        <v>27</v>
      </c>
      <c r="E54" s="1" t="s">
        <v>26</v>
      </c>
      <c r="F54" s="1" t="s">
        <v>24</v>
      </c>
      <c r="G54" s="1">
        <v>-3.1</v>
      </c>
      <c r="H54" s="15">
        <v>45454.25885416667</v>
      </c>
      <c r="I54" s="2">
        <f t="shared" si="7"/>
        <v>14.658563889039215</v>
      </c>
      <c r="J54" s="21">
        <v>18.589788891552768</v>
      </c>
      <c r="K54" s="21">
        <v>11.777932291736297</v>
      </c>
      <c r="L54" s="21">
        <v>70.759111117758962</v>
      </c>
      <c r="N54" s="21">
        <v>1.1403190401608019</v>
      </c>
      <c r="O54" s="21">
        <v>0</v>
      </c>
      <c r="P54" s="3">
        <f t="shared" si="8"/>
        <v>0.18177673522487139</v>
      </c>
      <c r="Q54" s="3">
        <f t="shared" si="9"/>
        <v>0.1151682836303894</v>
      </c>
      <c r="R54" s="3">
        <f t="shared" si="10"/>
        <v>0.69190458705234692</v>
      </c>
      <c r="S54" s="3">
        <f t="shared" si="11"/>
        <v>1.1150394092392277E-2</v>
      </c>
      <c r="T54" s="4">
        <f t="shared" si="4"/>
        <v>0.60099505241140616</v>
      </c>
      <c r="U54" s="5">
        <f t="shared" si="5"/>
        <v>0.38077242707078407</v>
      </c>
      <c r="V54" s="14"/>
      <c r="W54" s="3">
        <f t="shared" si="1"/>
        <v>0.98176747948219023</v>
      </c>
      <c r="X54" s="3">
        <f t="shared" si="6"/>
        <v>0.14269874234895766</v>
      </c>
      <c r="Y54">
        <f t="shared" ref="Y54" si="37">+SUM(K54:L54)</f>
        <v>82.537043409495254</v>
      </c>
    </row>
    <row r="55" spans="1:25" ht="15.6" x14ac:dyDescent="0.3">
      <c r="A55" s="1" t="s">
        <v>23</v>
      </c>
      <c r="B55" s="1">
        <v>60</v>
      </c>
      <c r="C55" s="12">
        <f>+'Flow rate'!E54</f>
        <v>77.969091000000006</v>
      </c>
      <c r="D55" s="1" t="s">
        <v>27</v>
      </c>
      <c r="E55" s="1" t="s">
        <v>26</v>
      </c>
      <c r="F55" s="1" t="s">
        <v>24</v>
      </c>
      <c r="G55" s="1">
        <v>-3.1</v>
      </c>
      <c r="H55" s="15">
        <v>45454.269282407404</v>
      </c>
      <c r="I55" s="2">
        <f t="shared" si="7"/>
        <v>14.908841666649096</v>
      </c>
      <c r="J55" s="21">
        <v>18.880816750747162</v>
      </c>
      <c r="K55" s="21">
        <v>11.721298479327189</v>
      </c>
      <c r="L55" s="21">
        <v>70.790033585311051</v>
      </c>
      <c r="N55" s="21">
        <v>1.1647988217085399</v>
      </c>
      <c r="O55" s="21">
        <v>0</v>
      </c>
      <c r="P55" s="3">
        <f t="shared" si="8"/>
        <v>0.18410080629113942</v>
      </c>
      <c r="Q55" s="3">
        <f t="shared" si="9"/>
        <v>0.11429063314953514</v>
      </c>
      <c r="R55" s="3">
        <f t="shared" si="10"/>
        <v>0.69025097973671479</v>
      </c>
      <c r="S55" s="3">
        <f>+N55/SUM($J55:$O55)</f>
        <v>1.1357580822610621E-2</v>
      </c>
      <c r="T55" s="4">
        <f t="shared" si="4"/>
        <v>0.61284230960875863</v>
      </c>
      <c r="U55" s="5">
        <f t="shared" si="5"/>
        <v>0.38045534398824365</v>
      </c>
      <c r="V55" s="14"/>
      <c r="W55" s="3">
        <f t="shared" si="1"/>
        <v>0.99329765359700228</v>
      </c>
      <c r="X55" s="3">
        <f t="shared" si="6"/>
        <v>0.14205683251053183</v>
      </c>
    </row>
    <row r="56" spans="1:25" ht="15.6" x14ac:dyDescent="0.3">
      <c r="A56" s="1" t="s">
        <v>23</v>
      </c>
      <c r="B56" s="1">
        <v>60</v>
      </c>
      <c r="C56" s="12">
        <f>+'Flow rate'!E55</f>
        <v>79.116945000000001</v>
      </c>
      <c r="D56" s="1" t="s">
        <v>27</v>
      </c>
      <c r="E56" s="1" t="s">
        <v>26</v>
      </c>
      <c r="F56" s="1" t="s">
        <v>24</v>
      </c>
      <c r="G56" s="1">
        <v>-3.1</v>
      </c>
      <c r="H56" s="15">
        <v>45454.279710648145</v>
      </c>
      <c r="I56" s="2">
        <f t="shared" si="7"/>
        <v>15.1591194444336</v>
      </c>
      <c r="J56" s="21">
        <v>19.133899489310938</v>
      </c>
      <c r="K56" s="21">
        <v>11.535267389590519</v>
      </c>
      <c r="L56" s="21">
        <v>70.622978718772146</v>
      </c>
      <c r="N56" s="21">
        <v>1.1857539393064007</v>
      </c>
      <c r="O56" s="21">
        <v>0</v>
      </c>
      <c r="P56" s="3">
        <f t="shared" si="8"/>
        <v>0.18671244800842463</v>
      </c>
      <c r="Q56" s="3">
        <f t="shared" si="9"/>
        <v>0.11256346433435556</v>
      </c>
      <c r="R56" s="3">
        <f t="shared" si="10"/>
        <v>0.68915326170680602</v>
      </c>
      <c r="S56" s="3">
        <f t="shared" si="11"/>
        <v>1.157082595041394E-2</v>
      </c>
      <c r="T56" s="4">
        <f t="shared" si="4"/>
        <v>0.63068624785740435</v>
      </c>
      <c r="U56" s="5">
        <f t="shared" si="5"/>
        <v>0.38022226008017534</v>
      </c>
      <c r="V56" s="14"/>
      <c r="W56" s="3">
        <f t="shared" si="1"/>
        <v>1.0109085079375797</v>
      </c>
      <c r="X56" s="3">
        <f t="shared" si="6"/>
        <v>0.14040303847742894</v>
      </c>
      <c r="Y56">
        <f t="shared" ref="Y56" si="38">+SUM(K56:L56)</f>
        <v>82.158246108362661</v>
      </c>
    </row>
    <row r="57" spans="1:25" ht="15.6" x14ac:dyDescent="0.3">
      <c r="A57" s="1" t="s">
        <v>23</v>
      </c>
      <c r="B57" s="1">
        <v>60</v>
      </c>
      <c r="C57" s="12">
        <f>+'Flow rate'!E56</f>
        <v>77.973191999999997</v>
      </c>
      <c r="D57" s="1" t="s">
        <v>27</v>
      </c>
      <c r="E57" s="1" t="s">
        <v>26</v>
      </c>
      <c r="F57" s="1" t="s">
        <v>24</v>
      </c>
      <c r="G57" s="1">
        <v>-3.1</v>
      </c>
      <c r="H57" s="15">
        <v>45454.290127314816</v>
      </c>
      <c r="I57" s="2">
        <f t="shared" si="7"/>
        <v>15.409119444550015</v>
      </c>
      <c r="J57" s="21">
        <v>19.326847716445855</v>
      </c>
      <c r="K57" s="21">
        <v>11.383751957935106</v>
      </c>
      <c r="L57" s="21">
        <v>70.528616093969163</v>
      </c>
      <c r="N57" s="21">
        <v>1.2017684481484379</v>
      </c>
      <c r="O57" s="21">
        <v>0</v>
      </c>
      <c r="P57" s="3">
        <f t="shared" si="8"/>
        <v>0.18866323731916257</v>
      </c>
      <c r="Q57" s="3">
        <f t="shared" si="9"/>
        <v>0.11112497644377087</v>
      </c>
      <c r="R57" s="3">
        <f t="shared" si="10"/>
        <v>0.688480461539828</v>
      </c>
      <c r="S57" s="3">
        <f t="shared" si="11"/>
        <v>1.1731324697238588E-2</v>
      </c>
      <c r="T57" s="4">
        <f t="shared" si="4"/>
        <v>0.62806294998299039</v>
      </c>
      <c r="U57" s="5">
        <f t="shared" si="5"/>
        <v>0.36993683302484137</v>
      </c>
      <c r="V57" s="14"/>
      <c r="W57" s="3">
        <f t="shared" si="1"/>
        <v>0.99799978300783176</v>
      </c>
      <c r="X57" s="3">
        <f t="shared" si="6"/>
        <v>0.13897476325823863</v>
      </c>
    </row>
    <row r="58" spans="1:25" ht="15.6" x14ac:dyDescent="0.3">
      <c r="A58" s="1" t="s">
        <v>23</v>
      </c>
      <c r="B58" s="1">
        <v>60</v>
      </c>
      <c r="C58" s="12">
        <f>+'Flow rate'!E57</f>
        <v>77.584575999999998</v>
      </c>
      <c r="D58" s="1" t="s">
        <v>27</v>
      </c>
      <c r="E58" s="1" t="s">
        <v>26</v>
      </c>
      <c r="F58" s="1" t="s">
        <v>24</v>
      </c>
      <c r="G58" s="1">
        <v>-3.1</v>
      </c>
      <c r="H58" s="15">
        <v>45454.300543981481</v>
      </c>
      <c r="I58" s="2">
        <f t="shared" si="7"/>
        <v>15.659119444491807</v>
      </c>
      <c r="J58" s="21">
        <v>19.534773140409062</v>
      </c>
      <c r="K58" s="21">
        <v>11.296916021913638</v>
      </c>
      <c r="L58" s="21">
        <v>70.470808587654318</v>
      </c>
      <c r="N58" s="21">
        <v>1.2101354187006834</v>
      </c>
      <c r="O58" s="21">
        <v>0</v>
      </c>
      <c r="P58" s="3">
        <f t="shared" si="8"/>
        <v>0.19055966602931654</v>
      </c>
      <c r="Q58" s="3">
        <f t="shared" si="9"/>
        <v>0.11020023262230827</v>
      </c>
      <c r="R58" s="3">
        <f t="shared" si="10"/>
        <v>0.68743535708130032</v>
      </c>
      <c r="S58" s="3">
        <f t="shared" si="11"/>
        <v>1.1804744267074735E-2</v>
      </c>
      <c r="T58" s="4">
        <f t="shared" si="4"/>
        <v>0.63121448014278847</v>
      </c>
      <c r="U58" s="5">
        <f t="shared" si="5"/>
        <v>0.36502993522041144</v>
      </c>
      <c r="V58" s="14"/>
      <c r="W58" s="3">
        <f t="shared" si="1"/>
        <v>0.99624441536319996</v>
      </c>
      <c r="X58" s="3">
        <f t="shared" si="6"/>
        <v>0.138158620358524</v>
      </c>
      <c r="Y58">
        <f t="shared" ref="Y58" si="39">+SUM(K58:L58)</f>
        <v>81.767724609567949</v>
      </c>
    </row>
    <row r="59" spans="1:25" ht="15.6" x14ac:dyDescent="0.3">
      <c r="A59" s="1" t="s">
        <v>23</v>
      </c>
      <c r="B59" s="1">
        <v>60</v>
      </c>
      <c r="C59" s="12">
        <f>+'Flow rate'!E58</f>
        <v>77.458104000000006</v>
      </c>
      <c r="D59" s="1" t="s">
        <v>27</v>
      </c>
      <c r="E59" s="1" t="s">
        <v>26</v>
      </c>
      <c r="F59" s="1" t="s">
        <v>24</v>
      </c>
      <c r="G59" s="1">
        <v>-3.1</v>
      </c>
      <c r="H59" s="15">
        <v>45454.310983796298</v>
      </c>
      <c r="I59" s="2">
        <f t="shared" si="7"/>
        <v>15.909675000119023</v>
      </c>
      <c r="J59" s="21">
        <v>19.670568754515937</v>
      </c>
      <c r="K59" s="21">
        <v>10.996785539020577</v>
      </c>
      <c r="L59" s="21">
        <v>70.386899903880575</v>
      </c>
      <c r="N59" s="21">
        <v>1.2015946414032841</v>
      </c>
      <c r="O59" s="21">
        <v>0</v>
      </c>
      <c r="P59" s="3">
        <f t="shared" si="8"/>
        <v>0.19236619692553183</v>
      </c>
      <c r="Q59" s="3">
        <f t="shared" si="9"/>
        <v>0.10754187329033994</v>
      </c>
      <c r="R59" s="3">
        <f t="shared" si="10"/>
        <v>0.68834106511430093</v>
      </c>
      <c r="S59" s="3">
        <f t="shared" si="11"/>
        <v>1.175086466982719E-2</v>
      </c>
      <c r="T59" s="4">
        <f t="shared" si="4"/>
        <v>0.63615976850060674</v>
      </c>
      <c r="U59" s="5">
        <f t="shared" si="5"/>
        <v>0.35564363339255683</v>
      </c>
      <c r="V59" s="14"/>
      <c r="W59" s="3">
        <f t="shared" si="1"/>
        <v>0.99180340189316363</v>
      </c>
      <c r="X59" s="3">
        <f t="shared" si="6"/>
        <v>0.13512272735222747</v>
      </c>
    </row>
    <row r="60" spans="1:25" ht="15.6" x14ac:dyDescent="0.3">
      <c r="A60" s="1" t="s">
        <v>23</v>
      </c>
      <c r="B60" s="1">
        <v>60</v>
      </c>
      <c r="C60" s="12">
        <f>+'Flow rate'!E59</f>
        <v>62.952133000000003</v>
      </c>
      <c r="D60" s="1" t="s">
        <v>27</v>
      </c>
      <c r="E60" s="1" t="s">
        <v>26</v>
      </c>
      <c r="F60" s="1" t="s">
        <v>24</v>
      </c>
      <c r="G60" s="1">
        <v>-0.5</v>
      </c>
      <c r="H60" s="15">
        <v>45454.321412037039</v>
      </c>
      <c r="I60" s="2">
        <f t="shared" si="7"/>
        <v>16.159952777903527</v>
      </c>
      <c r="J60" s="21">
        <v>12.706195569572786</v>
      </c>
      <c r="K60" s="21">
        <v>10.860201830634217</v>
      </c>
      <c r="L60" s="21">
        <v>78.966557230361275</v>
      </c>
      <c r="N60" s="21">
        <v>0.77975569055079341</v>
      </c>
      <c r="O60" s="21">
        <v>1.9296868120909703E-3</v>
      </c>
      <c r="P60" s="3">
        <f t="shared" si="8"/>
        <v>0.12298543138317444</v>
      </c>
      <c r="Q60" s="3">
        <f t="shared" si="9"/>
        <v>0.10511774352405924</v>
      </c>
      <c r="R60" s="3">
        <f t="shared" si="10"/>
        <v>0.76433075916732851</v>
      </c>
      <c r="S60" s="3">
        <f t="shared" si="11"/>
        <v>7.5473881580667935E-3</v>
      </c>
      <c r="T60" s="4">
        <f t="shared" si="4"/>
        <v>2.0493983733987897</v>
      </c>
      <c r="U60" s="5">
        <f t="shared" si="5"/>
        <v>1.7516557056450734</v>
      </c>
      <c r="V60" s="14"/>
      <c r="W60" s="3">
        <f t="shared" si="1"/>
        <v>3.8010540790438632</v>
      </c>
      <c r="X60" s="3">
        <f t="shared" si="6"/>
        <v>0.12090163270011514</v>
      </c>
      <c r="Y60">
        <f t="shared" ref="Y60" si="40">+SUM(K60:L60)</f>
        <v>89.826759060995499</v>
      </c>
    </row>
    <row r="61" spans="1:25" ht="15.6" x14ac:dyDescent="0.3">
      <c r="A61" s="1" t="s">
        <v>23</v>
      </c>
      <c r="B61" s="1">
        <v>60</v>
      </c>
      <c r="C61" s="12">
        <f>+'Flow rate'!E60</f>
        <v>56.410178000000002</v>
      </c>
      <c r="D61" s="1" t="s">
        <v>27</v>
      </c>
      <c r="E61" s="1" t="s">
        <v>26</v>
      </c>
      <c r="F61" s="1" t="s">
        <v>24</v>
      </c>
      <c r="G61" s="1">
        <v>-0.5</v>
      </c>
      <c r="H61" s="15">
        <v>45454.33184027778</v>
      </c>
      <c r="I61" s="2">
        <f t="shared" si="7"/>
        <v>16.410230555688031</v>
      </c>
      <c r="J61" s="21">
        <v>8.0902733421496986</v>
      </c>
      <c r="K61" s="21">
        <v>9.9470418084313881</v>
      </c>
      <c r="L61" s="21">
        <v>85.618599341226059</v>
      </c>
      <c r="N61" s="21">
        <v>0.50923899098884529</v>
      </c>
      <c r="O61" s="21">
        <v>7.0515833626509121E-3</v>
      </c>
      <c r="P61" s="3">
        <f t="shared" si="8"/>
        <v>7.7662494875784305E-2</v>
      </c>
      <c r="Q61" s="3">
        <f t="shared" si="9"/>
        <v>9.5486524472762457E-2</v>
      </c>
      <c r="R61" s="3">
        <f t="shared" si="10"/>
        <v>0.82189485464813383</v>
      </c>
      <c r="S61" s="3">
        <f t="shared" si="11"/>
        <v>4.8884344021078658E-3</v>
      </c>
      <c r="T61" s="4">
        <f t="shared" si="4"/>
        <v>1.1596610661173532</v>
      </c>
      <c r="U61" s="5">
        <f t="shared" si="5"/>
        <v>1.4258105530479352</v>
      </c>
      <c r="V61" s="14"/>
      <c r="W61" s="3">
        <f t="shared" si="1"/>
        <v>2.5854716191652884</v>
      </c>
      <c r="X61" s="3">
        <f t="shared" si="6"/>
        <v>0.10408596320568966</v>
      </c>
    </row>
    <row r="62" spans="1:25" ht="15.6" x14ac:dyDescent="0.3">
      <c r="A62" s="1" t="s">
        <v>23</v>
      </c>
      <c r="B62" s="1">
        <v>60</v>
      </c>
      <c r="C62" s="12">
        <f>+'Flow rate'!E61</f>
        <v>55.954991999999997</v>
      </c>
      <c r="D62" s="1" t="s">
        <v>27</v>
      </c>
      <c r="E62" s="1" t="s">
        <v>26</v>
      </c>
      <c r="F62" s="1" t="s">
        <v>24</v>
      </c>
      <c r="G62" s="1">
        <v>-0.5</v>
      </c>
      <c r="H62" s="15">
        <v>45454.342280092591</v>
      </c>
      <c r="I62" s="2">
        <f t="shared" si="7"/>
        <v>16.660786111140624</v>
      </c>
      <c r="J62" s="21">
        <v>1.3128063528267264</v>
      </c>
      <c r="K62" s="21">
        <v>1.6060933146826379</v>
      </c>
      <c r="L62" s="21">
        <v>104.67265503753777</v>
      </c>
      <c r="N62" s="21">
        <v>8.6025222481054084E-2</v>
      </c>
      <c r="O62" s="21">
        <v>1.592278077478701E-2</v>
      </c>
      <c r="P62" s="3">
        <f t="shared" si="8"/>
        <v>1.2190209435220751E-2</v>
      </c>
      <c r="Q62" s="3">
        <f t="shared" si="9"/>
        <v>1.4913558146890982E-2</v>
      </c>
      <c r="R62" s="3">
        <f t="shared" si="10"/>
        <v>0.97194958289222488</v>
      </c>
      <c r="S62" s="3">
        <f t="shared" si="11"/>
        <v>7.9879677341409096E-4</v>
      </c>
      <c r="T62" s="4">
        <f t="shared" si="4"/>
        <v>0.18055614498366918</v>
      </c>
      <c r="U62" s="5">
        <f t="shared" si="5"/>
        <v>0.22089321609294127</v>
      </c>
      <c r="V62" s="14"/>
      <c r="W62" s="3">
        <f t="shared" si="1"/>
        <v>0.40144936107661044</v>
      </c>
      <c r="X62" s="3">
        <f t="shared" si="6"/>
        <v>1.5112083455855669E-2</v>
      </c>
      <c r="Y62">
        <f t="shared" ref="Y62" si="41">+SUM(K62:L62)</f>
        <v>106.2787483522204</v>
      </c>
    </row>
    <row r="63" spans="1:25" ht="15.6" x14ac:dyDescent="0.3">
      <c r="A63" s="1" t="s">
        <v>23</v>
      </c>
      <c r="B63" s="1">
        <v>60</v>
      </c>
      <c r="C63" s="12">
        <f>+'Flow rate'!E62</f>
        <v>57.143394999999998</v>
      </c>
      <c r="D63" s="1" t="s">
        <v>27</v>
      </c>
      <c r="E63" s="1" t="s">
        <v>26</v>
      </c>
      <c r="F63" s="1" t="s">
        <v>24</v>
      </c>
      <c r="G63" s="1">
        <v>-0.5</v>
      </c>
      <c r="H63" s="15">
        <v>45454.352708333332</v>
      </c>
      <c r="I63" s="2">
        <f t="shared" si="7"/>
        <v>16.911063888925128</v>
      </c>
      <c r="J63" s="21">
        <v>0.20353647665973082</v>
      </c>
      <c r="K63" s="21">
        <v>0.23755706732580659</v>
      </c>
      <c r="L63" s="21">
        <v>107.97880687128331</v>
      </c>
      <c r="N63" s="21">
        <v>1.3979470764436244E-2</v>
      </c>
      <c r="O63" s="21">
        <v>9.8576716069361889E-3</v>
      </c>
      <c r="P63" s="3">
        <f t="shared" si="8"/>
        <v>1.8768854822211077E-3</v>
      </c>
      <c r="Q63" s="3">
        <f t="shared" si="9"/>
        <v>2.19060199026744E-3</v>
      </c>
      <c r="R63" s="3">
        <f t="shared" si="10"/>
        <v>0.99571270138019918</v>
      </c>
      <c r="S63" s="3">
        <f t="shared" si="11"/>
        <v>1.2890989446952481E-4</v>
      </c>
      <c r="T63" s="4">
        <f t="shared" si="4"/>
        <v>2.8390045114469891E-2</v>
      </c>
      <c r="U63" s="5">
        <f t="shared" si="5"/>
        <v>3.3135367032592178E-2</v>
      </c>
      <c r="V63" s="14"/>
      <c r="W63" s="3">
        <f t="shared" si="1"/>
        <v>6.1525412147062072E-2</v>
      </c>
      <c r="X63" s="3">
        <f t="shared" si="6"/>
        <v>2.1952046684970135E-3</v>
      </c>
    </row>
    <row r="64" spans="1:25" ht="15.6" x14ac:dyDescent="0.3">
      <c r="A64" s="1" t="s">
        <v>23</v>
      </c>
      <c r="B64" s="1">
        <v>60</v>
      </c>
      <c r="C64" s="12">
        <f>+'Flow rate'!E63</f>
        <v>33.842570000000002</v>
      </c>
      <c r="D64" s="1" t="s">
        <v>27</v>
      </c>
      <c r="E64" s="1" t="s">
        <v>26</v>
      </c>
      <c r="F64" s="1" t="s">
        <v>24</v>
      </c>
      <c r="G64" s="1">
        <v>-0.5</v>
      </c>
      <c r="H64" s="15">
        <v>45454.363136574073</v>
      </c>
      <c r="I64" s="2">
        <f t="shared" si="7"/>
        <v>17.161341666709632</v>
      </c>
      <c r="J64" s="22">
        <v>6.3676020741856437E-3</v>
      </c>
      <c r="K64" s="22">
        <v>5.8594428003875973E-2</v>
      </c>
      <c r="L64" s="22">
        <v>108.31426444000385</v>
      </c>
      <c r="N64" s="22">
        <v>3.3642155164629664E-3</v>
      </c>
      <c r="O64" s="22">
        <v>7.0460207241648878E-3</v>
      </c>
      <c r="P64" s="3">
        <f t="shared" si="8"/>
        <v>5.874733293403696E-5</v>
      </c>
      <c r="Q64" s="3">
        <f t="shared" si="9"/>
        <v>5.4059068546041225E-4</v>
      </c>
      <c r="R64" s="3">
        <f t="shared" si="10"/>
        <v>0.999304617409846</v>
      </c>
      <c r="S64" s="3">
        <f t="shared" si="11"/>
        <v>3.1038165812642916E-5</v>
      </c>
      <c r="T64" s="4">
        <f t="shared" si="4"/>
        <v>5.2627623527426893E-4</v>
      </c>
      <c r="U64" s="5">
        <f t="shared" si="5"/>
        <v>4.8427735619570398E-3</v>
      </c>
      <c r="V64" s="14"/>
      <c r="W64" s="3">
        <f t="shared" si="1"/>
        <v>5.3690497972313086E-3</v>
      </c>
      <c r="X64" s="3">
        <f t="shared" si="6"/>
        <v>5.4067437747712106E-4</v>
      </c>
      <c r="Y64">
        <f t="shared" ref="Y64" si="42">+SUM(K64:L64)</f>
        <v>108.37285886800773</v>
      </c>
    </row>
    <row r="65" spans="1:24" x14ac:dyDescent="0.3">
      <c r="A65" s="1"/>
      <c r="B65" s="1"/>
      <c r="C65" s="12"/>
      <c r="D65" s="1"/>
      <c r="E65" s="1"/>
      <c r="F65" s="1"/>
      <c r="G65" s="1"/>
      <c r="H65" s="15"/>
      <c r="I65" s="2"/>
      <c r="J65" s="13"/>
      <c r="K65" s="1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3">
      <c r="A66" s="1"/>
      <c r="B66" s="1"/>
      <c r="C66" s="12"/>
      <c r="D66" s="1"/>
      <c r="E66" s="1"/>
      <c r="F66" s="1"/>
      <c r="G66" s="1"/>
      <c r="H66" s="15"/>
      <c r="I66" s="2"/>
      <c r="J66" s="13"/>
      <c r="K66" s="13"/>
      <c r="N66" s="13"/>
      <c r="O66" s="13"/>
      <c r="R66" s="13"/>
      <c r="S66" s="13"/>
      <c r="V66" s="13"/>
      <c r="W66" s="13"/>
    </row>
    <row r="67" spans="1:24" x14ac:dyDescent="0.3">
      <c r="A67" s="1"/>
      <c r="B67" s="1"/>
      <c r="C67" s="12"/>
      <c r="D67" s="1"/>
      <c r="E67" s="1"/>
      <c r="F67" s="1"/>
      <c r="G67" s="1"/>
      <c r="H67" s="15"/>
      <c r="I67" s="2"/>
      <c r="J67" s="13"/>
      <c r="K67" s="13"/>
      <c r="N67" s="13"/>
      <c r="O67" s="13"/>
      <c r="R67" s="13"/>
      <c r="S67" s="13"/>
      <c r="V67" s="13"/>
      <c r="W67" s="13"/>
    </row>
    <row r="68" spans="1:24" x14ac:dyDescent="0.3">
      <c r="A68" s="1"/>
      <c r="B68" s="1"/>
      <c r="C68" s="12"/>
      <c r="D68" s="1"/>
      <c r="E68" s="1"/>
      <c r="F68" s="1"/>
      <c r="G68" s="1"/>
      <c r="H68" s="15"/>
      <c r="I68" s="2"/>
      <c r="J68" s="13"/>
      <c r="K68" s="13"/>
      <c r="N68" s="13"/>
      <c r="O68" s="13"/>
      <c r="R68" s="13"/>
      <c r="S68" s="13"/>
      <c r="V68" s="13"/>
      <c r="W68" s="13"/>
    </row>
    <row r="69" spans="1:24" x14ac:dyDescent="0.3">
      <c r="A69" s="1"/>
      <c r="B69" s="1"/>
      <c r="C69" s="12"/>
      <c r="D69" s="1"/>
      <c r="E69" s="1"/>
      <c r="F69" s="1"/>
      <c r="G69" s="1"/>
      <c r="H69" s="15"/>
      <c r="I69" s="2"/>
      <c r="J69" s="13"/>
      <c r="K69" s="13"/>
      <c r="N69" s="13"/>
      <c r="O69" s="13"/>
      <c r="R69" s="13"/>
      <c r="S69" s="13"/>
      <c r="V69" s="13"/>
      <c r="W69" s="13"/>
    </row>
    <row r="70" spans="1:24" x14ac:dyDescent="0.3">
      <c r="A70" s="1"/>
      <c r="B70" s="1"/>
      <c r="C70" s="12"/>
      <c r="D70" s="1"/>
      <c r="E70" s="1"/>
      <c r="F70" s="1"/>
      <c r="G70" s="1"/>
      <c r="H70" s="15"/>
      <c r="I70" s="2"/>
      <c r="J70" s="13"/>
      <c r="K70" s="13"/>
      <c r="N70" s="13"/>
      <c r="O70" s="13"/>
      <c r="R70" s="13"/>
      <c r="S70" s="13"/>
      <c r="V70" s="13"/>
      <c r="W70" s="13"/>
    </row>
    <row r="71" spans="1:24" x14ac:dyDescent="0.3">
      <c r="A71" s="1"/>
      <c r="B71" s="1"/>
      <c r="C71" s="12"/>
      <c r="D71" s="1"/>
      <c r="E71" s="1"/>
      <c r="F71" s="1"/>
      <c r="G71" s="1"/>
      <c r="H71" s="15"/>
      <c r="I71" s="2"/>
      <c r="J71" s="13"/>
      <c r="K71" s="13"/>
      <c r="N71" s="13"/>
      <c r="O71" s="13"/>
      <c r="R71" s="13"/>
      <c r="S71" s="13"/>
      <c r="V71" s="13"/>
      <c r="W71" s="13"/>
    </row>
    <row r="72" spans="1:24" x14ac:dyDescent="0.3">
      <c r="A72" s="1"/>
      <c r="B72" s="1"/>
      <c r="C72" s="12"/>
      <c r="D72" s="1"/>
      <c r="E72" s="1"/>
      <c r="F72" s="1"/>
      <c r="G72" s="1"/>
      <c r="H72" s="15"/>
      <c r="I72" s="2"/>
      <c r="J72" s="13"/>
      <c r="K72" s="13"/>
      <c r="N72" s="13"/>
      <c r="O72" s="13"/>
      <c r="R72" s="13"/>
      <c r="S72" s="13"/>
      <c r="V72" s="13"/>
      <c r="W72" s="13"/>
    </row>
    <row r="73" spans="1:24" x14ac:dyDescent="0.3">
      <c r="A73" s="1"/>
      <c r="B73" s="1"/>
      <c r="C73" s="12"/>
      <c r="D73" s="1"/>
      <c r="E73" s="1"/>
      <c r="F73" s="1"/>
      <c r="G73" s="1"/>
      <c r="H73" s="15"/>
      <c r="I73" s="2"/>
      <c r="J73" s="13"/>
      <c r="K73" s="13"/>
      <c r="N73" s="13"/>
      <c r="O73" s="13"/>
      <c r="R73" s="13"/>
      <c r="S73" s="13"/>
      <c r="V73" s="13"/>
      <c r="W73" s="13"/>
    </row>
    <row r="74" spans="1:24" x14ac:dyDescent="0.3">
      <c r="A74" s="1"/>
      <c r="B74" s="1"/>
      <c r="C74" s="12"/>
      <c r="D74" s="1"/>
      <c r="E74" s="1"/>
      <c r="F74" s="1"/>
      <c r="G74" s="1"/>
      <c r="H74" s="15"/>
      <c r="I74" s="2"/>
      <c r="J74" s="13"/>
      <c r="K74" s="13"/>
      <c r="N74" s="13"/>
      <c r="O74" s="13"/>
      <c r="R74" s="13"/>
      <c r="S74" s="13"/>
      <c r="V74" s="13"/>
      <c r="W74" s="13"/>
    </row>
    <row r="75" spans="1:24" x14ac:dyDescent="0.3">
      <c r="A75" s="1"/>
      <c r="B75" s="1"/>
      <c r="C75" s="12"/>
      <c r="D75" s="1"/>
      <c r="E75" s="1"/>
      <c r="F75" s="1"/>
      <c r="G75" s="1"/>
      <c r="H75" s="15"/>
      <c r="I75" s="2"/>
      <c r="J75" s="13"/>
      <c r="K75" s="13"/>
      <c r="N75" s="13"/>
      <c r="O75" s="13"/>
      <c r="R75" s="13"/>
      <c r="S75" s="13"/>
      <c r="V75" s="13"/>
      <c r="W75" s="13"/>
    </row>
    <row r="76" spans="1:24" x14ac:dyDescent="0.3">
      <c r="A76" s="1"/>
      <c r="B76" s="1"/>
      <c r="C76" s="12"/>
      <c r="D76" s="1"/>
      <c r="E76" s="1"/>
      <c r="F76" s="1"/>
      <c r="G76" s="1"/>
      <c r="H76" s="15"/>
      <c r="I76" s="2"/>
      <c r="J76" s="13"/>
      <c r="K76" s="13"/>
      <c r="N76" s="13"/>
      <c r="O76" s="13"/>
      <c r="R76" s="13"/>
      <c r="S76" s="13"/>
      <c r="V76" s="13"/>
      <c r="W76" s="13"/>
    </row>
    <row r="77" spans="1:24" x14ac:dyDescent="0.3">
      <c r="A77" s="1"/>
      <c r="B77" s="1"/>
      <c r="C77" s="12"/>
      <c r="D77" s="1"/>
      <c r="E77" s="1"/>
      <c r="F77" s="1"/>
      <c r="G77" s="1"/>
      <c r="H77" s="15"/>
      <c r="I77" s="2"/>
      <c r="J77" s="13"/>
      <c r="K77" s="13"/>
      <c r="N77" s="13"/>
      <c r="O77" s="13"/>
      <c r="R77" s="13"/>
      <c r="S77" s="13"/>
      <c r="V77" s="13"/>
      <c r="W77" s="13"/>
    </row>
    <row r="78" spans="1:24" x14ac:dyDescent="0.3">
      <c r="A78" s="1"/>
      <c r="B78" s="1"/>
      <c r="C78" s="12"/>
      <c r="D78" s="1"/>
      <c r="E78" s="1"/>
      <c r="F78" s="1"/>
      <c r="G78" s="1"/>
      <c r="H78" s="15"/>
      <c r="I78" s="2"/>
      <c r="J78" s="13"/>
      <c r="K78" s="13"/>
      <c r="N78" s="13"/>
      <c r="O78" s="13"/>
      <c r="R78" s="13"/>
      <c r="S78" s="13"/>
      <c r="V78" s="13"/>
      <c r="W78" s="13"/>
    </row>
    <row r="79" spans="1:24" x14ac:dyDescent="0.3">
      <c r="A79" s="1"/>
      <c r="B79" s="1"/>
      <c r="C79" s="12"/>
      <c r="D79" s="1"/>
      <c r="E79" s="1"/>
      <c r="F79" s="1"/>
      <c r="G79" s="1"/>
      <c r="H79" s="15"/>
      <c r="I79" s="2"/>
      <c r="J79" s="13"/>
      <c r="K79" s="13"/>
      <c r="N79" s="13"/>
      <c r="O79" s="13"/>
      <c r="R79" s="13"/>
      <c r="S79" s="13"/>
      <c r="V79" s="13"/>
      <c r="W79" s="13"/>
    </row>
    <row r="80" spans="1:24" x14ac:dyDescent="0.3">
      <c r="A80" s="1"/>
      <c r="B80" s="1"/>
      <c r="C80" s="12"/>
      <c r="D80" s="1"/>
      <c r="E80" s="1"/>
      <c r="F80" s="1"/>
      <c r="G80" s="1"/>
      <c r="H80" s="15"/>
      <c r="I80" s="2"/>
      <c r="J80" s="13"/>
      <c r="K80" s="13"/>
      <c r="N80" s="13"/>
      <c r="O80" s="13"/>
      <c r="R80" s="13"/>
      <c r="S80" s="13"/>
      <c r="V80" s="13"/>
      <c r="W80" s="13"/>
    </row>
    <row r="81" spans="1:23" x14ac:dyDescent="0.3">
      <c r="A81" s="1"/>
      <c r="B81" s="1"/>
      <c r="C81" s="12"/>
      <c r="D81" s="1"/>
      <c r="E81" s="1"/>
      <c r="F81" s="1"/>
      <c r="G81" s="1"/>
      <c r="H81" s="15"/>
      <c r="I81" s="2"/>
      <c r="J81" s="13"/>
      <c r="K81" s="13"/>
      <c r="N81" s="13"/>
      <c r="O81" s="13"/>
      <c r="R81" s="13"/>
      <c r="S81" s="13"/>
      <c r="V81" s="13"/>
      <c r="W81" s="13"/>
    </row>
    <row r="82" spans="1:23" x14ac:dyDescent="0.3">
      <c r="A82" s="1"/>
      <c r="B82" s="1"/>
      <c r="C82" s="12"/>
      <c r="D82" s="1"/>
      <c r="E82" s="1"/>
      <c r="F82" s="1"/>
      <c r="G82" s="1"/>
      <c r="H82" s="15"/>
      <c r="I82" s="2"/>
      <c r="J82" s="13"/>
      <c r="K82" s="13"/>
      <c r="N82" s="13"/>
      <c r="O82" s="13"/>
      <c r="R82" s="13"/>
      <c r="S82" s="13"/>
      <c r="V82" s="13"/>
      <c r="W82" s="13"/>
    </row>
    <row r="83" spans="1:23" x14ac:dyDescent="0.3">
      <c r="A83" s="1"/>
      <c r="B83" s="1"/>
      <c r="C83" s="12"/>
      <c r="D83" s="1"/>
      <c r="E83" s="1"/>
      <c r="F83" s="1"/>
      <c r="G83" s="1"/>
      <c r="H83" s="15"/>
      <c r="I83" s="2"/>
      <c r="J83" s="13"/>
      <c r="K83" s="13"/>
      <c r="N83" s="13"/>
      <c r="O83" s="13"/>
      <c r="R83" s="13"/>
      <c r="S83" s="13"/>
      <c r="V83" s="13"/>
      <c r="W83" s="13"/>
    </row>
    <row r="84" spans="1:23" x14ac:dyDescent="0.3">
      <c r="A84" s="1"/>
      <c r="B84" s="1"/>
      <c r="C84" s="12"/>
      <c r="D84" s="1"/>
      <c r="E84" s="1"/>
      <c r="F84" s="1"/>
      <c r="G84" s="1"/>
      <c r="H84" s="15"/>
      <c r="I84" s="2"/>
      <c r="J84" s="13"/>
      <c r="K84" s="13"/>
      <c r="N84" s="13"/>
      <c r="O84" s="13"/>
      <c r="R84" s="13"/>
      <c r="S84" s="13"/>
      <c r="V84" s="13"/>
      <c r="W84" s="13"/>
    </row>
    <row r="85" spans="1:23" x14ac:dyDescent="0.3">
      <c r="A85" s="1"/>
      <c r="B85" s="1"/>
      <c r="C85" s="12"/>
      <c r="D85" s="1"/>
      <c r="E85" s="1"/>
      <c r="F85" s="1"/>
      <c r="G85" s="1"/>
      <c r="H85" s="15"/>
      <c r="I85" s="2"/>
      <c r="J85" s="13"/>
      <c r="K85" s="13"/>
      <c r="N85" s="13"/>
      <c r="O85" s="13"/>
      <c r="R85" s="13"/>
      <c r="S85" s="13"/>
      <c r="V85" s="13"/>
      <c r="W85" s="13"/>
    </row>
    <row r="86" spans="1:23" x14ac:dyDescent="0.3">
      <c r="A86" s="1"/>
      <c r="B86" s="1"/>
      <c r="C86" s="12"/>
      <c r="D86" s="1"/>
      <c r="E86" s="1"/>
      <c r="F86" s="1"/>
      <c r="G86" s="1"/>
      <c r="H86" s="15"/>
      <c r="I86" s="2"/>
      <c r="J86" s="13"/>
      <c r="K86" s="13"/>
      <c r="N86" s="13"/>
      <c r="O86" s="13"/>
      <c r="R86" s="13"/>
      <c r="S86" s="13"/>
      <c r="V86" s="13"/>
      <c r="W86" s="13"/>
    </row>
    <row r="87" spans="1:23" x14ac:dyDescent="0.3">
      <c r="A87" s="1"/>
      <c r="B87" s="1"/>
      <c r="C87" s="12"/>
      <c r="D87" s="1"/>
      <c r="E87" s="1"/>
      <c r="F87" s="1"/>
      <c r="G87" s="1"/>
      <c r="H87" s="15"/>
      <c r="I87" s="2"/>
      <c r="J87" s="13"/>
      <c r="K87" s="13"/>
      <c r="N87" s="13"/>
      <c r="O87" s="13"/>
      <c r="R87" s="13"/>
      <c r="S87" s="13"/>
      <c r="V87" s="13"/>
      <c r="W87" s="13"/>
    </row>
    <row r="88" spans="1:23" x14ac:dyDescent="0.3">
      <c r="A88" s="1"/>
      <c r="B88" s="1"/>
      <c r="C88" s="12"/>
      <c r="D88" s="1"/>
      <c r="E88" s="1"/>
      <c r="F88" s="1"/>
      <c r="G88" s="1"/>
      <c r="H88" s="15"/>
      <c r="I88" s="2"/>
      <c r="J88" s="13"/>
      <c r="K88" s="13"/>
      <c r="N88" s="13"/>
      <c r="O88" s="13"/>
      <c r="R88" s="13"/>
      <c r="S88" s="13"/>
      <c r="V88" s="13"/>
      <c r="W88" s="13"/>
    </row>
    <row r="89" spans="1:23" x14ac:dyDescent="0.3">
      <c r="A89" s="1"/>
      <c r="B89" s="1"/>
      <c r="C89" s="12"/>
      <c r="D89" s="1"/>
      <c r="E89" s="1"/>
      <c r="F89" s="1"/>
      <c r="G89" s="1"/>
      <c r="H89" s="15"/>
      <c r="I89" s="2"/>
      <c r="J89" s="13"/>
      <c r="K89" s="13"/>
      <c r="N89" s="13"/>
      <c r="O89" s="13"/>
      <c r="R89" s="13"/>
      <c r="S89" s="13"/>
      <c r="V89" s="13"/>
      <c r="W89" s="13"/>
    </row>
    <row r="90" spans="1:23" x14ac:dyDescent="0.3">
      <c r="A90" s="1"/>
      <c r="B90" s="1"/>
      <c r="C90" s="12"/>
      <c r="D90" s="1"/>
      <c r="E90" s="1"/>
      <c r="F90" s="1"/>
      <c r="G90" s="1"/>
      <c r="H90" s="15"/>
      <c r="I90" s="2"/>
      <c r="J90" s="13"/>
      <c r="K90" s="13"/>
      <c r="N90" s="13"/>
      <c r="O90" s="13"/>
      <c r="R90" s="13"/>
      <c r="S90" s="13"/>
      <c r="V90" s="13"/>
      <c r="W90" s="13"/>
    </row>
    <row r="91" spans="1:23" x14ac:dyDescent="0.3">
      <c r="A91" s="1"/>
      <c r="B91" s="1"/>
      <c r="C91" s="12"/>
      <c r="D91" s="1"/>
      <c r="E91" s="1"/>
      <c r="F91" s="1"/>
      <c r="G91" s="1"/>
      <c r="H91" s="15"/>
      <c r="I91" s="2"/>
      <c r="J91" s="13"/>
      <c r="K91" s="13"/>
      <c r="N91" s="13"/>
      <c r="O91" s="13"/>
      <c r="R91" s="13"/>
      <c r="S91" s="13"/>
      <c r="V91" s="13"/>
      <c r="W91" s="13"/>
    </row>
    <row r="92" spans="1:23" x14ac:dyDescent="0.3">
      <c r="A92" s="1"/>
      <c r="B92" s="1"/>
      <c r="C92" s="12"/>
      <c r="D92" s="1"/>
      <c r="E92" s="1"/>
      <c r="F92" s="1"/>
      <c r="G92" s="1"/>
      <c r="H92" s="15"/>
      <c r="I92" s="2"/>
      <c r="J92" s="13"/>
      <c r="K92" s="13"/>
      <c r="N92" s="13"/>
      <c r="O92" s="13"/>
      <c r="R92" s="13"/>
      <c r="S92" s="13"/>
      <c r="V92" s="13"/>
      <c r="W92" s="13"/>
    </row>
    <row r="93" spans="1:23" x14ac:dyDescent="0.3">
      <c r="A93" s="1"/>
      <c r="B93" s="1"/>
      <c r="C93" s="12"/>
      <c r="D93" s="1"/>
      <c r="E93" s="1"/>
      <c r="F93" s="1"/>
      <c r="G93" s="1"/>
      <c r="H93" s="15"/>
      <c r="I93" s="2"/>
      <c r="J93" s="13"/>
      <c r="K93" s="13"/>
      <c r="N93" s="13"/>
      <c r="O93" s="13"/>
      <c r="R93" s="13"/>
      <c r="S93" s="13"/>
      <c r="V93" s="13"/>
      <c r="W93" s="13"/>
    </row>
    <row r="94" spans="1:23" x14ac:dyDescent="0.3">
      <c r="A94" s="1"/>
      <c r="B94" s="1"/>
      <c r="C94" s="12"/>
      <c r="D94" s="1"/>
      <c r="E94" s="1"/>
      <c r="F94" s="1"/>
      <c r="G94" s="1"/>
      <c r="H94" s="15"/>
      <c r="I94" s="2"/>
      <c r="J94" s="13"/>
      <c r="K94" s="13"/>
      <c r="N94" s="13"/>
      <c r="O94" s="13"/>
      <c r="R94" s="13"/>
      <c r="S94" s="13"/>
      <c r="V94" s="13"/>
      <c r="W94" s="13"/>
    </row>
    <row r="95" spans="1:23" x14ac:dyDescent="0.3">
      <c r="A95" s="1"/>
      <c r="B95" s="1"/>
      <c r="C95" s="12"/>
      <c r="D95" s="1"/>
      <c r="E95" s="1"/>
      <c r="F95" s="1"/>
      <c r="G95" s="1"/>
      <c r="H95" s="15"/>
      <c r="I95" s="2"/>
      <c r="J95" s="13"/>
      <c r="K95" s="13"/>
      <c r="N95" s="13"/>
      <c r="O95" s="13"/>
      <c r="R95" s="13"/>
      <c r="S95" s="13"/>
      <c r="V95" s="13"/>
      <c r="W95" s="13"/>
    </row>
    <row r="96" spans="1:23" x14ac:dyDescent="0.3">
      <c r="A96" s="1"/>
      <c r="B96" s="1"/>
      <c r="C96" s="12"/>
      <c r="D96" s="1"/>
      <c r="E96" s="1"/>
      <c r="F96" s="1"/>
      <c r="G96" s="1"/>
      <c r="H96" s="15"/>
      <c r="I96" s="2"/>
      <c r="J96" s="13"/>
      <c r="K96" s="13"/>
      <c r="N96" s="13"/>
      <c r="O96" s="13"/>
      <c r="R96" s="13"/>
      <c r="S96" s="13"/>
      <c r="V96" s="13"/>
      <c r="W96" s="13"/>
    </row>
    <row r="97" spans="1:23" x14ac:dyDescent="0.3">
      <c r="A97" s="1"/>
      <c r="B97" s="1"/>
      <c r="C97" s="12"/>
      <c r="D97" s="1"/>
      <c r="E97" s="1"/>
      <c r="F97" s="1"/>
      <c r="G97" s="1"/>
      <c r="H97" s="15"/>
      <c r="I97" s="2"/>
      <c r="J97" s="13"/>
      <c r="K97" s="13"/>
      <c r="N97" s="13"/>
      <c r="O97" s="13"/>
      <c r="R97" s="13"/>
      <c r="S97" s="13"/>
      <c r="V97" s="13"/>
      <c r="W97" s="13"/>
    </row>
    <row r="98" spans="1:23" x14ac:dyDescent="0.3">
      <c r="A98" s="1"/>
      <c r="B98" s="1"/>
      <c r="C98" s="12"/>
      <c r="D98" s="1"/>
      <c r="E98" s="1"/>
      <c r="F98" s="1"/>
      <c r="G98" s="1"/>
      <c r="H98" s="15"/>
      <c r="I98" s="2"/>
      <c r="J98" s="13"/>
      <c r="K98" s="13"/>
      <c r="N98" s="13"/>
      <c r="O98" s="13"/>
      <c r="R98" s="13"/>
      <c r="S98" s="13"/>
      <c r="V98" s="13"/>
      <c r="W98" s="13"/>
    </row>
    <row r="99" spans="1:23" x14ac:dyDescent="0.3">
      <c r="A99" s="1"/>
      <c r="B99" s="1"/>
      <c r="C99" s="12"/>
      <c r="D99" s="1"/>
      <c r="E99" s="1"/>
      <c r="F99" s="1"/>
      <c r="G99" s="1"/>
      <c r="H99" s="15"/>
      <c r="I99" s="2"/>
      <c r="J99" s="13"/>
      <c r="K99" s="13"/>
      <c r="N99" s="13"/>
      <c r="O99" s="13"/>
      <c r="R99" s="13"/>
      <c r="S99" s="13"/>
      <c r="V99" s="13"/>
      <c r="W99" s="13"/>
    </row>
    <row r="100" spans="1:23" x14ac:dyDescent="0.3">
      <c r="A100" s="1"/>
      <c r="B100" s="1"/>
      <c r="C100" s="12"/>
      <c r="D100" s="1"/>
      <c r="E100" s="1"/>
      <c r="F100" s="1"/>
      <c r="G100" s="1"/>
      <c r="H100" s="15"/>
      <c r="I100" s="2"/>
      <c r="J100" s="13"/>
      <c r="K100" s="13"/>
      <c r="N100" s="13"/>
      <c r="O100" s="13"/>
      <c r="R100" s="13"/>
      <c r="S100" s="13"/>
      <c r="V100" s="13"/>
      <c r="W100" s="13"/>
    </row>
    <row r="101" spans="1:23" x14ac:dyDescent="0.3">
      <c r="A101" s="1"/>
      <c r="B101" s="1"/>
      <c r="C101" s="12"/>
      <c r="D101" s="1"/>
      <c r="E101" s="1"/>
      <c r="F101" s="1"/>
      <c r="G101" s="1"/>
      <c r="H101" s="15"/>
      <c r="I101" s="2"/>
      <c r="J101" s="13"/>
      <c r="K101" s="13"/>
      <c r="N101" s="13"/>
      <c r="O101" s="13"/>
      <c r="R101" s="13"/>
      <c r="S101" s="13"/>
      <c r="V101" s="13"/>
      <c r="W101" s="13"/>
    </row>
    <row r="102" spans="1:23" x14ac:dyDescent="0.3">
      <c r="A102" s="1"/>
      <c r="B102" s="1"/>
      <c r="C102" s="12"/>
      <c r="D102" s="1"/>
      <c r="E102" s="1"/>
      <c r="F102" s="1"/>
      <c r="G102" s="1"/>
      <c r="H102" s="15"/>
      <c r="I102" s="2"/>
      <c r="J102" s="13"/>
      <c r="K102" s="13"/>
      <c r="N102" s="13"/>
      <c r="O102" s="13"/>
      <c r="R102" s="13"/>
      <c r="S102" s="13"/>
      <c r="V102" s="13"/>
      <c r="W102" s="13"/>
    </row>
    <row r="103" spans="1:23" x14ac:dyDescent="0.3">
      <c r="A103" s="1"/>
      <c r="B103" s="1"/>
      <c r="C103" s="12"/>
      <c r="D103" s="1"/>
      <c r="E103" s="1"/>
      <c r="F103" s="1"/>
      <c r="G103" s="1"/>
      <c r="H103" s="15"/>
      <c r="I103" s="2"/>
      <c r="J103" s="13"/>
      <c r="K103" s="13"/>
      <c r="N103" s="13"/>
      <c r="O103" s="13"/>
      <c r="R103" s="13"/>
      <c r="S103" s="13"/>
      <c r="V103" s="13"/>
      <c r="W103" s="13"/>
    </row>
    <row r="104" spans="1:23" x14ac:dyDescent="0.3">
      <c r="A104" s="1"/>
      <c r="B104" s="1"/>
      <c r="C104" s="12"/>
      <c r="D104" s="1"/>
      <c r="E104" s="1"/>
      <c r="F104" s="1"/>
      <c r="G104" s="1"/>
      <c r="H104" s="15"/>
      <c r="I104" s="2"/>
      <c r="J104" s="13"/>
      <c r="K104" s="13"/>
      <c r="N104" s="13"/>
      <c r="O104" s="13"/>
      <c r="R104" s="13"/>
      <c r="S104" s="13"/>
      <c r="V104" s="13"/>
      <c r="W104" s="13"/>
    </row>
    <row r="105" spans="1:23" x14ac:dyDescent="0.3">
      <c r="A105" s="1"/>
      <c r="B105" s="1"/>
      <c r="C105" s="12"/>
      <c r="D105" s="1"/>
      <c r="E105" s="1"/>
      <c r="F105" s="1"/>
      <c r="G105" s="1"/>
      <c r="H105" s="15"/>
      <c r="I105" s="2"/>
      <c r="J105" s="13"/>
      <c r="K105" s="13"/>
      <c r="N105" s="13"/>
      <c r="O105" s="13"/>
      <c r="R105" s="13"/>
      <c r="S105" s="13"/>
      <c r="V105" s="13"/>
      <c r="W105" s="13"/>
    </row>
    <row r="106" spans="1:23" x14ac:dyDescent="0.3">
      <c r="A106" s="1"/>
      <c r="B106" s="1"/>
      <c r="C106" s="12"/>
      <c r="D106" s="1"/>
      <c r="E106" s="1"/>
      <c r="F106" s="1"/>
      <c r="G106" s="1"/>
      <c r="H106" s="15"/>
      <c r="I106" s="2"/>
      <c r="J106" s="13"/>
      <c r="K106" s="13"/>
      <c r="N106" s="13"/>
      <c r="O106" s="13"/>
      <c r="R106" s="13"/>
      <c r="S106" s="13"/>
      <c r="V106" s="13"/>
      <c r="W106" s="13"/>
    </row>
    <row r="107" spans="1:23" x14ac:dyDescent="0.3">
      <c r="A107" s="1"/>
      <c r="B107" s="1"/>
      <c r="C107" s="12"/>
      <c r="D107" s="1"/>
      <c r="E107" s="1"/>
      <c r="F107" s="1"/>
      <c r="G107" s="1"/>
      <c r="H107" s="15"/>
      <c r="I107" s="2"/>
      <c r="J107" s="13"/>
      <c r="K107" s="13"/>
      <c r="N107" s="13"/>
      <c r="O107" s="13"/>
      <c r="R107" s="13"/>
      <c r="S107" s="13"/>
      <c r="V107" s="13"/>
      <c r="W107" s="13"/>
    </row>
    <row r="108" spans="1:23" x14ac:dyDescent="0.3">
      <c r="A108" s="1"/>
      <c r="B108" s="1"/>
      <c r="C108" s="12"/>
      <c r="D108" s="1"/>
      <c r="E108" s="1"/>
      <c r="F108" s="1"/>
      <c r="G108" s="1"/>
      <c r="H108" s="15"/>
      <c r="I108" s="2"/>
      <c r="J108" s="13"/>
      <c r="K108" s="13"/>
      <c r="N108" s="13"/>
      <c r="O108" s="13"/>
      <c r="R108" s="13"/>
      <c r="S108" s="13"/>
      <c r="V108" s="13"/>
      <c r="W108" s="13"/>
    </row>
    <row r="109" spans="1:23" x14ac:dyDescent="0.3">
      <c r="A109" s="1"/>
      <c r="B109" s="1"/>
      <c r="C109" s="12"/>
      <c r="D109" s="1"/>
      <c r="E109" s="1"/>
      <c r="F109" s="1"/>
      <c r="G109" s="1"/>
      <c r="H109" s="15"/>
      <c r="I109" s="2"/>
      <c r="J109" s="13"/>
      <c r="K109" s="13"/>
      <c r="N109" s="13"/>
      <c r="O109" s="13"/>
      <c r="R109" s="13"/>
      <c r="S109" s="13"/>
      <c r="V109" s="13"/>
      <c r="W109" s="13"/>
    </row>
    <row r="110" spans="1:23" x14ac:dyDescent="0.3">
      <c r="A110" s="1"/>
      <c r="B110" s="1"/>
      <c r="C110" s="12"/>
      <c r="D110" s="1"/>
      <c r="E110" s="1"/>
      <c r="F110" s="1"/>
      <c r="G110" s="1"/>
      <c r="H110" s="15"/>
      <c r="I110" s="2"/>
      <c r="J110" s="13"/>
      <c r="K110" s="13"/>
      <c r="N110" s="13"/>
      <c r="O110" s="13"/>
      <c r="R110" s="13"/>
      <c r="S110" s="13"/>
      <c r="V110" s="13"/>
      <c r="W110" s="13"/>
    </row>
    <row r="111" spans="1:23" x14ac:dyDescent="0.3">
      <c r="A111" s="1"/>
      <c r="B111" s="1"/>
      <c r="C111" s="12"/>
      <c r="D111" s="1"/>
      <c r="E111" s="1"/>
      <c r="F111" s="1"/>
      <c r="G111" s="1"/>
      <c r="H111" s="15"/>
      <c r="I111" s="2"/>
      <c r="J111" s="13"/>
      <c r="K111" s="13"/>
      <c r="N111" s="13"/>
      <c r="O111" s="13"/>
      <c r="R111" s="13"/>
      <c r="S111" s="13"/>
      <c r="V111" s="13"/>
      <c r="W111" s="13"/>
    </row>
    <row r="112" spans="1:23" x14ac:dyDescent="0.3">
      <c r="A112" s="1"/>
      <c r="B112" s="1"/>
      <c r="C112" s="12"/>
      <c r="D112" s="1"/>
      <c r="E112" s="1"/>
      <c r="F112" s="1"/>
      <c r="G112" s="1"/>
      <c r="H112" s="15"/>
      <c r="I112" s="2"/>
      <c r="J112" s="13"/>
      <c r="K112" s="13"/>
      <c r="N112" s="13"/>
      <c r="O112" s="13"/>
      <c r="R112" s="13"/>
      <c r="S112" s="13"/>
      <c r="V112" s="13"/>
      <c r="W112" s="13"/>
    </row>
    <row r="113" spans="1:23" x14ac:dyDescent="0.3">
      <c r="A113" s="1"/>
      <c r="B113" s="1"/>
      <c r="C113" s="12"/>
      <c r="D113" s="1"/>
      <c r="E113" s="1"/>
      <c r="F113" s="1"/>
      <c r="G113" s="1"/>
      <c r="H113" s="15"/>
      <c r="I113" s="2"/>
      <c r="J113" s="13"/>
      <c r="K113" s="13"/>
      <c r="N113" s="13"/>
      <c r="O113" s="13"/>
      <c r="R113" s="13"/>
      <c r="S113" s="13"/>
      <c r="V113" s="13"/>
      <c r="W113" s="13"/>
    </row>
    <row r="114" spans="1:23" x14ac:dyDescent="0.3">
      <c r="A114" s="1"/>
      <c r="B114" s="1"/>
      <c r="C114" s="12"/>
      <c r="D114" s="1"/>
      <c r="E114" s="1"/>
      <c r="F114" s="1"/>
      <c r="G114" s="1"/>
      <c r="H114" s="15"/>
      <c r="I114" s="2"/>
      <c r="J114" s="13"/>
      <c r="K114" s="13"/>
      <c r="N114" s="13"/>
      <c r="O114" s="13"/>
      <c r="R114" s="13"/>
      <c r="S114" s="13"/>
      <c r="V114" s="13"/>
      <c r="W114" s="13"/>
    </row>
    <row r="115" spans="1:23" x14ac:dyDescent="0.3">
      <c r="A115" s="1"/>
      <c r="B115" s="1"/>
      <c r="C115" s="12"/>
      <c r="D115" s="1"/>
      <c r="E115" s="1"/>
      <c r="F115" s="1"/>
      <c r="G115" s="1"/>
      <c r="H115" s="15"/>
      <c r="I115" s="2"/>
      <c r="J115" s="13"/>
      <c r="K115" s="13"/>
      <c r="N115" s="13"/>
      <c r="O115" s="13"/>
      <c r="R115" s="13"/>
      <c r="S115" s="13"/>
      <c r="V115" s="13"/>
      <c r="W115" s="13"/>
    </row>
    <row r="116" spans="1:23" x14ac:dyDescent="0.3">
      <c r="A116" s="1"/>
      <c r="B116" s="1"/>
      <c r="C116" s="12"/>
      <c r="D116" s="1"/>
      <c r="E116" s="1"/>
      <c r="F116" s="1"/>
      <c r="G116" s="1"/>
      <c r="H116" s="15"/>
      <c r="I116" s="2"/>
      <c r="J116" s="13"/>
      <c r="K116" s="13"/>
      <c r="N116" s="13"/>
      <c r="O116" s="13"/>
      <c r="R116" s="13"/>
      <c r="S116" s="13"/>
      <c r="V116" s="13"/>
      <c r="W116" s="13"/>
    </row>
    <row r="117" spans="1:23" x14ac:dyDescent="0.3">
      <c r="A117" s="1"/>
      <c r="B117" s="1"/>
      <c r="C117" s="12"/>
      <c r="D117" s="1"/>
      <c r="E117" s="1"/>
      <c r="F117" s="1"/>
      <c r="G117" s="1"/>
      <c r="H117" s="15"/>
      <c r="I117" s="2"/>
      <c r="J117" s="13"/>
      <c r="K117" s="13"/>
      <c r="N117" s="13"/>
      <c r="O117" s="13"/>
      <c r="R117" s="13"/>
      <c r="S117" s="13"/>
      <c r="V117" s="13"/>
      <c r="W117" s="13"/>
    </row>
    <row r="118" spans="1:23" x14ac:dyDescent="0.3">
      <c r="A118" s="1"/>
      <c r="B118" s="1"/>
      <c r="C118" s="12"/>
      <c r="D118" s="1"/>
      <c r="E118" s="1"/>
      <c r="F118" s="1"/>
      <c r="G118" s="1"/>
      <c r="H118" s="15"/>
      <c r="I118" s="2"/>
      <c r="J118" s="13"/>
      <c r="K118" s="13"/>
      <c r="N118" s="13"/>
      <c r="O118" s="13"/>
      <c r="R118" s="13"/>
      <c r="S118" s="13"/>
      <c r="V118" s="13"/>
      <c r="W118" s="13"/>
    </row>
    <row r="119" spans="1:23" x14ac:dyDescent="0.3">
      <c r="A119" s="1"/>
      <c r="B119" s="1"/>
      <c r="C119" s="12"/>
      <c r="D119" s="1"/>
      <c r="E119" s="1"/>
      <c r="F119" s="1"/>
      <c r="G119" s="1"/>
      <c r="H119" s="15"/>
      <c r="I119" s="2"/>
      <c r="J119" s="13"/>
      <c r="K119" s="13"/>
      <c r="N119" s="13"/>
      <c r="O119" s="13"/>
      <c r="R119" s="13"/>
      <c r="S119" s="13"/>
      <c r="V119" s="13"/>
      <c r="W119" s="13"/>
    </row>
    <row r="120" spans="1:23" x14ac:dyDescent="0.3">
      <c r="A120" s="1"/>
      <c r="B120" s="1"/>
      <c r="C120" s="12"/>
      <c r="D120" s="1"/>
      <c r="E120" s="1"/>
      <c r="F120" s="1"/>
      <c r="G120" s="1"/>
      <c r="H120" s="15"/>
      <c r="I120" s="2"/>
      <c r="J120" s="13"/>
      <c r="K120" s="13"/>
      <c r="N120" s="13"/>
      <c r="O120" s="13"/>
      <c r="R120" s="13"/>
      <c r="S120" s="13"/>
      <c r="V120" s="13"/>
      <c r="W120" s="13"/>
    </row>
    <row r="121" spans="1:23" x14ac:dyDescent="0.3">
      <c r="A121" s="1"/>
      <c r="B121" s="1"/>
      <c r="C121" s="12"/>
      <c r="D121" s="1"/>
      <c r="E121" s="1"/>
      <c r="F121" s="1"/>
      <c r="G121" s="1"/>
      <c r="H121" s="15"/>
      <c r="I121" s="2"/>
      <c r="J121" s="13"/>
      <c r="K121" s="13"/>
      <c r="N121" s="13"/>
      <c r="O121" s="13"/>
      <c r="R121" s="13"/>
      <c r="S121" s="13"/>
      <c r="V121" s="13"/>
      <c r="W121" s="13"/>
    </row>
    <row r="122" spans="1:23" x14ac:dyDescent="0.3">
      <c r="A122" s="1"/>
      <c r="B122" s="1"/>
      <c r="C122" s="12"/>
      <c r="D122" s="1"/>
      <c r="E122" s="1"/>
      <c r="F122" s="1"/>
      <c r="G122" s="1"/>
      <c r="H122" s="15"/>
      <c r="I122" s="2"/>
      <c r="J122" s="13"/>
      <c r="K122" s="13"/>
      <c r="N122" s="13"/>
      <c r="O122" s="13"/>
      <c r="R122" s="13"/>
      <c r="S122" s="13"/>
      <c r="V122" s="13"/>
      <c r="W122" s="13"/>
    </row>
    <row r="123" spans="1:23" x14ac:dyDescent="0.3">
      <c r="A123" s="1"/>
      <c r="B123" s="1"/>
      <c r="C123" s="12"/>
      <c r="D123" s="1"/>
      <c r="E123" s="1"/>
      <c r="F123" s="1"/>
      <c r="G123" s="1"/>
      <c r="H123" s="15"/>
      <c r="I123" s="2"/>
      <c r="J123" s="13"/>
      <c r="K123" s="13"/>
      <c r="N123" s="13"/>
      <c r="O123" s="13"/>
      <c r="R123" s="13"/>
      <c r="S123" s="13"/>
      <c r="V123" s="13"/>
      <c r="W123" s="13"/>
    </row>
    <row r="124" spans="1:23" x14ac:dyDescent="0.3">
      <c r="A124" s="1"/>
      <c r="B124" s="1"/>
      <c r="C124" s="12"/>
      <c r="D124" s="1"/>
      <c r="E124" s="1"/>
      <c r="F124" s="1"/>
      <c r="G124" s="1"/>
      <c r="H124" s="15"/>
      <c r="I124" s="2"/>
      <c r="J124" s="13"/>
      <c r="K124" s="13"/>
      <c r="N124" s="13"/>
      <c r="O124" s="13"/>
      <c r="R124" s="13"/>
      <c r="S124" s="13"/>
      <c r="V124" s="13"/>
      <c r="W124" s="13"/>
    </row>
    <row r="125" spans="1:23" x14ac:dyDescent="0.3">
      <c r="A125" s="1"/>
      <c r="B125" s="1"/>
      <c r="C125" s="12"/>
      <c r="D125" s="1"/>
      <c r="E125" s="1"/>
      <c r="F125" s="1"/>
      <c r="G125" s="1"/>
      <c r="H125" s="15"/>
      <c r="I125" s="2"/>
      <c r="J125" s="13"/>
      <c r="K125" s="13"/>
      <c r="N125" s="13"/>
      <c r="O125" s="13"/>
      <c r="R125" s="13"/>
      <c r="S125" s="13"/>
      <c r="V125" s="13"/>
      <c r="W125" s="13"/>
    </row>
    <row r="126" spans="1:23" x14ac:dyDescent="0.3">
      <c r="A126" s="1"/>
      <c r="B126" s="1"/>
      <c r="C126" s="12"/>
      <c r="D126" s="1"/>
      <c r="E126" s="1"/>
      <c r="F126" s="1"/>
      <c r="G126" s="1"/>
      <c r="H126" s="15"/>
      <c r="I126" s="2"/>
      <c r="J126" s="13"/>
      <c r="K126" s="13"/>
      <c r="N126" s="13"/>
      <c r="O126" s="13"/>
      <c r="R126" s="13"/>
      <c r="S126" s="13"/>
      <c r="V126" s="13"/>
      <c r="W126" s="13"/>
    </row>
    <row r="127" spans="1:23" x14ac:dyDescent="0.3">
      <c r="A127" s="1"/>
      <c r="B127" s="1"/>
      <c r="C127" s="12"/>
      <c r="D127" s="1"/>
      <c r="E127" s="1"/>
      <c r="F127" s="1"/>
      <c r="G127" s="1"/>
      <c r="H127" s="15"/>
      <c r="I127" s="2"/>
      <c r="J127" s="13"/>
      <c r="K127" s="13"/>
      <c r="N127" s="13"/>
      <c r="O127" s="13"/>
      <c r="R127" s="13"/>
      <c r="S127" s="13"/>
      <c r="V127" s="13"/>
      <c r="W127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FFA2-B2FB-443D-BAAB-1C9774BF9723}">
  <dimension ref="A1:E1044"/>
  <sheetViews>
    <sheetView workbookViewId="0">
      <selection activeCell="C64" sqref="C64:E1044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6"/>
      <c r="B1" s="17" t="s">
        <v>28</v>
      </c>
      <c r="C1" s="18">
        <f>+Sheet1!H2</f>
        <v>45453.648080671293</v>
      </c>
      <c r="D1" s="19">
        <f t="shared" ref="D1:D2" si="0">+C1-2/24</f>
        <v>45453.564747337958</v>
      </c>
      <c r="E1" cm="1">
        <f t="array" ref="E1">INDEX(B$1:B$224233, MATCH(D1,A$1:A$224233,1) +0)</f>
        <v>43.278511999999999</v>
      </c>
    </row>
    <row r="2" spans="1:5" x14ac:dyDescent="0.3">
      <c r="A2" s="20">
        <v>45453.555555999999</v>
      </c>
      <c r="B2" s="17">
        <v>0</v>
      </c>
      <c r="C2" s="18">
        <f>+Sheet1!H3</f>
        <v>45453.674710648149</v>
      </c>
      <c r="D2" s="19">
        <f t="shared" si="0"/>
        <v>45453.591377314813</v>
      </c>
      <c r="E2" cm="1">
        <f t="array" ref="E2">INDEX(B$1:B$224233, MATCH(D2,A$1:A$224233,1) +0)</f>
        <v>53.247892</v>
      </c>
    </row>
    <row r="3" spans="1:5" x14ac:dyDescent="0.3">
      <c r="A3" s="20">
        <v>45453.556250000001</v>
      </c>
      <c r="B3" s="17">
        <v>0</v>
      </c>
      <c r="C3" s="18">
        <f>+Sheet1!H4</f>
        <v>45453.696956018517</v>
      </c>
      <c r="D3" s="19">
        <f t="shared" ref="D3:D63" si="1">+C3-2/24</f>
        <v>45453.613622685181</v>
      </c>
      <c r="E3" cm="1">
        <f t="array" ref="E3">INDEX(B$1:B$224233, MATCH(D3,A$1:A$224233,1) +0)</f>
        <v>57.490757000000002</v>
      </c>
    </row>
    <row r="4" spans="1:5" x14ac:dyDescent="0.3">
      <c r="A4" s="20">
        <v>45453.556944000004</v>
      </c>
      <c r="B4" s="17">
        <v>31.66159</v>
      </c>
      <c r="C4" s="18">
        <f>+Sheet1!H5</f>
        <v>45453.713275462964</v>
      </c>
      <c r="D4" s="19">
        <f t="shared" si="1"/>
        <v>45453.629942129628</v>
      </c>
      <c r="E4" cm="1">
        <f t="array" ref="E4">INDEX(B$1:B$224233, MATCH(D4,A$1:A$224233,1) +0)</f>
        <v>58.253663000000003</v>
      </c>
    </row>
    <row r="5" spans="1:5" x14ac:dyDescent="0.3">
      <c r="A5" s="20">
        <v>45453.557638999999</v>
      </c>
      <c r="B5" s="17">
        <v>47.615256000000002</v>
      </c>
      <c r="C5" s="18">
        <f>+Sheet1!H6</f>
        <v>45453.737592592595</v>
      </c>
      <c r="D5" s="19">
        <f t="shared" si="1"/>
        <v>45453.65425925926</v>
      </c>
      <c r="E5" cm="1">
        <f t="array" ref="E5">INDEX(B$1:B$224233, MATCH(D5,A$1:A$224233,1) +0)</f>
        <v>61.574866</v>
      </c>
    </row>
    <row r="6" spans="1:5" x14ac:dyDescent="0.3">
      <c r="A6" s="20">
        <v>45453.558333000001</v>
      </c>
      <c r="B6" s="17">
        <v>46.507562</v>
      </c>
      <c r="C6" s="18">
        <f>+Sheet1!H7</f>
        <v>45453.761921296296</v>
      </c>
      <c r="D6" s="19">
        <f t="shared" si="1"/>
        <v>45453.678587962961</v>
      </c>
      <c r="E6" cm="1">
        <f t="array" ref="E6">INDEX(B$1:B$224233, MATCH(D6,A$1:A$224233,1) +0)</f>
        <v>61.980775999999999</v>
      </c>
    </row>
    <row r="7" spans="1:5" x14ac:dyDescent="0.3">
      <c r="A7" s="20">
        <v>45453.559028000003</v>
      </c>
      <c r="B7" s="17">
        <v>45.675206000000003</v>
      </c>
      <c r="C7" s="18">
        <f>+Sheet1!H8</f>
        <v>45453.779282407406</v>
      </c>
      <c r="D7" s="19">
        <f t="shared" si="1"/>
        <v>45453.69594907407</v>
      </c>
      <c r="E7" cm="1">
        <f t="array" ref="E7">INDEX(B$1:B$224233, MATCH(D7,A$1:A$224233,1) +0)</f>
        <v>62.722160000000002</v>
      </c>
    </row>
    <row r="8" spans="1:5" x14ac:dyDescent="0.3">
      <c r="A8" s="20">
        <v>45453.559721999998</v>
      </c>
      <c r="B8" s="17">
        <v>45.56915</v>
      </c>
      <c r="C8" s="18">
        <f>+Sheet1!H9</f>
        <v>45453.789687500001</v>
      </c>
      <c r="D8" s="19">
        <f t="shared" si="1"/>
        <v>45453.706354166665</v>
      </c>
      <c r="E8" cm="1">
        <f t="array" ref="E8">INDEX(B$1:B$224233, MATCH(D8,A$1:A$224233,1) +0)</f>
        <v>61.802396000000002</v>
      </c>
    </row>
    <row r="9" spans="1:5" x14ac:dyDescent="0.3">
      <c r="A9" s="20">
        <v>45453.560417000001</v>
      </c>
      <c r="B9" s="17">
        <v>44.570965000000001</v>
      </c>
      <c r="C9" s="18">
        <f>+Sheet1!H10</f>
        <v>45453.800115740742</v>
      </c>
      <c r="D9" s="19">
        <f t="shared" si="1"/>
        <v>45453.716782407406</v>
      </c>
      <c r="E9" cm="1">
        <f t="array" ref="E9">INDEX(B$1:B$224233, MATCH(D9,A$1:A$224233,1) +0)</f>
        <v>60.853023999999998</v>
      </c>
    </row>
    <row r="10" spans="1:5" x14ac:dyDescent="0.3">
      <c r="A10" s="20">
        <v>45453.561111000003</v>
      </c>
      <c r="B10" s="17">
        <v>43.982545999999999</v>
      </c>
      <c r="C10" s="18">
        <f>+Sheet1!H11</f>
        <v>45453.810543981483</v>
      </c>
      <c r="D10" s="19">
        <f t="shared" si="1"/>
        <v>45453.727210648147</v>
      </c>
      <c r="E10" cm="1">
        <f t="array" ref="E10">INDEX(B$1:B$224233, MATCH(D10,A$1:A$224233,1) +0)</f>
        <v>62.502867999999999</v>
      </c>
    </row>
    <row r="11" spans="1:5" x14ac:dyDescent="0.3">
      <c r="A11" s="20">
        <v>45453.561805999998</v>
      </c>
      <c r="B11" s="17">
        <v>43.021337000000003</v>
      </c>
      <c r="C11" s="18">
        <f>+Sheet1!H12</f>
        <v>45453.820960648147</v>
      </c>
      <c r="D11" s="19">
        <f t="shared" si="1"/>
        <v>45453.737627314811</v>
      </c>
      <c r="E11" cm="1">
        <f t="array" ref="E11">INDEX(B$1:B$224233, MATCH(D11,A$1:A$224233,1) +0)</f>
        <v>62.211035000000003</v>
      </c>
    </row>
    <row r="12" spans="1:5" x14ac:dyDescent="0.3">
      <c r="A12" s="20">
        <v>45453.5625</v>
      </c>
      <c r="B12" s="17">
        <v>44.496045000000002</v>
      </c>
      <c r="C12" s="18">
        <f>+Sheet1!H13</f>
        <v>45453.831388888888</v>
      </c>
      <c r="D12" s="19">
        <f t="shared" si="1"/>
        <v>45453.748055555552</v>
      </c>
      <c r="E12" cm="1">
        <f t="array" ref="E12">INDEX(B$1:B$224233, MATCH(D12,A$1:A$224233,1) +0)</f>
        <v>62.117305000000002</v>
      </c>
    </row>
    <row r="13" spans="1:5" x14ac:dyDescent="0.3">
      <c r="A13" s="20">
        <v>45453.563194000002</v>
      </c>
      <c r="B13" s="17">
        <v>42.635783000000004</v>
      </c>
      <c r="C13" s="18">
        <f>+Sheet1!H14</f>
        <v>45453.841805555552</v>
      </c>
      <c r="D13" s="19">
        <f t="shared" si="1"/>
        <v>45453.758472222216</v>
      </c>
      <c r="E13" cm="1">
        <f t="array" ref="E13">INDEX(B$1:B$224233, MATCH(D13,A$1:A$224233,1) +0)</f>
        <v>61.599269</v>
      </c>
    </row>
    <row r="14" spans="1:5" x14ac:dyDescent="0.3">
      <c r="A14" s="20">
        <v>45453.563888999997</v>
      </c>
      <c r="B14" s="17">
        <v>42.120682000000002</v>
      </c>
      <c r="C14" s="18">
        <f>+Sheet1!H15</f>
        <v>45453.852222222224</v>
      </c>
      <c r="D14" s="19">
        <f t="shared" si="1"/>
        <v>45453.768888888888</v>
      </c>
      <c r="E14" cm="1">
        <f t="array" ref="E14">INDEX(B$1:B$224233, MATCH(D14,A$1:A$224233,1) +0)</f>
        <v>61.04486</v>
      </c>
    </row>
    <row r="15" spans="1:5" x14ac:dyDescent="0.3">
      <c r="A15" s="20">
        <v>45453.564582999999</v>
      </c>
      <c r="B15" s="17">
        <v>43.278511999999999</v>
      </c>
      <c r="C15" s="18">
        <f>+Sheet1!H16</f>
        <v>45453.862650462965</v>
      </c>
      <c r="D15" s="19">
        <f t="shared" si="1"/>
        <v>45453.779317129629</v>
      </c>
      <c r="E15" cm="1">
        <f t="array" ref="E15">INDEX(B$1:B$224233, MATCH(D15,A$1:A$224233,1) +0)</f>
        <v>60.767175000000002</v>
      </c>
    </row>
    <row r="16" spans="1:5" x14ac:dyDescent="0.3">
      <c r="A16" s="20">
        <v>45453.565278000002</v>
      </c>
      <c r="B16" s="17">
        <v>46.154195999999999</v>
      </c>
      <c r="C16" s="18">
        <f>+Sheet1!H17</f>
        <v>45453.873067129629</v>
      </c>
      <c r="D16" s="19">
        <f t="shared" si="1"/>
        <v>45453.789733796293</v>
      </c>
      <c r="E16" cm="1">
        <f t="array" ref="E16">INDEX(B$1:B$224233, MATCH(D16,A$1:A$224233,1) +0)</f>
        <v>61.270693000000001</v>
      </c>
    </row>
    <row r="17" spans="1:5" x14ac:dyDescent="0.3">
      <c r="A17" s="20">
        <v>45453.565971999997</v>
      </c>
      <c r="B17" s="17">
        <v>44.331066</v>
      </c>
      <c r="C17" s="18">
        <f>+Sheet1!H18</f>
        <v>45453.88349537037</v>
      </c>
      <c r="D17" s="19">
        <f t="shared" si="1"/>
        <v>45453.800162037034</v>
      </c>
      <c r="E17" cm="1">
        <f t="array" ref="E17">INDEX(B$1:B$224233, MATCH(D17,A$1:A$224233,1) +0)</f>
        <v>61.714151999999999</v>
      </c>
    </row>
    <row r="18" spans="1:5" x14ac:dyDescent="0.3">
      <c r="A18" s="20">
        <v>45453.566666999999</v>
      </c>
      <c r="B18" s="17">
        <v>45.513508999999999</v>
      </c>
      <c r="C18" s="18">
        <f>+Sheet1!H19</f>
        <v>45453.893923611111</v>
      </c>
      <c r="D18" s="19">
        <f t="shared" si="1"/>
        <v>45453.810590277775</v>
      </c>
      <c r="E18" cm="1">
        <f t="array" ref="E18">INDEX(B$1:B$224233, MATCH(D18,A$1:A$224233,1) +0)</f>
        <v>62.083005999999997</v>
      </c>
    </row>
    <row r="19" spans="1:5" x14ac:dyDescent="0.3">
      <c r="A19" s="20">
        <v>45453.567361000001</v>
      </c>
      <c r="B19" s="17">
        <v>44.635950000000001</v>
      </c>
      <c r="C19" s="18">
        <f>+Sheet1!H20</f>
        <v>45453.904340277775</v>
      </c>
      <c r="D19" s="19">
        <f t="shared" si="1"/>
        <v>45453.821006944439</v>
      </c>
      <c r="E19" cm="1">
        <f t="array" ref="E19">INDEX(B$1:B$224233, MATCH(D19,A$1:A$224233,1) +0)</f>
        <v>62.144350000000003</v>
      </c>
    </row>
    <row r="20" spans="1:5" x14ac:dyDescent="0.3">
      <c r="A20" s="20">
        <v>45453.568055999996</v>
      </c>
      <c r="B20" s="17">
        <v>47.706032999999998</v>
      </c>
      <c r="C20" s="18">
        <f>+Sheet1!H21</f>
        <v>45453.914768518516</v>
      </c>
      <c r="D20" s="19">
        <f t="shared" si="1"/>
        <v>45453.83143518518</v>
      </c>
      <c r="E20" cm="1">
        <f t="array" ref="E20">INDEX(B$1:B$224233, MATCH(D20,A$1:A$224233,1) +0)</f>
        <v>61.449089000000001</v>
      </c>
    </row>
    <row r="21" spans="1:5" x14ac:dyDescent="0.3">
      <c r="A21" s="20">
        <v>45453.568749999999</v>
      </c>
      <c r="B21" s="17">
        <v>44.601576000000001</v>
      </c>
      <c r="C21" s="18">
        <f>+Sheet1!H22</f>
        <v>45453.925196759257</v>
      </c>
      <c r="D21" s="19">
        <f t="shared" si="1"/>
        <v>45453.841863425921</v>
      </c>
      <c r="E21" cm="1">
        <f t="array" ref="E21">INDEX(B$1:B$224233, MATCH(D21,A$1:A$224233,1) +0)</f>
        <v>62.116956000000002</v>
      </c>
    </row>
    <row r="22" spans="1:5" x14ac:dyDescent="0.3">
      <c r="A22" s="20">
        <v>45453.569444000001</v>
      </c>
      <c r="B22" s="17">
        <v>45.405712000000001</v>
      </c>
      <c r="C22" s="18">
        <f>+Sheet1!H23</f>
        <v>45453.935624999998</v>
      </c>
      <c r="D22" s="19">
        <f t="shared" si="1"/>
        <v>45453.852291666662</v>
      </c>
      <c r="E22" cm="1">
        <f t="array" ref="E22">INDEX(B$1:B$224233, MATCH(D22,A$1:A$224233,1) +0)</f>
        <v>61.278238999999999</v>
      </c>
    </row>
    <row r="23" spans="1:5" x14ac:dyDescent="0.3">
      <c r="A23" s="20">
        <v>45453.570139000003</v>
      </c>
      <c r="B23" s="17">
        <v>45.522571999999997</v>
      </c>
      <c r="C23" s="18">
        <f>+Sheet1!H24</f>
        <v>45453.946053240739</v>
      </c>
      <c r="D23" s="19">
        <f t="shared" si="1"/>
        <v>45453.862719907404</v>
      </c>
      <c r="E23" cm="1">
        <f t="array" ref="E23">INDEX(B$1:B$224233, MATCH(D23,A$1:A$224233,1) +0)</f>
        <v>62.053651000000002</v>
      </c>
    </row>
    <row r="24" spans="1:5" x14ac:dyDescent="0.3">
      <c r="A24" s="20">
        <v>45453.570832999998</v>
      </c>
      <c r="B24" s="17">
        <v>46.904654999999998</v>
      </c>
      <c r="C24" s="18">
        <f>+Sheet1!H25</f>
        <v>45453.956493055557</v>
      </c>
      <c r="D24" s="19">
        <f t="shared" si="1"/>
        <v>45453.873159722221</v>
      </c>
      <c r="E24" cm="1">
        <f t="array" ref="E24">INDEX(B$1:B$224233, MATCH(D24,A$1:A$224233,1) +0)</f>
        <v>61.965612</v>
      </c>
    </row>
    <row r="25" spans="1:5" x14ac:dyDescent="0.3">
      <c r="A25" s="20">
        <v>45453.571528</v>
      </c>
      <c r="B25" s="17">
        <v>46.279677</v>
      </c>
      <c r="C25" s="18">
        <f>+Sheet1!H26</f>
        <v>45453.966898148145</v>
      </c>
      <c r="D25" s="19">
        <f t="shared" si="1"/>
        <v>45453.883564814809</v>
      </c>
      <c r="E25" cm="1">
        <f t="array" ref="E25">INDEX(B$1:B$224233, MATCH(D25,A$1:A$224233,1) +0)</f>
        <v>62.658431</v>
      </c>
    </row>
    <row r="26" spans="1:5" x14ac:dyDescent="0.3">
      <c r="A26" s="20">
        <v>45453.572222000003</v>
      </c>
      <c r="B26" s="17">
        <v>46.985762000000001</v>
      </c>
      <c r="C26" s="18">
        <f>+Sheet1!H27</f>
        <v>45453.977337962962</v>
      </c>
      <c r="D26" s="19">
        <f t="shared" si="1"/>
        <v>45453.894004629627</v>
      </c>
      <c r="E26" cm="1">
        <f t="array" ref="E26">INDEX(B$1:B$224233, MATCH(D26,A$1:A$224233,1) +0)</f>
        <v>62.228073000000002</v>
      </c>
    </row>
    <row r="27" spans="1:5" x14ac:dyDescent="0.3">
      <c r="A27" s="20">
        <v>45453.572916999998</v>
      </c>
      <c r="B27" s="17">
        <v>47.584066</v>
      </c>
      <c r="C27" s="18">
        <f>+Sheet1!H28</f>
        <v>45453.987766203703</v>
      </c>
      <c r="D27" s="19">
        <f t="shared" si="1"/>
        <v>45453.904432870368</v>
      </c>
      <c r="E27" cm="1">
        <f t="array" ref="E27">INDEX(B$1:B$224233, MATCH(D27,A$1:A$224233,1) +0)</f>
        <v>62.151938999999999</v>
      </c>
    </row>
    <row r="28" spans="1:5" x14ac:dyDescent="0.3">
      <c r="A28" s="20">
        <v>45453.573611</v>
      </c>
      <c r="B28" s="17">
        <v>47.724576999999996</v>
      </c>
      <c r="C28" s="18">
        <f>+Sheet1!H29</f>
        <v>45453.998194444444</v>
      </c>
      <c r="D28" s="19">
        <f t="shared" si="1"/>
        <v>45453.914861111109</v>
      </c>
      <c r="E28" cm="1">
        <f t="array" ref="E28">INDEX(B$1:B$224233, MATCH(D28,A$1:A$224233,1) +0)</f>
        <v>63.949703</v>
      </c>
    </row>
    <row r="29" spans="1:5" x14ac:dyDescent="0.3">
      <c r="A29" s="20">
        <v>45453.574306000002</v>
      </c>
      <c r="B29" s="17">
        <v>46.871211000000002</v>
      </c>
      <c r="C29" s="18">
        <f>+Sheet1!H30</f>
        <v>45454.008622685185</v>
      </c>
      <c r="D29" s="19">
        <f t="shared" si="1"/>
        <v>45453.92528935185</v>
      </c>
      <c r="E29" cm="1">
        <f t="array" ref="E29">INDEX(B$1:B$224233, MATCH(D29,A$1:A$224233,1) +0)</f>
        <v>63.501631000000003</v>
      </c>
    </row>
    <row r="30" spans="1:5" x14ac:dyDescent="0.3">
      <c r="A30" s="20">
        <v>45453.574999999997</v>
      </c>
      <c r="B30" s="17">
        <v>47.205402999999997</v>
      </c>
      <c r="C30" s="18">
        <f>+Sheet1!H31</f>
        <v>45454.01903935185</v>
      </c>
      <c r="D30" s="19">
        <f t="shared" si="1"/>
        <v>45453.935706018514</v>
      </c>
      <c r="E30" cm="1">
        <f t="array" ref="E30">INDEX(B$1:B$224233, MATCH(D30,A$1:A$224233,1) +0)</f>
        <v>61.939050000000002</v>
      </c>
    </row>
    <row r="31" spans="1:5" x14ac:dyDescent="0.3">
      <c r="A31" s="20">
        <v>45453.575693999999</v>
      </c>
      <c r="B31" s="17">
        <v>46.750092000000002</v>
      </c>
      <c r="C31" s="18">
        <f>+Sheet1!H32</f>
        <v>45454.029467592591</v>
      </c>
      <c r="D31" s="19">
        <f t="shared" si="1"/>
        <v>45453.946134259255</v>
      </c>
      <c r="E31" cm="1">
        <f t="array" ref="E31">INDEX(B$1:B$224233, MATCH(D31,A$1:A$224233,1) +0)</f>
        <v>62.085351000000003</v>
      </c>
    </row>
    <row r="32" spans="1:5" x14ac:dyDescent="0.3">
      <c r="A32" s="20">
        <v>45453.576389000002</v>
      </c>
      <c r="B32" s="17">
        <v>47.789453000000002</v>
      </c>
      <c r="C32" s="18">
        <f>+Sheet1!H33</f>
        <v>45454.039895833332</v>
      </c>
      <c r="D32" s="19">
        <f t="shared" si="1"/>
        <v>45453.956562499996</v>
      </c>
      <c r="E32" cm="1">
        <f t="array" ref="E32">INDEX(B$1:B$224233, MATCH(D32,A$1:A$224233,1) +0)</f>
        <v>62.206738999999999</v>
      </c>
    </row>
    <row r="33" spans="1:5" x14ac:dyDescent="0.3">
      <c r="A33" s="20">
        <v>45453.577082999996</v>
      </c>
      <c r="B33" s="17">
        <v>48.116177999999998</v>
      </c>
      <c r="C33" s="18">
        <f>+Sheet1!H34</f>
        <v>45454.050312500003</v>
      </c>
      <c r="D33" s="19">
        <f t="shared" si="1"/>
        <v>45453.966979166667</v>
      </c>
      <c r="E33" cm="1">
        <f t="array" ref="E33">INDEX(B$1:B$224233, MATCH(D33,A$1:A$224233,1) +0)</f>
        <v>62.919825000000003</v>
      </c>
    </row>
    <row r="34" spans="1:5" x14ac:dyDescent="0.3">
      <c r="A34" s="20">
        <v>45453.577777999999</v>
      </c>
      <c r="B34" s="17">
        <v>47.794583000000003</v>
      </c>
      <c r="C34" s="18">
        <f>+Sheet1!H35</f>
        <v>45454.060752314814</v>
      </c>
      <c r="D34" s="19">
        <f t="shared" si="1"/>
        <v>45453.977418981478</v>
      </c>
      <c r="E34" cm="1">
        <f t="array" ref="E34">INDEX(B$1:B$224233, MATCH(D34,A$1:A$224233,1) +0)</f>
        <v>61.917211000000002</v>
      </c>
    </row>
    <row r="35" spans="1:5" x14ac:dyDescent="0.3">
      <c r="A35" s="20">
        <v>45453.578472000001</v>
      </c>
      <c r="B35" s="17">
        <v>49.122070000000001</v>
      </c>
      <c r="C35" s="18">
        <f>+Sheet1!H36</f>
        <v>45454.071168981478</v>
      </c>
      <c r="D35" s="19">
        <f t="shared" si="1"/>
        <v>45453.987835648142</v>
      </c>
      <c r="E35" cm="1">
        <f t="array" ref="E35">INDEX(B$1:B$224233, MATCH(D35,A$1:A$224233,1) +0)</f>
        <v>66.491468999999995</v>
      </c>
    </row>
    <row r="36" spans="1:5" x14ac:dyDescent="0.3">
      <c r="A36" s="20">
        <v>45453.579167000004</v>
      </c>
      <c r="B36" s="17">
        <v>48.32264</v>
      </c>
      <c r="C36" s="18">
        <f>+Sheet1!H37</f>
        <v>45454.081597222219</v>
      </c>
      <c r="D36" s="19">
        <f t="shared" si="1"/>
        <v>45453.998263888883</v>
      </c>
      <c r="E36" cm="1">
        <f t="array" ref="E36">INDEX(B$1:B$224233, MATCH(D36,A$1:A$224233,1) +0)</f>
        <v>66.322597000000002</v>
      </c>
    </row>
    <row r="37" spans="1:5" x14ac:dyDescent="0.3">
      <c r="A37" s="20">
        <v>45453.579860999998</v>
      </c>
      <c r="B37" s="17">
        <v>49.431778999999999</v>
      </c>
      <c r="C37" s="18">
        <f>+Sheet1!H38</f>
        <v>45454.09202546296</v>
      </c>
      <c r="D37" s="19">
        <f t="shared" si="1"/>
        <v>45454.008692129624</v>
      </c>
      <c r="E37" cm="1">
        <f t="array" ref="E37">INDEX(B$1:B$224233, MATCH(D37,A$1:A$224233,1) +0)</f>
        <v>65.660066999999998</v>
      </c>
    </row>
    <row r="38" spans="1:5" x14ac:dyDescent="0.3">
      <c r="A38" s="20">
        <v>45453.580556000001</v>
      </c>
      <c r="B38" s="17">
        <v>49.376393</v>
      </c>
      <c r="C38" s="18">
        <f>+Sheet1!H39</f>
        <v>45454.102465277778</v>
      </c>
      <c r="D38" s="19">
        <f t="shared" si="1"/>
        <v>45454.019131944442</v>
      </c>
      <c r="E38" cm="1">
        <f t="array" ref="E38">INDEX(B$1:B$224233, MATCH(D38,A$1:A$224233,1) +0)</f>
        <v>66.153816000000006</v>
      </c>
    </row>
    <row r="39" spans="1:5" x14ac:dyDescent="0.3">
      <c r="A39" s="20">
        <v>45453.581250000003</v>
      </c>
      <c r="B39" s="17">
        <v>49.086616999999997</v>
      </c>
      <c r="C39" s="18">
        <f>+Sheet1!H40</f>
        <v>45454.112881944442</v>
      </c>
      <c r="D39" s="19">
        <f t="shared" si="1"/>
        <v>45454.029548611106</v>
      </c>
      <c r="E39" cm="1">
        <f t="array" ref="E39">INDEX(B$1:B$224233, MATCH(D39,A$1:A$224233,1) +0)</f>
        <v>65.479196999999999</v>
      </c>
    </row>
    <row r="40" spans="1:5" x14ac:dyDescent="0.3">
      <c r="A40" s="20">
        <v>45453.581943999998</v>
      </c>
      <c r="B40" s="17">
        <v>49.549447999999998</v>
      </c>
      <c r="C40" s="18">
        <f>+Sheet1!H41</f>
        <v>45454.123310185183</v>
      </c>
      <c r="D40" s="19">
        <f t="shared" si="1"/>
        <v>45454.039976851847</v>
      </c>
      <c r="E40" cm="1">
        <f t="array" ref="E40">INDEX(B$1:B$224233, MATCH(D40,A$1:A$224233,1) +0)</f>
        <v>64.656305000000003</v>
      </c>
    </row>
    <row r="41" spans="1:5" x14ac:dyDescent="0.3">
      <c r="A41" s="20">
        <v>45453.582639</v>
      </c>
      <c r="B41" s="17">
        <v>51.463900000000002</v>
      </c>
      <c r="C41" s="18">
        <f>+Sheet1!H42</f>
        <v>45454.133738425924</v>
      </c>
      <c r="D41" s="19">
        <f t="shared" si="1"/>
        <v>45454.050405092588</v>
      </c>
      <c r="E41" cm="1">
        <f t="array" ref="E41">INDEX(B$1:B$224233, MATCH(D41,A$1:A$224233,1) +0)</f>
        <v>64.884270000000001</v>
      </c>
    </row>
    <row r="42" spans="1:5" x14ac:dyDescent="0.3">
      <c r="A42" s="20">
        <v>45453.583333000002</v>
      </c>
      <c r="B42" s="17">
        <v>51.609335999999999</v>
      </c>
      <c r="C42" s="18">
        <f>+Sheet1!H43</f>
        <v>45454.144166666665</v>
      </c>
      <c r="D42" s="19">
        <f t="shared" si="1"/>
        <v>45454.060833333329</v>
      </c>
      <c r="E42" cm="1">
        <f t="array" ref="E42">INDEX(B$1:B$224233, MATCH(D42,A$1:A$224233,1) +0)</f>
        <v>65.453618000000006</v>
      </c>
    </row>
    <row r="43" spans="1:5" x14ac:dyDescent="0.3">
      <c r="A43" s="20">
        <v>45453.584027999997</v>
      </c>
      <c r="B43" s="17">
        <v>50.651280999999997</v>
      </c>
      <c r="C43" s="18">
        <f>+Sheet1!H44</f>
        <v>45454.154594907406</v>
      </c>
      <c r="D43" s="19">
        <f t="shared" si="1"/>
        <v>45454.07126157407</v>
      </c>
      <c r="E43" cm="1">
        <f t="array" ref="E43">INDEX(B$1:B$224233, MATCH(D43,A$1:A$224233,1) +0)</f>
        <v>69.962496000000002</v>
      </c>
    </row>
    <row r="44" spans="1:5" x14ac:dyDescent="0.3">
      <c r="A44" s="20">
        <v>45453.584722</v>
      </c>
      <c r="B44" s="17">
        <v>50.120323999999997</v>
      </c>
      <c r="C44" s="18">
        <f>+Sheet1!H45</f>
        <v>45454.165023148147</v>
      </c>
      <c r="D44" s="19">
        <f t="shared" si="1"/>
        <v>45454.081689814811</v>
      </c>
      <c r="E44" cm="1">
        <f t="array" ref="E44">INDEX(B$1:B$224233, MATCH(D44,A$1:A$224233,1) +0)</f>
        <v>69.996190999999996</v>
      </c>
    </row>
    <row r="45" spans="1:5" x14ac:dyDescent="0.3">
      <c r="A45" s="20">
        <v>45453.585417000002</v>
      </c>
      <c r="B45" s="17">
        <v>50.509386999999997</v>
      </c>
      <c r="C45" s="18">
        <f>+Sheet1!H46</f>
        <v>45454.175428240742</v>
      </c>
      <c r="D45" s="19">
        <f t="shared" si="1"/>
        <v>45454.092094907406</v>
      </c>
      <c r="E45" cm="1">
        <f t="array" ref="E45">INDEX(B$1:B$224233, MATCH(D45,A$1:A$224233,1) +0)</f>
        <v>68.863632999999993</v>
      </c>
    </row>
    <row r="46" spans="1:5" x14ac:dyDescent="0.3">
      <c r="A46" s="20">
        <v>45453.586110999997</v>
      </c>
      <c r="B46" s="17">
        <v>52.255989</v>
      </c>
      <c r="C46" s="18">
        <f>+Sheet1!H47</f>
        <v>45454.185856481483</v>
      </c>
      <c r="D46" s="19">
        <f t="shared" si="1"/>
        <v>45454.102523148147</v>
      </c>
      <c r="E46" cm="1">
        <f t="array" ref="E46">INDEX(B$1:B$224233, MATCH(D46,A$1:A$224233,1) +0)</f>
        <v>69.981596999999994</v>
      </c>
    </row>
    <row r="47" spans="1:5" x14ac:dyDescent="0.3">
      <c r="A47" s="20">
        <v>45453.586805999999</v>
      </c>
      <c r="B47" s="17">
        <v>51.732756000000002</v>
      </c>
      <c r="C47" s="18">
        <f>+Sheet1!H48</f>
        <v>45454.196284722224</v>
      </c>
      <c r="D47" s="19">
        <f t="shared" si="1"/>
        <v>45454.112951388888</v>
      </c>
      <c r="E47" cm="1">
        <f t="array" ref="E47">INDEX(B$1:B$224233, MATCH(D47,A$1:A$224233,1) +0)</f>
        <v>69.148132000000004</v>
      </c>
    </row>
    <row r="48" spans="1:5" x14ac:dyDescent="0.3">
      <c r="A48" s="20">
        <v>45453.587500000001</v>
      </c>
      <c r="B48" s="17">
        <v>51.684807999999997</v>
      </c>
      <c r="C48" s="18">
        <f>+Sheet1!H49</f>
        <v>45454.206724537034</v>
      </c>
      <c r="D48" s="19">
        <f t="shared" si="1"/>
        <v>45454.123391203699</v>
      </c>
      <c r="E48" cm="1">
        <f t="array" ref="E48">INDEX(B$1:B$224233, MATCH(D48,A$1:A$224233,1) +0)</f>
        <v>69.048447999999993</v>
      </c>
    </row>
    <row r="49" spans="1:5" x14ac:dyDescent="0.3">
      <c r="A49" s="20">
        <v>45453.588194000004</v>
      </c>
      <c r="B49" s="17">
        <v>51.745285000000003</v>
      </c>
      <c r="C49" s="18">
        <f>+Sheet1!H50</f>
        <v>45454.217152777775</v>
      </c>
      <c r="D49" s="19">
        <f t="shared" si="1"/>
        <v>45454.13381944444</v>
      </c>
      <c r="E49" cm="1">
        <f t="array" ref="E49">INDEX(B$1:B$224233, MATCH(D49,A$1:A$224233,1) +0)</f>
        <v>68.809513999999993</v>
      </c>
    </row>
    <row r="50" spans="1:5" x14ac:dyDescent="0.3">
      <c r="A50" s="20">
        <v>45453.588888999999</v>
      </c>
      <c r="B50" s="17">
        <v>53.165216999999998</v>
      </c>
      <c r="C50" s="18">
        <f>+Sheet1!H51</f>
        <v>45454.227581018517</v>
      </c>
      <c r="D50" s="19">
        <f t="shared" si="1"/>
        <v>45454.144247685181</v>
      </c>
      <c r="E50" cm="1">
        <f t="array" ref="E50">INDEX(B$1:B$224233, MATCH(D50,A$1:A$224233,1) +0)</f>
        <v>68.321669999999997</v>
      </c>
    </row>
    <row r="51" spans="1:5" x14ac:dyDescent="0.3">
      <c r="A51" s="20">
        <v>45453.589583000001</v>
      </c>
      <c r="B51" s="17">
        <v>51.558030000000002</v>
      </c>
      <c r="C51" s="18">
        <f>+Sheet1!H52</f>
        <v>45454.237997685188</v>
      </c>
      <c r="D51" s="19">
        <f t="shared" si="1"/>
        <v>45454.154664351852</v>
      </c>
      <c r="E51" cm="1">
        <f t="array" ref="E51">INDEX(B$1:B$224233, MATCH(D51,A$1:A$224233,1) +0)</f>
        <v>80.010362999999998</v>
      </c>
    </row>
    <row r="52" spans="1:5" x14ac:dyDescent="0.3">
      <c r="A52" s="20">
        <v>45453.590278000003</v>
      </c>
      <c r="B52" s="17">
        <v>51.552759000000002</v>
      </c>
      <c r="C52" s="18">
        <f>+Sheet1!H53</f>
        <v>45454.248425925929</v>
      </c>
      <c r="D52" s="19">
        <f t="shared" si="1"/>
        <v>45454.165092592593</v>
      </c>
      <c r="E52" cm="1">
        <f t="array" ref="E52">INDEX(B$1:B$224233, MATCH(D52,A$1:A$224233,1) +0)</f>
        <v>79.395551999999995</v>
      </c>
    </row>
    <row r="53" spans="1:5" x14ac:dyDescent="0.3">
      <c r="A53" s="20">
        <v>45453.590971999998</v>
      </c>
      <c r="B53" s="17">
        <v>53.247892</v>
      </c>
      <c r="C53" s="18">
        <f>+Sheet1!H54</f>
        <v>45454.25885416667</v>
      </c>
      <c r="D53" s="19">
        <f t="shared" si="1"/>
        <v>45454.175520833334</v>
      </c>
      <c r="E53" cm="1">
        <f t="array" ref="E53">INDEX(B$1:B$224233, MATCH(D53,A$1:A$224233,1) +0)</f>
        <v>77.439407000000003</v>
      </c>
    </row>
    <row r="54" spans="1:5" x14ac:dyDescent="0.3">
      <c r="A54" s="20">
        <v>45453.591667000001</v>
      </c>
      <c r="B54" s="17">
        <v>49.219327999999997</v>
      </c>
      <c r="C54" s="18">
        <f>+Sheet1!H55</f>
        <v>45454.269282407404</v>
      </c>
      <c r="D54" s="19">
        <f t="shared" si="1"/>
        <v>45454.185949074068</v>
      </c>
      <c r="E54" cm="1">
        <f t="array" ref="E54">INDEX(B$1:B$224233, MATCH(D54,A$1:A$224233,1) +0)</f>
        <v>77.969091000000006</v>
      </c>
    </row>
    <row r="55" spans="1:5" x14ac:dyDescent="0.3">
      <c r="A55" s="20">
        <v>45453.592361000003</v>
      </c>
      <c r="B55" s="17">
        <v>53.422567999999998</v>
      </c>
      <c r="C55" s="18">
        <f>+Sheet1!H56</f>
        <v>45454.279710648145</v>
      </c>
      <c r="D55" s="19">
        <f t="shared" si="1"/>
        <v>45454.196377314809</v>
      </c>
      <c r="E55" cm="1">
        <f t="array" ref="E55">INDEX(B$1:B$224233, MATCH(D55,A$1:A$224233,1) +0)</f>
        <v>79.116945000000001</v>
      </c>
    </row>
    <row r="56" spans="1:5" x14ac:dyDescent="0.3">
      <c r="A56" s="20">
        <v>45453.593055999998</v>
      </c>
      <c r="B56" s="17">
        <v>53.017927999999998</v>
      </c>
      <c r="C56" s="18">
        <f>+Sheet1!H57</f>
        <v>45454.290127314816</v>
      </c>
      <c r="D56" s="19">
        <f t="shared" si="1"/>
        <v>45454.206793981481</v>
      </c>
      <c r="E56" cm="1">
        <f t="array" ref="E56">INDEX(B$1:B$224233, MATCH(D56,A$1:A$224233,1) +0)</f>
        <v>77.973191999999997</v>
      </c>
    </row>
    <row r="57" spans="1:5" x14ac:dyDescent="0.3">
      <c r="A57" s="20">
        <v>45453.59375</v>
      </c>
      <c r="B57" s="17">
        <v>53.760758000000003</v>
      </c>
      <c r="C57" s="18">
        <f>+Sheet1!H58</f>
        <v>45454.300543981481</v>
      </c>
      <c r="D57" s="19">
        <f t="shared" si="1"/>
        <v>45454.217210648145</v>
      </c>
      <c r="E57" cm="1">
        <f t="array" ref="E57">INDEX(B$1:B$224233, MATCH(D57,A$1:A$224233,1) +0)</f>
        <v>77.584575999999998</v>
      </c>
    </row>
    <row r="58" spans="1:5" x14ac:dyDescent="0.3">
      <c r="A58" s="20">
        <v>45453.594444000002</v>
      </c>
      <c r="B58" s="17">
        <v>52.801526000000003</v>
      </c>
      <c r="C58" s="18">
        <f>+Sheet1!H59</f>
        <v>45454.310983796298</v>
      </c>
      <c r="D58" s="19">
        <f t="shared" si="1"/>
        <v>45454.227650462963</v>
      </c>
      <c r="E58" cm="1">
        <f t="array" ref="E58">INDEX(B$1:B$224233, MATCH(D58,A$1:A$224233,1) +0)</f>
        <v>77.458104000000006</v>
      </c>
    </row>
    <row r="59" spans="1:5" x14ac:dyDescent="0.3">
      <c r="A59" s="20">
        <v>45453.595138999997</v>
      </c>
      <c r="B59" s="17">
        <v>54.406429000000003</v>
      </c>
      <c r="C59" s="18">
        <f>+Sheet1!H60</f>
        <v>45454.321412037039</v>
      </c>
      <c r="D59" s="19">
        <f t="shared" si="1"/>
        <v>45454.238078703704</v>
      </c>
      <c r="E59" cm="1">
        <f t="array" ref="E59">INDEX(B$1:B$224233, MATCH(D59,A$1:A$224233,1) +0)</f>
        <v>62.952133000000003</v>
      </c>
    </row>
    <row r="60" spans="1:5" x14ac:dyDescent="0.3">
      <c r="A60" s="20">
        <v>45453.595832999999</v>
      </c>
      <c r="B60" s="17">
        <v>53.735159000000003</v>
      </c>
      <c r="C60" s="18">
        <f>+Sheet1!H61</f>
        <v>45454.33184027778</v>
      </c>
      <c r="D60" s="19">
        <f t="shared" si="1"/>
        <v>45454.248506944445</v>
      </c>
      <c r="E60" cm="1">
        <f t="array" ref="E60">INDEX(B$1:B$224233, MATCH(D60,A$1:A$224233,1) +0)</f>
        <v>56.410178000000002</v>
      </c>
    </row>
    <row r="61" spans="1:5" x14ac:dyDescent="0.3">
      <c r="A61" s="20">
        <v>45453.596528000002</v>
      </c>
      <c r="B61" s="17">
        <v>53.144978000000002</v>
      </c>
      <c r="C61" s="18">
        <f>+Sheet1!H62</f>
        <v>45454.342280092591</v>
      </c>
      <c r="D61" s="19">
        <f t="shared" si="1"/>
        <v>45454.258946759255</v>
      </c>
      <c r="E61" cm="1">
        <f t="array" ref="E61">INDEX(B$1:B$224233, MATCH(D61,A$1:A$224233,1) +0)</f>
        <v>55.954991999999997</v>
      </c>
    </row>
    <row r="62" spans="1:5" x14ac:dyDescent="0.3">
      <c r="A62" s="20">
        <v>45453.597221999997</v>
      </c>
      <c r="B62" s="17">
        <v>54.445042000000001</v>
      </c>
      <c r="C62" s="18">
        <f>+Sheet1!H63</f>
        <v>45454.352708333332</v>
      </c>
      <c r="D62" s="19">
        <f t="shared" si="1"/>
        <v>45454.269374999996</v>
      </c>
      <c r="E62" cm="1">
        <f t="array" ref="E62">INDEX(B$1:B$224233, MATCH(D62,A$1:A$224233,1) +0)</f>
        <v>57.143394999999998</v>
      </c>
    </row>
    <row r="63" spans="1:5" x14ac:dyDescent="0.3">
      <c r="A63" s="20">
        <v>45453.597916999999</v>
      </c>
      <c r="B63" s="17">
        <v>54.545431999999998</v>
      </c>
      <c r="C63" s="18">
        <f>+Sheet1!H64</f>
        <v>45454.363136574073</v>
      </c>
      <c r="D63" s="19">
        <f t="shared" si="1"/>
        <v>45454.279803240737</v>
      </c>
      <c r="E63" cm="1">
        <f t="array" ref="E63">INDEX(B$1:B$224233, MATCH(D63,A$1:A$224233,1) +0)</f>
        <v>33.842570000000002</v>
      </c>
    </row>
    <row r="64" spans="1:5" x14ac:dyDescent="0.3">
      <c r="A64" s="20">
        <v>45453.598611000001</v>
      </c>
      <c r="B64" s="17">
        <v>54.528933000000002</v>
      </c>
      <c r="C64" s="18"/>
      <c r="D64" s="19"/>
    </row>
    <row r="65" spans="1:4" x14ac:dyDescent="0.3">
      <c r="A65" s="20">
        <v>45453.599305999996</v>
      </c>
      <c r="B65" s="17">
        <v>55.257846000000001</v>
      </c>
      <c r="C65" s="18"/>
      <c r="D65" s="19"/>
    </row>
    <row r="66" spans="1:4" x14ac:dyDescent="0.3">
      <c r="A66" s="20">
        <v>45453.599999999999</v>
      </c>
      <c r="B66" s="17">
        <v>54.502257999999998</v>
      </c>
      <c r="C66" s="18"/>
      <c r="D66" s="19"/>
    </row>
    <row r="67" spans="1:4" x14ac:dyDescent="0.3">
      <c r="A67" s="20">
        <v>45453.600694000001</v>
      </c>
      <c r="B67" s="17">
        <v>55.218302999999999</v>
      </c>
      <c r="C67" s="18"/>
      <c r="D67" s="19"/>
    </row>
    <row r="68" spans="1:4" x14ac:dyDescent="0.3">
      <c r="A68" s="20">
        <v>45453.601389000003</v>
      </c>
      <c r="B68" s="17">
        <v>54.110833</v>
      </c>
      <c r="C68" s="18"/>
      <c r="D68" s="19"/>
    </row>
    <row r="69" spans="1:4" x14ac:dyDescent="0.3">
      <c r="A69" s="20">
        <v>45453.602082999998</v>
      </c>
      <c r="B69" s="17">
        <v>54.857771</v>
      </c>
      <c r="C69" s="18"/>
      <c r="D69" s="19"/>
    </row>
    <row r="70" spans="1:4" x14ac:dyDescent="0.3">
      <c r="A70" s="20">
        <v>45453.602778</v>
      </c>
      <c r="B70" s="17">
        <v>55.408907999999997</v>
      </c>
      <c r="C70" s="18"/>
      <c r="D70" s="19"/>
    </row>
    <row r="71" spans="1:4" x14ac:dyDescent="0.3">
      <c r="A71" s="20">
        <v>45453.603472000003</v>
      </c>
      <c r="B71" s="17">
        <v>55.143864999999998</v>
      </c>
      <c r="C71" s="18"/>
      <c r="D71" s="19"/>
    </row>
    <row r="72" spans="1:4" x14ac:dyDescent="0.3">
      <c r="A72" s="20">
        <v>45453.604166999998</v>
      </c>
      <c r="B72" s="17">
        <v>55.559021000000001</v>
      </c>
      <c r="C72" s="18"/>
      <c r="D72" s="19"/>
    </row>
    <row r="73" spans="1:4" x14ac:dyDescent="0.3">
      <c r="A73" s="20">
        <v>45453.604861</v>
      </c>
      <c r="B73" s="17">
        <v>55.273305000000001</v>
      </c>
      <c r="C73" s="18"/>
      <c r="D73" s="19"/>
    </row>
    <row r="74" spans="1:4" x14ac:dyDescent="0.3">
      <c r="A74" s="20">
        <v>45453.605556000002</v>
      </c>
      <c r="B74" s="17">
        <v>55.488875999999998</v>
      </c>
      <c r="C74" s="18"/>
      <c r="D74" s="19"/>
    </row>
    <row r="75" spans="1:4" x14ac:dyDescent="0.3">
      <c r="A75" s="20">
        <v>45453.606249999997</v>
      </c>
      <c r="B75" s="17">
        <v>55.524197999999998</v>
      </c>
      <c r="C75" s="18"/>
      <c r="D75" s="19"/>
    </row>
    <row r="76" spans="1:4" x14ac:dyDescent="0.3">
      <c r="A76" s="20">
        <v>45453.606943999999</v>
      </c>
      <c r="B76" s="17">
        <v>56.229951999999997</v>
      </c>
      <c r="C76" s="18"/>
      <c r="D76" s="19"/>
    </row>
    <row r="77" spans="1:4" x14ac:dyDescent="0.3">
      <c r="A77" s="20">
        <v>45453.607639000002</v>
      </c>
      <c r="B77" s="17">
        <v>56.475724</v>
      </c>
      <c r="C77" s="18"/>
      <c r="D77" s="19"/>
    </row>
    <row r="78" spans="1:4" x14ac:dyDescent="0.3">
      <c r="A78" s="20">
        <v>45453.608332999996</v>
      </c>
      <c r="B78" s="17">
        <v>57.037508000000003</v>
      </c>
      <c r="C78" s="18"/>
      <c r="D78" s="19"/>
    </row>
    <row r="79" spans="1:4" x14ac:dyDescent="0.3">
      <c r="A79" s="20">
        <v>45453.609027999999</v>
      </c>
      <c r="B79" s="17">
        <v>55.985222</v>
      </c>
      <c r="C79" s="18"/>
      <c r="D79" s="19"/>
    </row>
    <row r="80" spans="1:4" x14ac:dyDescent="0.3">
      <c r="A80" s="20">
        <v>45453.609722000001</v>
      </c>
      <c r="B80" s="17">
        <v>57.137712000000001</v>
      </c>
      <c r="C80" s="18"/>
      <c r="D80" s="19"/>
    </row>
    <row r="81" spans="1:4" x14ac:dyDescent="0.3">
      <c r="A81" s="20">
        <v>45453.610417000004</v>
      </c>
      <c r="B81" s="17">
        <v>57.475068</v>
      </c>
      <c r="C81" s="18"/>
      <c r="D81" s="19"/>
    </row>
    <row r="82" spans="1:4" x14ac:dyDescent="0.3">
      <c r="A82" s="20">
        <v>45453.611110999998</v>
      </c>
      <c r="B82" s="17">
        <v>56.835149999999999</v>
      </c>
      <c r="C82" s="18"/>
      <c r="D82" s="19"/>
    </row>
    <row r="83" spans="1:4" x14ac:dyDescent="0.3">
      <c r="A83" s="20">
        <v>45453.611806000001</v>
      </c>
      <c r="B83" s="17">
        <v>56.403129</v>
      </c>
      <c r="C83" s="18"/>
      <c r="D83" s="19"/>
    </row>
    <row r="84" spans="1:4" x14ac:dyDescent="0.3">
      <c r="A84" s="20">
        <v>45453.612500000003</v>
      </c>
      <c r="B84" s="17">
        <v>59.220950999999999</v>
      </c>
      <c r="C84" s="18"/>
      <c r="D84" s="19"/>
    </row>
    <row r="85" spans="1:4" x14ac:dyDescent="0.3">
      <c r="A85" s="20">
        <v>45453.613193999998</v>
      </c>
      <c r="B85" s="17">
        <v>57.490757000000002</v>
      </c>
      <c r="C85" s="18"/>
      <c r="D85" s="19"/>
    </row>
    <row r="86" spans="1:4" x14ac:dyDescent="0.3">
      <c r="A86" s="20">
        <v>45453.613889</v>
      </c>
      <c r="B86" s="17">
        <v>56.667161</v>
      </c>
      <c r="C86" s="18"/>
      <c r="D86" s="19"/>
    </row>
    <row r="87" spans="1:4" x14ac:dyDescent="0.3">
      <c r="A87" s="20">
        <v>45453.614583000002</v>
      </c>
      <c r="B87" s="17">
        <v>57.055684999999997</v>
      </c>
      <c r="C87" s="18"/>
      <c r="D87" s="19"/>
    </row>
    <row r="88" spans="1:4" x14ac:dyDescent="0.3">
      <c r="A88" s="20">
        <v>45453.615277999997</v>
      </c>
      <c r="B88" s="17">
        <v>58.077382999999998</v>
      </c>
      <c r="C88" s="18"/>
      <c r="D88" s="19"/>
    </row>
    <row r="89" spans="1:4" x14ac:dyDescent="0.3">
      <c r="A89" s="20">
        <v>45453.615972</v>
      </c>
      <c r="B89" s="17">
        <v>58.388691999999999</v>
      </c>
      <c r="C89" s="18"/>
      <c r="D89" s="19"/>
    </row>
    <row r="90" spans="1:4" x14ac:dyDescent="0.3">
      <c r="A90" s="20">
        <v>45453.616667000002</v>
      </c>
      <c r="B90" s="17">
        <v>56.471649999999997</v>
      </c>
      <c r="C90" s="18"/>
      <c r="D90" s="19"/>
    </row>
    <row r="91" spans="1:4" x14ac:dyDescent="0.3">
      <c r="A91" s="20">
        <v>45453.617360999997</v>
      </c>
      <c r="B91" s="17">
        <v>57.681158000000003</v>
      </c>
      <c r="C91" s="18"/>
      <c r="D91" s="19"/>
    </row>
    <row r="92" spans="1:4" x14ac:dyDescent="0.3">
      <c r="A92" s="20">
        <v>45453.618055999999</v>
      </c>
      <c r="B92" s="17">
        <v>57.324089999999998</v>
      </c>
      <c r="C92" s="18"/>
      <c r="D92" s="19"/>
    </row>
    <row r="93" spans="1:4" x14ac:dyDescent="0.3">
      <c r="A93" s="20">
        <v>45453.618750000001</v>
      </c>
      <c r="B93" s="17">
        <v>57.953268000000001</v>
      </c>
      <c r="C93" s="18"/>
      <c r="D93" s="19"/>
    </row>
    <row r="94" spans="1:4" x14ac:dyDescent="0.3">
      <c r="A94" s="20">
        <v>45453.619444000004</v>
      </c>
      <c r="B94" s="17">
        <v>58.309511999999998</v>
      </c>
      <c r="C94" s="18"/>
      <c r="D94" s="19"/>
    </row>
    <row r="95" spans="1:4" x14ac:dyDescent="0.3">
      <c r="A95" s="20">
        <v>45453.620138999999</v>
      </c>
      <c r="B95" s="17">
        <v>57.951732999999997</v>
      </c>
      <c r="C95" s="18"/>
      <c r="D95" s="19"/>
    </row>
    <row r="96" spans="1:4" x14ac:dyDescent="0.3">
      <c r="A96" s="20">
        <v>45453.620833000001</v>
      </c>
      <c r="B96" s="17">
        <v>58.839632000000002</v>
      </c>
      <c r="C96" s="18"/>
      <c r="D96" s="19"/>
    </row>
    <row r="97" spans="1:4" x14ac:dyDescent="0.3">
      <c r="A97" s="20">
        <v>45453.621528000003</v>
      </c>
      <c r="B97" s="17">
        <v>56.909581000000003</v>
      </c>
      <c r="C97" s="18"/>
      <c r="D97" s="19"/>
    </row>
    <row r="98" spans="1:4" x14ac:dyDescent="0.3">
      <c r="A98" s="20">
        <v>45453.622221999998</v>
      </c>
      <c r="B98" s="17">
        <v>57.929434000000001</v>
      </c>
      <c r="C98" s="18"/>
      <c r="D98" s="19"/>
    </row>
    <row r="99" spans="1:4" x14ac:dyDescent="0.3">
      <c r="A99" s="20">
        <v>45453.622917000001</v>
      </c>
      <c r="B99" s="17">
        <v>57.607539000000003</v>
      </c>
      <c r="C99" s="18"/>
      <c r="D99" s="19"/>
    </row>
    <row r="100" spans="1:4" x14ac:dyDescent="0.3">
      <c r="A100" s="20">
        <v>45453.623611000003</v>
      </c>
      <c r="B100" s="17">
        <v>58.038659000000003</v>
      </c>
      <c r="C100" s="18"/>
      <c r="D100" s="19"/>
    </row>
    <row r="101" spans="1:4" x14ac:dyDescent="0.3">
      <c r="A101" s="20">
        <v>45453.624305999998</v>
      </c>
      <c r="B101" s="17">
        <v>58.543548000000001</v>
      </c>
      <c r="C101" s="18"/>
      <c r="D101" s="19"/>
    </row>
    <row r="102" spans="1:4" x14ac:dyDescent="0.3">
      <c r="A102" s="20">
        <v>45453.625</v>
      </c>
      <c r="B102" s="17">
        <v>58.669899000000001</v>
      </c>
      <c r="C102" s="18"/>
      <c r="D102" s="19"/>
    </row>
    <row r="103" spans="1:4" x14ac:dyDescent="0.3">
      <c r="A103" s="20">
        <v>45453.625694000002</v>
      </c>
      <c r="B103" s="17">
        <v>58.963841000000002</v>
      </c>
      <c r="C103" s="18"/>
      <c r="D103" s="19"/>
    </row>
    <row r="104" spans="1:4" x14ac:dyDescent="0.3">
      <c r="A104" s="20">
        <v>45453.626388999997</v>
      </c>
      <c r="B104" s="17">
        <v>57.261200000000002</v>
      </c>
      <c r="C104" s="18"/>
      <c r="D104" s="19"/>
    </row>
    <row r="105" spans="1:4" x14ac:dyDescent="0.3">
      <c r="A105" s="20">
        <v>45453.627082999999</v>
      </c>
      <c r="B105" s="17">
        <v>59.118659000000001</v>
      </c>
      <c r="C105" s="18"/>
      <c r="D105" s="19"/>
    </row>
    <row r="106" spans="1:4" x14ac:dyDescent="0.3">
      <c r="A106" s="20">
        <v>45453.627778000002</v>
      </c>
      <c r="B106" s="17">
        <v>58.020789000000001</v>
      </c>
      <c r="C106" s="18"/>
      <c r="D106" s="19"/>
    </row>
    <row r="107" spans="1:4" x14ac:dyDescent="0.3">
      <c r="A107" s="20">
        <v>45453.628471999997</v>
      </c>
      <c r="B107" s="17">
        <v>59.552227999999999</v>
      </c>
      <c r="C107" s="18"/>
      <c r="D107" s="19"/>
    </row>
    <row r="108" spans="1:4" x14ac:dyDescent="0.3">
      <c r="A108" s="20">
        <v>45453.629166999999</v>
      </c>
      <c r="B108" s="17">
        <v>59.037875</v>
      </c>
      <c r="C108" s="18"/>
      <c r="D108" s="19"/>
    </row>
    <row r="109" spans="1:4" x14ac:dyDescent="0.3">
      <c r="A109" s="20">
        <v>45453.629861000001</v>
      </c>
      <c r="B109" s="17">
        <v>58.253663000000003</v>
      </c>
      <c r="C109" s="18"/>
      <c r="D109" s="19"/>
    </row>
    <row r="110" spans="1:4" x14ac:dyDescent="0.3">
      <c r="A110" s="20">
        <v>45453.630555999996</v>
      </c>
      <c r="B110" s="17">
        <v>58.428505000000001</v>
      </c>
      <c r="C110" s="18"/>
      <c r="D110" s="19"/>
    </row>
    <row r="111" spans="1:4" x14ac:dyDescent="0.3">
      <c r="A111" s="20">
        <v>45453.631249999999</v>
      </c>
      <c r="B111" s="17">
        <v>58.808275000000002</v>
      </c>
      <c r="C111" s="18"/>
      <c r="D111" s="19"/>
    </row>
    <row r="112" spans="1:4" x14ac:dyDescent="0.3">
      <c r="A112" s="20">
        <v>45453.631944000001</v>
      </c>
      <c r="B112" s="17">
        <v>59.490062999999999</v>
      </c>
      <c r="C112" s="18"/>
      <c r="D112" s="19"/>
    </row>
    <row r="113" spans="1:4" x14ac:dyDescent="0.3">
      <c r="A113" s="20">
        <v>45453.632639000003</v>
      </c>
      <c r="B113" s="17">
        <v>58.679417999999998</v>
      </c>
      <c r="C113" s="18"/>
      <c r="D113" s="19"/>
    </row>
    <row r="114" spans="1:4" x14ac:dyDescent="0.3">
      <c r="A114" s="20">
        <v>45453.633332999998</v>
      </c>
      <c r="B114" s="17">
        <v>59.505934000000003</v>
      </c>
      <c r="C114" s="18"/>
      <c r="D114" s="19"/>
    </row>
    <row r="115" spans="1:4" x14ac:dyDescent="0.3">
      <c r="A115" s="20">
        <v>45453.634028</v>
      </c>
      <c r="B115" s="17">
        <v>58.936498999999998</v>
      </c>
      <c r="C115" s="18"/>
      <c r="D115" s="19"/>
    </row>
    <row r="116" spans="1:4" x14ac:dyDescent="0.3">
      <c r="A116" s="20">
        <v>45453.634722000003</v>
      </c>
      <c r="B116" s="17">
        <v>59.873409000000002</v>
      </c>
      <c r="C116" s="18"/>
      <c r="D116" s="19"/>
    </row>
    <row r="117" spans="1:4" x14ac:dyDescent="0.3">
      <c r="A117" s="20">
        <v>45453.635416999998</v>
      </c>
      <c r="B117" s="17">
        <v>59.697696000000001</v>
      </c>
      <c r="C117" s="18"/>
      <c r="D117" s="19"/>
    </row>
    <row r="118" spans="1:4" x14ac:dyDescent="0.3">
      <c r="A118" s="20">
        <v>45453.636111</v>
      </c>
      <c r="B118" s="17">
        <v>58.623216999999997</v>
      </c>
      <c r="C118" s="18"/>
      <c r="D118" s="19"/>
    </row>
    <row r="119" spans="1:4" x14ac:dyDescent="0.3">
      <c r="A119" s="20">
        <v>45453.636806000002</v>
      </c>
      <c r="B119" s="17">
        <v>58.952928999999997</v>
      </c>
      <c r="C119" s="18"/>
      <c r="D119" s="19"/>
    </row>
    <row r="120" spans="1:4" x14ac:dyDescent="0.3">
      <c r="A120" s="20">
        <v>45453.637499999997</v>
      </c>
      <c r="B120" s="17">
        <v>58.846096000000003</v>
      </c>
      <c r="C120" s="18"/>
      <c r="D120" s="19"/>
    </row>
    <row r="121" spans="1:4" x14ac:dyDescent="0.3">
      <c r="A121" s="20">
        <v>45453.638193999999</v>
      </c>
      <c r="B121" s="17">
        <v>58.421619</v>
      </c>
      <c r="C121" s="18"/>
      <c r="D121" s="19"/>
    </row>
    <row r="122" spans="1:4" x14ac:dyDescent="0.3">
      <c r="A122" s="20">
        <v>45453.638889000002</v>
      </c>
      <c r="B122" s="17">
        <v>60.587110000000003</v>
      </c>
      <c r="C122" s="18"/>
      <c r="D122" s="19"/>
    </row>
    <row r="123" spans="1:4" x14ac:dyDescent="0.3">
      <c r="A123" s="20">
        <v>45453.639582999996</v>
      </c>
      <c r="B123" s="17">
        <v>60.102379999999997</v>
      </c>
      <c r="C123" s="18"/>
      <c r="D123" s="19"/>
    </row>
    <row r="124" spans="1:4" x14ac:dyDescent="0.3">
      <c r="A124" s="20">
        <v>45453.640277999999</v>
      </c>
      <c r="B124" s="17">
        <v>59.764971000000003</v>
      </c>
      <c r="C124" s="18"/>
      <c r="D124" s="19"/>
    </row>
    <row r="125" spans="1:4" x14ac:dyDescent="0.3">
      <c r="A125" s="20">
        <v>45453.640972000001</v>
      </c>
      <c r="B125" s="17">
        <v>59.773848999999998</v>
      </c>
      <c r="C125" s="18"/>
      <c r="D125" s="19"/>
    </row>
    <row r="126" spans="1:4" x14ac:dyDescent="0.3">
      <c r="A126" s="20">
        <v>45453.641667000004</v>
      </c>
      <c r="B126" s="17">
        <v>59.985605</v>
      </c>
      <c r="C126" s="18"/>
      <c r="D126" s="19"/>
    </row>
    <row r="127" spans="1:4" x14ac:dyDescent="0.3">
      <c r="A127" s="20">
        <v>45453.642360999998</v>
      </c>
      <c r="B127" s="17">
        <v>59.995355000000004</v>
      </c>
      <c r="C127" s="18"/>
      <c r="D127" s="19"/>
    </row>
    <row r="128" spans="1:4" x14ac:dyDescent="0.3">
      <c r="A128" s="20">
        <v>45453.643056000001</v>
      </c>
      <c r="B128" s="17">
        <v>59.899003</v>
      </c>
      <c r="C128" s="18"/>
      <c r="D128" s="19"/>
    </row>
    <row r="129" spans="1:4" x14ac:dyDescent="0.3">
      <c r="A129" s="20">
        <v>45453.643750000003</v>
      </c>
      <c r="B129" s="17">
        <v>60.113678</v>
      </c>
      <c r="C129" s="18"/>
      <c r="D129" s="19"/>
    </row>
    <row r="130" spans="1:4" x14ac:dyDescent="0.3">
      <c r="A130" s="20">
        <v>45453.644443999998</v>
      </c>
      <c r="B130" s="17">
        <v>60.428460999999999</v>
      </c>
      <c r="C130" s="18"/>
      <c r="D130" s="19"/>
    </row>
    <row r="131" spans="1:4" x14ac:dyDescent="0.3">
      <c r="A131" s="20">
        <v>45453.645139</v>
      </c>
      <c r="B131" s="17">
        <v>59.652442000000001</v>
      </c>
      <c r="C131" s="18"/>
      <c r="D131" s="19"/>
    </row>
    <row r="132" spans="1:4" x14ac:dyDescent="0.3">
      <c r="A132" s="20">
        <v>45453.645833000002</v>
      </c>
      <c r="B132" s="17">
        <v>59.253799999999998</v>
      </c>
      <c r="C132" s="18"/>
      <c r="D132" s="19"/>
    </row>
    <row r="133" spans="1:4" x14ac:dyDescent="0.3">
      <c r="A133" s="20">
        <v>45453.646527999997</v>
      </c>
      <c r="B133" s="17">
        <v>60.217627</v>
      </c>
      <c r="C133" s="18"/>
      <c r="D133" s="19"/>
    </row>
    <row r="134" spans="1:4" x14ac:dyDescent="0.3">
      <c r="A134" s="20">
        <v>45453.647222</v>
      </c>
      <c r="B134" s="17">
        <v>59.203899999999997</v>
      </c>
      <c r="C134" s="18"/>
      <c r="D134" s="19"/>
    </row>
    <row r="135" spans="1:4" x14ac:dyDescent="0.3">
      <c r="A135" s="20">
        <v>45453.647917000002</v>
      </c>
      <c r="B135" s="17">
        <v>60.256304999999998</v>
      </c>
      <c r="C135" s="18"/>
      <c r="D135" s="19"/>
    </row>
    <row r="136" spans="1:4" x14ac:dyDescent="0.3">
      <c r="A136" s="20">
        <v>45453.648610999997</v>
      </c>
      <c r="B136" s="17">
        <v>60.281424000000001</v>
      </c>
      <c r="C136" s="18"/>
      <c r="D136" s="19"/>
    </row>
    <row r="137" spans="1:4" x14ac:dyDescent="0.3">
      <c r="A137" s="20">
        <v>45453.649305999999</v>
      </c>
      <c r="B137" s="17">
        <v>61.015611999999997</v>
      </c>
      <c r="C137" s="18"/>
      <c r="D137" s="19"/>
    </row>
    <row r="138" spans="1:4" x14ac:dyDescent="0.3">
      <c r="A138" s="20">
        <v>45453.65</v>
      </c>
      <c r="B138" s="17">
        <v>60.489764999999998</v>
      </c>
      <c r="C138" s="18"/>
      <c r="D138" s="19"/>
    </row>
    <row r="139" spans="1:4" x14ac:dyDescent="0.3">
      <c r="A139" s="20">
        <v>45453.650694000004</v>
      </c>
      <c r="B139" s="17">
        <v>60.454402000000002</v>
      </c>
      <c r="C139" s="18"/>
      <c r="D139" s="19"/>
    </row>
    <row r="140" spans="1:4" x14ac:dyDescent="0.3">
      <c r="A140" s="20">
        <v>45453.651388999999</v>
      </c>
      <c r="B140" s="17">
        <v>60.669685000000001</v>
      </c>
      <c r="C140" s="18"/>
      <c r="D140" s="19"/>
    </row>
    <row r="141" spans="1:4" x14ac:dyDescent="0.3">
      <c r="A141" s="20">
        <v>45453.652083000001</v>
      </c>
      <c r="B141" s="17">
        <v>60.560358999999998</v>
      </c>
      <c r="C141" s="18"/>
      <c r="D141" s="19"/>
    </row>
    <row r="142" spans="1:4" x14ac:dyDescent="0.3">
      <c r="A142" s="20">
        <v>45453.652778000003</v>
      </c>
      <c r="B142" s="17">
        <v>60.715127000000003</v>
      </c>
      <c r="C142" s="18"/>
      <c r="D142" s="19"/>
    </row>
    <row r="143" spans="1:4" x14ac:dyDescent="0.3">
      <c r="A143" s="20">
        <v>45453.653471999998</v>
      </c>
      <c r="B143" s="17">
        <v>61.284829999999999</v>
      </c>
      <c r="C143" s="18"/>
      <c r="D143" s="19"/>
    </row>
    <row r="144" spans="1:4" x14ac:dyDescent="0.3">
      <c r="A144" s="20">
        <v>45453.654167000001</v>
      </c>
      <c r="B144" s="17">
        <v>61.574866</v>
      </c>
      <c r="C144" s="18"/>
      <c r="D144" s="19"/>
    </row>
    <row r="145" spans="1:4" x14ac:dyDescent="0.3">
      <c r="A145" s="20">
        <v>45453.654861000003</v>
      </c>
      <c r="B145" s="17">
        <v>60.321961999999999</v>
      </c>
      <c r="C145" s="18"/>
      <c r="D145" s="19"/>
    </row>
    <row r="146" spans="1:4" x14ac:dyDescent="0.3">
      <c r="A146" s="20">
        <v>45453.655555999998</v>
      </c>
      <c r="B146" s="17">
        <v>61.443184000000002</v>
      </c>
      <c r="C146" s="18"/>
      <c r="D146" s="19"/>
    </row>
    <row r="147" spans="1:4" x14ac:dyDescent="0.3">
      <c r="A147" s="20">
        <v>45453.65625</v>
      </c>
      <c r="B147" s="17">
        <v>61.498764000000001</v>
      </c>
      <c r="C147" s="18"/>
      <c r="D147" s="19"/>
    </row>
    <row r="148" spans="1:4" x14ac:dyDescent="0.3">
      <c r="A148" s="20">
        <v>45453.656944000002</v>
      </c>
      <c r="B148" s="17">
        <v>60.460839999999997</v>
      </c>
      <c r="C148" s="18"/>
      <c r="D148" s="19"/>
    </row>
    <row r="149" spans="1:4" x14ac:dyDescent="0.3">
      <c r="A149" s="20">
        <v>45453.657638999997</v>
      </c>
      <c r="B149" s="17">
        <v>60.359755</v>
      </c>
      <c r="C149" s="18"/>
      <c r="D149" s="19"/>
    </row>
    <row r="150" spans="1:4" x14ac:dyDescent="0.3">
      <c r="A150" s="20">
        <v>45453.658332999999</v>
      </c>
      <c r="B150" s="17">
        <v>60.637670999999997</v>
      </c>
      <c r="C150" s="18"/>
      <c r="D150" s="19"/>
    </row>
    <row r="151" spans="1:4" x14ac:dyDescent="0.3">
      <c r="A151" s="20">
        <v>45453.659028000002</v>
      </c>
      <c r="B151" s="17">
        <v>61.708852999999998</v>
      </c>
      <c r="C151" s="18"/>
      <c r="D151" s="19"/>
    </row>
    <row r="152" spans="1:4" x14ac:dyDescent="0.3">
      <c r="A152" s="20">
        <v>45453.659721999997</v>
      </c>
      <c r="B152" s="17">
        <v>60.696412000000002</v>
      </c>
      <c r="C152" s="18"/>
      <c r="D152" s="19"/>
    </row>
    <row r="153" spans="1:4" x14ac:dyDescent="0.3">
      <c r="A153" s="20">
        <v>45453.660416999999</v>
      </c>
      <c r="B153" s="17">
        <v>60.885502000000002</v>
      </c>
      <c r="C153" s="18"/>
      <c r="D153" s="19"/>
    </row>
    <row r="154" spans="1:4" x14ac:dyDescent="0.3">
      <c r="A154" s="20">
        <v>45453.661111000001</v>
      </c>
      <c r="B154" s="17">
        <v>60.712938999999999</v>
      </c>
      <c r="C154" s="18"/>
      <c r="D154" s="19"/>
    </row>
    <row r="155" spans="1:4" x14ac:dyDescent="0.3">
      <c r="A155" s="20">
        <v>45453.661805999996</v>
      </c>
      <c r="B155" s="17">
        <v>60.321506999999997</v>
      </c>
      <c r="C155" s="18"/>
      <c r="D155" s="19"/>
    </row>
    <row r="156" spans="1:4" x14ac:dyDescent="0.3">
      <c r="A156" s="20">
        <v>45453.662499999999</v>
      </c>
      <c r="B156" s="17">
        <v>60.305982</v>
      </c>
      <c r="C156" s="18"/>
      <c r="D156" s="19"/>
    </row>
    <row r="157" spans="1:4" x14ac:dyDescent="0.3">
      <c r="A157" s="20">
        <v>45453.663194000001</v>
      </c>
      <c r="B157" s="17">
        <v>60.360228999999997</v>
      </c>
      <c r="C157" s="18"/>
      <c r="D157" s="19"/>
    </row>
    <row r="158" spans="1:4" x14ac:dyDescent="0.3">
      <c r="A158" s="20">
        <v>45453.663889000003</v>
      </c>
      <c r="B158" s="17">
        <v>60.911369000000001</v>
      </c>
      <c r="C158" s="18"/>
      <c r="D158" s="19"/>
    </row>
    <row r="159" spans="1:4" x14ac:dyDescent="0.3">
      <c r="A159" s="20">
        <v>45453.664582999998</v>
      </c>
      <c r="B159" s="17">
        <v>61.092823000000003</v>
      </c>
      <c r="C159" s="18"/>
      <c r="D159" s="19"/>
    </row>
    <row r="160" spans="1:4" x14ac:dyDescent="0.3">
      <c r="A160" s="20">
        <v>45453.665278</v>
      </c>
      <c r="B160" s="17">
        <v>60.583444</v>
      </c>
      <c r="C160" s="18"/>
      <c r="D160" s="19"/>
    </row>
    <row r="161" spans="1:4" x14ac:dyDescent="0.3">
      <c r="A161" s="20">
        <v>45453.665972000003</v>
      </c>
      <c r="B161" s="17">
        <v>62.108206000000003</v>
      </c>
      <c r="C161" s="18"/>
      <c r="D161" s="19"/>
    </row>
    <row r="162" spans="1:4" x14ac:dyDescent="0.3">
      <c r="A162" s="20">
        <v>45453.666666999998</v>
      </c>
      <c r="B162" s="17">
        <v>61.970702000000003</v>
      </c>
      <c r="C162" s="18"/>
      <c r="D162" s="19"/>
    </row>
    <row r="163" spans="1:4" x14ac:dyDescent="0.3">
      <c r="A163" s="20">
        <v>45453.667361</v>
      </c>
      <c r="B163" s="17">
        <v>60.483531999999997</v>
      </c>
      <c r="C163" s="18"/>
      <c r="D163" s="19"/>
    </row>
    <row r="164" spans="1:4" x14ac:dyDescent="0.3">
      <c r="A164" s="20">
        <v>45453.668056000002</v>
      </c>
      <c r="B164" s="17">
        <v>61.746296000000001</v>
      </c>
      <c r="C164" s="18"/>
      <c r="D164" s="19"/>
    </row>
    <row r="165" spans="1:4" x14ac:dyDescent="0.3">
      <c r="A165" s="20">
        <v>45453.668749999997</v>
      </c>
      <c r="B165" s="17">
        <v>60.861330000000002</v>
      </c>
      <c r="C165" s="18"/>
      <c r="D165" s="19"/>
    </row>
    <row r="166" spans="1:4" x14ac:dyDescent="0.3">
      <c r="A166" s="20">
        <v>45453.669443999999</v>
      </c>
      <c r="B166" s="17">
        <v>60.751618999999998</v>
      </c>
      <c r="C166" s="18"/>
      <c r="D166" s="19"/>
    </row>
    <row r="167" spans="1:4" x14ac:dyDescent="0.3">
      <c r="A167" s="20">
        <v>45453.670139000002</v>
      </c>
      <c r="B167" s="17">
        <v>62.167569999999998</v>
      </c>
      <c r="C167" s="18"/>
      <c r="D167" s="19"/>
    </row>
    <row r="168" spans="1:4" x14ac:dyDescent="0.3">
      <c r="A168" s="20">
        <v>45453.670832999996</v>
      </c>
      <c r="B168" s="17">
        <v>60.919673000000003</v>
      </c>
      <c r="C168" s="18"/>
      <c r="D168" s="19"/>
    </row>
    <row r="169" spans="1:4" x14ac:dyDescent="0.3">
      <c r="A169" s="20">
        <v>45453.671527999999</v>
      </c>
      <c r="B169" s="17">
        <v>61.901769000000002</v>
      </c>
      <c r="C169" s="18"/>
      <c r="D169" s="19"/>
    </row>
    <row r="170" spans="1:4" x14ac:dyDescent="0.3">
      <c r="A170" s="20">
        <v>45453.672222000001</v>
      </c>
      <c r="B170" s="17">
        <v>61.786481999999999</v>
      </c>
      <c r="C170" s="18"/>
      <c r="D170" s="19"/>
    </row>
    <row r="171" spans="1:4" x14ac:dyDescent="0.3">
      <c r="A171" s="20">
        <v>45453.672917000004</v>
      </c>
      <c r="B171" s="17">
        <v>60.504953</v>
      </c>
      <c r="C171" s="18"/>
      <c r="D171" s="19"/>
    </row>
    <row r="172" spans="1:4" x14ac:dyDescent="0.3">
      <c r="A172" s="20">
        <v>45453.673610999998</v>
      </c>
      <c r="B172" s="17">
        <v>60.165425999999997</v>
      </c>
      <c r="C172" s="18"/>
      <c r="D172" s="19"/>
    </row>
    <row r="173" spans="1:4" x14ac:dyDescent="0.3">
      <c r="A173" s="20">
        <v>45453.674306000001</v>
      </c>
      <c r="B173" s="17">
        <v>60.791910999999999</v>
      </c>
      <c r="C173" s="18"/>
      <c r="D173" s="19"/>
    </row>
    <row r="174" spans="1:4" x14ac:dyDescent="0.3">
      <c r="A174" s="20">
        <v>45453.675000000003</v>
      </c>
      <c r="B174" s="17">
        <v>61.145035999999998</v>
      </c>
      <c r="C174" s="18"/>
      <c r="D174" s="19"/>
    </row>
    <row r="175" spans="1:4" x14ac:dyDescent="0.3">
      <c r="A175" s="20">
        <v>45453.675693999998</v>
      </c>
      <c r="B175" s="17">
        <v>61.662495999999997</v>
      </c>
      <c r="C175" s="18"/>
      <c r="D175" s="19"/>
    </row>
    <row r="176" spans="1:4" x14ac:dyDescent="0.3">
      <c r="A176" s="20">
        <v>45453.676389</v>
      </c>
      <c r="B176" s="17">
        <v>60.464632999999999</v>
      </c>
      <c r="C176" s="18"/>
      <c r="D176" s="19"/>
    </row>
    <row r="177" spans="1:4" x14ac:dyDescent="0.3">
      <c r="A177" s="20">
        <v>45453.677083000002</v>
      </c>
      <c r="B177" s="17">
        <v>60.762825999999997</v>
      </c>
      <c r="C177" s="18"/>
      <c r="D177" s="19"/>
    </row>
    <row r="178" spans="1:4" x14ac:dyDescent="0.3">
      <c r="A178" s="20">
        <v>45453.677777999997</v>
      </c>
      <c r="B178" s="17">
        <v>62.234512000000002</v>
      </c>
      <c r="C178" s="18"/>
      <c r="D178" s="19"/>
    </row>
    <row r="179" spans="1:4" x14ac:dyDescent="0.3">
      <c r="A179" s="20">
        <v>45453.678472</v>
      </c>
      <c r="B179" s="17">
        <v>61.980775999999999</v>
      </c>
      <c r="C179" s="18"/>
      <c r="D179" s="19"/>
    </row>
    <row r="180" spans="1:4" x14ac:dyDescent="0.3">
      <c r="A180" s="20">
        <v>45453.679167000002</v>
      </c>
      <c r="B180" s="17">
        <v>60.218688999999998</v>
      </c>
      <c r="C180" s="18"/>
      <c r="D180" s="19"/>
    </row>
    <row r="181" spans="1:4" x14ac:dyDescent="0.3">
      <c r="A181" s="20">
        <v>45453.679860999997</v>
      </c>
      <c r="B181" s="17">
        <v>61.406986000000003</v>
      </c>
      <c r="C181" s="18"/>
      <c r="D181" s="19"/>
    </row>
    <row r="182" spans="1:4" x14ac:dyDescent="0.3">
      <c r="A182" s="20">
        <v>45453.680555999999</v>
      </c>
      <c r="B182" s="17">
        <v>60.722687000000001</v>
      </c>
      <c r="C182" s="18"/>
      <c r="D182" s="19"/>
    </row>
    <row r="183" spans="1:4" x14ac:dyDescent="0.3">
      <c r="A183" s="20">
        <v>45453.681250000001</v>
      </c>
      <c r="B183" s="17">
        <v>61.115779000000003</v>
      </c>
      <c r="C183" s="18"/>
      <c r="D183" s="19"/>
    </row>
    <row r="184" spans="1:4" x14ac:dyDescent="0.3">
      <c r="A184" s="20">
        <v>45453.681944000004</v>
      </c>
      <c r="B184" s="17">
        <v>61.380617000000001</v>
      </c>
      <c r="C184" s="18"/>
      <c r="D184" s="19"/>
    </row>
    <row r="185" spans="1:4" x14ac:dyDescent="0.3">
      <c r="A185" s="20">
        <v>45453.682638999999</v>
      </c>
      <c r="B185" s="17">
        <v>60.814076999999997</v>
      </c>
      <c r="C185" s="18"/>
      <c r="D185" s="19"/>
    </row>
    <row r="186" spans="1:4" x14ac:dyDescent="0.3">
      <c r="A186" s="20">
        <v>45453.683333000001</v>
      </c>
      <c r="B186" s="17">
        <v>60.693959999999997</v>
      </c>
      <c r="C186" s="18"/>
      <c r="D186" s="19"/>
    </row>
    <row r="187" spans="1:4" x14ac:dyDescent="0.3">
      <c r="A187" s="20">
        <v>45453.684028000003</v>
      </c>
      <c r="B187" s="17">
        <v>60.310397999999999</v>
      </c>
      <c r="C187" s="18"/>
      <c r="D187" s="19"/>
    </row>
    <row r="188" spans="1:4" x14ac:dyDescent="0.3">
      <c r="A188" s="20">
        <v>45453.684721999998</v>
      </c>
      <c r="B188" s="17">
        <v>62.190460000000002</v>
      </c>
      <c r="C188" s="18"/>
      <c r="D188" s="19"/>
    </row>
    <row r="189" spans="1:4" x14ac:dyDescent="0.3">
      <c r="A189" s="20">
        <v>45453.685417000001</v>
      </c>
      <c r="B189" s="17">
        <v>60.417352999999999</v>
      </c>
      <c r="C189" s="18"/>
      <c r="D189" s="19"/>
    </row>
    <row r="190" spans="1:4" x14ac:dyDescent="0.3">
      <c r="A190" s="20">
        <v>45453.686111000003</v>
      </c>
      <c r="B190" s="17">
        <v>61.181984999999997</v>
      </c>
      <c r="C190" s="18"/>
      <c r="D190" s="19"/>
    </row>
    <row r="191" spans="1:4" x14ac:dyDescent="0.3">
      <c r="A191" s="20">
        <v>45453.686805999998</v>
      </c>
      <c r="B191" s="17">
        <v>61.112532999999999</v>
      </c>
      <c r="C191" s="18"/>
      <c r="D191" s="19"/>
    </row>
    <row r="192" spans="1:4" x14ac:dyDescent="0.3">
      <c r="A192" s="20">
        <v>45453.6875</v>
      </c>
      <c r="B192" s="17">
        <v>62.145243999999998</v>
      </c>
      <c r="C192" s="18"/>
      <c r="D192" s="19"/>
    </row>
    <row r="193" spans="1:4" x14ac:dyDescent="0.3">
      <c r="A193" s="20">
        <v>45453.688194000002</v>
      </c>
      <c r="B193" s="17">
        <v>61.302030000000002</v>
      </c>
      <c r="C193" s="18"/>
      <c r="D193" s="19"/>
    </row>
    <row r="194" spans="1:4" x14ac:dyDescent="0.3">
      <c r="A194" s="20">
        <v>45453.688888999997</v>
      </c>
      <c r="B194" s="17">
        <v>60.691580999999999</v>
      </c>
      <c r="C194" s="18"/>
      <c r="D194" s="19"/>
    </row>
    <row r="195" spans="1:4" x14ac:dyDescent="0.3">
      <c r="A195" s="20">
        <v>45453.689582999999</v>
      </c>
      <c r="B195" s="17">
        <v>60.992947999999998</v>
      </c>
      <c r="C195" s="18"/>
      <c r="D195" s="19"/>
    </row>
    <row r="196" spans="1:4" x14ac:dyDescent="0.3">
      <c r="A196" s="20">
        <v>45453.690278000002</v>
      </c>
      <c r="B196" s="17">
        <v>61.155583</v>
      </c>
      <c r="C196" s="18"/>
      <c r="D196" s="19"/>
    </row>
    <row r="197" spans="1:4" x14ac:dyDescent="0.3">
      <c r="A197" s="20">
        <v>45453.690971999997</v>
      </c>
      <c r="B197" s="17">
        <v>60.329281999999999</v>
      </c>
      <c r="C197" s="18"/>
      <c r="D197" s="19"/>
    </row>
    <row r="198" spans="1:4" x14ac:dyDescent="0.3">
      <c r="A198" s="20">
        <v>45453.691666999999</v>
      </c>
      <c r="B198" s="17">
        <v>61.723605999999997</v>
      </c>
      <c r="C198" s="18"/>
      <c r="D198" s="19"/>
    </row>
    <row r="199" spans="1:4" x14ac:dyDescent="0.3">
      <c r="A199" s="20">
        <v>45453.692361000001</v>
      </c>
      <c r="B199" s="17">
        <v>61.958278999999997</v>
      </c>
      <c r="C199" s="18"/>
      <c r="D199" s="19"/>
    </row>
    <row r="200" spans="1:4" x14ac:dyDescent="0.3">
      <c r="A200" s="20">
        <v>45453.693055999996</v>
      </c>
      <c r="B200" s="17">
        <v>62.148221999999997</v>
      </c>
      <c r="C200" s="18"/>
      <c r="D200" s="19"/>
    </row>
    <row r="201" spans="1:4" x14ac:dyDescent="0.3">
      <c r="A201" s="20">
        <v>45453.693749999999</v>
      </c>
      <c r="B201" s="17">
        <v>62.365195</v>
      </c>
      <c r="C201" s="18"/>
      <c r="D201" s="19"/>
    </row>
    <row r="202" spans="1:4" x14ac:dyDescent="0.3">
      <c r="A202" s="20">
        <v>45453.694444000001</v>
      </c>
      <c r="B202" s="17">
        <v>62.570538999999997</v>
      </c>
      <c r="C202" s="18"/>
      <c r="D202" s="19"/>
    </row>
    <row r="203" spans="1:4" x14ac:dyDescent="0.3">
      <c r="A203" s="20">
        <v>45453.695139000003</v>
      </c>
      <c r="B203" s="17">
        <v>61.291080999999998</v>
      </c>
      <c r="C203" s="18"/>
      <c r="D203" s="19"/>
    </row>
    <row r="204" spans="1:4" x14ac:dyDescent="0.3">
      <c r="A204" s="20">
        <v>45453.695832999998</v>
      </c>
      <c r="B204" s="17">
        <v>62.722160000000002</v>
      </c>
      <c r="C204" s="18"/>
      <c r="D204" s="19"/>
    </row>
    <row r="205" spans="1:4" x14ac:dyDescent="0.3">
      <c r="A205" s="20">
        <v>45453.696528</v>
      </c>
      <c r="B205" s="17">
        <v>61.719752</v>
      </c>
      <c r="C205" s="18"/>
      <c r="D205" s="19"/>
    </row>
    <row r="206" spans="1:4" x14ac:dyDescent="0.3">
      <c r="A206" s="20">
        <v>45453.697222000003</v>
      </c>
      <c r="B206" s="17">
        <v>61.181271000000002</v>
      </c>
      <c r="C206" s="18"/>
      <c r="D206" s="19"/>
    </row>
    <row r="207" spans="1:4" x14ac:dyDescent="0.3">
      <c r="A207" s="20">
        <v>45453.697916999998</v>
      </c>
      <c r="B207" s="17">
        <v>61.066546000000002</v>
      </c>
      <c r="C207" s="18"/>
      <c r="D207" s="19"/>
    </row>
    <row r="208" spans="1:4" x14ac:dyDescent="0.3">
      <c r="A208" s="20">
        <v>45453.698611</v>
      </c>
      <c r="B208" s="17">
        <v>61.802745999999999</v>
      </c>
      <c r="C208" s="18"/>
      <c r="D208" s="19"/>
    </row>
    <row r="209" spans="1:4" x14ac:dyDescent="0.3">
      <c r="A209" s="20">
        <v>45453.699306000002</v>
      </c>
      <c r="B209" s="17">
        <v>61.769616999999997</v>
      </c>
      <c r="C209" s="18"/>
      <c r="D209" s="19"/>
    </row>
    <row r="210" spans="1:4" x14ac:dyDescent="0.3">
      <c r="A210" s="20">
        <v>45453.7</v>
      </c>
      <c r="B210" s="17">
        <v>62.210470000000001</v>
      </c>
      <c r="C210" s="18"/>
      <c r="D210" s="19"/>
    </row>
    <row r="211" spans="1:4" x14ac:dyDescent="0.3">
      <c r="A211" s="20">
        <v>45453.700693999999</v>
      </c>
      <c r="B211" s="17">
        <v>61.093690000000002</v>
      </c>
      <c r="C211" s="18"/>
      <c r="D211" s="19"/>
    </row>
    <row r="212" spans="1:4" x14ac:dyDescent="0.3">
      <c r="A212" s="20">
        <v>45453.701389000002</v>
      </c>
      <c r="B212" s="17">
        <v>61.632421000000001</v>
      </c>
      <c r="C212" s="18"/>
      <c r="D212" s="19"/>
    </row>
    <row r="213" spans="1:4" x14ac:dyDescent="0.3">
      <c r="A213" s="20">
        <v>45453.702082999996</v>
      </c>
      <c r="B213" s="17">
        <v>61.919846</v>
      </c>
      <c r="C213" s="18"/>
      <c r="D213" s="19"/>
    </row>
    <row r="214" spans="1:4" x14ac:dyDescent="0.3">
      <c r="A214" s="20">
        <v>45453.702777999999</v>
      </c>
      <c r="B214" s="17">
        <v>61.474904000000002</v>
      </c>
      <c r="C214" s="18"/>
      <c r="D214" s="19"/>
    </row>
    <row r="215" spans="1:4" x14ac:dyDescent="0.3">
      <c r="A215" s="20">
        <v>45453.703472000001</v>
      </c>
      <c r="B215" s="17">
        <v>60.597484000000001</v>
      </c>
      <c r="C215" s="18"/>
      <c r="D215" s="19"/>
    </row>
    <row r="216" spans="1:4" x14ac:dyDescent="0.3">
      <c r="A216" s="20">
        <v>45453.704167000004</v>
      </c>
      <c r="B216" s="17">
        <v>61.265594999999998</v>
      </c>
      <c r="C216" s="18"/>
      <c r="D216" s="19"/>
    </row>
    <row r="217" spans="1:4" x14ac:dyDescent="0.3">
      <c r="A217" s="20">
        <v>45453.704860999998</v>
      </c>
      <c r="B217" s="17">
        <v>62.716754000000002</v>
      </c>
      <c r="C217" s="18"/>
      <c r="D217" s="19"/>
    </row>
    <row r="218" spans="1:4" x14ac:dyDescent="0.3">
      <c r="A218" s="20">
        <v>45453.705556000001</v>
      </c>
      <c r="B218" s="17">
        <v>60.838121999999998</v>
      </c>
      <c r="C218" s="18"/>
      <c r="D218" s="19"/>
    </row>
    <row r="219" spans="1:4" x14ac:dyDescent="0.3">
      <c r="A219" s="20">
        <v>45453.706250000003</v>
      </c>
      <c r="B219" s="17">
        <v>61.802396000000002</v>
      </c>
      <c r="C219" s="18"/>
      <c r="D219" s="19"/>
    </row>
    <row r="220" spans="1:4" x14ac:dyDescent="0.3">
      <c r="A220" s="20">
        <v>45453.706943999998</v>
      </c>
      <c r="B220" s="17">
        <v>61.621215999999997</v>
      </c>
      <c r="C220" s="18"/>
      <c r="D220" s="19"/>
    </row>
    <row r="221" spans="1:4" x14ac:dyDescent="0.3">
      <c r="A221" s="20">
        <v>45453.707639</v>
      </c>
      <c r="B221" s="17">
        <v>62.657899</v>
      </c>
      <c r="C221" s="18"/>
      <c r="D221" s="19"/>
    </row>
    <row r="222" spans="1:4" x14ac:dyDescent="0.3">
      <c r="A222" s="20">
        <v>45453.708333000002</v>
      </c>
      <c r="B222" s="17">
        <v>62.322409999999998</v>
      </c>
      <c r="C222" s="18"/>
      <c r="D222" s="19"/>
    </row>
    <row r="223" spans="1:4" x14ac:dyDescent="0.3">
      <c r="A223" s="20">
        <v>45453.709027999997</v>
      </c>
      <c r="B223" s="17">
        <v>61.046782</v>
      </c>
      <c r="C223" s="18"/>
      <c r="D223" s="19"/>
    </row>
    <row r="224" spans="1:4" x14ac:dyDescent="0.3">
      <c r="A224" s="20">
        <v>45453.709722</v>
      </c>
      <c r="B224" s="17">
        <v>62.544477000000001</v>
      </c>
      <c r="C224" s="18"/>
      <c r="D224" s="19"/>
    </row>
    <row r="225" spans="1:4" x14ac:dyDescent="0.3">
      <c r="A225" s="20">
        <v>45453.710417000002</v>
      </c>
      <c r="B225" s="17">
        <v>62.187671000000002</v>
      </c>
      <c r="C225" s="18"/>
      <c r="D225" s="19"/>
    </row>
    <row r="226" spans="1:4" x14ac:dyDescent="0.3">
      <c r="A226" s="20">
        <v>45453.711110999997</v>
      </c>
      <c r="B226" s="17">
        <v>61.881999</v>
      </c>
      <c r="C226" s="18"/>
      <c r="D226" s="19"/>
    </row>
    <row r="227" spans="1:4" x14ac:dyDescent="0.3">
      <c r="A227" s="20">
        <v>45453.711805999999</v>
      </c>
      <c r="B227" s="17">
        <v>62.135455</v>
      </c>
      <c r="C227" s="18"/>
      <c r="D227" s="19"/>
    </row>
    <row r="228" spans="1:4" x14ac:dyDescent="0.3">
      <c r="A228" s="20">
        <v>45453.712500000001</v>
      </c>
      <c r="B228" s="17">
        <v>61.263299000000004</v>
      </c>
      <c r="C228" s="18"/>
      <c r="D228" s="19"/>
    </row>
    <row r="229" spans="1:4" x14ac:dyDescent="0.3">
      <c r="A229" s="20">
        <v>45453.713194000004</v>
      </c>
      <c r="B229" s="17">
        <v>61.368412999999997</v>
      </c>
      <c r="C229" s="18"/>
      <c r="D229" s="19"/>
    </row>
    <row r="230" spans="1:4" x14ac:dyDescent="0.3">
      <c r="A230" s="20">
        <v>45453.713888999999</v>
      </c>
      <c r="B230" s="17">
        <v>61.774921999999997</v>
      </c>
      <c r="C230" s="18"/>
      <c r="D230" s="19"/>
    </row>
    <row r="231" spans="1:4" x14ac:dyDescent="0.3">
      <c r="A231" s="20">
        <v>45453.714583000001</v>
      </c>
      <c r="B231" s="17">
        <v>61.786549999999998</v>
      </c>
      <c r="C231" s="18"/>
      <c r="D231" s="19"/>
    </row>
    <row r="232" spans="1:4" x14ac:dyDescent="0.3">
      <c r="A232" s="20">
        <v>45453.715278000003</v>
      </c>
      <c r="B232" s="17">
        <v>61.545684000000001</v>
      </c>
      <c r="C232" s="18"/>
      <c r="D232" s="19"/>
    </row>
    <row r="233" spans="1:4" x14ac:dyDescent="0.3">
      <c r="A233" s="20">
        <v>45453.715971999998</v>
      </c>
      <c r="B233" s="17">
        <v>61.897596999999998</v>
      </c>
      <c r="C233" s="18"/>
      <c r="D233" s="19"/>
    </row>
    <row r="234" spans="1:4" x14ac:dyDescent="0.3">
      <c r="A234" s="20">
        <v>45453.716667000001</v>
      </c>
      <c r="B234" s="17">
        <v>60.853023999999998</v>
      </c>
      <c r="C234" s="18"/>
      <c r="D234" s="19"/>
    </row>
    <row r="235" spans="1:4" x14ac:dyDescent="0.3">
      <c r="A235" s="20">
        <v>45453.717361000003</v>
      </c>
      <c r="B235" s="17">
        <v>61.057040000000001</v>
      </c>
      <c r="C235" s="18"/>
      <c r="D235" s="19"/>
    </row>
    <row r="236" spans="1:4" x14ac:dyDescent="0.3">
      <c r="A236" s="20">
        <v>45453.718055999998</v>
      </c>
      <c r="B236" s="17">
        <v>62.042293000000001</v>
      </c>
      <c r="C236" s="18"/>
      <c r="D236" s="19"/>
    </row>
    <row r="237" spans="1:4" x14ac:dyDescent="0.3">
      <c r="A237" s="20">
        <v>45453.71875</v>
      </c>
      <c r="B237" s="17">
        <v>62.684226000000002</v>
      </c>
      <c r="C237" s="18"/>
      <c r="D237" s="19"/>
    </row>
    <row r="238" spans="1:4" x14ac:dyDescent="0.3">
      <c r="A238" s="20">
        <v>45453.719444000002</v>
      </c>
      <c r="B238" s="17">
        <v>61.428117999999998</v>
      </c>
      <c r="C238" s="18"/>
      <c r="D238" s="19"/>
    </row>
    <row r="239" spans="1:4" x14ac:dyDescent="0.3">
      <c r="A239" s="20">
        <v>45453.720138999997</v>
      </c>
      <c r="B239" s="17">
        <v>61.12359</v>
      </c>
      <c r="C239" s="18"/>
      <c r="D239" s="19"/>
    </row>
    <row r="240" spans="1:4" x14ac:dyDescent="0.3">
      <c r="A240" s="20">
        <v>45453.720832999999</v>
      </c>
      <c r="B240" s="17">
        <v>61.623503999999997</v>
      </c>
      <c r="C240" s="18"/>
      <c r="D240" s="19"/>
    </row>
    <row r="241" spans="1:4" x14ac:dyDescent="0.3">
      <c r="A241" s="20">
        <v>45453.721528000002</v>
      </c>
      <c r="B241" s="17">
        <v>62.334432</v>
      </c>
      <c r="C241" s="18"/>
      <c r="D241" s="19"/>
    </row>
    <row r="242" spans="1:4" x14ac:dyDescent="0.3">
      <c r="A242" s="20">
        <v>45453.722221999997</v>
      </c>
      <c r="B242" s="17">
        <v>61.602820000000001</v>
      </c>
      <c r="C242" s="18"/>
      <c r="D242" s="19"/>
    </row>
    <row r="243" spans="1:4" x14ac:dyDescent="0.3">
      <c r="A243" s="20">
        <v>45453.722916999999</v>
      </c>
      <c r="B243" s="17">
        <v>61.865527999999998</v>
      </c>
      <c r="C243" s="18"/>
      <c r="D243" s="19"/>
    </row>
    <row r="244" spans="1:4" x14ac:dyDescent="0.3">
      <c r="A244" s="20">
        <v>45453.723611000001</v>
      </c>
      <c r="B244" s="17">
        <v>61.606586</v>
      </c>
      <c r="C244" s="18"/>
      <c r="D244" s="19"/>
    </row>
    <row r="245" spans="1:4" x14ac:dyDescent="0.3">
      <c r="A245" s="20">
        <v>45453.724305999996</v>
      </c>
      <c r="B245" s="17">
        <v>60.665616</v>
      </c>
      <c r="C245" s="18"/>
      <c r="D245" s="19"/>
    </row>
    <row r="246" spans="1:4" x14ac:dyDescent="0.3">
      <c r="A246" s="20">
        <v>45453.724999999999</v>
      </c>
      <c r="B246" s="17">
        <v>60.831651999999998</v>
      </c>
      <c r="C246" s="18"/>
      <c r="D246" s="19"/>
    </row>
    <row r="247" spans="1:4" x14ac:dyDescent="0.3">
      <c r="A247" s="20">
        <v>45453.725694000001</v>
      </c>
      <c r="B247" s="17">
        <v>61.956043000000001</v>
      </c>
      <c r="C247" s="18"/>
      <c r="D247" s="19"/>
    </row>
    <row r="248" spans="1:4" x14ac:dyDescent="0.3">
      <c r="A248" s="20">
        <v>45453.726389000003</v>
      </c>
      <c r="B248" s="17">
        <v>60.786794999999998</v>
      </c>
      <c r="C248" s="18"/>
      <c r="D248" s="19"/>
    </row>
    <row r="249" spans="1:4" x14ac:dyDescent="0.3">
      <c r="A249" s="20">
        <v>45453.727082999998</v>
      </c>
      <c r="B249" s="17">
        <v>62.502867999999999</v>
      </c>
      <c r="C249" s="18"/>
      <c r="D249" s="19"/>
    </row>
    <row r="250" spans="1:4" x14ac:dyDescent="0.3">
      <c r="A250" s="20">
        <v>45453.727778</v>
      </c>
      <c r="B250" s="17">
        <v>61.050908</v>
      </c>
      <c r="C250" s="18"/>
      <c r="D250" s="19"/>
    </row>
    <row r="251" spans="1:4" x14ac:dyDescent="0.3">
      <c r="A251" s="20">
        <v>45453.728472000003</v>
      </c>
      <c r="B251" s="17">
        <v>61.110016000000002</v>
      </c>
      <c r="C251" s="18"/>
      <c r="D251" s="19"/>
    </row>
    <row r="252" spans="1:4" x14ac:dyDescent="0.3">
      <c r="A252" s="20">
        <v>45453.729166999998</v>
      </c>
      <c r="B252" s="17">
        <v>62.152121000000001</v>
      </c>
      <c r="C252" s="18"/>
      <c r="D252" s="19"/>
    </row>
    <row r="253" spans="1:4" x14ac:dyDescent="0.3">
      <c r="A253" s="20">
        <v>45453.729861</v>
      </c>
      <c r="B253" s="17">
        <v>61.704574999999998</v>
      </c>
      <c r="C253" s="18"/>
      <c r="D253" s="19"/>
    </row>
    <row r="254" spans="1:4" x14ac:dyDescent="0.3">
      <c r="A254" s="20">
        <v>45453.730556000002</v>
      </c>
      <c r="B254" s="17">
        <v>61.366038000000003</v>
      </c>
      <c r="C254" s="18"/>
      <c r="D254" s="19"/>
    </row>
    <row r="255" spans="1:4" x14ac:dyDescent="0.3">
      <c r="A255" s="20">
        <v>45453.731249999997</v>
      </c>
      <c r="B255" s="17">
        <v>61.261280999999997</v>
      </c>
      <c r="C255" s="18"/>
      <c r="D255" s="19"/>
    </row>
    <row r="256" spans="1:4" x14ac:dyDescent="0.3">
      <c r="A256" s="20">
        <v>45453.731943999999</v>
      </c>
      <c r="B256" s="17">
        <v>62.190294000000002</v>
      </c>
      <c r="C256" s="18"/>
      <c r="D256" s="19"/>
    </row>
    <row r="257" spans="1:4" x14ac:dyDescent="0.3">
      <c r="A257" s="20">
        <v>45453.732639000002</v>
      </c>
      <c r="B257" s="17">
        <v>63.213268999999997</v>
      </c>
      <c r="C257" s="18"/>
      <c r="D257" s="19"/>
    </row>
    <row r="258" spans="1:4" x14ac:dyDescent="0.3">
      <c r="A258" s="20">
        <v>45453.733332999996</v>
      </c>
      <c r="B258" s="17">
        <v>62.98827</v>
      </c>
      <c r="C258" s="18"/>
      <c r="D258" s="19"/>
    </row>
    <row r="259" spans="1:4" x14ac:dyDescent="0.3">
      <c r="A259" s="20">
        <v>45453.734027999999</v>
      </c>
      <c r="B259" s="17">
        <v>61.550401999999998</v>
      </c>
      <c r="C259" s="18"/>
      <c r="D259" s="19"/>
    </row>
    <row r="260" spans="1:4" x14ac:dyDescent="0.3">
      <c r="A260" s="20">
        <v>45453.734722000001</v>
      </c>
      <c r="B260" s="17">
        <v>61.512912999999998</v>
      </c>
      <c r="C260" s="18"/>
      <c r="D260" s="19"/>
    </row>
    <row r="261" spans="1:4" x14ac:dyDescent="0.3">
      <c r="A261" s="20">
        <v>45453.735417000004</v>
      </c>
      <c r="B261" s="17">
        <v>62.352755000000002</v>
      </c>
      <c r="C261" s="18"/>
      <c r="D261" s="19"/>
    </row>
    <row r="262" spans="1:4" x14ac:dyDescent="0.3">
      <c r="A262" s="20">
        <v>45453.736110999998</v>
      </c>
      <c r="B262" s="17">
        <v>62.890636999999998</v>
      </c>
      <c r="C262" s="18"/>
      <c r="D262" s="19"/>
    </row>
    <row r="263" spans="1:4" x14ac:dyDescent="0.3">
      <c r="A263" s="20">
        <v>45453.736806000001</v>
      </c>
      <c r="B263" s="17">
        <v>62.432927999999997</v>
      </c>
      <c r="C263" s="18"/>
      <c r="D263" s="19"/>
    </row>
    <row r="264" spans="1:4" x14ac:dyDescent="0.3">
      <c r="A264" s="20">
        <v>45453.737500000003</v>
      </c>
      <c r="B264" s="17">
        <v>62.211035000000003</v>
      </c>
      <c r="C264" s="18"/>
      <c r="D264" s="19"/>
    </row>
    <row r="265" spans="1:4" x14ac:dyDescent="0.3">
      <c r="A265" s="20">
        <v>45453.738193999998</v>
      </c>
      <c r="B265" s="17">
        <v>61.926788999999999</v>
      </c>
      <c r="C265" s="18"/>
      <c r="D265" s="19"/>
    </row>
    <row r="266" spans="1:4" x14ac:dyDescent="0.3">
      <c r="A266" s="20">
        <v>45453.738889</v>
      </c>
      <c r="B266" s="17">
        <v>62.881141999999997</v>
      </c>
      <c r="C266" s="18"/>
      <c r="D266" s="19"/>
    </row>
    <row r="267" spans="1:4" x14ac:dyDescent="0.3">
      <c r="A267" s="20">
        <v>45453.739583000002</v>
      </c>
      <c r="B267" s="17">
        <v>62.514375000000001</v>
      </c>
      <c r="C267" s="18"/>
      <c r="D267" s="19"/>
    </row>
    <row r="268" spans="1:4" x14ac:dyDescent="0.3">
      <c r="A268" s="20">
        <v>45453.740277999997</v>
      </c>
      <c r="B268" s="17">
        <v>62.842936000000002</v>
      </c>
      <c r="C268" s="18"/>
      <c r="D268" s="19"/>
    </row>
    <row r="269" spans="1:4" x14ac:dyDescent="0.3">
      <c r="A269" s="20">
        <v>45453.740972</v>
      </c>
      <c r="B269" s="17">
        <v>63.369917999999998</v>
      </c>
      <c r="C269" s="18"/>
      <c r="D269" s="19"/>
    </row>
    <row r="270" spans="1:4" x14ac:dyDescent="0.3">
      <c r="A270" s="20">
        <v>45453.741667000002</v>
      </c>
      <c r="B270" s="17">
        <v>61.773634999999999</v>
      </c>
      <c r="C270" s="18"/>
      <c r="D270" s="19"/>
    </row>
    <row r="271" spans="1:4" x14ac:dyDescent="0.3">
      <c r="A271" s="20">
        <v>45453.742360999997</v>
      </c>
      <c r="B271" s="17">
        <v>63.006647999999998</v>
      </c>
      <c r="C271" s="18"/>
      <c r="D271" s="19"/>
    </row>
    <row r="272" spans="1:4" x14ac:dyDescent="0.3">
      <c r="A272" s="20">
        <v>45453.743055999999</v>
      </c>
      <c r="B272" s="17">
        <v>61.955883</v>
      </c>
      <c r="C272" s="18"/>
      <c r="D272" s="19"/>
    </row>
    <row r="273" spans="1:4" x14ac:dyDescent="0.3">
      <c r="A273" s="20">
        <v>45453.743750000001</v>
      </c>
      <c r="B273" s="17">
        <v>62.103397000000001</v>
      </c>
      <c r="C273" s="18"/>
      <c r="D273" s="19"/>
    </row>
    <row r="274" spans="1:4" x14ac:dyDescent="0.3">
      <c r="A274" s="20">
        <v>45453.744444000004</v>
      </c>
      <c r="B274" s="17">
        <v>61.877284000000003</v>
      </c>
      <c r="C274" s="18"/>
      <c r="D274" s="19"/>
    </row>
    <row r="275" spans="1:4" x14ac:dyDescent="0.3">
      <c r="A275" s="20">
        <v>45453.745138999999</v>
      </c>
      <c r="B275" s="17">
        <v>61.635742</v>
      </c>
      <c r="C275" s="18"/>
      <c r="D275" s="19"/>
    </row>
    <row r="276" spans="1:4" x14ac:dyDescent="0.3">
      <c r="A276" s="20">
        <v>45453.745833000001</v>
      </c>
      <c r="B276" s="17">
        <v>61.958936999999999</v>
      </c>
      <c r="C276" s="18"/>
      <c r="D276" s="19"/>
    </row>
    <row r="277" spans="1:4" x14ac:dyDescent="0.3">
      <c r="A277" s="20">
        <v>45453.746528000003</v>
      </c>
      <c r="B277" s="17">
        <v>62.963853</v>
      </c>
      <c r="C277" s="18"/>
      <c r="D277" s="19"/>
    </row>
    <row r="278" spans="1:4" x14ac:dyDescent="0.3">
      <c r="A278" s="20">
        <v>45453.747221999998</v>
      </c>
      <c r="B278" s="17">
        <v>61.891891000000001</v>
      </c>
      <c r="C278" s="18"/>
      <c r="D278" s="19"/>
    </row>
    <row r="279" spans="1:4" x14ac:dyDescent="0.3">
      <c r="A279" s="20">
        <v>45453.747917000001</v>
      </c>
      <c r="B279" s="17">
        <v>62.117305000000002</v>
      </c>
      <c r="C279" s="18"/>
      <c r="D279" s="19"/>
    </row>
    <row r="280" spans="1:4" x14ac:dyDescent="0.3">
      <c r="A280" s="20">
        <v>45453.748611000003</v>
      </c>
      <c r="B280" s="17">
        <v>61.339886999999997</v>
      </c>
      <c r="C280" s="18"/>
      <c r="D280" s="19"/>
    </row>
    <row r="281" spans="1:4" x14ac:dyDescent="0.3">
      <c r="A281" s="20">
        <v>45453.749305999998</v>
      </c>
      <c r="B281" s="17">
        <v>62.634411999999998</v>
      </c>
      <c r="C281" s="18"/>
      <c r="D281" s="19"/>
    </row>
    <row r="282" spans="1:4" x14ac:dyDescent="0.3">
      <c r="A282" s="20">
        <v>45453.75</v>
      </c>
      <c r="B282" s="17">
        <v>62.080950000000001</v>
      </c>
      <c r="C282" s="18"/>
      <c r="D282" s="19"/>
    </row>
    <row r="283" spans="1:4" x14ac:dyDescent="0.3">
      <c r="A283" s="20">
        <v>45453.750694000002</v>
      </c>
      <c r="B283" s="17">
        <v>61.829433999999999</v>
      </c>
      <c r="C283" s="18"/>
      <c r="D283" s="19"/>
    </row>
    <row r="284" spans="1:4" x14ac:dyDescent="0.3">
      <c r="A284" s="20">
        <v>45453.751388999997</v>
      </c>
      <c r="B284" s="17">
        <v>62.51023</v>
      </c>
      <c r="C284" s="18"/>
      <c r="D284" s="19"/>
    </row>
    <row r="285" spans="1:4" x14ac:dyDescent="0.3">
      <c r="A285" s="20">
        <v>45453.752082999999</v>
      </c>
      <c r="B285" s="17">
        <v>63.033211999999999</v>
      </c>
      <c r="C285" s="18"/>
      <c r="D285" s="19"/>
    </row>
    <row r="286" spans="1:4" x14ac:dyDescent="0.3">
      <c r="A286" s="20">
        <v>45453.752778000002</v>
      </c>
      <c r="B286" s="17">
        <v>62.568275</v>
      </c>
      <c r="C286" s="18"/>
      <c r="D286" s="19"/>
    </row>
    <row r="287" spans="1:4" x14ac:dyDescent="0.3">
      <c r="A287" s="20">
        <v>45453.753471999997</v>
      </c>
      <c r="B287" s="17">
        <v>61.612966999999998</v>
      </c>
      <c r="C287" s="18"/>
      <c r="D287" s="19"/>
    </row>
    <row r="288" spans="1:4" x14ac:dyDescent="0.3">
      <c r="A288" s="20">
        <v>45453.754166999999</v>
      </c>
      <c r="B288" s="17">
        <v>61.900136000000003</v>
      </c>
      <c r="C288" s="18"/>
      <c r="D288" s="19"/>
    </row>
    <row r="289" spans="1:4" x14ac:dyDescent="0.3">
      <c r="A289" s="20">
        <v>45453.754861000001</v>
      </c>
      <c r="B289" s="17">
        <v>62.503875999999998</v>
      </c>
      <c r="C289" s="18"/>
      <c r="D289" s="19"/>
    </row>
    <row r="290" spans="1:4" x14ac:dyDescent="0.3">
      <c r="A290" s="20">
        <v>45453.755555999996</v>
      </c>
      <c r="B290" s="17">
        <v>62.578100999999997</v>
      </c>
      <c r="C290" s="18"/>
      <c r="D290" s="19"/>
    </row>
    <row r="291" spans="1:4" x14ac:dyDescent="0.3">
      <c r="A291" s="20">
        <v>45453.756249999999</v>
      </c>
      <c r="B291" s="17">
        <v>62.019934999999997</v>
      </c>
      <c r="C291" s="18"/>
      <c r="D291" s="19"/>
    </row>
    <row r="292" spans="1:4" x14ac:dyDescent="0.3">
      <c r="A292" s="20">
        <v>45453.756944000001</v>
      </c>
      <c r="B292" s="17">
        <v>62.382261999999997</v>
      </c>
      <c r="C292" s="18"/>
      <c r="D292" s="19"/>
    </row>
    <row r="293" spans="1:4" x14ac:dyDescent="0.3">
      <c r="A293" s="20">
        <v>45453.757639000003</v>
      </c>
      <c r="B293" s="17">
        <v>62.103526000000002</v>
      </c>
      <c r="C293" s="18"/>
      <c r="D293" s="19"/>
    </row>
    <row r="294" spans="1:4" x14ac:dyDescent="0.3">
      <c r="A294" s="20">
        <v>45453.758332999998</v>
      </c>
      <c r="B294" s="17">
        <v>61.599269</v>
      </c>
      <c r="C294" s="18"/>
      <c r="D294" s="19"/>
    </row>
    <row r="295" spans="1:4" x14ac:dyDescent="0.3">
      <c r="A295" s="20">
        <v>45453.759028</v>
      </c>
      <c r="B295" s="17">
        <v>62.349238999999997</v>
      </c>
      <c r="C295" s="18"/>
      <c r="D295" s="19"/>
    </row>
    <row r="296" spans="1:4" x14ac:dyDescent="0.3">
      <c r="A296" s="20">
        <v>45453.759722000003</v>
      </c>
      <c r="B296" s="17">
        <v>62.903264999999998</v>
      </c>
      <c r="C296" s="18"/>
      <c r="D296" s="19"/>
    </row>
    <row r="297" spans="1:4" x14ac:dyDescent="0.3">
      <c r="A297" s="20">
        <v>45453.760416999998</v>
      </c>
      <c r="B297" s="17">
        <v>62.2759</v>
      </c>
      <c r="C297" s="18"/>
      <c r="D297" s="19"/>
    </row>
    <row r="298" spans="1:4" x14ac:dyDescent="0.3">
      <c r="A298" s="20">
        <v>45453.761111</v>
      </c>
      <c r="B298" s="17">
        <v>62.108466999999997</v>
      </c>
      <c r="C298" s="18"/>
      <c r="D298" s="19"/>
    </row>
    <row r="299" spans="1:4" x14ac:dyDescent="0.3">
      <c r="A299" s="20">
        <v>45453.761806000002</v>
      </c>
      <c r="B299" s="17">
        <v>61.555940999999997</v>
      </c>
      <c r="C299" s="18"/>
      <c r="D299" s="19"/>
    </row>
    <row r="300" spans="1:4" x14ac:dyDescent="0.3">
      <c r="A300" s="20">
        <v>45453.762499999997</v>
      </c>
      <c r="B300" s="17">
        <v>62.200265000000002</v>
      </c>
      <c r="C300" s="18"/>
      <c r="D300" s="19"/>
    </row>
    <row r="301" spans="1:4" x14ac:dyDescent="0.3">
      <c r="A301" s="20">
        <v>45453.763193999999</v>
      </c>
      <c r="B301" s="17">
        <v>61.371991000000001</v>
      </c>
      <c r="C301" s="18"/>
      <c r="D301" s="19"/>
    </row>
    <row r="302" spans="1:4" x14ac:dyDescent="0.3">
      <c r="A302" s="20">
        <v>45453.763889000002</v>
      </c>
      <c r="B302" s="17">
        <v>62.110680000000002</v>
      </c>
      <c r="C302" s="18"/>
      <c r="D302" s="19"/>
    </row>
    <row r="303" spans="1:4" x14ac:dyDescent="0.3">
      <c r="A303" s="20">
        <v>45453.764582999996</v>
      </c>
      <c r="B303" s="17">
        <v>61.338127999999998</v>
      </c>
      <c r="C303" s="18"/>
      <c r="D303" s="19"/>
    </row>
    <row r="304" spans="1:4" x14ac:dyDescent="0.3">
      <c r="A304" s="20">
        <v>45453.765277999999</v>
      </c>
      <c r="B304" s="17">
        <v>61.412985999999997</v>
      </c>
      <c r="C304" s="18"/>
      <c r="D304" s="19"/>
    </row>
    <row r="305" spans="1:4" x14ac:dyDescent="0.3">
      <c r="A305" s="20">
        <v>45453.765972000001</v>
      </c>
      <c r="B305" s="17">
        <v>61.951500000000003</v>
      </c>
      <c r="C305" s="18"/>
      <c r="D305" s="19"/>
    </row>
    <row r="306" spans="1:4" x14ac:dyDescent="0.3">
      <c r="A306" s="20">
        <v>45453.766667000004</v>
      </c>
      <c r="B306" s="17">
        <v>61.918754</v>
      </c>
      <c r="C306" s="18"/>
      <c r="D306" s="19"/>
    </row>
    <row r="307" spans="1:4" x14ac:dyDescent="0.3">
      <c r="A307" s="20">
        <v>45453.767360999998</v>
      </c>
      <c r="B307" s="17">
        <v>62.036582000000003</v>
      </c>
      <c r="C307" s="18"/>
      <c r="D307" s="19"/>
    </row>
    <row r="308" spans="1:4" x14ac:dyDescent="0.3">
      <c r="A308" s="20">
        <v>45453.768056000001</v>
      </c>
      <c r="B308" s="17">
        <v>62.355294999999998</v>
      </c>
      <c r="C308" s="18"/>
      <c r="D308" s="19"/>
    </row>
    <row r="309" spans="1:4" x14ac:dyDescent="0.3">
      <c r="A309" s="20">
        <v>45453.768750000003</v>
      </c>
      <c r="B309" s="17">
        <v>61.04486</v>
      </c>
      <c r="C309" s="18"/>
      <c r="D309" s="19"/>
    </row>
    <row r="310" spans="1:4" x14ac:dyDescent="0.3">
      <c r="A310" s="20">
        <v>45453.769443999998</v>
      </c>
      <c r="B310" s="17">
        <v>61.696694000000001</v>
      </c>
      <c r="C310" s="18"/>
      <c r="D310" s="19"/>
    </row>
    <row r="311" spans="1:4" x14ac:dyDescent="0.3">
      <c r="A311" s="20">
        <v>45453.770139</v>
      </c>
      <c r="B311" s="17">
        <v>61.316946000000002</v>
      </c>
      <c r="C311" s="18"/>
      <c r="D311" s="19"/>
    </row>
    <row r="312" spans="1:4" x14ac:dyDescent="0.3">
      <c r="A312" s="20">
        <v>45453.770833000002</v>
      </c>
      <c r="B312" s="17">
        <v>62.146563999999998</v>
      </c>
      <c r="C312" s="18"/>
      <c r="D312" s="19"/>
    </row>
    <row r="313" spans="1:4" x14ac:dyDescent="0.3">
      <c r="A313" s="20">
        <v>45453.771527999997</v>
      </c>
      <c r="B313" s="17">
        <v>61.275269999999999</v>
      </c>
      <c r="C313" s="18"/>
      <c r="D313" s="19"/>
    </row>
    <row r="314" spans="1:4" x14ac:dyDescent="0.3">
      <c r="A314" s="20">
        <v>45453.772222</v>
      </c>
      <c r="B314" s="17">
        <v>61.871336999999997</v>
      </c>
      <c r="C314" s="18"/>
      <c r="D314" s="19"/>
    </row>
    <row r="315" spans="1:4" x14ac:dyDescent="0.3">
      <c r="A315" s="20">
        <v>45453.772917000002</v>
      </c>
      <c r="B315" s="17">
        <v>61.840615999999997</v>
      </c>
      <c r="C315" s="18"/>
      <c r="D315" s="19"/>
    </row>
    <row r="316" spans="1:4" x14ac:dyDescent="0.3">
      <c r="A316" s="20">
        <v>45453.773610999997</v>
      </c>
      <c r="B316" s="17">
        <v>61.675687000000003</v>
      </c>
      <c r="C316" s="18"/>
      <c r="D316" s="19"/>
    </row>
    <row r="317" spans="1:4" x14ac:dyDescent="0.3">
      <c r="A317" s="20">
        <v>45453.774305999999</v>
      </c>
      <c r="B317" s="17">
        <v>62.262082999999997</v>
      </c>
      <c r="C317" s="18"/>
      <c r="D317" s="19"/>
    </row>
    <row r="318" spans="1:4" x14ac:dyDescent="0.3">
      <c r="A318" s="20">
        <v>45453.775000000001</v>
      </c>
      <c r="B318" s="17">
        <v>61.274397999999998</v>
      </c>
      <c r="C318" s="18"/>
      <c r="D318" s="19"/>
    </row>
    <row r="319" spans="1:4" x14ac:dyDescent="0.3">
      <c r="A319" s="20">
        <v>45453.775694000004</v>
      </c>
      <c r="B319" s="17">
        <v>61.433737999999998</v>
      </c>
      <c r="C319" s="18"/>
      <c r="D319" s="19"/>
    </row>
    <row r="320" spans="1:4" x14ac:dyDescent="0.3">
      <c r="A320" s="20">
        <v>45453.776388999999</v>
      </c>
      <c r="B320" s="17">
        <v>61.353302999999997</v>
      </c>
      <c r="C320" s="18"/>
      <c r="D320" s="19"/>
    </row>
    <row r="321" spans="1:4" x14ac:dyDescent="0.3">
      <c r="A321" s="20">
        <v>45453.777083000001</v>
      </c>
      <c r="B321" s="17">
        <v>61.669929000000003</v>
      </c>
      <c r="C321" s="18"/>
      <c r="D321" s="19"/>
    </row>
    <row r="322" spans="1:4" x14ac:dyDescent="0.3">
      <c r="A322" s="20">
        <v>45453.777778000003</v>
      </c>
      <c r="B322" s="17">
        <v>62.070149000000001</v>
      </c>
      <c r="C322" s="18"/>
      <c r="D322" s="19"/>
    </row>
    <row r="323" spans="1:4" x14ac:dyDescent="0.3">
      <c r="A323" s="20">
        <v>45453.778471999998</v>
      </c>
      <c r="B323" s="17">
        <v>61.966861999999999</v>
      </c>
      <c r="C323" s="18"/>
      <c r="D323" s="19"/>
    </row>
    <row r="324" spans="1:4" x14ac:dyDescent="0.3">
      <c r="A324" s="20">
        <v>45453.779167000001</v>
      </c>
      <c r="B324" s="17">
        <v>60.767175000000002</v>
      </c>
      <c r="C324" s="18"/>
      <c r="D324" s="19"/>
    </row>
    <row r="325" spans="1:4" x14ac:dyDescent="0.3">
      <c r="A325" s="20">
        <v>45453.779861000003</v>
      </c>
      <c r="B325" s="17">
        <v>62.648193999999997</v>
      </c>
      <c r="C325" s="18"/>
      <c r="D325" s="19"/>
    </row>
    <row r="326" spans="1:4" x14ac:dyDescent="0.3">
      <c r="A326" s="20">
        <v>45453.780555999998</v>
      </c>
      <c r="B326" s="17">
        <v>62.462662999999999</v>
      </c>
      <c r="C326" s="18"/>
      <c r="D326" s="19"/>
    </row>
    <row r="327" spans="1:4" x14ac:dyDescent="0.3">
      <c r="A327" s="20">
        <v>45453.78125</v>
      </c>
      <c r="B327" s="17">
        <v>62.237217999999999</v>
      </c>
      <c r="C327" s="18"/>
      <c r="D327" s="19"/>
    </row>
    <row r="328" spans="1:4" x14ac:dyDescent="0.3">
      <c r="A328" s="20">
        <v>45453.781944000002</v>
      </c>
      <c r="B328" s="17">
        <v>62.565527000000003</v>
      </c>
      <c r="C328" s="18"/>
      <c r="D328" s="19"/>
    </row>
    <row r="329" spans="1:4" x14ac:dyDescent="0.3">
      <c r="A329" s="20">
        <v>45453.782638999997</v>
      </c>
      <c r="B329" s="17">
        <v>61.970275000000001</v>
      </c>
      <c r="C329" s="18"/>
      <c r="D329" s="19"/>
    </row>
    <row r="330" spans="1:4" x14ac:dyDescent="0.3">
      <c r="A330" s="20">
        <v>45453.783332999999</v>
      </c>
      <c r="B330" s="17">
        <v>62.200007999999997</v>
      </c>
      <c r="C330" s="18"/>
      <c r="D330" s="19"/>
    </row>
    <row r="331" spans="1:4" x14ac:dyDescent="0.3">
      <c r="A331" s="20">
        <v>45453.784028000002</v>
      </c>
      <c r="B331" s="17">
        <v>62.301876999999998</v>
      </c>
      <c r="C331" s="18"/>
      <c r="D331" s="19"/>
    </row>
    <row r="332" spans="1:4" x14ac:dyDescent="0.3">
      <c r="A332" s="20">
        <v>45453.784721999997</v>
      </c>
      <c r="B332" s="17">
        <v>62.556713999999999</v>
      </c>
      <c r="C332" s="18"/>
      <c r="D332" s="19"/>
    </row>
    <row r="333" spans="1:4" x14ac:dyDescent="0.3">
      <c r="A333" s="20">
        <v>45453.785416999999</v>
      </c>
      <c r="B333" s="17">
        <v>62.070954999999998</v>
      </c>
      <c r="C333" s="18"/>
      <c r="D333" s="19"/>
    </row>
    <row r="334" spans="1:4" x14ac:dyDescent="0.3">
      <c r="A334" s="20">
        <v>45453.786111000001</v>
      </c>
      <c r="B334" s="17">
        <v>61.411183000000001</v>
      </c>
      <c r="C334" s="18"/>
      <c r="D334" s="19"/>
    </row>
    <row r="335" spans="1:4" x14ac:dyDescent="0.3">
      <c r="A335" s="20">
        <v>45453.786805999996</v>
      </c>
      <c r="B335" s="17">
        <v>61.926811000000001</v>
      </c>
      <c r="C335" s="18"/>
      <c r="D335" s="19"/>
    </row>
    <row r="336" spans="1:4" x14ac:dyDescent="0.3">
      <c r="A336" s="20">
        <v>45453.787499999999</v>
      </c>
      <c r="B336" s="17">
        <v>62.544947999999998</v>
      </c>
      <c r="C336" s="18"/>
      <c r="D336" s="19"/>
    </row>
    <row r="337" spans="1:4" x14ac:dyDescent="0.3">
      <c r="A337" s="20">
        <v>45453.788194000001</v>
      </c>
      <c r="B337" s="17">
        <v>61.341622999999998</v>
      </c>
      <c r="C337" s="18"/>
      <c r="D337" s="19"/>
    </row>
    <row r="338" spans="1:4" x14ac:dyDescent="0.3">
      <c r="A338" s="20">
        <v>45453.788889000003</v>
      </c>
      <c r="B338" s="17">
        <v>60.866788999999997</v>
      </c>
      <c r="C338" s="18"/>
      <c r="D338" s="19"/>
    </row>
    <row r="339" spans="1:4" x14ac:dyDescent="0.3">
      <c r="A339" s="20">
        <v>45453.789582999998</v>
      </c>
      <c r="B339" s="17">
        <v>61.270693000000001</v>
      </c>
      <c r="C339" s="18"/>
      <c r="D339" s="19"/>
    </row>
    <row r="340" spans="1:4" x14ac:dyDescent="0.3">
      <c r="A340" s="20">
        <v>45453.790278</v>
      </c>
      <c r="B340" s="17">
        <v>61.424278999999999</v>
      </c>
      <c r="C340" s="18"/>
      <c r="D340" s="19"/>
    </row>
    <row r="341" spans="1:4" x14ac:dyDescent="0.3">
      <c r="A341" s="20">
        <v>45453.790972000003</v>
      </c>
      <c r="B341" s="17">
        <v>61.231872000000003</v>
      </c>
      <c r="C341" s="18"/>
      <c r="D341" s="19"/>
    </row>
    <row r="342" spans="1:4" x14ac:dyDescent="0.3">
      <c r="A342" s="20">
        <v>45453.791666999998</v>
      </c>
      <c r="B342" s="17">
        <v>60.502983999999998</v>
      </c>
      <c r="C342" s="18"/>
      <c r="D342" s="19"/>
    </row>
    <row r="343" spans="1:4" x14ac:dyDescent="0.3">
      <c r="A343" s="20">
        <v>45453.792361</v>
      </c>
      <c r="B343" s="17">
        <v>62.072844000000003</v>
      </c>
      <c r="C343" s="18"/>
      <c r="D343" s="19"/>
    </row>
    <row r="344" spans="1:4" x14ac:dyDescent="0.3">
      <c r="A344" s="20">
        <v>45453.793056000002</v>
      </c>
      <c r="B344" s="17">
        <v>61.105665999999999</v>
      </c>
      <c r="C344" s="18"/>
      <c r="D344" s="19"/>
    </row>
    <row r="345" spans="1:4" x14ac:dyDescent="0.3">
      <c r="A345" s="20">
        <v>45453.793749999997</v>
      </c>
      <c r="B345" s="17">
        <v>61.974584</v>
      </c>
      <c r="C345" s="18"/>
      <c r="D345" s="19"/>
    </row>
    <row r="346" spans="1:4" x14ac:dyDescent="0.3">
      <c r="A346" s="20">
        <v>45453.794443999999</v>
      </c>
      <c r="B346" s="17">
        <v>63.215352000000003</v>
      </c>
      <c r="C346" s="18"/>
      <c r="D346" s="19"/>
    </row>
    <row r="347" spans="1:4" x14ac:dyDescent="0.3">
      <c r="A347" s="20">
        <v>45453.795139000002</v>
      </c>
      <c r="B347" s="17">
        <v>61.062106</v>
      </c>
      <c r="C347" s="18"/>
      <c r="D347" s="19"/>
    </row>
    <row r="348" spans="1:4" x14ac:dyDescent="0.3">
      <c r="A348" s="20">
        <v>45453.795832999996</v>
      </c>
      <c r="B348" s="17">
        <v>62.486552000000003</v>
      </c>
      <c r="C348" s="18"/>
      <c r="D348" s="19"/>
    </row>
    <row r="349" spans="1:4" x14ac:dyDescent="0.3">
      <c r="A349" s="20">
        <v>45453.796527999999</v>
      </c>
      <c r="B349" s="17">
        <v>61.719056999999999</v>
      </c>
      <c r="C349" s="18"/>
      <c r="D349" s="19"/>
    </row>
    <row r="350" spans="1:4" x14ac:dyDescent="0.3">
      <c r="A350" s="20">
        <v>45453.797222000001</v>
      </c>
      <c r="B350" s="17">
        <v>60.987102999999998</v>
      </c>
      <c r="C350" s="18"/>
      <c r="D350" s="19"/>
    </row>
    <row r="351" spans="1:4" x14ac:dyDescent="0.3">
      <c r="A351" s="20">
        <v>45453.797917000004</v>
      </c>
      <c r="B351" s="17">
        <v>62.097180000000002</v>
      </c>
      <c r="C351" s="18"/>
      <c r="D351" s="19"/>
    </row>
    <row r="352" spans="1:4" x14ac:dyDescent="0.3">
      <c r="A352" s="20">
        <v>45453.798610999998</v>
      </c>
      <c r="B352" s="17">
        <v>62.032749000000003</v>
      </c>
      <c r="C352" s="18"/>
      <c r="D352" s="19"/>
    </row>
    <row r="353" spans="1:4" x14ac:dyDescent="0.3">
      <c r="A353" s="20">
        <v>45453.799306000001</v>
      </c>
      <c r="B353" s="17">
        <v>62.708604999999999</v>
      </c>
      <c r="C353" s="18"/>
      <c r="D353" s="19"/>
    </row>
    <row r="354" spans="1:4" x14ac:dyDescent="0.3">
      <c r="A354" s="20">
        <v>45453.8</v>
      </c>
      <c r="B354" s="17">
        <v>61.714151999999999</v>
      </c>
      <c r="C354" s="18"/>
      <c r="D354" s="19"/>
    </row>
    <row r="355" spans="1:4" x14ac:dyDescent="0.3">
      <c r="A355" s="20">
        <v>45453.800693999998</v>
      </c>
      <c r="B355" s="17">
        <v>61.126596999999997</v>
      </c>
      <c r="C355" s="18"/>
      <c r="D355" s="19"/>
    </row>
    <row r="356" spans="1:4" x14ac:dyDescent="0.3">
      <c r="A356" s="20">
        <v>45453.801389</v>
      </c>
      <c r="B356" s="17">
        <v>61.884798000000004</v>
      </c>
      <c r="C356" s="18"/>
      <c r="D356" s="19"/>
    </row>
    <row r="357" spans="1:4" x14ac:dyDescent="0.3">
      <c r="A357" s="20">
        <v>45453.802083000002</v>
      </c>
      <c r="B357" s="17">
        <v>61.613404000000003</v>
      </c>
      <c r="C357" s="18"/>
      <c r="D357" s="19"/>
    </row>
    <row r="358" spans="1:4" x14ac:dyDescent="0.3">
      <c r="A358" s="20">
        <v>45453.802777999997</v>
      </c>
      <c r="B358" s="17">
        <v>61.669558000000002</v>
      </c>
      <c r="C358" s="18"/>
      <c r="D358" s="19"/>
    </row>
    <row r="359" spans="1:4" x14ac:dyDescent="0.3">
      <c r="A359" s="20">
        <v>45453.803472</v>
      </c>
      <c r="B359" s="17">
        <v>61.965242000000003</v>
      </c>
      <c r="C359" s="18"/>
      <c r="D359" s="19"/>
    </row>
    <row r="360" spans="1:4" x14ac:dyDescent="0.3">
      <c r="A360" s="20">
        <v>45453.804167000002</v>
      </c>
      <c r="B360" s="17">
        <v>63.070520000000002</v>
      </c>
      <c r="C360" s="18"/>
      <c r="D360" s="19"/>
    </row>
    <row r="361" spans="1:4" x14ac:dyDescent="0.3">
      <c r="A361" s="20">
        <v>45453.804860999997</v>
      </c>
      <c r="B361" s="17">
        <v>62.774006</v>
      </c>
      <c r="C361" s="18"/>
      <c r="D361" s="19"/>
    </row>
    <row r="362" spans="1:4" x14ac:dyDescent="0.3">
      <c r="A362" s="20">
        <v>45453.805555999999</v>
      </c>
      <c r="B362" s="17">
        <v>61.324570999999999</v>
      </c>
      <c r="C362" s="18"/>
      <c r="D362" s="19"/>
    </row>
    <row r="363" spans="1:4" x14ac:dyDescent="0.3">
      <c r="A363" s="20">
        <v>45453.806250000001</v>
      </c>
      <c r="B363" s="17">
        <v>61.818528000000001</v>
      </c>
      <c r="C363" s="18"/>
      <c r="D363" s="19"/>
    </row>
    <row r="364" spans="1:4" x14ac:dyDescent="0.3">
      <c r="A364" s="20">
        <v>45453.806944000004</v>
      </c>
      <c r="B364" s="17">
        <v>61.055791999999997</v>
      </c>
      <c r="C364" s="18"/>
      <c r="D364" s="19"/>
    </row>
    <row r="365" spans="1:4" x14ac:dyDescent="0.3">
      <c r="A365" s="20">
        <v>45453.807638999999</v>
      </c>
      <c r="B365" s="17">
        <v>61.372163</v>
      </c>
      <c r="C365" s="18"/>
      <c r="D365" s="19"/>
    </row>
    <row r="366" spans="1:4" x14ac:dyDescent="0.3">
      <c r="A366" s="20">
        <v>45453.808333000001</v>
      </c>
      <c r="B366" s="17">
        <v>61.943545999999998</v>
      </c>
      <c r="C366" s="18"/>
      <c r="D366" s="19"/>
    </row>
    <row r="367" spans="1:4" x14ac:dyDescent="0.3">
      <c r="A367" s="20">
        <v>45453.809028000003</v>
      </c>
      <c r="B367" s="17">
        <v>61.087698000000003</v>
      </c>
      <c r="C367" s="18"/>
      <c r="D367" s="19"/>
    </row>
    <row r="368" spans="1:4" x14ac:dyDescent="0.3">
      <c r="A368" s="20">
        <v>45453.809721999998</v>
      </c>
      <c r="B368" s="17">
        <v>61.868153</v>
      </c>
      <c r="C368" s="18"/>
      <c r="D368" s="19"/>
    </row>
    <row r="369" spans="1:4" x14ac:dyDescent="0.3">
      <c r="A369" s="20">
        <v>45453.810417000001</v>
      </c>
      <c r="B369" s="17">
        <v>62.083005999999997</v>
      </c>
      <c r="C369" s="18"/>
      <c r="D369" s="19"/>
    </row>
    <row r="370" spans="1:4" x14ac:dyDescent="0.3">
      <c r="A370" s="20">
        <v>45453.811111000003</v>
      </c>
      <c r="B370" s="17">
        <v>62.010987</v>
      </c>
      <c r="C370" s="18"/>
      <c r="D370" s="19"/>
    </row>
    <row r="371" spans="1:4" x14ac:dyDescent="0.3">
      <c r="A371" s="20">
        <v>45453.811805999998</v>
      </c>
      <c r="B371" s="17">
        <v>61.754795000000001</v>
      </c>
      <c r="C371" s="18"/>
      <c r="D371" s="19"/>
    </row>
    <row r="372" spans="1:4" x14ac:dyDescent="0.3">
      <c r="A372" s="20">
        <v>45453.8125</v>
      </c>
      <c r="B372" s="17">
        <v>62.103791000000001</v>
      </c>
      <c r="C372" s="18"/>
      <c r="D372" s="19"/>
    </row>
    <row r="373" spans="1:4" x14ac:dyDescent="0.3">
      <c r="A373" s="20">
        <v>45453.813194000002</v>
      </c>
      <c r="B373" s="17">
        <v>62.660468000000002</v>
      </c>
      <c r="C373" s="18"/>
      <c r="D373" s="19"/>
    </row>
    <row r="374" spans="1:4" x14ac:dyDescent="0.3">
      <c r="A374" s="20">
        <v>45453.813888999997</v>
      </c>
      <c r="B374" s="17">
        <v>60.769553999999999</v>
      </c>
      <c r="C374" s="18"/>
      <c r="D374" s="19"/>
    </row>
    <row r="375" spans="1:4" x14ac:dyDescent="0.3">
      <c r="A375" s="20">
        <v>45453.814582999999</v>
      </c>
      <c r="B375" s="17">
        <v>62.748016999999997</v>
      </c>
      <c r="C375" s="18"/>
      <c r="D375" s="19"/>
    </row>
    <row r="376" spans="1:4" x14ac:dyDescent="0.3">
      <c r="A376" s="20">
        <v>45453.815278000002</v>
      </c>
      <c r="B376" s="17">
        <v>62.948518</v>
      </c>
      <c r="C376" s="18"/>
      <c r="D376" s="19"/>
    </row>
    <row r="377" spans="1:4" x14ac:dyDescent="0.3">
      <c r="A377" s="20">
        <v>45453.815971999997</v>
      </c>
      <c r="B377" s="17">
        <v>62.696168</v>
      </c>
      <c r="C377" s="18"/>
      <c r="D377" s="19"/>
    </row>
    <row r="378" spans="1:4" x14ac:dyDescent="0.3">
      <c r="A378" s="20">
        <v>45453.816666999999</v>
      </c>
      <c r="B378" s="17">
        <v>62.154066999999998</v>
      </c>
      <c r="C378" s="18"/>
      <c r="D378" s="19"/>
    </row>
    <row r="379" spans="1:4" x14ac:dyDescent="0.3">
      <c r="A379" s="20">
        <v>45453.817361000001</v>
      </c>
      <c r="B379" s="17">
        <v>63.378711000000003</v>
      </c>
      <c r="C379" s="18"/>
      <c r="D379" s="19"/>
    </row>
    <row r="380" spans="1:4" x14ac:dyDescent="0.3">
      <c r="A380" s="20">
        <v>45453.818055999996</v>
      </c>
      <c r="B380" s="17">
        <v>62.777540999999999</v>
      </c>
      <c r="C380" s="18"/>
      <c r="D380" s="19"/>
    </row>
    <row r="381" spans="1:4" x14ac:dyDescent="0.3">
      <c r="A381" s="20">
        <v>45453.818749999999</v>
      </c>
      <c r="B381" s="17">
        <v>63.549103000000002</v>
      </c>
      <c r="C381" s="18"/>
      <c r="D381" s="19"/>
    </row>
    <row r="382" spans="1:4" x14ac:dyDescent="0.3">
      <c r="A382" s="20">
        <v>45453.819444000001</v>
      </c>
      <c r="B382" s="17">
        <v>62.820962000000002</v>
      </c>
      <c r="C382" s="18"/>
      <c r="D382" s="19"/>
    </row>
    <row r="383" spans="1:4" x14ac:dyDescent="0.3">
      <c r="A383" s="20">
        <v>45453.820139000003</v>
      </c>
      <c r="B383" s="17">
        <v>64.573877999999993</v>
      </c>
      <c r="C383" s="18"/>
      <c r="D383" s="19"/>
    </row>
    <row r="384" spans="1:4" x14ac:dyDescent="0.3">
      <c r="A384" s="20">
        <v>45453.820832999998</v>
      </c>
      <c r="B384" s="17">
        <v>62.144350000000003</v>
      </c>
      <c r="C384" s="18"/>
      <c r="D384" s="19"/>
    </row>
    <row r="385" spans="1:4" x14ac:dyDescent="0.3">
      <c r="A385" s="20">
        <v>45453.821528</v>
      </c>
      <c r="B385" s="17">
        <v>62.856485999999997</v>
      </c>
      <c r="C385" s="18"/>
      <c r="D385" s="19"/>
    </row>
    <row r="386" spans="1:4" x14ac:dyDescent="0.3">
      <c r="A386" s="20">
        <v>45453.822222000003</v>
      </c>
      <c r="B386" s="17">
        <v>62.241712999999997</v>
      </c>
      <c r="C386" s="18"/>
      <c r="D386" s="19"/>
    </row>
    <row r="387" spans="1:4" x14ac:dyDescent="0.3">
      <c r="A387" s="20">
        <v>45453.822916999998</v>
      </c>
      <c r="B387" s="17">
        <v>62.735435000000003</v>
      </c>
      <c r="C387" s="18"/>
      <c r="D387" s="19"/>
    </row>
    <row r="388" spans="1:4" x14ac:dyDescent="0.3">
      <c r="A388" s="20">
        <v>45453.823611</v>
      </c>
      <c r="B388" s="17">
        <v>62.55274</v>
      </c>
      <c r="C388" s="18"/>
      <c r="D388" s="19"/>
    </row>
    <row r="389" spans="1:4" x14ac:dyDescent="0.3">
      <c r="A389" s="20">
        <v>45453.824306000002</v>
      </c>
      <c r="B389" s="17">
        <v>63.440331999999998</v>
      </c>
      <c r="C389" s="18"/>
      <c r="D389" s="19"/>
    </row>
    <row r="390" spans="1:4" x14ac:dyDescent="0.3">
      <c r="A390" s="20">
        <v>45453.824999999997</v>
      </c>
      <c r="B390" s="17">
        <v>62.881495000000001</v>
      </c>
      <c r="C390" s="18"/>
      <c r="D390" s="19"/>
    </row>
    <row r="391" spans="1:4" x14ac:dyDescent="0.3">
      <c r="A391" s="20">
        <v>45453.825693999999</v>
      </c>
      <c r="B391" s="17">
        <v>62.791944000000001</v>
      </c>
      <c r="C391" s="18"/>
      <c r="D391" s="19"/>
    </row>
    <row r="392" spans="1:4" x14ac:dyDescent="0.3">
      <c r="A392" s="20">
        <v>45453.826389000002</v>
      </c>
      <c r="B392" s="17">
        <v>62.163269999999997</v>
      </c>
      <c r="C392" s="18"/>
      <c r="D392" s="19"/>
    </row>
    <row r="393" spans="1:4" x14ac:dyDescent="0.3">
      <c r="A393" s="20">
        <v>45453.827082999996</v>
      </c>
      <c r="B393" s="17">
        <v>61.772604999999999</v>
      </c>
      <c r="C393" s="18"/>
      <c r="D393" s="19"/>
    </row>
    <row r="394" spans="1:4" x14ac:dyDescent="0.3">
      <c r="A394" s="20">
        <v>45453.827777999999</v>
      </c>
      <c r="B394" s="17">
        <v>63.078584999999997</v>
      </c>
      <c r="C394" s="18"/>
      <c r="D394" s="19"/>
    </row>
    <row r="395" spans="1:4" x14ac:dyDescent="0.3">
      <c r="A395" s="20">
        <v>45453.828472000001</v>
      </c>
      <c r="B395" s="17">
        <v>62.719873</v>
      </c>
      <c r="C395" s="18"/>
      <c r="D395" s="19"/>
    </row>
    <row r="396" spans="1:4" x14ac:dyDescent="0.3">
      <c r="A396" s="20">
        <v>45453.829167000004</v>
      </c>
      <c r="B396" s="17">
        <v>63.399344999999997</v>
      </c>
      <c r="C396" s="18"/>
      <c r="D396" s="19"/>
    </row>
    <row r="397" spans="1:4" x14ac:dyDescent="0.3">
      <c r="A397" s="20">
        <v>45453.829860999998</v>
      </c>
      <c r="B397" s="17">
        <v>62.377445000000002</v>
      </c>
      <c r="C397" s="18"/>
      <c r="D397" s="19"/>
    </row>
    <row r="398" spans="1:4" x14ac:dyDescent="0.3">
      <c r="A398" s="20">
        <v>45453.830556000001</v>
      </c>
      <c r="B398" s="17">
        <v>62.801400999999998</v>
      </c>
      <c r="C398" s="18"/>
      <c r="D398" s="19"/>
    </row>
    <row r="399" spans="1:4" x14ac:dyDescent="0.3">
      <c r="A399" s="20">
        <v>45453.831250000003</v>
      </c>
      <c r="B399" s="17">
        <v>61.449089000000001</v>
      </c>
      <c r="C399" s="18"/>
      <c r="D399" s="19"/>
    </row>
    <row r="400" spans="1:4" x14ac:dyDescent="0.3">
      <c r="A400" s="20">
        <v>45453.831943999998</v>
      </c>
      <c r="B400" s="17">
        <v>61.794381999999999</v>
      </c>
      <c r="C400" s="18"/>
      <c r="D400" s="19"/>
    </row>
    <row r="401" spans="1:4" x14ac:dyDescent="0.3">
      <c r="A401" s="20">
        <v>45453.832639</v>
      </c>
      <c r="B401" s="17">
        <v>62.890943999999998</v>
      </c>
      <c r="C401" s="18"/>
      <c r="D401" s="19"/>
    </row>
    <row r="402" spans="1:4" x14ac:dyDescent="0.3">
      <c r="A402" s="20">
        <v>45453.833333000002</v>
      </c>
      <c r="B402" s="17">
        <v>63.125864</v>
      </c>
      <c r="C402" s="18"/>
      <c r="D402" s="19"/>
    </row>
    <row r="403" spans="1:4" x14ac:dyDescent="0.3">
      <c r="A403" s="20">
        <v>45453.834027999997</v>
      </c>
      <c r="B403" s="17">
        <v>62.573340999999999</v>
      </c>
      <c r="C403" s="18"/>
      <c r="D403" s="19"/>
    </row>
    <row r="404" spans="1:4" x14ac:dyDescent="0.3">
      <c r="A404" s="20">
        <v>45453.834722</v>
      </c>
      <c r="B404" s="17">
        <v>61.923499</v>
      </c>
      <c r="C404" s="18"/>
      <c r="D404" s="19"/>
    </row>
    <row r="405" spans="1:4" x14ac:dyDescent="0.3">
      <c r="A405" s="20">
        <v>45453.835417000002</v>
      </c>
      <c r="B405" s="17">
        <v>62.557464000000003</v>
      </c>
      <c r="C405" s="18"/>
      <c r="D405" s="19"/>
    </row>
    <row r="406" spans="1:4" x14ac:dyDescent="0.3">
      <c r="A406" s="20">
        <v>45453.836110999997</v>
      </c>
      <c r="B406" s="17">
        <v>62.254896000000002</v>
      </c>
      <c r="C406" s="18"/>
      <c r="D406" s="19"/>
    </row>
    <row r="407" spans="1:4" x14ac:dyDescent="0.3">
      <c r="A407" s="20">
        <v>45453.836805999999</v>
      </c>
      <c r="B407" s="17">
        <v>63.397534999999998</v>
      </c>
      <c r="C407" s="18"/>
      <c r="D407" s="19"/>
    </row>
    <row r="408" spans="1:4" x14ac:dyDescent="0.3">
      <c r="A408" s="20">
        <v>45453.837500000001</v>
      </c>
      <c r="B408" s="17">
        <v>62.657908999999997</v>
      </c>
      <c r="C408" s="18"/>
      <c r="D408" s="19"/>
    </row>
    <row r="409" spans="1:4" x14ac:dyDescent="0.3">
      <c r="A409" s="20">
        <v>45453.838194000004</v>
      </c>
      <c r="B409" s="17">
        <v>62.907350999999998</v>
      </c>
      <c r="C409" s="18"/>
      <c r="D409" s="19"/>
    </row>
    <row r="410" spans="1:4" x14ac:dyDescent="0.3">
      <c r="A410" s="20">
        <v>45453.838888999999</v>
      </c>
      <c r="B410" s="17">
        <v>62.966563999999998</v>
      </c>
      <c r="C410" s="18"/>
      <c r="D410" s="19"/>
    </row>
    <row r="411" spans="1:4" x14ac:dyDescent="0.3">
      <c r="A411" s="20">
        <v>45453.839583000001</v>
      </c>
      <c r="B411" s="17">
        <v>62.341600999999997</v>
      </c>
      <c r="C411" s="18"/>
      <c r="D411" s="19"/>
    </row>
    <row r="412" spans="1:4" x14ac:dyDescent="0.3">
      <c r="A412" s="20">
        <v>45453.840278000003</v>
      </c>
      <c r="B412" s="17">
        <v>62.566457999999997</v>
      </c>
      <c r="C412" s="18"/>
      <c r="D412" s="19"/>
    </row>
    <row r="413" spans="1:4" x14ac:dyDescent="0.3">
      <c r="A413" s="20">
        <v>45453.840971999998</v>
      </c>
      <c r="B413" s="17">
        <v>62.576579000000002</v>
      </c>
      <c r="C413" s="18"/>
      <c r="D413" s="19"/>
    </row>
    <row r="414" spans="1:4" x14ac:dyDescent="0.3">
      <c r="A414" s="20">
        <v>45453.841667000001</v>
      </c>
      <c r="B414" s="17">
        <v>62.116956000000002</v>
      </c>
      <c r="C414" s="18"/>
      <c r="D414" s="19"/>
    </row>
    <row r="415" spans="1:4" x14ac:dyDescent="0.3">
      <c r="A415" s="20">
        <v>45453.842361000003</v>
      </c>
      <c r="B415" s="17">
        <v>62.233358000000003</v>
      </c>
      <c r="C415" s="18"/>
      <c r="D415" s="19"/>
    </row>
    <row r="416" spans="1:4" x14ac:dyDescent="0.3">
      <c r="A416" s="20">
        <v>45453.843055999998</v>
      </c>
      <c r="B416" s="17">
        <v>61.630529000000003</v>
      </c>
      <c r="C416" s="18"/>
      <c r="D416" s="19"/>
    </row>
    <row r="417" spans="1:4" x14ac:dyDescent="0.3">
      <c r="A417" s="20">
        <v>45453.84375</v>
      </c>
      <c r="B417" s="17">
        <v>61.860379000000002</v>
      </c>
      <c r="C417" s="18"/>
      <c r="D417" s="19"/>
    </row>
    <row r="418" spans="1:4" x14ac:dyDescent="0.3">
      <c r="A418" s="20">
        <v>45453.844444000002</v>
      </c>
      <c r="B418" s="17">
        <v>61.713445999999998</v>
      </c>
      <c r="C418" s="18"/>
      <c r="D418" s="19"/>
    </row>
    <row r="419" spans="1:4" x14ac:dyDescent="0.3">
      <c r="A419" s="20">
        <v>45453.845138999997</v>
      </c>
      <c r="B419" s="17">
        <v>62.097332999999999</v>
      </c>
      <c r="C419" s="18"/>
      <c r="D419" s="19"/>
    </row>
    <row r="420" spans="1:4" x14ac:dyDescent="0.3">
      <c r="A420" s="20">
        <v>45453.845832999999</v>
      </c>
      <c r="B420" s="17">
        <v>62.893405999999999</v>
      </c>
      <c r="C420" s="18"/>
      <c r="D420" s="19"/>
    </row>
    <row r="421" spans="1:4" x14ac:dyDescent="0.3">
      <c r="A421" s="20">
        <v>45453.846528000002</v>
      </c>
      <c r="B421" s="17">
        <v>62.568514</v>
      </c>
      <c r="C421" s="18"/>
      <c r="D421" s="19"/>
    </row>
    <row r="422" spans="1:4" x14ac:dyDescent="0.3">
      <c r="A422" s="20">
        <v>45453.847221999997</v>
      </c>
      <c r="B422" s="17">
        <v>62.356164</v>
      </c>
      <c r="C422" s="18"/>
      <c r="D422" s="19"/>
    </row>
    <row r="423" spans="1:4" x14ac:dyDescent="0.3">
      <c r="A423" s="20">
        <v>45453.847916999999</v>
      </c>
      <c r="B423" s="17">
        <v>63.273985000000003</v>
      </c>
      <c r="C423" s="18"/>
      <c r="D423" s="19"/>
    </row>
    <row r="424" spans="1:4" x14ac:dyDescent="0.3">
      <c r="A424" s="20">
        <v>45453.848611000001</v>
      </c>
      <c r="B424" s="17">
        <v>61.891998999999998</v>
      </c>
      <c r="C424" s="18"/>
      <c r="D424" s="19"/>
    </row>
    <row r="425" spans="1:4" x14ac:dyDescent="0.3">
      <c r="A425" s="20">
        <v>45453.849305999996</v>
      </c>
      <c r="B425" s="17">
        <v>61.942073000000001</v>
      </c>
      <c r="C425" s="18"/>
      <c r="D425" s="19"/>
    </row>
    <row r="426" spans="1:4" x14ac:dyDescent="0.3">
      <c r="A426" s="20">
        <v>45453.85</v>
      </c>
      <c r="B426" s="17">
        <v>61.587260000000001</v>
      </c>
      <c r="C426" s="18"/>
      <c r="D426" s="19"/>
    </row>
    <row r="427" spans="1:4" x14ac:dyDescent="0.3">
      <c r="A427" s="20">
        <v>45453.850694000001</v>
      </c>
      <c r="B427" s="17">
        <v>61.221091000000001</v>
      </c>
      <c r="C427" s="18"/>
      <c r="D427" s="19"/>
    </row>
    <row r="428" spans="1:4" x14ac:dyDescent="0.3">
      <c r="A428" s="20">
        <v>45453.851389000003</v>
      </c>
      <c r="B428" s="17">
        <v>62.169338000000003</v>
      </c>
      <c r="C428" s="18"/>
      <c r="D428" s="19"/>
    </row>
    <row r="429" spans="1:4" x14ac:dyDescent="0.3">
      <c r="A429" s="20">
        <v>45453.852082999998</v>
      </c>
      <c r="B429" s="17">
        <v>61.278238999999999</v>
      </c>
      <c r="C429" s="18"/>
      <c r="D429" s="19"/>
    </row>
    <row r="430" spans="1:4" x14ac:dyDescent="0.3">
      <c r="A430" s="20">
        <v>45453.852778</v>
      </c>
      <c r="B430" s="17">
        <v>62.029122999999998</v>
      </c>
      <c r="C430" s="18"/>
      <c r="D430" s="19"/>
    </row>
    <row r="431" spans="1:4" x14ac:dyDescent="0.3">
      <c r="A431" s="20">
        <v>45453.853472000003</v>
      </c>
      <c r="B431" s="17">
        <v>62.240366999999999</v>
      </c>
      <c r="C431" s="18"/>
      <c r="D431" s="19"/>
    </row>
    <row r="432" spans="1:4" x14ac:dyDescent="0.3">
      <c r="A432" s="20">
        <v>45453.854166999998</v>
      </c>
      <c r="B432" s="17">
        <v>62.434210999999998</v>
      </c>
      <c r="C432" s="18"/>
      <c r="D432" s="19"/>
    </row>
    <row r="433" spans="1:4" x14ac:dyDescent="0.3">
      <c r="A433" s="20">
        <v>45453.854861</v>
      </c>
      <c r="B433" s="17">
        <v>61.863615000000003</v>
      </c>
      <c r="C433" s="18"/>
      <c r="D433" s="19"/>
    </row>
    <row r="434" spans="1:4" x14ac:dyDescent="0.3">
      <c r="A434" s="20">
        <v>45453.855556000002</v>
      </c>
      <c r="B434" s="17">
        <v>61.002209000000001</v>
      </c>
      <c r="C434" s="18"/>
      <c r="D434" s="19"/>
    </row>
    <row r="435" spans="1:4" x14ac:dyDescent="0.3">
      <c r="A435" s="20">
        <v>45453.856249999997</v>
      </c>
      <c r="B435" s="17">
        <v>63.234102</v>
      </c>
      <c r="C435" s="18"/>
      <c r="D435" s="19"/>
    </row>
    <row r="436" spans="1:4" x14ac:dyDescent="0.3">
      <c r="A436" s="20">
        <v>45453.856943999999</v>
      </c>
      <c r="B436" s="17">
        <v>63.292741999999997</v>
      </c>
      <c r="C436" s="18"/>
      <c r="D436" s="19"/>
    </row>
    <row r="437" spans="1:4" x14ac:dyDescent="0.3">
      <c r="A437" s="20">
        <v>45453.857639000002</v>
      </c>
      <c r="B437" s="17">
        <v>61.649237999999997</v>
      </c>
      <c r="C437" s="18"/>
      <c r="D437" s="19"/>
    </row>
    <row r="438" spans="1:4" x14ac:dyDescent="0.3">
      <c r="A438" s="20">
        <v>45453.858332999996</v>
      </c>
      <c r="B438" s="17">
        <v>61.709797999999999</v>
      </c>
      <c r="C438" s="18"/>
      <c r="D438" s="19"/>
    </row>
    <row r="439" spans="1:4" x14ac:dyDescent="0.3">
      <c r="A439" s="20">
        <v>45453.859027999999</v>
      </c>
      <c r="B439" s="17">
        <v>61.505377000000003</v>
      </c>
      <c r="C439" s="18"/>
      <c r="D439" s="19"/>
    </row>
    <row r="440" spans="1:4" x14ac:dyDescent="0.3">
      <c r="A440" s="20">
        <v>45453.859722000001</v>
      </c>
      <c r="B440" s="17">
        <v>62.509819999999998</v>
      </c>
      <c r="C440" s="18"/>
      <c r="D440" s="19"/>
    </row>
    <row r="441" spans="1:4" x14ac:dyDescent="0.3">
      <c r="A441" s="20">
        <v>45453.860417000004</v>
      </c>
      <c r="B441" s="17">
        <v>61.991630000000001</v>
      </c>
      <c r="C441" s="18"/>
      <c r="D441" s="19"/>
    </row>
    <row r="442" spans="1:4" x14ac:dyDescent="0.3">
      <c r="A442" s="20">
        <v>45453.861110999998</v>
      </c>
      <c r="B442" s="17">
        <v>62.526502999999998</v>
      </c>
      <c r="C442" s="18"/>
      <c r="D442" s="19"/>
    </row>
    <row r="443" spans="1:4" x14ac:dyDescent="0.3">
      <c r="A443" s="20">
        <v>45453.861806000001</v>
      </c>
      <c r="B443" s="17">
        <v>62.633114999999997</v>
      </c>
      <c r="C443" s="18"/>
      <c r="D443" s="19"/>
    </row>
    <row r="444" spans="1:4" x14ac:dyDescent="0.3">
      <c r="A444" s="20">
        <v>45453.862500000003</v>
      </c>
      <c r="B444" s="17">
        <v>62.053651000000002</v>
      </c>
      <c r="C444" s="18"/>
      <c r="D444" s="19"/>
    </row>
    <row r="445" spans="1:4" x14ac:dyDescent="0.3">
      <c r="A445" s="20">
        <v>45453.863193999998</v>
      </c>
      <c r="B445" s="17">
        <v>61.850217000000001</v>
      </c>
      <c r="C445" s="18"/>
      <c r="D445" s="19"/>
    </row>
    <row r="446" spans="1:4" x14ac:dyDescent="0.3">
      <c r="A446" s="20">
        <v>45453.863889</v>
      </c>
      <c r="B446" s="17">
        <v>61.641705999999999</v>
      </c>
      <c r="C446" s="18"/>
      <c r="D446" s="19"/>
    </row>
    <row r="447" spans="1:4" x14ac:dyDescent="0.3">
      <c r="A447" s="20">
        <v>45453.864583000002</v>
      </c>
      <c r="B447" s="17">
        <v>63.615385000000003</v>
      </c>
      <c r="C447" s="18"/>
      <c r="D447" s="19"/>
    </row>
    <row r="448" spans="1:4" x14ac:dyDescent="0.3">
      <c r="A448" s="20">
        <v>45453.865277999997</v>
      </c>
      <c r="B448" s="17">
        <v>62.724285999999999</v>
      </c>
      <c r="C448" s="18"/>
      <c r="D448" s="19"/>
    </row>
    <row r="449" spans="1:4" x14ac:dyDescent="0.3">
      <c r="A449" s="20">
        <v>45453.865972</v>
      </c>
      <c r="B449" s="17">
        <v>63.757117999999998</v>
      </c>
      <c r="C449" s="18"/>
      <c r="D449" s="19"/>
    </row>
    <row r="450" spans="1:4" x14ac:dyDescent="0.3">
      <c r="A450" s="20">
        <v>45453.866667000002</v>
      </c>
      <c r="B450" s="17">
        <v>62.638376999999998</v>
      </c>
      <c r="C450" s="18"/>
      <c r="D450" s="19"/>
    </row>
    <row r="451" spans="1:4" x14ac:dyDescent="0.3">
      <c r="A451" s="20">
        <v>45453.867360999997</v>
      </c>
      <c r="B451" s="17">
        <v>60.934750000000001</v>
      </c>
      <c r="C451" s="18"/>
      <c r="D451" s="19"/>
    </row>
    <row r="452" spans="1:4" x14ac:dyDescent="0.3">
      <c r="A452" s="20">
        <v>45453.868055999999</v>
      </c>
      <c r="B452" s="17">
        <v>61.780366999999998</v>
      </c>
      <c r="C452" s="18"/>
      <c r="D452" s="19"/>
    </row>
    <row r="453" spans="1:4" x14ac:dyDescent="0.3">
      <c r="A453" s="20">
        <v>45453.868750000001</v>
      </c>
      <c r="B453" s="17">
        <v>61.829312000000002</v>
      </c>
      <c r="C453" s="18"/>
      <c r="D453" s="19"/>
    </row>
    <row r="454" spans="1:4" x14ac:dyDescent="0.3">
      <c r="A454" s="20">
        <v>45453.869444000004</v>
      </c>
      <c r="B454" s="17">
        <v>62.527619000000001</v>
      </c>
      <c r="C454" s="18"/>
      <c r="D454" s="19"/>
    </row>
    <row r="455" spans="1:4" x14ac:dyDescent="0.3">
      <c r="A455" s="20">
        <v>45453.870138999999</v>
      </c>
      <c r="B455" s="17">
        <v>62.757550000000002</v>
      </c>
      <c r="C455" s="18"/>
      <c r="D455" s="19"/>
    </row>
    <row r="456" spans="1:4" x14ac:dyDescent="0.3">
      <c r="A456" s="20">
        <v>45453.870833000001</v>
      </c>
      <c r="B456" s="17">
        <v>62.109414000000001</v>
      </c>
      <c r="C456" s="18"/>
      <c r="D456" s="19"/>
    </row>
    <row r="457" spans="1:4" x14ac:dyDescent="0.3">
      <c r="A457" s="20">
        <v>45453.871528000003</v>
      </c>
      <c r="B457" s="17">
        <v>61.625819</v>
      </c>
      <c r="C457" s="18"/>
      <c r="D457" s="19"/>
    </row>
    <row r="458" spans="1:4" x14ac:dyDescent="0.3">
      <c r="A458" s="20">
        <v>45453.872221999998</v>
      </c>
      <c r="B458" s="17">
        <v>62.493980000000001</v>
      </c>
      <c r="C458" s="18"/>
      <c r="D458" s="19"/>
    </row>
    <row r="459" spans="1:4" x14ac:dyDescent="0.3">
      <c r="A459" s="20">
        <v>45453.872917000001</v>
      </c>
      <c r="B459" s="17">
        <v>61.965612</v>
      </c>
      <c r="C459" s="18"/>
      <c r="D459" s="19"/>
    </row>
    <row r="460" spans="1:4" x14ac:dyDescent="0.3">
      <c r="A460" s="20">
        <v>45453.873611000003</v>
      </c>
      <c r="B460" s="17">
        <v>62.107140000000001</v>
      </c>
      <c r="C460" s="18"/>
      <c r="D460" s="19"/>
    </row>
    <row r="461" spans="1:4" x14ac:dyDescent="0.3">
      <c r="A461" s="20">
        <v>45453.874305999998</v>
      </c>
      <c r="B461" s="17">
        <v>62.445459999999997</v>
      </c>
      <c r="C461" s="18"/>
      <c r="D461" s="19"/>
    </row>
    <row r="462" spans="1:4" x14ac:dyDescent="0.3">
      <c r="A462" s="20">
        <v>45453.875</v>
      </c>
      <c r="B462" s="17">
        <v>63.498337999999997</v>
      </c>
      <c r="C462" s="18"/>
      <c r="D462" s="19"/>
    </row>
    <row r="463" spans="1:4" x14ac:dyDescent="0.3">
      <c r="A463" s="20">
        <v>45453.875694000002</v>
      </c>
      <c r="B463" s="17">
        <v>62.416542999999997</v>
      </c>
      <c r="C463" s="18"/>
      <c r="D463" s="19"/>
    </row>
    <row r="464" spans="1:4" x14ac:dyDescent="0.3">
      <c r="A464" s="20">
        <v>45453.876388999997</v>
      </c>
      <c r="B464" s="17">
        <v>61.301481000000003</v>
      </c>
      <c r="C464" s="18"/>
      <c r="D464" s="19"/>
    </row>
    <row r="465" spans="1:4" x14ac:dyDescent="0.3">
      <c r="A465" s="20">
        <v>45453.877082999999</v>
      </c>
      <c r="B465" s="17">
        <v>61.230707000000002</v>
      </c>
      <c r="C465" s="18"/>
      <c r="D465" s="19"/>
    </row>
    <row r="466" spans="1:4" x14ac:dyDescent="0.3">
      <c r="A466" s="20">
        <v>45453.877778000002</v>
      </c>
      <c r="B466" s="17">
        <v>61.680599999999998</v>
      </c>
      <c r="C466" s="18"/>
      <c r="D466" s="19"/>
    </row>
    <row r="467" spans="1:4" x14ac:dyDescent="0.3">
      <c r="A467" s="20">
        <v>45453.878471999997</v>
      </c>
      <c r="B467" s="17">
        <v>62.129261</v>
      </c>
      <c r="C467" s="18"/>
      <c r="D467" s="19"/>
    </row>
    <row r="468" spans="1:4" x14ac:dyDescent="0.3">
      <c r="A468" s="20">
        <v>45453.879166999999</v>
      </c>
      <c r="B468" s="17">
        <v>62.280009999999997</v>
      </c>
      <c r="C468" s="18"/>
      <c r="D468" s="19"/>
    </row>
    <row r="469" spans="1:4" x14ac:dyDescent="0.3">
      <c r="A469" s="20">
        <v>45453.879861000001</v>
      </c>
      <c r="B469" s="17">
        <v>61.577919999999999</v>
      </c>
      <c r="C469" s="18"/>
      <c r="D469" s="19"/>
    </row>
    <row r="470" spans="1:4" x14ac:dyDescent="0.3">
      <c r="A470" s="20">
        <v>45453.880555999996</v>
      </c>
      <c r="B470" s="17">
        <v>62.162461</v>
      </c>
      <c r="C470" s="18"/>
      <c r="D470" s="19"/>
    </row>
    <row r="471" spans="1:4" x14ac:dyDescent="0.3">
      <c r="A471" s="20">
        <v>45453.881249999999</v>
      </c>
      <c r="B471" s="17">
        <v>62.147554999999997</v>
      </c>
      <c r="C471" s="18"/>
      <c r="D471" s="19"/>
    </row>
    <row r="472" spans="1:4" x14ac:dyDescent="0.3">
      <c r="A472" s="20">
        <v>45453.881944000001</v>
      </c>
      <c r="B472" s="17">
        <v>62.509895999999998</v>
      </c>
      <c r="C472" s="18"/>
      <c r="D472" s="19"/>
    </row>
    <row r="473" spans="1:4" x14ac:dyDescent="0.3">
      <c r="A473" s="20">
        <v>45453.882639000003</v>
      </c>
      <c r="B473" s="17">
        <v>62.356056000000002</v>
      </c>
      <c r="C473" s="18"/>
      <c r="D473" s="19"/>
    </row>
    <row r="474" spans="1:4" x14ac:dyDescent="0.3">
      <c r="A474" s="20">
        <v>45453.883332999998</v>
      </c>
      <c r="B474" s="17">
        <v>62.658431</v>
      </c>
      <c r="C474" s="18"/>
      <c r="D474" s="19"/>
    </row>
    <row r="475" spans="1:4" x14ac:dyDescent="0.3">
      <c r="A475" s="20">
        <v>45453.884028</v>
      </c>
      <c r="B475" s="17">
        <v>62.039405000000002</v>
      </c>
      <c r="C475" s="18"/>
      <c r="D475" s="19"/>
    </row>
    <row r="476" spans="1:4" x14ac:dyDescent="0.3">
      <c r="A476" s="20">
        <v>45453.884722000003</v>
      </c>
      <c r="B476" s="17">
        <v>62.165869000000001</v>
      </c>
      <c r="C476" s="18"/>
      <c r="D476" s="19"/>
    </row>
    <row r="477" spans="1:4" x14ac:dyDescent="0.3">
      <c r="A477" s="20">
        <v>45453.885416999998</v>
      </c>
      <c r="B477" s="17">
        <v>63.419364000000002</v>
      </c>
      <c r="C477" s="18"/>
      <c r="D477" s="19"/>
    </row>
    <row r="478" spans="1:4" x14ac:dyDescent="0.3">
      <c r="A478" s="20">
        <v>45453.886111</v>
      </c>
      <c r="B478" s="17">
        <v>62.098123999999999</v>
      </c>
      <c r="C478" s="18"/>
      <c r="D478" s="19"/>
    </row>
    <row r="479" spans="1:4" x14ac:dyDescent="0.3">
      <c r="A479" s="20">
        <v>45453.886806000002</v>
      </c>
      <c r="B479" s="17">
        <v>61.694467000000003</v>
      </c>
      <c r="C479" s="18"/>
      <c r="D479" s="19"/>
    </row>
    <row r="480" spans="1:4" x14ac:dyDescent="0.3">
      <c r="A480" s="20">
        <v>45453.887499999997</v>
      </c>
      <c r="B480" s="17">
        <v>61.604132</v>
      </c>
      <c r="C480" s="18"/>
      <c r="D480" s="19"/>
    </row>
    <row r="481" spans="1:4" x14ac:dyDescent="0.3">
      <c r="A481" s="20">
        <v>45453.888193999999</v>
      </c>
      <c r="B481" s="17">
        <v>62.636181999999998</v>
      </c>
      <c r="C481" s="18"/>
      <c r="D481" s="19"/>
    </row>
    <row r="482" spans="1:4" x14ac:dyDescent="0.3">
      <c r="A482" s="20">
        <v>45453.888889000002</v>
      </c>
      <c r="B482" s="17">
        <v>62.242770999999998</v>
      </c>
      <c r="C482" s="18"/>
      <c r="D482" s="19"/>
    </row>
    <row r="483" spans="1:4" x14ac:dyDescent="0.3">
      <c r="A483" s="20">
        <v>45453.889582999996</v>
      </c>
      <c r="B483" s="17">
        <v>62.636660999999997</v>
      </c>
      <c r="C483" s="18"/>
      <c r="D483" s="19"/>
    </row>
    <row r="484" spans="1:4" x14ac:dyDescent="0.3">
      <c r="A484" s="20">
        <v>45453.890277999999</v>
      </c>
      <c r="B484" s="17">
        <v>61.578747999999997</v>
      </c>
      <c r="C484" s="18"/>
      <c r="D484" s="19"/>
    </row>
    <row r="485" spans="1:4" x14ac:dyDescent="0.3">
      <c r="A485" s="20">
        <v>45453.890972000001</v>
      </c>
      <c r="B485" s="17">
        <v>61.506413000000002</v>
      </c>
      <c r="C485" s="18"/>
      <c r="D485" s="19"/>
    </row>
    <row r="486" spans="1:4" x14ac:dyDescent="0.3">
      <c r="A486" s="20">
        <v>45453.891667000004</v>
      </c>
      <c r="B486" s="17">
        <v>62.445337000000002</v>
      </c>
      <c r="C486" s="18"/>
      <c r="D486" s="19"/>
    </row>
    <row r="487" spans="1:4" x14ac:dyDescent="0.3">
      <c r="A487" s="20">
        <v>45453.892360999998</v>
      </c>
      <c r="B487" s="17">
        <v>62.241768999999998</v>
      </c>
      <c r="C487" s="18"/>
      <c r="D487" s="19"/>
    </row>
    <row r="488" spans="1:4" x14ac:dyDescent="0.3">
      <c r="A488" s="20">
        <v>45453.893056000001</v>
      </c>
      <c r="B488" s="17">
        <v>62.422635999999997</v>
      </c>
      <c r="C488" s="18"/>
      <c r="D488" s="19"/>
    </row>
    <row r="489" spans="1:4" x14ac:dyDescent="0.3">
      <c r="A489" s="20">
        <v>45453.893750000003</v>
      </c>
      <c r="B489" s="17">
        <v>62.228073000000002</v>
      </c>
      <c r="C489" s="18"/>
      <c r="D489" s="19"/>
    </row>
    <row r="490" spans="1:4" x14ac:dyDescent="0.3">
      <c r="A490" s="20">
        <v>45453.894443999998</v>
      </c>
      <c r="B490" s="17">
        <v>62.195703000000002</v>
      </c>
      <c r="C490" s="18"/>
      <c r="D490" s="19"/>
    </row>
    <row r="491" spans="1:4" x14ac:dyDescent="0.3">
      <c r="A491" s="20">
        <v>45453.895139</v>
      </c>
      <c r="B491" s="17">
        <v>63.321390999999998</v>
      </c>
      <c r="C491" s="18"/>
      <c r="D491" s="19"/>
    </row>
    <row r="492" spans="1:4" x14ac:dyDescent="0.3">
      <c r="A492" s="20">
        <v>45453.895833000002</v>
      </c>
      <c r="B492" s="17">
        <v>61.729391999999997</v>
      </c>
      <c r="C492" s="18"/>
      <c r="D492" s="19"/>
    </row>
    <row r="493" spans="1:4" x14ac:dyDescent="0.3">
      <c r="A493" s="20">
        <v>45453.896527999997</v>
      </c>
      <c r="B493" s="17">
        <v>61.932203999999999</v>
      </c>
      <c r="C493" s="18"/>
      <c r="D493" s="19"/>
    </row>
    <row r="494" spans="1:4" x14ac:dyDescent="0.3">
      <c r="A494" s="20">
        <v>45453.897222</v>
      </c>
      <c r="B494" s="17">
        <v>62.429788000000002</v>
      </c>
      <c r="C494" s="18"/>
      <c r="D494" s="19"/>
    </row>
    <row r="495" spans="1:4" x14ac:dyDescent="0.3">
      <c r="A495" s="20">
        <v>45453.897917000002</v>
      </c>
      <c r="B495" s="17">
        <v>62.290931</v>
      </c>
      <c r="C495" s="18"/>
      <c r="D495" s="19"/>
    </row>
    <row r="496" spans="1:4" x14ac:dyDescent="0.3">
      <c r="A496" s="20">
        <v>45453.898610999997</v>
      </c>
      <c r="B496" s="17">
        <v>62.706572999999999</v>
      </c>
      <c r="C496" s="18"/>
      <c r="D496" s="19"/>
    </row>
    <row r="497" spans="1:4" x14ac:dyDescent="0.3">
      <c r="A497" s="20">
        <v>45453.899305999999</v>
      </c>
      <c r="B497" s="17">
        <v>62.063975999999997</v>
      </c>
      <c r="C497" s="18"/>
      <c r="D497" s="19"/>
    </row>
    <row r="498" spans="1:4" x14ac:dyDescent="0.3">
      <c r="A498" s="20">
        <v>45453.9</v>
      </c>
      <c r="B498" s="17">
        <v>63.929226</v>
      </c>
      <c r="C498" s="18"/>
      <c r="D498" s="19"/>
    </row>
    <row r="499" spans="1:4" x14ac:dyDescent="0.3">
      <c r="A499" s="20">
        <v>45453.900694000004</v>
      </c>
      <c r="B499" s="17">
        <v>63.649048999999998</v>
      </c>
      <c r="C499" s="18"/>
      <c r="D499" s="19"/>
    </row>
    <row r="500" spans="1:4" x14ac:dyDescent="0.3">
      <c r="A500" s="20">
        <v>45453.901388999999</v>
      </c>
      <c r="B500" s="17">
        <v>63.978968000000002</v>
      </c>
      <c r="C500" s="18"/>
      <c r="D500" s="19"/>
    </row>
    <row r="501" spans="1:4" x14ac:dyDescent="0.3">
      <c r="A501" s="20">
        <v>45453.902083000001</v>
      </c>
      <c r="B501" s="17">
        <v>63.295436000000002</v>
      </c>
      <c r="C501" s="18"/>
      <c r="D501" s="19"/>
    </row>
    <row r="502" spans="1:4" x14ac:dyDescent="0.3">
      <c r="A502" s="20">
        <v>45453.902778000003</v>
      </c>
      <c r="B502" s="17">
        <v>62.758555000000001</v>
      </c>
      <c r="C502" s="18"/>
      <c r="D502" s="19"/>
    </row>
    <row r="503" spans="1:4" x14ac:dyDescent="0.3">
      <c r="A503" s="20">
        <v>45453.903471999998</v>
      </c>
      <c r="B503" s="17">
        <v>63.021538999999997</v>
      </c>
      <c r="C503" s="18"/>
      <c r="D503" s="19"/>
    </row>
    <row r="504" spans="1:4" x14ac:dyDescent="0.3">
      <c r="A504" s="20">
        <v>45453.904167000001</v>
      </c>
      <c r="B504" s="17">
        <v>62.151938999999999</v>
      </c>
      <c r="C504" s="18"/>
      <c r="D504" s="19"/>
    </row>
    <row r="505" spans="1:4" x14ac:dyDescent="0.3">
      <c r="A505" s="20">
        <v>45453.904861000003</v>
      </c>
      <c r="B505" s="17">
        <v>63.387920000000001</v>
      </c>
      <c r="C505" s="18"/>
      <c r="D505" s="19"/>
    </row>
    <row r="506" spans="1:4" x14ac:dyDescent="0.3">
      <c r="A506" s="20">
        <v>45453.905555999998</v>
      </c>
      <c r="B506" s="17">
        <v>63.613421000000002</v>
      </c>
      <c r="C506" s="18"/>
      <c r="D506" s="19"/>
    </row>
    <row r="507" spans="1:4" x14ac:dyDescent="0.3">
      <c r="A507" s="20">
        <v>45453.90625</v>
      </c>
      <c r="B507" s="17">
        <v>62.847929999999998</v>
      </c>
      <c r="C507" s="18"/>
      <c r="D507" s="19"/>
    </row>
    <row r="508" spans="1:4" x14ac:dyDescent="0.3">
      <c r="A508" s="20">
        <v>45453.906944000002</v>
      </c>
      <c r="B508" s="17">
        <v>63.551687000000001</v>
      </c>
      <c r="C508" s="18"/>
      <c r="D508" s="19"/>
    </row>
    <row r="509" spans="1:4" x14ac:dyDescent="0.3">
      <c r="A509" s="20">
        <v>45453.907638999997</v>
      </c>
      <c r="B509" s="17">
        <v>62.795769999999997</v>
      </c>
      <c r="C509" s="18"/>
      <c r="D509" s="19"/>
    </row>
    <row r="510" spans="1:4" x14ac:dyDescent="0.3">
      <c r="A510" s="20">
        <v>45453.908332999999</v>
      </c>
      <c r="B510" s="17">
        <v>63.815603000000003</v>
      </c>
      <c r="C510" s="18"/>
      <c r="D510" s="19"/>
    </row>
    <row r="511" spans="1:4" x14ac:dyDescent="0.3">
      <c r="A511" s="20">
        <v>45453.909028000002</v>
      </c>
      <c r="B511" s="17">
        <v>63.071342999999999</v>
      </c>
      <c r="C511" s="18"/>
      <c r="D511" s="19"/>
    </row>
    <row r="512" spans="1:4" x14ac:dyDescent="0.3">
      <c r="A512" s="20">
        <v>45453.909721999997</v>
      </c>
      <c r="B512" s="17">
        <v>63.000813000000001</v>
      </c>
      <c r="C512" s="18"/>
      <c r="D512" s="19"/>
    </row>
    <row r="513" spans="1:4" x14ac:dyDescent="0.3">
      <c r="A513" s="20">
        <v>45453.910416999999</v>
      </c>
      <c r="B513" s="17">
        <v>63.749243999999997</v>
      </c>
      <c r="C513" s="18"/>
      <c r="D513" s="19"/>
    </row>
    <row r="514" spans="1:4" x14ac:dyDescent="0.3">
      <c r="A514" s="20">
        <v>45453.911111000001</v>
      </c>
      <c r="B514" s="17">
        <v>63.756630000000001</v>
      </c>
      <c r="C514" s="18"/>
      <c r="D514" s="19"/>
    </row>
    <row r="515" spans="1:4" x14ac:dyDescent="0.3">
      <c r="A515" s="20">
        <v>45453.911805999996</v>
      </c>
      <c r="B515" s="17">
        <v>64.071888000000001</v>
      </c>
      <c r="C515" s="18"/>
      <c r="D515" s="19"/>
    </row>
    <row r="516" spans="1:4" x14ac:dyDescent="0.3">
      <c r="A516" s="20">
        <v>45453.912499999999</v>
      </c>
      <c r="B516" s="17">
        <v>63.397238999999999</v>
      </c>
      <c r="C516" s="18"/>
      <c r="D516" s="19"/>
    </row>
    <row r="517" spans="1:4" x14ac:dyDescent="0.3">
      <c r="A517" s="20">
        <v>45453.913194000001</v>
      </c>
      <c r="B517" s="17">
        <v>62.621040000000001</v>
      </c>
      <c r="C517" s="18"/>
      <c r="D517" s="19"/>
    </row>
    <row r="518" spans="1:4" x14ac:dyDescent="0.3">
      <c r="A518" s="20">
        <v>45453.913889000003</v>
      </c>
      <c r="B518" s="17">
        <v>63.360773000000002</v>
      </c>
      <c r="C518" s="18"/>
      <c r="D518" s="19"/>
    </row>
    <row r="519" spans="1:4" x14ac:dyDescent="0.3">
      <c r="A519" s="20">
        <v>45453.914582999998</v>
      </c>
      <c r="B519" s="17">
        <v>63.949703</v>
      </c>
      <c r="C519" s="18"/>
      <c r="D519" s="19"/>
    </row>
    <row r="520" spans="1:4" x14ac:dyDescent="0.3">
      <c r="A520" s="20">
        <v>45453.915278</v>
      </c>
      <c r="B520" s="17">
        <v>62.626555000000003</v>
      </c>
      <c r="C520" s="18"/>
      <c r="D520" s="19"/>
    </row>
    <row r="521" spans="1:4" x14ac:dyDescent="0.3">
      <c r="A521" s="20">
        <v>45453.915972000003</v>
      </c>
      <c r="B521" s="17">
        <v>63.785693999999999</v>
      </c>
      <c r="C521" s="18"/>
      <c r="D521" s="19"/>
    </row>
    <row r="522" spans="1:4" x14ac:dyDescent="0.3">
      <c r="A522" s="20">
        <v>45453.916666999998</v>
      </c>
      <c r="B522" s="17">
        <v>63.373738000000003</v>
      </c>
      <c r="C522" s="18"/>
      <c r="D522" s="19"/>
    </row>
    <row r="523" spans="1:4" x14ac:dyDescent="0.3">
      <c r="A523" s="20">
        <v>45453.917361</v>
      </c>
      <c r="B523" s="17">
        <v>64.633260000000007</v>
      </c>
      <c r="C523" s="18"/>
      <c r="D523" s="19"/>
    </row>
    <row r="524" spans="1:4" x14ac:dyDescent="0.3">
      <c r="A524" s="20">
        <v>45453.918056000002</v>
      </c>
      <c r="B524" s="17">
        <v>63.274130999999997</v>
      </c>
      <c r="C524" s="18"/>
      <c r="D524" s="19"/>
    </row>
    <row r="525" spans="1:4" x14ac:dyDescent="0.3">
      <c r="A525" s="20">
        <v>45453.918749999997</v>
      </c>
      <c r="B525" s="17">
        <v>63.927556000000003</v>
      </c>
      <c r="C525" s="18"/>
      <c r="D525" s="19"/>
    </row>
    <row r="526" spans="1:4" x14ac:dyDescent="0.3">
      <c r="A526" s="20">
        <v>45453.919443999999</v>
      </c>
      <c r="B526" s="17">
        <v>62.403438000000001</v>
      </c>
      <c r="C526" s="18"/>
      <c r="D526" s="19"/>
    </row>
    <row r="527" spans="1:4" x14ac:dyDescent="0.3">
      <c r="A527" s="20">
        <v>45453.920139000002</v>
      </c>
      <c r="B527" s="17">
        <v>62.711257000000003</v>
      </c>
      <c r="C527" s="18"/>
      <c r="D527" s="19"/>
    </row>
    <row r="528" spans="1:4" x14ac:dyDescent="0.3">
      <c r="A528" s="20">
        <v>45453.920832999996</v>
      </c>
      <c r="B528" s="17">
        <v>63.954273999999998</v>
      </c>
      <c r="C528" s="18"/>
      <c r="D528" s="19"/>
    </row>
    <row r="529" spans="1:4" x14ac:dyDescent="0.3">
      <c r="A529" s="20">
        <v>45453.921527999999</v>
      </c>
      <c r="B529" s="17">
        <v>62.270249</v>
      </c>
      <c r="C529" s="18"/>
      <c r="D529" s="19"/>
    </row>
    <row r="530" spans="1:4" x14ac:dyDescent="0.3">
      <c r="A530" s="20">
        <v>45453.922222000001</v>
      </c>
      <c r="B530" s="17">
        <v>62.858285000000002</v>
      </c>
      <c r="C530" s="18"/>
      <c r="D530" s="19"/>
    </row>
    <row r="531" spans="1:4" x14ac:dyDescent="0.3">
      <c r="A531" s="20">
        <v>45453.922917000004</v>
      </c>
      <c r="B531" s="17">
        <v>62.468027999999997</v>
      </c>
      <c r="C531" s="18"/>
      <c r="D531" s="19"/>
    </row>
    <row r="532" spans="1:4" x14ac:dyDescent="0.3">
      <c r="A532" s="20">
        <v>45453.923610999998</v>
      </c>
      <c r="B532" s="17">
        <v>62.569752000000001</v>
      </c>
      <c r="C532" s="18"/>
      <c r="D532" s="19"/>
    </row>
    <row r="533" spans="1:4" x14ac:dyDescent="0.3">
      <c r="A533" s="20">
        <v>45453.924306000001</v>
      </c>
      <c r="B533" s="17">
        <v>62.902836000000001</v>
      </c>
      <c r="C533" s="18"/>
      <c r="D533" s="19"/>
    </row>
    <row r="534" spans="1:4" x14ac:dyDescent="0.3">
      <c r="A534" s="20">
        <v>45453.925000000003</v>
      </c>
      <c r="B534" s="17">
        <v>63.501631000000003</v>
      </c>
      <c r="C534" s="18"/>
      <c r="D534" s="19"/>
    </row>
    <row r="535" spans="1:4" x14ac:dyDescent="0.3">
      <c r="A535" s="20">
        <v>45453.925693999998</v>
      </c>
      <c r="B535" s="17">
        <v>63.262627999999999</v>
      </c>
      <c r="C535" s="18"/>
      <c r="D535" s="19"/>
    </row>
    <row r="536" spans="1:4" x14ac:dyDescent="0.3">
      <c r="A536" s="20">
        <v>45453.926389</v>
      </c>
      <c r="B536" s="17">
        <v>62.847267000000002</v>
      </c>
      <c r="C536" s="18"/>
      <c r="D536" s="19"/>
    </row>
    <row r="537" spans="1:4" x14ac:dyDescent="0.3">
      <c r="A537" s="20">
        <v>45453.927083000002</v>
      </c>
      <c r="B537" s="17">
        <v>62.204127999999997</v>
      </c>
      <c r="C537" s="18"/>
      <c r="D537" s="19"/>
    </row>
    <row r="538" spans="1:4" x14ac:dyDescent="0.3">
      <c r="A538" s="20">
        <v>45453.927777999997</v>
      </c>
      <c r="B538" s="17">
        <v>64.510840999999999</v>
      </c>
      <c r="C538" s="18"/>
      <c r="D538" s="19"/>
    </row>
    <row r="539" spans="1:4" x14ac:dyDescent="0.3">
      <c r="A539" s="20">
        <v>45453.928472</v>
      </c>
      <c r="B539" s="17">
        <v>62.494807000000002</v>
      </c>
      <c r="C539" s="18"/>
      <c r="D539" s="19"/>
    </row>
    <row r="540" spans="1:4" x14ac:dyDescent="0.3">
      <c r="A540" s="20">
        <v>45453.929167000002</v>
      </c>
      <c r="B540" s="17">
        <v>62.95346</v>
      </c>
      <c r="C540" s="18"/>
      <c r="D540" s="19"/>
    </row>
    <row r="541" spans="1:4" x14ac:dyDescent="0.3">
      <c r="A541" s="20">
        <v>45453.929860999997</v>
      </c>
      <c r="B541" s="17">
        <v>61.768290999999998</v>
      </c>
      <c r="C541" s="18"/>
      <c r="D541" s="19"/>
    </row>
    <row r="542" spans="1:4" x14ac:dyDescent="0.3">
      <c r="A542" s="20">
        <v>45453.930555999999</v>
      </c>
      <c r="B542" s="17">
        <v>64.081226999999998</v>
      </c>
      <c r="C542" s="18"/>
      <c r="D542" s="19"/>
    </row>
    <row r="543" spans="1:4" x14ac:dyDescent="0.3">
      <c r="A543" s="20">
        <v>45453.931250000001</v>
      </c>
      <c r="B543" s="17">
        <v>63.458669</v>
      </c>
      <c r="C543" s="18"/>
      <c r="D543" s="19"/>
    </row>
    <row r="544" spans="1:4" x14ac:dyDescent="0.3">
      <c r="A544" s="20">
        <v>45453.931944000004</v>
      </c>
      <c r="B544" s="17">
        <v>64.230552000000003</v>
      </c>
      <c r="C544" s="18"/>
      <c r="D544" s="19"/>
    </row>
    <row r="545" spans="1:4" x14ac:dyDescent="0.3">
      <c r="A545" s="20">
        <v>45453.932638999999</v>
      </c>
      <c r="B545" s="17">
        <v>64.296858</v>
      </c>
      <c r="C545" s="18"/>
      <c r="D545" s="19"/>
    </row>
    <row r="546" spans="1:4" x14ac:dyDescent="0.3">
      <c r="A546" s="20">
        <v>45453.933333000001</v>
      </c>
      <c r="B546" s="17">
        <v>62.454816000000001</v>
      </c>
      <c r="C546" s="18"/>
      <c r="D546" s="19"/>
    </row>
    <row r="547" spans="1:4" x14ac:dyDescent="0.3">
      <c r="A547" s="20">
        <v>45453.934028000003</v>
      </c>
      <c r="B547" s="17">
        <v>62.826678000000001</v>
      </c>
      <c r="C547" s="18"/>
      <c r="D547" s="19"/>
    </row>
    <row r="548" spans="1:4" x14ac:dyDescent="0.3">
      <c r="A548" s="20">
        <v>45453.934721999998</v>
      </c>
      <c r="B548" s="17">
        <v>62.835383</v>
      </c>
      <c r="C548" s="18"/>
      <c r="D548" s="19"/>
    </row>
    <row r="549" spans="1:4" x14ac:dyDescent="0.3">
      <c r="A549" s="20">
        <v>45453.935417000001</v>
      </c>
      <c r="B549" s="17">
        <v>61.939050000000002</v>
      </c>
      <c r="C549" s="18"/>
      <c r="D549" s="19"/>
    </row>
    <row r="550" spans="1:4" x14ac:dyDescent="0.3">
      <c r="A550" s="20">
        <v>45453.936111000003</v>
      </c>
      <c r="B550" s="17">
        <v>62.777337000000003</v>
      </c>
      <c r="C550" s="18"/>
      <c r="D550" s="19"/>
    </row>
    <row r="551" spans="1:4" x14ac:dyDescent="0.3">
      <c r="A551" s="20">
        <v>45453.936805999998</v>
      </c>
      <c r="B551" s="17">
        <v>63.230618999999997</v>
      </c>
      <c r="C551" s="18"/>
      <c r="D551" s="19"/>
    </row>
    <row r="552" spans="1:4" x14ac:dyDescent="0.3">
      <c r="A552" s="20">
        <v>45453.9375</v>
      </c>
      <c r="B552" s="17">
        <v>63.056866999999997</v>
      </c>
      <c r="C552" s="18"/>
      <c r="D552" s="19"/>
    </row>
    <row r="553" spans="1:4" x14ac:dyDescent="0.3">
      <c r="A553" s="20">
        <v>45453.938194000002</v>
      </c>
      <c r="B553" s="17">
        <v>62.747945000000001</v>
      </c>
      <c r="C553" s="18"/>
      <c r="D553" s="19"/>
    </row>
    <row r="554" spans="1:4" x14ac:dyDescent="0.3">
      <c r="A554" s="20">
        <v>45453.938888999997</v>
      </c>
      <c r="B554" s="17">
        <v>63.711122000000003</v>
      </c>
      <c r="C554" s="18"/>
      <c r="D554" s="19"/>
    </row>
    <row r="555" spans="1:4" x14ac:dyDescent="0.3">
      <c r="A555" s="20">
        <v>45453.939582999999</v>
      </c>
      <c r="B555" s="17">
        <v>63.106208000000002</v>
      </c>
      <c r="C555" s="18"/>
      <c r="D555" s="19"/>
    </row>
    <row r="556" spans="1:4" x14ac:dyDescent="0.3">
      <c r="A556" s="20">
        <v>45453.940278000002</v>
      </c>
      <c r="B556" s="17">
        <v>63.893968000000001</v>
      </c>
      <c r="C556" s="18"/>
      <c r="D556" s="19"/>
    </row>
    <row r="557" spans="1:4" x14ac:dyDescent="0.3">
      <c r="A557" s="20">
        <v>45453.940971999997</v>
      </c>
      <c r="B557" s="17">
        <v>62.880754000000003</v>
      </c>
      <c r="C557" s="18"/>
      <c r="D557" s="19"/>
    </row>
    <row r="558" spans="1:4" x14ac:dyDescent="0.3">
      <c r="A558" s="20">
        <v>45453.941666999999</v>
      </c>
      <c r="B558" s="17">
        <v>63.572211000000003</v>
      </c>
      <c r="C558" s="18"/>
      <c r="D558" s="19"/>
    </row>
    <row r="559" spans="1:4" x14ac:dyDescent="0.3">
      <c r="A559" s="20">
        <v>45453.942361000001</v>
      </c>
      <c r="B559" s="17">
        <v>63.057071999999998</v>
      </c>
      <c r="C559" s="18"/>
      <c r="D559" s="19"/>
    </row>
    <row r="560" spans="1:4" x14ac:dyDescent="0.3">
      <c r="A560" s="20">
        <v>45453.943055999996</v>
      </c>
      <c r="B560" s="17">
        <v>63.055633</v>
      </c>
      <c r="C560" s="18"/>
      <c r="D560" s="19"/>
    </row>
    <row r="561" spans="1:4" x14ac:dyDescent="0.3">
      <c r="A561" s="20">
        <v>45453.943749999999</v>
      </c>
      <c r="B561" s="17">
        <v>63.102494999999998</v>
      </c>
      <c r="C561" s="18"/>
      <c r="D561" s="19"/>
    </row>
    <row r="562" spans="1:4" x14ac:dyDescent="0.3">
      <c r="A562" s="20">
        <v>45453.944444000001</v>
      </c>
      <c r="B562" s="17">
        <v>62.266773000000001</v>
      </c>
      <c r="C562" s="18"/>
      <c r="D562" s="19"/>
    </row>
    <row r="563" spans="1:4" x14ac:dyDescent="0.3">
      <c r="A563" s="20">
        <v>45453.945139000003</v>
      </c>
      <c r="B563" s="17">
        <v>62.917816999999999</v>
      </c>
      <c r="C563" s="18"/>
      <c r="D563" s="19"/>
    </row>
    <row r="564" spans="1:4" x14ac:dyDescent="0.3">
      <c r="A564" s="20">
        <v>45453.945832999998</v>
      </c>
      <c r="B564" s="17">
        <v>62.085351000000003</v>
      </c>
      <c r="C564" s="18"/>
      <c r="D564" s="19"/>
    </row>
    <row r="565" spans="1:4" x14ac:dyDescent="0.3">
      <c r="A565" s="20">
        <v>45453.946528</v>
      </c>
      <c r="B565" s="17">
        <v>63.093485999999999</v>
      </c>
      <c r="C565" s="18"/>
      <c r="D565" s="19"/>
    </row>
    <row r="566" spans="1:4" x14ac:dyDescent="0.3">
      <c r="A566" s="20">
        <v>45453.947222000003</v>
      </c>
      <c r="B566" s="17">
        <v>62.606586</v>
      </c>
      <c r="C566" s="18"/>
      <c r="D566" s="19"/>
    </row>
    <row r="567" spans="1:4" x14ac:dyDescent="0.3">
      <c r="A567" s="20">
        <v>45453.947916999998</v>
      </c>
      <c r="B567" s="17">
        <v>63.368974000000001</v>
      </c>
      <c r="C567" s="18"/>
      <c r="D567" s="19"/>
    </row>
    <row r="568" spans="1:4" x14ac:dyDescent="0.3">
      <c r="A568" s="20">
        <v>45453.948611</v>
      </c>
      <c r="B568" s="17">
        <v>62.988027000000002</v>
      </c>
      <c r="C568" s="18"/>
      <c r="D568" s="19"/>
    </row>
    <row r="569" spans="1:4" x14ac:dyDescent="0.3">
      <c r="A569" s="20">
        <v>45453.949306000002</v>
      </c>
      <c r="B569" s="17">
        <v>63.105356999999998</v>
      </c>
      <c r="C569" s="18"/>
      <c r="D569" s="19"/>
    </row>
    <row r="570" spans="1:4" x14ac:dyDescent="0.3">
      <c r="A570" s="20">
        <v>45453.95</v>
      </c>
      <c r="B570" s="17">
        <v>62.939529999999998</v>
      </c>
      <c r="C570" s="18"/>
      <c r="D570" s="19"/>
    </row>
    <row r="571" spans="1:4" x14ac:dyDescent="0.3">
      <c r="A571" s="20">
        <v>45453.950693999999</v>
      </c>
      <c r="B571" s="17">
        <v>62.601148000000002</v>
      </c>
      <c r="C571" s="18"/>
      <c r="D571" s="19"/>
    </row>
    <row r="572" spans="1:4" x14ac:dyDescent="0.3">
      <c r="A572" s="20">
        <v>45453.951389000002</v>
      </c>
      <c r="B572" s="17">
        <v>63.644672999999997</v>
      </c>
      <c r="C572" s="18"/>
      <c r="D572" s="19"/>
    </row>
    <row r="573" spans="1:4" x14ac:dyDescent="0.3">
      <c r="A573" s="20">
        <v>45453.952082999996</v>
      </c>
      <c r="B573" s="17">
        <v>63.397208999999997</v>
      </c>
      <c r="C573" s="18"/>
      <c r="D573" s="19"/>
    </row>
    <row r="574" spans="1:4" x14ac:dyDescent="0.3">
      <c r="A574" s="20">
        <v>45453.952777999999</v>
      </c>
      <c r="B574" s="17">
        <v>61.425182999999997</v>
      </c>
      <c r="C574" s="18"/>
      <c r="D574" s="19"/>
    </row>
    <row r="575" spans="1:4" x14ac:dyDescent="0.3">
      <c r="A575" s="20">
        <v>45453.953472000001</v>
      </c>
      <c r="B575" s="17">
        <v>63.004753000000001</v>
      </c>
      <c r="C575" s="18"/>
      <c r="D575" s="19"/>
    </row>
    <row r="576" spans="1:4" x14ac:dyDescent="0.3">
      <c r="A576" s="20">
        <v>45453.954167000004</v>
      </c>
      <c r="B576" s="17">
        <v>62.613610999999999</v>
      </c>
      <c r="C576" s="18"/>
      <c r="D576" s="19"/>
    </row>
    <row r="577" spans="1:4" x14ac:dyDescent="0.3">
      <c r="A577" s="20">
        <v>45453.954860999998</v>
      </c>
      <c r="B577" s="17">
        <v>62.292789999999997</v>
      </c>
      <c r="C577" s="18"/>
      <c r="D577" s="19"/>
    </row>
    <row r="578" spans="1:4" x14ac:dyDescent="0.3">
      <c r="A578" s="20">
        <v>45453.955556000001</v>
      </c>
      <c r="B578" s="17">
        <v>62.798672000000003</v>
      </c>
      <c r="C578" s="18"/>
      <c r="D578" s="19"/>
    </row>
    <row r="579" spans="1:4" x14ac:dyDescent="0.3">
      <c r="A579" s="20">
        <v>45453.956250000003</v>
      </c>
      <c r="B579" s="17">
        <v>62.206738999999999</v>
      </c>
      <c r="C579" s="18"/>
      <c r="D579" s="19"/>
    </row>
    <row r="580" spans="1:4" x14ac:dyDescent="0.3">
      <c r="A580" s="20">
        <v>45453.956943999998</v>
      </c>
      <c r="B580" s="17">
        <v>63.462611000000003</v>
      </c>
      <c r="C580" s="18"/>
      <c r="D580" s="19"/>
    </row>
    <row r="581" spans="1:4" x14ac:dyDescent="0.3">
      <c r="A581" s="20">
        <v>45453.957639</v>
      </c>
      <c r="B581" s="17">
        <v>63.630155999999999</v>
      </c>
      <c r="C581" s="18"/>
      <c r="D581" s="19"/>
    </row>
    <row r="582" spans="1:4" x14ac:dyDescent="0.3">
      <c r="A582" s="20">
        <v>45453.958333000002</v>
      </c>
      <c r="B582" s="17">
        <v>62.306325000000001</v>
      </c>
      <c r="C582" s="18"/>
      <c r="D582" s="19"/>
    </row>
    <row r="583" spans="1:4" x14ac:dyDescent="0.3">
      <c r="A583" s="20">
        <v>45453.959027999997</v>
      </c>
      <c r="B583" s="17">
        <v>63.208706999999997</v>
      </c>
      <c r="C583" s="18"/>
      <c r="D583" s="19"/>
    </row>
    <row r="584" spans="1:4" x14ac:dyDescent="0.3">
      <c r="A584" s="20">
        <v>45453.959722</v>
      </c>
      <c r="B584" s="17">
        <v>63.579979999999999</v>
      </c>
      <c r="C584" s="18"/>
      <c r="D584" s="19"/>
    </row>
    <row r="585" spans="1:4" x14ac:dyDescent="0.3">
      <c r="A585" s="20">
        <v>45453.960417000002</v>
      </c>
      <c r="B585" s="17">
        <v>62.928668999999999</v>
      </c>
      <c r="C585" s="18"/>
      <c r="D585" s="19"/>
    </row>
    <row r="586" spans="1:4" x14ac:dyDescent="0.3">
      <c r="A586" s="20">
        <v>45453.961110999997</v>
      </c>
      <c r="B586" s="17">
        <v>61.322032</v>
      </c>
      <c r="C586" s="18"/>
      <c r="D586" s="19"/>
    </row>
    <row r="587" spans="1:4" x14ac:dyDescent="0.3">
      <c r="A587" s="20">
        <v>45453.961805999999</v>
      </c>
      <c r="B587" s="17">
        <v>64.085162999999994</v>
      </c>
      <c r="C587" s="18"/>
      <c r="D587" s="19"/>
    </row>
    <row r="588" spans="1:4" x14ac:dyDescent="0.3">
      <c r="A588" s="20">
        <v>45453.962500000001</v>
      </c>
      <c r="B588" s="17">
        <v>63.276822000000003</v>
      </c>
      <c r="C588" s="18"/>
      <c r="D588" s="19"/>
    </row>
    <row r="589" spans="1:4" x14ac:dyDescent="0.3">
      <c r="A589" s="20">
        <v>45453.963194000004</v>
      </c>
      <c r="B589" s="17">
        <v>62.241104</v>
      </c>
      <c r="C589" s="18"/>
      <c r="D589" s="19"/>
    </row>
    <row r="590" spans="1:4" x14ac:dyDescent="0.3">
      <c r="A590" s="20">
        <v>45453.963888999999</v>
      </c>
      <c r="B590" s="17">
        <v>62.511285999999998</v>
      </c>
      <c r="C590" s="18"/>
      <c r="D590" s="19"/>
    </row>
    <row r="591" spans="1:4" x14ac:dyDescent="0.3">
      <c r="A591" s="20">
        <v>45453.964583000001</v>
      </c>
      <c r="B591" s="17">
        <v>62.966078000000003</v>
      </c>
      <c r="C591" s="18"/>
      <c r="D591" s="19"/>
    </row>
    <row r="592" spans="1:4" x14ac:dyDescent="0.3">
      <c r="A592" s="20">
        <v>45453.965278000003</v>
      </c>
      <c r="B592" s="17">
        <v>62.315624</v>
      </c>
      <c r="C592" s="18"/>
      <c r="D592" s="19"/>
    </row>
    <row r="593" spans="1:4" x14ac:dyDescent="0.3">
      <c r="A593" s="20">
        <v>45453.965971999998</v>
      </c>
      <c r="B593" s="17">
        <v>62.082473999999998</v>
      </c>
      <c r="C593" s="18"/>
      <c r="D593" s="19"/>
    </row>
    <row r="594" spans="1:4" x14ac:dyDescent="0.3">
      <c r="A594" s="20">
        <v>45453.966667000001</v>
      </c>
      <c r="B594" s="17">
        <v>62.919825000000003</v>
      </c>
      <c r="C594" s="18"/>
      <c r="D594" s="19"/>
    </row>
    <row r="595" spans="1:4" x14ac:dyDescent="0.3">
      <c r="A595" s="20">
        <v>45453.967361000003</v>
      </c>
      <c r="B595" s="17">
        <v>63.100259000000001</v>
      </c>
      <c r="C595" s="18"/>
      <c r="D595" s="19"/>
    </row>
    <row r="596" spans="1:4" x14ac:dyDescent="0.3">
      <c r="A596" s="20">
        <v>45453.968055999998</v>
      </c>
      <c r="B596" s="17">
        <v>63.248534999999997</v>
      </c>
      <c r="C596" s="18"/>
      <c r="D596" s="19"/>
    </row>
    <row r="597" spans="1:4" x14ac:dyDescent="0.3">
      <c r="A597" s="20">
        <v>45453.96875</v>
      </c>
      <c r="B597" s="17">
        <v>62.763624</v>
      </c>
      <c r="C597" s="18"/>
      <c r="D597" s="19"/>
    </row>
    <row r="598" spans="1:4" x14ac:dyDescent="0.3">
      <c r="A598" s="20">
        <v>45453.969444000002</v>
      </c>
      <c r="B598" s="17">
        <v>62.839897999999998</v>
      </c>
      <c r="C598" s="18"/>
      <c r="D598" s="19"/>
    </row>
    <row r="599" spans="1:4" x14ac:dyDescent="0.3">
      <c r="A599" s="20">
        <v>45453.970138999997</v>
      </c>
      <c r="B599" s="17">
        <v>62.385202999999997</v>
      </c>
      <c r="C599" s="18"/>
      <c r="D599" s="19"/>
    </row>
    <row r="600" spans="1:4" x14ac:dyDescent="0.3">
      <c r="A600" s="20">
        <v>45453.970832999999</v>
      </c>
      <c r="B600" s="17">
        <v>62.314281000000001</v>
      </c>
      <c r="C600" s="18"/>
      <c r="D600" s="19"/>
    </row>
    <row r="601" spans="1:4" x14ac:dyDescent="0.3">
      <c r="A601" s="20">
        <v>45453.971528000002</v>
      </c>
      <c r="B601" s="17">
        <v>62.225848999999997</v>
      </c>
      <c r="C601" s="18"/>
      <c r="D601" s="19"/>
    </row>
    <row r="602" spans="1:4" x14ac:dyDescent="0.3">
      <c r="A602" s="20">
        <v>45453.972221999997</v>
      </c>
      <c r="B602" s="17">
        <v>62.727466999999997</v>
      </c>
      <c r="C602" s="18"/>
      <c r="D602" s="19"/>
    </row>
    <row r="603" spans="1:4" x14ac:dyDescent="0.3">
      <c r="A603" s="20">
        <v>45453.972916999999</v>
      </c>
      <c r="B603" s="17">
        <v>62.536611999999998</v>
      </c>
      <c r="C603" s="18"/>
      <c r="D603" s="19"/>
    </row>
    <row r="604" spans="1:4" x14ac:dyDescent="0.3">
      <c r="A604" s="20">
        <v>45453.973611000001</v>
      </c>
      <c r="B604" s="17">
        <v>63.239451000000003</v>
      </c>
      <c r="C604" s="18"/>
      <c r="D604" s="19"/>
    </row>
    <row r="605" spans="1:4" x14ac:dyDescent="0.3">
      <c r="A605" s="20">
        <v>45453.974305999996</v>
      </c>
      <c r="B605" s="17">
        <v>62.852086999999997</v>
      </c>
      <c r="C605" s="18"/>
      <c r="D605" s="19"/>
    </row>
    <row r="606" spans="1:4" x14ac:dyDescent="0.3">
      <c r="A606" s="20">
        <v>45453.974999999999</v>
      </c>
      <c r="B606" s="17">
        <v>61.551707999999998</v>
      </c>
      <c r="C606" s="18"/>
      <c r="D606" s="19"/>
    </row>
    <row r="607" spans="1:4" x14ac:dyDescent="0.3">
      <c r="A607" s="20">
        <v>45453.975694000001</v>
      </c>
      <c r="B607" s="17">
        <v>62.487296999999998</v>
      </c>
      <c r="C607" s="18"/>
      <c r="D607" s="19"/>
    </row>
    <row r="608" spans="1:4" x14ac:dyDescent="0.3">
      <c r="A608" s="20">
        <v>45453.976389000003</v>
      </c>
      <c r="B608" s="17">
        <v>62.122456999999997</v>
      </c>
      <c r="C608" s="18"/>
      <c r="D608" s="19"/>
    </row>
    <row r="609" spans="1:4" x14ac:dyDescent="0.3">
      <c r="A609" s="20">
        <v>45453.977082999998</v>
      </c>
      <c r="B609" s="17">
        <v>61.917211000000002</v>
      </c>
      <c r="C609" s="18"/>
      <c r="D609" s="19"/>
    </row>
    <row r="610" spans="1:4" x14ac:dyDescent="0.3">
      <c r="A610" s="20">
        <v>45453.977778</v>
      </c>
      <c r="B610" s="17">
        <v>63.597462999999998</v>
      </c>
      <c r="C610" s="18"/>
      <c r="D610" s="19"/>
    </row>
    <row r="611" spans="1:4" x14ac:dyDescent="0.3">
      <c r="A611" s="20">
        <v>45453.978472000003</v>
      </c>
      <c r="B611" s="17">
        <v>62.899478999999999</v>
      </c>
      <c r="C611" s="18"/>
      <c r="D611" s="19"/>
    </row>
    <row r="612" spans="1:4" x14ac:dyDescent="0.3">
      <c r="A612" s="20">
        <v>45453.979166999998</v>
      </c>
      <c r="B612" s="17">
        <v>62.594841000000002</v>
      </c>
      <c r="C612" s="18"/>
      <c r="D612" s="19"/>
    </row>
    <row r="613" spans="1:4" x14ac:dyDescent="0.3">
      <c r="A613" s="20">
        <v>45453.979861</v>
      </c>
      <c r="B613" s="17">
        <v>63.581870000000002</v>
      </c>
      <c r="C613" s="18"/>
      <c r="D613" s="19"/>
    </row>
    <row r="614" spans="1:4" x14ac:dyDescent="0.3">
      <c r="A614" s="20">
        <v>45453.980556000002</v>
      </c>
      <c r="B614" s="17">
        <v>63.892325999999997</v>
      </c>
      <c r="C614" s="18"/>
      <c r="D614" s="19"/>
    </row>
    <row r="615" spans="1:4" x14ac:dyDescent="0.3">
      <c r="A615" s="20">
        <v>45453.981249999997</v>
      </c>
      <c r="B615" s="17">
        <v>63.385364000000003</v>
      </c>
      <c r="C615" s="18"/>
      <c r="D615" s="19"/>
    </row>
    <row r="616" spans="1:4" x14ac:dyDescent="0.3">
      <c r="A616" s="20">
        <v>45453.981943999999</v>
      </c>
      <c r="B616" s="17">
        <v>65.685229000000007</v>
      </c>
      <c r="C616" s="18"/>
      <c r="D616" s="19"/>
    </row>
    <row r="617" spans="1:4" x14ac:dyDescent="0.3">
      <c r="A617" s="20">
        <v>45453.982639000002</v>
      </c>
      <c r="B617" s="17">
        <v>65.708492000000007</v>
      </c>
      <c r="C617" s="18"/>
      <c r="D617" s="19"/>
    </row>
    <row r="618" spans="1:4" x14ac:dyDescent="0.3">
      <c r="A618" s="20">
        <v>45453.983332999996</v>
      </c>
      <c r="B618" s="17">
        <v>66.732112000000001</v>
      </c>
      <c r="C618" s="18"/>
      <c r="D618" s="19"/>
    </row>
    <row r="619" spans="1:4" x14ac:dyDescent="0.3">
      <c r="A619" s="20">
        <v>45453.984027999999</v>
      </c>
      <c r="B619" s="17">
        <v>65.930564000000004</v>
      </c>
      <c r="C619" s="18"/>
      <c r="D619" s="19"/>
    </row>
    <row r="620" spans="1:4" x14ac:dyDescent="0.3">
      <c r="A620" s="20">
        <v>45453.984722000001</v>
      </c>
      <c r="B620" s="17">
        <v>66.710796999999999</v>
      </c>
      <c r="C620" s="18"/>
      <c r="D620" s="19"/>
    </row>
    <row r="621" spans="1:4" x14ac:dyDescent="0.3">
      <c r="A621" s="20">
        <v>45453.985417000004</v>
      </c>
      <c r="B621" s="17">
        <v>65.860133000000005</v>
      </c>
      <c r="C621" s="18"/>
      <c r="D621" s="19"/>
    </row>
    <row r="622" spans="1:4" x14ac:dyDescent="0.3">
      <c r="A622" s="20">
        <v>45453.986110999998</v>
      </c>
      <c r="B622" s="17">
        <v>65.995455000000007</v>
      </c>
      <c r="C622" s="18"/>
      <c r="D622" s="19"/>
    </row>
    <row r="623" spans="1:4" x14ac:dyDescent="0.3">
      <c r="A623" s="20">
        <v>45453.986806000001</v>
      </c>
      <c r="B623" s="17">
        <v>66.699782999999996</v>
      </c>
      <c r="C623" s="18"/>
      <c r="D623" s="19"/>
    </row>
    <row r="624" spans="1:4" x14ac:dyDescent="0.3">
      <c r="A624" s="20">
        <v>45453.987500000003</v>
      </c>
      <c r="B624" s="17">
        <v>66.491468999999995</v>
      </c>
      <c r="C624" s="18"/>
      <c r="D624" s="19"/>
    </row>
    <row r="625" spans="1:4" x14ac:dyDescent="0.3">
      <c r="A625" s="20">
        <v>45453.988193999998</v>
      </c>
      <c r="B625" s="17">
        <v>66.565669999999997</v>
      </c>
      <c r="C625" s="18"/>
      <c r="D625" s="19"/>
    </row>
    <row r="626" spans="1:4" x14ac:dyDescent="0.3">
      <c r="A626" s="20">
        <v>45453.988889</v>
      </c>
      <c r="B626" s="17">
        <v>66.930886999999998</v>
      </c>
      <c r="C626" s="18"/>
      <c r="D626" s="19"/>
    </row>
    <row r="627" spans="1:4" x14ac:dyDescent="0.3">
      <c r="A627" s="20">
        <v>45453.989583000002</v>
      </c>
      <c r="B627" s="17">
        <v>66.767414000000002</v>
      </c>
      <c r="C627" s="18"/>
      <c r="D627" s="19"/>
    </row>
    <row r="628" spans="1:4" x14ac:dyDescent="0.3">
      <c r="A628" s="20">
        <v>45453.990277999997</v>
      </c>
      <c r="B628" s="17">
        <v>67.202591999999996</v>
      </c>
      <c r="C628" s="18"/>
      <c r="D628" s="19"/>
    </row>
    <row r="629" spans="1:4" x14ac:dyDescent="0.3">
      <c r="A629" s="20">
        <v>45453.990972</v>
      </c>
      <c r="B629" s="17">
        <v>66.973309</v>
      </c>
      <c r="C629" s="18"/>
      <c r="D629" s="19"/>
    </row>
    <row r="630" spans="1:4" x14ac:dyDescent="0.3">
      <c r="A630" s="20">
        <v>45453.991667000002</v>
      </c>
      <c r="B630" s="17">
        <v>65.937614999999994</v>
      </c>
      <c r="C630" s="18"/>
      <c r="D630" s="19"/>
    </row>
    <row r="631" spans="1:4" x14ac:dyDescent="0.3">
      <c r="A631" s="20">
        <v>45453.992360999997</v>
      </c>
      <c r="B631" s="17">
        <v>66.169556</v>
      </c>
      <c r="C631" s="18"/>
      <c r="D631" s="19"/>
    </row>
    <row r="632" spans="1:4" x14ac:dyDescent="0.3">
      <c r="A632" s="20">
        <v>45453.993055999999</v>
      </c>
      <c r="B632" s="17">
        <v>65.763479000000004</v>
      </c>
      <c r="C632" s="18"/>
      <c r="D632" s="19"/>
    </row>
    <row r="633" spans="1:4" x14ac:dyDescent="0.3">
      <c r="A633" s="20">
        <v>45453.993750000001</v>
      </c>
      <c r="B633" s="17">
        <v>67.105489000000006</v>
      </c>
      <c r="C633" s="18"/>
      <c r="D633" s="19"/>
    </row>
    <row r="634" spans="1:4" x14ac:dyDescent="0.3">
      <c r="A634" s="20">
        <v>45453.994444000004</v>
      </c>
      <c r="B634" s="17">
        <v>66.359026</v>
      </c>
      <c r="C634" s="18"/>
      <c r="D634" s="19"/>
    </row>
    <row r="635" spans="1:4" x14ac:dyDescent="0.3">
      <c r="A635" s="20">
        <v>45453.995138999999</v>
      </c>
      <c r="B635" s="17">
        <v>66.974528000000007</v>
      </c>
      <c r="C635" s="18"/>
      <c r="D635" s="19"/>
    </row>
    <row r="636" spans="1:4" x14ac:dyDescent="0.3">
      <c r="A636" s="20">
        <v>45453.995833000001</v>
      </c>
      <c r="B636" s="17">
        <v>65.612415999999996</v>
      </c>
      <c r="C636" s="18"/>
      <c r="D636" s="19"/>
    </row>
    <row r="637" spans="1:4" x14ac:dyDescent="0.3">
      <c r="A637" s="20">
        <v>45453.996528000003</v>
      </c>
      <c r="B637" s="17">
        <v>66.168845000000005</v>
      </c>
      <c r="C637" s="18"/>
      <c r="D637" s="19"/>
    </row>
    <row r="638" spans="1:4" x14ac:dyDescent="0.3">
      <c r="A638" s="20">
        <v>45453.997221999998</v>
      </c>
      <c r="B638" s="17">
        <v>66.304976999999994</v>
      </c>
      <c r="C638" s="18"/>
      <c r="D638" s="19"/>
    </row>
    <row r="639" spans="1:4" x14ac:dyDescent="0.3">
      <c r="A639" s="20">
        <v>45453.997917000001</v>
      </c>
      <c r="B639" s="17">
        <v>66.322597000000002</v>
      </c>
      <c r="C639" s="18"/>
      <c r="D639" s="19"/>
    </row>
    <row r="640" spans="1:4" x14ac:dyDescent="0.3">
      <c r="A640" s="20">
        <v>45453.998611000003</v>
      </c>
      <c r="B640" s="17">
        <v>65.902557000000002</v>
      </c>
      <c r="C640" s="18"/>
      <c r="D640" s="19"/>
    </row>
    <row r="641" spans="1:4" x14ac:dyDescent="0.3">
      <c r="A641" s="20">
        <v>45453.999305999998</v>
      </c>
      <c r="B641" s="17">
        <v>65.832790000000003</v>
      </c>
      <c r="C641" s="18"/>
      <c r="D641" s="19"/>
    </row>
    <row r="642" spans="1:4" x14ac:dyDescent="0.3">
      <c r="A642" s="20">
        <v>45454</v>
      </c>
      <c r="B642" s="17">
        <v>66.339637999999994</v>
      </c>
      <c r="C642" s="18"/>
      <c r="D642" s="19"/>
    </row>
    <row r="643" spans="1:4" x14ac:dyDescent="0.3">
      <c r="A643" s="20">
        <v>45454.000694000002</v>
      </c>
      <c r="B643" s="17">
        <v>66.327853000000005</v>
      </c>
      <c r="C643" s="18"/>
      <c r="D643" s="19"/>
    </row>
    <row r="644" spans="1:4" x14ac:dyDescent="0.3">
      <c r="A644" s="20">
        <v>45454.001388999997</v>
      </c>
      <c r="B644" s="17">
        <v>64.359947000000005</v>
      </c>
      <c r="C644" s="18"/>
      <c r="D644" s="19"/>
    </row>
    <row r="645" spans="1:4" x14ac:dyDescent="0.3">
      <c r="A645" s="20">
        <v>45454.002082999999</v>
      </c>
      <c r="B645" s="17">
        <v>66.484628999999998</v>
      </c>
      <c r="C645" s="18"/>
      <c r="D645" s="19"/>
    </row>
    <row r="646" spans="1:4" x14ac:dyDescent="0.3">
      <c r="A646" s="20">
        <v>45454.002778000002</v>
      </c>
      <c r="B646" s="17">
        <v>66.430981000000003</v>
      </c>
      <c r="C646" s="18"/>
      <c r="D646" s="19"/>
    </row>
    <row r="647" spans="1:4" x14ac:dyDescent="0.3">
      <c r="A647" s="20">
        <v>45454.003471999997</v>
      </c>
      <c r="B647" s="17">
        <v>66.003623000000005</v>
      </c>
      <c r="C647" s="18"/>
      <c r="D647" s="19"/>
    </row>
    <row r="648" spans="1:4" x14ac:dyDescent="0.3">
      <c r="A648" s="20">
        <v>45454.004166999999</v>
      </c>
      <c r="B648" s="17">
        <v>64.912103000000002</v>
      </c>
      <c r="C648" s="18"/>
      <c r="D648" s="19"/>
    </row>
    <row r="649" spans="1:4" x14ac:dyDescent="0.3">
      <c r="A649" s="20">
        <v>45454.004861000001</v>
      </c>
      <c r="B649" s="17">
        <v>65.435198999999997</v>
      </c>
      <c r="C649" s="18"/>
      <c r="D649" s="19"/>
    </row>
    <row r="650" spans="1:4" x14ac:dyDescent="0.3">
      <c r="A650" s="20">
        <v>45454.005555999996</v>
      </c>
      <c r="B650" s="17">
        <v>65.389808000000002</v>
      </c>
      <c r="C650" s="18"/>
      <c r="D650" s="19"/>
    </row>
    <row r="651" spans="1:4" x14ac:dyDescent="0.3">
      <c r="A651" s="20">
        <v>45454.006249999999</v>
      </c>
      <c r="B651" s="17">
        <v>65.115272000000004</v>
      </c>
      <c r="C651" s="18"/>
      <c r="D651" s="19"/>
    </row>
    <row r="652" spans="1:4" x14ac:dyDescent="0.3">
      <c r="A652" s="20">
        <v>45454.006944000001</v>
      </c>
      <c r="B652" s="17">
        <v>65.444301999999993</v>
      </c>
      <c r="C652" s="18"/>
      <c r="D652" s="19"/>
    </row>
    <row r="653" spans="1:4" x14ac:dyDescent="0.3">
      <c r="A653" s="20">
        <v>45454.007639000003</v>
      </c>
      <c r="B653" s="17">
        <v>66.349031999999994</v>
      </c>
      <c r="C653" s="18"/>
      <c r="D653" s="19"/>
    </row>
    <row r="654" spans="1:4" x14ac:dyDescent="0.3">
      <c r="A654" s="20">
        <v>45454.008332999998</v>
      </c>
      <c r="B654" s="17">
        <v>65.660066999999998</v>
      </c>
      <c r="C654" s="18"/>
      <c r="D654" s="19"/>
    </row>
    <row r="655" spans="1:4" x14ac:dyDescent="0.3">
      <c r="A655" s="20">
        <v>45454.009028</v>
      </c>
      <c r="B655" s="17">
        <v>64.970247999999998</v>
      </c>
      <c r="C655" s="18"/>
      <c r="D655" s="19"/>
    </row>
    <row r="656" spans="1:4" x14ac:dyDescent="0.3">
      <c r="A656" s="20">
        <v>45454.009722000003</v>
      </c>
      <c r="B656" s="17">
        <v>65.607898000000006</v>
      </c>
      <c r="C656" s="18"/>
      <c r="D656" s="19"/>
    </row>
    <row r="657" spans="1:4" x14ac:dyDescent="0.3">
      <c r="A657" s="20">
        <v>45454.010416999998</v>
      </c>
      <c r="B657" s="17">
        <v>66.023426000000001</v>
      </c>
      <c r="C657" s="18"/>
      <c r="D657" s="19"/>
    </row>
    <row r="658" spans="1:4" x14ac:dyDescent="0.3">
      <c r="A658" s="20">
        <v>45454.011111</v>
      </c>
      <c r="B658" s="17">
        <v>65.745001999999999</v>
      </c>
      <c r="C658" s="18"/>
      <c r="D658" s="19"/>
    </row>
    <row r="659" spans="1:4" x14ac:dyDescent="0.3">
      <c r="A659" s="20">
        <v>45454.011806000002</v>
      </c>
      <c r="B659" s="17">
        <v>64.586695000000006</v>
      </c>
      <c r="C659" s="18"/>
      <c r="D659" s="19"/>
    </row>
    <row r="660" spans="1:4" x14ac:dyDescent="0.3">
      <c r="A660" s="20">
        <v>45454.012499999997</v>
      </c>
      <c r="B660" s="17">
        <v>65.032332999999994</v>
      </c>
      <c r="C660" s="18"/>
      <c r="D660" s="19"/>
    </row>
    <row r="661" spans="1:4" x14ac:dyDescent="0.3">
      <c r="A661" s="20">
        <v>45454.013193999999</v>
      </c>
      <c r="B661" s="17">
        <v>65.212954999999994</v>
      </c>
      <c r="C661" s="18"/>
      <c r="D661" s="19"/>
    </row>
    <row r="662" spans="1:4" x14ac:dyDescent="0.3">
      <c r="A662" s="20">
        <v>45454.013889000002</v>
      </c>
      <c r="B662" s="17">
        <v>64.653678999999997</v>
      </c>
      <c r="C662" s="18"/>
      <c r="D662" s="19"/>
    </row>
    <row r="663" spans="1:4" x14ac:dyDescent="0.3">
      <c r="A663" s="20">
        <v>45454.014582999996</v>
      </c>
      <c r="B663" s="17">
        <v>66.901212000000001</v>
      </c>
      <c r="C663" s="18"/>
      <c r="D663" s="19"/>
    </row>
    <row r="664" spans="1:4" x14ac:dyDescent="0.3">
      <c r="A664" s="20">
        <v>45454.015277999999</v>
      </c>
      <c r="B664" s="17">
        <v>65.890951999999999</v>
      </c>
      <c r="C664" s="18"/>
      <c r="D664" s="19"/>
    </row>
    <row r="665" spans="1:4" x14ac:dyDescent="0.3">
      <c r="A665" s="20">
        <v>45454.015972000001</v>
      </c>
      <c r="B665" s="17">
        <v>64.356012000000007</v>
      </c>
      <c r="C665" s="18"/>
      <c r="D665" s="19"/>
    </row>
    <row r="666" spans="1:4" x14ac:dyDescent="0.3">
      <c r="A666" s="20">
        <v>45454.016667000004</v>
      </c>
      <c r="B666" s="17">
        <v>64.624273000000002</v>
      </c>
      <c r="C666" s="18"/>
      <c r="D666" s="19"/>
    </row>
    <row r="667" spans="1:4" x14ac:dyDescent="0.3">
      <c r="A667" s="20">
        <v>45454.017360999998</v>
      </c>
      <c r="B667" s="17">
        <v>65.492580000000004</v>
      </c>
      <c r="C667" s="18"/>
      <c r="D667" s="19"/>
    </row>
    <row r="668" spans="1:4" x14ac:dyDescent="0.3">
      <c r="A668" s="20">
        <v>45454.018056000001</v>
      </c>
      <c r="B668" s="17">
        <v>65.769462000000004</v>
      </c>
      <c r="C668" s="18"/>
      <c r="D668" s="19"/>
    </row>
    <row r="669" spans="1:4" x14ac:dyDescent="0.3">
      <c r="A669" s="20">
        <v>45454.018750000003</v>
      </c>
      <c r="B669" s="17">
        <v>66.153816000000006</v>
      </c>
      <c r="C669" s="18"/>
      <c r="D669" s="19"/>
    </row>
    <row r="670" spans="1:4" x14ac:dyDescent="0.3">
      <c r="A670" s="20">
        <v>45454.019443999998</v>
      </c>
      <c r="B670" s="17">
        <v>64.714253999999997</v>
      </c>
      <c r="C670" s="18"/>
      <c r="D670" s="19"/>
    </row>
    <row r="671" spans="1:4" x14ac:dyDescent="0.3">
      <c r="A671" s="20">
        <v>45454.020139</v>
      </c>
      <c r="B671" s="17">
        <v>66.26437</v>
      </c>
      <c r="C671" s="18"/>
      <c r="D671" s="19"/>
    </row>
    <row r="672" spans="1:4" x14ac:dyDescent="0.3">
      <c r="A672" s="20">
        <v>45454.020833000002</v>
      </c>
      <c r="B672" s="17">
        <v>64.734076999999999</v>
      </c>
      <c r="C672" s="18"/>
      <c r="D672" s="19"/>
    </row>
    <row r="673" spans="1:4" x14ac:dyDescent="0.3">
      <c r="A673" s="20">
        <v>45454.021527999997</v>
      </c>
      <c r="B673" s="17">
        <v>65.981573999999995</v>
      </c>
      <c r="C673" s="18"/>
      <c r="D673" s="19"/>
    </row>
    <row r="674" spans="1:4" x14ac:dyDescent="0.3">
      <c r="A674" s="20">
        <v>45454.022222</v>
      </c>
      <c r="B674" s="17">
        <v>65.870497</v>
      </c>
      <c r="C674" s="18"/>
      <c r="D674" s="19"/>
    </row>
    <row r="675" spans="1:4" x14ac:dyDescent="0.3">
      <c r="A675" s="20">
        <v>45454.022917000002</v>
      </c>
      <c r="B675" s="17">
        <v>65.160053000000005</v>
      </c>
      <c r="C675" s="18"/>
      <c r="D675" s="19"/>
    </row>
    <row r="676" spans="1:4" x14ac:dyDescent="0.3">
      <c r="A676" s="20">
        <v>45454.023610999997</v>
      </c>
      <c r="B676" s="17">
        <v>66.017733000000007</v>
      </c>
      <c r="C676" s="18"/>
      <c r="D676" s="19"/>
    </row>
    <row r="677" spans="1:4" x14ac:dyDescent="0.3">
      <c r="A677" s="20">
        <v>45454.024305999999</v>
      </c>
      <c r="B677" s="17">
        <v>65.155511000000004</v>
      </c>
      <c r="C677" s="18"/>
      <c r="D677" s="19"/>
    </row>
    <row r="678" spans="1:4" x14ac:dyDescent="0.3">
      <c r="A678" s="20">
        <v>45454.025000000001</v>
      </c>
      <c r="B678" s="17">
        <v>66.786394000000001</v>
      </c>
      <c r="C678" s="18"/>
      <c r="D678" s="19"/>
    </row>
    <row r="679" spans="1:4" x14ac:dyDescent="0.3">
      <c r="A679" s="20">
        <v>45454.025694000004</v>
      </c>
      <c r="B679" s="17">
        <v>65.286411000000001</v>
      </c>
      <c r="C679" s="18"/>
      <c r="D679" s="19"/>
    </row>
    <row r="680" spans="1:4" x14ac:dyDescent="0.3">
      <c r="A680" s="20">
        <v>45454.026388999999</v>
      </c>
      <c r="B680" s="17">
        <v>65.078604999999996</v>
      </c>
      <c r="C680" s="18"/>
      <c r="D680" s="19"/>
    </row>
    <row r="681" spans="1:4" x14ac:dyDescent="0.3">
      <c r="A681" s="20">
        <v>45454.027083000001</v>
      </c>
      <c r="B681" s="17">
        <v>65.304404000000005</v>
      </c>
      <c r="C681" s="18"/>
      <c r="D681" s="19"/>
    </row>
    <row r="682" spans="1:4" x14ac:dyDescent="0.3">
      <c r="A682" s="20">
        <v>45454.027778000003</v>
      </c>
      <c r="B682" s="17">
        <v>66.152377999999999</v>
      </c>
      <c r="C682" s="18"/>
      <c r="D682" s="19"/>
    </row>
    <row r="683" spans="1:4" x14ac:dyDescent="0.3">
      <c r="A683" s="20">
        <v>45454.028471999998</v>
      </c>
      <c r="B683" s="17">
        <v>65.783586999999997</v>
      </c>
      <c r="C683" s="18"/>
      <c r="D683" s="19"/>
    </row>
    <row r="684" spans="1:4" x14ac:dyDescent="0.3">
      <c r="A684" s="20">
        <v>45454.029167000001</v>
      </c>
      <c r="B684" s="17">
        <v>65.479196999999999</v>
      </c>
      <c r="C684" s="18"/>
      <c r="D684" s="19"/>
    </row>
    <row r="685" spans="1:4" x14ac:dyDescent="0.3">
      <c r="A685" s="20">
        <v>45454.029861000003</v>
      </c>
      <c r="B685" s="17">
        <v>65.876158000000004</v>
      </c>
      <c r="C685" s="18"/>
      <c r="D685" s="19"/>
    </row>
    <row r="686" spans="1:4" x14ac:dyDescent="0.3">
      <c r="A686" s="20">
        <v>45454.030555999998</v>
      </c>
      <c r="B686" s="17">
        <v>65.355647000000005</v>
      </c>
      <c r="C686" s="18"/>
      <c r="D686" s="19"/>
    </row>
    <row r="687" spans="1:4" x14ac:dyDescent="0.3">
      <c r="A687" s="20">
        <v>45454.03125</v>
      </c>
      <c r="B687" s="17">
        <v>64.983338000000003</v>
      </c>
      <c r="C687" s="18"/>
      <c r="D687" s="19"/>
    </row>
    <row r="688" spans="1:4" x14ac:dyDescent="0.3">
      <c r="A688" s="20">
        <v>45454.031944000002</v>
      </c>
      <c r="B688" s="17">
        <v>64.603588999999999</v>
      </c>
      <c r="C688" s="18"/>
      <c r="D688" s="19"/>
    </row>
    <row r="689" spans="1:4" x14ac:dyDescent="0.3">
      <c r="A689" s="20">
        <v>45454.032638999997</v>
      </c>
      <c r="B689" s="17">
        <v>64.982397000000006</v>
      </c>
      <c r="C689" s="18"/>
      <c r="D689" s="19"/>
    </row>
    <row r="690" spans="1:4" x14ac:dyDescent="0.3">
      <c r="A690" s="20">
        <v>45454.033332999999</v>
      </c>
      <c r="B690" s="17">
        <v>65.900430999999998</v>
      </c>
      <c r="C690" s="18"/>
      <c r="D690" s="19"/>
    </row>
    <row r="691" spans="1:4" x14ac:dyDescent="0.3">
      <c r="A691" s="20">
        <v>45454.034028000002</v>
      </c>
      <c r="B691" s="17">
        <v>66.720737</v>
      </c>
      <c r="C691" s="18"/>
      <c r="D691" s="19"/>
    </row>
    <row r="692" spans="1:4" x14ac:dyDescent="0.3">
      <c r="A692" s="20">
        <v>45454.034721999997</v>
      </c>
      <c r="B692" s="17">
        <v>65.558108000000004</v>
      </c>
      <c r="C692" s="18"/>
      <c r="D692" s="19"/>
    </row>
    <row r="693" spans="1:4" x14ac:dyDescent="0.3">
      <c r="A693" s="20">
        <v>45454.035416999999</v>
      </c>
      <c r="B693" s="17">
        <v>64.507840000000002</v>
      </c>
      <c r="C693" s="18"/>
      <c r="D693" s="19"/>
    </row>
    <row r="694" spans="1:4" x14ac:dyDescent="0.3">
      <c r="A694" s="20">
        <v>45454.036111000001</v>
      </c>
      <c r="B694" s="17">
        <v>65.516945000000007</v>
      </c>
      <c r="C694" s="18"/>
      <c r="D694" s="19"/>
    </row>
    <row r="695" spans="1:4" x14ac:dyDescent="0.3">
      <c r="A695" s="20">
        <v>45454.036805999996</v>
      </c>
      <c r="B695" s="17">
        <v>65.139398999999997</v>
      </c>
      <c r="C695" s="18"/>
      <c r="D695" s="19"/>
    </row>
    <row r="696" spans="1:4" x14ac:dyDescent="0.3">
      <c r="A696" s="20">
        <v>45454.037499999999</v>
      </c>
      <c r="B696" s="17">
        <v>65.167833000000002</v>
      </c>
      <c r="C696" s="18"/>
      <c r="D696" s="19"/>
    </row>
    <row r="697" spans="1:4" x14ac:dyDescent="0.3">
      <c r="A697" s="20">
        <v>45454.038194000001</v>
      </c>
      <c r="B697" s="17">
        <v>64.818973</v>
      </c>
      <c r="C697" s="18"/>
      <c r="D697" s="19"/>
    </row>
    <row r="698" spans="1:4" x14ac:dyDescent="0.3">
      <c r="A698" s="20">
        <v>45454.038889000003</v>
      </c>
      <c r="B698" s="17">
        <v>66.234195</v>
      </c>
      <c r="C698" s="18"/>
      <c r="D698" s="19"/>
    </row>
    <row r="699" spans="1:4" x14ac:dyDescent="0.3">
      <c r="A699" s="20">
        <v>45454.039582999998</v>
      </c>
      <c r="B699" s="17">
        <v>64.656305000000003</v>
      </c>
      <c r="C699" s="18"/>
      <c r="D699" s="19"/>
    </row>
    <row r="700" spans="1:4" x14ac:dyDescent="0.3">
      <c r="A700" s="20">
        <v>45454.040278</v>
      </c>
      <c r="B700" s="17">
        <v>66.014853000000002</v>
      </c>
      <c r="C700" s="18"/>
      <c r="D700" s="19"/>
    </row>
    <row r="701" spans="1:4" x14ac:dyDescent="0.3">
      <c r="A701" s="20">
        <v>45454.040972000003</v>
      </c>
      <c r="B701" s="17">
        <v>65.212489000000005</v>
      </c>
      <c r="C701" s="18"/>
      <c r="D701" s="19"/>
    </row>
    <row r="702" spans="1:4" x14ac:dyDescent="0.3">
      <c r="A702" s="20">
        <v>45454.041666999998</v>
      </c>
      <c r="B702" s="17">
        <v>65.819423</v>
      </c>
      <c r="C702" s="18"/>
      <c r="D702" s="19"/>
    </row>
    <row r="703" spans="1:4" x14ac:dyDescent="0.3">
      <c r="A703" s="20">
        <v>45454.042361</v>
      </c>
      <c r="B703" s="17">
        <v>65.949977000000004</v>
      </c>
      <c r="C703" s="18"/>
      <c r="D703" s="19"/>
    </row>
    <row r="704" spans="1:4" x14ac:dyDescent="0.3">
      <c r="A704" s="20">
        <v>45454.043056000002</v>
      </c>
      <c r="B704" s="17">
        <v>65.181432999999998</v>
      </c>
      <c r="C704" s="18"/>
      <c r="D704" s="19"/>
    </row>
    <row r="705" spans="1:4" x14ac:dyDescent="0.3">
      <c r="A705" s="20">
        <v>45454.043749999997</v>
      </c>
      <c r="B705" s="17">
        <v>65.287586000000005</v>
      </c>
      <c r="C705" s="18"/>
      <c r="D705" s="19"/>
    </row>
    <row r="706" spans="1:4" x14ac:dyDescent="0.3">
      <c r="A706" s="20">
        <v>45454.044443999999</v>
      </c>
      <c r="B706" s="17">
        <v>66.647201999999993</v>
      </c>
      <c r="C706" s="18"/>
      <c r="D706" s="19"/>
    </row>
    <row r="707" spans="1:4" x14ac:dyDescent="0.3">
      <c r="A707" s="20">
        <v>45454.045139000002</v>
      </c>
      <c r="B707" s="17">
        <v>72.123367999999999</v>
      </c>
      <c r="C707" s="18"/>
      <c r="D707" s="19"/>
    </row>
    <row r="708" spans="1:4" x14ac:dyDescent="0.3">
      <c r="A708" s="20">
        <v>45454.045832999996</v>
      </c>
      <c r="B708" s="17">
        <v>65.653884000000005</v>
      </c>
      <c r="C708" s="18"/>
      <c r="D708" s="19"/>
    </row>
    <row r="709" spans="1:4" x14ac:dyDescent="0.3">
      <c r="A709" s="20">
        <v>45454.046527999999</v>
      </c>
      <c r="B709" s="17">
        <v>65.006488000000004</v>
      </c>
      <c r="C709" s="18"/>
      <c r="D709" s="19"/>
    </row>
    <row r="710" spans="1:4" x14ac:dyDescent="0.3">
      <c r="A710" s="20">
        <v>45454.047222000001</v>
      </c>
      <c r="B710" s="17">
        <v>66.620087999999996</v>
      </c>
      <c r="C710" s="18"/>
      <c r="D710" s="19"/>
    </row>
    <row r="711" spans="1:4" x14ac:dyDescent="0.3">
      <c r="A711" s="20">
        <v>45454.047917000004</v>
      </c>
      <c r="B711" s="17">
        <v>66.146490999999997</v>
      </c>
      <c r="C711" s="18"/>
      <c r="D711" s="19"/>
    </row>
    <row r="712" spans="1:4" x14ac:dyDescent="0.3">
      <c r="A712" s="20">
        <v>45454.048610999998</v>
      </c>
      <c r="B712" s="17">
        <v>65.151150999999999</v>
      </c>
      <c r="C712" s="18"/>
      <c r="D712" s="19"/>
    </row>
    <row r="713" spans="1:4" x14ac:dyDescent="0.3">
      <c r="A713" s="20">
        <v>45454.049306000001</v>
      </c>
      <c r="B713" s="17">
        <v>65.508152999999993</v>
      </c>
      <c r="C713" s="18"/>
      <c r="D713" s="19"/>
    </row>
    <row r="714" spans="1:4" x14ac:dyDescent="0.3">
      <c r="A714" s="20">
        <v>45454.05</v>
      </c>
      <c r="B714" s="17">
        <v>64.884270000000001</v>
      </c>
      <c r="C714" s="18"/>
      <c r="D714" s="19"/>
    </row>
    <row r="715" spans="1:4" x14ac:dyDescent="0.3">
      <c r="A715" s="20">
        <v>45454.050693999998</v>
      </c>
      <c r="B715" s="17">
        <v>66.058775999999995</v>
      </c>
      <c r="C715" s="18"/>
      <c r="D715" s="19"/>
    </row>
    <row r="716" spans="1:4" x14ac:dyDescent="0.3">
      <c r="A716" s="20">
        <v>45454.051389</v>
      </c>
      <c r="B716" s="17">
        <v>65.832975000000005</v>
      </c>
      <c r="C716" s="18"/>
      <c r="D716" s="19"/>
    </row>
    <row r="717" spans="1:4" x14ac:dyDescent="0.3">
      <c r="A717" s="20">
        <v>45454.052083000002</v>
      </c>
      <c r="B717" s="17">
        <v>64.898933</v>
      </c>
      <c r="C717" s="18"/>
      <c r="D717" s="19"/>
    </row>
    <row r="718" spans="1:4" x14ac:dyDescent="0.3">
      <c r="A718" s="20">
        <v>45454.052777999997</v>
      </c>
      <c r="B718" s="17">
        <v>66.559241999999998</v>
      </c>
      <c r="C718" s="18"/>
      <c r="D718" s="19"/>
    </row>
    <row r="719" spans="1:4" x14ac:dyDescent="0.3">
      <c r="A719" s="20">
        <v>45454.053472</v>
      </c>
      <c r="B719" s="17">
        <v>65.959877000000006</v>
      </c>
      <c r="C719" s="18"/>
      <c r="D719" s="19"/>
    </row>
    <row r="720" spans="1:4" x14ac:dyDescent="0.3">
      <c r="A720" s="20">
        <v>45454.054167000002</v>
      </c>
      <c r="B720" s="17">
        <v>65.609527999999997</v>
      </c>
      <c r="C720" s="18"/>
      <c r="D720" s="19"/>
    </row>
    <row r="721" spans="1:4" x14ac:dyDescent="0.3">
      <c r="A721" s="20">
        <v>45454.054860999997</v>
      </c>
      <c r="B721" s="17">
        <v>65.186273</v>
      </c>
      <c r="C721" s="18"/>
      <c r="D721" s="19"/>
    </row>
    <row r="722" spans="1:4" x14ac:dyDescent="0.3">
      <c r="A722" s="20">
        <v>45454.055555999999</v>
      </c>
      <c r="B722" s="17">
        <v>65.096935000000002</v>
      </c>
      <c r="C722" s="18"/>
      <c r="D722" s="19"/>
    </row>
    <row r="723" spans="1:4" x14ac:dyDescent="0.3">
      <c r="A723" s="20">
        <v>45454.056250000001</v>
      </c>
      <c r="B723" s="17">
        <v>65.981290000000001</v>
      </c>
      <c r="C723" s="18"/>
      <c r="D723" s="19"/>
    </row>
    <row r="724" spans="1:4" x14ac:dyDescent="0.3">
      <c r="A724" s="20">
        <v>45454.056944000004</v>
      </c>
      <c r="B724" s="17">
        <v>65.096131</v>
      </c>
      <c r="C724" s="18"/>
      <c r="D724" s="19"/>
    </row>
    <row r="725" spans="1:4" x14ac:dyDescent="0.3">
      <c r="A725" s="20">
        <v>45454.057638999999</v>
      </c>
      <c r="B725" s="17">
        <v>64.990145999999996</v>
      </c>
      <c r="C725" s="18"/>
      <c r="D725" s="19"/>
    </row>
    <row r="726" spans="1:4" x14ac:dyDescent="0.3">
      <c r="A726" s="20">
        <v>45454.058333000001</v>
      </c>
      <c r="B726" s="17">
        <v>65.252567999999997</v>
      </c>
      <c r="C726" s="18"/>
      <c r="D726" s="19"/>
    </row>
    <row r="727" spans="1:4" x14ac:dyDescent="0.3">
      <c r="A727" s="20">
        <v>45454.059028000003</v>
      </c>
      <c r="B727" s="17">
        <v>66.323034000000007</v>
      </c>
      <c r="C727" s="18"/>
      <c r="D727" s="19"/>
    </row>
    <row r="728" spans="1:4" x14ac:dyDescent="0.3">
      <c r="A728" s="20">
        <v>45454.059721999998</v>
      </c>
      <c r="B728" s="17">
        <v>65.493522999999996</v>
      </c>
      <c r="C728" s="18"/>
      <c r="D728" s="19"/>
    </row>
    <row r="729" spans="1:4" x14ac:dyDescent="0.3">
      <c r="A729" s="20">
        <v>45454.060417000001</v>
      </c>
      <c r="B729" s="17">
        <v>65.453618000000006</v>
      </c>
      <c r="C729" s="18"/>
      <c r="D729" s="19"/>
    </row>
    <row r="730" spans="1:4" x14ac:dyDescent="0.3">
      <c r="A730" s="20">
        <v>45454.061111000003</v>
      </c>
      <c r="B730" s="17">
        <v>64.501904999999994</v>
      </c>
      <c r="C730" s="18"/>
      <c r="D730" s="19"/>
    </row>
    <row r="731" spans="1:4" x14ac:dyDescent="0.3">
      <c r="A731" s="20">
        <v>45454.061805999998</v>
      </c>
      <c r="B731" s="17">
        <v>65.391949999999994</v>
      </c>
      <c r="C731" s="18"/>
      <c r="D731" s="19"/>
    </row>
    <row r="732" spans="1:4" x14ac:dyDescent="0.3">
      <c r="A732" s="20">
        <v>45454.0625</v>
      </c>
      <c r="B732" s="17">
        <v>64.729842000000005</v>
      </c>
      <c r="C732" s="18"/>
      <c r="D732" s="19"/>
    </row>
    <row r="733" spans="1:4" x14ac:dyDescent="0.3">
      <c r="A733" s="20">
        <v>45454.063194000002</v>
      </c>
      <c r="B733" s="17">
        <v>65.116551999999999</v>
      </c>
      <c r="C733" s="18"/>
      <c r="D733" s="19"/>
    </row>
    <row r="734" spans="1:4" x14ac:dyDescent="0.3">
      <c r="A734" s="20">
        <v>45454.063888999997</v>
      </c>
      <c r="B734" s="17">
        <v>64.925143000000006</v>
      </c>
      <c r="C734" s="18"/>
      <c r="D734" s="19"/>
    </row>
    <row r="735" spans="1:4" x14ac:dyDescent="0.3">
      <c r="A735" s="20">
        <v>45454.064582999999</v>
      </c>
      <c r="B735" s="17">
        <v>65.121720999999994</v>
      </c>
      <c r="C735" s="18"/>
      <c r="D735" s="19"/>
    </row>
    <row r="736" spans="1:4" x14ac:dyDescent="0.3">
      <c r="A736" s="20">
        <v>45454.065278000002</v>
      </c>
      <c r="B736" s="17">
        <v>69.576161999999997</v>
      </c>
      <c r="C736" s="18"/>
      <c r="D736" s="19"/>
    </row>
    <row r="737" spans="1:4" x14ac:dyDescent="0.3">
      <c r="A737" s="20">
        <v>45454.065971999997</v>
      </c>
      <c r="B737" s="17">
        <v>69.586681999999996</v>
      </c>
      <c r="C737" s="18"/>
      <c r="D737" s="19"/>
    </row>
    <row r="738" spans="1:4" x14ac:dyDescent="0.3">
      <c r="A738" s="20">
        <v>45454.066666999999</v>
      </c>
      <c r="B738" s="17">
        <v>69.793846000000002</v>
      </c>
      <c r="C738" s="18"/>
      <c r="D738" s="19"/>
    </row>
    <row r="739" spans="1:4" x14ac:dyDescent="0.3">
      <c r="A739" s="20">
        <v>45454.067361000001</v>
      </c>
      <c r="B739" s="17">
        <v>67.485341000000005</v>
      </c>
      <c r="C739" s="18"/>
      <c r="D739" s="19"/>
    </row>
    <row r="740" spans="1:4" x14ac:dyDescent="0.3">
      <c r="A740" s="20">
        <v>45454.068055999996</v>
      </c>
      <c r="B740" s="17">
        <v>73.367318999999995</v>
      </c>
      <c r="C740" s="18"/>
      <c r="D740" s="19"/>
    </row>
    <row r="741" spans="1:4" x14ac:dyDescent="0.3">
      <c r="A741" s="20">
        <v>45454.068749999999</v>
      </c>
      <c r="B741" s="17">
        <v>69.053393</v>
      </c>
      <c r="C741" s="18"/>
      <c r="D741" s="19"/>
    </row>
    <row r="742" spans="1:4" x14ac:dyDescent="0.3">
      <c r="A742" s="20">
        <v>45454.069444000001</v>
      </c>
      <c r="B742" s="17">
        <v>69.803076000000004</v>
      </c>
      <c r="C742" s="18"/>
      <c r="D742" s="19"/>
    </row>
    <row r="743" spans="1:4" x14ac:dyDescent="0.3">
      <c r="A743" s="20">
        <v>45454.070139000003</v>
      </c>
      <c r="B743" s="17">
        <v>69.616152</v>
      </c>
      <c r="C743" s="18"/>
      <c r="D743" s="19"/>
    </row>
    <row r="744" spans="1:4" x14ac:dyDescent="0.3">
      <c r="A744" s="20">
        <v>45454.070832999998</v>
      </c>
      <c r="B744" s="17">
        <v>69.962496000000002</v>
      </c>
      <c r="C744" s="18"/>
      <c r="D744" s="19"/>
    </row>
    <row r="745" spans="1:4" x14ac:dyDescent="0.3">
      <c r="A745" s="20">
        <v>45454.071528</v>
      </c>
      <c r="B745" s="17">
        <v>70.091283000000004</v>
      </c>
      <c r="C745" s="18"/>
      <c r="D745" s="19"/>
    </row>
    <row r="746" spans="1:4" x14ac:dyDescent="0.3">
      <c r="A746" s="20">
        <v>45454.072222000003</v>
      </c>
      <c r="B746" s="17">
        <v>69.444000000000003</v>
      </c>
      <c r="C746" s="18"/>
      <c r="D746" s="19"/>
    </row>
    <row r="747" spans="1:4" x14ac:dyDescent="0.3">
      <c r="A747" s="20">
        <v>45454.072916999998</v>
      </c>
      <c r="B747" s="17">
        <v>69.504390000000001</v>
      </c>
      <c r="C747" s="18"/>
      <c r="D747" s="19"/>
    </row>
    <row r="748" spans="1:4" x14ac:dyDescent="0.3">
      <c r="A748" s="20">
        <v>45454.073611</v>
      </c>
      <c r="B748" s="17">
        <v>70.478240999999997</v>
      </c>
      <c r="C748" s="18"/>
      <c r="D748" s="19"/>
    </row>
    <row r="749" spans="1:4" x14ac:dyDescent="0.3">
      <c r="A749" s="20">
        <v>45454.074306000002</v>
      </c>
      <c r="B749" s="17">
        <v>69.529184999999998</v>
      </c>
      <c r="C749" s="18"/>
      <c r="D749" s="19"/>
    </row>
    <row r="750" spans="1:4" x14ac:dyDescent="0.3">
      <c r="A750" s="20">
        <v>45454.074999999997</v>
      </c>
      <c r="B750" s="17">
        <v>70.553410999999997</v>
      </c>
      <c r="C750" s="18"/>
      <c r="D750" s="19"/>
    </row>
    <row r="751" spans="1:4" x14ac:dyDescent="0.3">
      <c r="A751" s="20">
        <v>45454.075693999999</v>
      </c>
      <c r="B751" s="17">
        <v>69.878203999999997</v>
      </c>
      <c r="C751" s="18"/>
      <c r="D751" s="19"/>
    </row>
    <row r="752" spans="1:4" x14ac:dyDescent="0.3">
      <c r="A752" s="20">
        <v>45454.076389000002</v>
      </c>
      <c r="B752" s="17">
        <v>70.093667999999994</v>
      </c>
      <c r="C752" s="18"/>
      <c r="D752" s="19"/>
    </row>
    <row r="753" spans="1:4" x14ac:dyDescent="0.3">
      <c r="A753" s="20">
        <v>45454.077082999996</v>
      </c>
      <c r="B753" s="17">
        <v>70.002497000000005</v>
      </c>
      <c r="C753" s="18"/>
      <c r="D753" s="19"/>
    </row>
    <row r="754" spans="1:4" x14ac:dyDescent="0.3">
      <c r="A754" s="20">
        <v>45454.077777999999</v>
      </c>
      <c r="B754" s="17">
        <v>70.293077999999994</v>
      </c>
      <c r="C754" s="18"/>
      <c r="D754" s="19"/>
    </row>
    <row r="755" spans="1:4" x14ac:dyDescent="0.3">
      <c r="A755" s="20">
        <v>45454.078472000001</v>
      </c>
      <c r="B755" s="17">
        <v>69.439265000000006</v>
      </c>
      <c r="C755" s="18"/>
      <c r="D755" s="19"/>
    </row>
    <row r="756" spans="1:4" x14ac:dyDescent="0.3">
      <c r="A756" s="20">
        <v>45454.079167000004</v>
      </c>
      <c r="B756" s="17">
        <v>70.126092999999997</v>
      </c>
      <c r="C756" s="18"/>
      <c r="D756" s="19"/>
    </row>
    <row r="757" spans="1:4" x14ac:dyDescent="0.3">
      <c r="A757" s="20">
        <v>45454.079860999998</v>
      </c>
      <c r="B757" s="17">
        <v>68.291830000000004</v>
      </c>
      <c r="C757" s="18"/>
      <c r="D757" s="19"/>
    </row>
    <row r="758" spans="1:4" x14ac:dyDescent="0.3">
      <c r="A758" s="20">
        <v>45454.080556000001</v>
      </c>
      <c r="B758" s="17">
        <v>69.382605999999996</v>
      </c>
      <c r="C758" s="18"/>
      <c r="D758" s="19"/>
    </row>
    <row r="759" spans="1:4" x14ac:dyDescent="0.3">
      <c r="A759" s="20">
        <v>45454.081250000003</v>
      </c>
      <c r="B759" s="17">
        <v>69.996190999999996</v>
      </c>
      <c r="C759" s="18"/>
      <c r="D759" s="19"/>
    </row>
    <row r="760" spans="1:4" x14ac:dyDescent="0.3">
      <c r="A760" s="20">
        <v>45454.081943999998</v>
      </c>
      <c r="B760" s="17">
        <v>69.363213999999999</v>
      </c>
      <c r="C760" s="18"/>
      <c r="D760" s="19"/>
    </row>
    <row r="761" spans="1:4" x14ac:dyDescent="0.3">
      <c r="A761" s="20">
        <v>45454.082639</v>
      </c>
      <c r="B761" s="17">
        <v>69.489761000000001</v>
      </c>
      <c r="C761" s="18"/>
      <c r="D761" s="19"/>
    </row>
    <row r="762" spans="1:4" x14ac:dyDescent="0.3">
      <c r="A762" s="20">
        <v>45454.083333000002</v>
      </c>
      <c r="B762" s="17">
        <v>69.692954999999998</v>
      </c>
      <c r="C762" s="18"/>
      <c r="D762" s="19"/>
    </row>
    <row r="763" spans="1:4" x14ac:dyDescent="0.3">
      <c r="A763" s="20">
        <v>45454.084027999997</v>
      </c>
      <c r="B763" s="17">
        <v>69.882255999999998</v>
      </c>
      <c r="C763" s="18"/>
      <c r="D763" s="19"/>
    </row>
    <row r="764" spans="1:4" x14ac:dyDescent="0.3">
      <c r="A764" s="20">
        <v>45454.084722</v>
      </c>
      <c r="B764" s="17">
        <v>69.590734999999995</v>
      </c>
      <c r="C764" s="18"/>
      <c r="D764" s="19"/>
    </row>
    <row r="765" spans="1:4" x14ac:dyDescent="0.3">
      <c r="A765" s="20">
        <v>45454.085417000002</v>
      </c>
      <c r="B765" s="17">
        <v>68.454537000000002</v>
      </c>
      <c r="C765" s="18"/>
      <c r="D765" s="19"/>
    </row>
    <row r="766" spans="1:4" x14ac:dyDescent="0.3">
      <c r="A766" s="20">
        <v>45454.086110999997</v>
      </c>
      <c r="B766" s="17">
        <v>70.329356000000004</v>
      </c>
      <c r="C766" s="18"/>
      <c r="D766" s="19"/>
    </row>
    <row r="767" spans="1:4" x14ac:dyDescent="0.3">
      <c r="A767" s="20">
        <v>45454.086805999999</v>
      </c>
      <c r="B767" s="17">
        <v>69.316920999999994</v>
      </c>
      <c r="C767" s="18"/>
      <c r="D767" s="19"/>
    </row>
    <row r="768" spans="1:4" x14ac:dyDescent="0.3">
      <c r="A768" s="20">
        <v>45454.087500000001</v>
      </c>
      <c r="B768" s="17">
        <v>68.907223000000002</v>
      </c>
      <c r="C768" s="18"/>
      <c r="D768" s="19"/>
    </row>
    <row r="769" spans="1:4" x14ac:dyDescent="0.3">
      <c r="A769" s="20">
        <v>45454.088194000004</v>
      </c>
      <c r="B769" s="17">
        <v>68.599157000000005</v>
      </c>
      <c r="C769" s="18"/>
      <c r="D769" s="19"/>
    </row>
    <row r="770" spans="1:4" x14ac:dyDescent="0.3">
      <c r="A770" s="20">
        <v>45454.088888999999</v>
      </c>
      <c r="B770" s="17">
        <v>69.951013000000003</v>
      </c>
      <c r="C770" s="18"/>
      <c r="D770" s="19"/>
    </row>
    <row r="771" spans="1:4" x14ac:dyDescent="0.3">
      <c r="A771" s="20">
        <v>45454.089583000001</v>
      </c>
      <c r="B771" s="17">
        <v>69.066689999999994</v>
      </c>
      <c r="C771" s="18"/>
      <c r="D771" s="19"/>
    </row>
    <row r="772" spans="1:4" x14ac:dyDescent="0.3">
      <c r="A772" s="20">
        <v>45454.090278000003</v>
      </c>
      <c r="B772" s="17">
        <v>69.187252999999998</v>
      </c>
      <c r="C772" s="18"/>
      <c r="D772" s="19"/>
    </row>
    <row r="773" spans="1:4" x14ac:dyDescent="0.3">
      <c r="A773" s="20">
        <v>45454.090971999998</v>
      </c>
      <c r="B773" s="17">
        <v>69.484893</v>
      </c>
      <c r="C773" s="18"/>
      <c r="D773" s="19"/>
    </row>
    <row r="774" spans="1:4" x14ac:dyDescent="0.3">
      <c r="A774" s="20">
        <v>45454.091667000001</v>
      </c>
      <c r="B774" s="17">
        <v>68.863632999999993</v>
      </c>
      <c r="C774" s="18"/>
      <c r="D774" s="19"/>
    </row>
    <row r="775" spans="1:4" x14ac:dyDescent="0.3">
      <c r="A775" s="20">
        <v>45454.092361000003</v>
      </c>
      <c r="B775" s="17">
        <v>68.591740000000001</v>
      </c>
      <c r="C775" s="18"/>
      <c r="D775" s="19"/>
    </row>
    <row r="776" spans="1:4" x14ac:dyDescent="0.3">
      <c r="A776" s="20">
        <v>45454.093055999998</v>
      </c>
      <c r="B776" s="17">
        <v>70.173511000000005</v>
      </c>
      <c r="C776" s="18"/>
      <c r="D776" s="19"/>
    </row>
    <row r="777" spans="1:4" x14ac:dyDescent="0.3">
      <c r="A777" s="20">
        <v>45454.09375</v>
      </c>
      <c r="B777" s="17">
        <v>69.094633999999999</v>
      </c>
      <c r="C777" s="18"/>
      <c r="D777" s="19"/>
    </row>
    <row r="778" spans="1:4" x14ac:dyDescent="0.3">
      <c r="A778" s="20">
        <v>45454.094444000002</v>
      </c>
      <c r="B778" s="17">
        <v>69.266537999999997</v>
      </c>
      <c r="C778" s="18"/>
      <c r="D778" s="19"/>
    </row>
    <row r="779" spans="1:4" x14ac:dyDescent="0.3">
      <c r="A779" s="20">
        <v>45454.095138999997</v>
      </c>
      <c r="B779" s="17">
        <v>69.143156000000005</v>
      </c>
      <c r="C779" s="18"/>
      <c r="D779" s="19"/>
    </row>
    <row r="780" spans="1:4" x14ac:dyDescent="0.3">
      <c r="A780" s="20">
        <v>45454.095832999999</v>
      </c>
      <c r="B780" s="17">
        <v>68.950767999999997</v>
      </c>
      <c r="C780" s="18"/>
      <c r="D780" s="19"/>
    </row>
    <row r="781" spans="1:4" x14ac:dyDescent="0.3">
      <c r="A781" s="20">
        <v>45454.096528000002</v>
      </c>
      <c r="B781" s="17">
        <v>68.110226999999995</v>
      </c>
      <c r="C781" s="18"/>
      <c r="D781" s="19"/>
    </row>
    <row r="782" spans="1:4" x14ac:dyDescent="0.3">
      <c r="A782" s="20">
        <v>45454.097221999997</v>
      </c>
      <c r="B782" s="17">
        <v>68.298952999999997</v>
      </c>
      <c r="C782" s="18"/>
      <c r="D782" s="19"/>
    </row>
    <row r="783" spans="1:4" x14ac:dyDescent="0.3">
      <c r="A783" s="20">
        <v>45454.097916999999</v>
      </c>
      <c r="B783" s="17">
        <v>68.917580999999998</v>
      </c>
      <c r="C783" s="18"/>
      <c r="D783" s="19"/>
    </row>
    <row r="784" spans="1:4" x14ac:dyDescent="0.3">
      <c r="A784" s="20">
        <v>45454.098611000001</v>
      </c>
      <c r="B784" s="17">
        <v>68.836416</v>
      </c>
      <c r="C784" s="18"/>
      <c r="D784" s="19"/>
    </row>
    <row r="785" spans="1:4" x14ac:dyDescent="0.3">
      <c r="A785" s="20">
        <v>45454.099305999996</v>
      </c>
      <c r="B785" s="17">
        <v>69.205751000000006</v>
      </c>
      <c r="C785" s="18"/>
      <c r="D785" s="19"/>
    </row>
    <row r="786" spans="1:4" x14ac:dyDescent="0.3">
      <c r="A786" s="20">
        <v>45454.1</v>
      </c>
      <c r="B786" s="17">
        <v>69.213414999999998</v>
      </c>
      <c r="C786" s="18"/>
      <c r="D786" s="19"/>
    </row>
    <row r="787" spans="1:4" x14ac:dyDescent="0.3">
      <c r="A787" s="20">
        <v>45454.100694000001</v>
      </c>
      <c r="B787" s="17">
        <v>69.748401999999999</v>
      </c>
      <c r="C787" s="18"/>
      <c r="D787" s="19"/>
    </row>
    <row r="788" spans="1:4" x14ac:dyDescent="0.3">
      <c r="A788" s="20">
        <v>45454.101389000003</v>
      </c>
      <c r="B788" s="17">
        <v>68.982376000000002</v>
      </c>
      <c r="C788" s="18"/>
      <c r="D788" s="19"/>
    </row>
    <row r="789" spans="1:4" x14ac:dyDescent="0.3">
      <c r="A789" s="20">
        <v>45454.102082999998</v>
      </c>
      <c r="B789" s="17">
        <v>69.981596999999994</v>
      </c>
      <c r="C789" s="18"/>
      <c r="D789" s="19"/>
    </row>
    <row r="790" spans="1:4" x14ac:dyDescent="0.3">
      <c r="A790" s="20">
        <v>45454.102778</v>
      </c>
      <c r="B790" s="17">
        <v>69.204550999999995</v>
      </c>
      <c r="C790" s="18"/>
      <c r="D790" s="19"/>
    </row>
    <row r="791" spans="1:4" x14ac:dyDescent="0.3">
      <c r="A791" s="20">
        <v>45454.103472000003</v>
      </c>
      <c r="B791" s="17">
        <v>68.624589</v>
      </c>
      <c r="C791" s="18"/>
      <c r="D791" s="19"/>
    </row>
    <row r="792" spans="1:4" x14ac:dyDescent="0.3">
      <c r="A792" s="20">
        <v>45454.104166999998</v>
      </c>
      <c r="B792" s="17">
        <v>69.484759999999994</v>
      </c>
      <c r="C792" s="18"/>
      <c r="D792" s="19"/>
    </row>
    <row r="793" spans="1:4" x14ac:dyDescent="0.3">
      <c r="A793" s="20">
        <v>45454.104861</v>
      </c>
      <c r="B793" s="17">
        <v>69.661219000000003</v>
      </c>
      <c r="C793" s="18"/>
      <c r="D793" s="19"/>
    </row>
    <row r="794" spans="1:4" x14ac:dyDescent="0.3">
      <c r="A794" s="20">
        <v>45454.105556000002</v>
      </c>
      <c r="B794" s="17">
        <v>68.051554999999993</v>
      </c>
      <c r="C794" s="18"/>
      <c r="D794" s="19"/>
    </row>
    <row r="795" spans="1:4" x14ac:dyDescent="0.3">
      <c r="A795" s="20">
        <v>45454.106249999997</v>
      </c>
      <c r="B795" s="17">
        <v>69.605703000000005</v>
      </c>
      <c r="C795" s="18"/>
      <c r="D795" s="19"/>
    </row>
    <row r="796" spans="1:4" x14ac:dyDescent="0.3">
      <c r="A796" s="20">
        <v>45454.106943999999</v>
      </c>
      <c r="B796" s="17">
        <v>69.205022999999997</v>
      </c>
      <c r="C796" s="18"/>
      <c r="D796" s="19"/>
    </row>
    <row r="797" spans="1:4" x14ac:dyDescent="0.3">
      <c r="A797" s="20">
        <v>45454.107639000002</v>
      </c>
      <c r="B797" s="17">
        <v>69.147582999999997</v>
      </c>
      <c r="C797" s="18"/>
      <c r="D797" s="19"/>
    </row>
    <row r="798" spans="1:4" x14ac:dyDescent="0.3">
      <c r="A798" s="20">
        <v>45454.108332999996</v>
      </c>
      <c r="B798" s="17">
        <v>69.165336999999994</v>
      </c>
      <c r="C798" s="18"/>
      <c r="D798" s="19"/>
    </row>
    <row r="799" spans="1:4" x14ac:dyDescent="0.3">
      <c r="A799" s="20">
        <v>45454.109027999999</v>
      </c>
      <c r="B799" s="17">
        <v>69.498656999999994</v>
      </c>
      <c r="C799" s="18"/>
      <c r="D799" s="19"/>
    </row>
    <row r="800" spans="1:4" x14ac:dyDescent="0.3">
      <c r="A800" s="20">
        <v>45454.109722000001</v>
      </c>
      <c r="B800" s="17">
        <v>68.967633000000006</v>
      </c>
      <c r="C800" s="18"/>
      <c r="D800" s="19"/>
    </row>
    <row r="801" spans="1:4" x14ac:dyDescent="0.3">
      <c r="A801" s="20">
        <v>45454.110417000004</v>
      </c>
      <c r="B801" s="17">
        <v>68.333865000000003</v>
      </c>
      <c r="C801" s="18"/>
      <c r="D801" s="19"/>
    </row>
    <row r="802" spans="1:4" x14ac:dyDescent="0.3">
      <c r="A802" s="20">
        <v>45454.111110999998</v>
      </c>
      <c r="B802" s="17">
        <v>68.670202000000003</v>
      </c>
      <c r="C802" s="18"/>
      <c r="D802" s="19"/>
    </row>
    <row r="803" spans="1:4" x14ac:dyDescent="0.3">
      <c r="A803" s="20">
        <v>45454.111806000001</v>
      </c>
      <c r="B803" s="17">
        <v>70.217027999999999</v>
      </c>
      <c r="C803" s="18"/>
      <c r="D803" s="19"/>
    </row>
    <row r="804" spans="1:4" x14ac:dyDescent="0.3">
      <c r="A804" s="20">
        <v>45454.112500000003</v>
      </c>
      <c r="B804" s="17">
        <v>69.148132000000004</v>
      </c>
      <c r="C804" s="18"/>
      <c r="D804" s="19"/>
    </row>
    <row r="805" spans="1:4" x14ac:dyDescent="0.3">
      <c r="A805" s="20">
        <v>45454.113193999998</v>
      </c>
      <c r="B805" s="17">
        <v>69.256400999999997</v>
      </c>
      <c r="C805" s="18"/>
      <c r="D805" s="19"/>
    </row>
    <row r="806" spans="1:4" x14ac:dyDescent="0.3">
      <c r="A806" s="20">
        <v>45454.113889</v>
      </c>
      <c r="B806" s="17">
        <v>68.028845000000004</v>
      </c>
      <c r="C806" s="18"/>
      <c r="D806" s="19"/>
    </row>
    <row r="807" spans="1:4" x14ac:dyDescent="0.3">
      <c r="A807" s="20">
        <v>45454.114583000002</v>
      </c>
      <c r="B807" s="17">
        <v>68.664928000000003</v>
      </c>
      <c r="C807" s="18"/>
      <c r="D807" s="19"/>
    </row>
    <row r="808" spans="1:4" x14ac:dyDescent="0.3">
      <c r="A808" s="20">
        <v>45454.115277999997</v>
      </c>
      <c r="B808" s="17">
        <v>69.126097000000001</v>
      </c>
      <c r="C808" s="18"/>
      <c r="D808" s="19"/>
    </row>
    <row r="809" spans="1:4" x14ac:dyDescent="0.3">
      <c r="A809" s="20">
        <v>45454.115972</v>
      </c>
      <c r="B809" s="17">
        <v>69.547987000000006</v>
      </c>
      <c r="C809" s="18"/>
      <c r="D809" s="19"/>
    </row>
    <row r="810" spans="1:4" x14ac:dyDescent="0.3">
      <c r="A810" s="20">
        <v>45454.116667000002</v>
      </c>
      <c r="B810" s="17">
        <v>69.177310000000006</v>
      </c>
      <c r="C810" s="18"/>
      <c r="D810" s="19"/>
    </row>
    <row r="811" spans="1:4" x14ac:dyDescent="0.3">
      <c r="A811" s="20">
        <v>45454.117360999997</v>
      </c>
      <c r="B811" s="17">
        <v>68.365364</v>
      </c>
      <c r="C811" s="18"/>
      <c r="D811" s="19"/>
    </row>
    <row r="812" spans="1:4" x14ac:dyDescent="0.3">
      <c r="A812" s="20">
        <v>45454.118055999999</v>
      </c>
      <c r="B812" s="17">
        <v>69.681054000000003</v>
      </c>
      <c r="C812" s="18"/>
      <c r="D812" s="19"/>
    </row>
    <row r="813" spans="1:4" x14ac:dyDescent="0.3">
      <c r="A813" s="20">
        <v>45454.118750000001</v>
      </c>
      <c r="B813" s="17">
        <v>69.175962999999996</v>
      </c>
      <c r="C813" s="18"/>
      <c r="D813" s="19"/>
    </row>
    <row r="814" spans="1:4" x14ac:dyDescent="0.3">
      <c r="A814" s="20">
        <v>45454.119444000004</v>
      </c>
      <c r="B814" s="17">
        <v>69.333381000000003</v>
      </c>
      <c r="C814" s="18"/>
      <c r="D814" s="19"/>
    </row>
    <row r="815" spans="1:4" x14ac:dyDescent="0.3">
      <c r="A815" s="20">
        <v>45454.120138999999</v>
      </c>
      <c r="B815" s="17">
        <v>69.343278999999995</v>
      </c>
      <c r="C815" s="18"/>
      <c r="D815" s="19"/>
    </row>
    <row r="816" spans="1:4" x14ac:dyDescent="0.3">
      <c r="A816" s="20">
        <v>45454.120833000001</v>
      </c>
      <c r="B816" s="17">
        <v>69.322498999999993</v>
      </c>
      <c r="C816" s="18"/>
      <c r="D816" s="19"/>
    </row>
    <row r="817" spans="1:4" x14ac:dyDescent="0.3">
      <c r="A817" s="20">
        <v>45454.121528000003</v>
      </c>
      <c r="B817" s="17">
        <v>69.036383000000001</v>
      </c>
      <c r="C817" s="18"/>
      <c r="D817" s="19"/>
    </row>
    <row r="818" spans="1:4" x14ac:dyDescent="0.3">
      <c r="A818" s="20">
        <v>45454.122221999998</v>
      </c>
      <c r="B818" s="17">
        <v>70.010208000000006</v>
      </c>
      <c r="C818" s="18"/>
      <c r="D818" s="19"/>
    </row>
    <row r="819" spans="1:4" x14ac:dyDescent="0.3">
      <c r="A819" s="20">
        <v>45454.122917000001</v>
      </c>
      <c r="B819" s="17">
        <v>69.048447999999993</v>
      </c>
      <c r="C819" s="18"/>
      <c r="D819" s="19"/>
    </row>
    <row r="820" spans="1:4" x14ac:dyDescent="0.3">
      <c r="A820" s="20">
        <v>45454.123611000003</v>
      </c>
      <c r="B820" s="17">
        <v>69.275621999999998</v>
      </c>
      <c r="C820" s="18"/>
      <c r="D820" s="19"/>
    </row>
    <row r="821" spans="1:4" x14ac:dyDescent="0.3">
      <c r="A821" s="20">
        <v>45454.124305999998</v>
      </c>
      <c r="B821" s="17">
        <v>69.002157999999994</v>
      </c>
      <c r="C821" s="18"/>
      <c r="D821" s="19"/>
    </row>
    <row r="822" spans="1:4" x14ac:dyDescent="0.3">
      <c r="A822" s="20">
        <v>45454.125</v>
      </c>
      <c r="B822" s="17">
        <v>68.215649999999997</v>
      </c>
      <c r="C822" s="18"/>
      <c r="D822" s="19"/>
    </row>
    <row r="823" spans="1:4" x14ac:dyDescent="0.3">
      <c r="A823" s="20">
        <v>45454.125694000002</v>
      </c>
      <c r="B823" s="17">
        <v>68.122570999999994</v>
      </c>
      <c r="C823" s="18"/>
      <c r="D823" s="19"/>
    </row>
    <row r="824" spans="1:4" x14ac:dyDescent="0.3">
      <c r="A824" s="20">
        <v>45454.126388999997</v>
      </c>
      <c r="B824" s="17">
        <v>69.065977000000004</v>
      </c>
      <c r="C824" s="18"/>
      <c r="D824" s="19"/>
    </row>
    <row r="825" spans="1:4" x14ac:dyDescent="0.3">
      <c r="A825" s="20">
        <v>45454.127082999999</v>
      </c>
      <c r="B825" s="17">
        <v>68.456913</v>
      </c>
      <c r="C825" s="18"/>
      <c r="D825" s="19"/>
    </row>
    <row r="826" spans="1:4" x14ac:dyDescent="0.3">
      <c r="A826" s="20">
        <v>45454.127778000002</v>
      </c>
      <c r="B826" s="17">
        <v>68.846301999999994</v>
      </c>
      <c r="C826" s="18"/>
      <c r="D826" s="19"/>
    </row>
    <row r="827" spans="1:4" x14ac:dyDescent="0.3">
      <c r="A827" s="20">
        <v>45454.128471999997</v>
      </c>
      <c r="B827" s="17">
        <v>69.657466999999997</v>
      </c>
      <c r="C827" s="18"/>
      <c r="D827" s="19"/>
    </row>
    <row r="828" spans="1:4" x14ac:dyDescent="0.3">
      <c r="A828" s="20">
        <v>45454.129166999999</v>
      </c>
      <c r="B828" s="17">
        <v>68.669702999999998</v>
      </c>
      <c r="C828" s="18"/>
      <c r="D828" s="19"/>
    </row>
    <row r="829" spans="1:4" x14ac:dyDescent="0.3">
      <c r="A829" s="20">
        <v>45454.129861000001</v>
      </c>
      <c r="B829" s="17">
        <v>69.701267000000001</v>
      </c>
      <c r="C829" s="18"/>
      <c r="D829" s="19"/>
    </row>
    <row r="830" spans="1:4" x14ac:dyDescent="0.3">
      <c r="A830" s="20">
        <v>45454.130555999996</v>
      </c>
      <c r="B830" s="17">
        <v>68.759619999999998</v>
      </c>
      <c r="C830" s="18"/>
      <c r="D830" s="19"/>
    </row>
    <row r="831" spans="1:4" x14ac:dyDescent="0.3">
      <c r="A831" s="20">
        <v>45454.131249999999</v>
      </c>
      <c r="B831" s="17">
        <v>68.556239000000005</v>
      </c>
      <c r="C831" s="18"/>
      <c r="D831" s="19"/>
    </row>
    <row r="832" spans="1:4" x14ac:dyDescent="0.3">
      <c r="A832" s="20">
        <v>45454.131944000001</v>
      </c>
      <c r="B832" s="17">
        <v>68.784308999999993</v>
      </c>
      <c r="C832" s="18"/>
      <c r="D832" s="19"/>
    </row>
    <row r="833" spans="1:4" x14ac:dyDescent="0.3">
      <c r="A833" s="20">
        <v>45454.132639000003</v>
      </c>
      <c r="B833" s="17">
        <v>68.550257000000002</v>
      </c>
      <c r="C833" s="18"/>
      <c r="D833" s="19"/>
    </row>
    <row r="834" spans="1:4" x14ac:dyDescent="0.3">
      <c r="A834" s="20">
        <v>45454.133332999998</v>
      </c>
      <c r="B834" s="17">
        <v>68.809513999999993</v>
      </c>
      <c r="C834" s="18"/>
      <c r="D834" s="19"/>
    </row>
    <row r="835" spans="1:4" x14ac:dyDescent="0.3">
      <c r="A835" s="20">
        <v>45454.134028</v>
      </c>
      <c r="B835" s="17">
        <v>67.902767999999995</v>
      </c>
      <c r="C835" s="18"/>
      <c r="D835" s="19"/>
    </row>
    <row r="836" spans="1:4" x14ac:dyDescent="0.3">
      <c r="A836" s="20">
        <v>45454.134722000003</v>
      </c>
      <c r="B836" s="17">
        <v>69.322092999999995</v>
      </c>
      <c r="C836" s="18"/>
      <c r="D836" s="19"/>
    </row>
    <row r="837" spans="1:4" x14ac:dyDescent="0.3">
      <c r="A837" s="20">
        <v>45454.135416999998</v>
      </c>
      <c r="B837" s="17">
        <v>69.874647999999993</v>
      </c>
      <c r="C837" s="18"/>
      <c r="D837" s="19"/>
    </row>
    <row r="838" spans="1:4" x14ac:dyDescent="0.3">
      <c r="A838" s="20">
        <v>45454.136111</v>
      </c>
      <c r="B838" s="17">
        <v>68.817014999999998</v>
      </c>
      <c r="C838" s="18"/>
      <c r="D838" s="19"/>
    </row>
    <row r="839" spans="1:4" x14ac:dyDescent="0.3">
      <c r="A839" s="20">
        <v>45454.136806000002</v>
      </c>
      <c r="B839" s="17">
        <v>68.592671999999993</v>
      </c>
      <c r="C839" s="18"/>
      <c r="D839" s="19"/>
    </row>
    <row r="840" spans="1:4" x14ac:dyDescent="0.3">
      <c r="A840" s="20">
        <v>45454.137499999997</v>
      </c>
      <c r="B840" s="17">
        <v>68.936944999999994</v>
      </c>
      <c r="C840" s="18"/>
      <c r="D840" s="19"/>
    </row>
    <row r="841" spans="1:4" x14ac:dyDescent="0.3">
      <c r="A841" s="20">
        <v>45454.138193999999</v>
      </c>
      <c r="B841" s="17">
        <v>69.118987000000004</v>
      </c>
      <c r="C841" s="18"/>
      <c r="D841" s="19"/>
    </row>
    <row r="842" spans="1:4" x14ac:dyDescent="0.3">
      <c r="A842" s="20">
        <v>45454.138889000002</v>
      </c>
      <c r="B842" s="17">
        <v>68.408936999999995</v>
      </c>
      <c r="C842" s="18"/>
      <c r="D842" s="19"/>
    </row>
    <row r="843" spans="1:4" x14ac:dyDescent="0.3">
      <c r="A843" s="20">
        <v>45454.139582999996</v>
      </c>
      <c r="B843" s="17">
        <v>69.060250999999994</v>
      </c>
      <c r="C843" s="18"/>
      <c r="D843" s="19"/>
    </row>
    <row r="844" spans="1:4" x14ac:dyDescent="0.3">
      <c r="A844" s="20">
        <v>45454.140277999999</v>
      </c>
      <c r="B844" s="17">
        <v>67.581258000000005</v>
      </c>
      <c r="C844" s="18"/>
      <c r="D844" s="19"/>
    </row>
    <row r="845" spans="1:4" x14ac:dyDescent="0.3">
      <c r="A845" s="20">
        <v>45454.140972000001</v>
      </c>
      <c r="B845" s="17">
        <v>68.794971000000004</v>
      </c>
      <c r="C845" s="18"/>
      <c r="D845" s="19"/>
    </row>
    <row r="846" spans="1:4" x14ac:dyDescent="0.3">
      <c r="A846" s="20">
        <v>45454.141667000004</v>
      </c>
      <c r="B846" s="17">
        <v>68.941666999999995</v>
      </c>
      <c r="C846" s="18"/>
      <c r="D846" s="19"/>
    </row>
    <row r="847" spans="1:4" x14ac:dyDescent="0.3">
      <c r="A847" s="20">
        <v>45454.142360999998</v>
      </c>
      <c r="B847" s="17">
        <v>70.008658999999994</v>
      </c>
      <c r="C847" s="18"/>
      <c r="D847" s="19"/>
    </row>
    <row r="848" spans="1:4" x14ac:dyDescent="0.3">
      <c r="A848" s="20">
        <v>45454.143056000001</v>
      </c>
      <c r="B848" s="17">
        <v>69.606348999999994</v>
      </c>
      <c r="C848" s="18"/>
      <c r="D848" s="19"/>
    </row>
    <row r="849" spans="1:4" x14ac:dyDescent="0.3">
      <c r="A849" s="20">
        <v>45454.143750000003</v>
      </c>
      <c r="B849" s="17">
        <v>68.321669999999997</v>
      </c>
      <c r="C849" s="18"/>
      <c r="D849" s="19"/>
    </row>
    <row r="850" spans="1:4" x14ac:dyDescent="0.3">
      <c r="A850" s="20">
        <v>45454.144443999998</v>
      </c>
      <c r="B850" s="17">
        <v>67.429571999999993</v>
      </c>
      <c r="C850" s="18"/>
      <c r="D850" s="19"/>
    </row>
    <row r="851" spans="1:4" x14ac:dyDescent="0.3">
      <c r="A851" s="20">
        <v>45454.145139</v>
      </c>
      <c r="B851" s="17">
        <v>69.115986000000007</v>
      </c>
      <c r="C851" s="18"/>
      <c r="D851" s="19"/>
    </row>
    <row r="852" spans="1:4" x14ac:dyDescent="0.3">
      <c r="A852" s="20">
        <v>45454.145833000002</v>
      </c>
      <c r="B852" s="17">
        <v>68.442555999999996</v>
      </c>
      <c r="C852" s="18"/>
      <c r="D852" s="19"/>
    </row>
    <row r="853" spans="1:4" x14ac:dyDescent="0.3">
      <c r="A853" s="20">
        <v>45454.146527999997</v>
      </c>
      <c r="B853" s="17">
        <v>68.950013999999996</v>
      </c>
      <c r="C853" s="18"/>
      <c r="D853" s="19"/>
    </row>
    <row r="854" spans="1:4" x14ac:dyDescent="0.3">
      <c r="A854" s="20">
        <v>45454.147222</v>
      </c>
      <c r="B854" s="17">
        <v>69.102078000000006</v>
      </c>
      <c r="C854" s="18"/>
      <c r="D854" s="19"/>
    </row>
    <row r="855" spans="1:4" x14ac:dyDescent="0.3">
      <c r="A855" s="20">
        <v>45454.147917000002</v>
      </c>
      <c r="B855" s="17">
        <v>69.614255</v>
      </c>
      <c r="C855" s="18"/>
      <c r="D855" s="19"/>
    </row>
    <row r="856" spans="1:4" x14ac:dyDescent="0.3">
      <c r="A856" s="20">
        <v>45454.148610999997</v>
      </c>
      <c r="B856" s="17">
        <v>78.939528999999993</v>
      </c>
      <c r="C856" s="18"/>
      <c r="D856" s="19"/>
    </row>
    <row r="857" spans="1:4" x14ac:dyDescent="0.3">
      <c r="A857" s="20">
        <v>45454.149305999999</v>
      </c>
      <c r="B857" s="17">
        <v>79.182479999999998</v>
      </c>
      <c r="C857" s="18"/>
      <c r="D857" s="19"/>
    </row>
    <row r="858" spans="1:4" x14ac:dyDescent="0.3">
      <c r="A858" s="20">
        <v>45454.15</v>
      </c>
      <c r="B858" s="17">
        <v>79.683306999999999</v>
      </c>
      <c r="C858" s="18"/>
      <c r="D858" s="19"/>
    </row>
    <row r="859" spans="1:4" x14ac:dyDescent="0.3">
      <c r="A859" s="20">
        <v>45454.150694000004</v>
      </c>
      <c r="B859" s="17">
        <v>79.254239999999996</v>
      </c>
      <c r="C859" s="18"/>
      <c r="D859" s="19"/>
    </row>
    <row r="860" spans="1:4" x14ac:dyDescent="0.3">
      <c r="A860" s="20">
        <v>45454.151388999999</v>
      </c>
      <c r="B860" s="17">
        <v>78.986434000000003</v>
      </c>
      <c r="C860" s="18"/>
      <c r="D860" s="19"/>
    </row>
    <row r="861" spans="1:4" x14ac:dyDescent="0.3">
      <c r="A861" s="20">
        <v>45454.152083000001</v>
      </c>
      <c r="B861" s="17">
        <v>78.727548999999996</v>
      </c>
      <c r="C861" s="18"/>
      <c r="D861" s="19"/>
    </row>
    <row r="862" spans="1:4" x14ac:dyDescent="0.3">
      <c r="A862" s="20">
        <v>45454.152778000003</v>
      </c>
      <c r="B862" s="17">
        <v>79.148228000000003</v>
      </c>
      <c r="C862" s="18"/>
      <c r="D862" s="19"/>
    </row>
    <row r="863" spans="1:4" x14ac:dyDescent="0.3">
      <c r="A863" s="20">
        <v>45454.153471999998</v>
      </c>
      <c r="B863" s="17">
        <v>78.964979</v>
      </c>
      <c r="C863" s="18"/>
      <c r="D863" s="19"/>
    </row>
    <row r="864" spans="1:4" x14ac:dyDescent="0.3">
      <c r="A864" s="20">
        <v>45454.154167000001</v>
      </c>
      <c r="B864" s="17">
        <v>80.010362999999998</v>
      </c>
      <c r="C864" s="18"/>
      <c r="D864" s="19"/>
    </row>
    <row r="865" spans="1:4" x14ac:dyDescent="0.3">
      <c r="A865" s="20">
        <v>45454.154861000003</v>
      </c>
      <c r="B865" s="17">
        <v>78.406537</v>
      </c>
      <c r="C865" s="18"/>
      <c r="D865" s="19"/>
    </row>
    <row r="866" spans="1:4" x14ac:dyDescent="0.3">
      <c r="A866" s="20">
        <v>45454.155555999998</v>
      </c>
      <c r="B866" s="17">
        <v>78.755562999999995</v>
      </c>
      <c r="C866" s="18"/>
      <c r="D866" s="19"/>
    </row>
    <row r="867" spans="1:4" x14ac:dyDescent="0.3">
      <c r="A867" s="20">
        <v>45454.15625</v>
      </c>
      <c r="B867" s="17">
        <v>78.121047000000004</v>
      </c>
      <c r="C867" s="18"/>
      <c r="D867" s="19"/>
    </row>
    <row r="868" spans="1:4" x14ac:dyDescent="0.3">
      <c r="A868" s="20">
        <v>45454.156944000002</v>
      </c>
      <c r="B868" s="17">
        <v>78.167152999999999</v>
      </c>
      <c r="C868" s="18"/>
      <c r="D868" s="19"/>
    </row>
    <row r="869" spans="1:4" x14ac:dyDescent="0.3">
      <c r="A869" s="20">
        <v>45454.157638999997</v>
      </c>
      <c r="B869" s="17">
        <v>80.395775999999998</v>
      </c>
      <c r="C869" s="18"/>
      <c r="D869" s="19"/>
    </row>
    <row r="870" spans="1:4" x14ac:dyDescent="0.3">
      <c r="A870" s="20">
        <v>45454.158332999999</v>
      </c>
      <c r="B870" s="17">
        <v>79.110898000000006</v>
      </c>
      <c r="C870" s="18"/>
      <c r="D870" s="19"/>
    </row>
    <row r="871" spans="1:4" x14ac:dyDescent="0.3">
      <c r="A871" s="20">
        <v>45454.159028000002</v>
      </c>
      <c r="B871" s="17">
        <v>79.361502000000002</v>
      </c>
      <c r="C871" s="18"/>
      <c r="D871" s="19"/>
    </row>
    <row r="872" spans="1:4" x14ac:dyDescent="0.3">
      <c r="A872" s="20">
        <v>45454.159721999997</v>
      </c>
      <c r="B872" s="17">
        <v>78.914527000000007</v>
      </c>
      <c r="C872" s="18"/>
      <c r="D872" s="19"/>
    </row>
    <row r="873" spans="1:4" x14ac:dyDescent="0.3">
      <c r="A873" s="20">
        <v>45454.160416999999</v>
      </c>
      <c r="B873" s="17">
        <v>78.417952</v>
      </c>
      <c r="C873" s="18"/>
      <c r="D873" s="19"/>
    </row>
    <row r="874" spans="1:4" x14ac:dyDescent="0.3">
      <c r="A874" s="20">
        <v>45454.161111000001</v>
      </c>
      <c r="B874" s="17">
        <v>78.820588999999998</v>
      </c>
      <c r="C874" s="18"/>
      <c r="D874" s="19"/>
    </row>
    <row r="875" spans="1:4" x14ac:dyDescent="0.3">
      <c r="A875" s="20">
        <v>45454.161805999996</v>
      </c>
      <c r="B875" s="17">
        <v>79.137124</v>
      </c>
      <c r="C875" s="18"/>
      <c r="D875" s="19"/>
    </row>
    <row r="876" spans="1:4" x14ac:dyDescent="0.3">
      <c r="A876" s="20">
        <v>45454.162499999999</v>
      </c>
      <c r="B876" s="17">
        <v>78.49879</v>
      </c>
      <c r="C876" s="18"/>
      <c r="D876" s="19"/>
    </row>
    <row r="877" spans="1:4" x14ac:dyDescent="0.3">
      <c r="A877" s="20">
        <v>45454.163194000001</v>
      </c>
      <c r="B877" s="17">
        <v>79.464939000000001</v>
      </c>
      <c r="C877" s="18"/>
      <c r="D877" s="19"/>
    </row>
    <row r="878" spans="1:4" x14ac:dyDescent="0.3">
      <c r="A878" s="20">
        <v>45454.163889000003</v>
      </c>
      <c r="B878" s="17">
        <v>78.838577000000001</v>
      </c>
      <c r="C878" s="18"/>
      <c r="D878" s="19"/>
    </row>
    <row r="879" spans="1:4" x14ac:dyDescent="0.3">
      <c r="A879" s="20">
        <v>45454.164582999998</v>
      </c>
      <c r="B879" s="17">
        <v>79.395551999999995</v>
      </c>
      <c r="C879" s="18"/>
      <c r="D879" s="19"/>
    </row>
    <row r="880" spans="1:4" x14ac:dyDescent="0.3">
      <c r="A880" s="20">
        <v>45454.165278</v>
      </c>
      <c r="B880" s="17">
        <v>79.356267000000003</v>
      </c>
      <c r="C880" s="18"/>
      <c r="D880" s="19"/>
    </row>
    <row r="881" spans="1:4" x14ac:dyDescent="0.3">
      <c r="A881" s="20">
        <v>45454.165972000003</v>
      </c>
      <c r="B881" s="17">
        <v>79.368655000000004</v>
      </c>
      <c r="C881" s="18"/>
      <c r="D881" s="19"/>
    </row>
    <row r="882" spans="1:4" x14ac:dyDescent="0.3">
      <c r="A882" s="20">
        <v>45454.166666999998</v>
      </c>
      <c r="B882" s="17">
        <v>79.496397000000002</v>
      </c>
      <c r="C882" s="18"/>
      <c r="D882" s="19"/>
    </row>
    <row r="883" spans="1:4" x14ac:dyDescent="0.3">
      <c r="A883" s="20">
        <v>45454.167361</v>
      </c>
      <c r="B883" s="17">
        <v>79.403730999999993</v>
      </c>
      <c r="C883" s="18"/>
      <c r="D883" s="19"/>
    </row>
    <row r="884" spans="1:4" x14ac:dyDescent="0.3">
      <c r="A884" s="20">
        <v>45454.168056000002</v>
      </c>
      <c r="B884" s="17">
        <v>79.878118999999998</v>
      </c>
      <c r="C884" s="18"/>
      <c r="D884" s="19"/>
    </row>
    <row r="885" spans="1:4" x14ac:dyDescent="0.3">
      <c r="A885" s="20">
        <v>45454.168749999997</v>
      </c>
      <c r="B885" s="17">
        <v>78.256030999999993</v>
      </c>
      <c r="C885" s="18"/>
      <c r="D885" s="19"/>
    </row>
    <row r="886" spans="1:4" x14ac:dyDescent="0.3">
      <c r="A886" s="20">
        <v>45454.169443999999</v>
      </c>
      <c r="B886" s="17">
        <v>78.645651999999998</v>
      </c>
      <c r="C886" s="18"/>
      <c r="D886" s="19"/>
    </row>
    <row r="887" spans="1:4" x14ac:dyDescent="0.3">
      <c r="A887" s="20">
        <v>45454.170139000002</v>
      </c>
      <c r="B887" s="17">
        <v>78.941332000000003</v>
      </c>
      <c r="C887" s="18"/>
      <c r="D887" s="19"/>
    </row>
    <row r="888" spans="1:4" x14ac:dyDescent="0.3">
      <c r="A888" s="20">
        <v>45454.170832999996</v>
      </c>
      <c r="B888" s="17">
        <v>78.904351000000005</v>
      </c>
      <c r="C888" s="18"/>
      <c r="D888" s="19"/>
    </row>
    <row r="889" spans="1:4" x14ac:dyDescent="0.3">
      <c r="A889" s="20">
        <v>45454.171527999999</v>
      </c>
      <c r="B889" s="17">
        <v>77.824759999999998</v>
      </c>
      <c r="C889" s="18"/>
      <c r="D889" s="19"/>
    </row>
    <row r="890" spans="1:4" x14ac:dyDescent="0.3">
      <c r="A890" s="20">
        <v>45454.172222000001</v>
      </c>
      <c r="B890" s="17">
        <v>79.137217000000007</v>
      </c>
      <c r="C890" s="18"/>
      <c r="D890" s="19"/>
    </row>
    <row r="891" spans="1:4" x14ac:dyDescent="0.3">
      <c r="A891" s="20">
        <v>45454.172917000004</v>
      </c>
      <c r="B891" s="17">
        <v>78.599726000000004</v>
      </c>
      <c r="C891" s="18"/>
      <c r="D891" s="19"/>
    </row>
    <row r="892" spans="1:4" x14ac:dyDescent="0.3">
      <c r="A892" s="20">
        <v>45454.173610999998</v>
      </c>
      <c r="B892" s="17">
        <v>78.418340999999998</v>
      </c>
      <c r="C892" s="18"/>
      <c r="D892" s="19"/>
    </row>
    <row r="893" spans="1:4" x14ac:dyDescent="0.3">
      <c r="A893" s="20">
        <v>45454.174306000001</v>
      </c>
      <c r="B893" s="17">
        <v>78.667489000000003</v>
      </c>
      <c r="C893" s="18"/>
      <c r="D893" s="19"/>
    </row>
    <row r="894" spans="1:4" x14ac:dyDescent="0.3">
      <c r="A894" s="20">
        <v>45454.175000000003</v>
      </c>
      <c r="B894" s="17">
        <v>77.439407000000003</v>
      </c>
      <c r="C894" s="18"/>
      <c r="D894" s="19"/>
    </row>
    <row r="895" spans="1:4" x14ac:dyDescent="0.3">
      <c r="A895" s="20">
        <v>45454.175693999998</v>
      </c>
      <c r="B895" s="17">
        <v>77.529398</v>
      </c>
      <c r="C895" s="18"/>
      <c r="D895" s="19"/>
    </row>
    <row r="896" spans="1:4" x14ac:dyDescent="0.3">
      <c r="A896" s="20">
        <v>45454.176389</v>
      </c>
      <c r="B896" s="17">
        <v>78.622544000000005</v>
      </c>
      <c r="C896" s="18"/>
      <c r="D896" s="19"/>
    </row>
    <row r="897" spans="1:4" x14ac:dyDescent="0.3">
      <c r="A897" s="20">
        <v>45454.177083000002</v>
      </c>
      <c r="B897" s="17">
        <v>78.762891999999994</v>
      </c>
      <c r="C897" s="18"/>
      <c r="D897" s="19"/>
    </row>
    <row r="898" spans="1:4" x14ac:dyDescent="0.3">
      <c r="A898" s="20">
        <v>45454.177777999997</v>
      </c>
      <c r="B898" s="17">
        <v>78.474996000000004</v>
      </c>
      <c r="C898" s="18"/>
      <c r="D898" s="19"/>
    </row>
    <row r="899" spans="1:4" x14ac:dyDescent="0.3">
      <c r="A899" s="20">
        <v>45454.178472</v>
      </c>
      <c r="B899" s="17">
        <v>77.485782</v>
      </c>
      <c r="C899" s="18"/>
      <c r="D899" s="19"/>
    </row>
    <row r="900" spans="1:4" x14ac:dyDescent="0.3">
      <c r="A900" s="20">
        <v>45454.179167000002</v>
      </c>
      <c r="B900" s="17">
        <v>78.203008999999994</v>
      </c>
      <c r="C900" s="18"/>
      <c r="D900" s="19"/>
    </row>
    <row r="901" spans="1:4" x14ac:dyDescent="0.3">
      <c r="A901" s="20">
        <v>45454.179860999997</v>
      </c>
      <c r="B901" s="17">
        <v>78.365962999999994</v>
      </c>
      <c r="C901" s="18"/>
      <c r="D901" s="19"/>
    </row>
    <row r="902" spans="1:4" x14ac:dyDescent="0.3">
      <c r="A902" s="20">
        <v>45454.180555999999</v>
      </c>
      <c r="B902" s="17">
        <v>77.925450999999995</v>
      </c>
      <c r="C902" s="18"/>
      <c r="D902" s="19"/>
    </row>
    <row r="903" spans="1:4" x14ac:dyDescent="0.3">
      <c r="A903" s="20">
        <v>45454.181250000001</v>
      </c>
      <c r="B903" s="17">
        <v>77.928043000000002</v>
      </c>
      <c r="C903" s="18"/>
      <c r="D903" s="19"/>
    </row>
    <row r="904" spans="1:4" x14ac:dyDescent="0.3">
      <c r="A904" s="20">
        <v>45454.181944000004</v>
      </c>
      <c r="B904" s="17">
        <v>77.836613999999997</v>
      </c>
      <c r="C904" s="18"/>
      <c r="D904" s="19"/>
    </row>
    <row r="905" spans="1:4" x14ac:dyDescent="0.3">
      <c r="A905" s="20">
        <v>45454.182638999999</v>
      </c>
      <c r="B905" s="17">
        <v>77.880735000000001</v>
      </c>
      <c r="C905" s="18"/>
      <c r="D905" s="19"/>
    </row>
    <row r="906" spans="1:4" x14ac:dyDescent="0.3">
      <c r="A906" s="20">
        <v>45454.183333000001</v>
      </c>
      <c r="B906" s="17">
        <v>78.788888</v>
      </c>
      <c r="C906" s="18"/>
      <c r="D906" s="19"/>
    </row>
    <row r="907" spans="1:4" x14ac:dyDescent="0.3">
      <c r="A907" s="20">
        <v>45454.184028000003</v>
      </c>
      <c r="B907" s="17">
        <v>78.202016999999998</v>
      </c>
      <c r="C907" s="18"/>
      <c r="D907" s="19"/>
    </row>
    <row r="908" spans="1:4" x14ac:dyDescent="0.3">
      <c r="A908" s="20">
        <v>45454.184721999998</v>
      </c>
      <c r="B908" s="17">
        <v>77.953635000000006</v>
      </c>
      <c r="C908" s="18"/>
      <c r="D908" s="19"/>
    </row>
    <row r="909" spans="1:4" x14ac:dyDescent="0.3">
      <c r="A909" s="20">
        <v>45454.185417000001</v>
      </c>
      <c r="B909" s="17">
        <v>77.969091000000006</v>
      </c>
      <c r="C909" s="18"/>
      <c r="D909" s="19"/>
    </row>
    <row r="910" spans="1:4" x14ac:dyDescent="0.3">
      <c r="A910" s="20">
        <v>45454.186111000003</v>
      </c>
      <c r="B910" s="17">
        <v>78.496278000000004</v>
      </c>
      <c r="C910" s="18"/>
      <c r="D910" s="19"/>
    </row>
    <row r="911" spans="1:4" x14ac:dyDescent="0.3">
      <c r="A911" s="20">
        <v>45454.186805999998</v>
      </c>
      <c r="B911" s="17">
        <v>78.156210999999999</v>
      </c>
      <c r="C911" s="18"/>
      <c r="D911" s="19"/>
    </row>
    <row r="912" spans="1:4" x14ac:dyDescent="0.3">
      <c r="A912" s="20">
        <v>45454.1875</v>
      </c>
      <c r="B912" s="17">
        <v>79.019557000000006</v>
      </c>
      <c r="C912" s="18"/>
      <c r="D912" s="19"/>
    </row>
    <row r="913" spans="1:4" x14ac:dyDescent="0.3">
      <c r="A913" s="20">
        <v>45454.188194000002</v>
      </c>
      <c r="B913" s="17">
        <v>77.799071999999995</v>
      </c>
      <c r="C913" s="18"/>
      <c r="D913" s="19"/>
    </row>
    <row r="914" spans="1:4" x14ac:dyDescent="0.3">
      <c r="A914" s="20">
        <v>45454.188888999997</v>
      </c>
      <c r="B914" s="17">
        <v>77.735658000000001</v>
      </c>
      <c r="C914" s="18"/>
      <c r="D914" s="19"/>
    </row>
    <row r="915" spans="1:4" x14ac:dyDescent="0.3">
      <c r="A915" s="20">
        <v>45454.189582999999</v>
      </c>
      <c r="B915" s="17">
        <v>78.390546000000001</v>
      </c>
      <c r="C915" s="18"/>
      <c r="D915" s="19"/>
    </row>
    <row r="916" spans="1:4" x14ac:dyDescent="0.3">
      <c r="A916" s="20">
        <v>45454.190278000002</v>
      </c>
      <c r="B916" s="17">
        <v>79.010209000000003</v>
      </c>
      <c r="C916" s="18"/>
      <c r="D916" s="19"/>
    </row>
    <row r="917" spans="1:4" x14ac:dyDescent="0.3">
      <c r="A917" s="20">
        <v>45454.190971999997</v>
      </c>
      <c r="B917" s="17">
        <v>78.236441999999997</v>
      </c>
      <c r="C917" s="18"/>
      <c r="D917" s="19"/>
    </row>
    <row r="918" spans="1:4" x14ac:dyDescent="0.3">
      <c r="A918" s="20">
        <v>45454.191666999999</v>
      </c>
      <c r="B918" s="17">
        <v>77.417312999999993</v>
      </c>
      <c r="C918" s="18"/>
      <c r="D918" s="19"/>
    </row>
    <row r="919" spans="1:4" x14ac:dyDescent="0.3">
      <c r="A919" s="20">
        <v>45454.192361000001</v>
      </c>
      <c r="B919" s="17">
        <v>78.243703999999994</v>
      </c>
      <c r="C919" s="18"/>
      <c r="D919" s="19"/>
    </row>
    <row r="920" spans="1:4" x14ac:dyDescent="0.3">
      <c r="A920" s="20">
        <v>45454.193055999996</v>
      </c>
      <c r="B920" s="17">
        <v>78.394092000000001</v>
      </c>
      <c r="C920" s="18"/>
      <c r="D920" s="19"/>
    </row>
    <row r="921" spans="1:4" x14ac:dyDescent="0.3">
      <c r="A921" s="20">
        <v>45454.193749999999</v>
      </c>
      <c r="B921" s="17">
        <v>78.031018000000003</v>
      </c>
      <c r="C921" s="18"/>
      <c r="D921" s="19"/>
    </row>
    <row r="922" spans="1:4" x14ac:dyDescent="0.3">
      <c r="A922" s="20">
        <v>45454.194444000001</v>
      </c>
      <c r="B922" s="17">
        <v>78.259406999999996</v>
      </c>
      <c r="C922" s="18"/>
      <c r="D922" s="19"/>
    </row>
    <row r="923" spans="1:4" x14ac:dyDescent="0.3">
      <c r="A923" s="20">
        <v>45454.195139000003</v>
      </c>
      <c r="B923" s="17">
        <v>80.069255999999996</v>
      </c>
      <c r="C923" s="18"/>
      <c r="D923" s="19"/>
    </row>
    <row r="924" spans="1:4" x14ac:dyDescent="0.3">
      <c r="A924" s="20">
        <v>45454.195832999998</v>
      </c>
      <c r="B924" s="17">
        <v>79.116945000000001</v>
      </c>
      <c r="C924" s="18"/>
      <c r="D924" s="19"/>
    </row>
    <row r="925" spans="1:4" x14ac:dyDescent="0.3">
      <c r="A925" s="20">
        <v>45454.196528</v>
      </c>
      <c r="B925" s="17">
        <v>77.731357000000003</v>
      </c>
      <c r="C925" s="18"/>
      <c r="D925" s="19"/>
    </row>
    <row r="926" spans="1:4" x14ac:dyDescent="0.3">
      <c r="A926" s="20">
        <v>45454.197222000003</v>
      </c>
      <c r="B926" s="17">
        <v>78.554126999999994</v>
      </c>
      <c r="C926" s="18"/>
      <c r="D926" s="19"/>
    </row>
    <row r="927" spans="1:4" x14ac:dyDescent="0.3">
      <c r="A927" s="20">
        <v>45454.197916999998</v>
      </c>
      <c r="B927" s="17">
        <v>76.544270999999995</v>
      </c>
      <c r="C927" s="18"/>
      <c r="D927" s="19"/>
    </row>
    <row r="928" spans="1:4" x14ac:dyDescent="0.3">
      <c r="A928" s="20">
        <v>45454.198611</v>
      </c>
      <c r="B928" s="17">
        <v>78.601308000000003</v>
      </c>
      <c r="C928" s="18"/>
      <c r="D928" s="19"/>
    </row>
    <row r="929" spans="1:4" x14ac:dyDescent="0.3">
      <c r="A929" s="20">
        <v>45454.199306000002</v>
      </c>
      <c r="B929" s="17">
        <v>78.373383000000004</v>
      </c>
      <c r="C929" s="18"/>
      <c r="D929" s="19"/>
    </row>
    <row r="930" spans="1:4" x14ac:dyDescent="0.3">
      <c r="A930" s="20">
        <v>45454.2</v>
      </c>
      <c r="B930" s="17">
        <v>78.107927000000004</v>
      </c>
      <c r="C930" s="18"/>
      <c r="D930" s="19"/>
    </row>
    <row r="931" spans="1:4" x14ac:dyDescent="0.3">
      <c r="A931" s="20">
        <v>45454.200693999999</v>
      </c>
      <c r="B931" s="17">
        <v>77.805131000000003</v>
      </c>
      <c r="C931" s="18"/>
      <c r="D931" s="19"/>
    </row>
    <row r="932" spans="1:4" x14ac:dyDescent="0.3">
      <c r="A932" s="20">
        <v>45454.201389000002</v>
      </c>
      <c r="B932" s="17">
        <v>79.064712999999998</v>
      </c>
      <c r="C932" s="18"/>
      <c r="D932" s="19"/>
    </row>
    <row r="933" spans="1:4" x14ac:dyDescent="0.3">
      <c r="A933" s="20">
        <v>45454.202082999996</v>
      </c>
      <c r="B933" s="17">
        <v>77.797644000000005</v>
      </c>
      <c r="C933" s="18"/>
      <c r="D933" s="19"/>
    </row>
    <row r="934" spans="1:4" x14ac:dyDescent="0.3">
      <c r="A934" s="20">
        <v>45454.202777999999</v>
      </c>
      <c r="B934" s="17">
        <v>78.090536999999998</v>
      </c>
      <c r="C934" s="18"/>
      <c r="D934" s="19"/>
    </row>
    <row r="935" spans="1:4" x14ac:dyDescent="0.3">
      <c r="A935" s="20">
        <v>45454.203472000001</v>
      </c>
      <c r="B935" s="17">
        <v>78.312078999999997</v>
      </c>
      <c r="C935" s="18"/>
      <c r="D935" s="19"/>
    </row>
    <row r="936" spans="1:4" x14ac:dyDescent="0.3">
      <c r="A936" s="20">
        <v>45454.204167000004</v>
      </c>
      <c r="B936" s="17">
        <v>77.282850999999994</v>
      </c>
      <c r="C936" s="18"/>
      <c r="D936" s="19"/>
    </row>
    <row r="937" spans="1:4" x14ac:dyDescent="0.3">
      <c r="A937" s="20">
        <v>45454.204860999998</v>
      </c>
      <c r="B937" s="17">
        <v>78.177629999999994</v>
      </c>
      <c r="C937" s="18"/>
      <c r="D937" s="19"/>
    </row>
    <row r="938" spans="1:4" x14ac:dyDescent="0.3">
      <c r="A938" s="20">
        <v>45454.205556000001</v>
      </c>
      <c r="B938" s="17">
        <v>77.103714999999994</v>
      </c>
      <c r="C938" s="18"/>
      <c r="D938" s="19"/>
    </row>
    <row r="939" spans="1:4" x14ac:dyDescent="0.3">
      <c r="A939" s="20">
        <v>45454.206250000003</v>
      </c>
      <c r="B939" s="17">
        <v>77.973191999999997</v>
      </c>
      <c r="C939" s="18"/>
      <c r="D939" s="19"/>
    </row>
    <row r="940" spans="1:4" x14ac:dyDescent="0.3">
      <c r="A940" s="20">
        <v>45454.206943999998</v>
      </c>
      <c r="B940" s="17">
        <v>78.431282999999993</v>
      </c>
      <c r="C940" s="18"/>
      <c r="D940" s="19"/>
    </row>
    <row r="941" spans="1:4" x14ac:dyDescent="0.3">
      <c r="A941" s="20">
        <v>45454.207639</v>
      </c>
      <c r="B941" s="17">
        <v>76.884523000000002</v>
      </c>
      <c r="C941" s="18"/>
      <c r="D941" s="19"/>
    </row>
    <row r="942" spans="1:4" x14ac:dyDescent="0.3">
      <c r="A942" s="20">
        <v>45454.208333000002</v>
      </c>
      <c r="B942" s="17">
        <v>77.844448999999997</v>
      </c>
      <c r="C942" s="18"/>
      <c r="D942" s="19"/>
    </row>
    <row r="943" spans="1:4" x14ac:dyDescent="0.3">
      <c r="A943" s="20">
        <v>45454.209027999997</v>
      </c>
      <c r="B943" s="17">
        <v>79.217155000000005</v>
      </c>
      <c r="C943" s="18"/>
      <c r="D943" s="19"/>
    </row>
    <row r="944" spans="1:4" x14ac:dyDescent="0.3">
      <c r="A944" s="20">
        <v>45454.209722</v>
      </c>
      <c r="B944" s="17">
        <v>78.616012999999995</v>
      </c>
      <c r="C944" s="18"/>
      <c r="D944" s="19"/>
    </row>
    <row r="945" spans="1:4" x14ac:dyDescent="0.3">
      <c r="A945" s="20">
        <v>45454.210417000002</v>
      </c>
      <c r="B945" s="17">
        <v>77.291078999999996</v>
      </c>
      <c r="C945" s="18"/>
      <c r="D945" s="19"/>
    </row>
    <row r="946" spans="1:4" x14ac:dyDescent="0.3">
      <c r="A946" s="20">
        <v>45454.211110999997</v>
      </c>
      <c r="B946" s="17">
        <v>77.948093</v>
      </c>
      <c r="C946" s="18"/>
      <c r="D946" s="19"/>
    </row>
    <row r="947" spans="1:4" x14ac:dyDescent="0.3">
      <c r="A947" s="20">
        <v>45454.211805999999</v>
      </c>
      <c r="B947" s="17">
        <v>78.225150999999997</v>
      </c>
      <c r="C947" s="18"/>
      <c r="D947" s="19"/>
    </row>
    <row r="948" spans="1:4" x14ac:dyDescent="0.3">
      <c r="A948" s="20">
        <v>45454.212500000001</v>
      </c>
      <c r="B948" s="17">
        <v>78.389084999999994</v>
      </c>
      <c r="C948" s="18"/>
      <c r="D948" s="19"/>
    </row>
    <row r="949" spans="1:4" x14ac:dyDescent="0.3">
      <c r="A949" s="20">
        <v>45454.213194000004</v>
      </c>
      <c r="B949" s="17">
        <v>77.027167000000006</v>
      </c>
      <c r="C949" s="18"/>
      <c r="D949" s="19"/>
    </row>
    <row r="950" spans="1:4" x14ac:dyDescent="0.3">
      <c r="A950" s="20">
        <v>45454.213888999999</v>
      </c>
      <c r="B950" s="17">
        <v>77.806608999999995</v>
      </c>
      <c r="C950" s="18"/>
      <c r="D950" s="19"/>
    </row>
    <row r="951" spans="1:4" x14ac:dyDescent="0.3">
      <c r="A951" s="20">
        <v>45454.214583000001</v>
      </c>
      <c r="B951" s="17">
        <v>79.287345000000002</v>
      </c>
      <c r="C951" s="18"/>
      <c r="D951" s="19"/>
    </row>
    <row r="952" spans="1:4" x14ac:dyDescent="0.3">
      <c r="A952" s="20">
        <v>45454.215278000003</v>
      </c>
      <c r="B952" s="17">
        <v>78.146626999999995</v>
      </c>
      <c r="C952" s="18"/>
      <c r="D952" s="19"/>
    </row>
    <row r="953" spans="1:4" x14ac:dyDescent="0.3">
      <c r="A953" s="20">
        <v>45454.215971999998</v>
      </c>
      <c r="B953" s="17">
        <v>78.336371999999997</v>
      </c>
      <c r="C953" s="18"/>
      <c r="D953" s="19"/>
    </row>
    <row r="954" spans="1:4" x14ac:dyDescent="0.3">
      <c r="A954" s="20">
        <v>45454.216667000001</v>
      </c>
      <c r="B954" s="17">
        <v>77.584575999999998</v>
      </c>
      <c r="C954" s="18"/>
      <c r="D954" s="19"/>
    </row>
    <row r="955" spans="1:4" x14ac:dyDescent="0.3">
      <c r="A955" s="20">
        <v>45454.217361000003</v>
      </c>
      <c r="B955" s="17">
        <v>78.247438000000002</v>
      </c>
      <c r="C955" s="18"/>
      <c r="D955" s="19"/>
    </row>
    <row r="956" spans="1:4" x14ac:dyDescent="0.3">
      <c r="A956" s="20">
        <v>45454.218055999998</v>
      </c>
      <c r="B956" s="17">
        <v>78.005398</v>
      </c>
      <c r="C956" s="18"/>
      <c r="D956" s="19"/>
    </row>
    <row r="957" spans="1:4" x14ac:dyDescent="0.3">
      <c r="A957" s="20">
        <v>45454.21875</v>
      </c>
      <c r="B957" s="17">
        <v>78.305376999999993</v>
      </c>
      <c r="C957" s="18"/>
      <c r="D957" s="19"/>
    </row>
    <row r="958" spans="1:4" x14ac:dyDescent="0.3">
      <c r="A958" s="20">
        <v>45454.219444000002</v>
      </c>
      <c r="B958" s="17">
        <v>78.840838000000005</v>
      </c>
      <c r="C958" s="18"/>
      <c r="D958" s="19"/>
    </row>
    <row r="959" spans="1:4" x14ac:dyDescent="0.3">
      <c r="A959" s="20">
        <v>45454.220138999997</v>
      </c>
      <c r="B959" s="17">
        <v>77.741467</v>
      </c>
      <c r="C959" s="18"/>
      <c r="D959" s="19"/>
    </row>
    <row r="960" spans="1:4" x14ac:dyDescent="0.3">
      <c r="A960" s="20">
        <v>45454.220832999999</v>
      </c>
      <c r="B960" s="17">
        <v>77.641937999999996</v>
      </c>
      <c r="C960" s="18"/>
      <c r="D960" s="19"/>
    </row>
    <row r="961" spans="1:4" x14ac:dyDescent="0.3">
      <c r="A961" s="20">
        <v>45454.221528000002</v>
      </c>
      <c r="B961" s="17">
        <v>77.781047000000001</v>
      </c>
      <c r="C961" s="18"/>
      <c r="D961" s="19"/>
    </row>
    <row r="962" spans="1:4" x14ac:dyDescent="0.3">
      <c r="A962" s="20">
        <v>45454.222221999997</v>
      </c>
      <c r="B962" s="17">
        <v>76.916092000000006</v>
      </c>
      <c r="C962" s="18"/>
      <c r="D962" s="19"/>
    </row>
    <row r="963" spans="1:4" x14ac:dyDescent="0.3">
      <c r="A963" s="20">
        <v>45454.222916999999</v>
      </c>
      <c r="B963" s="17">
        <v>77.752572999999998</v>
      </c>
      <c r="C963" s="18"/>
      <c r="D963" s="19"/>
    </row>
    <row r="964" spans="1:4" x14ac:dyDescent="0.3">
      <c r="A964" s="20">
        <v>45454.223611000001</v>
      </c>
      <c r="B964" s="17">
        <v>77.519402999999997</v>
      </c>
      <c r="C964" s="18"/>
      <c r="D964" s="19"/>
    </row>
    <row r="965" spans="1:4" x14ac:dyDescent="0.3">
      <c r="A965" s="20">
        <v>45454.224305999996</v>
      </c>
      <c r="B965" s="17">
        <v>78.324882000000002</v>
      </c>
      <c r="C965" s="18"/>
      <c r="D965" s="19"/>
    </row>
    <row r="966" spans="1:4" x14ac:dyDescent="0.3">
      <c r="A966" s="20">
        <v>45454.224999999999</v>
      </c>
      <c r="B966" s="17">
        <v>77.609798999999995</v>
      </c>
      <c r="C966" s="18"/>
      <c r="D966" s="19"/>
    </row>
    <row r="967" spans="1:4" x14ac:dyDescent="0.3">
      <c r="A967" s="20">
        <v>45454.225694000001</v>
      </c>
      <c r="B967" s="17">
        <v>78.200316000000001</v>
      </c>
      <c r="C967" s="18"/>
      <c r="D967" s="19"/>
    </row>
    <row r="968" spans="1:4" x14ac:dyDescent="0.3">
      <c r="A968" s="20">
        <v>45454.226389000003</v>
      </c>
      <c r="B968" s="17">
        <v>77.217578000000003</v>
      </c>
      <c r="C968" s="18"/>
      <c r="D968" s="19"/>
    </row>
    <row r="969" spans="1:4" x14ac:dyDescent="0.3">
      <c r="A969" s="20">
        <v>45454.227082999998</v>
      </c>
      <c r="B969" s="17">
        <v>77.458104000000006</v>
      </c>
      <c r="C969" s="18"/>
      <c r="D969" s="19"/>
    </row>
    <row r="970" spans="1:4" x14ac:dyDescent="0.3">
      <c r="A970" s="20">
        <v>45454.227778</v>
      </c>
      <c r="B970" s="17">
        <v>78.682382000000004</v>
      </c>
      <c r="C970" s="18"/>
      <c r="D970" s="19"/>
    </row>
    <row r="971" spans="1:4" x14ac:dyDescent="0.3">
      <c r="A971" s="20">
        <v>45454.228472000003</v>
      </c>
      <c r="B971" s="17">
        <v>78.220224999999999</v>
      </c>
      <c r="C971" s="18"/>
      <c r="D971" s="19"/>
    </row>
    <row r="972" spans="1:4" x14ac:dyDescent="0.3">
      <c r="A972" s="20">
        <v>45454.229166999998</v>
      </c>
      <c r="B972" s="17">
        <v>77.591742999999994</v>
      </c>
      <c r="C972" s="18"/>
      <c r="D972" s="19"/>
    </row>
    <row r="973" spans="1:4" x14ac:dyDescent="0.3">
      <c r="A973" s="20">
        <v>45454.229861</v>
      </c>
      <c r="B973" s="17">
        <v>78.088391999999999</v>
      </c>
      <c r="C973" s="18"/>
      <c r="D973" s="19"/>
    </row>
    <row r="974" spans="1:4" x14ac:dyDescent="0.3">
      <c r="A974" s="20">
        <v>45454.230556000002</v>
      </c>
      <c r="B974" s="17">
        <v>76.688742000000005</v>
      </c>
      <c r="C974" s="18"/>
      <c r="D974" s="19"/>
    </row>
    <row r="975" spans="1:4" x14ac:dyDescent="0.3">
      <c r="A975" s="20">
        <v>45454.231249999997</v>
      </c>
      <c r="B975" s="17">
        <v>77.513799000000006</v>
      </c>
      <c r="C975" s="18"/>
      <c r="D975" s="19"/>
    </row>
    <row r="976" spans="1:4" x14ac:dyDescent="0.3">
      <c r="A976" s="20">
        <v>45454.231943999999</v>
      </c>
      <c r="B976" s="17">
        <v>63.571466999999998</v>
      </c>
      <c r="C976" s="18"/>
      <c r="D976" s="19"/>
    </row>
    <row r="977" spans="1:4" x14ac:dyDescent="0.3">
      <c r="A977" s="20">
        <v>45454.232639000002</v>
      </c>
      <c r="B977" s="17">
        <v>63.568064</v>
      </c>
      <c r="C977" s="18"/>
      <c r="D977" s="19"/>
    </row>
    <row r="978" spans="1:4" x14ac:dyDescent="0.3">
      <c r="A978" s="20">
        <v>45454.233332999996</v>
      </c>
      <c r="B978" s="17">
        <v>62.952955000000003</v>
      </c>
      <c r="C978" s="18"/>
      <c r="D978" s="19"/>
    </row>
    <row r="979" spans="1:4" x14ac:dyDescent="0.3">
      <c r="A979" s="20">
        <v>45454.234027999999</v>
      </c>
      <c r="B979" s="17">
        <v>61.912429000000003</v>
      </c>
      <c r="C979" s="18"/>
      <c r="D979" s="19"/>
    </row>
    <row r="980" spans="1:4" x14ac:dyDescent="0.3">
      <c r="A980" s="20">
        <v>45454.234722000001</v>
      </c>
      <c r="B980" s="17">
        <v>62.565674999999999</v>
      </c>
      <c r="C980" s="18"/>
      <c r="D980" s="19"/>
    </row>
    <row r="981" spans="1:4" x14ac:dyDescent="0.3">
      <c r="A981" s="20">
        <v>45454.235417000004</v>
      </c>
      <c r="B981" s="17">
        <v>62.112358</v>
      </c>
      <c r="C981" s="18"/>
      <c r="D981" s="19"/>
    </row>
    <row r="982" spans="1:4" x14ac:dyDescent="0.3">
      <c r="A982" s="20">
        <v>45454.236110999998</v>
      </c>
      <c r="B982" s="17">
        <v>62.713113</v>
      </c>
      <c r="C982" s="18"/>
      <c r="D982" s="19"/>
    </row>
    <row r="983" spans="1:4" x14ac:dyDescent="0.3">
      <c r="A983" s="20">
        <v>45454.236806000001</v>
      </c>
      <c r="B983" s="17">
        <v>62.145420999999999</v>
      </c>
      <c r="C983" s="18"/>
      <c r="D983" s="19"/>
    </row>
    <row r="984" spans="1:4" x14ac:dyDescent="0.3">
      <c r="A984" s="20">
        <v>45454.237500000003</v>
      </c>
      <c r="B984" s="17">
        <v>62.952133000000003</v>
      </c>
      <c r="C984" s="18"/>
      <c r="D984" s="19"/>
    </row>
    <row r="985" spans="1:4" x14ac:dyDescent="0.3">
      <c r="A985" s="20">
        <v>45454.238193999998</v>
      </c>
      <c r="B985" s="17">
        <v>63.270612999999997</v>
      </c>
      <c r="C985" s="18"/>
      <c r="D985" s="19"/>
    </row>
    <row r="986" spans="1:4" x14ac:dyDescent="0.3">
      <c r="A986" s="20">
        <v>45454.238889</v>
      </c>
      <c r="B986" s="17">
        <v>62.435977999999999</v>
      </c>
      <c r="C986" s="18"/>
      <c r="D986" s="19"/>
    </row>
    <row r="987" spans="1:4" x14ac:dyDescent="0.3">
      <c r="A987" s="20">
        <v>45454.239583000002</v>
      </c>
      <c r="B987" s="17">
        <v>62.901888</v>
      </c>
      <c r="C987" s="18"/>
      <c r="D987" s="19"/>
    </row>
    <row r="988" spans="1:4" x14ac:dyDescent="0.3">
      <c r="A988" s="20">
        <v>45454.240277999997</v>
      </c>
      <c r="B988" s="17">
        <v>62.601073</v>
      </c>
      <c r="C988" s="18"/>
      <c r="D988" s="19"/>
    </row>
    <row r="989" spans="1:4" x14ac:dyDescent="0.3">
      <c r="A989" s="20">
        <v>45454.240972</v>
      </c>
      <c r="B989" s="17">
        <v>63.499045000000002</v>
      </c>
      <c r="C989" s="18"/>
      <c r="D989" s="19"/>
    </row>
    <row r="990" spans="1:4" x14ac:dyDescent="0.3">
      <c r="A990" s="20">
        <v>45454.241667000002</v>
      </c>
      <c r="B990" s="17">
        <v>63.401831000000001</v>
      </c>
      <c r="C990" s="18"/>
      <c r="D990" s="19"/>
    </row>
    <row r="991" spans="1:4" x14ac:dyDescent="0.3">
      <c r="A991" s="20">
        <v>45454.242360999997</v>
      </c>
      <c r="B991" s="17">
        <v>63.591234</v>
      </c>
      <c r="C991" s="18"/>
      <c r="D991" s="19"/>
    </row>
    <row r="992" spans="1:4" x14ac:dyDescent="0.3">
      <c r="A992" s="20">
        <v>45454.243055999999</v>
      </c>
      <c r="B992" s="17">
        <v>64.680938999999995</v>
      </c>
      <c r="C992" s="18"/>
      <c r="D992" s="19"/>
    </row>
    <row r="993" spans="1:4" x14ac:dyDescent="0.3">
      <c r="A993" s="20">
        <v>45454.243750000001</v>
      </c>
      <c r="B993" s="17">
        <v>63.351546999999997</v>
      </c>
      <c r="C993" s="18"/>
      <c r="D993" s="19"/>
    </row>
    <row r="994" spans="1:4" x14ac:dyDescent="0.3">
      <c r="A994" s="20">
        <v>45454.244444000004</v>
      </c>
      <c r="B994" s="17">
        <v>62.652318000000001</v>
      </c>
      <c r="C994" s="18"/>
      <c r="D994" s="19"/>
    </row>
    <row r="995" spans="1:4" x14ac:dyDescent="0.3">
      <c r="A995" s="20">
        <v>45454.245138999999</v>
      </c>
      <c r="B995" s="17">
        <v>63.430605</v>
      </c>
      <c r="C995" s="18"/>
      <c r="D995" s="19"/>
    </row>
    <row r="996" spans="1:4" x14ac:dyDescent="0.3">
      <c r="A996" s="20">
        <v>45454.245833000001</v>
      </c>
      <c r="B996" s="17">
        <v>63.639805000000003</v>
      </c>
      <c r="C996" s="18"/>
      <c r="D996" s="19"/>
    </row>
    <row r="997" spans="1:4" x14ac:dyDescent="0.3">
      <c r="A997" s="20">
        <v>45454.246528000003</v>
      </c>
      <c r="B997" s="17">
        <v>61.314596999999999</v>
      </c>
      <c r="C997" s="18"/>
      <c r="D997" s="19"/>
    </row>
    <row r="998" spans="1:4" x14ac:dyDescent="0.3">
      <c r="A998" s="20">
        <v>45454.247221999998</v>
      </c>
      <c r="B998" s="17">
        <v>55.158501000000001</v>
      </c>
      <c r="C998" s="18"/>
      <c r="D998" s="19"/>
    </row>
    <row r="999" spans="1:4" x14ac:dyDescent="0.3">
      <c r="A999" s="20">
        <v>45454.247917000001</v>
      </c>
      <c r="B999" s="17">
        <v>56.410178000000002</v>
      </c>
      <c r="C999" s="18"/>
      <c r="D999" s="19"/>
    </row>
    <row r="1000" spans="1:4" x14ac:dyDescent="0.3">
      <c r="A1000" s="20">
        <v>45454.248611000003</v>
      </c>
      <c r="B1000" s="17">
        <v>55.827601000000001</v>
      </c>
      <c r="C1000" s="18"/>
      <c r="D1000" s="19"/>
    </row>
    <row r="1001" spans="1:4" x14ac:dyDescent="0.3">
      <c r="A1001" s="20">
        <v>45454.249305999998</v>
      </c>
      <c r="B1001" s="17">
        <v>56.889937000000003</v>
      </c>
      <c r="C1001" s="18"/>
      <c r="D1001" s="19"/>
    </row>
    <row r="1002" spans="1:4" x14ac:dyDescent="0.3">
      <c r="A1002" s="20">
        <v>45454.25</v>
      </c>
      <c r="B1002" s="17">
        <v>55.457777</v>
      </c>
      <c r="C1002" s="18"/>
      <c r="D1002" s="19"/>
    </row>
    <row r="1003" spans="1:4" x14ac:dyDescent="0.3">
      <c r="A1003" s="20">
        <v>45454.250694000002</v>
      </c>
      <c r="B1003" s="17">
        <v>54.632649999999998</v>
      </c>
      <c r="C1003" s="18"/>
      <c r="D1003" s="19"/>
    </row>
    <row r="1004" spans="1:4" x14ac:dyDescent="0.3">
      <c r="A1004" s="20">
        <v>45454.251388999997</v>
      </c>
      <c r="B1004" s="17">
        <v>56.287914999999998</v>
      </c>
      <c r="C1004" s="18"/>
      <c r="D1004" s="19"/>
    </row>
    <row r="1005" spans="1:4" x14ac:dyDescent="0.3">
      <c r="A1005" s="20">
        <v>45454.252082999999</v>
      </c>
      <c r="B1005" s="17">
        <v>55.002527999999998</v>
      </c>
      <c r="C1005" s="18"/>
      <c r="D1005" s="19"/>
    </row>
    <row r="1006" spans="1:4" x14ac:dyDescent="0.3">
      <c r="A1006" s="20">
        <v>45454.252778000002</v>
      </c>
      <c r="B1006" s="17">
        <v>55.513340999999997</v>
      </c>
      <c r="C1006" s="18"/>
      <c r="D1006" s="19"/>
    </row>
    <row r="1007" spans="1:4" x14ac:dyDescent="0.3">
      <c r="A1007" s="20">
        <v>45454.253471999997</v>
      </c>
      <c r="B1007" s="17">
        <v>55.804651999999997</v>
      </c>
      <c r="C1007" s="18"/>
      <c r="D1007" s="19"/>
    </row>
    <row r="1008" spans="1:4" x14ac:dyDescent="0.3">
      <c r="A1008" s="20">
        <v>45454.254166999999</v>
      </c>
      <c r="B1008" s="17">
        <v>55.546362999999999</v>
      </c>
      <c r="C1008" s="18"/>
      <c r="D1008" s="19"/>
    </row>
    <row r="1009" spans="1:4" x14ac:dyDescent="0.3">
      <c r="A1009" s="20">
        <v>45454.254861000001</v>
      </c>
      <c r="B1009" s="17">
        <v>55.878627999999999</v>
      </c>
      <c r="C1009" s="18"/>
      <c r="D1009" s="19"/>
    </row>
    <row r="1010" spans="1:4" x14ac:dyDescent="0.3">
      <c r="A1010" s="20">
        <v>45454.255555999996</v>
      </c>
      <c r="B1010" s="17">
        <v>55.536966999999997</v>
      </c>
      <c r="C1010" s="18"/>
      <c r="D1010" s="19"/>
    </row>
    <row r="1011" spans="1:4" x14ac:dyDescent="0.3">
      <c r="A1011" s="20">
        <v>45454.256249999999</v>
      </c>
      <c r="B1011" s="17">
        <v>55.652698999999998</v>
      </c>
      <c r="C1011" s="18"/>
      <c r="D1011" s="19"/>
    </row>
    <row r="1012" spans="1:4" x14ac:dyDescent="0.3">
      <c r="A1012" s="20">
        <v>45454.256944000001</v>
      </c>
      <c r="B1012" s="17">
        <v>55.228048000000001</v>
      </c>
      <c r="C1012" s="18"/>
      <c r="D1012" s="19"/>
    </row>
    <row r="1013" spans="1:4" x14ac:dyDescent="0.3">
      <c r="A1013" s="20">
        <v>45454.257639000003</v>
      </c>
      <c r="B1013" s="17">
        <v>55.958126</v>
      </c>
      <c r="C1013" s="18"/>
      <c r="D1013" s="19"/>
    </row>
    <row r="1014" spans="1:4" x14ac:dyDescent="0.3">
      <c r="A1014" s="20">
        <v>45454.258332999998</v>
      </c>
      <c r="B1014" s="17">
        <v>55.954991999999997</v>
      </c>
      <c r="C1014" s="18"/>
      <c r="D1014" s="19"/>
    </row>
    <row r="1015" spans="1:4" x14ac:dyDescent="0.3">
      <c r="A1015" s="20">
        <v>45454.259028</v>
      </c>
      <c r="B1015" s="17">
        <v>55.810808999999999</v>
      </c>
      <c r="C1015" s="18"/>
      <c r="D1015" s="19"/>
    </row>
    <row r="1016" spans="1:4" x14ac:dyDescent="0.3">
      <c r="A1016" s="20">
        <v>45454.259722000003</v>
      </c>
      <c r="B1016" s="17">
        <v>57.311847999999998</v>
      </c>
      <c r="C1016" s="18"/>
      <c r="D1016" s="19"/>
    </row>
    <row r="1017" spans="1:4" x14ac:dyDescent="0.3">
      <c r="A1017" s="20">
        <v>45454.260416999998</v>
      </c>
      <c r="B1017" s="17">
        <v>56.067020999999997</v>
      </c>
      <c r="C1017" s="18"/>
      <c r="D1017" s="19"/>
    </row>
    <row r="1018" spans="1:4" x14ac:dyDescent="0.3">
      <c r="A1018" s="20">
        <v>45454.261111</v>
      </c>
      <c r="B1018" s="17">
        <v>56.990704999999998</v>
      </c>
      <c r="C1018" s="18"/>
      <c r="D1018" s="19"/>
    </row>
    <row r="1019" spans="1:4" x14ac:dyDescent="0.3">
      <c r="A1019" s="20">
        <v>45454.261806000002</v>
      </c>
      <c r="B1019" s="17">
        <v>55.975791000000001</v>
      </c>
      <c r="C1019" s="18"/>
      <c r="D1019" s="19"/>
    </row>
    <row r="1020" spans="1:4" x14ac:dyDescent="0.3">
      <c r="A1020" s="20">
        <v>45454.262499999997</v>
      </c>
      <c r="B1020" s="17">
        <v>56.947549000000002</v>
      </c>
      <c r="C1020" s="18"/>
      <c r="D1020" s="19"/>
    </row>
    <row r="1021" spans="1:4" x14ac:dyDescent="0.3">
      <c r="A1021" s="20">
        <v>45454.263193999999</v>
      </c>
      <c r="B1021" s="17">
        <v>56.448431999999997</v>
      </c>
      <c r="C1021" s="18"/>
      <c r="D1021" s="19"/>
    </row>
    <row r="1022" spans="1:4" x14ac:dyDescent="0.3">
      <c r="A1022" s="20">
        <v>45454.263889000002</v>
      </c>
      <c r="B1022" s="17">
        <v>56.169367000000001</v>
      </c>
      <c r="C1022" s="18"/>
      <c r="D1022" s="19"/>
    </row>
    <row r="1023" spans="1:4" x14ac:dyDescent="0.3">
      <c r="A1023" s="20">
        <v>45454.264582999996</v>
      </c>
      <c r="B1023" s="17">
        <v>56.685111999999997</v>
      </c>
      <c r="C1023" s="18"/>
      <c r="D1023" s="19"/>
    </row>
    <row r="1024" spans="1:4" x14ac:dyDescent="0.3">
      <c r="A1024" s="20">
        <v>45454.265277999999</v>
      </c>
      <c r="B1024" s="17">
        <v>56.609147999999998</v>
      </c>
      <c r="C1024" s="18"/>
      <c r="D1024" s="19"/>
    </row>
    <row r="1025" spans="1:4" x14ac:dyDescent="0.3">
      <c r="A1025" s="20">
        <v>45454.265972000001</v>
      </c>
      <c r="B1025" s="17">
        <v>57.281202</v>
      </c>
      <c r="C1025" s="18"/>
      <c r="D1025" s="19"/>
    </row>
    <row r="1026" spans="1:4" x14ac:dyDescent="0.3">
      <c r="A1026" s="20">
        <v>45454.266667000004</v>
      </c>
      <c r="B1026" s="17">
        <v>56.294092999999997</v>
      </c>
      <c r="C1026" s="18"/>
      <c r="D1026" s="19"/>
    </row>
    <row r="1027" spans="1:4" x14ac:dyDescent="0.3">
      <c r="A1027" s="20">
        <v>45454.267360999998</v>
      </c>
      <c r="B1027" s="17">
        <v>57.616922000000002</v>
      </c>
      <c r="C1027" s="18"/>
      <c r="D1027" s="19"/>
    </row>
    <row r="1028" spans="1:4" x14ac:dyDescent="0.3">
      <c r="A1028" s="20">
        <v>45454.268056000001</v>
      </c>
      <c r="B1028" s="17">
        <v>57.467354</v>
      </c>
      <c r="C1028" s="18"/>
      <c r="D1028" s="19"/>
    </row>
    <row r="1029" spans="1:4" x14ac:dyDescent="0.3">
      <c r="A1029" s="20">
        <v>45454.268750000003</v>
      </c>
      <c r="B1029" s="17">
        <v>57.143394999999998</v>
      </c>
      <c r="C1029" s="18"/>
      <c r="D1029" s="19"/>
    </row>
    <row r="1030" spans="1:4" x14ac:dyDescent="0.3">
      <c r="A1030" s="20">
        <v>45454.269443999998</v>
      </c>
      <c r="B1030" s="17">
        <v>57.824789000000003</v>
      </c>
      <c r="C1030" s="18"/>
      <c r="D1030" s="19"/>
    </row>
    <row r="1031" spans="1:4" x14ac:dyDescent="0.3">
      <c r="A1031" s="20">
        <v>45454.270139</v>
      </c>
      <c r="B1031" s="17">
        <v>57.95899</v>
      </c>
      <c r="C1031" s="18"/>
      <c r="D1031" s="19"/>
    </row>
    <row r="1032" spans="1:4" x14ac:dyDescent="0.3">
      <c r="A1032" s="20">
        <v>45454.270833000002</v>
      </c>
      <c r="B1032" s="17">
        <v>57.904946000000002</v>
      </c>
      <c r="C1032" s="18"/>
      <c r="D1032" s="19"/>
    </row>
    <row r="1033" spans="1:4" x14ac:dyDescent="0.3">
      <c r="A1033" s="20">
        <v>45454.271527999997</v>
      </c>
      <c r="B1033" s="17">
        <v>58.377643999999997</v>
      </c>
      <c r="C1033" s="18"/>
      <c r="D1033" s="19"/>
    </row>
    <row r="1034" spans="1:4" x14ac:dyDescent="0.3">
      <c r="A1034" s="20">
        <v>45454.272222</v>
      </c>
      <c r="B1034" s="17">
        <v>58.184289999999997</v>
      </c>
      <c r="C1034" s="18"/>
      <c r="D1034" s="19"/>
    </row>
    <row r="1035" spans="1:4" x14ac:dyDescent="0.3">
      <c r="A1035" s="20">
        <v>45454.272917000002</v>
      </c>
      <c r="B1035" s="17">
        <v>58.044803999999999</v>
      </c>
      <c r="C1035" s="18"/>
      <c r="D1035" s="19"/>
    </row>
    <row r="1036" spans="1:4" x14ac:dyDescent="0.3">
      <c r="A1036" s="20">
        <v>45454.273610999997</v>
      </c>
      <c r="B1036" s="17">
        <v>58.603042000000002</v>
      </c>
      <c r="C1036" s="18"/>
      <c r="D1036" s="19"/>
    </row>
    <row r="1037" spans="1:4" x14ac:dyDescent="0.3">
      <c r="A1037" s="20">
        <v>45454.274305999999</v>
      </c>
      <c r="B1037" s="17">
        <v>57.704672000000002</v>
      </c>
      <c r="C1037" s="18"/>
      <c r="D1037" s="19"/>
    </row>
    <row r="1038" spans="1:4" x14ac:dyDescent="0.3">
      <c r="A1038" s="20">
        <v>45454.275000000001</v>
      </c>
      <c r="B1038" s="17">
        <v>58.7789</v>
      </c>
      <c r="C1038" s="18"/>
      <c r="D1038" s="19"/>
    </row>
    <row r="1039" spans="1:4" x14ac:dyDescent="0.3">
      <c r="A1039" s="20">
        <v>45454.275694000004</v>
      </c>
      <c r="B1039" s="17">
        <v>58.636580000000002</v>
      </c>
      <c r="C1039" s="18"/>
      <c r="D1039" s="19"/>
    </row>
    <row r="1040" spans="1:4" x14ac:dyDescent="0.3">
      <c r="A1040" s="20">
        <v>45454.276388999999</v>
      </c>
      <c r="B1040" s="17">
        <v>58.750850999999997</v>
      </c>
      <c r="C1040" s="18"/>
      <c r="D1040" s="19"/>
    </row>
    <row r="1041" spans="1:4" x14ac:dyDescent="0.3">
      <c r="A1041" s="20">
        <v>45454.277083000001</v>
      </c>
      <c r="B1041" s="17">
        <v>58.552460000000004</v>
      </c>
      <c r="C1041" s="18"/>
      <c r="D1041" s="19"/>
    </row>
    <row r="1042" spans="1:4" x14ac:dyDescent="0.3">
      <c r="A1042" s="20">
        <v>45454.277778000003</v>
      </c>
      <c r="B1042" s="17">
        <v>59.058860000000003</v>
      </c>
      <c r="C1042" s="18"/>
      <c r="D1042" s="19"/>
    </row>
    <row r="1043" spans="1:4" x14ac:dyDescent="0.3">
      <c r="A1043" s="20">
        <v>45454.278471999998</v>
      </c>
      <c r="B1043" s="17">
        <v>59.066035999999997</v>
      </c>
      <c r="C1043" s="18"/>
      <c r="D1043" s="19"/>
    </row>
    <row r="1044" spans="1:4" x14ac:dyDescent="0.3">
      <c r="A1044" s="20">
        <v>45454.279167000001</v>
      </c>
      <c r="B1044" s="17">
        <v>33.842570000000002</v>
      </c>
      <c r="C1044" s="18"/>
      <c r="D1044" s="1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2026-08-11T15:17:21Z</dcterms:modified>
</cp:coreProperties>
</file>