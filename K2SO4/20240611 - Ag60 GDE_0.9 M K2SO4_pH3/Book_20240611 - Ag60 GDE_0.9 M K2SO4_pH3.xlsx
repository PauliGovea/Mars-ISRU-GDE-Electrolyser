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K2SO4/20240611 - Ag60 GDE_0.9 M K2SO4_pH3/"/>
    </mc:Choice>
  </mc:AlternateContent>
  <xr:revisionPtr revIDLastSave="238" documentId="8_{99172C6E-3916-40BE-A50D-EF70DFCC63BC}" xr6:coauthVersionLast="47" xr6:coauthVersionMax="47" xr10:uidLastSave="{FBB82F72-AF13-4B04-B376-7284A544F680}"/>
  <bookViews>
    <workbookView xWindow="-96" yWindow="0" windowWidth="11712" windowHeight="12336" xr2:uid="{15374DF8-AA4F-49FF-8BB1-7BFD50C5D9E4}"/>
  </bookViews>
  <sheets>
    <sheet name="Sheet1" sheetId="1" r:id="rId1"/>
    <sheet name="Flow rate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Q3" i="1"/>
  <c r="R3" i="1"/>
  <c r="P3" i="1"/>
  <c r="T3" i="1" s="1"/>
  <c r="P4" i="1"/>
  <c r="Q4" i="1"/>
  <c r="R4" i="1"/>
  <c r="X4" i="1" s="1"/>
  <c r="S4" i="1"/>
  <c r="P5" i="1"/>
  <c r="Q5" i="1"/>
  <c r="R5" i="1"/>
  <c r="X5" i="1" s="1"/>
  <c r="S5" i="1"/>
  <c r="P6" i="1"/>
  <c r="T6" i="1" s="1"/>
  <c r="Q6" i="1"/>
  <c r="U6" i="1" s="1"/>
  <c r="R6" i="1"/>
  <c r="X6" i="1" s="1"/>
  <c r="S6" i="1"/>
  <c r="P7" i="1"/>
  <c r="Q7" i="1"/>
  <c r="R7" i="1"/>
  <c r="X7" i="1" s="1"/>
  <c r="S7" i="1"/>
  <c r="P8" i="1"/>
  <c r="T8" i="1" s="1"/>
  <c r="Q8" i="1"/>
  <c r="U8" i="1" s="1"/>
  <c r="R8" i="1"/>
  <c r="X8" i="1" s="1"/>
  <c r="S8" i="1"/>
  <c r="P9" i="1"/>
  <c r="Q9" i="1"/>
  <c r="R9" i="1"/>
  <c r="X9" i="1" s="1"/>
  <c r="S9" i="1"/>
  <c r="P10" i="1"/>
  <c r="Q10" i="1"/>
  <c r="R10" i="1"/>
  <c r="X10" i="1" s="1"/>
  <c r="S10" i="1"/>
  <c r="P11" i="1"/>
  <c r="T11" i="1" s="1"/>
  <c r="Q11" i="1"/>
  <c r="U11" i="1" s="1"/>
  <c r="R11" i="1"/>
  <c r="X11" i="1" s="1"/>
  <c r="S11" i="1"/>
  <c r="P12" i="1"/>
  <c r="T12" i="1" s="1"/>
  <c r="Q12" i="1"/>
  <c r="U12" i="1" s="1"/>
  <c r="R12" i="1"/>
  <c r="X12" i="1" s="1"/>
  <c r="S12" i="1"/>
  <c r="P13" i="1"/>
  <c r="T13" i="1" s="1"/>
  <c r="Q13" i="1"/>
  <c r="U13" i="1" s="1"/>
  <c r="R13" i="1"/>
  <c r="X13" i="1" s="1"/>
  <c r="S13" i="1"/>
  <c r="P14" i="1"/>
  <c r="Q14" i="1"/>
  <c r="R14" i="1"/>
  <c r="X14" i="1" s="1"/>
  <c r="S14" i="1"/>
  <c r="P15" i="1"/>
  <c r="T15" i="1" s="1"/>
  <c r="Q15" i="1"/>
  <c r="U15" i="1" s="1"/>
  <c r="R15" i="1"/>
  <c r="X15" i="1" s="1"/>
  <c r="S15" i="1"/>
  <c r="P16" i="1"/>
  <c r="T16" i="1" s="1"/>
  <c r="Q16" i="1"/>
  <c r="R16" i="1"/>
  <c r="X16" i="1" s="1"/>
  <c r="S16" i="1"/>
  <c r="P17" i="1"/>
  <c r="Q17" i="1"/>
  <c r="R17" i="1"/>
  <c r="X17" i="1" s="1"/>
  <c r="S17" i="1"/>
  <c r="P18" i="1"/>
  <c r="Q18" i="1"/>
  <c r="R18" i="1"/>
  <c r="X18" i="1" s="1"/>
  <c r="S18" i="1"/>
  <c r="P19" i="1"/>
  <c r="Q19" i="1"/>
  <c r="R19" i="1"/>
  <c r="X19" i="1" s="1"/>
  <c r="S19" i="1"/>
  <c r="P20" i="1"/>
  <c r="Q20" i="1"/>
  <c r="R20" i="1"/>
  <c r="X20" i="1" s="1"/>
  <c r="S20" i="1"/>
  <c r="P21" i="1"/>
  <c r="Q21" i="1"/>
  <c r="R21" i="1"/>
  <c r="X21" i="1" s="1"/>
  <c r="S21" i="1"/>
  <c r="P22" i="1"/>
  <c r="Q22" i="1"/>
  <c r="R22" i="1"/>
  <c r="X22" i="1" s="1"/>
  <c r="S22" i="1"/>
  <c r="P23" i="1"/>
  <c r="T23" i="1" s="1"/>
  <c r="Q23" i="1"/>
  <c r="U23" i="1" s="1"/>
  <c r="R23" i="1"/>
  <c r="X23" i="1" s="1"/>
  <c r="S23" i="1"/>
  <c r="P24" i="1"/>
  <c r="T24" i="1" s="1"/>
  <c r="Q24" i="1"/>
  <c r="U24" i="1" s="1"/>
  <c r="R24" i="1"/>
  <c r="X24" i="1" s="1"/>
  <c r="S24" i="1"/>
  <c r="P25" i="1"/>
  <c r="T25" i="1" s="1"/>
  <c r="Q25" i="1"/>
  <c r="R25" i="1"/>
  <c r="X25" i="1" s="1"/>
  <c r="S25" i="1"/>
  <c r="P26" i="1"/>
  <c r="Q26" i="1"/>
  <c r="R26" i="1"/>
  <c r="X26" i="1" s="1"/>
  <c r="S26" i="1"/>
  <c r="P27" i="1"/>
  <c r="T27" i="1" s="1"/>
  <c r="Q27" i="1"/>
  <c r="U27" i="1" s="1"/>
  <c r="R27" i="1"/>
  <c r="X27" i="1" s="1"/>
  <c r="S27" i="1"/>
  <c r="P28" i="1"/>
  <c r="T28" i="1" s="1"/>
  <c r="Q28" i="1"/>
  <c r="U28" i="1" s="1"/>
  <c r="R28" i="1"/>
  <c r="X28" i="1" s="1"/>
  <c r="S28" i="1"/>
  <c r="P29" i="1"/>
  <c r="Q29" i="1"/>
  <c r="U29" i="1" s="1"/>
  <c r="R29" i="1"/>
  <c r="X29" i="1" s="1"/>
  <c r="S29" i="1"/>
  <c r="P30" i="1"/>
  <c r="Q30" i="1"/>
  <c r="R30" i="1"/>
  <c r="X30" i="1" s="1"/>
  <c r="S30" i="1"/>
  <c r="P31" i="1"/>
  <c r="T31" i="1" s="1"/>
  <c r="Q31" i="1"/>
  <c r="R31" i="1"/>
  <c r="X31" i="1" s="1"/>
  <c r="S31" i="1"/>
  <c r="P32" i="1"/>
  <c r="Q32" i="1"/>
  <c r="R32" i="1"/>
  <c r="X32" i="1" s="1"/>
  <c r="S32" i="1"/>
  <c r="P33" i="1"/>
  <c r="T33" i="1" s="1"/>
  <c r="Q33" i="1"/>
  <c r="R33" i="1"/>
  <c r="X33" i="1" s="1"/>
  <c r="S33" i="1"/>
  <c r="P34" i="1"/>
  <c r="Q34" i="1"/>
  <c r="R34" i="1"/>
  <c r="X34" i="1" s="1"/>
  <c r="S34" i="1"/>
  <c r="P35" i="1"/>
  <c r="T35" i="1" s="1"/>
  <c r="Q35" i="1"/>
  <c r="U35" i="1" s="1"/>
  <c r="R35" i="1"/>
  <c r="X35" i="1" s="1"/>
  <c r="S35" i="1"/>
  <c r="P36" i="1"/>
  <c r="Q36" i="1"/>
  <c r="U36" i="1" s="1"/>
  <c r="R36" i="1"/>
  <c r="X36" i="1" s="1"/>
  <c r="S36" i="1"/>
  <c r="P37" i="1"/>
  <c r="T37" i="1" s="1"/>
  <c r="Q37" i="1"/>
  <c r="U37" i="1" s="1"/>
  <c r="R37" i="1"/>
  <c r="X37" i="1" s="1"/>
  <c r="S37" i="1"/>
  <c r="P38" i="1"/>
  <c r="Q38" i="1"/>
  <c r="U38" i="1" s="1"/>
  <c r="R38" i="1"/>
  <c r="X38" i="1" s="1"/>
  <c r="S38" i="1"/>
  <c r="P39" i="1"/>
  <c r="T39" i="1" s="1"/>
  <c r="Q39" i="1"/>
  <c r="U39" i="1" s="1"/>
  <c r="R39" i="1"/>
  <c r="X39" i="1" s="1"/>
  <c r="S39" i="1"/>
  <c r="P40" i="1"/>
  <c r="T40" i="1" s="1"/>
  <c r="Q40" i="1"/>
  <c r="U40" i="1" s="1"/>
  <c r="R40" i="1"/>
  <c r="X40" i="1" s="1"/>
  <c r="S40" i="1"/>
  <c r="P41" i="1"/>
  <c r="Q41" i="1"/>
  <c r="R41" i="1"/>
  <c r="X41" i="1" s="1"/>
  <c r="S41" i="1"/>
  <c r="P42" i="1"/>
  <c r="T42" i="1" s="1"/>
  <c r="Q42" i="1"/>
  <c r="U42" i="1" s="1"/>
  <c r="R42" i="1"/>
  <c r="X42" i="1" s="1"/>
  <c r="S42" i="1"/>
  <c r="P43" i="1"/>
  <c r="Q43" i="1"/>
  <c r="R43" i="1"/>
  <c r="X43" i="1" s="1"/>
  <c r="S43" i="1"/>
  <c r="P44" i="1"/>
  <c r="Q44" i="1"/>
  <c r="R44" i="1"/>
  <c r="X44" i="1" s="1"/>
  <c r="S44" i="1"/>
  <c r="P45" i="1"/>
  <c r="Q45" i="1"/>
  <c r="R45" i="1"/>
  <c r="X45" i="1" s="1"/>
  <c r="S45" i="1"/>
  <c r="P46" i="1"/>
  <c r="Q46" i="1"/>
  <c r="R46" i="1"/>
  <c r="X46" i="1" s="1"/>
  <c r="S46" i="1"/>
  <c r="P47" i="1"/>
  <c r="T47" i="1" s="1"/>
  <c r="Q47" i="1"/>
  <c r="R47" i="1"/>
  <c r="X47" i="1" s="1"/>
  <c r="S47" i="1"/>
  <c r="P48" i="1"/>
  <c r="T48" i="1" s="1"/>
  <c r="Q48" i="1"/>
  <c r="U48" i="1" s="1"/>
  <c r="R48" i="1"/>
  <c r="X48" i="1" s="1"/>
  <c r="S48" i="1"/>
  <c r="P49" i="1"/>
  <c r="Q49" i="1"/>
  <c r="R49" i="1"/>
  <c r="X49" i="1" s="1"/>
  <c r="S49" i="1"/>
  <c r="P50" i="1"/>
  <c r="T50" i="1" s="1"/>
  <c r="Q50" i="1"/>
  <c r="R50" i="1"/>
  <c r="X50" i="1" s="1"/>
  <c r="S50" i="1"/>
  <c r="P51" i="1"/>
  <c r="T51" i="1" s="1"/>
  <c r="Q51" i="1"/>
  <c r="U51" i="1" s="1"/>
  <c r="R51" i="1"/>
  <c r="X51" i="1" s="1"/>
  <c r="S51" i="1"/>
  <c r="P52" i="1"/>
  <c r="T52" i="1" s="1"/>
  <c r="Q52" i="1"/>
  <c r="U52" i="1" s="1"/>
  <c r="R52" i="1"/>
  <c r="X52" i="1" s="1"/>
  <c r="S52" i="1"/>
  <c r="P53" i="1"/>
  <c r="Q53" i="1"/>
  <c r="U53" i="1" s="1"/>
  <c r="R53" i="1"/>
  <c r="X53" i="1" s="1"/>
  <c r="S53" i="1"/>
  <c r="P54" i="1"/>
  <c r="Q54" i="1"/>
  <c r="R54" i="1"/>
  <c r="X54" i="1" s="1"/>
  <c r="S54" i="1"/>
  <c r="P55" i="1"/>
  <c r="T55" i="1" s="1"/>
  <c r="Q55" i="1"/>
  <c r="R55" i="1"/>
  <c r="X55" i="1" s="1"/>
  <c r="S55" i="1"/>
  <c r="P56" i="1"/>
  <c r="Q56" i="1"/>
  <c r="R56" i="1"/>
  <c r="X56" i="1" s="1"/>
  <c r="S56" i="1"/>
  <c r="P57" i="1"/>
  <c r="Q57" i="1"/>
  <c r="R57" i="1"/>
  <c r="X57" i="1" s="1"/>
  <c r="S57" i="1"/>
  <c r="P58" i="1"/>
  <c r="Q58" i="1"/>
  <c r="R58" i="1"/>
  <c r="X58" i="1" s="1"/>
  <c r="S58" i="1"/>
  <c r="P59" i="1"/>
  <c r="T59" i="1" s="1"/>
  <c r="Q59" i="1"/>
  <c r="U59" i="1" s="1"/>
  <c r="R59" i="1"/>
  <c r="X59" i="1" s="1"/>
  <c r="S59" i="1"/>
  <c r="P60" i="1"/>
  <c r="Q60" i="1"/>
  <c r="U60" i="1" s="1"/>
  <c r="R60" i="1"/>
  <c r="X60" i="1" s="1"/>
  <c r="S60" i="1"/>
  <c r="P61" i="1"/>
  <c r="T61" i="1" s="1"/>
  <c r="Q61" i="1"/>
  <c r="U61" i="1" s="1"/>
  <c r="R61" i="1"/>
  <c r="X61" i="1" s="1"/>
  <c r="S61" i="1"/>
  <c r="P62" i="1"/>
  <c r="Q62" i="1"/>
  <c r="R62" i="1"/>
  <c r="X62" i="1" s="1"/>
  <c r="S62" i="1"/>
  <c r="P63" i="1"/>
  <c r="Q63" i="1"/>
  <c r="R63" i="1"/>
  <c r="X63" i="1" s="1"/>
  <c r="S63" i="1"/>
  <c r="U3" i="1"/>
  <c r="X3" i="1"/>
  <c r="C3" i="2"/>
  <c r="D3" i="2" s="1"/>
  <c r="E3" i="2" s="1" a="1"/>
  <c r="E3" i="2" s="1"/>
  <c r="C4" i="2"/>
  <c r="D4" i="2" s="1"/>
  <c r="E4" i="2" s="1" a="1"/>
  <c r="E4" i="2" s="1"/>
  <c r="C5" i="2"/>
  <c r="D5" i="2" s="1"/>
  <c r="E5" i="2" s="1" a="1"/>
  <c r="E5" i="2" s="1"/>
  <c r="C6" i="2"/>
  <c r="D6" i="2" s="1"/>
  <c r="E6" i="2" s="1" a="1"/>
  <c r="E6" i="2" s="1"/>
  <c r="C7" i="2"/>
  <c r="D7" i="2" s="1"/>
  <c r="E7" i="2" s="1" a="1"/>
  <c r="E7" i="2" s="1"/>
  <c r="C8" i="2"/>
  <c r="D8" i="2" s="1"/>
  <c r="E8" i="2" s="1" a="1"/>
  <c r="E8" i="2" s="1"/>
  <c r="C9" i="2"/>
  <c r="D9" i="2" s="1"/>
  <c r="E9" i="2" s="1" a="1"/>
  <c r="E9" i="2" s="1"/>
  <c r="C10" i="2"/>
  <c r="D10" i="2" s="1"/>
  <c r="E10" i="2" s="1" a="1"/>
  <c r="E10" i="2" s="1"/>
  <c r="C11" i="2"/>
  <c r="D11" i="2"/>
  <c r="E11" i="2" s="1" a="1"/>
  <c r="E11" i="2" s="1"/>
  <c r="C12" i="2"/>
  <c r="D12" i="2" s="1"/>
  <c r="E12" i="2" s="1" a="1"/>
  <c r="E12" i="2" s="1"/>
  <c r="C13" i="2"/>
  <c r="D13" i="2" s="1"/>
  <c r="E13" i="2" s="1" a="1"/>
  <c r="E13" i="2" s="1"/>
  <c r="C14" i="2"/>
  <c r="D14" i="2" s="1"/>
  <c r="E14" i="2" s="1" a="1"/>
  <c r="E14" i="2" s="1"/>
  <c r="C15" i="2"/>
  <c r="D15" i="2" s="1"/>
  <c r="E15" i="2" s="1" a="1"/>
  <c r="E15" i="2" s="1"/>
  <c r="C16" i="2"/>
  <c r="D16" i="2" s="1"/>
  <c r="E16" i="2" s="1" a="1"/>
  <c r="E16" i="2" s="1"/>
  <c r="C17" i="2"/>
  <c r="D17" i="2"/>
  <c r="E17" i="2" s="1" a="1"/>
  <c r="E17" i="2" s="1"/>
  <c r="C18" i="2"/>
  <c r="D18" i="2" s="1"/>
  <c r="E18" i="2" s="1" a="1"/>
  <c r="E18" i="2" s="1"/>
  <c r="C19" i="2"/>
  <c r="D19" i="2" s="1"/>
  <c r="E19" i="2" s="1" a="1"/>
  <c r="E19" i="2" s="1"/>
  <c r="C20" i="2"/>
  <c r="D20" i="2" s="1"/>
  <c r="E20" i="2" s="1" a="1"/>
  <c r="E20" i="2" s="1"/>
  <c r="C21" i="2"/>
  <c r="D21" i="2" s="1"/>
  <c r="E21" i="2" s="1" a="1"/>
  <c r="E21" i="2" s="1"/>
  <c r="C22" i="2"/>
  <c r="D22" i="2" s="1"/>
  <c r="E22" i="2" s="1" a="1"/>
  <c r="E22" i="2" s="1"/>
  <c r="C23" i="2"/>
  <c r="D23" i="2" s="1"/>
  <c r="E23" i="2" s="1" a="1"/>
  <c r="E23" i="2" s="1"/>
  <c r="C24" i="2"/>
  <c r="D24" i="2" s="1"/>
  <c r="E24" i="2" s="1" a="1"/>
  <c r="E24" i="2" s="1"/>
  <c r="C25" i="2"/>
  <c r="D25" i="2" s="1"/>
  <c r="E25" i="2" s="1" a="1"/>
  <c r="E25" i="2" s="1"/>
  <c r="C26" i="2"/>
  <c r="D26" i="2" s="1"/>
  <c r="E26" i="2" s="1" a="1"/>
  <c r="E26" i="2" s="1"/>
  <c r="C27" i="2"/>
  <c r="D27" i="2" s="1"/>
  <c r="E27" i="2" s="1" a="1"/>
  <c r="E27" i="2" s="1"/>
  <c r="C28" i="2"/>
  <c r="D28" i="2" s="1"/>
  <c r="E28" i="2" s="1" a="1"/>
  <c r="E28" i="2" s="1"/>
  <c r="C29" i="2"/>
  <c r="D29" i="2"/>
  <c r="E29" i="2" s="1" a="1"/>
  <c r="E29" i="2" s="1"/>
  <c r="C30" i="2"/>
  <c r="D30" i="2" s="1"/>
  <c r="E30" i="2" s="1" a="1"/>
  <c r="E30" i="2" s="1"/>
  <c r="C31" i="2"/>
  <c r="D31" i="2" s="1"/>
  <c r="E31" i="2" s="1" a="1"/>
  <c r="E31" i="2" s="1"/>
  <c r="C32" i="2"/>
  <c r="D32" i="2" s="1"/>
  <c r="E32" i="2" s="1" a="1"/>
  <c r="E32" i="2" s="1"/>
  <c r="C33" i="2"/>
  <c r="D33" i="2" s="1"/>
  <c r="E33" i="2" s="1" a="1"/>
  <c r="E33" i="2" s="1"/>
  <c r="C34" i="2"/>
  <c r="D34" i="2" s="1"/>
  <c r="E34" i="2" s="1" a="1"/>
  <c r="E34" i="2" s="1"/>
  <c r="C35" i="2"/>
  <c r="D35" i="2"/>
  <c r="E35" i="2" s="1" a="1"/>
  <c r="E35" i="2" s="1"/>
  <c r="C36" i="2"/>
  <c r="D36" i="2" s="1"/>
  <c r="E36" i="2" s="1" a="1"/>
  <c r="E36" i="2" s="1"/>
  <c r="C37" i="2"/>
  <c r="D37" i="2" s="1"/>
  <c r="E37" i="2" s="1" a="1"/>
  <c r="E37" i="2" s="1"/>
  <c r="C38" i="2"/>
  <c r="D38" i="2" s="1"/>
  <c r="E38" i="2" s="1" a="1"/>
  <c r="E38" i="2" s="1"/>
  <c r="C39" i="2"/>
  <c r="D39" i="2" s="1"/>
  <c r="E39" i="2" s="1" a="1"/>
  <c r="E39" i="2" s="1"/>
  <c r="C40" i="2"/>
  <c r="D40" i="2" s="1"/>
  <c r="E40" i="2" s="1" a="1"/>
  <c r="E40" i="2" s="1"/>
  <c r="C41" i="2"/>
  <c r="D41" i="2" s="1"/>
  <c r="E41" i="2" s="1" a="1"/>
  <c r="E41" i="2" s="1"/>
  <c r="C42" i="2"/>
  <c r="D42" i="2" s="1"/>
  <c r="E42" i="2" s="1" a="1"/>
  <c r="E42" i="2" s="1"/>
  <c r="C43" i="2"/>
  <c r="D43" i="2" s="1"/>
  <c r="E43" i="2" s="1" a="1"/>
  <c r="E43" i="2" s="1"/>
  <c r="C44" i="2"/>
  <c r="D44" i="2" s="1"/>
  <c r="E44" i="2" s="1" a="1"/>
  <c r="E44" i="2" s="1"/>
  <c r="C45" i="2"/>
  <c r="D45" i="2" s="1"/>
  <c r="E45" i="2" s="1" a="1"/>
  <c r="E45" i="2" s="1"/>
  <c r="C46" i="2"/>
  <c r="D46" i="2" s="1"/>
  <c r="E46" i="2" s="1" a="1"/>
  <c r="E46" i="2" s="1"/>
  <c r="C47" i="2"/>
  <c r="D47" i="2" s="1"/>
  <c r="E47" i="2" s="1" a="1"/>
  <c r="E47" i="2" s="1"/>
  <c r="C48" i="2"/>
  <c r="D48" i="2" s="1"/>
  <c r="E48" i="2" s="1" a="1"/>
  <c r="E48" i="2" s="1"/>
  <c r="C49" i="2"/>
  <c r="D49" i="2" s="1"/>
  <c r="E49" i="2" s="1" a="1"/>
  <c r="E49" i="2" s="1"/>
  <c r="C50" i="2"/>
  <c r="D50" i="2" s="1"/>
  <c r="E50" i="2" s="1" a="1"/>
  <c r="E50" i="2" s="1"/>
  <c r="C51" i="2"/>
  <c r="D51" i="2" s="1"/>
  <c r="E51" i="2" s="1" a="1"/>
  <c r="E51" i="2" s="1"/>
  <c r="C52" i="2"/>
  <c r="D52" i="2" s="1"/>
  <c r="E52" i="2" s="1" a="1"/>
  <c r="E52" i="2" s="1"/>
  <c r="C53" i="2"/>
  <c r="D53" i="2" s="1"/>
  <c r="E53" i="2" s="1" a="1"/>
  <c r="E53" i="2" s="1"/>
  <c r="C54" i="2"/>
  <c r="D54" i="2" s="1"/>
  <c r="E54" i="2" s="1" a="1"/>
  <c r="E54" i="2" s="1"/>
  <c r="C55" i="2"/>
  <c r="D55" i="2" s="1"/>
  <c r="E55" i="2" s="1" a="1"/>
  <c r="E55" i="2" s="1"/>
  <c r="C56" i="2"/>
  <c r="D56" i="2" s="1"/>
  <c r="E56" i="2" s="1" a="1"/>
  <c r="E56" i="2" s="1"/>
  <c r="C57" i="2"/>
  <c r="D57" i="2" s="1"/>
  <c r="E57" i="2" s="1" a="1"/>
  <c r="E57" i="2" s="1"/>
  <c r="C58" i="2"/>
  <c r="D58" i="2" s="1"/>
  <c r="E58" i="2" s="1" a="1"/>
  <c r="E58" i="2" s="1"/>
  <c r="C59" i="2"/>
  <c r="D59" i="2" s="1"/>
  <c r="E59" i="2" s="1" a="1"/>
  <c r="E59" i="2" s="1"/>
  <c r="C60" i="2"/>
  <c r="D60" i="2" s="1"/>
  <c r="E60" i="2" s="1" a="1"/>
  <c r="E60" i="2" s="1"/>
  <c r="C61" i="2"/>
  <c r="D61" i="2" s="1"/>
  <c r="E61" i="2" s="1" a="1"/>
  <c r="E61" i="2" s="1"/>
  <c r="C62" i="2"/>
  <c r="D62" i="2" s="1"/>
  <c r="E62" i="2" s="1" a="1"/>
  <c r="E62" i="2" s="1"/>
  <c r="C2" i="2"/>
  <c r="D2" i="2" s="1"/>
  <c r="E2" i="2" s="1" a="1"/>
  <c r="E2" i="2" s="1"/>
  <c r="C1" i="2"/>
  <c r="D1" i="2" s="1"/>
  <c r="E1" i="2" s="1" a="1"/>
  <c r="E1" i="2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2" i="1"/>
  <c r="Y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Y6" i="1"/>
  <c r="S2" i="1"/>
  <c r="R2" i="1"/>
  <c r="X2" i="1" s="1"/>
  <c r="Q2" i="1"/>
  <c r="P2" i="1"/>
  <c r="U4" i="1" l="1"/>
  <c r="U32" i="1"/>
  <c r="U56" i="1"/>
  <c r="U46" i="1"/>
  <c r="T29" i="1"/>
  <c r="W29" i="1" s="1"/>
  <c r="U5" i="1"/>
  <c r="T43" i="1"/>
  <c r="U31" i="1"/>
  <c r="W31" i="1" s="1"/>
  <c r="T19" i="1"/>
  <c r="U62" i="1"/>
  <c r="W3" i="1"/>
  <c r="W6" i="1"/>
  <c r="W52" i="1"/>
  <c r="U45" i="1"/>
  <c r="T21" i="1"/>
  <c r="U44" i="1"/>
  <c r="U20" i="1"/>
  <c r="W11" i="1"/>
  <c r="U22" i="1"/>
  <c r="W13" i="1"/>
  <c r="U7" i="1"/>
  <c r="U54" i="1"/>
  <c r="U30" i="1"/>
  <c r="U16" i="1"/>
  <c r="W16" i="1" s="1"/>
  <c r="T14" i="1"/>
  <c r="T26" i="1"/>
  <c r="U19" i="1"/>
  <c r="U26" i="1"/>
  <c r="T63" i="1"/>
  <c r="T60" i="1"/>
  <c r="W60" i="1" s="1"/>
  <c r="T36" i="1"/>
  <c r="W36" i="1" s="1"/>
  <c r="W12" i="1"/>
  <c r="T17" i="1"/>
  <c r="U63" i="1"/>
  <c r="W42" i="1"/>
  <c r="W27" i="1"/>
  <c r="W8" i="1"/>
  <c r="W15" i="1"/>
  <c r="W28" i="1"/>
  <c r="W35" i="1"/>
  <c r="W51" i="1"/>
  <c r="W40" i="1"/>
  <c r="W61" i="1"/>
  <c r="W23" i="1"/>
  <c r="W37" i="1"/>
  <c r="W48" i="1"/>
  <c r="W59" i="1"/>
  <c r="W24" i="1"/>
  <c r="W39" i="1"/>
  <c r="T10" i="1"/>
  <c r="U10" i="1"/>
  <c r="T58" i="1"/>
  <c r="U58" i="1"/>
  <c r="T22" i="1"/>
  <c r="T34" i="1"/>
  <c r="U34" i="1"/>
  <c r="T46" i="1"/>
  <c r="W46" i="1" s="1"/>
  <c r="T30" i="1"/>
  <c r="U14" i="1"/>
  <c r="T32" i="1"/>
  <c r="W32" i="1" s="1"/>
  <c r="T44" i="1"/>
  <c r="T57" i="1"/>
  <c r="T18" i="1"/>
  <c r="U21" i="1"/>
  <c r="T41" i="1"/>
  <c r="T45" i="1"/>
  <c r="T9" i="1"/>
  <c r="T56" i="1"/>
  <c r="W56" i="1" s="1"/>
  <c r="T4" i="1"/>
  <c r="T20" i="1"/>
  <c r="T38" i="1"/>
  <c r="W38" i="1" s="1"/>
  <c r="U47" i="1"/>
  <c r="W47" i="1" s="1"/>
  <c r="T49" i="1"/>
  <c r="T53" i="1"/>
  <c r="W53" i="1" s="1"/>
  <c r="T62" i="1"/>
  <c r="U55" i="1"/>
  <c r="W55" i="1" s="1"/>
  <c r="T5" i="1"/>
  <c r="U50" i="1"/>
  <c r="W50" i="1" s="1"/>
  <c r="U43" i="1"/>
  <c r="T54" i="1"/>
  <c r="U18" i="1"/>
  <c r="W2" i="1"/>
  <c r="U9" i="1"/>
  <c r="U17" i="1"/>
  <c r="U25" i="1"/>
  <c r="W25" i="1" s="1"/>
  <c r="U33" i="1"/>
  <c r="W33" i="1" s="1"/>
  <c r="U41" i="1"/>
  <c r="U49" i="1"/>
  <c r="U57" i="1"/>
  <c r="T7" i="1"/>
  <c r="W4" i="1" l="1"/>
  <c r="W5" i="1"/>
  <c r="W19" i="1"/>
  <c r="W62" i="1"/>
  <c r="W21" i="1"/>
  <c r="W14" i="1"/>
  <c r="W43" i="1"/>
  <c r="W41" i="1"/>
  <c r="W44" i="1"/>
  <c r="W26" i="1"/>
  <c r="W20" i="1"/>
  <c r="W30" i="1"/>
  <c r="W63" i="1"/>
  <c r="W17" i="1"/>
  <c r="W54" i="1"/>
  <c r="W7" i="1"/>
  <c r="W45" i="1"/>
  <c r="W22" i="1"/>
  <c r="W9" i="1"/>
  <c r="W58" i="1"/>
  <c r="W18" i="1"/>
  <c r="W49" i="1"/>
  <c r="W34" i="1"/>
  <c r="W57" i="1"/>
  <c r="W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<sst xmlns="http://schemas.openxmlformats.org/spreadsheetml/2006/main" count="302" uniqueCount="31">
  <si>
    <t>Electrode</t>
  </si>
  <si>
    <t>Inlet flow rate</t>
  </si>
  <si>
    <t>Flow rate (ml min-1)</t>
  </si>
  <si>
    <t>Catholyte</t>
  </si>
  <si>
    <t>Anolyte</t>
  </si>
  <si>
    <t>Membrane</t>
  </si>
  <si>
    <t>Applied current / A</t>
  </si>
  <si>
    <t>Duration / h</t>
  </si>
  <si>
    <t>area(H2)</t>
  </si>
  <si>
    <t>area(CO)</t>
  </si>
  <si>
    <t>area(CO2)</t>
  </si>
  <si>
    <t>area(CH4)</t>
  </si>
  <si>
    <t>area(O2)</t>
  </si>
  <si>
    <t>area(N2)</t>
  </si>
  <si>
    <t>c(H2)</t>
  </si>
  <si>
    <t>c(CO)</t>
  </si>
  <si>
    <t>c(CO2)</t>
  </si>
  <si>
    <t>c(O2)</t>
  </si>
  <si>
    <t>FE(H2)</t>
  </si>
  <si>
    <t>FE(CO)</t>
  </si>
  <si>
    <t>FE(CH4)</t>
  </si>
  <si>
    <t>Total FE</t>
  </si>
  <si>
    <t>Carbon efficiency</t>
  </si>
  <si>
    <t>Ag60 GDE in PTFE holder</t>
  </si>
  <si>
    <t>CCM-CEM</t>
  </si>
  <si>
    <t>Time</t>
  </si>
  <si>
    <r>
      <t>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</si>
  <si>
    <r>
      <t>0.05 M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</si>
  <si>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</si>
  <si>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0.9Mk2so4pH3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</si>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</sst>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m/d/yy\ h:mm\ AM/PM;@"/>
    <numFmt numFmtId="165" formatCode="0.0"/>
    <numFmt numFmtId="166" formatCode="m/d/yy\ h:mm;@"/>
    <numFmt numFmtId="167" formatCode="0.000"/>
    <numFmt numFmtId="168" formatCode="d/mm/yy\ h:mm;@"/>
    <numFmt numFmtId="169" formatCode="yyyy\-mm\-dd\ hh:mm:ss"/>
    <numFmt numFmtId="170" formatCode="0.0000"/>
  </numFmts>
  <fonts count="8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72"/>
      <name val="SansSerif"/>
    </font>
    <font>
      <sz val="9"/>
      <color rgb="FF000000"/>
      <name val="SansSerif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5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 vertical="center"/>
    </xf>
    <xf numFmtId="22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3" fontId="0" fillId="0" borderId="0" xfId="0" applyNumberFormat="1"/>
    <xf numFmtId="167" fontId="0" fillId="0" borderId="0" xfId="0" applyNumberFormat="1"/>
    <xf numFmtId="22" fontId="0" fillId="0" borderId="0" xfId="0" applyNumberFormat="1"/>
    <xf numFmtId="166" fontId="0" fillId="0" borderId="0" xfId="0" applyNumberFormat="1"/>
    <xf numFmtId="165" fontId="0" fillId="0" borderId="0" xfId="0" applyNumberFormat="1"/>
    <xf numFmtId="22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9" fontId="0" fillId="0" borderId="0" xfId="0" applyNumberFormat="1"/>
    <xf numFmtId="170" fontId="0" fillId="7" borderId="1" xfId="0" applyNumberFormat="1" applyFill="1" applyBorder="1" applyAlignment="1">
      <alignment horizontal="center" vertical="center"/>
    </xf>
    <xf numFmtId="170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OVEAALP\Downloads\2nd_Summary%20of%20Ag%20GDE_acidic%20catholyte_screening%20work.xlsx" TargetMode="External"/><Relationship Id="rId1" Type="http://schemas.openxmlformats.org/officeDocument/2006/relationships/externalLinkPath" Target="file:///C:\Users\GOVEAALP\Downloads\2nd_Summary%20of%20Ag%20GDE_acidic%20catholyte_screening%20wor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idic catholyte_Na2SO4"/>
      <sheetName val="Flow rate"/>
    </sheetNames>
    <sheetDataSet>
      <sheetData sheetId="0"/>
      <sheetData sheetId="1">
        <row r="64">
          <cell r="E64">
            <v>44.78069</v>
          </cell>
        </row>
        <row r="65">
          <cell r="E65">
            <v>51.516533000000003</v>
          </cell>
        </row>
        <row r="66">
          <cell r="E66">
            <v>53.308383999999997</v>
          </cell>
        </row>
        <row r="67">
          <cell r="E67">
            <v>54.390244000000003</v>
          </cell>
        </row>
        <row r="68">
          <cell r="E68">
            <v>55.565525000000001</v>
          </cell>
        </row>
        <row r="69">
          <cell r="E69">
            <v>56.354196000000002</v>
          </cell>
        </row>
        <row r="70">
          <cell r="E70">
            <v>56.889769999999999</v>
          </cell>
        </row>
        <row r="71">
          <cell r="E71">
            <v>58.791902</v>
          </cell>
        </row>
        <row r="72">
          <cell r="E72">
            <v>58.900806000000003</v>
          </cell>
        </row>
        <row r="73">
          <cell r="E73">
            <v>60.078346000000003</v>
          </cell>
        </row>
        <row r="74">
          <cell r="E74">
            <v>59.894936999999999</v>
          </cell>
        </row>
        <row r="75">
          <cell r="E75">
            <v>60.134957999999997</v>
          </cell>
        </row>
        <row r="76">
          <cell r="E76">
            <v>60.602148999999997</v>
          </cell>
        </row>
        <row r="77">
          <cell r="E77">
            <v>60.442653999999997</v>
          </cell>
        </row>
        <row r="78">
          <cell r="E78">
            <v>60.726002000000001</v>
          </cell>
        </row>
        <row r="79">
          <cell r="E79">
            <v>62.879046000000002</v>
          </cell>
        </row>
        <row r="80">
          <cell r="E80">
            <v>63.185505999999997</v>
          </cell>
        </row>
        <row r="81">
          <cell r="E81">
            <v>62.954715999999998</v>
          </cell>
        </row>
        <row r="82">
          <cell r="E82">
            <v>62.693565999999997</v>
          </cell>
        </row>
        <row r="83">
          <cell r="E83">
            <v>63.117384999999999</v>
          </cell>
        </row>
        <row r="84">
          <cell r="E84">
            <v>62.903899000000003</v>
          </cell>
        </row>
        <row r="85">
          <cell r="E85">
            <v>63.402571999999999</v>
          </cell>
        </row>
        <row r="86">
          <cell r="E86">
            <v>62.917591000000002</v>
          </cell>
        </row>
        <row r="87">
          <cell r="E87">
            <v>65.450351999999995</v>
          </cell>
        </row>
        <row r="88">
          <cell r="E88">
            <v>65.004163000000005</v>
          </cell>
        </row>
        <row r="89">
          <cell r="E89">
            <v>65.245939000000007</v>
          </cell>
        </row>
        <row r="90">
          <cell r="E90">
            <v>65.050959000000006</v>
          </cell>
        </row>
        <row r="91">
          <cell r="E91">
            <v>64.875403000000006</v>
          </cell>
        </row>
        <row r="92">
          <cell r="E92">
            <v>65.28201</v>
          </cell>
        </row>
        <row r="93">
          <cell r="E93">
            <v>64.931040999999993</v>
          </cell>
        </row>
        <row r="94">
          <cell r="E94">
            <v>64.720758000000004</v>
          </cell>
        </row>
        <row r="95">
          <cell r="E95">
            <v>67.122949000000006</v>
          </cell>
        </row>
        <row r="96">
          <cell r="E96">
            <v>66.493643000000006</v>
          </cell>
        </row>
        <row r="97">
          <cell r="E97">
            <v>66.747988000000007</v>
          </cell>
        </row>
        <row r="98">
          <cell r="E98">
            <v>66.157107999999994</v>
          </cell>
        </row>
        <row r="99">
          <cell r="E99">
            <v>66.338057000000006</v>
          </cell>
        </row>
        <row r="100">
          <cell r="E100">
            <v>65.962504999999993</v>
          </cell>
        </row>
        <row r="101">
          <cell r="E101">
            <v>66.749397999999999</v>
          </cell>
        </row>
        <row r="102">
          <cell r="E102">
            <v>62.612499999999997</v>
          </cell>
        </row>
        <row r="103">
          <cell r="E103">
            <v>65.865452000000005</v>
          </cell>
        </row>
        <row r="104">
          <cell r="E104">
            <v>66.633942000000005</v>
          </cell>
        </row>
        <row r="105">
          <cell r="E105">
            <v>65.707552000000007</v>
          </cell>
        </row>
        <row r="106">
          <cell r="E106">
            <v>65.599198999999999</v>
          </cell>
        </row>
        <row r="107">
          <cell r="E107">
            <v>65.724652000000006</v>
          </cell>
        </row>
        <row r="108">
          <cell r="E108">
            <v>65.881394</v>
          </cell>
        </row>
        <row r="109">
          <cell r="E109">
            <v>65.991834999999995</v>
          </cell>
        </row>
        <row r="110">
          <cell r="E110">
            <v>65.577878999999996</v>
          </cell>
        </row>
        <row r="111">
          <cell r="E111">
            <v>69.747084000000001</v>
          </cell>
        </row>
        <row r="112">
          <cell r="E112">
            <v>69.518810000000002</v>
          </cell>
        </row>
        <row r="113">
          <cell r="E113">
            <v>69.707357000000002</v>
          </cell>
        </row>
        <row r="114">
          <cell r="E114">
            <v>69.268531999999993</v>
          </cell>
        </row>
        <row r="115">
          <cell r="E115">
            <v>68.973297000000002</v>
          </cell>
        </row>
        <row r="116">
          <cell r="E116">
            <v>69.614762999999996</v>
          </cell>
        </row>
        <row r="117">
          <cell r="E117">
            <v>69.030595000000005</v>
          </cell>
        </row>
        <row r="118">
          <cell r="E118">
            <v>69.277966000000006</v>
          </cell>
        </row>
        <row r="119">
          <cell r="E119">
            <v>79.608513000000002</v>
          </cell>
        </row>
        <row r="120">
          <cell r="E120">
            <v>79.513694000000001</v>
          </cell>
        </row>
        <row r="121">
          <cell r="E121">
            <v>78.687230999999997</v>
          </cell>
        </row>
        <row r="122">
          <cell r="E122">
            <v>78.188353000000006</v>
          </cell>
        </row>
        <row r="123">
          <cell r="E123">
            <v>55.532567999999998</v>
          </cell>
        </row>
        <row r="124">
          <cell r="E124">
            <v>57.201605999999998</v>
          </cell>
        </row>
        <row r="125">
          <cell r="E125">
            <v>60.485227000000002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EDDA-4846-4EA0-B855-5F628FF13338}">
  <dimension ref="A1:AB127"/>
  <sheetViews>
    <sheetView tabSelected="1" topLeftCell="H1" zoomScale="70" zoomScaleNormal="70" workbookViewId="0">
      <selection activeCell="V10" sqref="V10"/>
    </sheetView>
  </sheetViews>
  <sheetFormatPr defaultRowHeight="14.4" x14ac:dyDescent="0.3"/>
  <cols>
    <col min="1" max="1" width="25.6640625" customWidth="1"/>
    <col min="2" max="2" width="6.5546875" customWidth="1"/>
    <col min="3" max="3" width="18.88671875" customWidth="1"/>
    <col min="4" max="4" width="13.77734375" customWidth="1"/>
    <col min="5" max="5" width="15.77734375" customWidth="1"/>
    <col min="6" max="6" width="13.5546875" customWidth="1"/>
    <col min="7" max="7" width="14.88671875" customWidth="1"/>
    <col min="8" max="8" width="23.5546875" bestFit="1" customWidth="1"/>
    <col min="9" max="9" width="15.109375" customWidth="1"/>
    <col min="12" max="12" width="9.33203125" bestFit="1" customWidth="1"/>
  </cols>
  <sheetData>
    <row r="1" spans="1:28" s="11" customFormat="1" ht="34.200000000000003" x14ac:dyDescent="0.2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25</v>
      </c>
      <c r="I1" s="7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7" t="s">
        <v>21</v>
      </c>
      <c r="X1" s="7" t="s">
        <v>22</v>
      </c>
      <c r="Y1" s="7"/>
    </row>
    <row r="2" spans="1:28" ht="15.6" x14ac:dyDescent="0.3">
      <c r="A2" s="1" t="s">
        <v>23</v>
      </c>
      <c r="B2" s="1">
        <v>60</v>
      </c>
      <c r="C2" s="2">
        <f>+'[1]Flow rate'!E64</f>
        <v>44.78069</v>
      </c>
      <c r="D2" s="1" t="s">
        <v>26</v>
      </c>
      <c r="E2" s="1" t="s">
        <v>27</v>
      </c>
      <c r="F2" s="1" t="s">
        <v>24</v>
      </c>
      <c r="G2" s="1">
        <v>0</v>
      </c>
      <c r="H2" s="15">
        <v>45454.672300486112</v>
      </c>
      <c r="I2" s="16">
        <v>0</v>
      </c>
      <c r="J2" s="1">
        <v>0</v>
      </c>
      <c r="K2" s="1">
        <v>0</v>
      </c>
      <c r="L2" s="1">
        <v>0</v>
      </c>
      <c r="N2" s="1">
        <v>0</v>
      </c>
      <c r="O2" s="1">
        <v>0</v>
      </c>
      <c r="P2" s="3">
        <f t="shared" ref="P2:Q2" si="0">+J2/100</f>
        <v>0</v>
      </c>
      <c r="Q2" s="3">
        <f t="shared" si="0"/>
        <v>0</v>
      </c>
      <c r="R2" s="3">
        <f>+L2/100</f>
        <v>0</v>
      </c>
      <c r="S2" s="3">
        <f>+M2/100</f>
        <v>0</v>
      </c>
      <c r="T2" s="4">
        <v>0</v>
      </c>
      <c r="U2" s="5">
        <v>0</v>
      </c>
      <c r="V2" s="5"/>
      <c r="W2" s="3">
        <f t="shared" ref="W2" si="1">+T2+U2</f>
        <v>0</v>
      </c>
      <c r="X2" s="3">
        <f t="shared" ref="X2:X63" si="2">+R2/100</f>
        <v>0</v>
      </c>
      <c r="Y2" s="17">
        <v>0</v>
      </c>
      <c r="AB2" s="19"/>
    </row>
    <row r="3" spans="1:28" ht="15.6" x14ac:dyDescent="0.3">
      <c r="A3" s="1" t="s">
        <v>23</v>
      </c>
      <c r="B3" s="1">
        <v>60</v>
      </c>
      <c r="C3" s="2">
        <f>+'[1]Flow rate'!E65</f>
        <v>51.516533000000003</v>
      </c>
      <c r="D3" s="1" t="s">
        <v>28</v>
      </c>
      <c r="E3" s="1" t="s">
        <v>27</v>
      </c>
      <c r="F3" s="1" t="s">
        <v>24</v>
      </c>
      <c r="G3" s="1">
        <v>-0.125</v>
      </c>
      <c r="H3" s="15">
        <v>45454.69635416667</v>
      </c>
      <c r="I3" s="16">
        <f>+(H3-H$2)*24</f>
        <v>0.5772883333847858</v>
      </c>
      <c r="J3" s="25">
        <v>2.8694545981355884E-3</v>
      </c>
      <c r="K3" s="25">
        <v>3.2377699180154963E-2</v>
      </c>
      <c r="L3" s="25">
        <v>108.30673418616428</v>
      </c>
      <c r="N3" s="25">
        <v>8.2948936472178325E-4</v>
      </c>
      <c r="O3" s="25">
        <v>9.6949360599609194E-3</v>
      </c>
      <c r="P3" s="3">
        <f>+J3/SUM($J3:$O3)</f>
        <v>2.6482586423513551E-5</v>
      </c>
      <c r="Q3" s="3">
        <f t="shared" ref="Q3:R3" si="3">+K3/SUM($J3:$O3)</f>
        <v>2.9881818561969855E-4</v>
      </c>
      <c r="R3" s="3">
        <f t="shared" si="3"/>
        <v>0.9995775678755221</v>
      </c>
      <c r="S3" s="3">
        <f>+N3/SUM($J3:$O3)</f>
        <v>7.6554700683896259E-6</v>
      </c>
      <c r="T3" s="4">
        <f t="shared" ref="T3:T63" si="4">+P3*C3/1000/60/24.3*2*96485/-1/G3</f>
        <v>1.4445390479530817E-3</v>
      </c>
      <c r="U3" s="5">
        <f t="shared" ref="U3:U63" si="5">+Q3*C3/1000/60/24.3*2*96485/-1/G3</f>
        <v>1.6299561170614596E-2</v>
      </c>
      <c r="V3" s="5"/>
      <c r="W3" s="3">
        <f>+T3+U3</f>
        <v>1.7744100218567677E-2</v>
      </c>
      <c r="X3" s="3">
        <f t="shared" si="2"/>
        <v>9.9957756787552206E-3</v>
      </c>
      <c r="Y3" s="17"/>
      <c r="AB3" s="19"/>
    </row>
    <row r="4" spans="1:28" ht="15.6" x14ac:dyDescent="0.3">
      <c r="A4" s="1" t="s">
        <v>23</v>
      </c>
      <c r="B4" s="1">
        <v>60</v>
      </c>
      <c r="C4" s="2">
        <f>+'[1]Flow rate'!E66</f>
        <v>53.308383999999997</v>
      </c>
      <c r="D4" s="1" t="s">
        <v>28</v>
      </c>
      <c r="E4" s="1" t="s">
        <v>27</v>
      </c>
      <c r="F4" s="1" t="s">
        <v>24</v>
      </c>
      <c r="G4" s="1">
        <v>-0.125</v>
      </c>
      <c r="H4" s="15">
        <v>45454.706770833334</v>
      </c>
      <c r="I4" s="16">
        <f t="shared" ref="I4:I63" si="6">+(H4-H$2)*24</f>
        <v>0.82728833332657814</v>
      </c>
      <c r="J4" s="25">
        <v>0.13146338086997997</v>
      </c>
      <c r="K4" s="25">
        <v>1.6273236975433327</v>
      </c>
      <c r="L4" s="25">
        <v>106.14661737225667</v>
      </c>
      <c r="N4" s="25">
        <v>0.27825197597569595</v>
      </c>
      <c r="O4" s="25">
        <v>0.30035101156391897</v>
      </c>
      <c r="P4" s="3">
        <f t="shared" ref="P4:P35" si="7">+J3/SUM($J3:$O3)</f>
        <v>2.6482586423513551E-5</v>
      </c>
      <c r="Q4" s="3">
        <f t="shared" ref="Q4:Q35" si="8">+K3/SUM($J3:$O3)</f>
        <v>2.9881818561969855E-4</v>
      </c>
      <c r="R4" s="3">
        <f t="shared" ref="R4:R35" si="9">+L3/SUM($J3:$O3)</f>
        <v>0.9995775678755221</v>
      </c>
      <c r="S4" s="3">
        <f t="shared" ref="S4:S35" si="10">+N3/SUM($J3:$O3)</f>
        <v>7.6554700683896259E-6</v>
      </c>
      <c r="T4" s="4">
        <f t="shared" si="4"/>
        <v>1.4947830878152706E-3</v>
      </c>
      <c r="U4" s="5">
        <f t="shared" si="5"/>
        <v>1.6866493440360439E-2</v>
      </c>
      <c r="V4" s="5"/>
      <c r="W4" s="3">
        <f t="shared" ref="W4:W63" si="11">+T4+U4</f>
        <v>1.8361276528175711E-2</v>
      </c>
      <c r="X4" s="3">
        <f t="shared" si="2"/>
        <v>9.9957756787552206E-3</v>
      </c>
      <c r="Y4" s="18">
        <f>+SUM(J3:L3)</f>
        <v>108.34198133994256</v>
      </c>
      <c r="AB4" s="19"/>
    </row>
    <row r="5" spans="1:28" ht="15.6" x14ac:dyDescent="0.3">
      <c r="A5" s="1" t="s">
        <v>23</v>
      </c>
      <c r="B5" s="1">
        <v>60</v>
      </c>
      <c r="C5" s="2">
        <f>+'[1]Flow rate'!E67</f>
        <v>54.390244000000003</v>
      </c>
      <c r="D5" s="1" t="s">
        <v>28</v>
      </c>
      <c r="E5" s="1" t="s">
        <v>27</v>
      </c>
      <c r="F5" s="1" t="s">
        <v>24</v>
      </c>
      <c r="G5" s="1">
        <v>-0.125</v>
      </c>
      <c r="H5" s="15">
        <v>45454.717175925929</v>
      </c>
      <c r="I5" s="16">
        <f t="shared" si="6"/>
        <v>1.0770105556002818</v>
      </c>
      <c r="J5" s="25">
        <v>0.15031479572465298</v>
      </c>
      <c r="K5" s="25">
        <v>1.5996549919165404</v>
      </c>
      <c r="L5" s="25">
        <v>106.26553867665407</v>
      </c>
      <c r="N5" s="25">
        <v>0.23110405363075426</v>
      </c>
      <c r="O5" s="25">
        <v>0.21001344395910707</v>
      </c>
      <c r="P5" s="3">
        <f t="shared" si="7"/>
        <v>1.2118226822037247E-3</v>
      </c>
      <c r="Q5" s="3">
        <f t="shared" si="8"/>
        <v>1.5000586132202252E-2</v>
      </c>
      <c r="R5" s="3">
        <f t="shared" si="9"/>
        <v>0.97845405861058143</v>
      </c>
      <c r="S5" s="3">
        <f t="shared" si="10"/>
        <v>2.5649124008825259E-3</v>
      </c>
      <c r="T5" s="4">
        <f t="shared" si="4"/>
        <v>6.9788255771903146E-2</v>
      </c>
      <c r="U5" s="5">
        <f t="shared" si="5"/>
        <v>0.86387617354945767</v>
      </c>
      <c r="V5" s="5"/>
      <c r="W5" s="3">
        <f t="shared" si="11"/>
        <v>0.93366442932136084</v>
      </c>
      <c r="X5" s="3">
        <f t="shared" si="2"/>
        <v>9.7845405861058145E-3</v>
      </c>
      <c r="AB5" s="19"/>
    </row>
    <row r="6" spans="1:28" ht="15.6" x14ac:dyDescent="0.3">
      <c r="A6" s="1" t="s">
        <v>23</v>
      </c>
      <c r="B6" s="1">
        <v>60</v>
      </c>
      <c r="C6" s="2">
        <f>+'[1]Flow rate'!E68</f>
        <v>55.565525000000001</v>
      </c>
      <c r="D6" s="1" t="s">
        <v>28</v>
      </c>
      <c r="E6" s="1" t="s">
        <v>27</v>
      </c>
      <c r="F6" s="1" t="s">
        <v>24</v>
      </c>
      <c r="G6" s="1">
        <v>-0.125</v>
      </c>
      <c r="H6" s="15">
        <v>45454.727592592593</v>
      </c>
      <c r="I6" s="16">
        <f t="shared" si="6"/>
        <v>1.3270105555420741</v>
      </c>
      <c r="J6" s="25">
        <v>0.16607614023635278</v>
      </c>
      <c r="K6" s="25">
        <v>1.5217607309365284</v>
      </c>
      <c r="L6" s="25">
        <v>106.3926305294621</v>
      </c>
      <c r="N6" s="25">
        <v>0.19050313623728093</v>
      </c>
      <c r="O6" s="25">
        <v>0.15231470544368672</v>
      </c>
      <c r="P6" s="3">
        <f t="shared" si="7"/>
        <v>1.3859438682656238E-3</v>
      </c>
      <c r="Q6" s="3">
        <f t="shared" si="8"/>
        <v>1.4749260155656202E-2</v>
      </c>
      <c r="R6" s="3">
        <f t="shared" si="9"/>
        <v>0.979797571003167</v>
      </c>
      <c r="S6" s="3">
        <f t="shared" si="10"/>
        <v>2.1308431050765957E-3</v>
      </c>
      <c r="T6" s="4">
        <f t="shared" si="4"/>
        <v>8.1540491196473275E-2</v>
      </c>
      <c r="U6" s="5">
        <f t="shared" si="5"/>
        <v>0.86775658481883167</v>
      </c>
      <c r="V6" s="5"/>
      <c r="W6" s="3">
        <f t="shared" si="11"/>
        <v>0.949297076015305</v>
      </c>
      <c r="X6" s="3">
        <f t="shared" si="2"/>
        <v>9.7979757100316693E-3</v>
      </c>
      <c r="Y6" s="18">
        <f>+SUM(J5:L5)</f>
        <v>108.01550846429527</v>
      </c>
      <c r="AB6" s="19"/>
    </row>
    <row r="7" spans="1:28" ht="15.6" x14ac:dyDescent="0.3">
      <c r="A7" s="1" t="s">
        <v>23</v>
      </c>
      <c r="B7" s="1">
        <v>60</v>
      </c>
      <c r="C7" s="2">
        <f>+'[1]Flow rate'!E69</f>
        <v>56.354196000000002</v>
      </c>
      <c r="D7" s="1" t="s">
        <v>28</v>
      </c>
      <c r="E7" s="1" t="s">
        <v>27</v>
      </c>
      <c r="F7" s="1" t="s">
        <v>24</v>
      </c>
      <c r="G7" s="1">
        <v>-0.125</v>
      </c>
      <c r="H7" s="15">
        <v>45454.738020833334</v>
      </c>
      <c r="I7" s="16">
        <f t="shared" si="6"/>
        <v>1.5772883333265781</v>
      </c>
      <c r="J7" s="25">
        <v>0.18367889388725614</v>
      </c>
      <c r="K7" s="25">
        <v>1.4749184651432723</v>
      </c>
      <c r="L7" s="25">
        <v>106.42111372044901</v>
      </c>
      <c r="N7" s="25">
        <v>0.16864199773314989</v>
      </c>
      <c r="O7" s="25">
        <v>0.1150110349797295</v>
      </c>
      <c r="P7" s="3">
        <f t="shared" si="7"/>
        <v>1.5317386838554843E-3</v>
      </c>
      <c r="Q7" s="3">
        <f t="shared" si="8"/>
        <v>1.4035368210209965E-2</v>
      </c>
      <c r="R7" s="3">
        <f t="shared" si="9"/>
        <v>0.98127104608280846</v>
      </c>
      <c r="S7" s="3">
        <f t="shared" si="10"/>
        <v>1.7570315805458595E-3</v>
      </c>
      <c r="T7" s="4">
        <f t="shared" si="4"/>
        <v>9.1397264696949573E-2</v>
      </c>
      <c r="U7" s="5">
        <f t="shared" si="5"/>
        <v>0.83747591997796655</v>
      </c>
      <c r="V7" s="5"/>
      <c r="W7" s="3">
        <f t="shared" si="11"/>
        <v>0.92887318467491609</v>
      </c>
      <c r="X7" s="3">
        <f t="shared" si="2"/>
        <v>9.8127104608280846E-3</v>
      </c>
      <c r="AB7" s="19"/>
    </row>
    <row r="8" spans="1:28" ht="15.6" x14ac:dyDescent="0.3">
      <c r="A8" s="1" t="s">
        <v>23</v>
      </c>
      <c r="B8" s="1">
        <v>60</v>
      </c>
      <c r="C8" s="2">
        <f>+'[1]Flow rate'!E70</f>
        <v>56.889769999999999</v>
      </c>
      <c r="D8" s="1" t="s">
        <v>28</v>
      </c>
      <c r="E8" s="1" t="s">
        <v>27</v>
      </c>
      <c r="F8" s="1" t="s">
        <v>24</v>
      </c>
      <c r="G8" s="1">
        <v>-0.125</v>
      </c>
      <c r="H8" s="15">
        <v>45454.748437499999</v>
      </c>
      <c r="I8" s="16">
        <f t="shared" si="6"/>
        <v>1.8272883332683705</v>
      </c>
      <c r="J8" s="25">
        <v>0.19478502346143853</v>
      </c>
      <c r="K8" s="25">
        <v>1.4499083774501418</v>
      </c>
      <c r="L8" s="25">
        <v>106.54011865893665</v>
      </c>
      <c r="N8" s="25">
        <v>0.1558480045396356</v>
      </c>
      <c r="O8" s="25">
        <v>7.9870822462888583E-2</v>
      </c>
      <c r="P8" s="3">
        <f t="shared" si="7"/>
        <v>1.6950276081968709E-3</v>
      </c>
      <c r="Q8" s="3">
        <f t="shared" si="8"/>
        <v>1.3610858957979905E-2</v>
      </c>
      <c r="R8" s="3">
        <f t="shared" si="9"/>
        <v>0.98207650336757246</v>
      </c>
      <c r="S8" s="3">
        <f t="shared" si="10"/>
        <v>1.5562639561332637E-3</v>
      </c>
      <c r="T8" s="4">
        <f t="shared" si="4"/>
        <v>0.10210175663897399</v>
      </c>
      <c r="U8" s="5">
        <f t="shared" si="5"/>
        <v>0.81986429144560347</v>
      </c>
      <c r="V8" s="5"/>
      <c r="W8" s="3">
        <f t="shared" si="11"/>
        <v>0.92196604808457749</v>
      </c>
      <c r="X8" s="3">
        <f t="shared" si="2"/>
        <v>9.8207650336757241E-3</v>
      </c>
      <c r="Y8" s="18">
        <f>+SUM(J7:L7)</f>
        <v>108.07971107947954</v>
      </c>
      <c r="AB8" s="19"/>
    </row>
    <row r="9" spans="1:28" ht="15.6" x14ac:dyDescent="0.3">
      <c r="A9" s="1" t="s">
        <v>23</v>
      </c>
      <c r="B9" s="1">
        <v>60</v>
      </c>
      <c r="C9" s="2">
        <f>+'[1]Flow rate'!E71</f>
        <v>58.791902</v>
      </c>
      <c r="D9" s="1" t="s">
        <v>28</v>
      </c>
      <c r="E9" s="1" t="s">
        <v>27</v>
      </c>
      <c r="F9" s="1" t="s">
        <v>24</v>
      </c>
      <c r="G9" s="1">
        <v>-0.27</v>
      </c>
      <c r="H9" s="15">
        <v>45454.75886574074</v>
      </c>
      <c r="I9" s="16">
        <f t="shared" si="6"/>
        <v>2.0775661110528745</v>
      </c>
      <c r="J9" s="25">
        <v>0.20446015000823253</v>
      </c>
      <c r="K9" s="25">
        <v>1.4232095482504603</v>
      </c>
      <c r="L9" s="25">
        <v>106.49392832015668</v>
      </c>
      <c r="N9" s="25">
        <v>0.14393508808565081</v>
      </c>
      <c r="O9" s="25">
        <v>5.4845013537697308E-2</v>
      </c>
      <c r="P9" s="3">
        <f t="shared" si="7"/>
        <v>1.7965695414710616E-3</v>
      </c>
      <c r="Q9" s="3">
        <f t="shared" si="8"/>
        <v>1.3373005699107739E-2</v>
      </c>
      <c r="R9" s="3">
        <f t="shared" si="9"/>
        <v>0.98265630861117503</v>
      </c>
      <c r="S9" s="3">
        <f t="shared" si="10"/>
        <v>1.4374399688402268E-3</v>
      </c>
      <c r="T9" s="4">
        <f t="shared" si="4"/>
        <v>5.1776185511683434E-2</v>
      </c>
      <c r="U9" s="5">
        <f t="shared" si="5"/>
        <v>0.38540296267009555</v>
      </c>
      <c r="V9" s="5"/>
      <c r="W9" s="3">
        <f t="shared" si="11"/>
        <v>0.437179148181779</v>
      </c>
      <c r="X9" s="3">
        <f t="shared" si="2"/>
        <v>9.8265630861117496E-3</v>
      </c>
      <c r="AB9" s="19"/>
    </row>
    <row r="10" spans="1:28" ht="15.6" x14ac:dyDescent="0.3">
      <c r="A10" s="1" t="s">
        <v>23</v>
      </c>
      <c r="B10" s="1">
        <v>60</v>
      </c>
      <c r="C10" s="2">
        <f>+'[1]Flow rate'!E72</f>
        <v>58.900806000000003</v>
      </c>
      <c r="D10" s="1" t="s">
        <v>28</v>
      </c>
      <c r="E10" s="1" t="s">
        <v>27</v>
      </c>
      <c r="F10" s="1" t="s">
        <v>24</v>
      </c>
      <c r="G10" s="1">
        <v>-0.27</v>
      </c>
      <c r="H10" s="15">
        <v>45454.769282407404</v>
      </c>
      <c r="I10" s="16">
        <f t="shared" si="6"/>
        <v>2.3275661109946668</v>
      </c>
      <c r="J10" s="25">
        <v>5.2385559179496883E-3</v>
      </c>
      <c r="K10" s="25">
        <v>1.7401759381999595</v>
      </c>
      <c r="L10" s="25">
        <v>105.73280027130292</v>
      </c>
      <c r="N10" s="25">
        <v>0.14425480380976491</v>
      </c>
      <c r="O10" s="25">
        <v>3.8958494335620007E-2</v>
      </c>
      <c r="P10" s="3">
        <f t="shared" si="7"/>
        <v>1.8875501872939679E-3</v>
      </c>
      <c r="Q10" s="3">
        <f t="shared" si="8"/>
        <v>1.3138890141920337E-2</v>
      </c>
      <c r="R10" s="3">
        <f t="shared" si="9"/>
        <v>0.98313844697017194</v>
      </c>
      <c r="S10" s="3">
        <f t="shared" si="10"/>
        <v>1.32879048784472E-3</v>
      </c>
      <c r="T10" s="4">
        <f t="shared" si="4"/>
        <v>5.4498964946430327E-2</v>
      </c>
      <c r="U10" s="5">
        <f t="shared" si="5"/>
        <v>0.37935728443123856</v>
      </c>
      <c r="V10" s="5"/>
      <c r="W10" s="3">
        <f t="shared" si="11"/>
        <v>0.43385624937766887</v>
      </c>
      <c r="X10" s="3">
        <f t="shared" si="2"/>
        <v>9.8313844697017188E-3</v>
      </c>
      <c r="Y10" s="18">
        <f>+SUM(J9:L9)</f>
        <v>108.12159801841538</v>
      </c>
      <c r="AB10" s="19"/>
    </row>
    <row r="11" spans="1:28" ht="15.6" x14ac:dyDescent="0.3">
      <c r="A11" s="1" t="s">
        <v>23</v>
      </c>
      <c r="B11" s="1">
        <v>60</v>
      </c>
      <c r="C11" s="2">
        <f>+'[1]Flow rate'!E73</f>
        <v>60.078346000000003</v>
      </c>
      <c r="D11" s="1" t="s">
        <v>28</v>
      </c>
      <c r="E11" s="1" t="s">
        <v>27</v>
      </c>
      <c r="F11" s="1" t="s">
        <v>24</v>
      </c>
      <c r="G11" s="1">
        <v>-0.27</v>
      </c>
      <c r="H11" s="15">
        <v>45454.779710648145</v>
      </c>
      <c r="I11" s="16">
        <f t="shared" si="6"/>
        <v>2.5778438887791708</v>
      </c>
      <c r="J11" s="25">
        <v>0.20323811544313172</v>
      </c>
      <c r="K11" s="25">
        <v>2.9677775811118141</v>
      </c>
      <c r="L11" s="25">
        <v>103.97955512163479</v>
      </c>
      <c r="N11" s="25">
        <v>0.16901672216072777</v>
      </c>
      <c r="O11" s="25">
        <v>2.9346274772052244E-2</v>
      </c>
      <c r="P11" s="3">
        <f t="shared" si="7"/>
        <v>4.8657685599866869E-5</v>
      </c>
      <c r="Q11" s="3">
        <f t="shared" si="8"/>
        <v>1.6163411256002593E-2</v>
      </c>
      <c r="R11" s="3">
        <f t="shared" si="9"/>
        <v>0.98208617675845267</v>
      </c>
      <c r="S11" s="3">
        <f t="shared" si="10"/>
        <v>1.3398930926737567E-3</v>
      </c>
      <c r="T11" s="4">
        <f t="shared" si="4"/>
        <v>1.4329727254744624E-3</v>
      </c>
      <c r="U11" s="5">
        <f t="shared" si="5"/>
        <v>0.47601375188593048</v>
      </c>
      <c r="V11" s="5"/>
      <c r="W11" s="3">
        <f t="shared" si="11"/>
        <v>0.47744672461140492</v>
      </c>
      <c r="X11" s="3">
        <f t="shared" si="2"/>
        <v>9.8208617675845274E-3</v>
      </c>
      <c r="AB11" s="19"/>
    </row>
    <row r="12" spans="1:28" ht="15.6" x14ac:dyDescent="0.3">
      <c r="A12" s="1" t="s">
        <v>23</v>
      </c>
      <c r="B12" s="1">
        <v>60</v>
      </c>
      <c r="C12" s="2">
        <f>+'[1]Flow rate'!E74</f>
        <v>59.894936999999999</v>
      </c>
      <c r="D12" s="1" t="s">
        <v>28</v>
      </c>
      <c r="E12" s="1" t="s">
        <v>27</v>
      </c>
      <c r="F12" s="1" t="s">
        <v>24</v>
      </c>
      <c r="G12" s="1">
        <v>-0.27</v>
      </c>
      <c r="H12" s="15">
        <v>45454.790127314816</v>
      </c>
      <c r="I12" s="16">
        <f t="shared" si="6"/>
        <v>2.8278438888955861</v>
      </c>
      <c r="J12" s="25">
        <v>0.20577968284730794</v>
      </c>
      <c r="K12" s="25">
        <v>3.1468315718081126</v>
      </c>
      <c r="L12" s="25">
        <v>103.5107538113768</v>
      </c>
      <c r="N12" s="25">
        <v>0.16539802259363931</v>
      </c>
      <c r="O12" s="25">
        <v>2.2442171593410401E-2</v>
      </c>
      <c r="P12" s="3">
        <f t="shared" si="7"/>
        <v>1.8932476385201047E-3</v>
      </c>
      <c r="Q12" s="3">
        <f t="shared" si="8"/>
        <v>2.7646083436869081E-2</v>
      </c>
      <c r="R12" s="3">
        <f t="shared" si="9"/>
        <v>0.96861283504416995</v>
      </c>
      <c r="S12" s="3">
        <f t="shared" si="10"/>
        <v>1.574461116230648E-3</v>
      </c>
      <c r="T12" s="4">
        <f t="shared" si="4"/>
        <v>5.5586079592107721E-2</v>
      </c>
      <c r="U12" s="5">
        <f t="shared" si="5"/>
        <v>0.8116938128247595</v>
      </c>
      <c r="V12" s="5"/>
      <c r="W12" s="3">
        <f t="shared" si="11"/>
        <v>0.8672798924168672</v>
      </c>
      <c r="X12" s="3">
        <f t="shared" si="2"/>
        <v>9.6861283504416987E-3</v>
      </c>
      <c r="Y12" s="18">
        <f>+SUM(J11:L11)</f>
        <v>107.15057081818973</v>
      </c>
      <c r="AB12" s="19"/>
    </row>
    <row r="13" spans="1:28" ht="15.6" x14ac:dyDescent="0.3">
      <c r="A13" s="1" t="s">
        <v>23</v>
      </c>
      <c r="B13" s="1">
        <v>60</v>
      </c>
      <c r="C13" s="2">
        <f>+'[1]Flow rate'!E75</f>
        <v>60.134957999999997</v>
      </c>
      <c r="D13" s="1" t="s">
        <v>28</v>
      </c>
      <c r="E13" s="1" t="s">
        <v>27</v>
      </c>
      <c r="F13" s="1" t="s">
        <v>24</v>
      </c>
      <c r="G13" s="1">
        <v>-0.27</v>
      </c>
      <c r="H13" s="15">
        <v>45454.800543981481</v>
      </c>
      <c r="I13" s="16">
        <f t="shared" si="6"/>
        <v>3.0778438888373785</v>
      </c>
      <c r="J13" s="25">
        <v>0.21182900007095773</v>
      </c>
      <c r="K13" s="25">
        <v>3.1683801681151627</v>
      </c>
      <c r="L13" s="25">
        <v>103.63624329949549</v>
      </c>
      <c r="N13" s="25">
        <v>0.16239536524214232</v>
      </c>
      <c r="O13" s="25">
        <v>1.2150810068143204E-2</v>
      </c>
      <c r="P13" s="3">
        <f t="shared" si="7"/>
        <v>1.9222547036915674E-3</v>
      </c>
      <c r="Q13" s="3">
        <f t="shared" si="8"/>
        <v>2.9395573493626887E-2</v>
      </c>
      <c r="R13" s="3">
        <f t="shared" si="9"/>
        <v>0.96692749567614533</v>
      </c>
      <c r="S13" s="3">
        <f t="shared" si="10"/>
        <v>1.5450365289357653E-3</v>
      </c>
      <c r="T13" s="4">
        <f t="shared" si="4"/>
        <v>5.6663898775797007E-2</v>
      </c>
      <c r="U13" s="5">
        <f t="shared" si="5"/>
        <v>0.86651773966299417</v>
      </c>
      <c r="V13" s="5"/>
      <c r="W13" s="3">
        <f t="shared" si="11"/>
        <v>0.9231816384387912</v>
      </c>
      <c r="X13" s="3">
        <f t="shared" si="2"/>
        <v>9.6692749567614533E-3</v>
      </c>
      <c r="AB13" s="19"/>
    </row>
    <row r="14" spans="1:28" ht="15.6" x14ac:dyDescent="0.3">
      <c r="A14" s="1" t="s">
        <v>23</v>
      </c>
      <c r="B14" s="1">
        <v>60</v>
      </c>
      <c r="C14" s="2">
        <f>+'[1]Flow rate'!E76</f>
        <v>60.602148999999997</v>
      </c>
      <c r="D14" s="1" t="s">
        <v>28</v>
      </c>
      <c r="E14" s="1" t="s">
        <v>27</v>
      </c>
      <c r="F14" s="1" t="s">
        <v>24</v>
      </c>
      <c r="G14" s="1">
        <v>-0.27</v>
      </c>
      <c r="H14" s="15">
        <v>45454.810972222222</v>
      </c>
      <c r="I14" s="16">
        <f t="shared" si="6"/>
        <v>3.3281216666218825</v>
      </c>
      <c r="J14" s="25">
        <v>0.21826976417903574</v>
      </c>
      <c r="K14" s="25">
        <v>3.1859620741493679</v>
      </c>
      <c r="L14" s="25">
        <v>103.55570878390421</v>
      </c>
      <c r="N14" s="25">
        <v>0.16261569371886422</v>
      </c>
      <c r="O14" s="25">
        <v>1.236197492168758E-2</v>
      </c>
      <c r="P14" s="3">
        <f t="shared" si="7"/>
        <v>1.9761827275858392E-3</v>
      </c>
      <c r="Q14" s="3">
        <f t="shared" si="8"/>
        <v>2.9558267095427509E-2</v>
      </c>
      <c r="R14" s="3">
        <f t="shared" si="9"/>
        <v>0.96683718419924591</v>
      </c>
      <c r="S14" s="3">
        <f t="shared" si="10"/>
        <v>1.5150093505800137E-3</v>
      </c>
      <c r="T14" s="4">
        <f t="shared" si="4"/>
        <v>5.8706154431018523E-2</v>
      </c>
      <c r="U14" s="5">
        <f t="shared" si="5"/>
        <v>0.87808286581742034</v>
      </c>
      <c r="V14" s="5"/>
      <c r="W14" s="3">
        <f t="shared" si="11"/>
        <v>0.93678902024843891</v>
      </c>
      <c r="X14" s="3">
        <f t="shared" si="2"/>
        <v>9.6683718419924587E-3</v>
      </c>
      <c r="Y14" s="18">
        <f>+SUM(J13:L13)</f>
        <v>107.01645246768162</v>
      </c>
      <c r="AB14" s="19"/>
    </row>
    <row r="15" spans="1:28" ht="15.6" x14ac:dyDescent="0.3">
      <c r="A15" s="1" t="s">
        <v>23</v>
      </c>
      <c r="B15" s="1">
        <v>60</v>
      </c>
      <c r="C15" s="2">
        <f>+'[1]Flow rate'!E77</f>
        <v>60.442653999999997</v>
      </c>
      <c r="D15" s="1" t="s">
        <v>28</v>
      </c>
      <c r="E15" s="1" t="s">
        <v>27</v>
      </c>
      <c r="F15" s="1" t="s">
        <v>24</v>
      </c>
      <c r="G15" s="1">
        <v>-0.27</v>
      </c>
      <c r="H15" s="15">
        <v>45454.821388888886</v>
      </c>
      <c r="I15" s="16">
        <f t="shared" si="6"/>
        <v>3.5781216665636748</v>
      </c>
      <c r="J15" s="25">
        <v>0.22269897235240396</v>
      </c>
      <c r="K15" s="25">
        <v>3.1733956864115358</v>
      </c>
      <c r="L15" s="25">
        <v>103.58003224377367</v>
      </c>
      <c r="N15" s="25">
        <v>0.15978806587847744</v>
      </c>
      <c r="O15" s="25">
        <v>2.9460498703458818E-3</v>
      </c>
      <c r="P15" s="3">
        <f t="shared" si="7"/>
        <v>2.0373354239784786E-3</v>
      </c>
      <c r="Q15" s="3">
        <f t="shared" si="8"/>
        <v>2.9737849479657283E-2</v>
      </c>
      <c r="R15" s="3">
        <f t="shared" si="9"/>
        <v>0.96659156917214106</v>
      </c>
      <c r="S15" s="3">
        <f t="shared" si="10"/>
        <v>1.5178589419124753E-3</v>
      </c>
      <c r="T15" s="4">
        <f t="shared" si="4"/>
        <v>6.0363521930338788E-2</v>
      </c>
      <c r="U15" s="5">
        <f t="shared" si="5"/>
        <v>0.88109268022297371</v>
      </c>
      <c r="V15" s="5"/>
      <c r="W15" s="3">
        <f t="shared" si="11"/>
        <v>0.94145620215331249</v>
      </c>
      <c r="X15" s="3">
        <f t="shared" si="2"/>
        <v>9.6659156917214099E-3</v>
      </c>
      <c r="AB15" s="19"/>
    </row>
    <row r="16" spans="1:28" ht="15.6" x14ac:dyDescent="0.3">
      <c r="A16" s="1" t="s">
        <v>23</v>
      </c>
      <c r="B16" s="1">
        <v>60</v>
      </c>
      <c r="C16" s="2">
        <f>+'[1]Flow rate'!E78</f>
        <v>60.726002000000001</v>
      </c>
      <c r="D16" s="1" t="s">
        <v>28</v>
      </c>
      <c r="E16" s="1" t="s">
        <v>27</v>
      </c>
      <c r="F16" s="1" t="s">
        <v>24</v>
      </c>
      <c r="G16" s="1">
        <v>-0.27</v>
      </c>
      <c r="H16" s="15">
        <v>45454.831805555557</v>
      </c>
      <c r="I16" s="16">
        <f t="shared" si="6"/>
        <v>3.8281216666800901</v>
      </c>
      <c r="J16" s="25">
        <v>0.22765964806487538</v>
      </c>
      <c r="K16" s="25">
        <v>3.1635487543897232</v>
      </c>
      <c r="L16" s="25">
        <v>103.71329962749843</v>
      </c>
      <c r="N16" s="25">
        <v>0.17072321528576662</v>
      </c>
      <c r="O16" s="25">
        <v>1.8451922778101242E-2</v>
      </c>
      <c r="P16" s="3">
        <f t="shared" si="7"/>
        <v>2.0786012678853639E-3</v>
      </c>
      <c r="Q16" s="3">
        <f t="shared" si="8"/>
        <v>2.9619464461824934E-2</v>
      </c>
      <c r="R16" s="3">
        <f t="shared" si="9"/>
        <v>0.96678302587232712</v>
      </c>
      <c r="S16" s="3">
        <f t="shared" si="10"/>
        <v>1.4914109069276446E-3</v>
      </c>
      <c r="T16" s="4">
        <f t="shared" si="4"/>
        <v>6.1874882341522226E-2</v>
      </c>
      <c r="U16" s="5">
        <f t="shared" si="5"/>
        <v>0.88169910550414954</v>
      </c>
      <c r="V16" s="5"/>
      <c r="W16" s="3">
        <f t="shared" si="11"/>
        <v>0.94357398784567181</v>
      </c>
      <c r="X16" s="3">
        <f t="shared" si="2"/>
        <v>9.6678302587232708E-3</v>
      </c>
      <c r="Y16" s="18">
        <f>+SUM(J15:L15)</f>
        <v>106.97612690253762</v>
      </c>
      <c r="AB16" s="19"/>
    </row>
    <row r="17" spans="1:28" ht="15.6" x14ac:dyDescent="0.3">
      <c r="A17" s="1" t="s">
        <v>23</v>
      </c>
      <c r="B17" s="1">
        <v>60</v>
      </c>
      <c r="C17" s="2">
        <f>+'[1]Flow rate'!E79</f>
        <v>62.879046000000002</v>
      </c>
      <c r="D17" s="1" t="s">
        <v>28</v>
      </c>
      <c r="E17" s="1" t="s">
        <v>27</v>
      </c>
      <c r="F17" s="1" t="s">
        <v>24</v>
      </c>
      <c r="G17" s="1">
        <v>-0.52</v>
      </c>
      <c r="H17" s="15">
        <v>45454.842233796298</v>
      </c>
      <c r="I17" s="16">
        <f t="shared" si="6"/>
        <v>4.0783994444645941</v>
      </c>
      <c r="J17" s="25">
        <v>0.23000253256235487</v>
      </c>
      <c r="K17" s="25">
        <v>3.1641911794231143</v>
      </c>
      <c r="L17" s="25">
        <v>103.6785122030208</v>
      </c>
      <c r="N17" s="25">
        <v>0.1597757331757973</v>
      </c>
      <c r="O17" s="25" t="s">
        <v>30</v>
      </c>
      <c r="P17" s="3">
        <f t="shared" si="7"/>
        <v>2.1218364524626396E-3</v>
      </c>
      <c r="Q17" s="3">
        <f t="shared" si="8"/>
        <v>2.9484948796433375E-2</v>
      </c>
      <c r="R17" s="3">
        <f t="shared" si="9"/>
        <v>0.96663006213598113</v>
      </c>
      <c r="S17" s="3">
        <f t="shared" si="10"/>
        <v>1.5911767612490481E-3</v>
      </c>
      <c r="T17" s="4">
        <f t="shared" si="4"/>
        <v>3.3958365575770193E-2</v>
      </c>
      <c r="U17" s="5">
        <f t="shared" si="5"/>
        <v>0.47188399890579202</v>
      </c>
      <c r="V17" s="5"/>
      <c r="W17" s="3">
        <f t="shared" si="11"/>
        <v>0.50584236448156217</v>
      </c>
      <c r="X17" s="3">
        <f t="shared" si="2"/>
        <v>9.6663006213598118E-3</v>
      </c>
      <c r="AB17" s="19"/>
    </row>
    <row r="18" spans="1:28" ht="15.6" x14ac:dyDescent="0.3">
      <c r="A18" s="1" t="s">
        <v>23</v>
      </c>
      <c r="B18" s="1">
        <v>60</v>
      </c>
      <c r="C18" s="2">
        <f>+'[1]Flow rate'!E80</f>
        <v>63.185505999999997</v>
      </c>
      <c r="D18" s="1" t="s">
        <v>28</v>
      </c>
      <c r="E18" s="1" t="s">
        <v>27</v>
      </c>
      <c r="F18" s="1" t="s">
        <v>24</v>
      </c>
      <c r="G18" s="1">
        <v>-0.52</v>
      </c>
      <c r="H18" s="15">
        <v>45454.852662037039</v>
      </c>
      <c r="I18" s="16">
        <f t="shared" si="6"/>
        <v>4.3286772222490981</v>
      </c>
      <c r="J18" s="25">
        <v>0.25804002595320641</v>
      </c>
      <c r="K18" s="25">
        <v>3.6840210764424359</v>
      </c>
      <c r="L18" s="25">
        <v>103.07020994381243</v>
      </c>
      <c r="N18" s="25">
        <v>0.18102850516534086</v>
      </c>
      <c r="O18" s="25">
        <v>1.0328238593289974E-2</v>
      </c>
      <c r="P18" s="3">
        <f t="shared" si="7"/>
        <v>2.1448961082236985E-3</v>
      </c>
      <c r="Q18" s="3">
        <f t="shared" si="8"/>
        <v>2.9507767896340183E-2</v>
      </c>
      <c r="R18" s="3">
        <f t="shared" si="9"/>
        <v>0.96685734219206598</v>
      </c>
      <c r="S18" s="3">
        <f t="shared" si="10"/>
        <v>1.4899938033701751E-3</v>
      </c>
      <c r="T18" s="4">
        <f t="shared" si="4"/>
        <v>3.4494722711990534E-2</v>
      </c>
      <c r="U18" s="5">
        <f t="shared" si="5"/>
        <v>0.47455085005351433</v>
      </c>
      <c r="V18" s="5"/>
      <c r="W18" s="3">
        <f t="shared" si="11"/>
        <v>0.50904557276550488</v>
      </c>
      <c r="X18" s="3">
        <f t="shared" si="2"/>
        <v>9.6685734219206596E-3</v>
      </c>
      <c r="Y18" s="18">
        <f>+SUM(J17:L17)</f>
        <v>107.07270591500627</v>
      </c>
      <c r="AB18" s="19"/>
    </row>
    <row r="19" spans="1:28" ht="15.6" x14ac:dyDescent="0.3">
      <c r="A19" s="1" t="s">
        <v>23</v>
      </c>
      <c r="B19" s="1">
        <v>60</v>
      </c>
      <c r="C19" s="2">
        <f>+'[1]Flow rate'!E81</f>
        <v>62.954715999999998</v>
      </c>
      <c r="D19" s="1" t="s">
        <v>28</v>
      </c>
      <c r="E19" s="1" t="s">
        <v>27</v>
      </c>
      <c r="F19" s="1" t="s">
        <v>24</v>
      </c>
      <c r="G19" s="1">
        <v>-0.52</v>
      </c>
      <c r="H19" s="15">
        <v>45454.863078703704</v>
      </c>
      <c r="I19" s="16">
        <f t="shared" si="6"/>
        <v>4.5786772221908905</v>
      </c>
      <c r="J19" s="25">
        <v>0.33643388682605291</v>
      </c>
      <c r="K19" s="25">
        <v>5.5318421774196462</v>
      </c>
      <c r="L19" s="25">
        <v>100.57117952986152</v>
      </c>
      <c r="N19" s="25">
        <v>0.21648814078365583</v>
      </c>
      <c r="O19" s="25" t="s">
        <v>30</v>
      </c>
      <c r="P19" s="3">
        <f t="shared" si="7"/>
        <v>2.4070083379898141E-3</v>
      </c>
      <c r="Q19" s="3">
        <f t="shared" si="8"/>
        <v>3.4364705303258657E-2</v>
      </c>
      <c r="R19" s="3">
        <f t="shared" si="9"/>
        <v>0.96144330251348897</v>
      </c>
      <c r="S19" s="3">
        <f t="shared" si="10"/>
        <v>1.6886415963460848E-3</v>
      </c>
      <c r="T19" s="4">
        <f t="shared" si="4"/>
        <v>3.8568681552009931E-2</v>
      </c>
      <c r="U19" s="5">
        <f t="shared" si="5"/>
        <v>0.55064261911819723</v>
      </c>
      <c r="V19" s="5"/>
      <c r="W19" s="3">
        <f t="shared" si="11"/>
        <v>0.58921130067020711</v>
      </c>
      <c r="X19" s="3">
        <f t="shared" si="2"/>
        <v>9.6144330251348893E-3</v>
      </c>
      <c r="AB19" s="19"/>
    </row>
    <row r="20" spans="1:28" ht="15.6" x14ac:dyDescent="0.3">
      <c r="A20" s="1" t="s">
        <v>23</v>
      </c>
      <c r="B20" s="1">
        <v>60</v>
      </c>
      <c r="C20" s="2">
        <f>+'[1]Flow rate'!E82</f>
        <v>62.693565999999997</v>
      </c>
      <c r="D20" s="1" t="s">
        <v>28</v>
      </c>
      <c r="E20" s="1" t="s">
        <v>27</v>
      </c>
      <c r="F20" s="1" t="s">
        <v>24</v>
      </c>
      <c r="G20" s="1">
        <v>-0.52</v>
      </c>
      <c r="H20" s="15">
        <v>45454.873518518521</v>
      </c>
      <c r="I20" s="16">
        <f t="shared" si="6"/>
        <v>4.8292327778181061</v>
      </c>
      <c r="J20" s="25">
        <v>0.35752044497809538</v>
      </c>
      <c r="K20" s="25">
        <v>5.8355741882513383</v>
      </c>
      <c r="L20" s="25">
        <v>100.04851106524377</v>
      </c>
      <c r="N20" s="25">
        <v>0.2283448485735024</v>
      </c>
      <c r="O20" s="25">
        <v>2.4657072715505057E-4</v>
      </c>
      <c r="P20" s="3">
        <f t="shared" si="7"/>
        <v>3.1543847913652998E-3</v>
      </c>
      <c r="Q20" s="3">
        <f t="shared" si="8"/>
        <v>5.1866234395430019E-2</v>
      </c>
      <c r="R20" s="3">
        <f t="shared" si="9"/>
        <v>0.94294960044464149</v>
      </c>
      <c r="S20" s="3">
        <f t="shared" si="10"/>
        <v>2.0297803685631354E-3</v>
      </c>
      <c r="T20" s="4">
        <f t="shared" si="4"/>
        <v>5.03345943002666E-2</v>
      </c>
      <c r="U20" s="5">
        <f t="shared" si="5"/>
        <v>0.8276307549170433</v>
      </c>
      <c r="V20" s="5"/>
      <c r="W20" s="3">
        <f t="shared" si="11"/>
        <v>0.87796534921730984</v>
      </c>
      <c r="X20" s="3">
        <f t="shared" si="2"/>
        <v>9.4294960044464145E-3</v>
      </c>
      <c r="Y20" s="18">
        <f>+SUM(J19:L19)</f>
        <v>106.43945559410723</v>
      </c>
      <c r="AB20" s="19"/>
    </row>
    <row r="21" spans="1:28" ht="15.6" x14ac:dyDescent="0.3">
      <c r="A21" s="1" t="s">
        <v>23</v>
      </c>
      <c r="B21" s="1">
        <v>60</v>
      </c>
      <c r="C21" s="2">
        <f>+'[1]Flow rate'!E83</f>
        <v>63.117384999999999</v>
      </c>
      <c r="D21" s="1" t="s">
        <v>28</v>
      </c>
      <c r="E21" s="1" t="s">
        <v>27</v>
      </c>
      <c r="F21" s="1" t="s">
        <v>24</v>
      </c>
      <c r="G21" s="1">
        <v>-0.52</v>
      </c>
      <c r="H21" s="15">
        <v>45454.883923611109</v>
      </c>
      <c r="I21" s="16">
        <f t="shared" si="6"/>
        <v>5.0789549999171868</v>
      </c>
      <c r="J21" s="25">
        <v>0.36638062359473472</v>
      </c>
      <c r="K21" s="25">
        <v>5.8790098222216054</v>
      </c>
      <c r="L21" s="25">
        <v>99.945421816834653</v>
      </c>
      <c r="N21" s="25">
        <v>0.23069043375625997</v>
      </c>
      <c r="O21" s="25">
        <v>3.4778723439506766E-4</v>
      </c>
      <c r="P21" s="3">
        <f t="shared" si="7"/>
        <v>3.3579391666065752E-3</v>
      </c>
      <c r="Q21" s="3">
        <f t="shared" si="8"/>
        <v>5.4809461673074732E-2</v>
      </c>
      <c r="R21" s="3">
        <f t="shared" si="9"/>
        <v>0.9396856000423609</v>
      </c>
      <c r="S21" s="3">
        <f t="shared" si="10"/>
        <v>2.144683251792187E-3</v>
      </c>
      <c r="T21" s="4">
        <f t="shared" si="4"/>
        <v>5.3944944513802766E-2</v>
      </c>
      <c r="U21" s="5">
        <f t="shared" si="5"/>
        <v>0.88050831837235288</v>
      </c>
      <c r="V21" s="5"/>
      <c r="W21" s="3">
        <f t="shared" si="11"/>
        <v>0.9344532628861556</v>
      </c>
      <c r="X21" s="3">
        <f t="shared" si="2"/>
        <v>9.3968560004236094E-3</v>
      </c>
    </row>
    <row r="22" spans="1:28" ht="15.6" x14ac:dyDescent="0.3">
      <c r="A22" s="1" t="s">
        <v>23</v>
      </c>
      <c r="B22" s="1">
        <v>60</v>
      </c>
      <c r="C22" s="2">
        <f>+'[1]Flow rate'!E84</f>
        <v>62.903899000000003</v>
      </c>
      <c r="D22" s="1" t="s">
        <v>28</v>
      </c>
      <c r="E22" s="1" t="s">
        <v>27</v>
      </c>
      <c r="F22" s="1" t="s">
        <v>24</v>
      </c>
      <c r="G22" s="1">
        <v>-0.52</v>
      </c>
      <c r="H22" s="15">
        <v>45454.89435185185</v>
      </c>
      <c r="I22" s="16">
        <f t="shared" si="6"/>
        <v>5.3292327777016908</v>
      </c>
      <c r="J22" s="25">
        <v>0.36928856241167951</v>
      </c>
      <c r="K22" s="25">
        <v>5.8847138740044178</v>
      </c>
      <c r="L22" s="25">
        <v>99.82695144327333</v>
      </c>
      <c r="N22" s="25">
        <v>0.23752749438806312</v>
      </c>
      <c r="O22" s="25">
        <v>5.4284959733459726E-3</v>
      </c>
      <c r="P22" s="3">
        <f t="shared" si="7"/>
        <v>3.4427199107109302E-3</v>
      </c>
      <c r="Q22" s="3">
        <f t="shared" si="8"/>
        <v>5.5242507018098519E-2</v>
      </c>
      <c r="R22" s="3">
        <f t="shared" si="9"/>
        <v>0.93914380705302147</v>
      </c>
      <c r="S22" s="3">
        <f t="shared" si="10"/>
        <v>2.1676980122772808E-3</v>
      </c>
      <c r="T22" s="4">
        <f t="shared" si="4"/>
        <v>5.5119870153691665E-2</v>
      </c>
      <c r="U22" s="5">
        <f t="shared" si="5"/>
        <v>0.88446341636116388</v>
      </c>
      <c r="V22" s="5"/>
      <c r="W22" s="3">
        <f t="shared" si="11"/>
        <v>0.93958328651485556</v>
      </c>
      <c r="X22" s="3">
        <f t="shared" si="2"/>
        <v>9.3914380705302156E-3</v>
      </c>
      <c r="Y22" s="18">
        <f>+SUM(J21:L21)</f>
        <v>106.19081226265099</v>
      </c>
    </row>
    <row r="23" spans="1:28" ht="15.6" x14ac:dyDescent="0.3">
      <c r="A23" s="1" t="s">
        <v>23</v>
      </c>
      <c r="B23" s="1">
        <v>60</v>
      </c>
      <c r="C23" s="2">
        <f>+'[1]Flow rate'!E85</f>
        <v>63.402571999999999</v>
      </c>
      <c r="D23" s="1" t="s">
        <v>28</v>
      </c>
      <c r="E23" s="1" t="s">
        <v>27</v>
      </c>
      <c r="F23" s="1" t="s">
        <v>24</v>
      </c>
      <c r="G23" s="1">
        <v>-0.52</v>
      </c>
      <c r="H23" s="15">
        <v>45454.904768518521</v>
      </c>
      <c r="I23" s="16">
        <f t="shared" si="6"/>
        <v>5.5792327778181061</v>
      </c>
      <c r="J23" s="25">
        <v>0.37130366625556099</v>
      </c>
      <c r="K23" s="25">
        <v>5.9142380343065906</v>
      </c>
      <c r="L23" s="25">
        <v>100.00148726211428</v>
      </c>
      <c r="N23" s="25">
        <v>0.23692912114073275</v>
      </c>
      <c r="O23" s="25" t="s">
        <v>30</v>
      </c>
      <c r="P23" s="3">
        <f t="shared" si="7"/>
        <v>3.4732409940814277E-3</v>
      </c>
      <c r="Q23" s="3">
        <f t="shared" si="8"/>
        <v>5.5347041706768678E-2</v>
      </c>
      <c r="R23" s="3">
        <f t="shared" si="9"/>
        <v>0.93889466221926843</v>
      </c>
      <c r="S23" s="3">
        <f t="shared" si="10"/>
        <v>2.2339988689126407E-3</v>
      </c>
      <c r="T23" s="4">
        <f t="shared" si="4"/>
        <v>5.604936844775462E-2</v>
      </c>
      <c r="U23" s="5">
        <f t="shared" si="5"/>
        <v>0.89316195979552326</v>
      </c>
      <c r="V23" s="5"/>
      <c r="W23" s="3">
        <f t="shared" si="11"/>
        <v>0.94921132824327792</v>
      </c>
      <c r="X23" s="3">
        <f t="shared" si="2"/>
        <v>9.388946622192685E-3</v>
      </c>
    </row>
    <row r="24" spans="1:28" ht="15.6" x14ac:dyDescent="0.3">
      <c r="A24" s="1" t="s">
        <v>23</v>
      </c>
      <c r="B24" s="1">
        <v>60</v>
      </c>
      <c r="C24" s="2">
        <f>+'[1]Flow rate'!E86</f>
        <v>62.917591000000002</v>
      </c>
      <c r="D24" s="1" t="s">
        <v>28</v>
      </c>
      <c r="E24" s="1" t="s">
        <v>27</v>
      </c>
      <c r="F24" s="1" t="s">
        <v>24</v>
      </c>
      <c r="G24" s="1">
        <v>-0.52</v>
      </c>
      <c r="H24" s="15">
        <v>45454.915196759262</v>
      </c>
      <c r="I24" s="16">
        <f t="shared" si="6"/>
        <v>5.8295105556026101</v>
      </c>
      <c r="J24" s="25">
        <v>0.36759965653551591</v>
      </c>
      <c r="K24" s="25">
        <v>5.9296969973538083</v>
      </c>
      <c r="L24" s="25">
        <v>99.808483715192523</v>
      </c>
      <c r="N24" s="25">
        <v>0.24196726735280258</v>
      </c>
      <c r="O24" s="25">
        <v>1.7598037941561171E-3</v>
      </c>
      <c r="P24" s="3">
        <f t="shared" si="7"/>
        <v>3.4856352780602176E-3</v>
      </c>
      <c r="Q24" s="3">
        <f t="shared" si="8"/>
        <v>5.5520261739176457E-2</v>
      </c>
      <c r="R24" s="3">
        <f t="shared" si="9"/>
        <v>0.93876991674895571</v>
      </c>
      <c r="S24" s="3">
        <f t="shared" si="10"/>
        <v>2.2241862338076828E-3</v>
      </c>
      <c r="T24" s="4">
        <f t="shared" si="4"/>
        <v>5.5819116417626435E-2</v>
      </c>
      <c r="U24" s="5">
        <f t="shared" si="5"/>
        <v>0.88910390971279396</v>
      </c>
      <c r="V24" s="5"/>
      <c r="W24" s="3">
        <f t="shared" si="11"/>
        <v>0.94492302613042045</v>
      </c>
      <c r="X24" s="3">
        <f t="shared" si="2"/>
        <v>9.3876991674895563E-3</v>
      </c>
      <c r="Y24" s="18">
        <f>+SUM(J23:L23)</f>
        <v>106.28702896267643</v>
      </c>
    </row>
    <row r="25" spans="1:28" ht="15.6" x14ac:dyDescent="0.3">
      <c r="A25" s="1" t="s">
        <v>23</v>
      </c>
      <c r="B25" s="1">
        <v>60</v>
      </c>
      <c r="C25" s="2">
        <f>+'[1]Flow rate'!E87</f>
        <v>65.450351999999995</v>
      </c>
      <c r="D25" s="1" t="s">
        <v>28</v>
      </c>
      <c r="E25" s="1" t="s">
        <v>27</v>
      </c>
      <c r="F25" s="1" t="s">
        <v>24</v>
      </c>
      <c r="G25" s="1">
        <v>-0.77</v>
      </c>
      <c r="H25" s="15">
        <v>45454.925613425927</v>
      </c>
      <c r="I25" s="16">
        <f t="shared" si="6"/>
        <v>6.0795105555444025</v>
      </c>
      <c r="J25" s="25">
        <v>0.36470344453495007</v>
      </c>
      <c r="K25" s="25">
        <v>5.9532752391798818</v>
      </c>
      <c r="L25" s="25">
        <v>99.96999659607458</v>
      </c>
      <c r="N25" s="25">
        <v>0.24314124578097099</v>
      </c>
      <c r="O25" s="25" t="s">
        <v>30</v>
      </c>
      <c r="P25" s="3">
        <f t="shared" si="7"/>
        <v>3.4565242978874772E-3</v>
      </c>
      <c r="Q25" s="3">
        <f t="shared" si="8"/>
        <v>5.5756694507367158E-2</v>
      </c>
      <c r="R25" s="3">
        <f t="shared" si="9"/>
        <v>0.93849502567078169</v>
      </c>
      <c r="S25" s="3">
        <f t="shared" si="10"/>
        <v>2.2752081620010744E-3</v>
      </c>
      <c r="T25" s="4">
        <f t="shared" si="4"/>
        <v>3.8885988948341291E-2</v>
      </c>
      <c r="U25" s="5">
        <f t="shared" si="5"/>
        <v>0.62726427461673873</v>
      </c>
      <c r="V25" s="5"/>
      <c r="W25" s="3">
        <f t="shared" si="11"/>
        <v>0.66615026356508</v>
      </c>
      <c r="X25" s="3">
        <f t="shared" si="2"/>
        <v>9.3849502567078177E-3</v>
      </c>
    </row>
    <row r="26" spans="1:28" ht="15.6" x14ac:dyDescent="0.3">
      <c r="A26" s="1" t="s">
        <v>23</v>
      </c>
      <c r="B26" s="1">
        <v>60</v>
      </c>
      <c r="C26" s="2">
        <f>+'[1]Flow rate'!E88</f>
        <v>65.004163000000005</v>
      </c>
      <c r="D26" s="1" t="s">
        <v>28</v>
      </c>
      <c r="E26" s="1" t="s">
        <v>27</v>
      </c>
      <c r="F26" s="1" t="s">
        <v>24</v>
      </c>
      <c r="G26" s="1">
        <v>-0.77</v>
      </c>
      <c r="H26" s="15">
        <v>45454.936053240737</v>
      </c>
      <c r="I26" s="16">
        <f t="shared" si="6"/>
        <v>6.3300661109969951</v>
      </c>
      <c r="J26" s="25">
        <v>0.47767846815972731</v>
      </c>
      <c r="K26" s="25">
        <v>6.6190439773724465</v>
      </c>
      <c r="L26" s="25">
        <v>99.063024248430366</v>
      </c>
      <c r="N26" s="25">
        <v>0.255955398200021</v>
      </c>
      <c r="O26" s="25" t="s">
        <v>30</v>
      </c>
      <c r="P26" s="3">
        <f t="shared" si="7"/>
        <v>3.4234452470739969E-3</v>
      </c>
      <c r="Q26" s="3">
        <f t="shared" si="8"/>
        <v>5.5882970472302645E-2</v>
      </c>
      <c r="R26" s="3">
        <f t="shared" si="9"/>
        <v>0.93841123473139465</v>
      </c>
      <c r="S26" s="3">
        <f t="shared" si="10"/>
        <v>2.2823495492287501E-3</v>
      </c>
      <c r="T26" s="4">
        <f t="shared" si="4"/>
        <v>3.8251291643642944E-2</v>
      </c>
      <c r="U26" s="5">
        <f t="shared" si="5"/>
        <v>0.62439900368674772</v>
      </c>
      <c r="V26" s="5"/>
      <c r="W26" s="3">
        <f t="shared" si="11"/>
        <v>0.66265029533039066</v>
      </c>
      <c r="X26" s="3">
        <f t="shared" si="2"/>
        <v>9.3841123473139467E-3</v>
      </c>
      <c r="Y26" s="18">
        <f>+SUM(J25:L25)</f>
        <v>106.28797527978941</v>
      </c>
    </row>
    <row r="27" spans="1:28" ht="15.6" x14ac:dyDescent="0.3">
      <c r="A27" s="1" t="s">
        <v>23</v>
      </c>
      <c r="B27" s="1">
        <v>60</v>
      </c>
      <c r="C27" s="2">
        <f>+'[1]Flow rate'!E89</f>
        <v>65.245939000000007</v>
      </c>
      <c r="D27" s="1" t="s">
        <v>28</v>
      </c>
      <c r="E27" s="1" t="s">
        <v>27</v>
      </c>
      <c r="F27" s="1" t="s">
        <v>24</v>
      </c>
      <c r="G27" s="1">
        <v>-0.77</v>
      </c>
      <c r="H27" s="15">
        <v>45454.946481481478</v>
      </c>
      <c r="I27" s="16">
        <f t="shared" si="6"/>
        <v>6.5803438887814991</v>
      </c>
      <c r="J27" s="25">
        <v>0.8333056436772146</v>
      </c>
      <c r="K27" s="25">
        <v>8.1128706221774642</v>
      </c>
      <c r="L27" s="25">
        <v>96.916862138977493</v>
      </c>
      <c r="N27" s="25">
        <v>0.30898945864994731</v>
      </c>
      <c r="O27" s="25">
        <v>4.1573755473015201E-4</v>
      </c>
      <c r="P27" s="3">
        <f t="shared" si="7"/>
        <v>4.4887968482886882E-3</v>
      </c>
      <c r="Q27" s="3">
        <f t="shared" si="8"/>
        <v>6.2199880724744423E-2</v>
      </c>
      <c r="R27" s="3">
        <f t="shared" si="9"/>
        <v>0.93090608153518239</v>
      </c>
      <c r="S27" s="3">
        <f t="shared" si="10"/>
        <v>2.4052408917844457E-3</v>
      </c>
      <c r="T27" s="4">
        <f t="shared" si="4"/>
        <v>5.0341364650899605E-2</v>
      </c>
      <c r="U27" s="5">
        <f t="shared" si="5"/>
        <v>0.69756484479812697</v>
      </c>
      <c r="V27" s="5"/>
      <c r="W27" s="3">
        <f t="shared" si="11"/>
        <v>0.74790620944902653</v>
      </c>
      <c r="X27" s="3">
        <f t="shared" si="2"/>
        <v>9.3090608153518235E-3</v>
      </c>
    </row>
    <row r="28" spans="1:28" ht="15.6" x14ac:dyDescent="0.3">
      <c r="A28" s="1" t="s">
        <v>23</v>
      </c>
      <c r="B28" s="1">
        <v>60</v>
      </c>
      <c r="C28" s="2">
        <f>+'[1]Flow rate'!E90</f>
        <v>65.050959000000006</v>
      </c>
      <c r="D28" s="1" t="s">
        <v>28</v>
      </c>
      <c r="E28" s="1" t="s">
        <v>27</v>
      </c>
      <c r="F28" s="1" t="s">
        <v>24</v>
      </c>
      <c r="G28" s="1">
        <v>-0.77</v>
      </c>
      <c r="H28" s="15">
        <v>45454.956886574073</v>
      </c>
      <c r="I28" s="16">
        <f t="shared" si="6"/>
        <v>6.8300661110552028</v>
      </c>
      <c r="J28" s="25">
        <v>0.9145743170997187</v>
      </c>
      <c r="K28" s="25">
        <v>8.3594311738340998</v>
      </c>
      <c r="L28" s="25">
        <v>95.876412385339236</v>
      </c>
      <c r="N28" s="25">
        <v>0.31887554285197284</v>
      </c>
      <c r="O28" s="25">
        <v>7.0826217879890263E-4</v>
      </c>
      <c r="P28" s="3">
        <f t="shared" si="7"/>
        <v>7.8486056778397147E-3</v>
      </c>
      <c r="Q28" s="3">
        <f t="shared" si="8"/>
        <v>7.6412205907807104E-2</v>
      </c>
      <c r="R28" s="3">
        <f t="shared" si="9"/>
        <v>0.91282501232769053</v>
      </c>
      <c r="S28" s="3">
        <f t="shared" si="10"/>
        <v>2.9102604043948917E-3</v>
      </c>
      <c r="T28" s="4">
        <f t="shared" si="4"/>
        <v>8.7758211006346329E-2</v>
      </c>
      <c r="U28" s="5">
        <f t="shared" si="5"/>
        <v>0.85439360375197937</v>
      </c>
      <c r="V28" s="5"/>
      <c r="W28" s="3">
        <f t="shared" si="11"/>
        <v>0.94215181475832566</v>
      </c>
      <c r="X28" s="3">
        <f t="shared" si="2"/>
        <v>9.1282501232769053E-3</v>
      </c>
      <c r="Y28" s="18">
        <f>+SUM(J27:L27)</f>
        <v>105.86303840483217</v>
      </c>
    </row>
    <row r="29" spans="1:28" ht="15.6" x14ac:dyDescent="0.3">
      <c r="A29" s="1" t="s">
        <v>23</v>
      </c>
      <c r="B29" s="1">
        <v>60</v>
      </c>
      <c r="C29" s="2">
        <f>+'[1]Flow rate'!E91</f>
        <v>64.875403000000006</v>
      </c>
      <c r="D29" s="1" t="s">
        <v>28</v>
      </c>
      <c r="E29" s="1" t="s">
        <v>27</v>
      </c>
      <c r="F29" s="1" t="s">
        <v>24</v>
      </c>
      <c r="G29" s="1">
        <v>-0.77</v>
      </c>
      <c r="H29" s="15">
        <v>45454.967303240737</v>
      </c>
      <c r="I29" s="16">
        <f t="shared" si="6"/>
        <v>7.0800661109969951</v>
      </c>
      <c r="J29" s="25">
        <v>0.92973928952418705</v>
      </c>
      <c r="K29" s="25">
        <v>8.3973901685248773</v>
      </c>
      <c r="L29" s="25">
        <v>95.990190907998027</v>
      </c>
      <c r="N29" s="25">
        <v>0.32512241251034157</v>
      </c>
      <c r="O29" s="25" t="s">
        <v>30</v>
      </c>
      <c r="P29" s="3">
        <f t="shared" si="7"/>
        <v>8.6714165404421437E-3</v>
      </c>
      <c r="Q29" s="3">
        <f t="shared" si="8"/>
        <v>7.9258851242778899E-2</v>
      </c>
      <c r="R29" s="3">
        <f t="shared" si="9"/>
        <v>0.90903964024810291</v>
      </c>
      <c r="S29" s="3">
        <f t="shared" si="10"/>
        <v>3.0233766736395E-3</v>
      </c>
      <c r="T29" s="4">
        <f t="shared" si="4"/>
        <v>9.6696702635380563E-2</v>
      </c>
      <c r="U29" s="5">
        <f t="shared" si="5"/>
        <v>0.88383132491684868</v>
      </c>
      <c r="V29" s="5"/>
      <c r="W29" s="3">
        <f t="shared" si="11"/>
        <v>0.98052802755222923</v>
      </c>
      <c r="X29" s="3">
        <f t="shared" si="2"/>
        <v>9.0903964024810283E-3</v>
      </c>
    </row>
    <row r="30" spans="1:28" ht="15.6" x14ac:dyDescent="0.3">
      <c r="A30" s="1" t="s">
        <v>23</v>
      </c>
      <c r="B30" s="1">
        <v>60</v>
      </c>
      <c r="C30" s="2">
        <f>+'[1]Flow rate'!E92</f>
        <v>65.28201</v>
      </c>
      <c r="D30" s="1" t="s">
        <v>28</v>
      </c>
      <c r="E30" s="1" t="s">
        <v>27</v>
      </c>
      <c r="F30" s="1" t="s">
        <v>24</v>
      </c>
      <c r="G30" s="1">
        <v>-0.77</v>
      </c>
      <c r="H30" s="15">
        <v>45454.977743055555</v>
      </c>
      <c r="I30" s="16">
        <f t="shared" si="6"/>
        <v>7.3306216666242108</v>
      </c>
      <c r="J30" s="25">
        <v>0.93846358298283783</v>
      </c>
      <c r="K30" s="25">
        <v>8.5276492528946299</v>
      </c>
      <c r="L30" s="25">
        <v>96.295354625825524</v>
      </c>
      <c r="N30" s="25">
        <v>0.32402077012673064</v>
      </c>
      <c r="O30" s="25">
        <v>5.4171289807761777E-4</v>
      </c>
      <c r="P30" s="3">
        <f t="shared" si="7"/>
        <v>8.8008121079996369E-3</v>
      </c>
      <c r="Q30" s="3">
        <f t="shared" si="8"/>
        <v>7.9488792076940901E-2</v>
      </c>
      <c r="R30" s="3">
        <f t="shared" si="9"/>
        <v>0.90863282202975959</v>
      </c>
      <c r="S30" s="3">
        <f t="shared" si="10"/>
        <v>3.0775737852999805E-3</v>
      </c>
      <c r="T30" s="4">
        <f t="shared" si="4"/>
        <v>9.8754709207677774E-2</v>
      </c>
      <c r="U30" s="5">
        <f t="shared" si="5"/>
        <v>0.89195093026614836</v>
      </c>
      <c r="V30" s="5"/>
      <c r="W30" s="3">
        <f t="shared" si="11"/>
        <v>0.99070563947382617</v>
      </c>
      <c r="X30" s="3">
        <f t="shared" si="2"/>
        <v>9.0863282202975956E-3</v>
      </c>
      <c r="Y30" s="18">
        <f>+SUM(J29:L29)</f>
        <v>105.31732036604708</v>
      </c>
    </row>
    <row r="31" spans="1:28" ht="15.6" x14ac:dyDescent="0.3">
      <c r="A31" s="1" t="s">
        <v>23</v>
      </c>
      <c r="B31" s="1">
        <v>60</v>
      </c>
      <c r="C31" s="2">
        <f>+'[1]Flow rate'!E93</f>
        <v>64.931040999999993</v>
      </c>
      <c r="D31" s="1" t="s">
        <v>28</v>
      </c>
      <c r="E31" s="1" t="s">
        <v>27</v>
      </c>
      <c r="F31" s="1" t="s">
        <v>24</v>
      </c>
      <c r="G31" s="1">
        <v>-0.77</v>
      </c>
      <c r="H31" s="15">
        <v>45454.988171296296</v>
      </c>
      <c r="I31" s="16">
        <f t="shared" si="6"/>
        <v>7.5808994444087148</v>
      </c>
      <c r="J31" s="25">
        <v>0.94992443826080608</v>
      </c>
      <c r="K31" s="25">
        <v>8.5423022742944514</v>
      </c>
      <c r="L31" s="25">
        <v>96.205920587981197</v>
      </c>
      <c r="N31" s="25">
        <v>0.32523459267125321</v>
      </c>
      <c r="O31" s="25">
        <v>1.7379898130070735E-3</v>
      </c>
      <c r="P31" s="3">
        <f t="shared" si="7"/>
        <v>8.8462503825601675E-3</v>
      </c>
      <c r="Q31" s="3">
        <f t="shared" si="8"/>
        <v>8.038428110975257E-2</v>
      </c>
      <c r="R31" s="3">
        <f t="shared" si="9"/>
        <v>0.90771004133151789</v>
      </c>
      <c r="S31" s="3">
        <f t="shared" si="10"/>
        <v>3.0543208214648962E-3</v>
      </c>
      <c r="T31" s="4">
        <f t="shared" si="4"/>
        <v>9.8730910200651473E-2</v>
      </c>
      <c r="U31" s="5">
        <f t="shared" si="5"/>
        <v>0.8971499671134171</v>
      </c>
      <c r="V31" s="5"/>
      <c r="W31" s="3">
        <f t="shared" si="11"/>
        <v>0.9958808773140686</v>
      </c>
      <c r="X31" s="3">
        <f t="shared" si="2"/>
        <v>9.0771004133151784E-3</v>
      </c>
    </row>
    <row r="32" spans="1:28" ht="15.6" x14ac:dyDescent="0.3">
      <c r="A32" s="1" t="s">
        <v>23</v>
      </c>
      <c r="B32" s="1">
        <v>60</v>
      </c>
      <c r="C32" s="2">
        <f>+'[1]Flow rate'!E94</f>
        <v>64.720758000000004</v>
      </c>
      <c r="D32" s="1" t="s">
        <v>28</v>
      </c>
      <c r="E32" s="1" t="s">
        <v>27</v>
      </c>
      <c r="F32" s="1" t="s">
        <v>24</v>
      </c>
      <c r="G32" s="1">
        <v>-0.77</v>
      </c>
      <c r="H32" s="15">
        <v>45454.99858796296</v>
      </c>
      <c r="I32" s="16">
        <f t="shared" si="6"/>
        <v>7.8308994443505071</v>
      </c>
      <c r="J32" s="25">
        <v>0.95901364520348997</v>
      </c>
      <c r="K32" s="25">
        <v>8.5869606807368193</v>
      </c>
      <c r="L32" s="25">
        <v>96.285563851587412</v>
      </c>
      <c r="N32" s="25">
        <v>0.33108005657412304</v>
      </c>
      <c r="O32" s="25" t="s">
        <v>30</v>
      </c>
      <c r="P32" s="3">
        <f t="shared" si="7"/>
        <v>8.9594280988210487E-3</v>
      </c>
      <c r="Q32" s="3">
        <f t="shared" si="8"/>
        <v>8.0568664140340668E-2</v>
      </c>
      <c r="R32" s="3">
        <f t="shared" si="9"/>
        <v>0.90738799158281358</v>
      </c>
      <c r="S32" s="3">
        <f t="shared" si="10"/>
        <v>3.0675239323482021E-3</v>
      </c>
      <c r="T32" s="4">
        <f t="shared" si="4"/>
        <v>9.9670223296893082E-2</v>
      </c>
      <c r="U32" s="5">
        <f t="shared" si="5"/>
        <v>0.89629568506240087</v>
      </c>
      <c r="V32" s="5"/>
      <c r="W32" s="3">
        <f t="shared" si="11"/>
        <v>0.99596590835929399</v>
      </c>
      <c r="X32" s="3">
        <f t="shared" si="2"/>
        <v>9.0738799158281355E-3</v>
      </c>
      <c r="Y32" s="18">
        <f>+SUM(J31:L31)</f>
        <v>105.69814730053645</v>
      </c>
    </row>
    <row r="33" spans="1:25" ht="15.6" x14ac:dyDescent="0.3">
      <c r="A33" s="1" t="s">
        <v>23</v>
      </c>
      <c r="B33" s="1">
        <v>60</v>
      </c>
      <c r="C33" s="2">
        <f>+'[1]Flow rate'!E95</f>
        <v>67.122949000000006</v>
      </c>
      <c r="D33" s="1" t="s">
        <v>28</v>
      </c>
      <c r="E33" s="1" t="s">
        <v>27</v>
      </c>
      <c r="F33" s="1" t="s">
        <v>24</v>
      </c>
      <c r="G33" s="1">
        <v>-1.1000000000000001</v>
      </c>
      <c r="H33" s="15">
        <v>45455.009004629632</v>
      </c>
      <c r="I33" s="16">
        <f t="shared" si="6"/>
        <v>8.0808994444669224</v>
      </c>
      <c r="J33" s="25">
        <v>0.97547117806071837</v>
      </c>
      <c r="K33" s="25">
        <v>8.6141614335337859</v>
      </c>
      <c r="L33" s="25">
        <v>96.220149544276666</v>
      </c>
      <c r="N33" s="25">
        <v>0.33105705134028429</v>
      </c>
      <c r="O33" s="25" t="s">
        <v>30</v>
      </c>
      <c r="P33" s="3">
        <f t="shared" si="7"/>
        <v>9.0334400296038769E-3</v>
      </c>
      <c r="Q33" s="3">
        <f t="shared" si="8"/>
        <v>8.0884974613206109E-2</v>
      </c>
      <c r="R33" s="3">
        <f t="shared" si="9"/>
        <v>0.90696297296724271</v>
      </c>
      <c r="S33" s="3">
        <f t="shared" si="10"/>
        <v>3.1186123899473741E-3</v>
      </c>
      <c r="T33" s="4">
        <f t="shared" si="4"/>
        <v>7.2956464899294332E-2</v>
      </c>
      <c r="U33" s="5">
        <f t="shared" si="5"/>
        <v>0.65324857329101571</v>
      </c>
      <c r="V33" s="5"/>
      <c r="W33" s="3">
        <f t="shared" si="11"/>
        <v>0.72620503819031001</v>
      </c>
      <c r="X33" s="3">
        <f t="shared" si="2"/>
        <v>9.0696297296724276E-3</v>
      </c>
    </row>
    <row r="34" spans="1:25" ht="15.6" x14ac:dyDescent="0.3">
      <c r="A34" s="1" t="s">
        <v>23</v>
      </c>
      <c r="B34" s="1">
        <v>60</v>
      </c>
      <c r="C34" s="2">
        <f>+'[1]Flow rate'!E96</f>
        <v>66.493643000000006</v>
      </c>
      <c r="D34" s="1" t="s">
        <v>28</v>
      </c>
      <c r="E34" s="1" t="s">
        <v>27</v>
      </c>
      <c r="F34" s="1" t="s">
        <v>24</v>
      </c>
      <c r="G34" s="1">
        <v>-1.1000000000000001</v>
      </c>
      <c r="H34" s="15">
        <v>45455.019421296296</v>
      </c>
      <c r="I34" s="16">
        <f t="shared" si="6"/>
        <v>8.3308994444087148</v>
      </c>
      <c r="J34" s="25">
        <v>1.223344387142929</v>
      </c>
      <c r="K34" s="25">
        <v>8.7972801475226081</v>
      </c>
      <c r="L34" s="25">
        <v>95.503018284996799</v>
      </c>
      <c r="N34" s="25">
        <v>0.35318998363809073</v>
      </c>
      <c r="O34" s="25">
        <v>8.2071297642537428E-4</v>
      </c>
      <c r="P34" s="3">
        <f t="shared" si="7"/>
        <v>9.1903473285751321E-3</v>
      </c>
      <c r="Q34" s="3">
        <f t="shared" si="8"/>
        <v>8.1157841768303263E-2</v>
      </c>
      <c r="R34" s="3">
        <f t="shared" si="9"/>
        <v>0.90653277534797594</v>
      </c>
      <c r="S34" s="3">
        <f t="shared" si="10"/>
        <v>3.1190355551455966E-3</v>
      </c>
      <c r="T34" s="4">
        <f t="shared" si="4"/>
        <v>7.3527811542611538E-2</v>
      </c>
      <c r="U34" s="5">
        <f t="shared" si="5"/>
        <v>0.64930717865154575</v>
      </c>
      <c r="V34" s="5"/>
      <c r="W34" s="3">
        <f t="shared" si="11"/>
        <v>0.72283499019415731</v>
      </c>
      <c r="X34" s="3">
        <f t="shared" si="2"/>
        <v>9.0653277534797592E-3</v>
      </c>
      <c r="Y34" s="18">
        <f>+SUM(J33:L33)</f>
        <v>105.80978215587118</v>
      </c>
    </row>
    <row r="35" spans="1:25" ht="15.6" x14ac:dyDescent="0.3">
      <c r="A35" s="1" t="s">
        <v>23</v>
      </c>
      <c r="B35" s="1">
        <v>60</v>
      </c>
      <c r="C35" s="2">
        <f>+'[1]Flow rate'!E97</f>
        <v>66.747988000000007</v>
      </c>
      <c r="D35" s="1" t="s">
        <v>28</v>
      </c>
      <c r="E35" s="1" t="s">
        <v>27</v>
      </c>
      <c r="F35" s="1" t="s">
        <v>24</v>
      </c>
      <c r="G35" s="1">
        <v>-1.1000000000000001</v>
      </c>
      <c r="H35" s="15">
        <v>45455.029849537037</v>
      </c>
      <c r="I35" s="16">
        <f t="shared" si="6"/>
        <v>8.5811772221932188</v>
      </c>
      <c r="J35" s="25">
        <v>2.059896353569175</v>
      </c>
      <c r="K35" s="25">
        <v>9.7541133347453925</v>
      </c>
      <c r="L35" s="25">
        <v>93.301085605912647</v>
      </c>
      <c r="N35" s="25">
        <v>0.3963032148678563</v>
      </c>
      <c r="O35" s="25">
        <v>1.6444078473006488E-3</v>
      </c>
      <c r="P35" s="3">
        <f t="shared" si="7"/>
        <v>1.1554320921504565E-2</v>
      </c>
      <c r="Q35" s="3">
        <f t="shared" si="8"/>
        <v>8.30891113975262E-2</v>
      </c>
      <c r="R35" s="3">
        <f t="shared" si="9"/>
        <v>0.90201298492429161</v>
      </c>
      <c r="S35" s="3">
        <f t="shared" si="10"/>
        <v>3.3358312345276326E-3</v>
      </c>
      <c r="T35" s="4">
        <f t="shared" si="4"/>
        <v>9.2794490767928353E-2</v>
      </c>
      <c r="U35" s="5">
        <f t="shared" si="5"/>
        <v>0.66730116229878067</v>
      </c>
      <c r="V35" s="5"/>
      <c r="W35" s="3">
        <f t="shared" si="11"/>
        <v>0.76009565306670901</v>
      </c>
      <c r="X35" s="3">
        <f t="shared" si="2"/>
        <v>9.0201298492429156E-3</v>
      </c>
    </row>
    <row r="36" spans="1:25" ht="15.6" x14ac:dyDescent="0.3">
      <c r="A36" s="1" t="s">
        <v>23</v>
      </c>
      <c r="B36" s="1">
        <v>60</v>
      </c>
      <c r="C36" s="2">
        <f>+'[1]Flow rate'!E98</f>
        <v>66.157107999999994</v>
      </c>
      <c r="D36" s="1" t="s">
        <v>28</v>
      </c>
      <c r="E36" s="1" t="s">
        <v>27</v>
      </c>
      <c r="F36" s="1" t="s">
        <v>24</v>
      </c>
      <c r="G36" s="1">
        <v>-1.1000000000000001</v>
      </c>
      <c r="H36" s="15">
        <v>45455.040289351855</v>
      </c>
      <c r="I36" s="16">
        <f t="shared" si="6"/>
        <v>8.8317327778204344</v>
      </c>
      <c r="J36" s="25">
        <v>2.2312171043717606</v>
      </c>
      <c r="K36" s="25">
        <v>9.910246775983703</v>
      </c>
      <c r="L36" s="25">
        <v>92.941363821951896</v>
      </c>
      <c r="N36" s="25">
        <v>0.40670703541507625</v>
      </c>
      <c r="O36" s="25" t="s">
        <v>30</v>
      </c>
      <c r="P36" s="3">
        <f t="shared" ref="P36:P63" si="12">+J35/SUM($J35:$O35)</f>
        <v>1.9522670341245697E-2</v>
      </c>
      <c r="Q36" s="3">
        <f t="shared" ref="Q36:Q63" si="13">+K35/SUM($J35:$O35)</f>
        <v>9.244462167983937E-2</v>
      </c>
      <c r="R36" s="3">
        <f t="shared" ref="R36:R63" si="14">+L35/SUM($J35:$O35)</f>
        <v>0.88426115887262657</v>
      </c>
      <c r="S36" s="3">
        <f t="shared" ref="S36:S63" si="15">+N35/SUM($J35:$O35)</f>
        <v>3.7559642287998251E-3</v>
      </c>
      <c r="T36" s="4">
        <f t="shared" si="4"/>
        <v>0.15540154088354655</v>
      </c>
      <c r="U36" s="5">
        <f t="shared" si="5"/>
        <v>0.73586432615687369</v>
      </c>
      <c r="V36" s="5"/>
      <c r="W36" s="3">
        <f t="shared" si="11"/>
        <v>0.89126586704042021</v>
      </c>
      <c r="X36" s="3">
        <f t="shared" si="2"/>
        <v>8.8426115887262659E-3</v>
      </c>
      <c r="Y36" s="18">
        <f>+SUM(J35:L35)</f>
        <v>105.11509529422722</v>
      </c>
    </row>
    <row r="37" spans="1:25" ht="15.6" x14ac:dyDescent="0.3">
      <c r="A37" s="1" t="s">
        <v>23</v>
      </c>
      <c r="B37" s="1">
        <v>60</v>
      </c>
      <c r="C37" s="2">
        <f>+'[1]Flow rate'!E99</f>
        <v>66.338057000000006</v>
      </c>
      <c r="D37" s="1" t="s">
        <v>28</v>
      </c>
      <c r="E37" s="1" t="s">
        <v>27</v>
      </c>
      <c r="F37" s="1" t="s">
        <v>24</v>
      </c>
      <c r="G37" s="1">
        <v>-1.1000000000000001</v>
      </c>
      <c r="H37" s="15">
        <v>45455.050706018519</v>
      </c>
      <c r="I37" s="16">
        <f t="shared" si="6"/>
        <v>9.0817327777622268</v>
      </c>
      <c r="J37" s="25">
        <v>2.3274455646721912</v>
      </c>
      <c r="K37" s="25">
        <v>9.7441599145966329</v>
      </c>
      <c r="L37" s="25">
        <v>92.817820938460457</v>
      </c>
      <c r="N37" s="25">
        <v>0.41413227109776501</v>
      </c>
      <c r="O37" s="25">
        <v>1.0582565466530544E-2</v>
      </c>
      <c r="P37" s="3">
        <f t="shared" si="12"/>
        <v>2.1151075411596165E-2</v>
      </c>
      <c r="Q37" s="3">
        <f t="shared" si="13"/>
        <v>9.3945307471716977E-2</v>
      </c>
      <c r="R37" s="3">
        <f t="shared" si="14"/>
        <v>0.88104819168110915</v>
      </c>
      <c r="S37" s="3">
        <f t="shared" si="15"/>
        <v>3.8554254355777362E-3</v>
      </c>
      <c r="T37" s="4">
        <f t="shared" si="4"/>
        <v>0.16882423425109408</v>
      </c>
      <c r="U37" s="5">
        <f t="shared" si="5"/>
        <v>0.74985523368238571</v>
      </c>
      <c r="V37" s="5"/>
      <c r="W37" s="3">
        <f t="shared" si="11"/>
        <v>0.91867946793347977</v>
      </c>
      <c r="X37" s="3">
        <f t="shared" si="2"/>
        <v>8.8104819168110908E-3</v>
      </c>
    </row>
    <row r="38" spans="1:25" ht="15.6" x14ac:dyDescent="0.3">
      <c r="A38" s="1" t="s">
        <v>23</v>
      </c>
      <c r="B38" s="1">
        <v>60</v>
      </c>
      <c r="C38" s="2">
        <f>+'[1]Flow rate'!E100</f>
        <v>65.962504999999993</v>
      </c>
      <c r="D38" s="1" t="s">
        <v>28</v>
      </c>
      <c r="E38" s="1" t="s">
        <v>27</v>
      </c>
      <c r="F38" s="1" t="s">
        <v>24</v>
      </c>
      <c r="G38" s="1">
        <v>-1.1000000000000001</v>
      </c>
      <c r="H38" s="15">
        <v>45455.06113425926</v>
      </c>
      <c r="I38" s="16">
        <f t="shared" si="6"/>
        <v>9.3320105555467308</v>
      </c>
      <c r="J38" s="25">
        <v>2.4133175227983759</v>
      </c>
      <c r="K38" s="25">
        <v>9.7222074437775472</v>
      </c>
      <c r="L38" s="25">
        <v>92.876990670336667</v>
      </c>
      <c r="N38" s="25">
        <v>0.4137153308802457</v>
      </c>
      <c r="O38" s="25">
        <v>4.3809681192377687E-4</v>
      </c>
      <c r="P38" s="3">
        <f t="shared" si="12"/>
        <v>2.2100028894052277E-2</v>
      </c>
      <c r="Q38" s="3">
        <f t="shared" si="13"/>
        <v>9.2524705595502063E-2</v>
      </c>
      <c r="R38" s="3">
        <f t="shared" si="14"/>
        <v>0.88134242783541028</v>
      </c>
      <c r="S38" s="3">
        <f t="shared" si="15"/>
        <v>3.9323519725408306E-3</v>
      </c>
      <c r="T38" s="4">
        <f t="shared" si="4"/>
        <v>0.1753999920325803</v>
      </c>
      <c r="U38" s="5">
        <f t="shared" si="5"/>
        <v>0.73433535775310788</v>
      </c>
      <c r="V38" s="5"/>
      <c r="W38" s="3">
        <f t="shared" si="11"/>
        <v>0.90973534978568815</v>
      </c>
      <c r="X38" s="3">
        <f t="shared" si="2"/>
        <v>8.8134242783541022E-3</v>
      </c>
      <c r="Y38" s="18">
        <f>+SUM(J37:L37)</f>
        <v>104.88942641772928</v>
      </c>
    </row>
    <row r="39" spans="1:25" ht="15.6" x14ac:dyDescent="0.3">
      <c r="A39" s="1" t="s">
        <v>23</v>
      </c>
      <c r="B39" s="1">
        <v>60</v>
      </c>
      <c r="C39" s="2">
        <f>+'[1]Flow rate'!E101</f>
        <v>66.749397999999999</v>
      </c>
      <c r="D39" s="1" t="s">
        <v>28</v>
      </c>
      <c r="E39" s="1" t="s">
        <v>27</v>
      </c>
      <c r="F39" s="1" t="s">
        <v>24</v>
      </c>
      <c r="G39" s="1">
        <v>-1.1000000000000001</v>
      </c>
      <c r="H39" s="15">
        <v>45455.071562500001</v>
      </c>
      <c r="I39" s="16">
        <f t="shared" si="6"/>
        <v>9.5822883333312348</v>
      </c>
      <c r="J39" s="25">
        <v>2.4457602041884319</v>
      </c>
      <c r="K39" s="25">
        <v>9.7658153219124912</v>
      </c>
      <c r="L39" s="25">
        <v>92.730240201208971</v>
      </c>
      <c r="N39" s="25">
        <v>0.41173726470625244</v>
      </c>
      <c r="O39" s="25" t="s">
        <v>30</v>
      </c>
      <c r="P39" s="3">
        <f t="shared" si="12"/>
        <v>2.2890958656006773E-2</v>
      </c>
      <c r="Q39" s="3">
        <f t="shared" si="13"/>
        <v>9.2217723750902564E-2</v>
      </c>
      <c r="R39" s="3">
        <f t="shared" si="14"/>
        <v>0.8809629621649363</v>
      </c>
      <c r="S39" s="3">
        <f t="shared" si="15"/>
        <v>3.9241999633576937E-3</v>
      </c>
      <c r="T39" s="4">
        <f t="shared" si="4"/>
        <v>0.18384461858426915</v>
      </c>
      <c r="U39" s="5">
        <f t="shared" si="5"/>
        <v>0.74063006728839575</v>
      </c>
      <c r="V39" s="5"/>
      <c r="W39" s="3">
        <f t="shared" si="11"/>
        <v>0.9244746858726649</v>
      </c>
      <c r="X39" s="3">
        <f t="shared" si="2"/>
        <v>8.8096296216493633E-3</v>
      </c>
    </row>
    <row r="40" spans="1:25" ht="15.6" x14ac:dyDescent="0.3">
      <c r="A40" s="1" t="s">
        <v>23</v>
      </c>
      <c r="B40" s="1">
        <v>60</v>
      </c>
      <c r="C40" s="2">
        <f>+'[1]Flow rate'!E102</f>
        <v>62.612499999999997</v>
      </c>
      <c r="D40" s="1" t="s">
        <v>28</v>
      </c>
      <c r="E40" s="1" t="s">
        <v>27</v>
      </c>
      <c r="F40" s="1" t="s">
        <v>24</v>
      </c>
      <c r="G40" s="1">
        <v>-1.1000000000000001</v>
      </c>
      <c r="H40" s="15">
        <v>45455.081990740742</v>
      </c>
      <c r="I40" s="16">
        <f t="shared" si="6"/>
        <v>9.8325661111157387</v>
      </c>
      <c r="J40" s="25">
        <v>2.4972282387671783</v>
      </c>
      <c r="K40" s="25">
        <v>9.4043283678563849</v>
      </c>
      <c r="L40" s="25">
        <v>92.885622644955802</v>
      </c>
      <c r="N40" s="25">
        <v>0.41572568000073584</v>
      </c>
      <c r="O40" s="25" t="s">
        <v>30</v>
      </c>
      <c r="P40" s="3">
        <f t="shared" si="12"/>
        <v>2.3214786162681914E-2</v>
      </c>
      <c r="Q40" s="3">
        <f t="shared" si="13"/>
        <v>9.2695642857460736E-2</v>
      </c>
      <c r="R40" s="3">
        <f t="shared" si="14"/>
        <v>0.88018142310052161</v>
      </c>
      <c r="S40" s="3">
        <f t="shared" si="15"/>
        <v>3.9081478793359208E-3</v>
      </c>
      <c r="T40" s="4">
        <f t="shared" si="4"/>
        <v>0.17489013783386298</v>
      </c>
      <c r="U40" s="5">
        <f t="shared" si="5"/>
        <v>0.69832879968544115</v>
      </c>
      <c r="V40" s="5"/>
      <c r="W40" s="3">
        <f t="shared" si="11"/>
        <v>0.87321893751930413</v>
      </c>
      <c r="X40" s="3">
        <f t="shared" si="2"/>
        <v>8.8018142310052165E-3</v>
      </c>
      <c r="Y40" s="18">
        <f>+SUM(J39:L39)</f>
        <v>104.94181572730989</v>
      </c>
    </row>
    <row r="41" spans="1:25" ht="15.6" x14ac:dyDescent="0.3">
      <c r="A41" s="1" t="s">
        <v>23</v>
      </c>
      <c r="B41" s="1">
        <v>60</v>
      </c>
      <c r="C41" s="2">
        <f>+'[1]Flow rate'!E103</f>
        <v>65.865452000000005</v>
      </c>
      <c r="D41" s="1" t="s">
        <v>28</v>
      </c>
      <c r="E41" s="1" t="s">
        <v>27</v>
      </c>
      <c r="F41" s="1" t="s">
        <v>24</v>
      </c>
      <c r="G41" s="1">
        <v>-1.52</v>
      </c>
      <c r="H41" s="15">
        <v>45455.092430555553</v>
      </c>
      <c r="I41" s="16">
        <f t="shared" si="6"/>
        <v>10.083121666568331</v>
      </c>
      <c r="J41" s="25">
        <v>2.5214625191018745</v>
      </c>
      <c r="K41" s="25">
        <v>9.6777636983894642</v>
      </c>
      <c r="L41" s="25">
        <v>92.68310495285246</v>
      </c>
      <c r="N41" s="25">
        <v>0.41892305175415606</v>
      </c>
      <c r="O41" s="25">
        <v>1.0780858958714567E-2</v>
      </c>
      <c r="P41" s="3">
        <f t="shared" si="12"/>
        <v>2.3737255548136042E-2</v>
      </c>
      <c r="Q41" s="3">
        <f t="shared" si="13"/>
        <v>8.9392287921826838E-2</v>
      </c>
      <c r="R41" s="3">
        <f t="shared" si="14"/>
        <v>0.88291880062974515</v>
      </c>
      <c r="S41" s="3">
        <f t="shared" si="15"/>
        <v>3.9516559002919904E-3</v>
      </c>
      <c r="T41" s="4">
        <f t="shared" si="4"/>
        <v>0.13613721652321931</v>
      </c>
      <c r="U41" s="5">
        <f t="shared" si="5"/>
        <v>0.51268004557819735</v>
      </c>
      <c r="V41" s="5"/>
      <c r="W41" s="3">
        <f t="shared" si="11"/>
        <v>0.64881726210141666</v>
      </c>
      <c r="X41" s="3">
        <f t="shared" si="2"/>
        <v>8.8291880062974521E-3</v>
      </c>
    </row>
    <row r="42" spans="1:25" ht="15.6" x14ac:dyDescent="0.3">
      <c r="A42" s="1" t="s">
        <v>23</v>
      </c>
      <c r="B42" s="1">
        <v>60</v>
      </c>
      <c r="C42" s="2">
        <f>+'[1]Flow rate'!E104</f>
        <v>66.633942000000005</v>
      </c>
      <c r="D42" s="1" t="s">
        <v>28</v>
      </c>
      <c r="E42" s="1" t="s">
        <v>27</v>
      </c>
      <c r="F42" s="1" t="s">
        <v>24</v>
      </c>
      <c r="G42" s="1">
        <v>-1.52</v>
      </c>
      <c r="H42" s="15">
        <v>45455.102847222224</v>
      </c>
      <c r="I42" s="16">
        <f t="shared" si="6"/>
        <v>10.333121666684747</v>
      </c>
      <c r="J42" s="25">
        <v>3.3853738257351886</v>
      </c>
      <c r="K42" s="25">
        <v>10.032081257703007</v>
      </c>
      <c r="L42" s="25">
        <v>91.242290271834833</v>
      </c>
      <c r="N42" s="25">
        <v>0.46722061490597033</v>
      </c>
      <c r="O42" s="25" t="s">
        <v>30</v>
      </c>
      <c r="P42" s="3">
        <f t="shared" si="12"/>
        <v>2.3942776503760019E-2</v>
      </c>
      <c r="Q42" s="3">
        <f t="shared" si="13"/>
        <v>9.1896084725175742E-2</v>
      </c>
      <c r="R42" s="3">
        <f t="shared" si="14"/>
        <v>0.88008084623486793</v>
      </c>
      <c r="S42" s="3">
        <f t="shared" si="15"/>
        <v>3.9779219101759734E-3</v>
      </c>
      <c r="T42" s="4">
        <f t="shared" si="4"/>
        <v>0.13891805783904676</v>
      </c>
      <c r="U42" s="5">
        <f t="shared" si="5"/>
        <v>0.53318902304538929</v>
      </c>
      <c r="V42" s="5"/>
      <c r="W42" s="3">
        <f t="shared" si="11"/>
        <v>0.67210708088443605</v>
      </c>
      <c r="X42" s="3">
        <f t="shared" si="2"/>
        <v>8.8008084623486787E-3</v>
      </c>
      <c r="Y42" s="18">
        <f>+SUM(J41:L41)</f>
        <v>104.8823311703438</v>
      </c>
    </row>
    <row r="43" spans="1:25" ht="15.6" x14ac:dyDescent="0.3">
      <c r="A43" s="1" t="s">
        <v>23</v>
      </c>
      <c r="B43" s="1">
        <v>60</v>
      </c>
      <c r="C43" s="2">
        <f>+'[1]Flow rate'!E105</f>
        <v>65.707552000000007</v>
      </c>
      <c r="D43" s="1" t="s">
        <v>28</v>
      </c>
      <c r="E43" s="1" t="s">
        <v>27</v>
      </c>
      <c r="F43" s="1" t="s">
        <v>24</v>
      </c>
      <c r="G43" s="1">
        <v>-1.52</v>
      </c>
      <c r="H43" s="15">
        <v>45455.113263888888</v>
      </c>
      <c r="I43" s="16">
        <f t="shared" si="6"/>
        <v>10.583121666626539</v>
      </c>
      <c r="J43" s="25">
        <v>5.7448437363096305</v>
      </c>
      <c r="K43" s="25">
        <v>10.778860255012304</v>
      </c>
      <c r="L43" s="25">
        <v>87.513981311965239</v>
      </c>
      <c r="N43" s="25">
        <v>0.53668953774054917</v>
      </c>
      <c r="O43" s="25" t="s">
        <v>30</v>
      </c>
      <c r="P43" s="3">
        <f t="shared" si="12"/>
        <v>3.2202715968189417E-2</v>
      </c>
      <c r="Q43" s="3">
        <f t="shared" si="13"/>
        <v>9.5428239225973405E-2</v>
      </c>
      <c r="R43" s="3">
        <f t="shared" si="14"/>
        <v>0.86792469876584488</v>
      </c>
      <c r="S43" s="3">
        <f t="shared" si="15"/>
        <v>4.4443460399923003E-3</v>
      </c>
      <c r="T43" s="4">
        <f t="shared" si="4"/>
        <v>0.18424532367565491</v>
      </c>
      <c r="U43" s="5">
        <f t="shared" si="5"/>
        <v>0.545985215699055</v>
      </c>
      <c r="V43" s="5"/>
      <c r="W43" s="3">
        <f t="shared" si="11"/>
        <v>0.73023053937470994</v>
      </c>
      <c r="X43" s="3">
        <f t="shared" si="2"/>
        <v>8.6792469876584497E-3</v>
      </c>
    </row>
    <row r="44" spans="1:25" ht="15.6" x14ac:dyDescent="0.3">
      <c r="A44" s="1" t="s">
        <v>23</v>
      </c>
      <c r="B44" s="1">
        <v>60</v>
      </c>
      <c r="C44" s="2">
        <f>+'[1]Flow rate'!E106</f>
        <v>65.599198999999999</v>
      </c>
      <c r="D44" s="1" t="s">
        <v>28</v>
      </c>
      <c r="E44" s="1" t="s">
        <v>27</v>
      </c>
      <c r="F44" s="1" t="s">
        <v>24</v>
      </c>
      <c r="G44" s="1">
        <v>-1.52</v>
      </c>
      <c r="H44" s="15">
        <v>45455.123692129629</v>
      </c>
      <c r="I44" s="16">
        <f t="shared" si="6"/>
        <v>10.833399444411043</v>
      </c>
      <c r="J44" s="25">
        <v>6.0866473128017917</v>
      </c>
      <c r="K44" s="25">
        <v>10.810526997804565</v>
      </c>
      <c r="L44" s="25">
        <v>86.956424470725452</v>
      </c>
      <c r="N44" s="25">
        <v>0.55063750221140018</v>
      </c>
      <c r="O44" s="25" t="s">
        <v>30</v>
      </c>
      <c r="P44" s="3">
        <f t="shared" si="12"/>
        <v>5.493548247400809E-2</v>
      </c>
      <c r="Q44" s="3">
        <f t="shared" si="13"/>
        <v>0.10307362842377164</v>
      </c>
      <c r="R44" s="3">
        <f t="shared" si="14"/>
        <v>0.83685875669830767</v>
      </c>
      <c r="S44" s="3">
        <f t="shared" si="15"/>
        <v>5.1321324039126787E-3</v>
      </c>
      <c r="T44" s="4">
        <f t="shared" si="4"/>
        <v>0.31379076969012631</v>
      </c>
      <c r="U44" s="5">
        <f t="shared" si="5"/>
        <v>0.58875524053424411</v>
      </c>
      <c r="V44" s="5"/>
      <c r="W44" s="3">
        <f t="shared" si="11"/>
        <v>0.90254601022437042</v>
      </c>
      <c r="X44" s="3">
        <f t="shared" si="2"/>
        <v>8.3685875669830771E-3</v>
      </c>
      <c r="Y44" s="18">
        <f>+SUM(J43:L43)</f>
        <v>104.03768530328718</v>
      </c>
    </row>
    <row r="45" spans="1:25" ht="15.6" x14ac:dyDescent="0.3">
      <c r="A45" s="1" t="s">
        <v>23</v>
      </c>
      <c r="B45" s="1">
        <v>60</v>
      </c>
      <c r="C45" s="2">
        <f>+'[1]Flow rate'!E107</f>
        <v>65.724652000000006</v>
      </c>
      <c r="D45" s="1" t="s">
        <v>28</v>
      </c>
      <c r="E45" s="1" t="s">
        <v>27</v>
      </c>
      <c r="F45" s="1" t="s">
        <v>24</v>
      </c>
      <c r="G45" s="1">
        <v>-1.52</v>
      </c>
      <c r="H45" s="15">
        <v>45455.134131944447</v>
      </c>
      <c r="I45" s="16">
        <f t="shared" si="6"/>
        <v>11.083955000038259</v>
      </c>
      <c r="J45" s="25">
        <v>6.2053244304935378</v>
      </c>
      <c r="K45" s="25">
        <v>10.791199625154364</v>
      </c>
      <c r="L45" s="25">
        <v>86.75450718789115</v>
      </c>
      <c r="N45" s="25">
        <v>0.56115268397401619</v>
      </c>
      <c r="O45" s="25">
        <v>8.9475647500200962E-3</v>
      </c>
      <c r="P45" s="3">
        <f t="shared" si="12"/>
        <v>5.8298853853703286E-2</v>
      </c>
      <c r="Q45" s="3">
        <f t="shared" si="13"/>
        <v>0.10354490758828128</v>
      </c>
      <c r="R45" s="3">
        <f t="shared" si="14"/>
        <v>0.83288214699035168</v>
      </c>
      <c r="S45" s="3">
        <f t="shared" si="15"/>
        <v>5.2740915676636659E-3</v>
      </c>
      <c r="T45" s="4">
        <f t="shared" si="4"/>
        <v>0.33363914292267755</v>
      </c>
      <c r="U45" s="5">
        <f t="shared" si="5"/>
        <v>0.59257827449668665</v>
      </c>
      <c r="V45" s="5"/>
      <c r="W45" s="3">
        <f t="shared" si="11"/>
        <v>0.92621741741936425</v>
      </c>
      <c r="X45" s="3">
        <f t="shared" si="2"/>
        <v>8.3288214699035173E-3</v>
      </c>
    </row>
    <row r="46" spans="1:25" ht="15.6" x14ac:dyDescent="0.3">
      <c r="A46" s="1" t="s">
        <v>23</v>
      </c>
      <c r="B46" s="1">
        <v>60</v>
      </c>
      <c r="C46" s="2">
        <f>+'[1]Flow rate'!E108</f>
        <v>65.881394</v>
      </c>
      <c r="D46" s="1" t="s">
        <v>28</v>
      </c>
      <c r="E46" s="1" t="s">
        <v>27</v>
      </c>
      <c r="F46" s="1" t="s">
        <v>24</v>
      </c>
      <c r="G46" s="1">
        <v>-1.52</v>
      </c>
      <c r="H46" s="15">
        <v>45455.144560185188</v>
      </c>
      <c r="I46" s="16">
        <f t="shared" si="6"/>
        <v>11.334232777822763</v>
      </c>
      <c r="J46" s="25">
        <v>6.2898252581180616</v>
      </c>
      <c r="K46" s="25">
        <v>10.975057975808467</v>
      </c>
      <c r="L46" s="25">
        <v>86.758173635284152</v>
      </c>
      <c r="N46" s="25">
        <v>0.55738050791015947</v>
      </c>
      <c r="O46" s="25" t="s">
        <v>30</v>
      </c>
      <c r="P46" s="3">
        <f t="shared" si="12"/>
        <v>5.9482909567116347E-2</v>
      </c>
      <c r="Q46" s="3">
        <f t="shared" si="13"/>
        <v>0.10344212596998804</v>
      </c>
      <c r="R46" s="3">
        <f t="shared" si="14"/>
        <v>0.83161010570830751</v>
      </c>
      <c r="S46" s="3">
        <f t="shared" si="15"/>
        <v>5.3790893172552846E-3</v>
      </c>
      <c r="T46" s="4">
        <f t="shared" si="4"/>
        <v>0.34122722040433251</v>
      </c>
      <c r="U46" s="5">
        <f t="shared" si="5"/>
        <v>0.59340185902686682</v>
      </c>
      <c r="V46" s="5"/>
      <c r="W46" s="3">
        <f t="shared" si="11"/>
        <v>0.93462907943119933</v>
      </c>
      <c r="X46" s="3">
        <f t="shared" si="2"/>
        <v>8.3161010570830755E-3</v>
      </c>
      <c r="Y46" s="18">
        <f>+SUM(J45:L45)</f>
        <v>103.75103124353905</v>
      </c>
    </row>
    <row r="47" spans="1:25" ht="15.6" x14ac:dyDescent="0.3">
      <c r="A47" s="1" t="s">
        <v>23</v>
      </c>
      <c r="B47" s="1">
        <v>60</v>
      </c>
      <c r="C47" s="2">
        <f>+'[1]Flow rate'!E109</f>
        <v>65.991834999999995</v>
      </c>
      <c r="D47" s="1" t="s">
        <v>28</v>
      </c>
      <c r="E47" s="1" t="s">
        <v>27</v>
      </c>
      <c r="F47" s="1" t="s">
        <v>24</v>
      </c>
      <c r="G47" s="1">
        <v>-1.52</v>
      </c>
      <c r="H47" s="15">
        <v>45455.154988425929</v>
      </c>
      <c r="I47" s="16">
        <f t="shared" si="6"/>
        <v>11.584510555607267</v>
      </c>
      <c r="J47" s="25">
        <v>6.329981885637503</v>
      </c>
      <c r="K47" s="25">
        <v>10.990350016010588</v>
      </c>
      <c r="L47" s="25">
        <v>86.448608910627783</v>
      </c>
      <c r="N47" s="25">
        <v>0.55550607376161731</v>
      </c>
      <c r="O47" s="25" t="s">
        <v>30</v>
      </c>
      <c r="P47" s="3">
        <f t="shared" si="12"/>
        <v>6.0143420852570399E-2</v>
      </c>
      <c r="Q47" s="3">
        <f t="shared" si="13"/>
        <v>0.10494369932908208</v>
      </c>
      <c r="R47" s="3">
        <f t="shared" si="14"/>
        <v>0.82958319750022702</v>
      </c>
      <c r="S47" s="3">
        <f t="shared" si="15"/>
        <v>5.329682318120599E-3</v>
      </c>
      <c r="T47" s="4">
        <f t="shared" si="4"/>
        <v>0.34559465420811269</v>
      </c>
      <c r="U47" s="5">
        <f t="shared" si="5"/>
        <v>0.60302491888278176</v>
      </c>
      <c r="V47" s="5"/>
      <c r="W47" s="3">
        <f t="shared" si="11"/>
        <v>0.9486195730908944</v>
      </c>
      <c r="X47" s="3">
        <f t="shared" si="2"/>
        <v>8.2958319750022699E-3</v>
      </c>
    </row>
    <row r="48" spans="1:25" ht="15.6" x14ac:dyDescent="0.3">
      <c r="A48" s="1" t="s">
        <v>23</v>
      </c>
      <c r="B48" s="1">
        <v>60</v>
      </c>
      <c r="C48" s="2">
        <f>+'[1]Flow rate'!E110</f>
        <v>65.577878999999996</v>
      </c>
      <c r="D48" s="1" t="s">
        <v>28</v>
      </c>
      <c r="E48" s="1" t="s">
        <v>27</v>
      </c>
      <c r="F48" s="1" t="s">
        <v>24</v>
      </c>
      <c r="G48" s="1">
        <v>-1.52</v>
      </c>
      <c r="H48" s="15">
        <v>45455.165416666663</v>
      </c>
      <c r="I48" s="16">
        <f t="shared" si="6"/>
        <v>11.834788333217148</v>
      </c>
      <c r="J48" s="25">
        <v>6.3740119826465165</v>
      </c>
      <c r="K48" s="25">
        <v>10.926114843366264</v>
      </c>
      <c r="L48" s="25">
        <v>86.656687487524067</v>
      </c>
      <c r="N48" s="25">
        <v>0.55862241944878188</v>
      </c>
      <c r="O48" s="25" t="s">
        <v>30</v>
      </c>
      <c r="P48" s="3">
        <f t="shared" si="12"/>
        <v>6.0675920885085381E-2</v>
      </c>
      <c r="Q48" s="3">
        <f t="shared" si="13"/>
        <v>0.10534779089714501</v>
      </c>
      <c r="R48" s="3">
        <f t="shared" si="14"/>
        <v>0.82865149532077542</v>
      </c>
      <c r="S48" s="3">
        <f t="shared" si="15"/>
        <v>5.324792896994163E-3</v>
      </c>
      <c r="T48" s="4">
        <f t="shared" si="4"/>
        <v>0.34646744019885295</v>
      </c>
      <c r="U48" s="5">
        <f t="shared" si="5"/>
        <v>0.6015496577606908</v>
      </c>
      <c r="V48" s="5"/>
      <c r="W48" s="3">
        <f t="shared" si="11"/>
        <v>0.9480170979595437</v>
      </c>
      <c r="X48" s="3">
        <f t="shared" si="2"/>
        <v>8.2865149532077541E-3</v>
      </c>
      <c r="Y48" s="18">
        <f>+SUM(J47:L47)</f>
        <v>103.76894081227587</v>
      </c>
    </row>
    <row r="49" spans="1:25" ht="15.6" x14ac:dyDescent="0.3">
      <c r="A49" s="1" t="s">
        <v>23</v>
      </c>
      <c r="B49" s="1">
        <v>60</v>
      </c>
      <c r="C49" s="2">
        <f>+'[1]Flow rate'!E111</f>
        <v>69.747084000000001</v>
      </c>
      <c r="D49" s="1" t="s">
        <v>28</v>
      </c>
      <c r="E49" s="1" t="s">
        <v>27</v>
      </c>
      <c r="F49" s="1" t="s">
        <v>24</v>
      </c>
      <c r="G49" s="1">
        <v>-2.1</v>
      </c>
      <c r="H49" s="15">
        <v>45455.175844907404</v>
      </c>
      <c r="I49" s="16">
        <f t="shared" si="6"/>
        <v>12.085066111001652</v>
      </c>
      <c r="J49" s="25">
        <v>6.353378467794851</v>
      </c>
      <c r="K49" s="25">
        <v>11.000494721506422</v>
      </c>
      <c r="L49" s="25">
        <v>86.507729411788432</v>
      </c>
      <c r="N49" s="25">
        <v>0.55371735753832518</v>
      </c>
      <c r="O49" s="25" t="s">
        <v>30</v>
      </c>
      <c r="P49" s="3">
        <f t="shared" si="12"/>
        <v>6.0986321082221955E-2</v>
      </c>
      <c r="Q49" s="3">
        <f t="shared" si="13"/>
        <v>0.1045406801607702</v>
      </c>
      <c r="R49" s="3">
        <f t="shared" si="14"/>
        <v>0.82912811921662044</v>
      </c>
      <c r="S49" s="3">
        <f t="shared" si="15"/>
        <v>5.344879540387335E-3</v>
      </c>
      <c r="T49" s="4">
        <f t="shared" si="4"/>
        <v>0.2680843546009376</v>
      </c>
      <c r="U49" s="5">
        <f t="shared" si="5"/>
        <v>0.45954109500487428</v>
      </c>
      <c r="V49" s="5"/>
      <c r="W49" s="3">
        <f t="shared" si="11"/>
        <v>0.72762544960581188</v>
      </c>
      <c r="X49" s="3">
        <f t="shared" si="2"/>
        <v>8.2912811921662041E-3</v>
      </c>
    </row>
    <row r="50" spans="1:25" ht="15.6" x14ac:dyDescent="0.3">
      <c r="A50" s="1" t="s">
        <v>23</v>
      </c>
      <c r="B50" s="1">
        <v>60</v>
      </c>
      <c r="C50" s="2">
        <f>+'[1]Flow rate'!E112</f>
        <v>69.518810000000002</v>
      </c>
      <c r="D50" s="1" t="s">
        <v>28</v>
      </c>
      <c r="E50" s="1" t="s">
        <v>27</v>
      </c>
      <c r="F50" s="1" t="s">
        <v>24</v>
      </c>
      <c r="G50" s="1">
        <v>-2.1</v>
      </c>
      <c r="H50" s="15">
        <v>45455.186261574076</v>
      </c>
      <c r="I50" s="16">
        <f t="shared" si="6"/>
        <v>12.335066111118067</v>
      </c>
      <c r="J50" s="25">
        <v>7.3822228289936724</v>
      </c>
      <c r="K50" s="25">
        <v>11.150731499881983</v>
      </c>
      <c r="L50" s="25">
        <v>85.222515354529008</v>
      </c>
      <c r="N50" s="25">
        <v>0.58557741438972399</v>
      </c>
      <c r="O50" s="25" t="s">
        <v>30</v>
      </c>
      <c r="P50" s="3">
        <f t="shared" si="12"/>
        <v>6.0847186699348507E-2</v>
      </c>
      <c r="Q50" s="3">
        <f t="shared" si="13"/>
        <v>0.10535326354279327</v>
      </c>
      <c r="R50" s="3">
        <f t="shared" si="14"/>
        <v>0.82849652183285893</v>
      </c>
      <c r="S50" s="3">
        <f t="shared" si="15"/>
        <v>5.3030279249991459E-3</v>
      </c>
      <c r="T50" s="4">
        <f t="shared" si="4"/>
        <v>0.26659733929017765</v>
      </c>
      <c r="U50" s="5">
        <f t="shared" si="5"/>
        <v>0.46159734360152893</v>
      </c>
      <c r="V50" s="5"/>
      <c r="W50" s="3">
        <f t="shared" si="11"/>
        <v>0.72819468289170652</v>
      </c>
      <c r="X50" s="3">
        <f t="shared" si="2"/>
        <v>8.2849652183285896E-3</v>
      </c>
      <c r="Y50" s="18">
        <f>+SUM(J49:L49)</f>
        <v>103.86160260108971</v>
      </c>
    </row>
    <row r="51" spans="1:25" ht="15.6" x14ac:dyDescent="0.3">
      <c r="A51" s="1" t="s">
        <v>23</v>
      </c>
      <c r="B51" s="1">
        <v>60</v>
      </c>
      <c r="C51" s="2">
        <f>+'[1]Flow rate'!E113</f>
        <v>69.707357000000002</v>
      </c>
      <c r="D51" s="1" t="s">
        <v>28</v>
      </c>
      <c r="E51" s="1" t="s">
        <v>27</v>
      </c>
      <c r="F51" s="1" t="s">
        <v>24</v>
      </c>
      <c r="G51" s="1">
        <v>-2.1</v>
      </c>
      <c r="H51" s="15">
        <v>45455.196689814817</v>
      </c>
      <c r="I51" s="16">
        <f t="shared" si="6"/>
        <v>12.585343888902571</v>
      </c>
      <c r="J51" s="25">
        <v>10.034739841598098</v>
      </c>
      <c r="K51" s="25">
        <v>11.233512192788552</v>
      </c>
      <c r="L51" s="25">
        <v>81.61855679134699</v>
      </c>
      <c r="N51" s="25">
        <v>0.67484368718618692</v>
      </c>
      <c r="O51" s="25" t="s">
        <v>30</v>
      </c>
      <c r="P51" s="3">
        <f t="shared" si="12"/>
        <v>7.0750898465439319E-2</v>
      </c>
      <c r="Q51" s="3">
        <f t="shared" si="13"/>
        <v>0.10686811959468723</v>
      </c>
      <c r="R51" s="3">
        <f t="shared" si="14"/>
        <v>0.81676883379034526</v>
      </c>
      <c r="S51" s="3">
        <f t="shared" si="15"/>
        <v>5.612148149528224E-3</v>
      </c>
      <c r="T51" s="4">
        <f t="shared" si="4"/>
        <v>0.31083044770210205</v>
      </c>
      <c r="U51" s="5">
        <f t="shared" si="5"/>
        <v>0.46950450353538353</v>
      </c>
      <c r="V51" s="5"/>
      <c r="W51" s="3">
        <f t="shared" si="11"/>
        <v>0.78033495123748553</v>
      </c>
      <c r="X51" s="3">
        <f t="shared" si="2"/>
        <v>8.1676883379034528E-3</v>
      </c>
    </row>
    <row r="52" spans="1:25" ht="15.6" x14ac:dyDescent="0.3">
      <c r="A52" s="1" t="s">
        <v>23</v>
      </c>
      <c r="B52" s="1">
        <v>60</v>
      </c>
      <c r="C52" s="2">
        <f>+'[1]Flow rate'!E114</f>
        <v>69.268531999999993</v>
      </c>
      <c r="D52" s="1" t="s">
        <v>28</v>
      </c>
      <c r="E52" s="1" t="s">
        <v>27</v>
      </c>
      <c r="F52" s="1" t="s">
        <v>24</v>
      </c>
      <c r="G52" s="1">
        <v>-2.1</v>
      </c>
      <c r="H52" s="15">
        <v>45455.207106481481</v>
      </c>
      <c r="I52" s="16">
        <f t="shared" si="6"/>
        <v>12.835343888844363</v>
      </c>
      <c r="J52" s="25">
        <v>10.433463402490629</v>
      </c>
      <c r="K52" s="25">
        <v>11.185445327689472</v>
      </c>
      <c r="L52" s="25">
        <v>81.350694496918308</v>
      </c>
      <c r="N52" s="25">
        <v>0.68982995808875858</v>
      </c>
      <c r="O52" s="25" t="s">
        <v>30</v>
      </c>
      <c r="P52" s="3">
        <f t="shared" si="12"/>
        <v>9.6896289293435287E-2</v>
      </c>
      <c r="Q52" s="3">
        <f t="shared" si="13"/>
        <v>0.10847173563001147</v>
      </c>
      <c r="R52" s="3">
        <f t="shared" si="14"/>
        <v>0.78811562784945588</v>
      </c>
      <c r="S52" s="3">
        <f t="shared" si="15"/>
        <v>6.5163472270973744E-3</v>
      </c>
      <c r="T52" s="4">
        <f t="shared" si="4"/>
        <v>0.42301533124306701</v>
      </c>
      <c r="U52" s="5">
        <f t="shared" si="5"/>
        <v>0.47354968402436459</v>
      </c>
      <c r="V52" s="5"/>
      <c r="W52" s="3">
        <f t="shared" si="11"/>
        <v>0.8965650152674316</v>
      </c>
      <c r="X52" s="3">
        <f t="shared" si="2"/>
        <v>7.8811562784945593E-3</v>
      </c>
      <c r="Y52" s="18">
        <f>+SUM(J51:L51)</f>
        <v>102.88680882573364</v>
      </c>
    </row>
    <row r="53" spans="1:25" ht="15.6" x14ac:dyDescent="0.3">
      <c r="A53" s="1" t="s">
        <v>23</v>
      </c>
      <c r="B53" s="1">
        <v>60</v>
      </c>
      <c r="C53" s="2">
        <f>+'[1]Flow rate'!E115</f>
        <v>68.973297000000002</v>
      </c>
      <c r="D53" s="1" t="s">
        <v>28</v>
      </c>
      <c r="E53" s="1" t="s">
        <v>27</v>
      </c>
      <c r="F53" s="1" t="s">
        <v>24</v>
      </c>
      <c r="G53" s="1">
        <v>-2.1</v>
      </c>
      <c r="H53" s="15">
        <v>45455.217523148145</v>
      </c>
      <c r="I53" s="16">
        <f t="shared" si="6"/>
        <v>13.085343888786156</v>
      </c>
      <c r="J53" s="25">
        <v>10.571621075182282</v>
      </c>
      <c r="K53" s="25">
        <v>11.174843333208447</v>
      </c>
      <c r="L53" s="25">
        <v>81.251743833915697</v>
      </c>
      <c r="N53" s="25">
        <v>0.69037189143377731</v>
      </c>
      <c r="O53" s="25" t="s">
        <v>30</v>
      </c>
      <c r="P53" s="3">
        <f t="shared" si="12"/>
        <v>0.1006513645878353</v>
      </c>
      <c r="Q53" s="3">
        <f t="shared" si="13"/>
        <v>0.10790571570757787</v>
      </c>
      <c r="R53" s="3">
        <f t="shared" si="14"/>
        <v>0.78478814708146827</v>
      </c>
      <c r="S53" s="3">
        <f t="shared" si="15"/>
        <v>6.6547726231184377E-3</v>
      </c>
      <c r="T53" s="4">
        <f t="shared" si="4"/>
        <v>0.43753583829718135</v>
      </c>
      <c r="U53" s="5">
        <f t="shared" si="5"/>
        <v>0.46907081660051853</v>
      </c>
      <c r="V53" s="5"/>
      <c r="W53" s="3">
        <f t="shared" si="11"/>
        <v>0.90660665489769987</v>
      </c>
      <c r="X53" s="3">
        <f t="shared" si="2"/>
        <v>7.8478814708146834E-3</v>
      </c>
    </row>
    <row r="54" spans="1:25" ht="15.6" x14ac:dyDescent="0.3">
      <c r="A54" s="1" t="s">
        <v>23</v>
      </c>
      <c r="B54" s="1">
        <v>60</v>
      </c>
      <c r="C54" s="2">
        <f>+'[1]Flow rate'!E116</f>
        <v>69.614762999999996</v>
      </c>
      <c r="D54" s="1" t="s">
        <v>28</v>
      </c>
      <c r="E54" s="1" t="s">
        <v>27</v>
      </c>
      <c r="F54" s="1" t="s">
        <v>24</v>
      </c>
      <c r="G54" s="1">
        <v>-2.1</v>
      </c>
      <c r="H54" s="15">
        <v>45455.227962962963</v>
      </c>
      <c r="I54" s="16">
        <f t="shared" si="6"/>
        <v>13.335899444413371</v>
      </c>
      <c r="J54" s="25">
        <v>10.567090917315939</v>
      </c>
      <c r="K54" s="25">
        <v>11.298714407203773</v>
      </c>
      <c r="L54" s="25">
        <v>81.103879068090379</v>
      </c>
      <c r="N54" s="25">
        <v>0.70061953134576349</v>
      </c>
      <c r="O54" s="25" t="s">
        <v>30</v>
      </c>
      <c r="P54" s="3">
        <f t="shared" si="12"/>
        <v>0.10195550041814376</v>
      </c>
      <c r="Q54" s="3">
        <f t="shared" si="13"/>
        <v>0.10777313488905765</v>
      </c>
      <c r="R54" s="3">
        <f t="shared" si="14"/>
        <v>0.78361323618391832</v>
      </c>
      <c r="S54" s="3">
        <f t="shared" si="15"/>
        <v>6.6581285088803208E-3</v>
      </c>
      <c r="T54" s="4">
        <f t="shared" si="4"/>
        <v>0.44732687158013662</v>
      </c>
      <c r="U54" s="5">
        <f t="shared" si="5"/>
        <v>0.47285157811580847</v>
      </c>
      <c r="V54" s="5"/>
      <c r="W54" s="3">
        <f t="shared" si="11"/>
        <v>0.92017844969594509</v>
      </c>
      <c r="X54" s="3">
        <f t="shared" si="2"/>
        <v>7.8361323618391827E-3</v>
      </c>
      <c r="Y54" s="18">
        <f>+SUM(J53:L53)</f>
        <v>102.99820824230642</v>
      </c>
    </row>
    <row r="55" spans="1:25" ht="15.6" x14ac:dyDescent="0.3">
      <c r="A55" s="1" t="s">
        <v>23</v>
      </c>
      <c r="B55" s="1">
        <v>60</v>
      </c>
      <c r="C55" s="2">
        <f>+'[1]Flow rate'!E117</f>
        <v>69.030595000000005</v>
      </c>
      <c r="D55" s="1" t="s">
        <v>28</v>
      </c>
      <c r="E55" s="1" t="s">
        <v>27</v>
      </c>
      <c r="F55" s="1" t="s">
        <v>24</v>
      </c>
      <c r="G55" s="1">
        <v>-2.1</v>
      </c>
      <c r="H55" s="15">
        <v>45455.238379629627</v>
      </c>
      <c r="I55" s="16">
        <f t="shared" si="6"/>
        <v>13.585899444355164</v>
      </c>
      <c r="J55" s="25">
        <v>10.57655588595015</v>
      </c>
      <c r="K55" s="25">
        <v>11.265845088008113</v>
      </c>
      <c r="L55" s="25">
        <v>81.022066418433482</v>
      </c>
      <c r="N55" s="25">
        <v>0.70699335724307621</v>
      </c>
      <c r="O55" s="25" t="s">
        <v>30</v>
      </c>
      <c r="P55" s="3">
        <f t="shared" si="12"/>
        <v>0.10192977658353448</v>
      </c>
      <c r="Q55" s="3">
        <f t="shared" si="13"/>
        <v>0.10898699029079335</v>
      </c>
      <c r="R55" s="3">
        <f t="shared" si="14"/>
        <v>0.78232508248053001</v>
      </c>
      <c r="S55" s="3">
        <f t="shared" si="15"/>
        <v>6.7581506451421351E-3</v>
      </c>
      <c r="T55" s="4">
        <f t="shared" si="4"/>
        <v>0.44346124014679866</v>
      </c>
      <c r="U55" s="5">
        <f t="shared" si="5"/>
        <v>0.47416473864840875</v>
      </c>
      <c r="V55" s="5"/>
      <c r="W55" s="3">
        <f t="shared" si="11"/>
        <v>0.91762597879520746</v>
      </c>
      <c r="X55" s="3">
        <f t="shared" si="2"/>
        <v>7.8232508248053008E-3</v>
      </c>
    </row>
    <row r="56" spans="1:25" ht="15.6" x14ac:dyDescent="0.3">
      <c r="A56" s="1" t="s">
        <v>23</v>
      </c>
      <c r="B56" s="1">
        <v>60</v>
      </c>
      <c r="C56" s="2">
        <f>+'[1]Flow rate'!E118</f>
        <v>69.277966000000006</v>
      </c>
      <c r="D56" s="1" t="s">
        <v>28</v>
      </c>
      <c r="E56" s="1" t="s">
        <v>27</v>
      </c>
      <c r="F56" s="1" t="s">
        <v>24</v>
      </c>
      <c r="G56" s="1">
        <v>-2.1</v>
      </c>
      <c r="H56" s="15">
        <v>45455.248819444445</v>
      </c>
      <c r="I56" s="16">
        <f t="shared" si="6"/>
        <v>13.836454999982379</v>
      </c>
      <c r="J56" s="25">
        <v>10.612660972207884</v>
      </c>
      <c r="K56" s="25">
        <v>11.373679778528803</v>
      </c>
      <c r="L56" s="25">
        <v>80.951831690201985</v>
      </c>
      <c r="N56" s="25">
        <v>0.70971118484154294</v>
      </c>
      <c r="O56" s="25" t="s">
        <v>30</v>
      </c>
      <c r="P56" s="3">
        <f t="shared" si="12"/>
        <v>0.10211843889618445</v>
      </c>
      <c r="Q56" s="3">
        <f t="shared" si="13"/>
        <v>0.10877364291734039</v>
      </c>
      <c r="R56" s="3">
        <f t="shared" si="14"/>
        <v>0.78228177754767403</v>
      </c>
      <c r="S56" s="3">
        <f t="shared" si="15"/>
        <v>6.8261406388011089E-3</v>
      </c>
      <c r="T56" s="4">
        <f t="shared" si="4"/>
        <v>0.44587412850862029</v>
      </c>
      <c r="U56" s="5">
        <f t="shared" si="5"/>
        <v>0.47493238013344841</v>
      </c>
      <c r="V56" s="5"/>
      <c r="W56" s="3">
        <f t="shared" si="11"/>
        <v>0.9208065086420687</v>
      </c>
      <c r="X56" s="3">
        <f t="shared" si="2"/>
        <v>7.8228177754767411E-3</v>
      </c>
      <c r="Y56" s="18">
        <f>+SUM(J55:L55)</f>
        <v>102.86446739239175</v>
      </c>
    </row>
    <row r="57" spans="1:25" ht="15.6" x14ac:dyDescent="0.3">
      <c r="A57" s="1" t="s">
        <v>23</v>
      </c>
      <c r="B57" s="1">
        <v>60</v>
      </c>
      <c r="C57" s="2">
        <f>+'[1]Flow rate'!E119</f>
        <v>79.608513000000002</v>
      </c>
      <c r="D57" s="1" t="s">
        <v>28</v>
      </c>
      <c r="E57" s="1" t="s">
        <v>27</v>
      </c>
      <c r="F57" s="1" t="s">
        <v>24</v>
      </c>
      <c r="G57" s="1">
        <v>-3.1</v>
      </c>
      <c r="H57" s="15">
        <v>45455.259236111109</v>
      </c>
      <c r="I57" s="16">
        <f t="shared" si="6"/>
        <v>14.086454999924172</v>
      </c>
      <c r="J57" s="25">
        <v>10.707782528745748</v>
      </c>
      <c r="K57" s="25">
        <v>11.263029841946143</v>
      </c>
      <c r="L57" s="25">
        <v>80.943544877418205</v>
      </c>
      <c r="N57" s="25">
        <v>0.71637883216833609</v>
      </c>
      <c r="O57" s="25">
        <v>8.9389491620781296E-4</v>
      </c>
      <c r="P57" s="3">
        <f t="shared" si="12"/>
        <v>0.10239148741835197</v>
      </c>
      <c r="Q57" s="3">
        <f t="shared" si="13"/>
        <v>0.10973383517982264</v>
      </c>
      <c r="R57" s="3">
        <f t="shared" si="14"/>
        <v>0.78102734815577979</v>
      </c>
      <c r="S57" s="3">
        <f t="shared" si="15"/>
        <v>6.84732924604567E-3</v>
      </c>
      <c r="T57" s="4">
        <f t="shared" si="4"/>
        <v>0.34801177840264896</v>
      </c>
      <c r="U57" s="5">
        <f t="shared" si="5"/>
        <v>0.3729672074773332</v>
      </c>
      <c r="V57" s="5"/>
      <c r="W57" s="3">
        <f t="shared" si="11"/>
        <v>0.72097898587998221</v>
      </c>
      <c r="X57" s="3">
        <f t="shared" si="2"/>
        <v>7.8102734815577975E-3</v>
      </c>
    </row>
    <row r="58" spans="1:25" ht="15.6" x14ac:dyDescent="0.3">
      <c r="A58" s="1" t="s">
        <v>23</v>
      </c>
      <c r="B58" s="1">
        <v>60</v>
      </c>
      <c r="C58" s="2">
        <f>+'[1]Flow rate'!E120</f>
        <v>79.513694000000001</v>
      </c>
      <c r="D58" s="1" t="s">
        <v>28</v>
      </c>
      <c r="E58" s="1" t="s">
        <v>27</v>
      </c>
      <c r="F58" s="1" t="s">
        <v>24</v>
      </c>
      <c r="G58" s="1">
        <v>-3.1</v>
      </c>
      <c r="H58" s="15">
        <v>45455.26966435185</v>
      </c>
      <c r="I58" s="16">
        <f t="shared" si="6"/>
        <v>14.336732777708676</v>
      </c>
      <c r="J58" s="25">
        <v>13.54551742225077</v>
      </c>
      <c r="K58" s="25">
        <v>11.095894010607749</v>
      </c>
      <c r="L58" s="25">
        <v>77.834400315677684</v>
      </c>
      <c r="N58" s="25">
        <v>0.84347099645730395</v>
      </c>
      <c r="O58" s="25" t="s">
        <v>30</v>
      </c>
      <c r="P58" s="3">
        <f t="shared" si="12"/>
        <v>0.10332542806968079</v>
      </c>
      <c r="Q58" s="3">
        <f t="shared" si="13"/>
        <v>0.10868332230846965</v>
      </c>
      <c r="R58" s="3">
        <f t="shared" si="14"/>
        <v>0.78106988085387574</v>
      </c>
      <c r="S58" s="3">
        <f t="shared" si="15"/>
        <v>6.9127430721663769E-3</v>
      </c>
      <c r="T58" s="4">
        <f t="shared" si="4"/>
        <v>0.35076780280246078</v>
      </c>
      <c r="U58" s="5">
        <f t="shared" si="5"/>
        <v>0.36895671162092225</v>
      </c>
      <c r="V58" s="5"/>
      <c r="W58" s="3">
        <f t="shared" si="11"/>
        <v>0.71972451442338303</v>
      </c>
      <c r="X58" s="3">
        <f t="shared" si="2"/>
        <v>7.8106988085387572E-3</v>
      </c>
      <c r="Y58" s="18">
        <f>+SUM(J57:L57)</f>
        <v>102.91435724811009</v>
      </c>
    </row>
    <row r="59" spans="1:25" ht="15.6" x14ac:dyDescent="0.3">
      <c r="A59" s="1" t="s">
        <v>23</v>
      </c>
      <c r="B59" s="1">
        <v>60</v>
      </c>
      <c r="C59" s="2">
        <f>+'[1]Flow rate'!E121</f>
        <v>78.687230999999997</v>
      </c>
      <c r="D59" s="1" t="s">
        <v>28</v>
      </c>
      <c r="E59" s="1" t="s">
        <v>27</v>
      </c>
      <c r="F59" s="1" t="s">
        <v>24</v>
      </c>
      <c r="G59" s="1">
        <v>-3.1</v>
      </c>
      <c r="H59" s="15">
        <v>45455.280092592591</v>
      </c>
      <c r="I59" s="16">
        <f t="shared" si="6"/>
        <v>14.58701055549318</v>
      </c>
      <c r="J59" s="25">
        <v>18.676849538953618</v>
      </c>
      <c r="K59" s="25">
        <v>10.590048096400839</v>
      </c>
      <c r="L59" s="25">
        <v>72.628579971413899</v>
      </c>
      <c r="N59" s="25">
        <v>1.1232801069881588</v>
      </c>
      <c r="O59" s="25" t="s">
        <v>30</v>
      </c>
      <c r="P59" s="3">
        <f t="shared" si="12"/>
        <v>0.131103479063855</v>
      </c>
      <c r="Q59" s="3">
        <f t="shared" si="13"/>
        <v>0.10739422221884731</v>
      </c>
      <c r="R59" s="3">
        <f t="shared" si="14"/>
        <v>0.75333856612016858</v>
      </c>
      <c r="S59" s="3">
        <f t="shared" si="15"/>
        <v>8.1637325971291221E-3</v>
      </c>
      <c r="T59" s="4">
        <f t="shared" si="4"/>
        <v>0.44044233707552893</v>
      </c>
      <c r="U59" s="5">
        <f t="shared" si="5"/>
        <v>0.36079105268777417</v>
      </c>
      <c r="V59" s="5"/>
      <c r="W59" s="3">
        <f t="shared" si="11"/>
        <v>0.80123338976330305</v>
      </c>
      <c r="X59" s="3">
        <f t="shared" si="2"/>
        <v>7.5333856612016855E-3</v>
      </c>
    </row>
    <row r="60" spans="1:25" ht="15.6" x14ac:dyDescent="0.3">
      <c r="A60" s="1" t="s">
        <v>23</v>
      </c>
      <c r="B60" s="1">
        <v>60</v>
      </c>
      <c r="C60" s="2">
        <f>+'[1]Flow rate'!E122</f>
        <v>78.188353000000006</v>
      </c>
      <c r="D60" s="1" t="s">
        <v>28</v>
      </c>
      <c r="E60" s="1" t="s">
        <v>27</v>
      </c>
      <c r="F60" s="1" t="s">
        <v>24</v>
      </c>
      <c r="G60" s="1">
        <v>-3.1</v>
      </c>
      <c r="H60" s="15">
        <v>45455.290520833332</v>
      </c>
      <c r="I60" s="16">
        <f t="shared" si="6"/>
        <v>14.837288333277684</v>
      </c>
      <c r="J60" s="25">
        <v>19.288321730125077</v>
      </c>
      <c r="K60" s="25">
        <v>10.516971427234759</v>
      </c>
      <c r="L60" s="25">
        <v>71.95314297843305</v>
      </c>
      <c r="N60" s="25">
        <v>1.1691703794933428</v>
      </c>
      <c r="O60" s="25" t="s">
        <v>30</v>
      </c>
      <c r="P60" s="3">
        <f t="shared" si="12"/>
        <v>0.1812956198797146</v>
      </c>
      <c r="Q60" s="3">
        <f t="shared" si="13"/>
        <v>0.10279728014024291</v>
      </c>
      <c r="R60" s="3">
        <f t="shared" si="14"/>
        <v>0.70500345357703254</v>
      </c>
      <c r="S60" s="3">
        <f t="shared" si="15"/>
        <v>1.0903646403009989E-2</v>
      </c>
      <c r="T60" s="4">
        <f t="shared" si="4"/>
        <v>0.60520144414630983</v>
      </c>
      <c r="U60" s="5">
        <f t="shared" si="5"/>
        <v>0.34315811069492291</v>
      </c>
      <c r="V60" s="5"/>
      <c r="W60" s="3">
        <f t="shared" si="11"/>
        <v>0.94835955484123269</v>
      </c>
      <c r="X60" s="3">
        <f t="shared" si="2"/>
        <v>7.050034535770325E-3</v>
      </c>
      <c r="Y60" s="18">
        <f>+SUM(J59:L59)</f>
        <v>101.89547760676835</v>
      </c>
    </row>
    <row r="61" spans="1:25" ht="15.6" x14ac:dyDescent="0.3">
      <c r="A61" s="1" t="s">
        <v>23</v>
      </c>
      <c r="B61" s="1">
        <v>60</v>
      </c>
      <c r="C61" s="2">
        <f>+'[1]Flow rate'!E123</f>
        <v>55.532567999999998</v>
      </c>
      <c r="D61" s="1" t="s">
        <v>28</v>
      </c>
      <c r="E61" s="1" t="s">
        <v>27</v>
      </c>
      <c r="F61" s="1" t="s">
        <v>24</v>
      </c>
      <c r="G61" s="1">
        <v>-3.1</v>
      </c>
      <c r="H61" s="15">
        <v>45455.300949074073</v>
      </c>
      <c r="I61" s="16">
        <f t="shared" si="6"/>
        <v>15.087566111062188</v>
      </c>
      <c r="J61" s="25">
        <v>19.566055760441259</v>
      </c>
      <c r="K61" s="25">
        <v>10.583543548208761</v>
      </c>
      <c r="L61" s="25">
        <v>71.427930109302253</v>
      </c>
      <c r="N61" s="25">
        <v>1.279276657214639</v>
      </c>
      <c r="O61" s="25" t="s">
        <v>30</v>
      </c>
      <c r="P61" s="3">
        <f t="shared" si="12"/>
        <v>0.18739697135831565</v>
      </c>
      <c r="Q61" s="3">
        <f t="shared" si="13"/>
        <v>0.10217833468878768</v>
      </c>
      <c r="R61" s="3">
        <f t="shared" si="14"/>
        <v>0.69906554144681265</v>
      </c>
      <c r="S61" s="3">
        <f t="shared" si="15"/>
        <v>1.1359152506084014E-2</v>
      </c>
      <c r="T61" s="4">
        <f t="shared" si="4"/>
        <v>0.4443046963479903</v>
      </c>
      <c r="U61" s="5">
        <f t="shared" si="5"/>
        <v>0.24225745826190803</v>
      </c>
      <c r="V61" s="5"/>
      <c r="W61" s="3">
        <f t="shared" si="11"/>
        <v>0.68656215460989833</v>
      </c>
      <c r="X61" s="3">
        <f t="shared" si="2"/>
        <v>6.9906554144681266E-3</v>
      </c>
    </row>
    <row r="62" spans="1:25" ht="15.6" x14ac:dyDescent="0.3">
      <c r="A62" s="1" t="s">
        <v>23</v>
      </c>
      <c r="B62" s="1">
        <v>60</v>
      </c>
      <c r="C62" s="2">
        <f>+'[1]Flow rate'!E124</f>
        <v>57.201605999999998</v>
      </c>
      <c r="D62" s="1" t="s">
        <v>28</v>
      </c>
      <c r="E62" s="1" t="s">
        <v>27</v>
      </c>
      <c r="F62" s="1" t="s">
        <v>24</v>
      </c>
      <c r="G62" s="1">
        <v>-3.1</v>
      </c>
      <c r="H62" s="15">
        <v>45455.311377314814</v>
      </c>
      <c r="I62" s="16">
        <f t="shared" si="6"/>
        <v>15.337843888846692</v>
      </c>
      <c r="J62" s="25">
        <v>19.774277777394619</v>
      </c>
      <c r="K62" s="25">
        <v>10.652354921190547</v>
      </c>
      <c r="L62" s="25">
        <v>70.958120645540276</v>
      </c>
      <c r="N62" s="25">
        <v>1.4145522653312086</v>
      </c>
      <c r="O62" s="25">
        <v>1.4080377413964862E-2</v>
      </c>
      <c r="P62" s="3">
        <f t="shared" si="12"/>
        <v>0.19022616496707614</v>
      </c>
      <c r="Q62" s="3">
        <f t="shared" si="13"/>
        <v>0.10289589918312644</v>
      </c>
      <c r="R62" s="3">
        <f t="shared" si="14"/>
        <v>0.69444048318108687</v>
      </c>
      <c r="S62" s="3">
        <f t="shared" si="15"/>
        <v>1.2437452668710656E-2</v>
      </c>
      <c r="T62" s="4">
        <f t="shared" si="4"/>
        <v>0.46456774539315771</v>
      </c>
      <c r="U62" s="5">
        <f t="shared" si="5"/>
        <v>0.25129096148250785</v>
      </c>
      <c r="V62" s="5"/>
      <c r="W62" s="3">
        <f t="shared" si="11"/>
        <v>0.71585870687566555</v>
      </c>
      <c r="X62" s="3">
        <f t="shared" si="2"/>
        <v>6.9444048318108688E-3</v>
      </c>
      <c r="Y62" s="18">
        <f>+SUM(J61:L61)</f>
        <v>101.57752941795226</v>
      </c>
    </row>
    <row r="63" spans="1:25" ht="15.6" x14ac:dyDescent="0.3">
      <c r="A63" s="1" t="s">
        <v>23</v>
      </c>
      <c r="B63" s="1">
        <v>60</v>
      </c>
      <c r="C63" s="2">
        <f>+'[1]Flow rate'!E125</f>
        <v>60.485227000000002</v>
      </c>
      <c r="D63" s="1" t="s">
        <v>28</v>
      </c>
      <c r="E63" s="1" t="s">
        <v>27</v>
      </c>
      <c r="F63" s="1" t="s">
        <v>24</v>
      </c>
      <c r="G63" s="1">
        <v>-3.1</v>
      </c>
      <c r="H63" s="15">
        <v>45455.321805555555</v>
      </c>
      <c r="I63" s="16">
        <f t="shared" si="6"/>
        <v>15.588121666631196</v>
      </c>
      <c r="J63" s="25">
        <v>20.170851769148872</v>
      </c>
      <c r="K63" s="25">
        <v>10.269318498777604</v>
      </c>
      <c r="L63" s="25">
        <v>70.856414736279035</v>
      </c>
      <c r="N63" s="25">
        <v>1.5356200697796654</v>
      </c>
      <c r="O63" s="25">
        <v>1.1965203326032767E-2</v>
      </c>
      <c r="P63" s="3">
        <f t="shared" si="12"/>
        <v>0.19233174345527165</v>
      </c>
      <c r="Q63" s="3">
        <f t="shared" si="13"/>
        <v>0.10360863830076431</v>
      </c>
      <c r="R63" s="3">
        <f t="shared" si="14"/>
        <v>0.69016422292133939</v>
      </c>
      <c r="S63" s="3">
        <f t="shared" si="15"/>
        <v>1.3758444503635437E-2</v>
      </c>
      <c r="T63" s="4">
        <f t="shared" si="4"/>
        <v>0.49667335533194451</v>
      </c>
      <c r="U63" s="5">
        <f t="shared" si="5"/>
        <v>0.26755671789655361</v>
      </c>
      <c r="V63" s="5"/>
      <c r="W63" s="3">
        <f t="shared" si="11"/>
        <v>0.76423007322849812</v>
      </c>
      <c r="X63" s="3">
        <f t="shared" si="2"/>
        <v>6.9016422292133943E-3</v>
      </c>
    </row>
    <row r="64" spans="1:25" x14ac:dyDescent="0.3">
      <c r="A64" s="1"/>
      <c r="B64" s="1"/>
      <c r="C64" s="12"/>
      <c r="D64" s="1"/>
      <c r="E64" s="1"/>
      <c r="F64" s="1"/>
      <c r="G64" s="1"/>
      <c r="H64" s="14"/>
      <c r="I64" s="2"/>
      <c r="J64" s="26">
        <v>20.380252427796229</v>
      </c>
      <c r="K64" s="26">
        <v>10.161638426705663</v>
      </c>
      <c r="L64" s="26">
        <v>70.770283313159879</v>
      </c>
      <c r="N64" s="26">
        <v>1.5896509650101041</v>
      </c>
      <c r="O64" s="26">
        <v>5.8280391502355811E-3</v>
      </c>
      <c r="P64" s="3"/>
      <c r="Q64" s="3"/>
      <c r="R64" s="3"/>
      <c r="S64" s="3"/>
      <c r="T64" s="3"/>
      <c r="U64" s="3"/>
      <c r="V64" s="3"/>
      <c r="W64" s="3"/>
      <c r="X64" s="3"/>
    </row>
    <row r="65" spans="1:24" x14ac:dyDescent="0.3">
      <c r="A65" s="1"/>
      <c r="B65" s="1"/>
      <c r="C65" s="12"/>
      <c r="D65" s="1"/>
      <c r="E65" s="1"/>
      <c r="F65" s="1"/>
      <c r="G65" s="1"/>
      <c r="H65" s="14"/>
      <c r="I65" s="2"/>
      <c r="J65" s="13"/>
      <c r="K65" s="13"/>
      <c r="P65" s="3"/>
      <c r="Q65" s="3"/>
      <c r="R65" s="3"/>
      <c r="S65" s="3"/>
      <c r="T65" s="3"/>
      <c r="U65" s="3"/>
      <c r="V65" s="3"/>
      <c r="W65" s="3"/>
      <c r="X65" s="3"/>
    </row>
    <row r="66" spans="1:24" x14ac:dyDescent="0.3">
      <c r="A66" s="1"/>
      <c r="B66" s="1"/>
      <c r="C66" s="12"/>
      <c r="D66" s="1"/>
      <c r="E66" s="1"/>
      <c r="F66" s="1"/>
      <c r="G66" s="1"/>
      <c r="H66" s="14"/>
      <c r="I66" s="2"/>
      <c r="J66" s="13"/>
      <c r="K66" s="13"/>
      <c r="N66" s="13"/>
      <c r="O66" s="13"/>
      <c r="R66" s="13"/>
      <c r="S66" s="13"/>
      <c r="V66" s="13"/>
      <c r="W66" s="13"/>
    </row>
    <row r="67" spans="1:24" x14ac:dyDescent="0.3">
      <c r="A67" s="1"/>
      <c r="B67" s="1"/>
      <c r="C67" s="12"/>
      <c r="D67" s="1"/>
      <c r="E67" s="1"/>
      <c r="F67" s="1"/>
      <c r="G67" s="1"/>
      <c r="H67" s="14"/>
      <c r="I67" s="2"/>
      <c r="J67" s="13"/>
      <c r="K67" s="13"/>
      <c r="N67" s="13"/>
      <c r="O67" s="13"/>
      <c r="R67" s="13"/>
      <c r="S67" s="13"/>
      <c r="V67" s="13"/>
      <c r="W67" s="13"/>
    </row>
    <row r="68" spans="1:24" x14ac:dyDescent="0.3">
      <c r="A68" s="1"/>
      <c r="B68" s="1"/>
      <c r="C68" s="12"/>
      <c r="D68" s="1"/>
      <c r="E68" s="1"/>
      <c r="F68" s="1"/>
      <c r="G68" s="1"/>
      <c r="H68" s="14"/>
      <c r="I68" s="2"/>
      <c r="J68" s="13"/>
      <c r="K68" s="13"/>
      <c r="N68" s="13"/>
      <c r="O68" s="13"/>
      <c r="R68" s="13"/>
      <c r="S68" s="13"/>
      <c r="V68" s="13"/>
      <c r="W68" s="13"/>
    </row>
    <row r="69" spans="1:24" x14ac:dyDescent="0.3">
      <c r="A69" s="1"/>
      <c r="B69" s="1"/>
      <c r="C69" s="12"/>
      <c r="D69" s="1"/>
      <c r="E69" s="1"/>
      <c r="F69" s="1"/>
      <c r="G69" s="1"/>
      <c r="H69" s="14"/>
      <c r="I69" s="2"/>
      <c r="J69" s="13"/>
      <c r="K69" s="13"/>
      <c r="N69" s="13"/>
      <c r="O69" s="13"/>
      <c r="R69" s="13"/>
      <c r="S69" s="13"/>
      <c r="V69" s="13"/>
      <c r="W69" s="13"/>
    </row>
    <row r="70" spans="1:24" x14ac:dyDescent="0.3">
      <c r="A70" s="1"/>
      <c r="B70" s="1"/>
      <c r="C70" s="12"/>
      <c r="D70" s="1"/>
      <c r="E70" s="1"/>
      <c r="F70" s="1"/>
      <c r="G70" s="1"/>
      <c r="H70" s="14"/>
      <c r="I70" s="2"/>
      <c r="J70" s="13"/>
      <c r="K70" s="13"/>
      <c r="N70" s="13"/>
      <c r="O70" s="13"/>
      <c r="R70" s="13"/>
      <c r="S70" s="13"/>
      <c r="V70" s="13"/>
      <c r="W70" s="13"/>
    </row>
    <row r="71" spans="1:24" x14ac:dyDescent="0.3">
      <c r="A71" s="1"/>
      <c r="B71" s="1"/>
      <c r="C71" s="12"/>
      <c r="D71" s="1"/>
      <c r="E71" s="1"/>
      <c r="F71" s="1"/>
      <c r="G71" s="1"/>
      <c r="H71" s="14"/>
      <c r="I71" s="2"/>
      <c r="J71" s="13"/>
      <c r="K71" s="13"/>
      <c r="N71" s="13"/>
      <c r="O71" s="13"/>
      <c r="R71" s="13"/>
      <c r="S71" s="13"/>
      <c r="V71" s="13"/>
      <c r="W71" s="13"/>
    </row>
    <row r="72" spans="1:24" x14ac:dyDescent="0.3">
      <c r="A72" s="1"/>
      <c r="B72" s="1"/>
      <c r="C72" s="12"/>
      <c r="D72" s="1"/>
      <c r="E72" s="1"/>
      <c r="F72" s="1"/>
      <c r="G72" s="1"/>
      <c r="H72" s="14"/>
      <c r="I72" s="2"/>
      <c r="J72" s="13"/>
      <c r="K72" s="13"/>
      <c r="N72" s="13"/>
      <c r="O72" s="13"/>
      <c r="R72" s="13"/>
      <c r="S72" s="13"/>
      <c r="V72" s="13"/>
      <c r="W72" s="13"/>
    </row>
    <row r="73" spans="1:24" x14ac:dyDescent="0.3">
      <c r="A73" s="1"/>
      <c r="B73" s="1"/>
      <c r="C73" s="12"/>
      <c r="D73" s="1"/>
      <c r="E73" s="1"/>
      <c r="F73" s="1"/>
      <c r="G73" s="1"/>
      <c r="H73" s="14"/>
      <c r="I73" s="2"/>
      <c r="J73" s="13"/>
      <c r="K73" s="13"/>
      <c r="N73" s="13"/>
      <c r="O73" s="13"/>
      <c r="R73" s="13"/>
      <c r="S73" s="13"/>
      <c r="V73" s="13"/>
      <c r="W73" s="13"/>
    </row>
    <row r="74" spans="1:24" x14ac:dyDescent="0.3">
      <c r="A74" s="1"/>
      <c r="B74" s="1"/>
      <c r="C74" s="12"/>
      <c r="D74" s="1"/>
      <c r="E74" s="1"/>
      <c r="F74" s="1"/>
      <c r="G74" s="1"/>
      <c r="H74" s="14"/>
      <c r="I74" s="2"/>
      <c r="J74" s="13"/>
      <c r="K74" s="13"/>
      <c r="N74" s="13"/>
      <c r="O74" s="13"/>
      <c r="R74" s="13"/>
      <c r="S74" s="13"/>
      <c r="V74" s="13"/>
      <c r="W74" s="13"/>
    </row>
    <row r="75" spans="1:24" x14ac:dyDescent="0.3">
      <c r="A75" s="1"/>
      <c r="B75" s="1"/>
      <c r="C75" s="12"/>
      <c r="D75" s="1"/>
      <c r="E75" s="1"/>
      <c r="F75" s="1"/>
      <c r="G75" s="1"/>
      <c r="H75" s="14"/>
      <c r="I75" s="2"/>
      <c r="J75" s="13"/>
      <c r="K75" s="13"/>
      <c r="N75" s="13"/>
      <c r="O75" s="13"/>
      <c r="R75" s="13"/>
      <c r="S75" s="13"/>
      <c r="V75" s="13"/>
      <c r="W75" s="13"/>
    </row>
    <row r="76" spans="1:24" x14ac:dyDescent="0.3">
      <c r="A76" s="1"/>
      <c r="B76" s="1"/>
      <c r="C76" s="12"/>
      <c r="D76" s="1"/>
      <c r="E76" s="1"/>
      <c r="F76" s="1"/>
      <c r="G76" s="1"/>
      <c r="H76" s="14"/>
      <c r="I76" s="2"/>
      <c r="J76" s="13"/>
      <c r="K76" s="13"/>
      <c r="N76" s="13"/>
      <c r="O76" s="13"/>
      <c r="R76" s="13"/>
      <c r="S76" s="13"/>
      <c r="V76" s="13"/>
      <c r="W76" s="13"/>
    </row>
    <row r="77" spans="1:24" x14ac:dyDescent="0.3">
      <c r="A77" s="1"/>
      <c r="B77" s="1"/>
      <c r="C77" s="12"/>
      <c r="D77" s="1"/>
      <c r="E77" s="1"/>
      <c r="F77" s="1"/>
      <c r="G77" s="1"/>
      <c r="H77" s="14"/>
      <c r="I77" s="2"/>
      <c r="J77" s="13"/>
      <c r="K77" s="13"/>
      <c r="N77" s="13"/>
      <c r="O77" s="13"/>
      <c r="R77" s="13"/>
      <c r="S77" s="13"/>
      <c r="V77" s="13"/>
      <c r="W77" s="13"/>
    </row>
    <row r="78" spans="1:24" x14ac:dyDescent="0.3">
      <c r="A78" s="1"/>
      <c r="B78" s="1"/>
      <c r="C78" s="12"/>
      <c r="D78" s="1"/>
      <c r="E78" s="1"/>
      <c r="F78" s="1"/>
      <c r="G78" s="1"/>
      <c r="H78" s="14"/>
      <c r="I78" s="2"/>
      <c r="J78" s="13"/>
      <c r="K78" s="13"/>
      <c r="N78" s="13"/>
      <c r="O78" s="13"/>
      <c r="R78" s="13"/>
      <c r="S78" s="13"/>
      <c r="V78" s="13"/>
      <c r="W78" s="13"/>
    </row>
    <row r="79" spans="1:24" x14ac:dyDescent="0.3">
      <c r="A79" s="1"/>
      <c r="B79" s="1"/>
      <c r="C79" s="12"/>
      <c r="D79" s="1"/>
      <c r="E79" s="1"/>
      <c r="F79" s="1"/>
      <c r="G79" s="1"/>
      <c r="H79" s="14"/>
      <c r="I79" s="2"/>
      <c r="J79" s="13"/>
      <c r="K79" s="13"/>
      <c r="N79" s="13"/>
      <c r="O79" s="13"/>
      <c r="R79" s="13"/>
      <c r="S79" s="13"/>
      <c r="V79" s="13"/>
      <c r="W79" s="13"/>
    </row>
    <row r="80" spans="1:24" x14ac:dyDescent="0.3">
      <c r="A80" s="1"/>
      <c r="B80" s="1"/>
      <c r="C80" s="12"/>
      <c r="D80" s="1"/>
      <c r="E80" s="1"/>
      <c r="F80" s="1"/>
      <c r="G80" s="1"/>
      <c r="H80" s="14"/>
      <c r="I80" s="2"/>
      <c r="J80" s="13"/>
      <c r="K80" s="13"/>
      <c r="N80" s="13"/>
      <c r="O80" s="13"/>
      <c r="R80" s="13"/>
      <c r="S80" s="13"/>
      <c r="V80" s="13"/>
      <c r="W80" s="13"/>
    </row>
    <row r="81" spans="1:23" x14ac:dyDescent="0.3">
      <c r="A81" s="1"/>
      <c r="B81" s="1"/>
      <c r="C81" s="12"/>
      <c r="D81" s="1"/>
      <c r="E81" s="1"/>
      <c r="F81" s="1"/>
      <c r="G81" s="1"/>
      <c r="H81" s="14"/>
      <c r="I81" s="2"/>
      <c r="J81" s="13"/>
      <c r="K81" s="13"/>
      <c r="N81" s="13"/>
      <c r="O81" s="13"/>
      <c r="R81" s="13"/>
      <c r="S81" s="13"/>
      <c r="V81" s="13"/>
      <c r="W81" s="13"/>
    </row>
    <row r="82" spans="1:23" x14ac:dyDescent="0.3">
      <c r="A82" s="1"/>
      <c r="B82" s="1"/>
      <c r="C82" s="12"/>
      <c r="D82" s="1"/>
      <c r="E82" s="1"/>
      <c r="F82" s="1"/>
      <c r="G82" s="1"/>
      <c r="H82" s="14"/>
      <c r="I82" s="2"/>
      <c r="J82" s="13"/>
      <c r="K82" s="13"/>
      <c r="N82" s="13"/>
      <c r="O82" s="13"/>
      <c r="R82" s="13"/>
      <c r="S82" s="13"/>
      <c r="V82" s="13"/>
      <c r="W82" s="13"/>
    </row>
    <row r="83" spans="1:23" x14ac:dyDescent="0.3">
      <c r="A83" s="1"/>
      <c r="B83" s="1"/>
      <c r="C83" s="12"/>
      <c r="D83" s="1"/>
      <c r="E83" s="1"/>
      <c r="F83" s="1"/>
      <c r="G83" s="1"/>
      <c r="H83" s="14"/>
      <c r="I83" s="2"/>
      <c r="J83" s="13"/>
      <c r="K83" s="13"/>
      <c r="N83" s="13"/>
      <c r="O83" s="13"/>
      <c r="R83" s="13"/>
      <c r="S83" s="13"/>
      <c r="V83" s="13"/>
      <c r="W83" s="13"/>
    </row>
    <row r="84" spans="1:23" x14ac:dyDescent="0.3">
      <c r="A84" s="1"/>
      <c r="B84" s="1"/>
      <c r="C84" s="12"/>
      <c r="D84" s="1"/>
      <c r="E84" s="1"/>
      <c r="F84" s="1"/>
      <c r="G84" s="1"/>
      <c r="H84" s="14"/>
      <c r="I84" s="2"/>
      <c r="J84" s="13"/>
      <c r="K84" s="13"/>
      <c r="N84" s="13"/>
      <c r="O84" s="13"/>
      <c r="R84" s="13"/>
      <c r="S84" s="13"/>
      <c r="V84" s="13"/>
      <c r="W84" s="13"/>
    </row>
    <row r="85" spans="1:23" x14ac:dyDescent="0.3">
      <c r="A85" s="1"/>
      <c r="B85" s="1"/>
      <c r="C85" s="12"/>
      <c r="D85" s="1"/>
      <c r="E85" s="1"/>
      <c r="F85" s="1"/>
      <c r="G85" s="1"/>
      <c r="H85" s="14"/>
      <c r="I85" s="2"/>
      <c r="J85" s="13"/>
      <c r="K85" s="13"/>
      <c r="N85" s="13"/>
      <c r="O85" s="13"/>
      <c r="R85" s="13"/>
      <c r="S85" s="13"/>
      <c r="V85" s="13"/>
      <c r="W85" s="13"/>
    </row>
    <row r="86" spans="1:23" x14ac:dyDescent="0.3">
      <c r="A86" s="1"/>
      <c r="B86" s="1"/>
      <c r="C86" s="12"/>
      <c r="D86" s="1"/>
      <c r="E86" s="1"/>
      <c r="F86" s="1"/>
      <c r="G86" s="1"/>
      <c r="H86" s="14"/>
      <c r="I86" s="2"/>
      <c r="J86" s="13"/>
      <c r="K86" s="13"/>
      <c r="N86" s="13"/>
      <c r="O86" s="13"/>
      <c r="R86" s="13"/>
      <c r="S86" s="13"/>
      <c r="V86" s="13"/>
      <c r="W86" s="13"/>
    </row>
    <row r="87" spans="1:23" x14ac:dyDescent="0.3">
      <c r="A87" s="1"/>
      <c r="B87" s="1"/>
      <c r="C87" s="12"/>
      <c r="D87" s="1"/>
      <c r="E87" s="1"/>
      <c r="F87" s="1"/>
      <c r="G87" s="1"/>
      <c r="H87" s="14"/>
      <c r="I87" s="2"/>
      <c r="J87" s="13"/>
      <c r="K87" s="13"/>
      <c r="N87" s="13"/>
      <c r="O87" s="13"/>
      <c r="R87" s="13"/>
      <c r="S87" s="13"/>
      <c r="V87" s="13"/>
      <c r="W87" s="13"/>
    </row>
    <row r="88" spans="1:23" x14ac:dyDescent="0.3">
      <c r="A88" s="1"/>
      <c r="B88" s="1"/>
      <c r="C88" s="12"/>
      <c r="D88" s="1"/>
      <c r="E88" s="1"/>
      <c r="F88" s="1"/>
      <c r="G88" s="1"/>
      <c r="H88" s="14"/>
      <c r="I88" s="2"/>
      <c r="J88" s="13"/>
      <c r="K88" s="13"/>
      <c r="N88" s="13"/>
      <c r="O88" s="13"/>
      <c r="R88" s="13"/>
      <c r="S88" s="13"/>
      <c r="V88" s="13"/>
      <c r="W88" s="13"/>
    </row>
    <row r="89" spans="1:23" x14ac:dyDescent="0.3">
      <c r="A89" s="1"/>
      <c r="B89" s="1"/>
      <c r="C89" s="12"/>
      <c r="D89" s="1"/>
      <c r="E89" s="1"/>
      <c r="F89" s="1"/>
      <c r="G89" s="1"/>
      <c r="H89" s="14"/>
      <c r="I89" s="2"/>
      <c r="J89" s="13"/>
      <c r="K89" s="13"/>
      <c r="N89" s="13"/>
      <c r="O89" s="13"/>
      <c r="R89" s="13"/>
      <c r="S89" s="13"/>
      <c r="V89" s="13"/>
      <c r="W89" s="13"/>
    </row>
    <row r="90" spans="1:23" x14ac:dyDescent="0.3">
      <c r="A90" s="1"/>
      <c r="B90" s="1"/>
      <c r="C90" s="12"/>
      <c r="D90" s="1"/>
      <c r="E90" s="1"/>
      <c r="F90" s="1"/>
      <c r="G90" s="1"/>
      <c r="H90" s="14"/>
      <c r="I90" s="2"/>
      <c r="J90" s="13"/>
      <c r="K90" s="13"/>
      <c r="N90" s="13"/>
      <c r="O90" s="13"/>
      <c r="R90" s="13"/>
      <c r="S90" s="13"/>
      <c r="V90" s="13"/>
      <c r="W90" s="13"/>
    </row>
    <row r="91" spans="1:23" x14ac:dyDescent="0.3">
      <c r="A91" s="1"/>
      <c r="B91" s="1"/>
      <c r="C91" s="12"/>
      <c r="D91" s="1"/>
      <c r="E91" s="1"/>
      <c r="F91" s="1"/>
      <c r="G91" s="1"/>
      <c r="H91" s="14"/>
      <c r="I91" s="2"/>
      <c r="J91" s="13"/>
      <c r="K91" s="13"/>
      <c r="N91" s="13"/>
      <c r="O91" s="13"/>
      <c r="R91" s="13"/>
      <c r="S91" s="13"/>
      <c r="V91" s="13"/>
      <c r="W91" s="13"/>
    </row>
    <row r="92" spans="1:23" x14ac:dyDescent="0.3">
      <c r="A92" s="1"/>
      <c r="B92" s="1"/>
      <c r="C92" s="12"/>
      <c r="D92" s="1"/>
      <c r="E92" s="1"/>
      <c r="F92" s="1"/>
      <c r="G92" s="1"/>
      <c r="H92" s="14"/>
      <c r="I92" s="2"/>
      <c r="J92" s="13"/>
      <c r="K92" s="13"/>
      <c r="N92" s="13"/>
      <c r="O92" s="13"/>
      <c r="R92" s="13"/>
      <c r="S92" s="13"/>
      <c r="V92" s="13"/>
      <c r="W92" s="13"/>
    </row>
    <row r="93" spans="1:23" x14ac:dyDescent="0.3">
      <c r="A93" s="1"/>
      <c r="B93" s="1"/>
      <c r="C93" s="12"/>
      <c r="D93" s="1"/>
      <c r="E93" s="1"/>
      <c r="F93" s="1"/>
      <c r="G93" s="1"/>
      <c r="H93" s="14"/>
      <c r="I93" s="2"/>
      <c r="J93" s="13"/>
      <c r="K93" s="13"/>
      <c r="N93" s="13"/>
      <c r="O93" s="13"/>
      <c r="R93" s="13"/>
      <c r="S93" s="13"/>
      <c r="V93" s="13"/>
      <c r="W93" s="13"/>
    </row>
    <row r="94" spans="1:23" x14ac:dyDescent="0.3">
      <c r="A94" s="1"/>
      <c r="B94" s="1"/>
      <c r="C94" s="12"/>
      <c r="D94" s="1"/>
      <c r="E94" s="1"/>
      <c r="F94" s="1"/>
      <c r="G94" s="1"/>
      <c r="H94" s="14"/>
      <c r="I94" s="2"/>
      <c r="J94" s="13"/>
      <c r="K94" s="13"/>
      <c r="N94" s="13"/>
      <c r="O94" s="13"/>
      <c r="R94" s="13"/>
      <c r="S94" s="13"/>
      <c r="V94" s="13"/>
      <c r="W94" s="13"/>
    </row>
    <row r="95" spans="1:23" x14ac:dyDescent="0.3">
      <c r="A95" s="1"/>
      <c r="B95" s="1"/>
      <c r="C95" s="12"/>
      <c r="D95" s="1"/>
      <c r="E95" s="1"/>
      <c r="F95" s="1"/>
      <c r="G95" s="1"/>
      <c r="H95" s="14"/>
      <c r="I95" s="2"/>
      <c r="J95" s="13"/>
      <c r="K95" s="13"/>
      <c r="N95" s="13"/>
      <c r="O95" s="13"/>
      <c r="R95" s="13"/>
      <c r="S95" s="13"/>
      <c r="V95" s="13"/>
      <c r="W95" s="13"/>
    </row>
    <row r="96" spans="1:23" x14ac:dyDescent="0.3">
      <c r="A96" s="1"/>
      <c r="B96" s="1"/>
      <c r="C96" s="12"/>
      <c r="D96" s="1"/>
      <c r="E96" s="1"/>
      <c r="F96" s="1"/>
      <c r="G96" s="1"/>
      <c r="H96" s="14"/>
      <c r="I96" s="2"/>
      <c r="J96" s="13"/>
      <c r="K96" s="13"/>
      <c r="N96" s="13"/>
      <c r="O96" s="13"/>
      <c r="R96" s="13"/>
      <c r="S96" s="13"/>
      <c r="V96" s="13"/>
      <c r="W96" s="13"/>
    </row>
    <row r="97" spans="1:23" x14ac:dyDescent="0.3">
      <c r="A97" s="1"/>
      <c r="B97" s="1"/>
      <c r="C97" s="12"/>
      <c r="D97" s="1"/>
      <c r="E97" s="1"/>
      <c r="F97" s="1"/>
      <c r="G97" s="1"/>
      <c r="H97" s="14"/>
      <c r="I97" s="2"/>
      <c r="J97" s="13"/>
      <c r="K97" s="13"/>
      <c r="N97" s="13"/>
      <c r="O97" s="13"/>
      <c r="R97" s="13"/>
      <c r="S97" s="13"/>
      <c r="V97" s="13"/>
      <c r="W97" s="13"/>
    </row>
    <row r="98" spans="1:23" x14ac:dyDescent="0.3">
      <c r="A98" s="1"/>
      <c r="B98" s="1"/>
      <c r="C98" s="12"/>
      <c r="D98" s="1"/>
      <c r="E98" s="1"/>
      <c r="F98" s="1"/>
      <c r="G98" s="1"/>
      <c r="H98" s="14"/>
      <c r="I98" s="2"/>
      <c r="J98" s="13"/>
      <c r="K98" s="13"/>
      <c r="N98" s="13"/>
      <c r="O98" s="13"/>
      <c r="R98" s="13"/>
      <c r="S98" s="13"/>
      <c r="V98" s="13"/>
      <c r="W98" s="13"/>
    </row>
    <row r="99" spans="1:23" x14ac:dyDescent="0.3">
      <c r="A99" s="1"/>
      <c r="B99" s="1"/>
      <c r="C99" s="12"/>
      <c r="D99" s="1"/>
      <c r="E99" s="1"/>
      <c r="F99" s="1"/>
      <c r="G99" s="1"/>
      <c r="H99" s="14"/>
      <c r="I99" s="2"/>
      <c r="J99" s="13"/>
      <c r="K99" s="13"/>
      <c r="N99" s="13"/>
      <c r="O99" s="13"/>
      <c r="R99" s="13"/>
      <c r="S99" s="13"/>
      <c r="V99" s="13"/>
      <c r="W99" s="13"/>
    </row>
    <row r="100" spans="1:23" x14ac:dyDescent="0.3">
      <c r="A100" s="1"/>
      <c r="B100" s="1"/>
      <c r="C100" s="12"/>
      <c r="D100" s="1"/>
      <c r="E100" s="1"/>
      <c r="F100" s="1"/>
      <c r="G100" s="1"/>
      <c r="H100" s="14"/>
      <c r="I100" s="2"/>
      <c r="J100" s="13"/>
      <c r="K100" s="13"/>
      <c r="N100" s="13"/>
      <c r="O100" s="13"/>
      <c r="R100" s="13"/>
      <c r="S100" s="13"/>
      <c r="V100" s="13"/>
      <c r="W100" s="13"/>
    </row>
    <row r="101" spans="1:23" x14ac:dyDescent="0.3">
      <c r="A101" s="1"/>
      <c r="B101" s="1"/>
      <c r="C101" s="12"/>
      <c r="D101" s="1"/>
      <c r="E101" s="1"/>
      <c r="F101" s="1"/>
      <c r="G101" s="1"/>
      <c r="H101" s="14"/>
      <c r="I101" s="2"/>
      <c r="J101" s="13"/>
      <c r="K101" s="13"/>
      <c r="N101" s="13"/>
      <c r="O101" s="13"/>
      <c r="R101" s="13"/>
      <c r="S101" s="13"/>
      <c r="V101" s="13"/>
      <c r="W101" s="13"/>
    </row>
    <row r="102" spans="1:23" x14ac:dyDescent="0.3">
      <c r="A102" s="1"/>
      <c r="B102" s="1"/>
      <c r="C102" s="12"/>
      <c r="D102" s="1"/>
      <c r="E102" s="1"/>
      <c r="F102" s="1"/>
      <c r="G102" s="1"/>
      <c r="H102" s="14"/>
      <c r="I102" s="2"/>
      <c r="J102" s="13"/>
      <c r="K102" s="13"/>
      <c r="N102" s="13"/>
      <c r="O102" s="13"/>
      <c r="R102" s="13"/>
      <c r="S102" s="13"/>
      <c r="V102" s="13"/>
      <c r="W102" s="13"/>
    </row>
    <row r="103" spans="1:23" x14ac:dyDescent="0.3">
      <c r="A103" s="1"/>
      <c r="B103" s="1"/>
      <c r="C103" s="12"/>
      <c r="D103" s="1"/>
      <c r="E103" s="1"/>
      <c r="F103" s="1"/>
      <c r="G103" s="1"/>
      <c r="H103" s="14"/>
      <c r="I103" s="2"/>
      <c r="J103" s="13"/>
      <c r="K103" s="13"/>
      <c r="N103" s="13"/>
      <c r="O103" s="13"/>
      <c r="R103" s="13"/>
      <c r="S103" s="13"/>
      <c r="V103" s="13"/>
      <c r="W103" s="13"/>
    </row>
    <row r="104" spans="1:23" x14ac:dyDescent="0.3">
      <c r="A104" s="1"/>
      <c r="B104" s="1"/>
      <c r="C104" s="12"/>
      <c r="D104" s="1"/>
      <c r="E104" s="1"/>
      <c r="F104" s="1"/>
      <c r="G104" s="1"/>
      <c r="H104" s="14"/>
      <c r="I104" s="2"/>
      <c r="J104" s="13"/>
      <c r="K104" s="13"/>
      <c r="N104" s="13"/>
      <c r="O104" s="13"/>
      <c r="R104" s="13"/>
      <c r="S104" s="13"/>
      <c r="V104" s="13"/>
      <c r="W104" s="13"/>
    </row>
    <row r="105" spans="1:23" x14ac:dyDescent="0.3">
      <c r="A105" s="1"/>
      <c r="B105" s="1"/>
      <c r="C105" s="12"/>
      <c r="D105" s="1"/>
      <c r="E105" s="1"/>
      <c r="F105" s="1"/>
      <c r="G105" s="1"/>
      <c r="H105" s="14"/>
      <c r="I105" s="2"/>
      <c r="J105" s="13"/>
      <c r="K105" s="13"/>
      <c r="N105" s="13"/>
      <c r="O105" s="13"/>
      <c r="R105" s="13"/>
      <c r="S105" s="13"/>
      <c r="V105" s="13"/>
      <c r="W105" s="13"/>
    </row>
    <row r="106" spans="1:23" x14ac:dyDescent="0.3">
      <c r="A106" s="1"/>
      <c r="B106" s="1"/>
      <c r="C106" s="12"/>
      <c r="D106" s="1"/>
      <c r="E106" s="1"/>
      <c r="F106" s="1"/>
      <c r="G106" s="1"/>
      <c r="H106" s="14"/>
      <c r="I106" s="2"/>
      <c r="J106" s="13"/>
      <c r="K106" s="13"/>
      <c r="N106" s="13"/>
      <c r="O106" s="13"/>
      <c r="R106" s="13"/>
      <c r="S106" s="13"/>
      <c r="V106" s="13"/>
      <c r="W106" s="13"/>
    </row>
    <row r="107" spans="1:23" x14ac:dyDescent="0.3">
      <c r="A107" s="1"/>
      <c r="B107" s="1"/>
      <c r="C107" s="12"/>
      <c r="D107" s="1"/>
      <c r="E107" s="1"/>
      <c r="F107" s="1"/>
      <c r="G107" s="1"/>
      <c r="H107" s="14"/>
      <c r="I107" s="2"/>
      <c r="J107" s="13"/>
      <c r="K107" s="13"/>
      <c r="N107" s="13"/>
      <c r="O107" s="13"/>
      <c r="R107" s="13"/>
      <c r="S107" s="13"/>
      <c r="V107" s="13"/>
      <c r="W107" s="13"/>
    </row>
    <row r="108" spans="1:23" x14ac:dyDescent="0.3">
      <c r="A108" s="1"/>
      <c r="B108" s="1"/>
      <c r="C108" s="12"/>
      <c r="D108" s="1"/>
      <c r="E108" s="1"/>
      <c r="F108" s="1"/>
      <c r="G108" s="1"/>
      <c r="H108" s="14"/>
      <c r="I108" s="2"/>
      <c r="J108" s="13"/>
      <c r="K108" s="13"/>
      <c r="N108" s="13"/>
      <c r="O108" s="13"/>
      <c r="R108" s="13"/>
      <c r="S108" s="13"/>
      <c r="V108" s="13"/>
      <c r="W108" s="13"/>
    </row>
    <row r="109" spans="1:23" x14ac:dyDescent="0.3">
      <c r="A109" s="1"/>
      <c r="B109" s="1"/>
      <c r="C109" s="12"/>
      <c r="D109" s="1"/>
      <c r="E109" s="1"/>
      <c r="F109" s="1"/>
      <c r="G109" s="1"/>
      <c r="H109" s="14"/>
      <c r="I109" s="2"/>
      <c r="J109" s="13"/>
      <c r="K109" s="13"/>
      <c r="N109" s="13"/>
      <c r="O109" s="13"/>
      <c r="R109" s="13"/>
      <c r="S109" s="13"/>
      <c r="V109" s="13"/>
      <c r="W109" s="13"/>
    </row>
    <row r="110" spans="1:23" x14ac:dyDescent="0.3">
      <c r="A110" s="1"/>
      <c r="B110" s="1"/>
      <c r="C110" s="12"/>
      <c r="D110" s="1"/>
      <c r="E110" s="1"/>
      <c r="F110" s="1"/>
      <c r="G110" s="1"/>
      <c r="H110" s="14"/>
      <c r="I110" s="2"/>
      <c r="J110" s="13"/>
      <c r="K110" s="13"/>
      <c r="N110" s="13"/>
      <c r="O110" s="13"/>
      <c r="R110" s="13"/>
      <c r="S110" s="13"/>
      <c r="V110" s="13"/>
      <c r="W110" s="13"/>
    </row>
    <row r="111" spans="1:23" x14ac:dyDescent="0.3">
      <c r="A111" s="1"/>
      <c r="B111" s="1"/>
      <c r="C111" s="12"/>
      <c r="D111" s="1"/>
      <c r="E111" s="1"/>
      <c r="F111" s="1"/>
      <c r="G111" s="1"/>
      <c r="H111" s="14"/>
      <c r="I111" s="2"/>
      <c r="J111" s="13"/>
      <c r="K111" s="13"/>
      <c r="N111" s="13"/>
      <c r="O111" s="13"/>
      <c r="R111" s="13"/>
      <c r="S111" s="13"/>
      <c r="V111" s="13"/>
      <c r="W111" s="13"/>
    </row>
    <row r="112" spans="1:23" x14ac:dyDescent="0.3">
      <c r="A112" s="1"/>
      <c r="B112" s="1"/>
      <c r="C112" s="12"/>
      <c r="D112" s="1"/>
      <c r="E112" s="1"/>
      <c r="F112" s="1"/>
      <c r="G112" s="1"/>
      <c r="H112" s="14"/>
      <c r="I112" s="2"/>
      <c r="J112" s="13"/>
      <c r="K112" s="13"/>
      <c r="N112" s="13"/>
      <c r="O112" s="13"/>
      <c r="R112" s="13"/>
      <c r="S112" s="13"/>
      <c r="V112" s="13"/>
      <c r="W112" s="13"/>
    </row>
    <row r="113" spans="1:23" x14ac:dyDescent="0.3">
      <c r="A113" s="1"/>
      <c r="B113" s="1"/>
      <c r="C113" s="12"/>
      <c r="D113" s="1"/>
      <c r="E113" s="1"/>
      <c r="F113" s="1"/>
      <c r="G113" s="1"/>
      <c r="H113" s="14"/>
      <c r="I113" s="2"/>
      <c r="J113" s="13"/>
      <c r="K113" s="13"/>
      <c r="N113" s="13"/>
      <c r="O113" s="13"/>
      <c r="R113" s="13"/>
      <c r="S113" s="13"/>
      <c r="V113" s="13"/>
      <c r="W113" s="13"/>
    </row>
    <row r="114" spans="1:23" x14ac:dyDescent="0.3">
      <c r="A114" s="1"/>
      <c r="B114" s="1"/>
      <c r="C114" s="12"/>
      <c r="D114" s="1"/>
      <c r="E114" s="1"/>
      <c r="F114" s="1"/>
      <c r="G114" s="1"/>
      <c r="H114" s="14"/>
      <c r="I114" s="2"/>
      <c r="J114" s="13"/>
      <c r="K114" s="13"/>
      <c r="N114" s="13"/>
      <c r="O114" s="13"/>
      <c r="R114" s="13"/>
      <c r="S114" s="13"/>
      <c r="V114" s="13"/>
      <c r="W114" s="13"/>
    </row>
    <row r="115" spans="1:23" x14ac:dyDescent="0.3">
      <c r="A115" s="1"/>
      <c r="B115" s="1"/>
      <c r="C115" s="12"/>
      <c r="D115" s="1"/>
      <c r="E115" s="1"/>
      <c r="F115" s="1"/>
      <c r="G115" s="1"/>
      <c r="H115" s="14"/>
      <c r="I115" s="2"/>
      <c r="J115" s="13"/>
      <c r="K115" s="13"/>
      <c r="N115" s="13"/>
      <c r="O115" s="13"/>
      <c r="R115" s="13"/>
      <c r="S115" s="13"/>
      <c r="V115" s="13"/>
      <c r="W115" s="13"/>
    </row>
    <row r="116" spans="1:23" x14ac:dyDescent="0.3">
      <c r="A116" s="1"/>
      <c r="B116" s="1"/>
      <c r="C116" s="12"/>
      <c r="D116" s="1"/>
      <c r="E116" s="1"/>
      <c r="F116" s="1"/>
      <c r="G116" s="1"/>
      <c r="H116" s="14"/>
      <c r="I116" s="2"/>
      <c r="J116" s="13"/>
      <c r="K116" s="13"/>
      <c r="N116" s="13"/>
      <c r="O116" s="13"/>
      <c r="R116" s="13"/>
      <c r="S116" s="13"/>
      <c r="V116" s="13"/>
      <c r="W116" s="13"/>
    </row>
    <row r="117" spans="1:23" x14ac:dyDescent="0.3">
      <c r="A117" s="1"/>
      <c r="B117" s="1"/>
      <c r="C117" s="12"/>
      <c r="D117" s="1"/>
      <c r="E117" s="1"/>
      <c r="F117" s="1"/>
      <c r="G117" s="1"/>
      <c r="H117" s="14"/>
      <c r="I117" s="2"/>
      <c r="J117" s="13"/>
      <c r="K117" s="13"/>
      <c r="N117" s="13"/>
      <c r="O117" s="13"/>
      <c r="R117" s="13"/>
      <c r="S117" s="13"/>
      <c r="V117" s="13"/>
      <c r="W117" s="13"/>
    </row>
    <row r="118" spans="1:23" x14ac:dyDescent="0.3">
      <c r="A118" s="1"/>
      <c r="B118" s="1"/>
      <c r="C118" s="12"/>
      <c r="D118" s="1"/>
      <c r="E118" s="1"/>
      <c r="F118" s="1"/>
      <c r="G118" s="1"/>
      <c r="H118" s="14"/>
      <c r="I118" s="2"/>
      <c r="J118" s="13"/>
      <c r="K118" s="13"/>
      <c r="N118" s="13"/>
      <c r="O118" s="13"/>
      <c r="R118" s="13"/>
      <c r="S118" s="13"/>
      <c r="V118" s="13"/>
      <c r="W118" s="13"/>
    </row>
    <row r="119" spans="1:23" x14ac:dyDescent="0.3">
      <c r="A119" s="1"/>
      <c r="B119" s="1"/>
      <c r="C119" s="12"/>
      <c r="D119" s="1"/>
      <c r="E119" s="1"/>
      <c r="F119" s="1"/>
      <c r="G119" s="1"/>
      <c r="H119" s="14"/>
      <c r="I119" s="2"/>
      <c r="J119" s="13"/>
      <c r="K119" s="13"/>
      <c r="N119" s="13"/>
      <c r="O119" s="13"/>
      <c r="R119" s="13"/>
      <c r="S119" s="13"/>
      <c r="V119" s="13"/>
      <c r="W119" s="13"/>
    </row>
    <row r="120" spans="1:23" x14ac:dyDescent="0.3">
      <c r="A120" s="1"/>
      <c r="B120" s="1"/>
      <c r="C120" s="12"/>
      <c r="D120" s="1"/>
      <c r="E120" s="1"/>
      <c r="F120" s="1"/>
      <c r="G120" s="1"/>
      <c r="H120" s="14"/>
      <c r="I120" s="2"/>
      <c r="J120" s="13"/>
      <c r="K120" s="13"/>
      <c r="N120" s="13"/>
      <c r="O120" s="13"/>
      <c r="R120" s="13"/>
      <c r="S120" s="13"/>
      <c r="V120" s="13"/>
      <c r="W120" s="13"/>
    </row>
    <row r="121" spans="1:23" x14ac:dyDescent="0.3">
      <c r="A121" s="1"/>
      <c r="B121" s="1"/>
      <c r="C121" s="12"/>
      <c r="D121" s="1"/>
      <c r="E121" s="1"/>
      <c r="F121" s="1"/>
      <c r="G121" s="1"/>
      <c r="H121" s="14"/>
      <c r="I121" s="2"/>
      <c r="J121" s="13"/>
      <c r="K121" s="13"/>
      <c r="N121" s="13"/>
      <c r="O121" s="13"/>
      <c r="R121" s="13"/>
      <c r="S121" s="13"/>
      <c r="V121" s="13"/>
      <c r="W121" s="13"/>
    </row>
    <row r="122" spans="1:23" x14ac:dyDescent="0.3">
      <c r="A122" s="1"/>
      <c r="B122" s="1"/>
      <c r="C122" s="12"/>
      <c r="D122" s="1"/>
      <c r="E122" s="1"/>
      <c r="F122" s="1"/>
      <c r="G122" s="1"/>
      <c r="H122" s="14"/>
      <c r="I122" s="2"/>
      <c r="J122" s="13"/>
      <c r="K122" s="13"/>
      <c r="N122" s="13"/>
      <c r="O122" s="13"/>
      <c r="R122" s="13"/>
      <c r="S122" s="13"/>
      <c r="V122" s="13"/>
      <c r="W122" s="13"/>
    </row>
    <row r="123" spans="1:23" x14ac:dyDescent="0.3">
      <c r="A123" s="1"/>
      <c r="B123" s="1"/>
      <c r="C123" s="12"/>
      <c r="D123" s="1"/>
      <c r="E123" s="1"/>
      <c r="F123" s="1"/>
      <c r="G123" s="1"/>
      <c r="H123" s="14"/>
      <c r="I123" s="2"/>
      <c r="J123" s="13"/>
      <c r="K123" s="13"/>
      <c r="N123" s="13"/>
      <c r="O123" s="13"/>
      <c r="R123" s="13"/>
      <c r="S123" s="13"/>
      <c r="V123" s="13"/>
      <c r="W123" s="13"/>
    </row>
    <row r="124" spans="1:23" x14ac:dyDescent="0.3">
      <c r="A124" s="1"/>
      <c r="B124" s="1"/>
      <c r="C124" s="12"/>
      <c r="D124" s="1"/>
      <c r="E124" s="1"/>
      <c r="F124" s="1"/>
      <c r="G124" s="1"/>
      <c r="H124" s="14"/>
      <c r="I124" s="2"/>
      <c r="J124" s="13"/>
      <c r="K124" s="13"/>
      <c r="N124" s="13"/>
      <c r="O124" s="13"/>
      <c r="R124" s="13"/>
      <c r="S124" s="13"/>
      <c r="V124" s="13"/>
      <c r="W124" s="13"/>
    </row>
    <row r="125" spans="1:23" x14ac:dyDescent="0.3">
      <c r="A125" s="1"/>
      <c r="B125" s="1"/>
      <c r="C125" s="12"/>
      <c r="D125" s="1"/>
      <c r="E125" s="1"/>
      <c r="F125" s="1"/>
      <c r="G125" s="1"/>
      <c r="H125" s="14"/>
      <c r="I125" s="2"/>
      <c r="J125" s="13"/>
      <c r="K125" s="13"/>
      <c r="N125" s="13"/>
      <c r="O125" s="13"/>
      <c r="R125" s="13"/>
      <c r="S125" s="13"/>
      <c r="V125" s="13"/>
      <c r="W125" s="13"/>
    </row>
    <row r="126" spans="1:23" x14ac:dyDescent="0.3">
      <c r="A126" s="1"/>
      <c r="B126" s="1"/>
      <c r="C126" s="12"/>
      <c r="D126" s="1"/>
      <c r="E126" s="1"/>
      <c r="F126" s="1"/>
      <c r="G126" s="1"/>
      <c r="H126" s="14"/>
      <c r="I126" s="2"/>
      <c r="J126" s="13"/>
      <c r="K126" s="13"/>
      <c r="N126" s="13"/>
      <c r="O126" s="13"/>
      <c r="R126" s="13"/>
      <c r="S126" s="13"/>
      <c r="V126" s="13"/>
      <c r="W126" s="13"/>
    </row>
    <row r="127" spans="1:23" x14ac:dyDescent="0.3">
      <c r="A127" s="1"/>
      <c r="B127" s="1"/>
      <c r="C127" s="12"/>
      <c r="D127" s="1"/>
      <c r="E127" s="1"/>
      <c r="F127" s="1"/>
      <c r="G127" s="1"/>
      <c r="H127" s="14"/>
      <c r="I127" s="2"/>
      <c r="J127" s="13"/>
      <c r="K127" s="13"/>
      <c r="N127" s="13"/>
      <c r="O127" s="13"/>
      <c r="R127" s="13"/>
      <c r="S127" s="13"/>
      <c r="V127" s="13"/>
      <c r="W127" s="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8958-7560-4C0A-8578-452DC4BA3962}">
  <dimension ref="A1:E1195"/>
  <sheetViews>
    <sheetView workbookViewId="0">
      <selection activeCell="B1" sqref="B1"/>
    </sheetView>
  </sheetViews>
  <sheetFormatPr defaultRowHeight="14.4" x14ac:dyDescent="0.3"/>
  <cols>
    <col min="1" max="1" width="18.109375" bestFit="1" customWidth="1"/>
    <col min="3" max="4" width="13.44140625" bestFit="1" customWidth="1"/>
  </cols>
  <sheetData>
    <row r="1" spans="1:5" x14ac:dyDescent="0.3">
      <c r="A1" s="20"/>
      <c r="B1" s="21" t="s">
        <v>29</v>
      </c>
      <c r="C1" s="22">
        <f>+Sheet1!H2</f>
        <v>45454.672300486112</v>
      </c>
      <c r="D1" s="23">
        <f t="shared" ref="D1:D2" si="0">+C1-2/24</f>
        <v>45454.588967152777</v>
      </c>
      <c r="E1" cm="1">
        <f t="array" ref="E1">INDEX(B$1:B$224233, MATCH(D1,A$1:A$224233,1) +0)</f>
        <v>44.78069</v>
      </c>
    </row>
    <row r="2" spans="1:5" x14ac:dyDescent="0.3">
      <c r="A2" s="24">
        <v>45454.577777999999</v>
      </c>
      <c r="B2" s="21">
        <v>0</v>
      </c>
      <c r="C2" s="22">
        <f>+Sheet1!H3</f>
        <v>45454.69635416667</v>
      </c>
      <c r="D2" s="23">
        <f t="shared" si="0"/>
        <v>45454.613020833334</v>
      </c>
      <c r="E2" cm="1">
        <f t="array" ref="E2">INDEX(B$1:B$224233, MATCH(D2,A$1:A$224233,1) +0)</f>
        <v>52.910474999999998</v>
      </c>
    </row>
    <row r="3" spans="1:5" x14ac:dyDescent="0.3">
      <c r="A3" s="24">
        <v>45454.578472000001</v>
      </c>
      <c r="B3" s="21">
        <v>13.130095000000001</v>
      </c>
      <c r="C3" s="22">
        <f>+Sheet1!H4</f>
        <v>45454.706770833334</v>
      </c>
      <c r="D3" s="23">
        <f t="shared" ref="D3:D62" si="1">+C3-2/24</f>
        <v>45454.623437499999</v>
      </c>
      <c r="E3" cm="1">
        <f t="array" ref="E3">INDEX(B$1:B$224233, MATCH(D3,A$1:A$224233,1) +0)</f>
        <v>55.012856999999997</v>
      </c>
    </row>
    <row r="4" spans="1:5" x14ac:dyDescent="0.3">
      <c r="A4" s="24">
        <v>45454.579167000004</v>
      </c>
      <c r="B4" s="21">
        <v>38.030952999999997</v>
      </c>
      <c r="C4" s="22">
        <f>+Sheet1!H5</f>
        <v>45454.717175925929</v>
      </c>
      <c r="D4" s="23">
        <f t="shared" si="1"/>
        <v>45454.633842592593</v>
      </c>
      <c r="E4" cm="1">
        <f t="array" ref="E4">INDEX(B$1:B$224233, MATCH(D4,A$1:A$224233,1) +0)</f>
        <v>55.889995999999996</v>
      </c>
    </row>
    <row r="5" spans="1:5" x14ac:dyDescent="0.3">
      <c r="A5" s="24">
        <v>45454.579860999998</v>
      </c>
      <c r="B5" s="21">
        <v>38.595207000000002</v>
      </c>
      <c r="C5" s="22">
        <f>+Sheet1!H6</f>
        <v>45454.727592592593</v>
      </c>
      <c r="D5" s="23">
        <f t="shared" si="1"/>
        <v>45454.644259259258</v>
      </c>
      <c r="E5" cm="1">
        <f t="array" ref="E5">INDEX(B$1:B$224233, MATCH(D5,A$1:A$224233,1) +0)</f>
        <v>57.382510000000003</v>
      </c>
    </row>
    <row r="6" spans="1:5" x14ac:dyDescent="0.3">
      <c r="A6" s="24">
        <v>45454.580556000001</v>
      </c>
      <c r="B6" s="21">
        <v>39.23668</v>
      </c>
      <c r="C6" s="22">
        <f>+Sheet1!H7</f>
        <v>45454.738020833334</v>
      </c>
      <c r="D6" s="23">
        <f t="shared" si="1"/>
        <v>45454.654687499999</v>
      </c>
      <c r="E6" cm="1">
        <f t="array" ref="E6">INDEX(B$1:B$224233, MATCH(D6,A$1:A$224233,1) +0)</f>
        <v>58.622751000000001</v>
      </c>
    </row>
    <row r="7" spans="1:5" x14ac:dyDescent="0.3">
      <c r="A7" s="24">
        <v>45454.581250000003</v>
      </c>
      <c r="B7" s="21">
        <v>39.312238999999998</v>
      </c>
      <c r="C7" s="22">
        <f>+Sheet1!H8</f>
        <v>45454.748437499999</v>
      </c>
      <c r="D7" s="23">
        <f t="shared" si="1"/>
        <v>45454.665104166663</v>
      </c>
      <c r="E7" cm="1">
        <f t="array" ref="E7">INDEX(B$1:B$224233, MATCH(D7,A$1:A$224233,1) +0)</f>
        <v>59.364277999999999</v>
      </c>
    </row>
    <row r="8" spans="1:5" x14ac:dyDescent="0.3">
      <c r="A8" s="24">
        <v>45454.581943999998</v>
      </c>
      <c r="B8" s="21">
        <v>40.180565999999999</v>
      </c>
      <c r="C8" s="22">
        <f>+Sheet1!H9</f>
        <v>45454.75886574074</v>
      </c>
      <c r="D8" s="23">
        <f t="shared" si="1"/>
        <v>45454.675532407404</v>
      </c>
      <c r="E8" cm="1">
        <f t="array" ref="E8">INDEX(B$1:B$224233, MATCH(D8,A$1:A$224233,1) +0)</f>
        <v>60.496879999999997</v>
      </c>
    </row>
    <row r="9" spans="1:5" x14ac:dyDescent="0.3">
      <c r="A9" s="24">
        <v>45454.582639</v>
      </c>
      <c r="B9" s="21">
        <v>40.836531000000001</v>
      </c>
      <c r="C9" s="22">
        <f>+Sheet1!H10</f>
        <v>45454.769282407404</v>
      </c>
      <c r="D9" s="23">
        <f t="shared" si="1"/>
        <v>45454.685949074068</v>
      </c>
      <c r="E9" cm="1">
        <f t="array" ref="E9">INDEX(B$1:B$224233, MATCH(D9,A$1:A$224233,1) +0)</f>
        <v>60.701957999999998</v>
      </c>
    </row>
    <row r="10" spans="1:5" x14ac:dyDescent="0.3">
      <c r="A10" s="24">
        <v>45454.583333000002</v>
      </c>
      <c r="B10" s="21">
        <v>41.224651999999999</v>
      </c>
      <c r="C10" s="22">
        <f>+Sheet1!H11</f>
        <v>45454.779710648145</v>
      </c>
      <c r="D10" s="23">
        <f t="shared" si="1"/>
        <v>45454.696377314809</v>
      </c>
      <c r="E10" cm="1">
        <f t="array" ref="E10">INDEX(B$1:B$224233, MATCH(D10,A$1:A$224233,1) +0)</f>
        <v>61.602868000000001</v>
      </c>
    </row>
    <row r="11" spans="1:5" x14ac:dyDescent="0.3">
      <c r="A11" s="24">
        <v>45454.584027999997</v>
      </c>
      <c r="B11" s="21">
        <v>41.170332000000002</v>
      </c>
      <c r="C11" s="22">
        <f>+Sheet1!H12</f>
        <v>45454.790127314816</v>
      </c>
      <c r="D11" s="23">
        <f t="shared" si="1"/>
        <v>45454.706793981481</v>
      </c>
      <c r="E11" cm="1">
        <f t="array" ref="E11">INDEX(B$1:B$224233, MATCH(D11,A$1:A$224233,1) +0)</f>
        <v>61.252184</v>
      </c>
    </row>
    <row r="12" spans="1:5" x14ac:dyDescent="0.3">
      <c r="A12" s="24">
        <v>45454.584722</v>
      </c>
      <c r="B12" s="21">
        <v>42.052441000000002</v>
      </c>
      <c r="C12" s="22">
        <f>+Sheet1!H13</f>
        <v>45454.800543981481</v>
      </c>
      <c r="D12" s="23">
        <f t="shared" si="1"/>
        <v>45454.717210648145</v>
      </c>
      <c r="E12" cm="1">
        <f t="array" ref="E12">INDEX(B$1:B$224233, MATCH(D12,A$1:A$224233,1) +0)</f>
        <v>61.94961</v>
      </c>
    </row>
    <row r="13" spans="1:5" x14ac:dyDescent="0.3">
      <c r="A13" s="24">
        <v>45454.585417000002</v>
      </c>
      <c r="B13" s="21">
        <v>42.504837999999999</v>
      </c>
      <c r="C13" s="22">
        <f>+Sheet1!H14</f>
        <v>45454.810972222222</v>
      </c>
      <c r="D13" s="23">
        <f t="shared" si="1"/>
        <v>45454.727638888886</v>
      </c>
      <c r="E13" cm="1">
        <f t="array" ref="E13">INDEX(B$1:B$224233, MATCH(D13,A$1:A$224233,1) +0)</f>
        <v>61.539819000000001</v>
      </c>
    </row>
    <row r="14" spans="1:5" x14ac:dyDescent="0.3">
      <c r="A14" s="24">
        <v>45454.586110999997</v>
      </c>
      <c r="B14" s="21">
        <v>43.230015000000002</v>
      </c>
      <c r="C14" s="22">
        <f>+Sheet1!H15</f>
        <v>45454.821388888886</v>
      </c>
      <c r="D14" s="23">
        <f t="shared" si="1"/>
        <v>45454.73805555555</v>
      </c>
      <c r="E14" cm="1">
        <f t="array" ref="E14">INDEX(B$1:B$224233, MATCH(D14,A$1:A$224233,1) +0)</f>
        <v>60.995311999999998</v>
      </c>
    </row>
    <row r="15" spans="1:5" x14ac:dyDescent="0.3">
      <c r="A15" s="24">
        <v>45454.586805999999</v>
      </c>
      <c r="B15" s="21">
        <v>43.504278999999997</v>
      </c>
      <c r="C15" s="22">
        <f>+Sheet1!H16</f>
        <v>45454.831805555557</v>
      </c>
      <c r="D15" s="23">
        <f t="shared" si="1"/>
        <v>45454.748472222222</v>
      </c>
      <c r="E15" cm="1">
        <f t="array" ref="E15">INDEX(B$1:B$224233, MATCH(D15,A$1:A$224233,1) +0)</f>
        <v>61.044763000000003</v>
      </c>
    </row>
    <row r="16" spans="1:5" x14ac:dyDescent="0.3">
      <c r="A16" s="24">
        <v>45454.587500000001</v>
      </c>
      <c r="B16" s="21">
        <v>43.453665999999998</v>
      </c>
      <c r="C16" s="22">
        <f>+Sheet1!H17</f>
        <v>45454.842233796298</v>
      </c>
      <c r="D16" s="23">
        <f t="shared" si="1"/>
        <v>45454.758900462963</v>
      </c>
      <c r="E16" cm="1">
        <f t="array" ref="E16">INDEX(B$1:B$224233, MATCH(D16,A$1:A$224233,1) +0)</f>
        <v>61.193517</v>
      </c>
    </row>
    <row r="17" spans="1:5" x14ac:dyDescent="0.3">
      <c r="A17" s="24">
        <v>45454.588194000004</v>
      </c>
      <c r="B17" s="21">
        <v>44.488790999999999</v>
      </c>
      <c r="C17" s="22">
        <f>+Sheet1!H18</f>
        <v>45454.852662037039</v>
      </c>
      <c r="D17" s="23">
        <f t="shared" si="1"/>
        <v>45454.769328703704</v>
      </c>
      <c r="E17" cm="1">
        <f t="array" ref="E17">INDEX(B$1:B$224233, MATCH(D17,A$1:A$224233,1) +0)</f>
        <v>61.947637</v>
      </c>
    </row>
    <row r="18" spans="1:5" x14ac:dyDescent="0.3">
      <c r="A18" s="24">
        <v>45454.588888999999</v>
      </c>
      <c r="B18" s="21">
        <v>44.78069</v>
      </c>
      <c r="C18" s="22">
        <f>+Sheet1!H19</f>
        <v>45454.863078703704</v>
      </c>
      <c r="D18" s="23">
        <f t="shared" si="1"/>
        <v>45454.779745370368</v>
      </c>
      <c r="E18" cm="1">
        <f t="array" ref="E18">INDEX(B$1:B$224233, MATCH(D18,A$1:A$224233,1) +0)</f>
        <v>62.268694000000004</v>
      </c>
    </row>
    <row r="19" spans="1:5" x14ac:dyDescent="0.3">
      <c r="A19" s="24">
        <v>45454.589583000001</v>
      </c>
      <c r="B19" s="21">
        <v>45.432448000000001</v>
      </c>
      <c r="C19" s="22">
        <f>+Sheet1!H20</f>
        <v>45454.873518518521</v>
      </c>
      <c r="D19" s="23">
        <f t="shared" si="1"/>
        <v>45454.790185185186</v>
      </c>
      <c r="E19" cm="1">
        <f t="array" ref="E19">INDEX(B$1:B$224233, MATCH(D19,A$1:A$224233,1) +0)</f>
        <v>61.109565000000003</v>
      </c>
    </row>
    <row r="20" spans="1:5" x14ac:dyDescent="0.3">
      <c r="A20" s="24">
        <v>45454.590278000003</v>
      </c>
      <c r="B20" s="21">
        <v>45.691794999999999</v>
      </c>
      <c r="C20" s="22">
        <f>+Sheet1!H21</f>
        <v>45454.883923611109</v>
      </c>
      <c r="D20" s="23">
        <f t="shared" si="1"/>
        <v>45454.800590277773</v>
      </c>
      <c r="E20" cm="1">
        <f t="array" ref="E20">INDEX(B$1:B$224233, MATCH(D20,A$1:A$224233,1) +0)</f>
        <v>61.538493000000003</v>
      </c>
    </row>
    <row r="21" spans="1:5" x14ac:dyDescent="0.3">
      <c r="A21" s="24">
        <v>45454.590971999998</v>
      </c>
      <c r="B21" s="21">
        <v>45.991489999999999</v>
      </c>
      <c r="C21" s="22">
        <f>+Sheet1!H22</f>
        <v>45454.89435185185</v>
      </c>
      <c r="D21" s="23">
        <f t="shared" si="1"/>
        <v>45454.811018518514</v>
      </c>
      <c r="E21" cm="1">
        <f t="array" ref="E21">INDEX(B$1:B$224233, MATCH(D21,A$1:A$224233,1) +0)</f>
        <v>61.558501999999997</v>
      </c>
    </row>
    <row r="22" spans="1:5" x14ac:dyDescent="0.3">
      <c r="A22" s="24">
        <v>45454.591667000001</v>
      </c>
      <c r="B22" s="21">
        <v>46.677056</v>
      </c>
      <c r="C22" s="22">
        <f>+Sheet1!H23</f>
        <v>45454.904768518521</v>
      </c>
      <c r="D22" s="23">
        <f t="shared" si="1"/>
        <v>45454.821435185186</v>
      </c>
      <c r="E22" cm="1">
        <f t="array" ref="E22">INDEX(B$1:B$224233, MATCH(D22,A$1:A$224233,1) +0)</f>
        <v>61.075577000000003</v>
      </c>
    </row>
    <row r="23" spans="1:5" x14ac:dyDescent="0.3">
      <c r="A23" s="24">
        <v>45454.592361000003</v>
      </c>
      <c r="B23" s="21">
        <v>47.007237000000003</v>
      </c>
      <c r="C23" s="22">
        <f>+Sheet1!H24</f>
        <v>45454.915196759262</v>
      </c>
      <c r="D23" s="23">
        <f t="shared" si="1"/>
        <v>45454.831863425927</v>
      </c>
      <c r="E23" cm="1">
        <f t="array" ref="E23">INDEX(B$1:B$224233, MATCH(D23,A$1:A$224233,1) +0)</f>
        <v>61.103575999999997</v>
      </c>
    </row>
    <row r="24" spans="1:5" x14ac:dyDescent="0.3">
      <c r="A24" s="24">
        <v>45454.593055999998</v>
      </c>
      <c r="B24" s="21">
        <v>46.944029</v>
      </c>
      <c r="C24" s="22">
        <f>+Sheet1!H25</f>
        <v>45454.925613425927</v>
      </c>
      <c r="D24" s="23">
        <f t="shared" si="1"/>
        <v>45454.842280092591</v>
      </c>
      <c r="E24" cm="1">
        <f t="array" ref="E24">INDEX(B$1:B$224233, MATCH(D24,A$1:A$224233,1) +0)</f>
        <v>63.268391000000001</v>
      </c>
    </row>
    <row r="25" spans="1:5" x14ac:dyDescent="0.3">
      <c r="A25" s="24">
        <v>45454.59375</v>
      </c>
      <c r="B25" s="21">
        <v>47.25271</v>
      </c>
      <c r="C25" s="22">
        <f>+Sheet1!H26</f>
        <v>45454.936053240737</v>
      </c>
      <c r="D25" s="23">
        <f t="shared" si="1"/>
        <v>45454.852719907401</v>
      </c>
      <c r="E25" cm="1">
        <f t="array" ref="E25">INDEX(B$1:B$224233, MATCH(D25,A$1:A$224233,1) +0)</f>
        <v>62.024985999999998</v>
      </c>
    </row>
    <row r="26" spans="1:5" x14ac:dyDescent="0.3">
      <c r="A26" s="24">
        <v>45454.594444000002</v>
      </c>
      <c r="B26" s="21">
        <v>48.069026000000001</v>
      </c>
      <c r="C26" s="22">
        <f>+Sheet1!H27</f>
        <v>45454.946481481478</v>
      </c>
      <c r="D26" s="23">
        <f t="shared" si="1"/>
        <v>45454.863148148142</v>
      </c>
      <c r="E26" cm="1">
        <f t="array" ref="E26">INDEX(B$1:B$224233, MATCH(D26,A$1:A$224233,1) +0)</f>
        <v>62.257469</v>
      </c>
    </row>
    <row r="27" spans="1:5" x14ac:dyDescent="0.3">
      <c r="A27" s="24">
        <v>45454.595138999997</v>
      </c>
      <c r="B27" s="21">
        <v>48.259039999999999</v>
      </c>
      <c r="C27" s="22">
        <f>+Sheet1!H28</f>
        <v>45454.956886574073</v>
      </c>
      <c r="D27" s="23">
        <f t="shared" si="1"/>
        <v>45454.873553240737</v>
      </c>
      <c r="E27" cm="1">
        <f t="array" ref="E27">INDEX(B$1:B$224233, MATCH(D27,A$1:A$224233,1) +0)</f>
        <v>61.754064999999997</v>
      </c>
    </row>
    <row r="28" spans="1:5" x14ac:dyDescent="0.3">
      <c r="A28" s="24">
        <v>45454.595832999999</v>
      </c>
      <c r="B28" s="21">
        <v>48.395060000000001</v>
      </c>
      <c r="C28" s="22">
        <f>+Sheet1!H29</f>
        <v>45454.967303240737</v>
      </c>
      <c r="D28" s="23">
        <f t="shared" si="1"/>
        <v>45454.883969907401</v>
      </c>
      <c r="E28" cm="1">
        <f t="array" ref="E28">INDEX(B$1:B$224233, MATCH(D28,A$1:A$224233,1) +0)</f>
        <v>61.82414</v>
      </c>
    </row>
    <row r="29" spans="1:5" x14ac:dyDescent="0.3">
      <c r="A29" s="24">
        <v>45454.596528000002</v>
      </c>
      <c r="B29" s="21">
        <v>48.401660999999997</v>
      </c>
      <c r="C29" s="22">
        <f>+Sheet1!H30</f>
        <v>45454.977743055555</v>
      </c>
      <c r="D29" s="23">
        <f t="shared" si="1"/>
        <v>45454.894409722219</v>
      </c>
      <c r="E29" cm="1">
        <f t="array" ref="E29">INDEX(B$1:B$224233, MATCH(D29,A$1:A$224233,1) +0)</f>
        <v>61.786278000000003</v>
      </c>
    </row>
    <row r="30" spans="1:5" x14ac:dyDescent="0.3">
      <c r="A30" s="24">
        <v>45454.597221999997</v>
      </c>
      <c r="B30" s="21">
        <v>48.557350999999997</v>
      </c>
      <c r="C30" s="22">
        <f>+Sheet1!H31</f>
        <v>45454.988171296296</v>
      </c>
      <c r="D30" s="23">
        <f t="shared" si="1"/>
        <v>45454.90483796296</v>
      </c>
      <c r="E30" cm="1">
        <f t="array" ref="E30">INDEX(B$1:B$224233, MATCH(D30,A$1:A$224233,1) +0)</f>
        <v>62.268940000000001</v>
      </c>
    </row>
    <row r="31" spans="1:5" x14ac:dyDescent="0.3">
      <c r="A31" s="24">
        <v>45454.597916999999</v>
      </c>
      <c r="B31" s="21">
        <v>49.190643000000001</v>
      </c>
      <c r="C31" s="22">
        <f>+Sheet1!H32</f>
        <v>45454.99858796296</v>
      </c>
      <c r="D31" s="23">
        <f t="shared" si="1"/>
        <v>45454.915254629625</v>
      </c>
      <c r="E31" cm="1">
        <f t="array" ref="E31">INDEX(B$1:B$224233, MATCH(D31,A$1:A$224233,1) +0)</f>
        <v>61.626643999999999</v>
      </c>
    </row>
    <row r="32" spans="1:5" x14ac:dyDescent="0.3">
      <c r="A32" s="24">
        <v>45454.598611000001</v>
      </c>
      <c r="B32" s="21">
        <v>48.976281999999998</v>
      </c>
      <c r="C32" s="22">
        <f>+Sheet1!H33</f>
        <v>45455.009004629632</v>
      </c>
      <c r="D32" s="23">
        <f t="shared" si="1"/>
        <v>45454.925671296296</v>
      </c>
      <c r="E32" cm="1">
        <f t="array" ref="E32">INDEX(B$1:B$224233, MATCH(D32,A$1:A$224233,1) +0)</f>
        <v>63.226743999999997</v>
      </c>
    </row>
    <row r="33" spans="1:5" x14ac:dyDescent="0.3">
      <c r="A33" s="24">
        <v>45454.599305999996</v>
      </c>
      <c r="B33" s="21">
        <v>49.771158</v>
      </c>
      <c r="C33" s="22">
        <f>+Sheet1!H34</f>
        <v>45455.019421296296</v>
      </c>
      <c r="D33" s="23">
        <f t="shared" si="1"/>
        <v>45454.93608796296</v>
      </c>
      <c r="E33" cm="1">
        <f t="array" ref="E33">INDEX(B$1:B$224233, MATCH(D33,A$1:A$224233,1) +0)</f>
        <v>62.997444999999999</v>
      </c>
    </row>
    <row r="34" spans="1:5" x14ac:dyDescent="0.3">
      <c r="A34" s="24">
        <v>45454.6</v>
      </c>
      <c r="B34" s="21">
        <v>49.494607999999999</v>
      </c>
      <c r="C34" s="22">
        <f>+Sheet1!H35</f>
        <v>45455.029849537037</v>
      </c>
      <c r="D34" s="23">
        <f t="shared" si="1"/>
        <v>45454.946516203701</v>
      </c>
      <c r="E34" cm="1">
        <f t="array" ref="E34">INDEX(B$1:B$224233, MATCH(D34,A$1:A$224233,1) +0)</f>
        <v>62.875050999999999</v>
      </c>
    </row>
    <row r="35" spans="1:5" x14ac:dyDescent="0.3">
      <c r="A35" s="24">
        <v>45454.600694000001</v>
      </c>
      <c r="B35" s="21">
        <v>50.005186000000002</v>
      </c>
      <c r="C35" s="22">
        <f>+Sheet1!H36</f>
        <v>45455.040289351855</v>
      </c>
      <c r="D35" s="23">
        <f t="shared" si="1"/>
        <v>45454.956956018519</v>
      </c>
      <c r="E35" cm="1">
        <f t="array" ref="E35">INDEX(B$1:B$224233, MATCH(D35,A$1:A$224233,1) +0)</f>
        <v>63.114317999999997</v>
      </c>
    </row>
    <row r="36" spans="1:5" x14ac:dyDescent="0.3">
      <c r="A36" s="24">
        <v>45454.601389000003</v>
      </c>
      <c r="B36" s="21">
        <v>50.944335000000002</v>
      </c>
      <c r="C36" s="22">
        <f>+Sheet1!H37</f>
        <v>45455.050706018519</v>
      </c>
      <c r="D36" s="23">
        <f t="shared" si="1"/>
        <v>45454.967372685183</v>
      </c>
      <c r="E36" cm="1">
        <f t="array" ref="E36">INDEX(B$1:B$224233, MATCH(D36,A$1:A$224233,1) +0)</f>
        <v>63.072069999999997</v>
      </c>
    </row>
    <row r="37" spans="1:5" x14ac:dyDescent="0.3">
      <c r="A37" s="24">
        <v>45454.602082999998</v>
      </c>
      <c r="B37" s="21">
        <v>50.797860999999997</v>
      </c>
      <c r="C37" s="22">
        <f>+Sheet1!H38</f>
        <v>45455.06113425926</v>
      </c>
      <c r="D37" s="23">
        <f t="shared" si="1"/>
        <v>45454.977800925924</v>
      </c>
      <c r="E37" cm="1">
        <f t="array" ref="E37">INDEX(B$1:B$224233, MATCH(D37,A$1:A$224233,1) +0)</f>
        <v>62.207228000000001</v>
      </c>
    </row>
    <row r="38" spans="1:5" x14ac:dyDescent="0.3">
      <c r="A38" s="24">
        <v>45454.602778</v>
      </c>
      <c r="B38" s="21">
        <v>50.747936000000003</v>
      </c>
      <c r="C38" s="22">
        <f>+Sheet1!H39</f>
        <v>45455.071562500001</v>
      </c>
      <c r="D38" s="23">
        <f t="shared" si="1"/>
        <v>45454.988229166665</v>
      </c>
      <c r="E38" cm="1">
        <f t="array" ref="E38">INDEX(B$1:B$224233, MATCH(D38,A$1:A$224233,1) +0)</f>
        <v>63.259756000000003</v>
      </c>
    </row>
    <row r="39" spans="1:5" x14ac:dyDescent="0.3">
      <c r="A39" s="24">
        <v>45454.603472000003</v>
      </c>
      <c r="B39" s="21">
        <v>51.428534999999997</v>
      </c>
      <c r="C39" s="22">
        <f>+Sheet1!H40</f>
        <v>45455.081990740742</v>
      </c>
      <c r="D39" s="23">
        <f t="shared" si="1"/>
        <v>45454.998657407406</v>
      </c>
      <c r="E39" cm="1">
        <f t="array" ref="E39">INDEX(B$1:B$224233, MATCH(D39,A$1:A$224233,1) +0)</f>
        <v>62.612499999999997</v>
      </c>
    </row>
    <row r="40" spans="1:5" x14ac:dyDescent="0.3">
      <c r="A40" s="24">
        <v>45454.604166999998</v>
      </c>
      <c r="B40" s="21">
        <v>51.274178999999997</v>
      </c>
      <c r="C40" s="22">
        <f>+Sheet1!H41</f>
        <v>45455.092430555553</v>
      </c>
      <c r="D40" s="23">
        <f t="shared" si="1"/>
        <v>45455.009097222217</v>
      </c>
      <c r="E40" cm="1">
        <f t="array" ref="E40">INDEX(B$1:B$224233, MATCH(D40,A$1:A$224233,1) +0)</f>
        <v>65.865452000000005</v>
      </c>
    </row>
    <row r="41" spans="1:5" x14ac:dyDescent="0.3">
      <c r="A41" s="24">
        <v>45454.604861</v>
      </c>
      <c r="B41" s="21">
        <v>51.03781</v>
      </c>
      <c r="C41" s="22">
        <f>+Sheet1!H42</f>
        <v>45455.102847222224</v>
      </c>
      <c r="D41" s="23">
        <f t="shared" si="1"/>
        <v>45455.019513888888</v>
      </c>
      <c r="E41" cm="1">
        <f t="array" ref="E41">INDEX(B$1:B$224233, MATCH(D41,A$1:A$224233,1) +0)</f>
        <v>66.633942000000005</v>
      </c>
    </row>
    <row r="42" spans="1:5" x14ac:dyDescent="0.3">
      <c r="A42" s="24">
        <v>45454.605556000002</v>
      </c>
      <c r="B42" s="21">
        <v>51.084860999999997</v>
      </c>
      <c r="C42" s="22">
        <f>+Sheet1!H43</f>
        <v>45455.113263888888</v>
      </c>
      <c r="D42" s="23">
        <f t="shared" si="1"/>
        <v>45455.029930555553</v>
      </c>
      <c r="E42" cm="1">
        <f t="array" ref="E42">INDEX(B$1:B$224233, MATCH(D42,A$1:A$224233,1) +0)</f>
        <v>65.707552000000007</v>
      </c>
    </row>
    <row r="43" spans="1:5" x14ac:dyDescent="0.3">
      <c r="A43" s="24">
        <v>45454.606249999997</v>
      </c>
      <c r="B43" s="21">
        <v>51.445563999999997</v>
      </c>
      <c r="C43" s="22">
        <f>+Sheet1!H44</f>
        <v>45455.123692129629</v>
      </c>
      <c r="D43" s="23">
        <f t="shared" si="1"/>
        <v>45455.040358796294</v>
      </c>
      <c r="E43" cm="1">
        <f t="array" ref="E43">INDEX(B$1:B$224233, MATCH(D43,A$1:A$224233,1) +0)</f>
        <v>65.599198999999999</v>
      </c>
    </row>
    <row r="44" spans="1:5" x14ac:dyDescent="0.3">
      <c r="A44" s="24">
        <v>45454.606943999999</v>
      </c>
      <c r="B44" s="21">
        <v>51.926389</v>
      </c>
      <c r="C44" s="22">
        <f>+Sheet1!H45</f>
        <v>45455.134131944447</v>
      </c>
      <c r="D44" s="23">
        <f t="shared" si="1"/>
        <v>45455.050798611112</v>
      </c>
      <c r="E44" cm="1">
        <f t="array" ref="E44">INDEX(B$1:B$224233, MATCH(D44,A$1:A$224233,1) +0)</f>
        <v>65.724652000000006</v>
      </c>
    </row>
    <row r="45" spans="1:5" x14ac:dyDescent="0.3">
      <c r="A45" s="24">
        <v>45454.607639000002</v>
      </c>
      <c r="B45" s="21">
        <v>52.018087999999999</v>
      </c>
      <c r="C45" s="22">
        <f>+Sheet1!H46</f>
        <v>45455.144560185188</v>
      </c>
      <c r="D45" s="23">
        <f t="shared" si="1"/>
        <v>45455.061226851853</v>
      </c>
      <c r="E45" cm="1">
        <f t="array" ref="E45">INDEX(B$1:B$224233, MATCH(D45,A$1:A$224233,1) +0)</f>
        <v>65.881394</v>
      </c>
    </row>
    <row r="46" spans="1:5" x14ac:dyDescent="0.3">
      <c r="A46" s="24">
        <v>45454.608332999996</v>
      </c>
      <c r="B46" s="21">
        <v>52.599003000000003</v>
      </c>
      <c r="C46" s="22">
        <f>+Sheet1!H47</f>
        <v>45455.154988425929</v>
      </c>
      <c r="D46" s="23">
        <f t="shared" si="1"/>
        <v>45455.071655092594</v>
      </c>
      <c r="E46" cm="1">
        <f t="array" ref="E46">INDEX(B$1:B$224233, MATCH(D46,A$1:A$224233,1) +0)</f>
        <v>65.991834999999995</v>
      </c>
    </row>
    <row r="47" spans="1:5" x14ac:dyDescent="0.3">
      <c r="A47" s="24">
        <v>45454.609027999999</v>
      </c>
      <c r="B47" s="21">
        <v>53.289841000000003</v>
      </c>
      <c r="C47" s="22">
        <f>+Sheet1!H48</f>
        <v>45455.165416666663</v>
      </c>
      <c r="D47" s="23">
        <f t="shared" si="1"/>
        <v>45455.082083333327</v>
      </c>
      <c r="E47" cm="1">
        <f t="array" ref="E47">INDEX(B$1:B$224233, MATCH(D47,A$1:A$224233,1) +0)</f>
        <v>65.577878999999996</v>
      </c>
    </row>
    <row r="48" spans="1:5" x14ac:dyDescent="0.3">
      <c r="A48" s="24">
        <v>45454.609722000001</v>
      </c>
      <c r="B48" s="21">
        <v>52.627265999999999</v>
      </c>
      <c r="C48" s="22">
        <f>+Sheet1!H49</f>
        <v>45455.175844907404</v>
      </c>
      <c r="D48" s="23">
        <f t="shared" si="1"/>
        <v>45455.092511574068</v>
      </c>
      <c r="E48" cm="1">
        <f t="array" ref="E48">INDEX(B$1:B$224233, MATCH(D48,A$1:A$224233,1) +0)</f>
        <v>69.747084000000001</v>
      </c>
    </row>
    <row r="49" spans="1:5" x14ac:dyDescent="0.3">
      <c r="A49" s="24">
        <v>45454.610417000004</v>
      </c>
      <c r="B49" s="21">
        <v>52.977840999999998</v>
      </c>
      <c r="C49" s="22">
        <f>+Sheet1!H50</f>
        <v>45455.186261574076</v>
      </c>
      <c r="D49" s="23">
        <f t="shared" si="1"/>
        <v>45455.10292824074</v>
      </c>
      <c r="E49" cm="1">
        <f t="array" ref="E49">INDEX(B$1:B$224233, MATCH(D49,A$1:A$224233,1) +0)</f>
        <v>69.518810000000002</v>
      </c>
    </row>
    <row r="50" spans="1:5" x14ac:dyDescent="0.3">
      <c r="A50" s="24">
        <v>45454.611110999998</v>
      </c>
      <c r="B50" s="21">
        <v>52.875013000000003</v>
      </c>
      <c r="C50" s="22">
        <f>+Sheet1!H51</f>
        <v>45455.196689814817</v>
      </c>
      <c r="D50" s="23">
        <f t="shared" si="1"/>
        <v>45455.113356481481</v>
      </c>
      <c r="E50" cm="1">
        <f t="array" ref="E50">INDEX(B$1:B$224233, MATCH(D50,A$1:A$224233,1) +0)</f>
        <v>69.707357000000002</v>
      </c>
    </row>
    <row r="51" spans="1:5" x14ac:dyDescent="0.3">
      <c r="A51" s="24">
        <v>45454.611806000001</v>
      </c>
      <c r="B51" s="21">
        <v>53.849611000000003</v>
      </c>
      <c r="C51" s="22">
        <f>+Sheet1!H52</f>
        <v>45455.207106481481</v>
      </c>
      <c r="D51" s="23">
        <f t="shared" si="1"/>
        <v>45455.123773148145</v>
      </c>
      <c r="E51" cm="1">
        <f t="array" ref="E51">INDEX(B$1:B$224233, MATCH(D51,A$1:A$224233,1) +0)</f>
        <v>69.268531999999993</v>
      </c>
    </row>
    <row r="52" spans="1:5" x14ac:dyDescent="0.3">
      <c r="A52" s="24">
        <v>45454.612500000003</v>
      </c>
      <c r="B52" s="21">
        <v>52.910474999999998</v>
      </c>
      <c r="C52" s="22">
        <f>+Sheet1!H53</f>
        <v>45455.217523148145</v>
      </c>
      <c r="D52" s="23">
        <f t="shared" si="1"/>
        <v>45455.134189814809</v>
      </c>
      <c r="E52" cm="1">
        <f t="array" ref="E52">INDEX(B$1:B$224233, MATCH(D52,A$1:A$224233,1) +0)</f>
        <v>68.973297000000002</v>
      </c>
    </row>
    <row r="53" spans="1:5" x14ac:dyDescent="0.3">
      <c r="A53" s="24">
        <v>45454.613193999998</v>
      </c>
      <c r="B53" s="21">
        <v>53.612554000000003</v>
      </c>
      <c r="C53" s="22">
        <f>+Sheet1!H54</f>
        <v>45455.227962962963</v>
      </c>
      <c r="D53" s="23">
        <f t="shared" si="1"/>
        <v>45455.144629629627</v>
      </c>
      <c r="E53" cm="1">
        <f t="array" ref="E53">INDEX(B$1:B$224233, MATCH(D53,A$1:A$224233,1) +0)</f>
        <v>69.614762999999996</v>
      </c>
    </row>
    <row r="54" spans="1:5" x14ac:dyDescent="0.3">
      <c r="A54" s="24">
        <v>45454.613889</v>
      </c>
      <c r="B54" s="21">
        <v>53.233055</v>
      </c>
      <c r="C54" s="22">
        <f>+Sheet1!H55</f>
        <v>45455.238379629627</v>
      </c>
      <c r="D54" s="23">
        <f t="shared" si="1"/>
        <v>45455.155046296291</v>
      </c>
      <c r="E54" cm="1">
        <f t="array" ref="E54">INDEX(B$1:B$224233, MATCH(D54,A$1:A$224233,1) +0)</f>
        <v>69.030595000000005</v>
      </c>
    </row>
    <row r="55" spans="1:5" x14ac:dyDescent="0.3">
      <c r="A55" s="24">
        <v>45454.614583000002</v>
      </c>
      <c r="B55" s="21">
        <v>52.185583000000001</v>
      </c>
      <c r="C55" s="22">
        <f>+Sheet1!H56</f>
        <v>45455.248819444445</v>
      </c>
      <c r="D55" s="23">
        <f t="shared" si="1"/>
        <v>45455.165486111109</v>
      </c>
      <c r="E55" cm="1">
        <f t="array" ref="E55">INDEX(B$1:B$224233, MATCH(D55,A$1:A$224233,1) +0)</f>
        <v>69.277966000000006</v>
      </c>
    </row>
    <row r="56" spans="1:5" x14ac:dyDescent="0.3">
      <c r="A56" s="24">
        <v>45454.615277999997</v>
      </c>
      <c r="B56" s="21">
        <v>54.389395</v>
      </c>
      <c r="C56" s="22">
        <f>+Sheet1!H57</f>
        <v>45455.259236111109</v>
      </c>
      <c r="D56" s="23">
        <f t="shared" si="1"/>
        <v>45455.175902777773</v>
      </c>
      <c r="E56" cm="1">
        <f t="array" ref="E56">INDEX(B$1:B$224233, MATCH(D56,A$1:A$224233,1) +0)</f>
        <v>79.608513000000002</v>
      </c>
    </row>
    <row r="57" spans="1:5" x14ac:dyDescent="0.3">
      <c r="A57" s="24">
        <v>45454.615972</v>
      </c>
      <c r="B57" s="21">
        <v>53.708275</v>
      </c>
      <c r="C57" s="22">
        <f>+Sheet1!H58</f>
        <v>45455.26966435185</v>
      </c>
      <c r="D57" s="23">
        <f t="shared" si="1"/>
        <v>45455.186331018514</v>
      </c>
      <c r="E57" cm="1">
        <f t="array" ref="E57">INDEX(B$1:B$224233, MATCH(D57,A$1:A$224233,1) +0)</f>
        <v>79.513694000000001</v>
      </c>
    </row>
    <row r="58" spans="1:5" x14ac:dyDescent="0.3">
      <c r="A58" s="24">
        <v>45454.616667000002</v>
      </c>
      <c r="B58" s="21">
        <v>54.331040000000002</v>
      </c>
      <c r="C58" s="22">
        <f>+Sheet1!H59</f>
        <v>45455.280092592591</v>
      </c>
      <c r="D58" s="23">
        <f t="shared" si="1"/>
        <v>45455.196759259255</v>
      </c>
      <c r="E58" cm="1">
        <f t="array" ref="E58">INDEX(B$1:B$224233, MATCH(D58,A$1:A$224233,1) +0)</f>
        <v>78.687230999999997</v>
      </c>
    </row>
    <row r="59" spans="1:5" x14ac:dyDescent="0.3">
      <c r="A59" s="24">
        <v>45454.617360999997</v>
      </c>
      <c r="B59" s="21">
        <v>54.131529</v>
      </c>
      <c r="C59" s="22">
        <f>+Sheet1!H60</f>
        <v>45455.290520833332</v>
      </c>
      <c r="D59" s="23">
        <f t="shared" si="1"/>
        <v>45455.207187499997</v>
      </c>
      <c r="E59" cm="1">
        <f t="array" ref="E59">INDEX(B$1:B$224233, MATCH(D59,A$1:A$224233,1) +0)</f>
        <v>78.188353000000006</v>
      </c>
    </row>
    <row r="60" spans="1:5" x14ac:dyDescent="0.3">
      <c r="A60" s="24">
        <v>45454.618055999999</v>
      </c>
      <c r="B60" s="21">
        <v>54.182178</v>
      </c>
      <c r="C60" s="22">
        <f>+Sheet1!H61</f>
        <v>45455.300949074073</v>
      </c>
      <c r="D60" s="23">
        <f t="shared" si="1"/>
        <v>45455.217615740738</v>
      </c>
      <c r="E60" cm="1">
        <f t="array" ref="E60">INDEX(B$1:B$224233, MATCH(D60,A$1:A$224233,1) +0)</f>
        <v>55.532567999999998</v>
      </c>
    </row>
    <row r="61" spans="1:5" x14ac:dyDescent="0.3">
      <c r="A61" s="24">
        <v>45454.618750000001</v>
      </c>
      <c r="B61" s="21">
        <v>54.725023</v>
      </c>
      <c r="C61" s="22">
        <f>+Sheet1!H62</f>
        <v>45455.311377314814</v>
      </c>
      <c r="D61" s="23">
        <f t="shared" si="1"/>
        <v>45455.228043981479</v>
      </c>
      <c r="E61" cm="1">
        <f t="array" ref="E61">INDEX(B$1:B$224233, MATCH(D61,A$1:A$224233,1) +0)</f>
        <v>57.201605999999998</v>
      </c>
    </row>
    <row r="62" spans="1:5" x14ac:dyDescent="0.3">
      <c r="A62" s="24">
        <v>45454.619444000004</v>
      </c>
      <c r="B62" s="21">
        <v>53.872841000000001</v>
      </c>
      <c r="C62" s="22">
        <f>+Sheet1!H63</f>
        <v>45455.321805555555</v>
      </c>
      <c r="D62" s="23">
        <f t="shared" si="1"/>
        <v>45455.23847222222</v>
      </c>
      <c r="E62" cm="1">
        <f t="array" ref="E62">INDEX(B$1:B$224233, MATCH(D62,A$1:A$224233,1) +0)</f>
        <v>60.485227000000002</v>
      </c>
    </row>
    <row r="63" spans="1:5" x14ac:dyDescent="0.3">
      <c r="A63" s="24">
        <v>45454.620138999999</v>
      </c>
      <c r="B63" s="21">
        <v>54.186635000000003</v>
      </c>
      <c r="C63" s="22"/>
      <c r="D63" s="23"/>
    </row>
    <row r="64" spans="1:5" x14ac:dyDescent="0.3">
      <c r="A64" s="24">
        <v>45454.620833000001</v>
      </c>
      <c r="B64" s="21">
        <v>54.632677999999999</v>
      </c>
      <c r="C64" s="22"/>
      <c r="D64" s="23"/>
    </row>
    <row r="65" spans="1:4" x14ac:dyDescent="0.3">
      <c r="A65" s="24">
        <v>45454.621528000003</v>
      </c>
      <c r="B65" s="21">
        <v>54.380645000000001</v>
      </c>
      <c r="C65" s="22"/>
      <c r="D65" s="23"/>
    </row>
    <row r="66" spans="1:4" x14ac:dyDescent="0.3">
      <c r="A66" s="24">
        <v>45454.622221999998</v>
      </c>
      <c r="B66" s="21">
        <v>54.737563000000002</v>
      </c>
      <c r="C66" s="22"/>
      <c r="D66" s="23"/>
    </row>
    <row r="67" spans="1:4" x14ac:dyDescent="0.3">
      <c r="A67" s="24">
        <v>45454.622917000001</v>
      </c>
      <c r="B67" s="21">
        <v>55.012856999999997</v>
      </c>
      <c r="C67" s="22"/>
      <c r="D67" s="23"/>
    </row>
    <row r="68" spans="1:4" x14ac:dyDescent="0.3">
      <c r="A68" s="24">
        <v>45454.623611000003</v>
      </c>
      <c r="B68" s="21">
        <v>54.477944000000001</v>
      </c>
      <c r="C68" s="22"/>
      <c r="D68" s="23"/>
    </row>
    <row r="69" spans="1:4" x14ac:dyDescent="0.3">
      <c r="A69" s="24">
        <v>45454.624305999998</v>
      </c>
      <c r="B69" s="21">
        <v>55.723484999999997</v>
      </c>
      <c r="C69" s="22"/>
      <c r="D69" s="23"/>
    </row>
    <row r="70" spans="1:4" x14ac:dyDescent="0.3">
      <c r="A70" s="24">
        <v>45454.625</v>
      </c>
      <c r="B70" s="21">
        <v>56.230029000000002</v>
      </c>
      <c r="C70" s="22"/>
      <c r="D70" s="23"/>
    </row>
    <row r="71" spans="1:4" x14ac:dyDescent="0.3">
      <c r="A71" s="24">
        <v>45454.625694000002</v>
      </c>
      <c r="B71" s="21">
        <v>55.667937999999999</v>
      </c>
      <c r="C71" s="22"/>
      <c r="D71" s="23"/>
    </row>
    <row r="72" spans="1:4" x14ac:dyDescent="0.3">
      <c r="A72" s="24">
        <v>45454.626388999997</v>
      </c>
      <c r="B72" s="21">
        <v>56.547567000000001</v>
      </c>
      <c r="C72" s="22"/>
      <c r="D72" s="23"/>
    </row>
    <row r="73" spans="1:4" x14ac:dyDescent="0.3">
      <c r="A73" s="24">
        <v>45454.627082999999</v>
      </c>
      <c r="B73" s="21">
        <v>56.344513999999997</v>
      </c>
      <c r="C73" s="22"/>
      <c r="D73" s="23"/>
    </row>
    <row r="74" spans="1:4" x14ac:dyDescent="0.3">
      <c r="A74" s="24">
        <v>45454.627778000002</v>
      </c>
      <c r="B74" s="21">
        <v>56.187538000000004</v>
      </c>
      <c r="C74" s="22"/>
      <c r="D74" s="23"/>
    </row>
    <row r="75" spans="1:4" x14ac:dyDescent="0.3">
      <c r="A75" s="24">
        <v>45454.628471999997</v>
      </c>
      <c r="B75" s="21">
        <v>55.684404999999998</v>
      </c>
      <c r="C75" s="22"/>
      <c r="D75" s="23"/>
    </row>
    <row r="76" spans="1:4" x14ac:dyDescent="0.3">
      <c r="A76" s="24">
        <v>45454.629166999999</v>
      </c>
      <c r="B76" s="21">
        <v>56.465922999999997</v>
      </c>
      <c r="C76" s="22"/>
      <c r="D76" s="23"/>
    </row>
    <row r="77" spans="1:4" x14ac:dyDescent="0.3">
      <c r="A77" s="24">
        <v>45454.629861000001</v>
      </c>
      <c r="B77" s="21">
        <v>56.769520999999997</v>
      </c>
      <c r="C77" s="22"/>
      <c r="D77" s="23"/>
    </row>
    <row r="78" spans="1:4" x14ac:dyDescent="0.3">
      <c r="A78" s="24">
        <v>45454.630555999996</v>
      </c>
      <c r="B78" s="21">
        <v>56.468055</v>
      </c>
      <c r="C78" s="22"/>
      <c r="D78" s="23"/>
    </row>
    <row r="79" spans="1:4" x14ac:dyDescent="0.3">
      <c r="A79" s="24">
        <v>45454.631249999999</v>
      </c>
      <c r="B79" s="21">
        <v>56.622092000000002</v>
      </c>
      <c r="C79" s="22"/>
      <c r="D79" s="23"/>
    </row>
    <row r="80" spans="1:4" x14ac:dyDescent="0.3">
      <c r="A80" s="24">
        <v>45454.631944000001</v>
      </c>
      <c r="B80" s="21">
        <v>57.271079</v>
      </c>
      <c r="C80" s="22"/>
      <c r="D80" s="23"/>
    </row>
    <row r="81" spans="1:4" x14ac:dyDescent="0.3">
      <c r="A81" s="24">
        <v>45454.632639000003</v>
      </c>
      <c r="B81" s="21">
        <v>57.008651</v>
      </c>
      <c r="C81" s="22"/>
      <c r="D81" s="23"/>
    </row>
    <row r="82" spans="1:4" x14ac:dyDescent="0.3">
      <c r="A82" s="24">
        <v>45454.633332999998</v>
      </c>
      <c r="B82" s="21">
        <v>55.889995999999996</v>
      </c>
      <c r="C82" s="22"/>
      <c r="D82" s="23"/>
    </row>
    <row r="83" spans="1:4" x14ac:dyDescent="0.3">
      <c r="A83" s="24">
        <v>45454.634028</v>
      </c>
      <c r="B83" s="21">
        <v>56.151657999999998</v>
      </c>
      <c r="C83" s="22"/>
      <c r="D83" s="23"/>
    </row>
    <row r="84" spans="1:4" x14ac:dyDescent="0.3">
      <c r="A84" s="24">
        <v>45454.634722000003</v>
      </c>
      <c r="B84" s="21">
        <v>56.072902999999997</v>
      </c>
      <c r="C84" s="22"/>
      <c r="D84" s="23"/>
    </row>
    <row r="85" spans="1:4" x14ac:dyDescent="0.3">
      <c r="A85" s="24">
        <v>45454.635416999998</v>
      </c>
      <c r="B85" s="21">
        <v>57.187824999999997</v>
      </c>
      <c r="C85" s="22"/>
      <c r="D85" s="23"/>
    </row>
    <row r="86" spans="1:4" x14ac:dyDescent="0.3">
      <c r="A86" s="24">
        <v>45454.636111</v>
      </c>
      <c r="B86" s="21">
        <v>56.607390000000002</v>
      </c>
      <c r="C86" s="22"/>
      <c r="D86" s="23"/>
    </row>
    <row r="87" spans="1:4" x14ac:dyDescent="0.3">
      <c r="A87" s="24">
        <v>45454.636806000002</v>
      </c>
      <c r="B87" s="21">
        <v>56.752149000000003</v>
      </c>
      <c r="C87" s="22"/>
      <c r="D87" s="23"/>
    </row>
    <row r="88" spans="1:4" x14ac:dyDescent="0.3">
      <c r="A88" s="24">
        <v>45454.637499999997</v>
      </c>
      <c r="B88" s="21">
        <v>57.071658999999997</v>
      </c>
      <c r="C88" s="22"/>
      <c r="D88" s="23"/>
    </row>
    <row r="89" spans="1:4" x14ac:dyDescent="0.3">
      <c r="A89" s="24">
        <v>45454.638193999999</v>
      </c>
      <c r="B89" s="21">
        <v>56.578561999999998</v>
      </c>
      <c r="C89" s="22"/>
      <c r="D89" s="23"/>
    </row>
    <row r="90" spans="1:4" x14ac:dyDescent="0.3">
      <c r="A90" s="24">
        <v>45454.638889000002</v>
      </c>
      <c r="B90" s="21">
        <v>57.508296000000001</v>
      </c>
      <c r="C90" s="22"/>
      <c r="D90" s="23"/>
    </row>
    <row r="91" spans="1:4" x14ac:dyDescent="0.3">
      <c r="A91" s="24">
        <v>45454.639582999996</v>
      </c>
      <c r="B91" s="21">
        <v>56.948394999999998</v>
      </c>
      <c r="C91" s="22"/>
      <c r="D91" s="23"/>
    </row>
    <row r="92" spans="1:4" x14ac:dyDescent="0.3">
      <c r="A92" s="24">
        <v>45454.640277999999</v>
      </c>
      <c r="B92" s="21">
        <v>56.743226</v>
      </c>
      <c r="C92" s="22"/>
      <c r="D92" s="23"/>
    </row>
    <row r="93" spans="1:4" x14ac:dyDescent="0.3">
      <c r="A93" s="24">
        <v>45454.640972000001</v>
      </c>
      <c r="B93" s="21">
        <v>58.193496000000003</v>
      </c>
      <c r="C93" s="22"/>
      <c r="D93" s="23"/>
    </row>
    <row r="94" spans="1:4" x14ac:dyDescent="0.3">
      <c r="A94" s="24">
        <v>45454.641667000004</v>
      </c>
      <c r="B94" s="21">
        <v>57.429943999999999</v>
      </c>
      <c r="C94" s="22"/>
      <c r="D94" s="23"/>
    </row>
    <row r="95" spans="1:4" x14ac:dyDescent="0.3">
      <c r="A95" s="24">
        <v>45454.642360999998</v>
      </c>
      <c r="B95" s="21">
        <v>57.392145999999997</v>
      </c>
      <c r="C95" s="22"/>
      <c r="D95" s="23"/>
    </row>
    <row r="96" spans="1:4" x14ac:dyDescent="0.3">
      <c r="A96" s="24">
        <v>45454.643056000001</v>
      </c>
      <c r="B96" s="21">
        <v>57.877141999999999</v>
      </c>
      <c r="C96" s="22"/>
      <c r="D96" s="23"/>
    </row>
    <row r="97" spans="1:4" x14ac:dyDescent="0.3">
      <c r="A97" s="24">
        <v>45454.643750000003</v>
      </c>
      <c r="B97" s="21">
        <v>57.382510000000003</v>
      </c>
      <c r="C97" s="22"/>
      <c r="D97" s="23"/>
    </row>
    <row r="98" spans="1:4" x14ac:dyDescent="0.3">
      <c r="A98" s="24">
        <v>45454.644443999998</v>
      </c>
      <c r="B98" s="21">
        <v>57.305678</v>
      </c>
      <c r="C98" s="22"/>
      <c r="D98" s="23"/>
    </row>
    <row r="99" spans="1:4" x14ac:dyDescent="0.3">
      <c r="A99" s="24">
        <v>45454.645139</v>
      </c>
      <c r="B99" s="21">
        <v>57.718891999999997</v>
      </c>
      <c r="C99" s="22"/>
      <c r="D99" s="23"/>
    </row>
    <row r="100" spans="1:4" x14ac:dyDescent="0.3">
      <c r="A100" s="24">
        <v>45454.645833000002</v>
      </c>
      <c r="B100" s="21">
        <v>57.880598999999997</v>
      </c>
      <c r="C100" s="22"/>
      <c r="D100" s="23"/>
    </row>
    <row r="101" spans="1:4" x14ac:dyDescent="0.3">
      <c r="A101" s="24">
        <v>45454.646527999997</v>
      </c>
      <c r="B101" s="21">
        <v>58.057597999999999</v>
      </c>
      <c r="C101" s="22"/>
      <c r="D101" s="23"/>
    </row>
    <row r="102" spans="1:4" x14ac:dyDescent="0.3">
      <c r="A102" s="24">
        <v>45454.647222</v>
      </c>
      <c r="B102" s="21">
        <v>57.314934999999998</v>
      </c>
      <c r="C102" s="22"/>
      <c r="D102" s="23"/>
    </row>
    <row r="103" spans="1:4" x14ac:dyDescent="0.3">
      <c r="A103" s="24">
        <v>45454.647917000002</v>
      </c>
      <c r="B103" s="21">
        <v>57.920890999999997</v>
      </c>
      <c r="C103" s="22"/>
      <c r="D103" s="23"/>
    </row>
    <row r="104" spans="1:4" x14ac:dyDescent="0.3">
      <c r="A104" s="24">
        <v>45454.648610999997</v>
      </c>
      <c r="B104" s="21">
        <v>58.598613</v>
      </c>
      <c r="C104" s="22"/>
      <c r="D104" s="23"/>
    </row>
    <row r="105" spans="1:4" x14ac:dyDescent="0.3">
      <c r="A105" s="24">
        <v>45454.649305999999</v>
      </c>
      <c r="B105" s="21">
        <v>58.178606000000002</v>
      </c>
      <c r="C105" s="22"/>
      <c r="D105" s="23"/>
    </row>
    <row r="106" spans="1:4" x14ac:dyDescent="0.3">
      <c r="A106" s="24">
        <v>45454.65</v>
      </c>
      <c r="B106" s="21">
        <v>59.470722000000002</v>
      </c>
      <c r="C106" s="22"/>
      <c r="D106" s="23"/>
    </row>
    <row r="107" spans="1:4" x14ac:dyDescent="0.3">
      <c r="A107" s="24">
        <v>45454.650694000004</v>
      </c>
      <c r="B107" s="21">
        <v>57.399143000000002</v>
      </c>
      <c r="C107" s="22"/>
      <c r="D107" s="23"/>
    </row>
    <row r="108" spans="1:4" x14ac:dyDescent="0.3">
      <c r="A108" s="24">
        <v>45454.651388999999</v>
      </c>
      <c r="B108" s="21">
        <v>58.409450999999997</v>
      </c>
      <c r="C108" s="22"/>
      <c r="D108" s="23"/>
    </row>
    <row r="109" spans="1:4" x14ac:dyDescent="0.3">
      <c r="A109" s="24">
        <v>45454.652083000001</v>
      </c>
      <c r="B109" s="21">
        <v>58.386451000000001</v>
      </c>
      <c r="C109" s="22"/>
      <c r="D109" s="23"/>
    </row>
    <row r="110" spans="1:4" x14ac:dyDescent="0.3">
      <c r="A110" s="24">
        <v>45454.652778000003</v>
      </c>
      <c r="B110" s="21">
        <v>58.208644999999997</v>
      </c>
      <c r="C110" s="22"/>
      <c r="D110" s="23"/>
    </row>
    <row r="111" spans="1:4" x14ac:dyDescent="0.3">
      <c r="A111" s="24">
        <v>45454.653471999998</v>
      </c>
      <c r="B111" s="21">
        <v>58.740243</v>
      </c>
      <c r="C111" s="22"/>
      <c r="D111" s="23"/>
    </row>
    <row r="112" spans="1:4" x14ac:dyDescent="0.3">
      <c r="A112" s="24">
        <v>45454.654167000001</v>
      </c>
      <c r="B112" s="21">
        <v>58.622751000000001</v>
      </c>
      <c r="C112" s="22"/>
      <c r="D112" s="23"/>
    </row>
    <row r="113" spans="1:4" x14ac:dyDescent="0.3">
      <c r="A113" s="24">
        <v>45454.654861000003</v>
      </c>
      <c r="B113" s="21">
        <v>59.007447999999997</v>
      </c>
      <c r="C113" s="22"/>
      <c r="D113" s="23"/>
    </row>
    <row r="114" spans="1:4" x14ac:dyDescent="0.3">
      <c r="A114" s="24">
        <v>45454.655555999998</v>
      </c>
      <c r="B114" s="21">
        <v>58.922364999999999</v>
      </c>
      <c r="C114" s="22"/>
      <c r="D114" s="23"/>
    </row>
    <row r="115" spans="1:4" x14ac:dyDescent="0.3">
      <c r="A115" s="24">
        <v>45454.65625</v>
      </c>
      <c r="B115" s="21">
        <v>58.534717999999998</v>
      </c>
      <c r="C115" s="22"/>
      <c r="D115" s="23"/>
    </row>
    <row r="116" spans="1:4" x14ac:dyDescent="0.3">
      <c r="A116" s="24">
        <v>45454.656944000002</v>
      </c>
      <c r="B116" s="21">
        <v>58.494387000000003</v>
      </c>
      <c r="C116" s="22"/>
      <c r="D116" s="23"/>
    </row>
    <row r="117" spans="1:4" x14ac:dyDescent="0.3">
      <c r="A117" s="24">
        <v>45454.657638999997</v>
      </c>
      <c r="B117" s="21">
        <v>58.874631999999998</v>
      </c>
      <c r="C117" s="22"/>
      <c r="D117" s="23"/>
    </row>
    <row r="118" spans="1:4" x14ac:dyDescent="0.3">
      <c r="A118" s="24">
        <v>45454.658332999999</v>
      </c>
      <c r="B118" s="21">
        <v>58.726593000000001</v>
      </c>
      <c r="C118" s="22"/>
      <c r="D118" s="23"/>
    </row>
    <row r="119" spans="1:4" x14ac:dyDescent="0.3">
      <c r="A119" s="24">
        <v>45454.659028000002</v>
      </c>
      <c r="B119" s="21">
        <v>59.981350999999997</v>
      </c>
      <c r="C119" s="22"/>
      <c r="D119" s="23"/>
    </row>
    <row r="120" spans="1:4" x14ac:dyDescent="0.3">
      <c r="A120" s="24">
        <v>45454.659721999997</v>
      </c>
      <c r="B120" s="21">
        <v>58.859347999999997</v>
      </c>
      <c r="C120" s="22"/>
      <c r="D120" s="23"/>
    </row>
    <row r="121" spans="1:4" x14ac:dyDescent="0.3">
      <c r="A121" s="24">
        <v>45454.660416999999</v>
      </c>
      <c r="B121" s="21">
        <v>58.828504000000002</v>
      </c>
      <c r="C121" s="22"/>
      <c r="D121" s="23"/>
    </row>
    <row r="122" spans="1:4" x14ac:dyDescent="0.3">
      <c r="A122" s="24">
        <v>45454.661111000001</v>
      </c>
      <c r="B122" s="21">
        <v>58.608763000000003</v>
      </c>
      <c r="C122" s="22"/>
      <c r="D122" s="23"/>
    </row>
    <row r="123" spans="1:4" x14ac:dyDescent="0.3">
      <c r="A123" s="24">
        <v>45454.661805999996</v>
      </c>
      <c r="B123" s="21">
        <v>58.936773000000002</v>
      </c>
      <c r="C123" s="22"/>
      <c r="D123" s="23"/>
    </row>
    <row r="124" spans="1:4" x14ac:dyDescent="0.3">
      <c r="A124" s="24">
        <v>45454.662499999999</v>
      </c>
      <c r="B124" s="21">
        <v>59.733086999999998</v>
      </c>
      <c r="C124" s="22"/>
      <c r="D124" s="23"/>
    </row>
    <row r="125" spans="1:4" x14ac:dyDescent="0.3">
      <c r="A125" s="24">
        <v>45454.663194000001</v>
      </c>
      <c r="B125" s="21">
        <v>58.997914999999999</v>
      </c>
      <c r="C125" s="22"/>
      <c r="D125" s="23"/>
    </row>
    <row r="126" spans="1:4" x14ac:dyDescent="0.3">
      <c r="A126" s="24">
        <v>45454.663889000003</v>
      </c>
      <c r="B126" s="21">
        <v>59.521711000000003</v>
      </c>
      <c r="C126" s="22"/>
      <c r="D126" s="23"/>
    </row>
    <row r="127" spans="1:4" x14ac:dyDescent="0.3">
      <c r="A127" s="24">
        <v>45454.664582999998</v>
      </c>
      <c r="B127" s="21">
        <v>59.364277999999999</v>
      </c>
      <c r="C127" s="22"/>
      <c r="D127" s="23"/>
    </row>
    <row r="128" spans="1:4" x14ac:dyDescent="0.3">
      <c r="A128" s="24">
        <v>45454.665278</v>
      </c>
      <c r="B128" s="21">
        <v>59.181328000000001</v>
      </c>
      <c r="C128" s="22"/>
      <c r="D128" s="23"/>
    </row>
    <row r="129" spans="1:4" x14ac:dyDescent="0.3">
      <c r="A129" s="24">
        <v>45454.665972000003</v>
      </c>
      <c r="B129" s="21">
        <v>59.879381000000002</v>
      </c>
      <c r="C129" s="22"/>
      <c r="D129" s="23"/>
    </row>
    <row r="130" spans="1:4" x14ac:dyDescent="0.3">
      <c r="A130" s="24">
        <v>45454.666666999998</v>
      </c>
      <c r="B130" s="21">
        <v>59.706696000000001</v>
      </c>
      <c r="C130" s="22"/>
      <c r="D130" s="23"/>
    </row>
    <row r="131" spans="1:4" x14ac:dyDescent="0.3">
      <c r="A131" s="24">
        <v>45454.667361</v>
      </c>
      <c r="B131" s="21">
        <v>58.701371999999999</v>
      </c>
      <c r="C131" s="22"/>
      <c r="D131" s="23"/>
    </row>
    <row r="132" spans="1:4" x14ac:dyDescent="0.3">
      <c r="A132" s="24">
        <v>45454.668056000002</v>
      </c>
      <c r="B132" s="21">
        <v>59.646455000000003</v>
      </c>
      <c r="C132" s="22"/>
      <c r="D132" s="23"/>
    </row>
    <row r="133" spans="1:4" x14ac:dyDescent="0.3">
      <c r="A133" s="24">
        <v>45454.668749999997</v>
      </c>
      <c r="B133" s="21">
        <v>59.247526999999998</v>
      </c>
      <c r="C133" s="22"/>
      <c r="D133" s="23"/>
    </row>
    <row r="134" spans="1:4" x14ac:dyDescent="0.3">
      <c r="A134" s="24">
        <v>45454.669443999999</v>
      </c>
      <c r="B134" s="21">
        <v>59.658006</v>
      </c>
      <c r="C134" s="22"/>
      <c r="D134" s="23"/>
    </row>
    <row r="135" spans="1:4" x14ac:dyDescent="0.3">
      <c r="A135" s="24">
        <v>45454.670139000002</v>
      </c>
      <c r="B135" s="21">
        <v>59.821041000000001</v>
      </c>
      <c r="C135" s="22"/>
      <c r="D135" s="23"/>
    </row>
    <row r="136" spans="1:4" x14ac:dyDescent="0.3">
      <c r="A136" s="24">
        <v>45454.670832999996</v>
      </c>
      <c r="B136" s="21">
        <v>60.35615</v>
      </c>
      <c r="C136" s="22"/>
      <c r="D136" s="23"/>
    </row>
    <row r="137" spans="1:4" x14ac:dyDescent="0.3">
      <c r="A137" s="24">
        <v>45454.671527999999</v>
      </c>
      <c r="B137" s="21">
        <v>58.624459000000002</v>
      </c>
      <c r="C137" s="22"/>
      <c r="D137" s="23"/>
    </row>
    <row r="138" spans="1:4" x14ac:dyDescent="0.3">
      <c r="A138" s="24">
        <v>45454.672222000001</v>
      </c>
      <c r="B138" s="21">
        <v>59.692436999999998</v>
      </c>
      <c r="C138" s="22"/>
      <c r="D138" s="23"/>
    </row>
    <row r="139" spans="1:4" x14ac:dyDescent="0.3">
      <c r="A139" s="24">
        <v>45454.672917000004</v>
      </c>
      <c r="B139" s="21">
        <v>59.053255</v>
      </c>
      <c r="C139" s="22"/>
      <c r="D139" s="23"/>
    </row>
    <row r="140" spans="1:4" x14ac:dyDescent="0.3">
      <c r="A140" s="24">
        <v>45454.673610999998</v>
      </c>
      <c r="B140" s="21">
        <v>60.551690000000001</v>
      </c>
      <c r="C140" s="22"/>
      <c r="D140" s="23"/>
    </row>
    <row r="141" spans="1:4" x14ac:dyDescent="0.3">
      <c r="A141" s="24">
        <v>45454.674306000001</v>
      </c>
      <c r="B141" s="21">
        <v>60.177154000000002</v>
      </c>
      <c r="C141" s="22"/>
      <c r="D141" s="23"/>
    </row>
    <row r="142" spans="1:4" x14ac:dyDescent="0.3">
      <c r="A142" s="24">
        <v>45454.675000000003</v>
      </c>
      <c r="B142" s="21">
        <v>60.496879999999997</v>
      </c>
      <c r="C142" s="22"/>
      <c r="D142" s="23"/>
    </row>
    <row r="143" spans="1:4" x14ac:dyDescent="0.3">
      <c r="A143" s="24">
        <v>45454.675693999998</v>
      </c>
      <c r="B143" s="21">
        <v>60.083150000000003</v>
      </c>
      <c r="C143" s="22"/>
      <c r="D143" s="23"/>
    </row>
    <row r="144" spans="1:4" x14ac:dyDescent="0.3">
      <c r="A144" s="24">
        <v>45454.676389</v>
      </c>
      <c r="B144" s="21">
        <v>60.025064999999998</v>
      </c>
      <c r="C144" s="22"/>
      <c r="D144" s="23"/>
    </row>
    <row r="145" spans="1:4" x14ac:dyDescent="0.3">
      <c r="A145" s="24">
        <v>45454.677083000002</v>
      </c>
      <c r="B145" s="21">
        <v>59.568683999999998</v>
      </c>
      <c r="C145" s="22"/>
      <c r="D145" s="23"/>
    </row>
    <row r="146" spans="1:4" x14ac:dyDescent="0.3">
      <c r="A146" s="24">
        <v>45454.677777999997</v>
      </c>
      <c r="B146" s="21">
        <v>59.226726999999997</v>
      </c>
      <c r="C146" s="22"/>
      <c r="D146" s="23"/>
    </row>
    <row r="147" spans="1:4" x14ac:dyDescent="0.3">
      <c r="A147" s="24">
        <v>45454.678472</v>
      </c>
      <c r="B147" s="21">
        <v>59.296615000000003</v>
      </c>
      <c r="C147" s="22"/>
      <c r="D147" s="23"/>
    </row>
    <row r="148" spans="1:4" x14ac:dyDescent="0.3">
      <c r="A148" s="24">
        <v>45454.679167000002</v>
      </c>
      <c r="B148" s="21">
        <v>59.521991</v>
      </c>
      <c r="C148" s="22"/>
      <c r="D148" s="23"/>
    </row>
    <row r="149" spans="1:4" x14ac:dyDescent="0.3">
      <c r="A149" s="24">
        <v>45454.679860999997</v>
      </c>
      <c r="B149" s="21">
        <v>59.667478000000003</v>
      </c>
      <c r="C149" s="22"/>
      <c r="D149" s="23"/>
    </row>
    <row r="150" spans="1:4" x14ac:dyDescent="0.3">
      <c r="A150" s="24">
        <v>45454.680555999999</v>
      </c>
      <c r="B150" s="21">
        <v>60.187001000000002</v>
      </c>
      <c r="C150" s="22"/>
      <c r="D150" s="23"/>
    </row>
    <row r="151" spans="1:4" x14ac:dyDescent="0.3">
      <c r="A151" s="24">
        <v>45454.681250000001</v>
      </c>
      <c r="B151" s="21">
        <v>60.084609999999998</v>
      </c>
      <c r="C151" s="22"/>
      <c r="D151" s="23"/>
    </row>
    <row r="152" spans="1:4" x14ac:dyDescent="0.3">
      <c r="A152" s="24">
        <v>45454.681944000004</v>
      </c>
      <c r="B152" s="21">
        <v>60.465449999999997</v>
      </c>
      <c r="C152" s="22"/>
      <c r="D152" s="23"/>
    </row>
    <row r="153" spans="1:4" x14ac:dyDescent="0.3">
      <c r="A153" s="24">
        <v>45454.682638999999</v>
      </c>
      <c r="B153" s="21">
        <v>60.192011999999998</v>
      </c>
      <c r="C153" s="22"/>
      <c r="D153" s="23"/>
    </row>
    <row r="154" spans="1:4" x14ac:dyDescent="0.3">
      <c r="A154" s="24">
        <v>45454.683333000001</v>
      </c>
      <c r="B154" s="21">
        <v>60.651429</v>
      </c>
      <c r="C154" s="22"/>
      <c r="D154" s="23"/>
    </row>
    <row r="155" spans="1:4" x14ac:dyDescent="0.3">
      <c r="A155" s="24">
        <v>45454.684028000003</v>
      </c>
      <c r="B155" s="21">
        <v>60.336168000000001</v>
      </c>
      <c r="C155" s="22"/>
      <c r="D155" s="23"/>
    </row>
    <row r="156" spans="1:4" x14ac:dyDescent="0.3">
      <c r="A156" s="24">
        <v>45454.684721999998</v>
      </c>
      <c r="B156" s="21">
        <v>61.435077999999997</v>
      </c>
      <c r="C156" s="22"/>
      <c r="D156" s="23"/>
    </row>
    <row r="157" spans="1:4" x14ac:dyDescent="0.3">
      <c r="A157" s="24">
        <v>45454.685417000001</v>
      </c>
      <c r="B157" s="21">
        <v>60.701957999999998</v>
      </c>
      <c r="C157" s="22"/>
      <c r="D157" s="23"/>
    </row>
    <row r="158" spans="1:4" x14ac:dyDescent="0.3">
      <c r="A158" s="24">
        <v>45454.686111000003</v>
      </c>
      <c r="B158" s="21">
        <v>60.358452</v>
      </c>
      <c r="C158" s="22"/>
      <c r="D158" s="23"/>
    </row>
    <row r="159" spans="1:4" x14ac:dyDescent="0.3">
      <c r="A159" s="24">
        <v>45454.686805999998</v>
      </c>
      <c r="B159" s="21">
        <v>60.663156999999998</v>
      </c>
      <c r="C159" s="22"/>
      <c r="D159" s="23"/>
    </row>
    <row r="160" spans="1:4" x14ac:dyDescent="0.3">
      <c r="A160" s="24">
        <v>45454.6875</v>
      </c>
      <c r="B160" s="21">
        <v>59.984616000000003</v>
      </c>
      <c r="C160" s="22"/>
      <c r="D160" s="23"/>
    </row>
    <row r="161" spans="1:4" x14ac:dyDescent="0.3">
      <c r="A161" s="24">
        <v>45454.688194000002</v>
      </c>
      <c r="B161" s="21">
        <v>60.492567000000001</v>
      </c>
      <c r="C161" s="22"/>
      <c r="D161" s="23"/>
    </row>
    <row r="162" spans="1:4" x14ac:dyDescent="0.3">
      <c r="A162" s="24">
        <v>45454.688888999997</v>
      </c>
      <c r="B162" s="21">
        <v>60.687567000000001</v>
      </c>
      <c r="C162" s="22"/>
      <c r="D162" s="23"/>
    </row>
    <row r="163" spans="1:4" x14ac:dyDescent="0.3">
      <c r="A163" s="24">
        <v>45454.689582999999</v>
      </c>
      <c r="B163" s="21">
        <v>60.369289000000002</v>
      </c>
      <c r="C163" s="22"/>
      <c r="D163" s="23"/>
    </row>
    <row r="164" spans="1:4" x14ac:dyDescent="0.3">
      <c r="A164" s="24">
        <v>45454.690278000002</v>
      </c>
      <c r="B164" s="21">
        <v>60.668849999999999</v>
      </c>
      <c r="C164" s="22"/>
      <c r="D164" s="23"/>
    </row>
    <row r="165" spans="1:4" x14ac:dyDescent="0.3">
      <c r="A165" s="24">
        <v>45454.690971999997</v>
      </c>
      <c r="B165" s="21">
        <v>60.757989999999999</v>
      </c>
      <c r="C165" s="22"/>
      <c r="D165" s="23"/>
    </row>
    <row r="166" spans="1:4" x14ac:dyDescent="0.3">
      <c r="A166" s="24">
        <v>45454.691666999999</v>
      </c>
      <c r="B166" s="21">
        <v>60.099240999999999</v>
      </c>
      <c r="C166" s="22"/>
      <c r="D166" s="23"/>
    </row>
    <row r="167" spans="1:4" x14ac:dyDescent="0.3">
      <c r="A167" s="24">
        <v>45454.692361000001</v>
      </c>
      <c r="B167" s="21">
        <v>60.038651999999999</v>
      </c>
      <c r="C167" s="22"/>
      <c r="D167" s="23"/>
    </row>
    <row r="168" spans="1:4" x14ac:dyDescent="0.3">
      <c r="A168" s="24">
        <v>45454.693055999996</v>
      </c>
      <c r="B168" s="21">
        <v>60.918588999999997</v>
      </c>
      <c r="C168" s="22"/>
      <c r="D168" s="23"/>
    </row>
    <row r="169" spans="1:4" x14ac:dyDescent="0.3">
      <c r="A169" s="24">
        <v>45454.693749999999</v>
      </c>
      <c r="B169" s="21">
        <v>60.314166999999998</v>
      </c>
      <c r="C169" s="22"/>
      <c r="D169" s="23"/>
    </row>
    <row r="170" spans="1:4" x14ac:dyDescent="0.3">
      <c r="A170" s="24">
        <v>45454.694444000001</v>
      </c>
      <c r="B170" s="21">
        <v>60.508785000000003</v>
      </c>
      <c r="C170" s="22"/>
      <c r="D170" s="23"/>
    </row>
    <row r="171" spans="1:4" x14ac:dyDescent="0.3">
      <c r="A171" s="24">
        <v>45454.695139000003</v>
      </c>
      <c r="B171" s="21">
        <v>61.058580999999997</v>
      </c>
      <c r="C171" s="22"/>
      <c r="D171" s="23"/>
    </row>
    <row r="172" spans="1:4" x14ac:dyDescent="0.3">
      <c r="A172" s="24">
        <v>45454.695832999998</v>
      </c>
      <c r="B172" s="21">
        <v>61.602868000000001</v>
      </c>
      <c r="C172" s="22"/>
      <c r="D172" s="23"/>
    </row>
    <row r="173" spans="1:4" x14ac:dyDescent="0.3">
      <c r="A173" s="24">
        <v>45454.696528</v>
      </c>
      <c r="B173" s="21">
        <v>60.962448999999999</v>
      </c>
      <c r="C173" s="22"/>
      <c r="D173" s="23"/>
    </row>
    <row r="174" spans="1:4" x14ac:dyDescent="0.3">
      <c r="A174" s="24">
        <v>45454.697222000003</v>
      </c>
      <c r="B174" s="21">
        <v>61.214984000000001</v>
      </c>
      <c r="C174" s="22"/>
      <c r="D174" s="23"/>
    </row>
    <row r="175" spans="1:4" x14ac:dyDescent="0.3">
      <c r="A175" s="24">
        <v>45454.697916999998</v>
      </c>
      <c r="B175" s="21">
        <v>60.090910999999998</v>
      </c>
      <c r="C175" s="22"/>
      <c r="D175" s="23"/>
    </row>
    <row r="176" spans="1:4" x14ac:dyDescent="0.3">
      <c r="A176" s="24">
        <v>45454.698611</v>
      </c>
      <c r="B176" s="21">
        <v>61.135675999999997</v>
      </c>
      <c r="C176" s="22"/>
      <c r="D176" s="23"/>
    </row>
    <row r="177" spans="1:4" x14ac:dyDescent="0.3">
      <c r="A177" s="24">
        <v>45454.699306000002</v>
      </c>
      <c r="B177" s="21">
        <v>60.588687</v>
      </c>
      <c r="C177" s="22"/>
      <c r="D177" s="23"/>
    </row>
    <row r="178" spans="1:4" x14ac:dyDescent="0.3">
      <c r="A178" s="24">
        <v>45454.7</v>
      </c>
      <c r="B178" s="21">
        <v>60.743380000000002</v>
      </c>
      <c r="C178" s="22"/>
      <c r="D178" s="23"/>
    </row>
    <row r="179" spans="1:4" x14ac:dyDescent="0.3">
      <c r="A179" s="24">
        <v>45454.700693999999</v>
      </c>
      <c r="B179" s="21">
        <v>60.973520999999998</v>
      </c>
      <c r="C179" s="22"/>
      <c r="D179" s="23"/>
    </row>
    <row r="180" spans="1:4" x14ac:dyDescent="0.3">
      <c r="A180" s="24">
        <v>45454.701389000002</v>
      </c>
      <c r="B180" s="21">
        <v>60.301653999999999</v>
      </c>
      <c r="C180" s="22"/>
      <c r="D180" s="23"/>
    </row>
    <row r="181" spans="1:4" x14ac:dyDescent="0.3">
      <c r="A181" s="24">
        <v>45454.702082999996</v>
      </c>
      <c r="B181" s="21">
        <v>60.772483000000001</v>
      </c>
      <c r="C181" s="22"/>
      <c r="D181" s="23"/>
    </row>
    <row r="182" spans="1:4" x14ac:dyDescent="0.3">
      <c r="A182" s="24">
        <v>45454.702777999999</v>
      </c>
      <c r="B182" s="21">
        <v>60.751700999999997</v>
      </c>
      <c r="C182" s="22"/>
      <c r="D182" s="23"/>
    </row>
    <row r="183" spans="1:4" x14ac:dyDescent="0.3">
      <c r="A183" s="24">
        <v>45454.703472000001</v>
      </c>
      <c r="B183" s="21">
        <v>60.986001999999999</v>
      </c>
      <c r="C183" s="22"/>
      <c r="D183" s="23"/>
    </row>
    <row r="184" spans="1:4" x14ac:dyDescent="0.3">
      <c r="A184" s="24">
        <v>45454.704167000004</v>
      </c>
      <c r="B184" s="21">
        <v>60.520983000000001</v>
      </c>
      <c r="C184" s="22"/>
      <c r="D184" s="23"/>
    </row>
    <row r="185" spans="1:4" x14ac:dyDescent="0.3">
      <c r="A185" s="24">
        <v>45454.704860999998</v>
      </c>
      <c r="B185" s="21">
        <v>60.478293000000001</v>
      </c>
      <c r="C185" s="22"/>
      <c r="D185" s="23"/>
    </row>
    <row r="186" spans="1:4" x14ac:dyDescent="0.3">
      <c r="A186" s="24">
        <v>45454.705556000001</v>
      </c>
      <c r="B186" s="21">
        <v>61.107377999999997</v>
      </c>
      <c r="C186" s="22"/>
      <c r="D186" s="23"/>
    </row>
    <row r="187" spans="1:4" x14ac:dyDescent="0.3">
      <c r="A187" s="24">
        <v>45454.706250000003</v>
      </c>
      <c r="B187" s="21">
        <v>61.252184</v>
      </c>
      <c r="C187" s="22"/>
      <c r="D187" s="23"/>
    </row>
    <row r="188" spans="1:4" x14ac:dyDescent="0.3">
      <c r="A188" s="24">
        <v>45454.706943999998</v>
      </c>
      <c r="B188" s="21">
        <v>60.971769000000002</v>
      </c>
      <c r="C188" s="22"/>
      <c r="D188" s="23"/>
    </row>
    <row r="189" spans="1:4" x14ac:dyDescent="0.3">
      <c r="A189" s="24">
        <v>45454.707639</v>
      </c>
      <c r="B189" s="21">
        <v>60.531353000000003</v>
      </c>
      <c r="C189" s="22"/>
      <c r="D189" s="23"/>
    </row>
    <row r="190" spans="1:4" x14ac:dyDescent="0.3">
      <c r="A190" s="24">
        <v>45454.708333000002</v>
      </c>
      <c r="B190" s="21">
        <v>61.479556000000002</v>
      </c>
      <c r="C190" s="22"/>
      <c r="D190" s="23"/>
    </row>
    <row r="191" spans="1:4" x14ac:dyDescent="0.3">
      <c r="A191" s="24">
        <v>45454.709027999997</v>
      </c>
      <c r="B191" s="21">
        <v>61.074660999999999</v>
      </c>
      <c r="C191" s="22"/>
      <c r="D191" s="23"/>
    </row>
    <row r="192" spans="1:4" x14ac:dyDescent="0.3">
      <c r="A192" s="24">
        <v>45454.709722</v>
      </c>
      <c r="B192" s="21">
        <v>61.163094999999998</v>
      </c>
      <c r="C192" s="22"/>
      <c r="D192" s="23"/>
    </row>
    <row r="193" spans="1:4" x14ac:dyDescent="0.3">
      <c r="A193" s="24">
        <v>45454.710417000002</v>
      </c>
      <c r="B193" s="21">
        <v>60.990068000000001</v>
      </c>
      <c r="C193" s="22"/>
      <c r="D193" s="23"/>
    </row>
    <row r="194" spans="1:4" x14ac:dyDescent="0.3">
      <c r="A194" s="24">
        <v>45454.711110999997</v>
      </c>
      <c r="B194" s="21">
        <v>61.604407000000002</v>
      </c>
      <c r="C194" s="22"/>
      <c r="D194" s="23"/>
    </row>
    <row r="195" spans="1:4" x14ac:dyDescent="0.3">
      <c r="A195" s="24">
        <v>45454.711805999999</v>
      </c>
      <c r="B195" s="21">
        <v>61.534700999999998</v>
      </c>
      <c r="C195" s="22"/>
      <c r="D195" s="23"/>
    </row>
    <row r="196" spans="1:4" x14ac:dyDescent="0.3">
      <c r="A196" s="24">
        <v>45454.712500000001</v>
      </c>
      <c r="B196" s="21">
        <v>61.496977000000001</v>
      </c>
      <c r="C196" s="22"/>
      <c r="D196" s="23"/>
    </row>
    <row r="197" spans="1:4" x14ac:dyDescent="0.3">
      <c r="A197" s="24">
        <v>45454.713194000004</v>
      </c>
      <c r="B197" s="21">
        <v>61.021585999999999</v>
      </c>
      <c r="C197" s="22"/>
      <c r="D197" s="23"/>
    </row>
    <row r="198" spans="1:4" x14ac:dyDescent="0.3">
      <c r="A198" s="24">
        <v>45454.713888999999</v>
      </c>
      <c r="B198" s="21">
        <v>61.315984999999998</v>
      </c>
      <c r="C198" s="22"/>
      <c r="D198" s="23"/>
    </row>
    <row r="199" spans="1:4" x14ac:dyDescent="0.3">
      <c r="A199" s="24">
        <v>45454.714583000001</v>
      </c>
      <c r="B199" s="21">
        <v>60.789876999999997</v>
      </c>
      <c r="C199" s="22"/>
      <c r="D199" s="23"/>
    </row>
    <row r="200" spans="1:4" x14ac:dyDescent="0.3">
      <c r="A200" s="24">
        <v>45454.715278000003</v>
      </c>
      <c r="B200" s="21">
        <v>61.309901000000004</v>
      </c>
      <c r="C200" s="22"/>
      <c r="D200" s="23"/>
    </row>
    <row r="201" spans="1:4" x14ac:dyDescent="0.3">
      <c r="A201" s="24">
        <v>45454.715971999998</v>
      </c>
      <c r="B201" s="21">
        <v>60.850279999999998</v>
      </c>
      <c r="C201" s="22"/>
      <c r="D201" s="23"/>
    </row>
    <row r="202" spans="1:4" x14ac:dyDescent="0.3">
      <c r="A202" s="24">
        <v>45454.716667000001</v>
      </c>
      <c r="B202" s="21">
        <v>61.94961</v>
      </c>
      <c r="C202" s="22"/>
      <c r="D202" s="23"/>
    </row>
    <row r="203" spans="1:4" x14ac:dyDescent="0.3">
      <c r="A203" s="24">
        <v>45454.717361000003</v>
      </c>
      <c r="B203" s="21">
        <v>61.264218999999997</v>
      </c>
      <c r="C203" s="22"/>
      <c r="D203" s="23"/>
    </row>
    <row r="204" spans="1:4" x14ac:dyDescent="0.3">
      <c r="A204" s="24">
        <v>45454.718055999998</v>
      </c>
      <c r="B204" s="21">
        <v>61.410612</v>
      </c>
      <c r="C204" s="22"/>
      <c r="D204" s="23"/>
    </row>
    <row r="205" spans="1:4" x14ac:dyDescent="0.3">
      <c r="A205" s="24">
        <v>45454.71875</v>
      </c>
      <c r="B205" s="21">
        <v>61.261724000000001</v>
      </c>
      <c r="C205" s="22"/>
      <c r="D205" s="23"/>
    </row>
    <row r="206" spans="1:4" x14ac:dyDescent="0.3">
      <c r="A206" s="24">
        <v>45454.719444000002</v>
      </c>
      <c r="B206" s="21">
        <v>60.671793000000001</v>
      </c>
      <c r="C206" s="22"/>
      <c r="D206" s="23"/>
    </row>
    <row r="207" spans="1:4" x14ac:dyDescent="0.3">
      <c r="A207" s="24">
        <v>45454.720138999997</v>
      </c>
      <c r="B207" s="21">
        <v>61.186816999999998</v>
      </c>
      <c r="C207" s="22"/>
      <c r="D207" s="23"/>
    </row>
    <row r="208" spans="1:4" x14ac:dyDescent="0.3">
      <c r="A208" s="24">
        <v>45454.720832999999</v>
      </c>
      <c r="B208" s="21">
        <v>60.809787999999998</v>
      </c>
      <c r="C208" s="22"/>
      <c r="D208" s="23"/>
    </row>
    <row r="209" spans="1:4" x14ac:dyDescent="0.3">
      <c r="A209" s="24">
        <v>45454.721528000002</v>
      </c>
      <c r="B209" s="21">
        <v>60.447040999999999</v>
      </c>
      <c r="C209" s="22"/>
      <c r="D209" s="23"/>
    </row>
    <row r="210" spans="1:4" x14ac:dyDescent="0.3">
      <c r="A210" s="24">
        <v>45454.722221999997</v>
      </c>
      <c r="B210" s="21">
        <v>61.438184</v>
      </c>
      <c r="C210" s="22"/>
      <c r="D210" s="23"/>
    </row>
    <row r="211" spans="1:4" x14ac:dyDescent="0.3">
      <c r="A211" s="24">
        <v>45454.722916999999</v>
      </c>
      <c r="B211" s="21">
        <v>60.894277000000002</v>
      </c>
      <c r="C211" s="22"/>
      <c r="D211" s="23"/>
    </row>
    <row r="212" spans="1:4" x14ac:dyDescent="0.3">
      <c r="A212" s="24">
        <v>45454.723611000001</v>
      </c>
      <c r="B212" s="21">
        <v>61.006292000000002</v>
      </c>
      <c r="C212" s="22"/>
      <c r="D212" s="23"/>
    </row>
    <row r="213" spans="1:4" x14ac:dyDescent="0.3">
      <c r="A213" s="24">
        <v>45454.724305999996</v>
      </c>
      <c r="B213" s="21">
        <v>60.556103</v>
      </c>
      <c r="C213" s="22"/>
      <c r="D213" s="23"/>
    </row>
    <row r="214" spans="1:4" x14ac:dyDescent="0.3">
      <c r="A214" s="24">
        <v>45454.724999999999</v>
      </c>
      <c r="B214" s="21">
        <v>61.00553</v>
      </c>
      <c r="C214" s="22"/>
      <c r="D214" s="23"/>
    </row>
    <row r="215" spans="1:4" x14ac:dyDescent="0.3">
      <c r="A215" s="24">
        <v>45454.725694000001</v>
      </c>
      <c r="B215" s="21">
        <v>60.977469999999997</v>
      </c>
      <c r="C215" s="22"/>
      <c r="D215" s="23"/>
    </row>
    <row r="216" spans="1:4" x14ac:dyDescent="0.3">
      <c r="A216" s="24">
        <v>45454.726389000003</v>
      </c>
      <c r="B216" s="21">
        <v>61.148035999999998</v>
      </c>
      <c r="C216" s="22"/>
      <c r="D216" s="23"/>
    </row>
    <row r="217" spans="1:4" x14ac:dyDescent="0.3">
      <c r="A217" s="24">
        <v>45454.727082999998</v>
      </c>
      <c r="B217" s="21">
        <v>61.539819000000001</v>
      </c>
      <c r="C217" s="22"/>
      <c r="D217" s="23"/>
    </row>
    <row r="218" spans="1:4" x14ac:dyDescent="0.3">
      <c r="A218" s="24">
        <v>45454.727778</v>
      </c>
      <c r="B218" s="21">
        <v>60.630012000000001</v>
      </c>
      <c r="C218" s="22"/>
      <c r="D218" s="23"/>
    </row>
    <row r="219" spans="1:4" x14ac:dyDescent="0.3">
      <c r="A219" s="24">
        <v>45454.728472000003</v>
      </c>
      <c r="B219" s="21">
        <v>60.529693000000002</v>
      </c>
      <c r="C219" s="22"/>
      <c r="D219" s="23"/>
    </row>
    <row r="220" spans="1:4" x14ac:dyDescent="0.3">
      <c r="A220" s="24">
        <v>45454.729166999998</v>
      </c>
      <c r="B220" s="21">
        <v>60.889403999999999</v>
      </c>
      <c r="C220" s="22"/>
      <c r="D220" s="23"/>
    </row>
    <row r="221" spans="1:4" x14ac:dyDescent="0.3">
      <c r="A221" s="24">
        <v>45454.729861</v>
      </c>
      <c r="B221" s="21">
        <v>61.586801000000001</v>
      </c>
      <c r="C221" s="22"/>
      <c r="D221" s="23"/>
    </row>
    <row r="222" spans="1:4" x14ac:dyDescent="0.3">
      <c r="A222" s="24">
        <v>45454.730556000002</v>
      </c>
      <c r="B222" s="21">
        <v>60.832171000000002</v>
      </c>
      <c r="C222" s="22"/>
      <c r="D222" s="23"/>
    </row>
    <row r="223" spans="1:4" x14ac:dyDescent="0.3">
      <c r="A223" s="24">
        <v>45454.731249999997</v>
      </c>
      <c r="B223" s="21">
        <v>60.657051000000003</v>
      </c>
      <c r="C223" s="22"/>
      <c r="D223" s="23"/>
    </row>
    <row r="224" spans="1:4" x14ac:dyDescent="0.3">
      <c r="A224" s="24">
        <v>45454.731943999999</v>
      </c>
      <c r="B224" s="21">
        <v>61.183079999999997</v>
      </c>
      <c r="C224" s="22"/>
      <c r="D224" s="23"/>
    </row>
    <row r="225" spans="1:4" x14ac:dyDescent="0.3">
      <c r="A225" s="24">
        <v>45454.732639000002</v>
      </c>
      <c r="B225" s="21">
        <v>61.761001999999998</v>
      </c>
      <c r="C225" s="22"/>
      <c r="D225" s="23"/>
    </row>
    <row r="226" spans="1:4" x14ac:dyDescent="0.3">
      <c r="A226" s="24">
        <v>45454.733332999996</v>
      </c>
      <c r="B226" s="21">
        <v>60.743372000000001</v>
      </c>
      <c r="C226" s="22"/>
      <c r="D226" s="23"/>
    </row>
    <row r="227" spans="1:4" x14ac:dyDescent="0.3">
      <c r="A227" s="24">
        <v>45454.734027999999</v>
      </c>
      <c r="B227" s="21">
        <v>61.373491000000001</v>
      </c>
      <c r="C227" s="22"/>
      <c r="D227" s="23"/>
    </row>
    <row r="228" spans="1:4" x14ac:dyDescent="0.3">
      <c r="A228" s="24">
        <v>45454.734722000001</v>
      </c>
      <c r="B228" s="21">
        <v>61.499035999999997</v>
      </c>
      <c r="C228" s="22"/>
      <c r="D228" s="23"/>
    </row>
    <row r="229" spans="1:4" x14ac:dyDescent="0.3">
      <c r="A229" s="24">
        <v>45454.735417000004</v>
      </c>
      <c r="B229" s="21">
        <v>60.821072999999998</v>
      </c>
      <c r="C229" s="22"/>
      <c r="D229" s="23"/>
    </row>
    <row r="230" spans="1:4" x14ac:dyDescent="0.3">
      <c r="A230" s="24">
        <v>45454.736110999998</v>
      </c>
      <c r="B230" s="21">
        <v>61.056686999999997</v>
      </c>
      <c r="C230" s="22"/>
      <c r="D230" s="23"/>
    </row>
    <row r="231" spans="1:4" x14ac:dyDescent="0.3">
      <c r="A231" s="24">
        <v>45454.736806000001</v>
      </c>
      <c r="B231" s="21">
        <v>61.001179</v>
      </c>
      <c r="C231" s="22"/>
      <c r="D231" s="23"/>
    </row>
    <row r="232" spans="1:4" x14ac:dyDescent="0.3">
      <c r="A232" s="24">
        <v>45454.737500000003</v>
      </c>
      <c r="B232" s="21">
        <v>60.995311999999998</v>
      </c>
      <c r="C232" s="22"/>
      <c r="D232" s="23"/>
    </row>
    <row r="233" spans="1:4" x14ac:dyDescent="0.3">
      <c r="A233" s="24">
        <v>45454.738193999998</v>
      </c>
      <c r="B233" s="21">
        <v>61.891962999999997</v>
      </c>
      <c r="C233" s="22"/>
      <c r="D233" s="23"/>
    </row>
    <row r="234" spans="1:4" x14ac:dyDescent="0.3">
      <c r="A234" s="24">
        <v>45454.738889</v>
      </c>
      <c r="B234" s="21">
        <v>61.084321000000003</v>
      </c>
      <c r="C234" s="22"/>
      <c r="D234" s="23"/>
    </row>
    <row r="235" spans="1:4" x14ac:dyDescent="0.3">
      <c r="A235" s="24">
        <v>45454.739583000002</v>
      </c>
      <c r="B235" s="21">
        <v>61.459780000000002</v>
      </c>
      <c r="C235" s="22"/>
      <c r="D235" s="23"/>
    </row>
    <row r="236" spans="1:4" x14ac:dyDescent="0.3">
      <c r="A236" s="24">
        <v>45454.740277999997</v>
      </c>
      <c r="B236" s="21">
        <v>60.977888</v>
      </c>
      <c r="C236" s="22"/>
      <c r="D236" s="23"/>
    </row>
    <row r="237" spans="1:4" x14ac:dyDescent="0.3">
      <c r="A237" s="24">
        <v>45454.740972</v>
      </c>
      <c r="B237" s="21">
        <v>61.593584</v>
      </c>
      <c r="C237" s="22"/>
      <c r="D237" s="23"/>
    </row>
    <row r="238" spans="1:4" x14ac:dyDescent="0.3">
      <c r="A238" s="24">
        <v>45454.741667000002</v>
      </c>
      <c r="B238" s="21">
        <v>60.634782000000001</v>
      </c>
      <c r="C238" s="22"/>
      <c r="D238" s="23"/>
    </row>
    <row r="239" spans="1:4" x14ac:dyDescent="0.3">
      <c r="A239" s="24">
        <v>45454.742360999997</v>
      </c>
      <c r="B239" s="21">
        <v>60.989395999999999</v>
      </c>
      <c r="C239" s="22"/>
      <c r="D239" s="23"/>
    </row>
    <row r="240" spans="1:4" x14ac:dyDescent="0.3">
      <c r="A240" s="24">
        <v>45454.743055999999</v>
      </c>
      <c r="B240" s="21">
        <v>61.239742999999997</v>
      </c>
      <c r="C240" s="22"/>
      <c r="D240" s="23"/>
    </row>
    <row r="241" spans="1:4" x14ac:dyDescent="0.3">
      <c r="A241" s="24">
        <v>45454.743750000001</v>
      </c>
      <c r="B241" s="21">
        <v>60.380642999999999</v>
      </c>
      <c r="C241" s="22"/>
      <c r="D241" s="23"/>
    </row>
    <row r="242" spans="1:4" x14ac:dyDescent="0.3">
      <c r="A242" s="24">
        <v>45454.744444000004</v>
      </c>
      <c r="B242" s="21">
        <v>61.040433</v>
      </c>
      <c r="C242" s="22"/>
      <c r="D242" s="23"/>
    </row>
    <row r="243" spans="1:4" x14ac:dyDescent="0.3">
      <c r="A243" s="24">
        <v>45454.745138999999</v>
      </c>
      <c r="B243" s="21">
        <v>61.324857000000002</v>
      </c>
      <c r="C243" s="22"/>
      <c r="D243" s="23"/>
    </row>
    <row r="244" spans="1:4" x14ac:dyDescent="0.3">
      <c r="A244" s="24">
        <v>45454.745833000001</v>
      </c>
      <c r="B244" s="21">
        <v>60.907763000000003</v>
      </c>
      <c r="C244" s="22"/>
      <c r="D244" s="23"/>
    </row>
    <row r="245" spans="1:4" x14ac:dyDescent="0.3">
      <c r="A245" s="24">
        <v>45454.746528000003</v>
      </c>
      <c r="B245" s="21">
        <v>60.917740999999999</v>
      </c>
      <c r="C245" s="22"/>
      <c r="D245" s="23"/>
    </row>
    <row r="246" spans="1:4" x14ac:dyDescent="0.3">
      <c r="A246" s="24">
        <v>45454.747221999998</v>
      </c>
      <c r="B246" s="21">
        <v>60.886977999999999</v>
      </c>
      <c r="C246" s="22"/>
      <c r="D246" s="23"/>
    </row>
    <row r="247" spans="1:4" x14ac:dyDescent="0.3">
      <c r="A247" s="24">
        <v>45454.747917000001</v>
      </c>
      <c r="B247" s="21">
        <v>61.044763000000003</v>
      </c>
      <c r="C247" s="22"/>
      <c r="D247" s="23"/>
    </row>
    <row r="248" spans="1:4" x14ac:dyDescent="0.3">
      <c r="A248" s="24">
        <v>45454.748611000003</v>
      </c>
      <c r="B248" s="21">
        <v>61.449992999999999</v>
      </c>
      <c r="C248" s="22"/>
      <c r="D248" s="23"/>
    </row>
    <row r="249" spans="1:4" x14ac:dyDescent="0.3">
      <c r="A249" s="24">
        <v>45454.749305999998</v>
      </c>
      <c r="B249" s="21">
        <v>60.774996999999999</v>
      </c>
      <c r="C249" s="22"/>
      <c r="D249" s="23"/>
    </row>
    <row r="250" spans="1:4" x14ac:dyDescent="0.3">
      <c r="A250" s="24">
        <v>45454.75</v>
      </c>
      <c r="B250" s="21">
        <v>61.69191</v>
      </c>
      <c r="C250" s="22"/>
      <c r="D250" s="23"/>
    </row>
    <row r="251" spans="1:4" x14ac:dyDescent="0.3">
      <c r="A251" s="24">
        <v>45454.750694000002</v>
      </c>
      <c r="B251" s="21">
        <v>61.473778000000003</v>
      </c>
      <c r="C251" s="22"/>
      <c r="D251" s="23"/>
    </row>
    <row r="252" spans="1:4" x14ac:dyDescent="0.3">
      <c r="A252" s="24">
        <v>45454.751388999997</v>
      </c>
      <c r="B252" s="21">
        <v>61.094279</v>
      </c>
      <c r="C252" s="22"/>
      <c r="D252" s="23"/>
    </row>
    <row r="253" spans="1:4" x14ac:dyDescent="0.3">
      <c r="A253" s="24">
        <v>45454.752082999999</v>
      </c>
      <c r="B253" s="21">
        <v>61.650277000000003</v>
      </c>
      <c r="C253" s="22"/>
      <c r="D253" s="23"/>
    </row>
    <row r="254" spans="1:4" x14ac:dyDescent="0.3">
      <c r="A254" s="24">
        <v>45454.752778000002</v>
      </c>
      <c r="B254" s="21">
        <v>60.434564999999999</v>
      </c>
      <c r="C254" s="22"/>
      <c r="D254" s="23"/>
    </row>
    <row r="255" spans="1:4" x14ac:dyDescent="0.3">
      <c r="A255" s="24">
        <v>45454.753471999997</v>
      </c>
      <c r="B255" s="21">
        <v>60.972099</v>
      </c>
      <c r="C255" s="22"/>
      <c r="D255" s="23"/>
    </row>
    <row r="256" spans="1:4" x14ac:dyDescent="0.3">
      <c r="A256" s="24">
        <v>45454.754166999999</v>
      </c>
      <c r="B256" s="21">
        <v>60.896199000000003</v>
      </c>
      <c r="C256" s="22"/>
      <c r="D256" s="23"/>
    </row>
    <row r="257" spans="1:4" x14ac:dyDescent="0.3">
      <c r="A257" s="24">
        <v>45454.754861000001</v>
      </c>
      <c r="B257" s="21">
        <v>61.395797000000002</v>
      </c>
      <c r="C257" s="22"/>
      <c r="D257" s="23"/>
    </row>
    <row r="258" spans="1:4" x14ac:dyDescent="0.3">
      <c r="A258" s="24">
        <v>45454.755555999996</v>
      </c>
      <c r="B258" s="21">
        <v>61.433923999999998</v>
      </c>
      <c r="C258" s="22"/>
      <c r="D258" s="23"/>
    </row>
    <row r="259" spans="1:4" x14ac:dyDescent="0.3">
      <c r="A259" s="24">
        <v>45454.756249999999</v>
      </c>
      <c r="B259" s="21">
        <v>61.449486999999998</v>
      </c>
      <c r="C259" s="22"/>
      <c r="D259" s="23"/>
    </row>
    <row r="260" spans="1:4" x14ac:dyDescent="0.3">
      <c r="A260" s="24">
        <v>45454.756944000001</v>
      </c>
      <c r="B260" s="21">
        <v>61.856808000000001</v>
      </c>
      <c r="C260" s="22"/>
      <c r="D260" s="23"/>
    </row>
    <row r="261" spans="1:4" x14ac:dyDescent="0.3">
      <c r="A261" s="24">
        <v>45454.757639000003</v>
      </c>
      <c r="B261" s="21">
        <v>61.800904000000003</v>
      </c>
      <c r="C261" s="22"/>
      <c r="D261" s="23"/>
    </row>
    <row r="262" spans="1:4" x14ac:dyDescent="0.3">
      <c r="A262" s="24">
        <v>45454.758332999998</v>
      </c>
      <c r="B262" s="21">
        <v>61.193517</v>
      </c>
      <c r="C262" s="22"/>
      <c r="D262" s="23"/>
    </row>
    <row r="263" spans="1:4" x14ac:dyDescent="0.3">
      <c r="A263" s="24">
        <v>45454.759028</v>
      </c>
      <c r="B263" s="21">
        <v>60.920738</v>
      </c>
      <c r="C263" s="22"/>
      <c r="D263" s="23"/>
    </row>
    <row r="264" spans="1:4" x14ac:dyDescent="0.3">
      <c r="A264" s="24">
        <v>45454.759722000003</v>
      </c>
      <c r="B264" s="21">
        <v>61.534883999999998</v>
      </c>
      <c r="C264" s="22"/>
      <c r="D264" s="23"/>
    </row>
    <row r="265" spans="1:4" x14ac:dyDescent="0.3">
      <c r="A265" s="24">
        <v>45454.760416999998</v>
      </c>
      <c r="B265" s="21">
        <v>61.681949000000003</v>
      </c>
      <c r="C265" s="22"/>
      <c r="D265" s="23"/>
    </row>
    <row r="266" spans="1:4" x14ac:dyDescent="0.3">
      <c r="A266" s="24">
        <v>45454.761111</v>
      </c>
      <c r="B266" s="21">
        <v>61.992919999999998</v>
      </c>
      <c r="C266" s="22"/>
      <c r="D266" s="23"/>
    </row>
    <row r="267" spans="1:4" x14ac:dyDescent="0.3">
      <c r="A267" s="24">
        <v>45454.761806000002</v>
      </c>
      <c r="B267" s="21">
        <v>61.648977000000002</v>
      </c>
      <c r="C267" s="22"/>
      <c r="D267" s="23"/>
    </row>
    <row r="268" spans="1:4" x14ac:dyDescent="0.3">
      <c r="A268" s="24">
        <v>45454.762499999997</v>
      </c>
      <c r="B268" s="21">
        <v>62.247084999999998</v>
      </c>
      <c r="C268" s="22"/>
      <c r="D268" s="23"/>
    </row>
    <row r="269" spans="1:4" x14ac:dyDescent="0.3">
      <c r="A269" s="24">
        <v>45454.763193999999</v>
      </c>
      <c r="B269" s="21">
        <v>61.93544</v>
      </c>
      <c r="C269" s="22"/>
      <c r="D269" s="23"/>
    </row>
    <row r="270" spans="1:4" x14ac:dyDescent="0.3">
      <c r="A270" s="24">
        <v>45454.763889000002</v>
      </c>
      <c r="B270" s="21">
        <v>60.781115999999997</v>
      </c>
      <c r="C270" s="22"/>
      <c r="D270" s="23"/>
    </row>
    <row r="271" spans="1:4" x14ac:dyDescent="0.3">
      <c r="A271" s="24">
        <v>45454.764582999996</v>
      </c>
      <c r="B271" s="21">
        <v>61.445286000000003</v>
      </c>
      <c r="C271" s="22"/>
      <c r="D271" s="23"/>
    </row>
    <row r="272" spans="1:4" x14ac:dyDescent="0.3">
      <c r="A272" s="24">
        <v>45454.765277999999</v>
      </c>
      <c r="B272" s="21">
        <v>62.371580000000002</v>
      </c>
      <c r="C272" s="22"/>
      <c r="D272" s="23"/>
    </row>
    <row r="273" spans="1:4" x14ac:dyDescent="0.3">
      <c r="A273" s="24">
        <v>45454.765972000001</v>
      </c>
      <c r="B273" s="21">
        <v>61.757370000000002</v>
      </c>
      <c r="C273" s="22"/>
      <c r="D273" s="23"/>
    </row>
    <row r="274" spans="1:4" x14ac:dyDescent="0.3">
      <c r="A274" s="24">
        <v>45454.766667000004</v>
      </c>
      <c r="B274" s="21">
        <v>61.847006</v>
      </c>
      <c r="C274" s="22"/>
      <c r="D274" s="23"/>
    </row>
    <row r="275" spans="1:4" x14ac:dyDescent="0.3">
      <c r="A275" s="24">
        <v>45454.767360999998</v>
      </c>
      <c r="B275" s="21">
        <v>62.196849999999998</v>
      </c>
      <c r="C275" s="22"/>
      <c r="D275" s="23"/>
    </row>
    <row r="276" spans="1:4" x14ac:dyDescent="0.3">
      <c r="A276" s="24">
        <v>45454.768056000001</v>
      </c>
      <c r="B276" s="21">
        <v>61.709383000000003</v>
      </c>
      <c r="C276" s="22"/>
      <c r="D276" s="23"/>
    </row>
    <row r="277" spans="1:4" x14ac:dyDescent="0.3">
      <c r="A277" s="24">
        <v>45454.768750000003</v>
      </c>
      <c r="B277" s="21">
        <v>61.947637</v>
      </c>
      <c r="C277" s="22"/>
      <c r="D277" s="23"/>
    </row>
    <row r="278" spans="1:4" x14ac:dyDescent="0.3">
      <c r="A278" s="24">
        <v>45454.769443999998</v>
      </c>
      <c r="B278" s="21">
        <v>62.685108999999997</v>
      </c>
      <c r="C278" s="22"/>
      <c r="D278" s="23"/>
    </row>
    <row r="279" spans="1:4" x14ac:dyDescent="0.3">
      <c r="A279" s="24">
        <v>45454.770139</v>
      </c>
      <c r="B279" s="21">
        <v>61.680475999999999</v>
      </c>
      <c r="C279" s="22"/>
      <c r="D279" s="23"/>
    </row>
    <row r="280" spans="1:4" x14ac:dyDescent="0.3">
      <c r="A280" s="24">
        <v>45454.770833000002</v>
      </c>
      <c r="B280" s="21">
        <v>61.521566999999997</v>
      </c>
      <c r="C280" s="22"/>
      <c r="D280" s="23"/>
    </row>
    <row r="281" spans="1:4" x14ac:dyDescent="0.3">
      <c r="A281" s="24">
        <v>45454.771527999997</v>
      </c>
      <c r="B281" s="21">
        <v>62.166463</v>
      </c>
      <c r="C281" s="22"/>
      <c r="D281" s="23"/>
    </row>
    <row r="282" spans="1:4" x14ac:dyDescent="0.3">
      <c r="A282" s="24">
        <v>45454.772222</v>
      </c>
      <c r="B282" s="21">
        <v>62.175241</v>
      </c>
      <c r="C282" s="22"/>
      <c r="D282" s="23"/>
    </row>
    <row r="283" spans="1:4" x14ac:dyDescent="0.3">
      <c r="A283" s="24">
        <v>45454.772917000002</v>
      </c>
      <c r="B283" s="21">
        <v>61.829085999999997</v>
      </c>
      <c r="C283" s="22"/>
      <c r="D283" s="23"/>
    </row>
    <row r="284" spans="1:4" x14ac:dyDescent="0.3">
      <c r="A284" s="24">
        <v>45454.773610999997</v>
      </c>
      <c r="B284" s="21">
        <v>61.359611999999998</v>
      </c>
      <c r="C284" s="22"/>
      <c r="D284" s="23"/>
    </row>
    <row r="285" spans="1:4" x14ac:dyDescent="0.3">
      <c r="A285" s="24">
        <v>45454.774305999999</v>
      </c>
      <c r="B285" s="21">
        <v>61.744442999999997</v>
      </c>
      <c r="C285" s="22"/>
      <c r="D285" s="23"/>
    </row>
    <row r="286" spans="1:4" x14ac:dyDescent="0.3">
      <c r="A286" s="24">
        <v>45454.775000000001</v>
      </c>
      <c r="B286" s="21">
        <v>61.440325999999999</v>
      </c>
      <c r="C286" s="22"/>
      <c r="D286" s="23"/>
    </row>
    <row r="287" spans="1:4" x14ac:dyDescent="0.3">
      <c r="A287" s="24">
        <v>45454.775694000004</v>
      </c>
      <c r="B287" s="21">
        <v>61.105755000000002</v>
      </c>
      <c r="C287" s="22"/>
      <c r="D287" s="23"/>
    </row>
    <row r="288" spans="1:4" x14ac:dyDescent="0.3">
      <c r="A288" s="24">
        <v>45454.776388999999</v>
      </c>
      <c r="B288" s="21">
        <v>61.457900000000002</v>
      </c>
      <c r="C288" s="22"/>
      <c r="D288" s="23"/>
    </row>
    <row r="289" spans="1:4" x14ac:dyDescent="0.3">
      <c r="A289" s="24">
        <v>45454.777083000001</v>
      </c>
      <c r="B289" s="21">
        <v>62.297401000000001</v>
      </c>
      <c r="C289" s="22"/>
      <c r="D289" s="23"/>
    </row>
    <row r="290" spans="1:4" x14ac:dyDescent="0.3">
      <c r="A290" s="24">
        <v>45454.777778000003</v>
      </c>
      <c r="B290" s="21">
        <v>61.935834</v>
      </c>
      <c r="C290" s="22"/>
      <c r="D290" s="23"/>
    </row>
    <row r="291" spans="1:4" x14ac:dyDescent="0.3">
      <c r="A291" s="24">
        <v>45454.778471999998</v>
      </c>
      <c r="B291" s="21">
        <v>62.243594999999999</v>
      </c>
      <c r="C291" s="22"/>
      <c r="D291" s="23"/>
    </row>
    <row r="292" spans="1:4" x14ac:dyDescent="0.3">
      <c r="A292" s="24">
        <v>45454.779167000001</v>
      </c>
      <c r="B292" s="21">
        <v>62.268694000000004</v>
      </c>
      <c r="C292" s="22"/>
      <c r="D292" s="23"/>
    </row>
    <row r="293" spans="1:4" x14ac:dyDescent="0.3">
      <c r="A293" s="24">
        <v>45454.779861000003</v>
      </c>
      <c r="B293" s="21">
        <v>61.538029999999999</v>
      </c>
      <c r="C293" s="22"/>
      <c r="D293" s="23"/>
    </row>
    <row r="294" spans="1:4" x14ac:dyDescent="0.3">
      <c r="A294" s="24">
        <v>45454.780555999998</v>
      </c>
      <c r="B294" s="21">
        <v>61.799266000000003</v>
      </c>
      <c r="C294" s="22"/>
      <c r="D294" s="23"/>
    </row>
    <row r="295" spans="1:4" x14ac:dyDescent="0.3">
      <c r="A295" s="24">
        <v>45454.78125</v>
      </c>
      <c r="B295" s="21">
        <v>62.225701999999998</v>
      </c>
      <c r="C295" s="22"/>
      <c r="D295" s="23"/>
    </row>
    <row r="296" spans="1:4" x14ac:dyDescent="0.3">
      <c r="A296" s="24">
        <v>45454.781944000002</v>
      </c>
      <c r="B296" s="21">
        <v>61.146248</v>
      </c>
      <c r="C296" s="22"/>
      <c r="D296" s="23"/>
    </row>
    <row r="297" spans="1:4" x14ac:dyDescent="0.3">
      <c r="A297" s="24">
        <v>45454.782638999997</v>
      </c>
      <c r="B297" s="21">
        <v>61.604711999999999</v>
      </c>
      <c r="C297" s="22"/>
      <c r="D297" s="23"/>
    </row>
    <row r="298" spans="1:4" x14ac:dyDescent="0.3">
      <c r="A298" s="24">
        <v>45454.783332999999</v>
      </c>
      <c r="B298" s="21">
        <v>62.051164</v>
      </c>
      <c r="C298" s="22"/>
      <c r="D298" s="23"/>
    </row>
    <row r="299" spans="1:4" x14ac:dyDescent="0.3">
      <c r="A299" s="24">
        <v>45454.784028000002</v>
      </c>
      <c r="B299" s="21">
        <v>61.340034000000003</v>
      </c>
      <c r="C299" s="22"/>
      <c r="D299" s="23"/>
    </row>
    <row r="300" spans="1:4" x14ac:dyDescent="0.3">
      <c r="A300" s="24">
        <v>45454.784721999997</v>
      </c>
      <c r="B300" s="21">
        <v>61.887940999999998</v>
      </c>
      <c r="C300" s="22"/>
      <c r="D300" s="23"/>
    </row>
    <row r="301" spans="1:4" x14ac:dyDescent="0.3">
      <c r="A301" s="24">
        <v>45454.785416999999</v>
      </c>
      <c r="B301" s="21">
        <v>61.383671</v>
      </c>
      <c r="C301" s="22"/>
      <c r="D301" s="23"/>
    </row>
    <row r="302" spans="1:4" x14ac:dyDescent="0.3">
      <c r="A302" s="24">
        <v>45454.786111000001</v>
      </c>
      <c r="B302" s="21">
        <v>61.442383999999997</v>
      </c>
      <c r="C302" s="22"/>
      <c r="D302" s="23"/>
    </row>
    <row r="303" spans="1:4" x14ac:dyDescent="0.3">
      <c r="A303" s="24">
        <v>45454.786805999996</v>
      </c>
      <c r="B303" s="21">
        <v>61.440278999999997</v>
      </c>
      <c r="C303" s="22"/>
      <c r="D303" s="23"/>
    </row>
    <row r="304" spans="1:4" x14ac:dyDescent="0.3">
      <c r="A304" s="24">
        <v>45454.787499999999</v>
      </c>
      <c r="B304" s="21">
        <v>61.564673999999997</v>
      </c>
      <c r="C304" s="22"/>
      <c r="D304" s="23"/>
    </row>
    <row r="305" spans="1:4" x14ac:dyDescent="0.3">
      <c r="A305" s="24">
        <v>45454.788194000001</v>
      </c>
      <c r="B305" s="21">
        <v>60.60425</v>
      </c>
      <c r="C305" s="22"/>
      <c r="D305" s="23"/>
    </row>
    <row r="306" spans="1:4" x14ac:dyDescent="0.3">
      <c r="A306" s="24">
        <v>45454.788889000003</v>
      </c>
      <c r="B306" s="21">
        <v>61.724316000000002</v>
      </c>
      <c r="C306" s="22"/>
      <c r="D306" s="23"/>
    </row>
    <row r="307" spans="1:4" x14ac:dyDescent="0.3">
      <c r="A307" s="24">
        <v>45454.789582999998</v>
      </c>
      <c r="B307" s="21">
        <v>61.109565000000003</v>
      </c>
      <c r="C307" s="22"/>
      <c r="D307" s="23"/>
    </row>
    <row r="308" spans="1:4" x14ac:dyDescent="0.3">
      <c r="A308" s="24">
        <v>45454.790278</v>
      </c>
      <c r="B308" s="21">
        <v>61.874567999999996</v>
      </c>
      <c r="C308" s="22"/>
      <c r="D308" s="23"/>
    </row>
    <row r="309" spans="1:4" x14ac:dyDescent="0.3">
      <c r="A309" s="24">
        <v>45454.790972000003</v>
      </c>
      <c r="B309" s="21">
        <v>61.918436999999997</v>
      </c>
      <c r="C309" s="22"/>
      <c r="D309" s="23"/>
    </row>
    <row r="310" spans="1:4" x14ac:dyDescent="0.3">
      <c r="A310" s="24">
        <v>45454.791666999998</v>
      </c>
      <c r="B310" s="21">
        <v>61.962083</v>
      </c>
      <c r="C310" s="22"/>
      <c r="D310" s="23"/>
    </row>
    <row r="311" spans="1:4" x14ac:dyDescent="0.3">
      <c r="A311" s="24">
        <v>45454.792361</v>
      </c>
      <c r="B311" s="21">
        <v>61.832833000000001</v>
      </c>
      <c r="C311" s="22"/>
      <c r="D311" s="23"/>
    </row>
    <row r="312" spans="1:4" x14ac:dyDescent="0.3">
      <c r="A312" s="24">
        <v>45454.793056000002</v>
      </c>
      <c r="B312" s="21">
        <v>61.559640999999999</v>
      </c>
      <c r="C312" s="22"/>
      <c r="D312" s="23"/>
    </row>
    <row r="313" spans="1:4" x14ac:dyDescent="0.3">
      <c r="A313" s="24">
        <v>45454.793749999997</v>
      </c>
      <c r="B313" s="21">
        <v>62.233047999999997</v>
      </c>
      <c r="C313" s="22"/>
      <c r="D313" s="23"/>
    </row>
    <row r="314" spans="1:4" x14ac:dyDescent="0.3">
      <c r="A314" s="24">
        <v>45454.794443999999</v>
      </c>
      <c r="B314" s="21">
        <v>61.222641000000003</v>
      </c>
      <c r="C314" s="22"/>
      <c r="D314" s="23"/>
    </row>
    <row r="315" spans="1:4" x14ac:dyDescent="0.3">
      <c r="A315" s="24">
        <v>45454.795139000002</v>
      </c>
      <c r="B315" s="21">
        <v>61.421894000000002</v>
      </c>
      <c r="C315" s="22"/>
      <c r="D315" s="23"/>
    </row>
    <row r="316" spans="1:4" x14ac:dyDescent="0.3">
      <c r="A316" s="24">
        <v>45454.795832999996</v>
      </c>
      <c r="B316" s="21">
        <v>62.160015999999999</v>
      </c>
      <c r="C316" s="22"/>
      <c r="D316" s="23"/>
    </row>
    <row r="317" spans="1:4" x14ac:dyDescent="0.3">
      <c r="A317" s="24">
        <v>45454.796527999999</v>
      </c>
      <c r="B317" s="21">
        <v>61.545549000000001</v>
      </c>
      <c r="C317" s="22"/>
      <c r="D317" s="23"/>
    </row>
    <row r="318" spans="1:4" x14ac:dyDescent="0.3">
      <c r="A318" s="24">
        <v>45454.797222000001</v>
      </c>
      <c r="B318" s="21">
        <v>62.130307999999999</v>
      </c>
      <c r="C318" s="22"/>
      <c r="D318" s="23"/>
    </row>
    <row r="319" spans="1:4" x14ac:dyDescent="0.3">
      <c r="A319" s="24">
        <v>45454.797917000004</v>
      </c>
      <c r="B319" s="21">
        <v>62.152357000000002</v>
      </c>
      <c r="C319" s="22"/>
      <c r="D319" s="23"/>
    </row>
    <row r="320" spans="1:4" x14ac:dyDescent="0.3">
      <c r="A320" s="24">
        <v>45454.798610999998</v>
      </c>
      <c r="B320" s="21">
        <v>61.407355000000003</v>
      </c>
      <c r="C320" s="22"/>
      <c r="D320" s="23"/>
    </row>
    <row r="321" spans="1:4" x14ac:dyDescent="0.3">
      <c r="A321" s="24">
        <v>45454.799306000001</v>
      </c>
      <c r="B321" s="21">
        <v>62.258223000000001</v>
      </c>
      <c r="C321" s="22"/>
      <c r="D321" s="23"/>
    </row>
    <row r="322" spans="1:4" x14ac:dyDescent="0.3">
      <c r="A322" s="24">
        <v>45454.8</v>
      </c>
      <c r="B322" s="21">
        <v>61.538493000000003</v>
      </c>
      <c r="C322" s="22"/>
      <c r="D322" s="23"/>
    </row>
    <row r="323" spans="1:4" x14ac:dyDescent="0.3">
      <c r="A323" s="24">
        <v>45454.800693999998</v>
      </c>
      <c r="B323" s="21">
        <v>61.470128000000003</v>
      </c>
      <c r="C323" s="22"/>
      <c r="D323" s="23"/>
    </row>
    <row r="324" spans="1:4" x14ac:dyDescent="0.3">
      <c r="A324" s="24">
        <v>45454.801389</v>
      </c>
      <c r="B324" s="21">
        <v>61.170428999999999</v>
      </c>
      <c r="C324" s="22"/>
      <c r="D324" s="23"/>
    </row>
    <row r="325" spans="1:4" x14ac:dyDescent="0.3">
      <c r="A325" s="24">
        <v>45454.802083000002</v>
      </c>
      <c r="B325" s="21">
        <v>61.673375999999998</v>
      </c>
      <c r="C325" s="22"/>
      <c r="D325" s="23"/>
    </row>
    <row r="326" spans="1:4" x14ac:dyDescent="0.3">
      <c r="A326" s="24">
        <v>45454.802777999997</v>
      </c>
      <c r="B326" s="21">
        <v>61.232303000000002</v>
      </c>
      <c r="C326" s="22"/>
      <c r="D326" s="23"/>
    </row>
    <row r="327" spans="1:4" x14ac:dyDescent="0.3">
      <c r="A327" s="24">
        <v>45454.803472</v>
      </c>
      <c r="B327" s="21">
        <v>61.269784999999999</v>
      </c>
      <c r="C327" s="22"/>
      <c r="D327" s="23"/>
    </row>
    <row r="328" spans="1:4" x14ac:dyDescent="0.3">
      <c r="A328" s="24">
        <v>45454.804167000002</v>
      </c>
      <c r="B328" s="21">
        <v>61.215485999999999</v>
      </c>
      <c r="C328" s="22"/>
      <c r="D328" s="23"/>
    </row>
    <row r="329" spans="1:4" x14ac:dyDescent="0.3">
      <c r="A329" s="24">
        <v>45454.804860999997</v>
      </c>
      <c r="B329" s="21">
        <v>61.661054999999998</v>
      </c>
      <c r="C329" s="22"/>
      <c r="D329" s="23"/>
    </row>
    <row r="330" spans="1:4" x14ac:dyDescent="0.3">
      <c r="A330" s="24">
        <v>45454.805555999999</v>
      </c>
      <c r="B330" s="21">
        <v>61.311480000000003</v>
      </c>
      <c r="C330" s="22"/>
      <c r="D330" s="23"/>
    </row>
    <row r="331" spans="1:4" x14ac:dyDescent="0.3">
      <c r="A331" s="24">
        <v>45454.806250000001</v>
      </c>
      <c r="B331" s="21">
        <v>62.159964000000002</v>
      </c>
      <c r="C331" s="22"/>
      <c r="D331" s="23"/>
    </row>
    <row r="332" spans="1:4" x14ac:dyDescent="0.3">
      <c r="A332" s="24">
        <v>45454.806944000004</v>
      </c>
      <c r="B332" s="21">
        <v>60.947342999999996</v>
      </c>
      <c r="C332" s="22"/>
      <c r="D332" s="23"/>
    </row>
    <row r="333" spans="1:4" x14ac:dyDescent="0.3">
      <c r="A333" s="24">
        <v>45454.807638999999</v>
      </c>
      <c r="B333" s="21">
        <v>61.419581999999998</v>
      </c>
      <c r="C333" s="22"/>
      <c r="D333" s="23"/>
    </row>
    <row r="334" spans="1:4" x14ac:dyDescent="0.3">
      <c r="A334" s="24">
        <v>45454.808333000001</v>
      </c>
      <c r="B334" s="21">
        <v>62.747459999999997</v>
      </c>
      <c r="C334" s="22"/>
      <c r="D334" s="23"/>
    </row>
    <row r="335" spans="1:4" x14ac:dyDescent="0.3">
      <c r="A335" s="24">
        <v>45454.809028000003</v>
      </c>
      <c r="B335" s="21">
        <v>61.175747999999999</v>
      </c>
      <c r="C335" s="22"/>
      <c r="D335" s="23"/>
    </row>
    <row r="336" spans="1:4" x14ac:dyDescent="0.3">
      <c r="A336" s="24">
        <v>45454.809721999998</v>
      </c>
      <c r="B336" s="21">
        <v>61.024456000000001</v>
      </c>
      <c r="C336" s="22"/>
      <c r="D336" s="23"/>
    </row>
    <row r="337" spans="1:4" x14ac:dyDescent="0.3">
      <c r="A337" s="24">
        <v>45454.810417000001</v>
      </c>
      <c r="B337" s="21">
        <v>61.558501999999997</v>
      </c>
      <c r="C337" s="22"/>
      <c r="D337" s="23"/>
    </row>
    <row r="338" spans="1:4" x14ac:dyDescent="0.3">
      <c r="A338" s="24">
        <v>45454.811111000003</v>
      </c>
      <c r="B338" s="21">
        <v>61.551465</v>
      </c>
      <c r="C338" s="22"/>
      <c r="D338" s="23"/>
    </row>
    <row r="339" spans="1:4" x14ac:dyDescent="0.3">
      <c r="A339" s="24">
        <v>45454.811805999998</v>
      </c>
      <c r="B339" s="21">
        <v>61.750931000000001</v>
      </c>
      <c r="C339" s="22"/>
      <c r="D339" s="23"/>
    </row>
    <row r="340" spans="1:4" x14ac:dyDescent="0.3">
      <c r="A340" s="24">
        <v>45454.8125</v>
      </c>
      <c r="B340" s="21">
        <v>61.175437000000002</v>
      </c>
      <c r="C340" s="22"/>
      <c r="D340" s="23"/>
    </row>
    <row r="341" spans="1:4" x14ac:dyDescent="0.3">
      <c r="A341" s="24">
        <v>45454.813194000002</v>
      </c>
      <c r="B341" s="21">
        <v>61.520468999999999</v>
      </c>
      <c r="C341" s="22"/>
      <c r="D341" s="23"/>
    </row>
    <row r="342" spans="1:4" x14ac:dyDescent="0.3">
      <c r="A342" s="24">
        <v>45454.813888999997</v>
      </c>
      <c r="B342" s="21">
        <v>61.553600000000003</v>
      </c>
      <c r="C342" s="22"/>
      <c r="D342" s="23"/>
    </row>
    <row r="343" spans="1:4" x14ac:dyDescent="0.3">
      <c r="A343" s="24">
        <v>45454.814582999999</v>
      </c>
      <c r="B343" s="21">
        <v>61.453577000000003</v>
      </c>
      <c r="C343" s="22"/>
      <c r="D343" s="23"/>
    </row>
    <row r="344" spans="1:4" x14ac:dyDescent="0.3">
      <c r="A344" s="24">
        <v>45454.815278000002</v>
      </c>
      <c r="B344" s="21">
        <v>61.253304</v>
      </c>
      <c r="C344" s="22"/>
      <c r="D344" s="23"/>
    </row>
    <row r="345" spans="1:4" x14ac:dyDescent="0.3">
      <c r="A345" s="24">
        <v>45454.815971999997</v>
      </c>
      <c r="B345" s="21">
        <v>61.769964000000002</v>
      </c>
      <c r="C345" s="22"/>
      <c r="D345" s="23"/>
    </row>
    <row r="346" spans="1:4" x14ac:dyDescent="0.3">
      <c r="A346" s="24">
        <v>45454.816666999999</v>
      </c>
      <c r="B346" s="21">
        <v>61.722583</v>
      </c>
      <c r="C346" s="22"/>
      <c r="D346" s="23"/>
    </row>
    <row r="347" spans="1:4" x14ac:dyDescent="0.3">
      <c r="A347" s="24">
        <v>45454.817361000001</v>
      </c>
      <c r="B347" s="21">
        <v>61.409381000000003</v>
      </c>
      <c r="C347" s="22"/>
      <c r="D347" s="23"/>
    </row>
    <row r="348" spans="1:4" x14ac:dyDescent="0.3">
      <c r="A348" s="24">
        <v>45454.818055999996</v>
      </c>
      <c r="B348" s="21">
        <v>62.041119999999999</v>
      </c>
      <c r="C348" s="22"/>
      <c r="D348" s="23"/>
    </row>
    <row r="349" spans="1:4" x14ac:dyDescent="0.3">
      <c r="A349" s="24">
        <v>45454.818749999999</v>
      </c>
      <c r="B349" s="21">
        <v>61.828980000000001</v>
      </c>
      <c r="C349" s="22"/>
      <c r="D349" s="23"/>
    </row>
    <row r="350" spans="1:4" x14ac:dyDescent="0.3">
      <c r="A350" s="24">
        <v>45454.819444000001</v>
      </c>
      <c r="B350" s="21">
        <v>61.380060999999998</v>
      </c>
      <c r="C350" s="22"/>
      <c r="D350" s="23"/>
    </row>
    <row r="351" spans="1:4" x14ac:dyDescent="0.3">
      <c r="A351" s="24">
        <v>45454.820139000003</v>
      </c>
      <c r="B351" s="21">
        <v>61.079650000000001</v>
      </c>
      <c r="C351" s="22"/>
      <c r="D351" s="23"/>
    </row>
    <row r="352" spans="1:4" x14ac:dyDescent="0.3">
      <c r="A352" s="24">
        <v>45454.820832999998</v>
      </c>
      <c r="B352" s="21">
        <v>61.075577000000003</v>
      </c>
      <c r="C352" s="22"/>
      <c r="D352" s="23"/>
    </row>
    <row r="353" spans="1:4" x14ac:dyDescent="0.3">
      <c r="A353" s="24">
        <v>45454.821528</v>
      </c>
      <c r="B353" s="21">
        <v>60.900168000000001</v>
      </c>
      <c r="C353" s="22"/>
      <c r="D353" s="23"/>
    </row>
    <row r="354" spans="1:4" x14ac:dyDescent="0.3">
      <c r="A354" s="24">
        <v>45454.822222000003</v>
      </c>
      <c r="B354" s="21">
        <v>60.967272000000001</v>
      </c>
      <c r="C354" s="22"/>
      <c r="D354" s="23"/>
    </row>
    <row r="355" spans="1:4" x14ac:dyDescent="0.3">
      <c r="A355" s="24">
        <v>45454.822916999998</v>
      </c>
      <c r="B355" s="21">
        <v>60.854256999999997</v>
      </c>
      <c r="C355" s="22"/>
      <c r="D355" s="23"/>
    </row>
    <row r="356" spans="1:4" x14ac:dyDescent="0.3">
      <c r="A356" s="24">
        <v>45454.823611</v>
      </c>
      <c r="B356" s="21">
        <v>61.735011999999998</v>
      </c>
      <c r="C356" s="22"/>
      <c r="D356" s="23"/>
    </row>
    <row r="357" spans="1:4" x14ac:dyDescent="0.3">
      <c r="A357" s="24">
        <v>45454.824306000002</v>
      </c>
      <c r="B357" s="21">
        <v>61.407732000000003</v>
      </c>
      <c r="C357" s="22"/>
      <c r="D357" s="23"/>
    </row>
    <row r="358" spans="1:4" x14ac:dyDescent="0.3">
      <c r="A358" s="24">
        <v>45454.824999999997</v>
      </c>
      <c r="B358" s="21">
        <v>61.442821000000002</v>
      </c>
      <c r="C358" s="22"/>
      <c r="D358" s="23"/>
    </row>
    <row r="359" spans="1:4" x14ac:dyDescent="0.3">
      <c r="A359" s="24">
        <v>45454.825693999999</v>
      </c>
      <c r="B359" s="21">
        <v>61.615181999999997</v>
      </c>
      <c r="C359" s="22"/>
      <c r="D359" s="23"/>
    </row>
    <row r="360" spans="1:4" x14ac:dyDescent="0.3">
      <c r="A360" s="24">
        <v>45454.826389000002</v>
      </c>
      <c r="B360" s="21">
        <v>61.475223999999997</v>
      </c>
      <c r="C360" s="22"/>
      <c r="D360" s="23"/>
    </row>
    <row r="361" spans="1:4" x14ac:dyDescent="0.3">
      <c r="A361" s="24">
        <v>45454.827082999996</v>
      </c>
      <c r="B361" s="21">
        <v>61.410845000000002</v>
      </c>
      <c r="C361" s="22"/>
      <c r="D361" s="23"/>
    </row>
    <row r="362" spans="1:4" x14ac:dyDescent="0.3">
      <c r="A362" s="24">
        <v>45454.827777999999</v>
      </c>
      <c r="B362" s="21">
        <v>61.168348000000002</v>
      </c>
      <c r="C362" s="22"/>
      <c r="D362" s="23"/>
    </row>
    <row r="363" spans="1:4" x14ac:dyDescent="0.3">
      <c r="A363" s="24">
        <v>45454.828472000001</v>
      </c>
      <c r="B363" s="21">
        <v>61.219811</v>
      </c>
      <c r="C363" s="22"/>
      <c r="D363" s="23"/>
    </row>
    <row r="364" spans="1:4" x14ac:dyDescent="0.3">
      <c r="A364" s="24">
        <v>45454.829167000004</v>
      </c>
      <c r="B364" s="21">
        <v>60.485748000000001</v>
      </c>
      <c r="C364" s="22"/>
      <c r="D364" s="23"/>
    </row>
    <row r="365" spans="1:4" x14ac:dyDescent="0.3">
      <c r="A365" s="24">
        <v>45454.829860999998</v>
      </c>
      <c r="B365" s="21">
        <v>61.474556999999997</v>
      </c>
      <c r="C365" s="22"/>
      <c r="D365" s="23"/>
    </row>
    <row r="366" spans="1:4" x14ac:dyDescent="0.3">
      <c r="A366" s="24">
        <v>45454.830556000001</v>
      </c>
      <c r="B366" s="21">
        <v>61.038254999999999</v>
      </c>
      <c r="C366" s="22"/>
      <c r="D366" s="23"/>
    </row>
    <row r="367" spans="1:4" x14ac:dyDescent="0.3">
      <c r="A367" s="24">
        <v>45454.831250000003</v>
      </c>
      <c r="B367" s="21">
        <v>61.103575999999997</v>
      </c>
      <c r="C367" s="22"/>
      <c r="D367" s="23"/>
    </row>
    <row r="368" spans="1:4" x14ac:dyDescent="0.3">
      <c r="A368" s="24">
        <v>45454.831943999998</v>
      </c>
      <c r="B368" s="21">
        <v>60.666474000000001</v>
      </c>
      <c r="C368" s="22"/>
      <c r="D368" s="23"/>
    </row>
    <row r="369" spans="1:4" x14ac:dyDescent="0.3">
      <c r="A369" s="24">
        <v>45454.832639</v>
      </c>
      <c r="B369" s="21">
        <v>61.453189999999999</v>
      </c>
      <c r="C369" s="22"/>
      <c r="D369" s="23"/>
    </row>
    <row r="370" spans="1:4" x14ac:dyDescent="0.3">
      <c r="A370" s="24">
        <v>45454.833333000002</v>
      </c>
      <c r="B370" s="21">
        <v>61.746729999999999</v>
      </c>
      <c r="C370" s="22"/>
      <c r="D370" s="23"/>
    </row>
    <row r="371" spans="1:4" x14ac:dyDescent="0.3">
      <c r="A371" s="24">
        <v>45454.834027999997</v>
      </c>
      <c r="B371" s="21">
        <v>61.038649999999997</v>
      </c>
      <c r="C371" s="22"/>
      <c r="D371" s="23"/>
    </row>
    <row r="372" spans="1:4" x14ac:dyDescent="0.3">
      <c r="A372" s="24">
        <v>45454.834722</v>
      </c>
      <c r="B372" s="21">
        <v>61.595103000000002</v>
      </c>
      <c r="C372" s="22"/>
      <c r="D372" s="23"/>
    </row>
    <row r="373" spans="1:4" x14ac:dyDescent="0.3">
      <c r="A373" s="24">
        <v>45454.835417000002</v>
      </c>
      <c r="B373" s="21">
        <v>61.019336000000003</v>
      </c>
      <c r="C373" s="22"/>
      <c r="D373" s="23"/>
    </row>
    <row r="374" spans="1:4" x14ac:dyDescent="0.3">
      <c r="A374" s="24">
        <v>45454.836110999997</v>
      </c>
      <c r="B374" s="21">
        <v>61.973041000000002</v>
      </c>
      <c r="C374" s="22"/>
      <c r="D374" s="23"/>
    </row>
    <row r="375" spans="1:4" x14ac:dyDescent="0.3">
      <c r="A375" s="24">
        <v>45454.836805999999</v>
      </c>
      <c r="B375" s="21">
        <v>61.570377000000001</v>
      </c>
      <c r="C375" s="22"/>
      <c r="D375" s="23"/>
    </row>
    <row r="376" spans="1:4" x14ac:dyDescent="0.3">
      <c r="A376" s="24">
        <v>45454.837500000001</v>
      </c>
      <c r="B376" s="21">
        <v>61.557706000000003</v>
      </c>
      <c r="C376" s="22"/>
      <c r="D376" s="23"/>
    </row>
    <row r="377" spans="1:4" x14ac:dyDescent="0.3">
      <c r="A377" s="24">
        <v>45454.838194000004</v>
      </c>
      <c r="B377" s="21">
        <v>61.941802000000003</v>
      </c>
      <c r="C377" s="22"/>
      <c r="D377" s="23"/>
    </row>
    <row r="378" spans="1:4" x14ac:dyDescent="0.3">
      <c r="A378" s="24">
        <v>45454.838888999999</v>
      </c>
      <c r="B378" s="21">
        <v>61.692653</v>
      </c>
      <c r="C378" s="22"/>
      <c r="D378" s="23"/>
    </row>
    <row r="379" spans="1:4" x14ac:dyDescent="0.3">
      <c r="A379" s="24">
        <v>45454.839583000001</v>
      </c>
      <c r="B379" s="21">
        <v>61.964190000000002</v>
      </c>
      <c r="C379" s="22"/>
      <c r="D379" s="23"/>
    </row>
    <row r="380" spans="1:4" x14ac:dyDescent="0.3">
      <c r="A380" s="24">
        <v>45454.840278000003</v>
      </c>
      <c r="B380" s="21">
        <v>61.502260999999997</v>
      </c>
      <c r="C380" s="22"/>
      <c r="D380" s="23"/>
    </row>
    <row r="381" spans="1:4" x14ac:dyDescent="0.3">
      <c r="A381" s="24">
        <v>45454.840971999998</v>
      </c>
      <c r="B381" s="21">
        <v>62.050342000000001</v>
      </c>
      <c r="C381" s="22"/>
      <c r="D381" s="23"/>
    </row>
    <row r="382" spans="1:4" x14ac:dyDescent="0.3">
      <c r="A382" s="24">
        <v>45454.841667000001</v>
      </c>
      <c r="B382" s="21">
        <v>63.268391000000001</v>
      </c>
      <c r="C382" s="22"/>
      <c r="D382" s="23"/>
    </row>
    <row r="383" spans="1:4" x14ac:dyDescent="0.3">
      <c r="A383" s="24">
        <v>45454.842361000003</v>
      </c>
      <c r="B383" s="21">
        <v>62.175041</v>
      </c>
      <c r="C383" s="22"/>
      <c r="D383" s="23"/>
    </row>
    <row r="384" spans="1:4" x14ac:dyDescent="0.3">
      <c r="A384" s="24">
        <v>45454.843055999998</v>
      </c>
      <c r="B384" s="21">
        <v>62.525874999999999</v>
      </c>
      <c r="C384" s="22"/>
      <c r="D384" s="23"/>
    </row>
    <row r="385" spans="1:4" x14ac:dyDescent="0.3">
      <c r="A385" s="24">
        <v>45454.84375</v>
      </c>
      <c r="B385" s="21">
        <v>62.238778000000003</v>
      </c>
      <c r="C385" s="22"/>
      <c r="D385" s="23"/>
    </row>
    <row r="386" spans="1:4" x14ac:dyDescent="0.3">
      <c r="A386" s="24">
        <v>45454.844444000002</v>
      </c>
      <c r="B386" s="21">
        <v>62.391404000000001</v>
      </c>
      <c r="C386" s="22"/>
      <c r="D386" s="23"/>
    </row>
    <row r="387" spans="1:4" x14ac:dyDescent="0.3">
      <c r="A387" s="24">
        <v>45454.845138999997</v>
      </c>
      <c r="B387" s="21">
        <v>62.378089000000003</v>
      </c>
      <c r="C387" s="22"/>
      <c r="D387" s="23"/>
    </row>
    <row r="388" spans="1:4" x14ac:dyDescent="0.3">
      <c r="A388" s="24">
        <v>45454.845832999999</v>
      </c>
      <c r="B388" s="21">
        <v>63.081389999999999</v>
      </c>
      <c r="C388" s="22"/>
      <c r="D388" s="23"/>
    </row>
    <row r="389" spans="1:4" x14ac:dyDescent="0.3">
      <c r="A389" s="24">
        <v>45454.846528000002</v>
      </c>
      <c r="B389" s="21">
        <v>62.252693999999998</v>
      </c>
      <c r="C389" s="22"/>
      <c r="D389" s="23"/>
    </row>
    <row r="390" spans="1:4" x14ac:dyDescent="0.3">
      <c r="A390" s="24">
        <v>45454.847221999997</v>
      </c>
      <c r="B390" s="21">
        <v>62.116413000000001</v>
      </c>
      <c r="C390" s="22"/>
      <c r="D390" s="23"/>
    </row>
    <row r="391" spans="1:4" x14ac:dyDescent="0.3">
      <c r="A391" s="24">
        <v>45454.847916999999</v>
      </c>
      <c r="B391" s="21">
        <v>62.656364000000004</v>
      </c>
      <c r="C391" s="22"/>
      <c r="D391" s="23"/>
    </row>
    <row r="392" spans="1:4" x14ac:dyDescent="0.3">
      <c r="A392" s="24">
        <v>45454.848611000001</v>
      </c>
      <c r="B392" s="21">
        <v>62.056668999999999</v>
      </c>
      <c r="C392" s="22"/>
      <c r="D392" s="23"/>
    </row>
    <row r="393" spans="1:4" x14ac:dyDescent="0.3">
      <c r="A393" s="24">
        <v>45454.849305999996</v>
      </c>
      <c r="B393" s="21">
        <v>61.391621000000001</v>
      </c>
      <c r="C393" s="22"/>
      <c r="D393" s="23"/>
    </row>
    <row r="394" spans="1:4" x14ac:dyDescent="0.3">
      <c r="A394" s="24">
        <v>45454.85</v>
      </c>
      <c r="B394" s="21">
        <v>62.080100999999999</v>
      </c>
      <c r="C394" s="22"/>
      <c r="D394" s="23"/>
    </row>
    <row r="395" spans="1:4" x14ac:dyDescent="0.3">
      <c r="A395" s="24">
        <v>45454.850694000001</v>
      </c>
      <c r="B395" s="21">
        <v>62.033163999999999</v>
      </c>
      <c r="C395" s="22"/>
      <c r="D395" s="23"/>
    </row>
    <row r="396" spans="1:4" x14ac:dyDescent="0.3">
      <c r="A396" s="24">
        <v>45454.851389000003</v>
      </c>
      <c r="B396" s="21">
        <v>61.633406999999998</v>
      </c>
      <c r="C396" s="22"/>
      <c r="D396" s="23"/>
    </row>
    <row r="397" spans="1:4" x14ac:dyDescent="0.3">
      <c r="A397" s="24">
        <v>45454.852082999998</v>
      </c>
      <c r="B397" s="21">
        <v>62.024985999999998</v>
      </c>
      <c r="C397" s="22"/>
      <c r="D397" s="23"/>
    </row>
    <row r="398" spans="1:4" x14ac:dyDescent="0.3">
      <c r="A398" s="24">
        <v>45454.852778</v>
      </c>
      <c r="B398" s="21">
        <v>63.496547999999997</v>
      </c>
      <c r="C398" s="22"/>
      <c r="D398" s="23"/>
    </row>
    <row r="399" spans="1:4" x14ac:dyDescent="0.3">
      <c r="A399" s="24">
        <v>45454.853472000003</v>
      </c>
      <c r="B399" s="21">
        <v>61.476967999999999</v>
      </c>
      <c r="C399" s="22"/>
      <c r="D399" s="23"/>
    </row>
    <row r="400" spans="1:4" x14ac:dyDescent="0.3">
      <c r="A400" s="24">
        <v>45454.854166999998</v>
      </c>
      <c r="B400" s="21">
        <v>62.465175000000002</v>
      </c>
      <c r="C400" s="22"/>
      <c r="D400" s="23"/>
    </row>
    <row r="401" spans="1:4" x14ac:dyDescent="0.3">
      <c r="A401" s="24">
        <v>45454.854861</v>
      </c>
      <c r="B401" s="21">
        <v>61.716836000000001</v>
      </c>
      <c r="C401" s="22"/>
      <c r="D401" s="23"/>
    </row>
    <row r="402" spans="1:4" x14ac:dyDescent="0.3">
      <c r="A402" s="24">
        <v>45454.855556000002</v>
      </c>
      <c r="B402" s="21">
        <v>63.043495</v>
      </c>
      <c r="C402" s="22"/>
      <c r="D402" s="23"/>
    </row>
    <row r="403" spans="1:4" x14ac:dyDescent="0.3">
      <c r="A403" s="24">
        <v>45454.856249999997</v>
      </c>
      <c r="B403" s="21">
        <v>62.132491000000002</v>
      </c>
      <c r="C403" s="22"/>
      <c r="D403" s="23"/>
    </row>
    <row r="404" spans="1:4" x14ac:dyDescent="0.3">
      <c r="A404" s="24">
        <v>45454.856943999999</v>
      </c>
      <c r="B404" s="21">
        <v>62.096169000000003</v>
      </c>
      <c r="C404" s="22"/>
      <c r="D404" s="23"/>
    </row>
    <row r="405" spans="1:4" x14ac:dyDescent="0.3">
      <c r="A405" s="24">
        <v>45454.857639000002</v>
      </c>
      <c r="B405" s="21">
        <v>61.758733999999997</v>
      </c>
      <c r="C405" s="22"/>
      <c r="D405" s="23"/>
    </row>
    <row r="406" spans="1:4" x14ac:dyDescent="0.3">
      <c r="A406" s="24">
        <v>45454.858332999996</v>
      </c>
      <c r="B406" s="21">
        <v>62.398052999999997</v>
      </c>
      <c r="C406" s="22"/>
      <c r="D406" s="23"/>
    </row>
    <row r="407" spans="1:4" x14ac:dyDescent="0.3">
      <c r="A407" s="24">
        <v>45454.859027999999</v>
      </c>
      <c r="B407" s="21">
        <v>62.492379</v>
      </c>
      <c r="C407" s="22"/>
      <c r="D407" s="23"/>
    </row>
    <row r="408" spans="1:4" x14ac:dyDescent="0.3">
      <c r="A408" s="24">
        <v>45454.859722000001</v>
      </c>
      <c r="B408" s="21">
        <v>62.357880999999999</v>
      </c>
      <c r="C408" s="22"/>
      <c r="D408" s="23"/>
    </row>
    <row r="409" spans="1:4" x14ac:dyDescent="0.3">
      <c r="A409" s="24">
        <v>45454.860417000004</v>
      </c>
      <c r="B409" s="21">
        <v>62.101055000000002</v>
      </c>
      <c r="C409" s="22"/>
      <c r="D409" s="23"/>
    </row>
    <row r="410" spans="1:4" x14ac:dyDescent="0.3">
      <c r="A410" s="24">
        <v>45454.861110999998</v>
      </c>
      <c r="B410" s="21">
        <v>62.210607000000003</v>
      </c>
      <c r="C410" s="22"/>
      <c r="D410" s="23"/>
    </row>
    <row r="411" spans="1:4" x14ac:dyDescent="0.3">
      <c r="A411" s="24">
        <v>45454.861806000001</v>
      </c>
      <c r="B411" s="21">
        <v>62.047119000000002</v>
      </c>
      <c r="C411" s="22"/>
      <c r="D411" s="23"/>
    </row>
    <row r="412" spans="1:4" x14ac:dyDescent="0.3">
      <c r="A412" s="24">
        <v>45454.862500000003</v>
      </c>
      <c r="B412" s="21">
        <v>62.257469</v>
      </c>
      <c r="C412" s="22"/>
      <c r="D412" s="23"/>
    </row>
    <row r="413" spans="1:4" x14ac:dyDescent="0.3">
      <c r="A413" s="24">
        <v>45454.863193999998</v>
      </c>
      <c r="B413" s="21">
        <v>62.129733999999999</v>
      </c>
      <c r="C413" s="22"/>
      <c r="D413" s="23"/>
    </row>
    <row r="414" spans="1:4" x14ac:dyDescent="0.3">
      <c r="A414" s="24">
        <v>45454.863889</v>
      </c>
      <c r="B414" s="21">
        <v>62.447626</v>
      </c>
      <c r="C414" s="22"/>
      <c r="D414" s="23"/>
    </row>
    <row r="415" spans="1:4" x14ac:dyDescent="0.3">
      <c r="A415" s="24">
        <v>45454.864583000002</v>
      </c>
      <c r="B415" s="21">
        <v>62.566122999999997</v>
      </c>
      <c r="C415" s="22"/>
      <c r="D415" s="23"/>
    </row>
    <row r="416" spans="1:4" x14ac:dyDescent="0.3">
      <c r="A416" s="24">
        <v>45454.865277999997</v>
      </c>
      <c r="B416" s="21">
        <v>61.851022999999998</v>
      </c>
      <c r="C416" s="22"/>
      <c r="D416" s="23"/>
    </row>
    <row r="417" spans="1:4" x14ac:dyDescent="0.3">
      <c r="A417" s="24">
        <v>45454.865972</v>
      </c>
      <c r="B417" s="21">
        <v>62.506267999999999</v>
      </c>
      <c r="C417" s="22"/>
      <c r="D417" s="23"/>
    </row>
    <row r="418" spans="1:4" x14ac:dyDescent="0.3">
      <c r="A418" s="24">
        <v>45454.866667000002</v>
      </c>
      <c r="B418" s="21">
        <v>60.736190999999998</v>
      </c>
      <c r="C418" s="22"/>
      <c r="D418" s="23"/>
    </row>
    <row r="419" spans="1:4" x14ac:dyDescent="0.3">
      <c r="A419" s="24">
        <v>45454.867360999997</v>
      </c>
      <c r="B419" s="21">
        <v>61.945129000000001</v>
      </c>
      <c r="C419" s="22"/>
      <c r="D419" s="23"/>
    </row>
    <row r="420" spans="1:4" x14ac:dyDescent="0.3">
      <c r="A420" s="24">
        <v>45454.868055999999</v>
      </c>
      <c r="B420" s="21">
        <v>61.750605999999998</v>
      </c>
      <c r="C420" s="22"/>
      <c r="D420" s="23"/>
    </row>
    <row r="421" spans="1:4" x14ac:dyDescent="0.3">
      <c r="A421" s="24">
        <v>45454.868750000001</v>
      </c>
      <c r="B421" s="21">
        <v>61.464897000000001</v>
      </c>
      <c r="C421" s="22"/>
      <c r="D421" s="23"/>
    </row>
    <row r="422" spans="1:4" x14ac:dyDescent="0.3">
      <c r="A422" s="24">
        <v>45454.869444000004</v>
      </c>
      <c r="B422" s="21">
        <v>62.208854000000002</v>
      </c>
      <c r="C422" s="22"/>
      <c r="D422" s="23"/>
    </row>
    <row r="423" spans="1:4" x14ac:dyDescent="0.3">
      <c r="A423" s="24">
        <v>45454.870138999999</v>
      </c>
      <c r="B423" s="21">
        <v>61.535074000000002</v>
      </c>
      <c r="C423" s="22"/>
      <c r="D423" s="23"/>
    </row>
    <row r="424" spans="1:4" x14ac:dyDescent="0.3">
      <c r="A424" s="24">
        <v>45454.870833000001</v>
      </c>
      <c r="B424" s="21">
        <v>62.301454</v>
      </c>
      <c r="C424" s="22"/>
      <c r="D424" s="23"/>
    </row>
    <row r="425" spans="1:4" x14ac:dyDescent="0.3">
      <c r="A425" s="24">
        <v>45454.871528000003</v>
      </c>
      <c r="B425" s="21">
        <v>62.117164000000002</v>
      </c>
      <c r="C425" s="22"/>
      <c r="D425" s="23"/>
    </row>
    <row r="426" spans="1:4" x14ac:dyDescent="0.3">
      <c r="A426" s="24">
        <v>45454.872221999998</v>
      </c>
      <c r="B426" s="21">
        <v>62.675659000000003</v>
      </c>
      <c r="C426" s="22"/>
      <c r="D426" s="23"/>
    </row>
    <row r="427" spans="1:4" x14ac:dyDescent="0.3">
      <c r="A427" s="24">
        <v>45454.872917000001</v>
      </c>
      <c r="B427" s="21">
        <v>61.754064999999997</v>
      </c>
      <c r="C427" s="22"/>
      <c r="D427" s="23"/>
    </row>
    <row r="428" spans="1:4" x14ac:dyDescent="0.3">
      <c r="A428" s="24">
        <v>45454.873611000003</v>
      </c>
      <c r="B428" s="21">
        <v>61.443151</v>
      </c>
      <c r="C428" s="22"/>
      <c r="D428" s="23"/>
    </row>
    <row r="429" spans="1:4" x14ac:dyDescent="0.3">
      <c r="A429" s="24">
        <v>45454.874305999998</v>
      </c>
      <c r="B429" s="21">
        <v>61.868388000000003</v>
      </c>
      <c r="C429" s="22"/>
      <c r="D429" s="23"/>
    </row>
    <row r="430" spans="1:4" x14ac:dyDescent="0.3">
      <c r="A430" s="24">
        <v>45454.875</v>
      </c>
      <c r="B430" s="21">
        <v>61.919562999999997</v>
      </c>
      <c r="C430" s="22"/>
      <c r="D430" s="23"/>
    </row>
    <row r="431" spans="1:4" x14ac:dyDescent="0.3">
      <c r="A431" s="24">
        <v>45454.875694000002</v>
      </c>
      <c r="B431" s="21">
        <v>61.426935999999998</v>
      </c>
      <c r="C431" s="22"/>
      <c r="D431" s="23"/>
    </row>
    <row r="432" spans="1:4" x14ac:dyDescent="0.3">
      <c r="A432" s="24">
        <v>45454.876388999997</v>
      </c>
      <c r="B432" s="21">
        <v>62.438341000000001</v>
      </c>
      <c r="C432" s="22"/>
      <c r="D432" s="23"/>
    </row>
    <row r="433" spans="1:4" x14ac:dyDescent="0.3">
      <c r="A433" s="24">
        <v>45454.877082999999</v>
      </c>
      <c r="B433" s="21">
        <v>61.819828000000001</v>
      </c>
      <c r="C433" s="22"/>
      <c r="D433" s="23"/>
    </row>
    <row r="434" spans="1:4" x14ac:dyDescent="0.3">
      <c r="A434" s="24">
        <v>45454.877778000002</v>
      </c>
      <c r="B434" s="21">
        <v>61.729309999999998</v>
      </c>
      <c r="C434" s="22"/>
      <c r="D434" s="23"/>
    </row>
    <row r="435" spans="1:4" x14ac:dyDescent="0.3">
      <c r="A435" s="24">
        <v>45454.878471999997</v>
      </c>
      <c r="B435" s="21">
        <v>61.086744000000003</v>
      </c>
      <c r="C435" s="22"/>
      <c r="D435" s="23"/>
    </row>
    <row r="436" spans="1:4" x14ac:dyDescent="0.3">
      <c r="A436" s="24">
        <v>45454.879166999999</v>
      </c>
      <c r="B436" s="21">
        <v>61.862673999999998</v>
      </c>
      <c r="C436" s="22"/>
      <c r="D436" s="23"/>
    </row>
    <row r="437" spans="1:4" x14ac:dyDescent="0.3">
      <c r="A437" s="24">
        <v>45454.879861000001</v>
      </c>
      <c r="B437" s="21">
        <v>62.242156000000001</v>
      </c>
      <c r="C437" s="22"/>
      <c r="D437" s="23"/>
    </row>
    <row r="438" spans="1:4" x14ac:dyDescent="0.3">
      <c r="A438" s="24">
        <v>45454.880555999996</v>
      </c>
      <c r="B438" s="21">
        <v>61.720339000000003</v>
      </c>
      <c r="C438" s="22"/>
      <c r="D438" s="23"/>
    </row>
    <row r="439" spans="1:4" x14ac:dyDescent="0.3">
      <c r="A439" s="24">
        <v>45454.881249999999</v>
      </c>
      <c r="B439" s="21">
        <v>61.750909999999998</v>
      </c>
      <c r="C439" s="22"/>
      <c r="D439" s="23"/>
    </row>
    <row r="440" spans="1:4" x14ac:dyDescent="0.3">
      <c r="A440" s="24">
        <v>45454.881944000001</v>
      </c>
      <c r="B440" s="21">
        <v>61.506723999999998</v>
      </c>
      <c r="C440" s="22"/>
      <c r="D440" s="23"/>
    </row>
    <row r="441" spans="1:4" x14ac:dyDescent="0.3">
      <c r="A441" s="24">
        <v>45454.882639000003</v>
      </c>
      <c r="B441" s="21">
        <v>61.946142999999999</v>
      </c>
      <c r="C441" s="22"/>
      <c r="D441" s="23"/>
    </row>
    <row r="442" spans="1:4" x14ac:dyDescent="0.3">
      <c r="A442" s="24">
        <v>45454.883332999998</v>
      </c>
      <c r="B442" s="21">
        <v>61.82414</v>
      </c>
      <c r="C442" s="22"/>
      <c r="D442" s="23"/>
    </row>
    <row r="443" spans="1:4" x14ac:dyDescent="0.3">
      <c r="A443" s="24">
        <v>45454.884028</v>
      </c>
      <c r="B443" s="21">
        <v>62.447901999999999</v>
      </c>
      <c r="C443" s="22"/>
      <c r="D443" s="23"/>
    </row>
    <row r="444" spans="1:4" x14ac:dyDescent="0.3">
      <c r="A444" s="24">
        <v>45454.884722000003</v>
      </c>
      <c r="B444" s="21">
        <v>62.214559999999999</v>
      </c>
      <c r="C444" s="22"/>
      <c r="D444" s="23"/>
    </row>
    <row r="445" spans="1:4" x14ac:dyDescent="0.3">
      <c r="A445" s="24">
        <v>45454.885416999998</v>
      </c>
      <c r="B445" s="21">
        <v>62.174604000000002</v>
      </c>
      <c r="C445" s="22"/>
      <c r="D445" s="23"/>
    </row>
    <row r="446" spans="1:4" x14ac:dyDescent="0.3">
      <c r="A446" s="24">
        <v>45454.886111</v>
      </c>
      <c r="B446" s="21">
        <v>61.815945999999997</v>
      </c>
      <c r="C446" s="22"/>
      <c r="D446" s="23"/>
    </row>
    <row r="447" spans="1:4" x14ac:dyDescent="0.3">
      <c r="A447" s="24">
        <v>45454.886806000002</v>
      </c>
      <c r="B447" s="21">
        <v>61.857532999999997</v>
      </c>
      <c r="C447" s="22"/>
      <c r="D447" s="23"/>
    </row>
    <row r="448" spans="1:4" x14ac:dyDescent="0.3">
      <c r="A448" s="24">
        <v>45454.887499999997</v>
      </c>
      <c r="B448" s="21">
        <v>62.105263000000001</v>
      </c>
      <c r="C448" s="22"/>
      <c r="D448" s="23"/>
    </row>
    <row r="449" spans="1:4" x14ac:dyDescent="0.3">
      <c r="A449" s="24">
        <v>45454.888193999999</v>
      </c>
      <c r="B449" s="21">
        <v>61.546546999999997</v>
      </c>
      <c r="C449" s="22"/>
      <c r="D449" s="23"/>
    </row>
    <row r="450" spans="1:4" x14ac:dyDescent="0.3">
      <c r="A450" s="24">
        <v>45454.888889000002</v>
      </c>
      <c r="B450" s="21">
        <v>62.152151000000003</v>
      </c>
      <c r="C450" s="22"/>
      <c r="D450" s="23"/>
    </row>
    <row r="451" spans="1:4" x14ac:dyDescent="0.3">
      <c r="A451" s="24">
        <v>45454.889582999996</v>
      </c>
      <c r="B451" s="21">
        <v>62.242030999999997</v>
      </c>
      <c r="C451" s="22"/>
      <c r="D451" s="23"/>
    </row>
    <row r="452" spans="1:4" x14ac:dyDescent="0.3">
      <c r="A452" s="24">
        <v>45454.890277999999</v>
      </c>
      <c r="B452" s="21">
        <v>61.750919000000003</v>
      </c>
      <c r="C452" s="22"/>
      <c r="D452" s="23"/>
    </row>
    <row r="453" spans="1:4" x14ac:dyDescent="0.3">
      <c r="A453" s="24">
        <v>45454.890972000001</v>
      </c>
      <c r="B453" s="21">
        <v>61.7376</v>
      </c>
      <c r="C453" s="22"/>
      <c r="D453" s="23"/>
    </row>
    <row r="454" spans="1:4" x14ac:dyDescent="0.3">
      <c r="A454" s="24">
        <v>45454.891667000004</v>
      </c>
      <c r="B454" s="21">
        <v>61.813009000000001</v>
      </c>
      <c r="C454" s="22"/>
      <c r="D454" s="23"/>
    </row>
    <row r="455" spans="1:4" x14ac:dyDescent="0.3">
      <c r="A455" s="24">
        <v>45454.892360999998</v>
      </c>
      <c r="B455" s="21">
        <v>62.148021999999997</v>
      </c>
      <c r="C455" s="22"/>
      <c r="D455" s="23"/>
    </row>
    <row r="456" spans="1:4" x14ac:dyDescent="0.3">
      <c r="A456" s="24">
        <v>45454.893056000001</v>
      </c>
      <c r="B456" s="21">
        <v>61.412505000000003</v>
      </c>
      <c r="C456" s="22"/>
      <c r="D456" s="23"/>
    </row>
    <row r="457" spans="1:4" x14ac:dyDescent="0.3">
      <c r="A457" s="24">
        <v>45454.893750000003</v>
      </c>
      <c r="B457" s="21">
        <v>61.786278000000003</v>
      </c>
      <c r="C457" s="22"/>
      <c r="D457" s="23"/>
    </row>
    <row r="458" spans="1:4" x14ac:dyDescent="0.3">
      <c r="A458" s="24">
        <v>45454.894443999998</v>
      </c>
      <c r="B458" s="21">
        <v>62.075288999999998</v>
      </c>
      <c r="C458" s="22"/>
      <c r="D458" s="23"/>
    </row>
    <row r="459" spans="1:4" x14ac:dyDescent="0.3">
      <c r="A459" s="24">
        <v>45454.895139</v>
      </c>
      <c r="B459" s="21">
        <v>61.516488000000003</v>
      </c>
      <c r="C459" s="22"/>
      <c r="D459" s="23"/>
    </row>
    <row r="460" spans="1:4" x14ac:dyDescent="0.3">
      <c r="A460" s="24">
        <v>45454.895833000002</v>
      </c>
      <c r="B460" s="21">
        <v>61.992511999999998</v>
      </c>
      <c r="C460" s="22"/>
      <c r="D460" s="23"/>
    </row>
    <row r="461" spans="1:4" x14ac:dyDescent="0.3">
      <c r="A461" s="24">
        <v>45454.896527999997</v>
      </c>
      <c r="B461" s="21">
        <v>61.360641000000001</v>
      </c>
      <c r="C461" s="22"/>
      <c r="D461" s="23"/>
    </row>
    <row r="462" spans="1:4" x14ac:dyDescent="0.3">
      <c r="A462" s="24">
        <v>45454.897222</v>
      </c>
      <c r="B462" s="21">
        <v>60.904820999999998</v>
      </c>
      <c r="C462" s="22"/>
      <c r="D462" s="23"/>
    </row>
    <row r="463" spans="1:4" x14ac:dyDescent="0.3">
      <c r="A463" s="24">
        <v>45454.897917000002</v>
      </c>
      <c r="B463" s="21">
        <v>61.216777999999998</v>
      </c>
      <c r="C463" s="22"/>
      <c r="D463" s="23"/>
    </row>
    <row r="464" spans="1:4" x14ac:dyDescent="0.3">
      <c r="A464" s="24">
        <v>45454.898610999997</v>
      </c>
      <c r="B464" s="21">
        <v>61.325046</v>
      </c>
      <c r="C464" s="22"/>
      <c r="D464" s="23"/>
    </row>
    <row r="465" spans="1:4" x14ac:dyDescent="0.3">
      <c r="A465" s="24">
        <v>45454.899305999999</v>
      </c>
      <c r="B465" s="21">
        <v>61.585372</v>
      </c>
      <c r="C465" s="22"/>
      <c r="D465" s="23"/>
    </row>
    <row r="466" spans="1:4" x14ac:dyDescent="0.3">
      <c r="A466" s="24">
        <v>45454.9</v>
      </c>
      <c r="B466" s="21">
        <v>61.921112999999998</v>
      </c>
      <c r="C466" s="22"/>
      <c r="D466" s="23"/>
    </row>
    <row r="467" spans="1:4" x14ac:dyDescent="0.3">
      <c r="A467" s="24">
        <v>45454.900694000004</v>
      </c>
      <c r="B467" s="21">
        <v>61.111230999999997</v>
      </c>
      <c r="C467" s="22"/>
      <c r="D467" s="23"/>
    </row>
    <row r="468" spans="1:4" x14ac:dyDescent="0.3">
      <c r="A468" s="24">
        <v>45454.901388999999</v>
      </c>
      <c r="B468" s="21">
        <v>61.779322999999998</v>
      </c>
      <c r="C468" s="22"/>
      <c r="D468" s="23"/>
    </row>
    <row r="469" spans="1:4" x14ac:dyDescent="0.3">
      <c r="A469" s="24">
        <v>45454.902083000001</v>
      </c>
      <c r="B469" s="21">
        <v>62.197721999999999</v>
      </c>
      <c r="C469" s="22"/>
      <c r="D469" s="23"/>
    </row>
    <row r="470" spans="1:4" x14ac:dyDescent="0.3">
      <c r="A470" s="24">
        <v>45454.902778000003</v>
      </c>
      <c r="B470" s="21">
        <v>62.088323000000003</v>
      </c>
      <c r="C470" s="22"/>
      <c r="D470" s="23"/>
    </row>
    <row r="471" spans="1:4" x14ac:dyDescent="0.3">
      <c r="A471" s="24">
        <v>45454.903471999998</v>
      </c>
      <c r="B471" s="21">
        <v>61.556784</v>
      </c>
      <c r="C471" s="22"/>
      <c r="D471" s="23"/>
    </row>
    <row r="472" spans="1:4" x14ac:dyDescent="0.3">
      <c r="A472" s="24">
        <v>45454.904167000001</v>
      </c>
      <c r="B472" s="21">
        <v>62.268940000000001</v>
      </c>
      <c r="C472" s="22"/>
      <c r="D472" s="23"/>
    </row>
    <row r="473" spans="1:4" x14ac:dyDescent="0.3">
      <c r="A473" s="24">
        <v>45454.904861000003</v>
      </c>
      <c r="B473" s="21">
        <v>61.903720999999997</v>
      </c>
      <c r="C473" s="22"/>
      <c r="D473" s="23"/>
    </row>
    <row r="474" spans="1:4" x14ac:dyDescent="0.3">
      <c r="A474" s="24">
        <v>45454.905555999998</v>
      </c>
      <c r="B474" s="21">
        <v>62.237803</v>
      </c>
      <c r="C474" s="22"/>
      <c r="D474" s="23"/>
    </row>
    <row r="475" spans="1:4" x14ac:dyDescent="0.3">
      <c r="A475" s="24">
        <v>45454.90625</v>
      </c>
      <c r="B475" s="21">
        <v>61.677391</v>
      </c>
      <c r="C475" s="22"/>
      <c r="D475" s="23"/>
    </row>
    <row r="476" spans="1:4" x14ac:dyDescent="0.3">
      <c r="A476" s="24">
        <v>45454.906944000002</v>
      </c>
      <c r="B476" s="21">
        <v>61.913524000000002</v>
      </c>
      <c r="C476" s="22"/>
      <c r="D476" s="23"/>
    </row>
    <row r="477" spans="1:4" x14ac:dyDescent="0.3">
      <c r="A477" s="24">
        <v>45454.907638999997</v>
      </c>
      <c r="B477" s="21">
        <v>61.727195000000002</v>
      </c>
      <c r="C477" s="22"/>
      <c r="D477" s="23"/>
    </row>
    <row r="478" spans="1:4" x14ac:dyDescent="0.3">
      <c r="A478" s="24">
        <v>45454.908332999999</v>
      </c>
      <c r="B478" s="21">
        <v>61.758718000000002</v>
      </c>
      <c r="C478" s="22"/>
      <c r="D478" s="23"/>
    </row>
    <row r="479" spans="1:4" x14ac:dyDescent="0.3">
      <c r="A479" s="24">
        <v>45454.909028000002</v>
      </c>
      <c r="B479" s="21">
        <v>61.414026999999997</v>
      </c>
      <c r="C479" s="22"/>
      <c r="D479" s="23"/>
    </row>
    <row r="480" spans="1:4" x14ac:dyDescent="0.3">
      <c r="A480" s="24">
        <v>45454.909721999997</v>
      </c>
      <c r="B480" s="21">
        <v>61.943406000000003</v>
      </c>
      <c r="C480" s="22"/>
      <c r="D480" s="23"/>
    </row>
    <row r="481" spans="1:4" x14ac:dyDescent="0.3">
      <c r="A481" s="24">
        <v>45454.910416999999</v>
      </c>
      <c r="B481" s="21">
        <v>61.266731999999998</v>
      </c>
      <c r="C481" s="22"/>
      <c r="D481" s="23"/>
    </row>
    <row r="482" spans="1:4" x14ac:dyDescent="0.3">
      <c r="A482" s="24">
        <v>45454.911111000001</v>
      </c>
      <c r="B482" s="21">
        <v>61.574370999999999</v>
      </c>
      <c r="C482" s="22"/>
      <c r="D482" s="23"/>
    </row>
    <row r="483" spans="1:4" x14ac:dyDescent="0.3">
      <c r="A483" s="24">
        <v>45454.911805999996</v>
      </c>
      <c r="B483" s="21">
        <v>62.173274999999997</v>
      </c>
      <c r="C483" s="22"/>
      <c r="D483" s="23"/>
    </row>
    <row r="484" spans="1:4" x14ac:dyDescent="0.3">
      <c r="A484" s="24">
        <v>45454.912499999999</v>
      </c>
      <c r="B484" s="21">
        <v>61.648899</v>
      </c>
      <c r="C484" s="22"/>
      <c r="D484" s="23"/>
    </row>
    <row r="485" spans="1:4" x14ac:dyDescent="0.3">
      <c r="A485" s="24">
        <v>45454.913194000001</v>
      </c>
      <c r="B485" s="21">
        <v>61.990558</v>
      </c>
      <c r="C485" s="22"/>
      <c r="D485" s="23"/>
    </row>
    <row r="486" spans="1:4" x14ac:dyDescent="0.3">
      <c r="A486" s="24">
        <v>45454.913889000003</v>
      </c>
      <c r="B486" s="21">
        <v>61.550060000000002</v>
      </c>
      <c r="C486" s="22"/>
      <c r="D486" s="23"/>
    </row>
    <row r="487" spans="1:4" x14ac:dyDescent="0.3">
      <c r="A487" s="24">
        <v>45454.914582999998</v>
      </c>
      <c r="B487" s="21">
        <v>61.626643999999999</v>
      </c>
      <c r="C487" s="22"/>
      <c r="D487" s="23"/>
    </row>
    <row r="488" spans="1:4" x14ac:dyDescent="0.3">
      <c r="A488" s="24">
        <v>45454.915278</v>
      </c>
      <c r="B488" s="21">
        <v>61.740237999999998</v>
      </c>
      <c r="C488" s="22"/>
      <c r="D488" s="23"/>
    </row>
    <row r="489" spans="1:4" x14ac:dyDescent="0.3">
      <c r="A489" s="24">
        <v>45454.915972000003</v>
      </c>
      <c r="B489" s="21">
        <v>61.404789000000001</v>
      </c>
      <c r="C489" s="22"/>
      <c r="D489" s="23"/>
    </row>
    <row r="490" spans="1:4" x14ac:dyDescent="0.3">
      <c r="A490" s="24">
        <v>45454.916666999998</v>
      </c>
      <c r="B490" s="21">
        <v>61.807443999999997</v>
      </c>
      <c r="C490" s="22"/>
      <c r="D490" s="23"/>
    </row>
    <row r="491" spans="1:4" x14ac:dyDescent="0.3">
      <c r="A491" s="24">
        <v>45454.917361</v>
      </c>
      <c r="B491" s="21">
        <v>61.499552000000001</v>
      </c>
      <c r="C491" s="22"/>
      <c r="D491" s="23"/>
    </row>
    <row r="492" spans="1:4" x14ac:dyDescent="0.3">
      <c r="A492" s="24">
        <v>45454.918056000002</v>
      </c>
      <c r="B492" s="21">
        <v>61.805284999999998</v>
      </c>
      <c r="C492" s="22"/>
      <c r="D492" s="23"/>
    </row>
    <row r="493" spans="1:4" x14ac:dyDescent="0.3">
      <c r="A493" s="24">
        <v>45454.918749999997</v>
      </c>
      <c r="B493" s="21">
        <v>62.336711000000001</v>
      </c>
      <c r="C493" s="22"/>
      <c r="D493" s="23"/>
    </row>
    <row r="494" spans="1:4" x14ac:dyDescent="0.3">
      <c r="A494" s="24">
        <v>45454.919443999999</v>
      </c>
      <c r="B494" s="21">
        <v>61.53633</v>
      </c>
      <c r="C494" s="22"/>
      <c r="D494" s="23"/>
    </row>
    <row r="495" spans="1:4" x14ac:dyDescent="0.3">
      <c r="A495" s="24">
        <v>45454.920139000002</v>
      </c>
      <c r="B495" s="21">
        <v>61.797629999999998</v>
      </c>
      <c r="C495" s="22"/>
      <c r="D495" s="23"/>
    </row>
    <row r="496" spans="1:4" x14ac:dyDescent="0.3">
      <c r="A496" s="24">
        <v>45454.920832999996</v>
      </c>
      <c r="B496" s="21">
        <v>62.349651999999999</v>
      </c>
      <c r="C496" s="22"/>
      <c r="D496" s="23"/>
    </row>
    <row r="497" spans="1:4" x14ac:dyDescent="0.3">
      <c r="A497" s="24">
        <v>45454.921527999999</v>
      </c>
      <c r="B497" s="21">
        <v>61.416182999999997</v>
      </c>
      <c r="C497" s="22"/>
      <c r="D497" s="23"/>
    </row>
    <row r="498" spans="1:4" x14ac:dyDescent="0.3">
      <c r="A498" s="24">
        <v>45454.922222000001</v>
      </c>
      <c r="B498" s="21">
        <v>61.566175000000001</v>
      </c>
      <c r="C498" s="22"/>
      <c r="D498" s="23"/>
    </row>
    <row r="499" spans="1:4" x14ac:dyDescent="0.3">
      <c r="A499" s="24">
        <v>45454.922917000004</v>
      </c>
      <c r="B499" s="21">
        <v>63.466270999999999</v>
      </c>
      <c r="C499" s="22"/>
      <c r="D499" s="23"/>
    </row>
    <row r="500" spans="1:4" x14ac:dyDescent="0.3">
      <c r="A500" s="24">
        <v>45454.923610999998</v>
      </c>
      <c r="B500" s="21">
        <v>63.191839999999999</v>
      </c>
      <c r="C500" s="22"/>
      <c r="D500" s="23"/>
    </row>
    <row r="501" spans="1:4" x14ac:dyDescent="0.3">
      <c r="A501" s="24">
        <v>45454.924306000001</v>
      </c>
      <c r="B501" s="21">
        <v>63.518858000000002</v>
      </c>
      <c r="C501" s="22"/>
      <c r="D501" s="23"/>
    </row>
    <row r="502" spans="1:4" x14ac:dyDescent="0.3">
      <c r="A502" s="24">
        <v>45454.925000000003</v>
      </c>
      <c r="B502" s="21">
        <v>63.226743999999997</v>
      </c>
      <c r="C502" s="22"/>
      <c r="D502" s="23"/>
    </row>
    <row r="503" spans="1:4" x14ac:dyDescent="0.3">
      <c r="A503" s="24">
        <v>45454.925693999998</v>
      </c>
      <c r="B503" s="21">
        <v>63.241981000000003</v>
      </c>
      <c r="C503" s="22"/>
      <c r="D503" s="23"/>
    </row>
    <row r="504" spans="1:4" x14ac:dyDescent="0.3">
      <c r="A504" s="24">
        <v>45454.926389</v>
      </c>
      <c r="B504" s="21">
        <v>63.890248</v>
      </c>
      <c r="C504" s="22"/>
      <c r="D504" s="23"/>
    </row>
    <row r="505" spans="1:4" x14ac:dyDescent="0.3">
      <c r="A505" s="24">
        <v>45454.927083000002</v>
      </c>
      <c r="B505" s="21">
        <v>62.855831999999999</v>
      </c>
      <c r="C505" s="22"/>
      <c r="D505" s="23"/>
    </row>
    <row r="506" spans="1:4" x14ac:dyDescent="0.3">
      <c r="A506" s="24">
        <v>45454.927777999997</v>
      </c>
      <c r="B506" s="21">
        <v>62.819899999999997</v>
      </c>
      <c r="C506" s="22"/>
      <c r="D506" s="23"/>
    </row>
    <row r="507" spans="1:4" x14ac:dyDescent="0.3">
      <c r="A507" s="24">
        <v>45454.928472</v>
      </c>
      <c r="B507" s="21">
        <v>63.217391999999997</v>
      </c>
      <c r="C507" s="22"/>
      <c r="D507" s="23"/>
    </row>
    <row r="508" spans="1:4" x14ac:dyDescent="0.3">
      <c r="A508" s="24">
        <v>45454.929167000002</v>
      </c>
      <c r="B508" s="21">
        <v>63.485241000000002</v>
      </c>
      <c r="C508" s="22"/>
      <c r="D508" s="23"/>
    </row>
    <row r="509" spans="1:4" x14ac:dyDescent="0.3">
      <c r="A509" s="24">
        <v>45454.929860999997</v>
      </c>
      <c r="B509" s="21">
        <v>63.516897999999998</v>
      </c>
      <c r="C509" s="22"/>
      <c r="D509" s="23"/>
    </row>
    <row r="510" spans="1:4" x14ac:dyDescent="0.3">
      <c r="A510" s="24">
        <v>45454.930555999999</v>
      </c>
      <c r="B510" s="21">
        <v>63.237318999999999</v>
      </c>
      <c r="C510" s="22"/>
      <c r="D510" s="23"/>
    </row>
    <row r="511" spans="1:4" x14ac:dyDescent="0.3">
      <c r="A511" s="24">
        <v>45454.931250000001</v>
      </c>
      <c r="B511" s="21">
        <v>62.983811000000003</v>
      </c>
      <c r="C511" s="22"/>
      <c r="D511" s="23"/>
    </row>
    <row r="512" spans="1:4" x14ac:dyDescent="0.3">
      <c r="A512" s="24">
        <v>45454.931944000004</v>
      </c>
      <c r="B512" s="21">
        <v>63.287118999999997</v>
      </c>
      <c r="C512" s="22"/>
      <c r="D512" s="23"/>
    </row>
    <row r="513" spans="1:4" x14ac:dyDescent="0.3">
      <c r="A513" s="24">
        <v>45454.932638999999</v>
      </c>
      <c r="B513" s="21">
        <v>62.871225000000003</v>
      </c>
      <c r="C513" s="22"/>
      <c r="D513" s="23"/>
    </row>
    <row r="514" spans="1:4" x14ac:dyDescent="0.3">
      <c r="A514" s="24">
        <v>45454.933333000001</v>
      </c>
      <c r="B514" s="21">
        <v>63.120171999999997</v>
      </c>
      <c r="C514" s="22"/>
      <c r="D514" s="23"/>
    </row>
    <row r="515" spans="1:4" x14ac:dyDescent="0.3">
      <c r="A515" s="24">
        <v>45454.934028000003</v>
      </c>
      <c r="B515" s="21">
        <v>63.571905999999998</v>
      </c>
      <c r="C515" s="22"/>
      <c r="D515" s="23"/>
    </row>
    <row r="516" spans="1:4" x14ac:dyDescent="0.3">
      <c r="A516" s="24">
        <v>45454.934721999998</v>
      </c>
      <c r="B516" s="21">
        <v>62.960183000000001</v>
      </c>
      <c r="C516" s="22"/>
      <c r="D516" s="23"/>
    </row>
    <row r="517" spans="1:4" x14ac:dyDescent="0.3">
      <c r="A517" s="24">
        <v>45454.935417000001</v>
      </c>
      <c r="B517" s="21">
        <v>62.997444999999999</v>
      </c>
      <c r="C517" s="22"/>
      <c r="D517" s="23"/>
    </row>
    <row r="518" spans="1:4" x14ac:dyDescent="0.3">
      <c r="A518" s="24">
        <v>45454.936111000003</v>
      </c>
      <c r="B518" s="21">
        <v>63.197149000000003</v>
      </c>
      <c r="C518" s="22"/>
      <c r="D518" s="23"/>
    </row>
    <row r="519" spans="1:4" x14ac:dyDescent="0.3">
      <c r="A519" s="24">
        <v>45454.936805999998</v>
      </c>
      <c r="B519" s="21">
        <v>62.615350999999997</v>
      </c>
      <c r="C519" s="22"/>
      <c r="D519" s="23"/>
    </row>
    <row r="520" spans="1:4" x14ac:dyDescent="0.3">
      <c r="A520" s="24">
        <v>45454.9375</v>
      </c>
      <c r="B520" s="21">
        <v>62.909345000000002</v>
      </c>
      <c r="C520" s="22"/>
      <c r="D520" s="23"/>
    </row>
    <row r="521" spans="1:4" x14ac:dyDescent="0.3">
      <c r="A521" s="24">
        <v>45454.938194000002</v>
      </c>
      <c r="B521" s="21">
        <v>62.607985999999997</v>
      </c>
      <c r="C521" s="22"/>
      <c r="D521" s="23"/>
    </row>
    <row r="522" spans="1:4" x14ac:dyDescent="0.3">
      <c r="A522" s="24">
        <v>45454.938888999997</v>
      </c>
      <c r="B522" s="21">
        <v>62.860971999999997</v>
      </c>
      <c r="C522" s="22"/>
      <c r="D522" s="23"/>
    </row>
    <row r="523" spans="1:4" x14ac:dyDescent="0.3">
      <c r="A523" s="24">
        <v>45454.939582999999</v>
      </c>
      <c r="B523" s="21">
        <v>63.229253</v>
      </c>
      <c r="C523" s="22"/>
      <c r="D523" s="23"/>
    </row>
    <row r="524" spans="1:4" x14ac:dyDescent="0.3">
      <c r="A524" s="24">
        <v>45454.940278000002</v>
      </c>
      <c r="B524" s="21">
        <v>63.005330999999998</v>
      </c>
      <c r="C524" s="22"/>
      <c r="D524" s="23"/>
    </row>
    <row r="525" spans="1:4" x14ac:dyDescent="0.3">
      <c r="A525" s="24">
        <v>45454.940971999997</v>
      </c>
      <c r="B525" s="21">
        <v>62.499884999999999</v>
      </c>
      <c r="C525" s="22"/>
      <c r="D525" s="23"/>
    </row>
    <row r="526" spans="1:4" x14ac:dyDescent="0.3">
      <c r="A526" s="24">
        <v>45454.941666999999</v>
      </c>
      <c r="B526" s="21">
        <v>62.880274</v>
      </c>
      <c r="C526" s="22"/>
      <c r="D526" s="23"/>
    </row>
    <row r="527" spans="1:4" x14ac:dyDescent="0.3">
      <c r="A527" s="24">
        <v>45454.942361000001</v>
      </c>
      <c r="B527" s="21">
        <v>63.317086000000003</v>
      </c>
      <c r="C527" s="22"/>
      <c r="D527" s="23"/>
    </row>
    <row r="528" spans="1:4" x14ac:dyDescent="0.3">
      <c r="A528" s="24">
        <v>45454.943055999996</v>
      </c>
      <c r="B528" s="21">
        <v>63.199598999999999</v>
      </c>
      <c r="C528" s="22"/>
      <c r="D528" s="23"/>
    </row>
    <row r="529" spans="1:4" x14ac:dyDescent="0.3">
      <c r="A529" s="24">
        <v>45454.943749999999</v>
      </c>
      <c r="B529" s="21">
        <v>62.935225000000003</v>
      </c>
      <c r="C529" s="22"/>
      <c r="D529" s="23"/>
    </row>
    <row r="530" spans="1:4" x14ac:dyDescent="0.3">
      <c r="A530" s="24">
        <v>45454.944444000001</v>
      </c>
      <c r="B530" s="21">
        <v>63.007717</v>
      </c>
      <c r="C530" s="22"/>
      <c r="D530" s="23"/>
    </row>
    <row r="531" spans="1:4" x14ac:dyDescent="0.3">
      <c r="A531" s="24">
        <v>45454.945139000003</v>
      </c>
      <c r="B531" s="21">
        <v>62.928308999999999</v>
      </c>
      <c r="C531" s="22"/>
      <c r="D531" s="23"/>
    </row>
    <row r="532" spans="1:4" x14ac:dyDescent="0.3">
      <c r="A532" s="24">
        <v>45454.945832999998</v>
      </c>
      <c r="B532" s="21">
        <v>62.875050999999999</v>
      </c>
      <c r="C532" s="22"/>
      <c r="D532" s="23"/>
    </row>
    <row r="533" spans="1:4" x14ac:dyDescent="0.3">
      <c r="A533" s="24">
        <v>45454.946528</v>
      </c>
      <c r="B533" s="21">
        <v>63.091372999999997</v>
      </c>
      <c r="C533" s="22"/>
      <c r="D533" s="23"/>
    </row>
    <row r="534" spans="1:4" x14ac:dyDescent="0.3">
      <c r="A534" s="24">
        <v>45454.947222000003</v>
      </c>
      <c r="B534" s="21">
        <v>62.456868</v>
      </c>
      <c r="C534" s="22"/>
      <c r="D534" s="23"/>
    </row>
    <row r="535" spans="1:4" x14ac:dyDescent="0.3">
      <c r="A535" s="24">
        <v>45454.947916999998</v>
      </c>
      <c r="B535" s="21">
        <v>62.683342000000003</v>
      </c>
      <c r="C535" s="22"/>
      <c r="D535" s="23"/>
    </row>
    <row r="536" spans="1:4" x14ac:dyDescent="0.3">
      <c r="A536" s="24">
        <v>45454.948611</v>
      </c>
      <c r="B536" s="21">
        <v>63.051422000000002</v>
      </c>
      <c r="C536" s="22"/>
      <c r="D536" s="23"/>
    </row>
    <row r="537" spans="1:4" x14ac:dyDescent="0.3">
      <c r="A537" s="24">
        <v>45454.949306000002</v>
      </c>
      <c r="B537" s="21">
        <v>62.347996999999999</v>
      </c>
      <c r="C537" s="22"/>
      <c r="D537" s="23"/>
    </row>
    <row r="538" spans="1:4" x14ac:dyDescent="0.3">
      <c r="A538" s="24">
        <v>45454.95</v>
      </c>
      <c r="B538" s="21">
        <v>62.437224000000001</v>
      </c>
      <c r="C538" s="22"/>
      <c r="D538" s="23"/>
    </row>
    <row r="539" spans="1:4" x14ac:dyDescent="0.3">
      <c r="A539" s="24">
        <v>45454.950693999999</v>
      </c>
      <c r="B539" s="21">
        <v>63.032173999999998</v>
      </c>
      <c r="C539" s="22"/>
      <c r="D539" s="23"/>
    </row>
    <row r="540" spans="1:4" x14ac:dyDescent="0.3">
      <c r="A540" s="24">
        <v>45454.951389000002</v>
      </c>
      <c r="B540" s="21">
        <v>62.732481999999997</v>
      </c>
      <c r="C540" s="22"/>
      <c r="D540" s="23"/>
    </row>
    <row r="541" spans="1:4" x14ac:dyDescent="0.3">
      <c r="A541" s="24">
        <v>45454.952082999996</v>
      </c>
      <c r="B541" s="21">
        <v>63.405214999999998</v>
      </c>
      <c r="C541" s="22"/>
      <c r="D541" s="23"/>
    </row>
    <row r="542" spans="1:4" x14ac:dyDescent="0.3">
      <c r="A542" s="24">
        <v>45454.952777999999</v>
      </c>
      <c r="B542" s="21">
        <v>62.829681999999998</v>
      </c>
      <c r="C542" s="22"/>
      <c r="D542" s="23"/>
    </row>
    <row r="543" spans="1:4" x14ac:dyDescent="0.3">
      <c r="A543" s="24">
        <v>45454.953472000001</v>
      </c>
      <c r="B543" s="21">
        <v>63.041609000000001</v>
      </c>
      <c r="C543" s="22"/>
      <c r="D543" s="23"/>
    </row>
    <row r="544" spans="1:4" x14ac:dyDescent="0.3">
      <c r="A544" s="24">
        <v>45454.954167000004</v>
      </c>
      <c r="B544" s="21">
        <v>62.587532000000003</v>
      </c>
      <c r="C544" s="22"/>
      <c r="D544" s="23"/>
    </row>
    <row r="545" spans="1:4" x14ac:dyDescent="0.3">
      <c r="A545" s="24">
        <v>45454.954860999998</v>
      </c>
      <c r="B545" s="21">
        <v>63.113385000000001</v>
      </c>
      <c r="C545" s="22"/>
      <c r="D545" s="23"/>
    </row>
    <row r="546" spans="1:4" x14ac:dyDescent="0.3">
      <c r="A546" s="24">
        <v>45454.955556000001</v>
      </c>
      <c r="B546" s="21">
        <v>62.675615000000001</v>
      </c>
      <c r="C546" s="22"/>
      <c r="D546" s="23"/>
    </row>
    <row r="547" spans="1:4" x14ac:dyDescent="0.3">
      <c r="A547" s="24">
        <v>45454.956250000003</v>
      </c>
      <c r="B547" s="21">
        <v>62.614063999999999</v>
      </c>
      <c r="C547" s="22"/>
      <c r="D547" s="23"/>
    </row>
    <row r="548" spans="1:4" x14ac:dyDescent="0.3">
      <c r="A548" s="24">
        <v>45454.956943999998</v>
      </c>
      <c r="B548" s="21">
        <v>63.114317999999997</v>
      </c>
      <c r="C548" s="22"/>
      <c r="D548" s="23"/>
    </row>
    <row r="549" spans="1:4" x14ac:dyDescent="0.3">
      <c r="A549" s="24">
        <v>45454.957639</v>
      </c>
      <c r="B549" s="21">
        <v>63.032708999999997</v>
      </c>
      <c r="C549" s="22"/>
      <c r="D549" s="23"/>
    </row>
    <row r="550" spans="1:4" x14ac:dyDescent="0.3">
      <c r="A550" s="24">
        <v>45454.958333000002</v>
      </c>
      <c r="B550" s="21">
        <v>62.857785</v>
      </c>
      <c r="C550" s="22"/>
      <c r="D550" s="23"/>
    </row>
    <row r="551" spans="1:4" x14ac:dyDescent="0.3">
      <c r="A551" s="24">
        <v>45454.959027999997</v>
      </c>
      <c r="B551" s="21">
        <v>62.753036999999999</v>
      </c>
      <c r="C551" s="22"/>
      <c r="D551" s="23"/>
    </row>
    <row r="552" spans="1:4" x14ac:dyDescent="0.3">
      <c r="A552" s="24">
        <v>45454.959722</v>
      </c>
      <c r="B552" s="21">
        <v>63.121146000000003</v>
      </c>
      <c r="C552" s="22"/>
      <c r="D552" s="23"/>
    </row>
    <row r="553" spans="1:4" x14ac:dyDescent="0.3">
      <c r="A553" s="24">
        <v>45454.960417000002</v>
      </c>
      <c r="B553" s="21">
        <v>63.165742999999999</v>
      </c>
      <c r="C553" s="22"/>
      <c r="D553" s="23"/>
    </row>
    <row r="554" spans="1:4" x14ac:dyDescent="0.3">
      <c r="A554" s="24">
        <v>45454.961110999997</v>
      </c>
      <c r="B554" s="21">
        <v>62.402354000000003</v>
      </c>
      <c r="C554" s="22"/>
      <c r="D554" s="23"/>
    </row>
    <row r="555" spans="1:4" x14ac:dyDescent="0.3">
      <c r="A555" s="24">
        <v>45454.961805999999</v>
      </c>
      <c r="B555" s="21">
        <v>63.089500000000001</v>
      </c>
      <c r="C555" s="22"/>
      <c r="D555" s="23"/>
    </row>
    <row r="556" spans="1:4" x14ac:dyDescent="0.3">
      <c r="A556" s="24">
        <v>45454.962500000001</v>
      </c>
      <c r="B556" s="21">
        <v>62.372546999999997</v>
      </c>
      <c r="C556" s="22"/>
      <c r="D556" s="23"/>
    </row>
    <row r="557" spans="1:4" x14ac:dyDescent="0.3">
      <c r="A557" s="24">
        <v>45454.963194000004</v>
      </c>
      <c r="B557" s="21">
        <v>63.354582999999998</v>
      </c>
      <c r="C557" s="22"/>
      <c r="D557" s="23"/>
    </row>
    <row r="558" spans="1:4" x14ac:dyDescent="0.3">
      <c r="A558" s="24">
        <v>45454.963888999999</v>
      </c>
      <c r="B558" s="21">
        <v>62.900289000000001</v>
      </c>
      <c r="C558" s="22"/>
      <c r="D558" s="23"/>
    </row>
    <row r="559" spans="1:4" x14ac:dyDescent="0.3">
      <c r="A559" s="24">
        <v>45454.964583000001</v>
      </c>
      <c r="B559" s="21">
        <v>62.851430999999998</v>
      </c>
      <c r="C559" s="22"/>
      <c r="D559" s="23"/>
    </row>
    <row r="560" spans="1:4" x14ac:dyDescent="0.3">
      <c r="A560" s="24">
        <v>45454.965278000003</v>
      </c>
      <c r="B560" s="21">
        <v>62.464874000000002</v>
      </c>
      <c r="C560" s="22"/>
      <c r="D560" s="23"/>
    </row>
    <row r="561" spans="1:4" x14ac:dyDescent="0.3">
      <c r="A561" s="24">
        <v>45454.965971999998</v>
      </c>
      <c r="B561" s="21">
        <v>62.788805000000004</v>
      </c>
      <c r="C561" s="22"/>
      <c r="D561" s="23"/>
    </row>
    <row r="562" spans="1:4" x14ac:dyDescent="0.3">
      <c r="A562" s="24">
        <v>45454.966667000001</v>
      </c>
      <c r="B562" s="21">
        <v>63.619844000000001</v>
      </c>
      <c r="C562" s="22"/>
      <c r="D562" s="23"/>
    </row>
    <row r="563" spans="1:4" x14ac:dyDescent="0.3">
      <c r="A563" s="24">
        <v>45454.967361000003</v>
      </c>
      <c r="B563" s="21">
        <v>63.072069999999997</v>
      </c>
      <c r="C563" s="22"/>
      <c r="D563" s="23"/>
    </row>
    <row r="564" spans="1:4" x14ac:dyDescent="0.3">
      <c r="A564" s="24">
        <v>45454.968055999998</v>
      </c>
      <c r="B564" s="21">
        <v>62.875115000000001</v>
      </c>
      <c r="C564" s="22"/>
      <c r="D564" s="23"/>
    </row>
    <row r="565" spans="1:4" x14ac:dyDescent="0.3">
      <c r="A565" s="24">
        <v>45454.96875</v>
      </c>
      <c r="B565" s="21">
        <v>63.449871999999999</v>
      </c>
      <c r="C565" s="22"/>
      <c r="D565" s="23"/>
    </row>
    <row r="566" spans="1:4" x14ac:dyDescent="0.3">
      <c r="A566" s="24">
        <v>45454.969444000002</v>
      </c>
      <c r="B566" s="21">
        <v>62.471304000000003</v>
      </c>
      <c r="C566" s="22"/>
      <c r="D566" s="23"/>
    </row>
    <row r="567" spans="1:4" x14ac:dyDescent="0.3">
      <c r="A567" s="24">
        <v>45454.970138999997</v>
      </c>
      <c r="B567" s="21">
        <v>63.436584000000003</v>
      </c>
      <c r="C567" s="22"/>
      <c r="D567" s="23"/>
    </row>
    <row r="568" spans="1:4" x14ac:dyDescent="0.3">
      <c r="A568" s="24">
        <v>45454.970832999999</v>
      </c>
      <c r="B568" s="21">
        <v>62.749313000000001</v>
      </c>
      <c r="C568" s="22"/>
      <c r="D568" s="23"/>
    </row>
    <row r="569" spans="1:4" x14ac:dyDescent="0.3">
      <c r="A569" s="24">
        <v>45454.971528000002</v>
      </c>
      <c r="B569" s="21">
        <v>62.659005999999998</v>
      </c>
      <c r="C569" s="22"/>
      <c r="D569" s="23"/>
    </row>
    <row r="570" spans="1:4" x14ac:dyDescent="0.3">
      <c r="A570" s="24">
        <v>45454.972221999997</v>
      </c>
      <c r="B570" s="21">
        <v>63.171940999999997</v>
      </c>
      <c r="C570" s="22"/>
      <c r="D570" s="23"/>
    </row>
    <row r="571" spans="1:4" x14ac:dyDescent="0.3">
      <c r="A571" s="24">
        <v>45454.972916999999</v>
      </c>
      <c r="B571" s="21">
        <v>63.268557999999999</v>
      </c>
      <c r="C571" s="22"/>
      <c r="D571" s="23"/>
    </row>
    <row r="572" spans="1:4" x14ac:dyDescent="0.3">
      <c r="A572" s="24">
        <v>45454.973611000001</v>
      </c>
      <c r="B572" s="21">
        <v>62.391162000000001</v>
      </c>
      <c r="C572" s="22"/>
      <c r="D572" s="23"/>
    </row>
    <row r="573" spans="1:4" x14ac:dyDescent="0.3">
      <c r="A573" s="24">
        <v>45454.974305999996</v>
      </c>
      <c r="B573" s="21">
        <v>63.195816000000001</v>
      </c>
      <c r="C573" s="22"/>
      <c r="D573" s="23"/>
    </row>
    <row r="574" spans="1:4" x14ac:dyDescent="0.3">
      <c r="A574" s="24">
        <v>45454.974999999999</v>
      </c>
      <c r="B574" s="21">
        <v>62.616810999999998</v>
      </c>
      <c r="C574" s="22"/>
      <c r="D574" s="23"/>
    </row>
    <row r="575" spans="1:4" x14ac:dyDescent="0.3">
      <c r="A575" s="24">
        <v>45454.975694000001</v>
      </c>
      <c r="B575" s="21">
        <v>62.680162000000003</v>
      </c>
      <c r="C575" s="22"/>
      <c r="D575" s="23"/>
    </row>
    <row r="576" spans="1:4" x14ac:dyDescent="0.3">
      <c r="A576" s="24">
        <v>45454.976389000003</v>
      </c>
      <c r="B576" s="21">
        <v>63.448444000000002</v>
      </c>
      <c r="C576" s="22"/>
      <c r="D576" s="23"/>
    </row>
    <row r="577" spans="1:4" x14ac:dyDescent="0.3">
      <c r="A577" s="24">
        <v>45454.977082999998</v>
      </c>
      <c r="B577" s="21">
        <v>62.860028</v>
      </c>
      <c r="C577" s="22"/>
      <c r="D577" s="23"/>
    </row>
    <row r="578" spans="1:4" x14ac:dyDescent="0.3">
      <c r="A578" s="24">
        <v>45454.977778</v>
      </c>
      <c r="B578" s="21">
        <v>62.207228000000001</v>
      </c>
      <c r="C578" s="22"/>
      <c r="D578" s="23"/>
    </row>
    <row r="579" spans="1:4" x14ac:dyDescent="0.3">
      <c r="A579" s="24">
        <v>45454.978472000003</v>
      </c>
      <c r="B579" s="21">
        <v>62.827992000000002</v>
      </c>
      <c r="C579" s="22"/>
      <c r="D579" s="23"/>
    </row>
    <row r="580" spans="1:4" x14ac:dyDescent="0.3">
      <c r="A580" s="24">
        <v>45454.979166999998</v>
      </c>
      <c r="B580" s="21">
        <v>62.666659000000003</v>
      </c>
      <c r="C580" s="22"/>
      <c r="D580" s="23"/>
    </row>
    <row r="581" spans="1:4" x14ac:dyDescent="0.3">
      <c r="A581" s="24">
        <v>45454.979861</v>
      </c>
      <c r="B581" s="21">
        <v>63.037641000000001</v>
      </c>
      <c r="C581" s="22"/>
      <c r="D581" s="23"/>
    </row>
    <row r="582" spans="1:4" x14ac:dyDescent="0.3">
      <c r="A582" s="24">
        <v>45454.980556000002</v>
      </c>
      <c r="B582" s="21">
        <v>62.454388999999999</v>
      </c>
      <c r="C582" s="22"/>
      <c r="D582" s="23"/>
    </row>
    <row r="583" spans="1:4" x14ac:dyDescent="0.3">
      <c r="A583" s="24">
        <v>45454.981249999997</v>
      </c>
      <c r="B583" s="21">
        <v>62.891041999999999</v>
      </c>
      <c r="C583" s="22"/>
      <c r="D583" s="23"/>
    </row>
    <row r="584" spans="1:4" x14ac:dyDescent="0.3">
      <c r="A584" s="24">
        <v>45454.981943999999</v>
      </c>
      <c r="B584" s="21">
        <v>63.219509000000002</v>
      </c>
      <c r="C584" s="22"/>
      <c r="D584" s="23"/>
    </row>
    <row r="585" spans="1:4" x14ac:dyDescent="0.3">
      <c r="A585" s="24">
        <v>45454.982639000002</v>
      </c>
      <c r="B585" s="21">
        <v>62.025759999999998</v>
      </c>
      <c r="C585" s="22"/>
      <c r="D585" s="23"/>
    </row>
    <row r="586" spans="1:4" x14ac:dyDescent="0.3">
      <c r="A586" s="24">
        <v>45454.983332999996</v>
      </c>
      <c r="B586" s="21">
        <v>63.032806999999998</v>
      </c>
      <c r="C586" s="22"/>
      <c r="D586" s="23"/>
    </row>
    <row r="587" spans="1:4" x14ac:dyDescent="0.3">
      <c r="A587" s="24">
        <v>45454.984027999999</v>
      </c>
      <c r="B587" s="21">
        <v>62.265304999999998</v>
      </c>
      <c r="C587" s="22"/>
      <c r="D587" s="23"/>
    </row>
    <row r="588" spans="1:4" x14ac:dyDescent="0.3">
      <c r="A588" s="24">
        <v>45454.984722000001</v>
      </c>
      <c r="B588" s="21">
        <v>62.555329999999998</v>
      </c>
      <c r="C588" s="22"/>
      <c r="D588" s="23"/>
    </row>
    <row r="589" spans="1:4" x14ac:dyDescent="0.3">
      <c r="A589" s="24">
        <v>45454.985417000004</v>
      </c>
      <c r="B589" s="21">
        <v>62.681080999999999</v>
      </c>
      <c r="C589" s="22"/>
      <c r="D589" s="23"/>
    </row>
    <row r="590" spans="1:4" x14ac:dyDescent="0.3">
      <c r="A590" s="24">
        <v>45454.986110999998</v>
      </c>
      <c r="B590" s="21">
        <v>62.965719999999997</v>
      </c>
      <c r="C590" s="22"/>
      <c r="D590" s="23"/>
    </row>
    <row r="591" spans="1:4" x14ac:dyDescent="0.3">
      <c r="A591" s="24">
        <v>45454.986806000001</v>
      </c>
      <c r="B591" s="21">
        <v>62.493498000000002</v>
      </c>
      <c r="C591" s="22"/>
      <c r="D591" s="23"/>
    </row>
    <row r="592" spans="1:4" x14ac:dyDescent="0.3">
      <c r="A592" s="24">
        <v>45454.987500000003</v>
      </c>
      <c r="B592" s="21">
        <v>62.687249000000001</v>
      </c>
      <c r="C592" s="22"/>
      <c r="D592" s="23"/>
    </row>
    <row r="593" spans="1:4" x14ac:dyDescent="0.3">
      <c r="A593" s="24">
        <v>45454.988193999998</v>
      </c>
      <c r="B593" s="21">
        <v>63.259756000000003</v>
      </c>
      <c r="C593" s="22"/>
      <c r="D593" s="23"/>
    </row>
    <row r="594" spans="1:4" x14ac:dyDescent="0.3">
      <c r="A594" s="24">
        <v>45454.988889</v>
      </c>
      <c r="B594" s="21">
        <v>62.921351999999999</v>
      </c>
      <c r="C594" s="22"/>
      <c r="D594" s="23"/>
    </row>
    <row r="595" spans="1:4" x14ac:dyDescent="0.3">
      <c r="A595" s="24">
        <v>45454.989583000002</v>
      </c>
      <c r="B595" s="21">
        <v>62.515416000000002</v>
      </c>
      <c r="C595" s="22"/>
      <c r="D595" s="23"/>
    </row>
    <row r="596" spans="1:4" x14ac:dyDescent="0.3">
      <c r="A596" s="24">
        <v>45454.990277999997</v>
      </c>
      <c r="B596" s="21">
        <v>62.550027</v>
      </c>
      <c r="C596" s="22"/>
      <c r="D596" s="23"/>
    </row>
    <row r="597" spans="1:4" x14ac:dyDescent="0.3">
      <c r="A597" s="24">
        <v>45454.990972</v>
      </c>
      <c r="B597" s="21">
        <v>62.800884000000003</v>
      </c>
      <c r="C597" s="22"/>
      <c r="D597" s="23"/>
    </row>
    <row r="598" spans="1:4" x14ac:dyDescent="0.3">
      <c r="A598" s="24">
        <v>45454.991667000002</v>
      </c>
      <c r="B598" s="21">
        <v>62.962206999999999</v>
      </c>
      <c r="C598" s="22"/>
      <c r="D598" s="23"/>
    </row>
    <row r="599" spans="1:4" x14ac:dyDescent="0.3">
      <c r="A599" s="24">
        <v>45454.992360999997</v>
      </c>
      <c r="B599" s="21">
        <v>62.390363000000001</v>
      </c>
      <c r="C599" s="22"/>
      <c r="D599" s="23"/>
    </row>
    <row r="600" spans="1:4" x14ac:dyDescent="0.3">
      <c r="A600" s="24">
        <v>45454.993055999999</v>
      </c>
      <c r="B600" s="21">
        <v>62.983528999999997</v>
      </c>
      <c r="C600" s="22"/>
      <c r="D600" s="23"/>
    </row>
    <row r="601" spans="1:4" x14ac:dyDescent="0.3">
      <c r="A601" s="24">
        <v>45454.993750000001</v>
      </c>
      <c r="B601" s="21">
        <v>62.863126999999999</v>
      </c>
      <c r="C601" s="22"/>
      <c r="D601" s="23"/>
    </row>
    <row r="602" spans="1:4" x14ac:dyDescent="0.3">
      <c r="A602" s="24">
        <v>45454.994444000004</v>
      </c>
      <c r="B602" s="21">
        <v>62.883805000000002</v>
      </c>
      <c r="C602" s="22"/>
      <c r="D602" s="23"/>
    </row>
    <row r="603" spans="1:4" x14ac:dyDescent="0.3">
      <c r="A603" s="24">
        <v>45454.995138999999</v>
      </c>
      <c r="B603" s="21">
        <v>62.510260000000002</v>
      </c>
      <c r="C603" s="22"/>
      <c r="D603" s="23"/>
    </row>
    <row r="604" spans="1:4" x14ac:dyDescent="0.3">
      <c r="A604" s="24">
        <v>45454.995833000001</v>
      </c>
      <c r="B604" s="21">
        <v>62.933207000000003</v>
      </c>
      <c r="C604" s="22"/>
      <c r="D604" s="23"/>
    </row>
    <row r="605" spans="1:4" x14ac:dyDescent="0.3">
      <c r="A605" s="24">
        <v>45454.996528000003</v>
      </c>
      <c r="B605" s="21">
        <v>62.091704</v>
      </c>
      <c r="C605" s="22"/>
      <c r="D605" s="23"/>
    </row>
    <row r="606" spans="1:4" x14ac:dyDescent="0.3">
      <c r="A606" s="24">
        <v>45454.997221999998</v>
      </c>
      <c r="B606" s="21">
        <v>62.578747</v>
      </c>
      <c r="C606" s="22"/>
      <c r="D606" s="23"/>
    </row>
    <row r="607" spans="1:4" x14ac:dyDescent="0.3">
      <c r="A607" s="24">
        <v>45454.997917000001</v>
      </c>
      <c r="B607" s="21">
        <v>62.605822000000003</v>
      </c>
      <c r="C607" s="22"/>
      <c r="D607" s="23"/>
    </row>
    <row r="608" spans="1:4" x14ac:dyDescent="0.3">
      <c r="A608" s="24">
        <v>45454.998611000003</v>
      </c>
      <c r="B608" s="21">
        <v>62.612499999999997</v>
      </c>
      <c r="C608" s="22"/>
      <c r="D608" s="23"/>
    </row>
    <row r="609" spans="1:4" x14ac:dyDescent="0.3">
      <c r="A609" s="24">
        <v>45454.999305999998</v>
      </c>
      <c r="B609" s="21">
        <v>62.319991000000002</v>
      </c>
      <c r="C609" s="22"/>
      <c r="D609" s="23"/>
    </row>
    <row r="610" spans="1:4" x14ac:dyDescent="0.3">
      <c r="A610" s="24">
        <v>45455</v>
      </c>
      <c r="B610" s="21">
        <v>62.222380999999999</v>
      </c>
      <c r="C610" s="22"/>
      <c r="D610" s="23"/>
    </row>
    <row r="611" spans="1:4" x14ac:dyDescent="0.3">
      <c r="A611" s="24">
        <v>45455.000694000002</v>
      </c>
      <c r="B611" s="21">
        <v>62.740983</v>
      </c>
      <c r="C611" s="22"/>
      <c r="D611" s="23"/>
    </row>
    <row r="612" spans="1:4" x14ac:dyDescent="0.3">
      <c r="A612" s="24">
        <v>45455.001388999997</v>
      </c>
      <c r="B612" s="21">
        <v>62.637124</v>
      </c>
      <c r="C612" s="22"/>
      <c r="D612" s="23"/>
    </row>
    <row r="613" spans="1:4" x14ac:dyDescent="0.3">
      <c r="A613" s="24">
        <v>45455.002082999999</v>
      </c>
      <c r="B613" s="21">
        <v>62.365265999999998</v>
      </c>
      <c r="C613" s="22"/>
      <c r="D613" s="23"/>
    </row>
    <row r="614" spans="1:4" x14ac:dyDescent="0.3">
      <c r="A614" s="24">
        <v>45455.002778000002</v>
      </c>
      <c r="B614" s="21">
        <v>62.872715999999997</v>
      </c>
      <c r="C614" s="22"/>
      <c r="D614" s="23"/>
    </row>
    <row r="615" spans="1:4" x14ac:dyDescent="0.3">
      <c r="A615" s="24">
        <v>45455.003471999997</v>
      </c>
      <c r="B615" s="21">
        <v>62.909838000000001</v>
      </c>
      <c r="C615" s="22"/>
      <c r="D615" s="23"/>
    </row>
    <row r="616" spans="1:4" x14ac:dyDescent="0.3">
      <c r="A616" s="24">
        <v>45455.004166999999</v>
      </c>
      <c r="B616" s="21">
        <v>62.957372999999997</v>
      </c>
      <c r="C616" s="22"/>
      <c r="D616" s="23"/>
    </row>
    <row r="617" spans="1:4" x14ac:dyDescent="0.3">
      <c r="A617" s="24">
        <v>45455.004861000001</v>
      </c>
      <c r="B617" s="21">
        <v>63.004505000000002</v>
      </c>
      <c r="C617" s="22"/>
      <c r="D617" s="23"/>
    </row>
    <row r="618" spans="1:4" x14ac:dyDescent="0.3">
      <c r="A618" s="24">
        <v>45455.005555999996</v>
      </c>
      <c r="B618" s="21">
        <v>62.478330999999997</v>
      </c>
      <c r="C618" s="22"/>
      <c r="D618" s="23"/>
    </row>
    <row r="619" spans="1:4" x14ac:dyDescent="0.3">
      <c r="A619" s="24">
        <v>45455.006249999999</v>
      </c>
      <c r="B619" s="21">
        <v>66.864839000000003</v>
      </c>
      <c r="C619" s="22"/>
      <c r="D619" s="23"/>
    </row>
    <row r="620" spans="1:4" x14ac:dyDescent="0.3">
      <c r="A620" s="24">
        <v>45455.006944000001</v>
      </c>
      <c r="B620" s="21">
        <v>67.530928000000003</v>
      </c>
      <c r="C620" s="22"/>
      <c r="D620" s="23"/>
    </row>
    <row r="621" spans="1:4" x14ac:dyDescent="0.3">
      <c r="A621" s="24">
        <v>45455.007639000003</v>
      </c>
      <c r="B621" s="21">
        <v>66.941132999999994</v>
      </c>
      <c r="C621" s="22"/>
      <c r="D621" s="23"/>
    </row>
    <row r="622" spans="1:4" x14ac:dyDescent="0.3">
      <c r="A622" s="24">
        <v>45455.008332999998</v>
      </c>
      <c r="B622" s="21">
        <v>66.328641000000005</v>
      </c>
      <c r="C622" s="22"/>
      <c r="D622" s="23"/>
    </row>
    <row r="623" spans="1:4" x14ac:dyDescent="0.3">
      <c r="A623" s="24">
        <v>45455.009028</v>
      </c>
      <c r="B623" s="21">
        <v>65.865452000000005</v>
      </c>
      <c r="C623" s="22"/>
      <c r="D623" s="23"/>
    </row>
    <row r="624" spans="1:4" x14ac:dyDescent="0.3">
      <c r="A624" s="24">
        <v>45455.009722000003</v>
      </c>
      <c r="B624" s="21">
        <v>66.895865999999998</v>
      </c>
      <c r="C624" s="22"/>
      <c r="D624" s="23"/>
    </row>
    <row r="625" spans="1:4" x14ac:dyDescent="0.3">
      <c r="A625" s="24">
        <v>45455.010416999998</v>
      </c>
      <c r="B625" s="21">
        <v>66.569877000000005</v>
      </c>
      <c r="C625" s="22"/>
      <c r="D625" s="23"/>
    </row>
    <row r="626" spans="1:4" x14ac:dyDescent="0.3">
      <c r="A626" s="24">
        <v>45455.011111</v>
      </c>
      <c r="B626" s="21">
        <v>67.635301999999996</v>
      </c>
      <c r="C626" s="22"/>
      <c r="D626" s="23"/>
    </row>
    <row r="627" spans="1:4" x14ac:dyDescent="0.3">
      <c r="A627" s="24">
        <v>45455.011806000002</v>
      </c>
      <c r="B627" s="21">
        <v>66.112781999999996</v>
      </c>
      <c r="C627" s="22"/>
      <c r="D627" s="23"/>
    </row>
    <row r="628" spans="1:4" x14ac:dyDescent="0.3">
      <c r="A628" s="24">
        <v>45455.012499999997</v>
      </c>
      <c r="B628" s="21">
        <v>66.608048999999994</v>
      </c>
      <c r="C628" s="22"/>
      <c r="D628" s="23"/>
    </row>
    <row r="629" spans="1:4" x14ac:dyDescent="0.3">
      <c r="A629" s="24">
        <v>45455.013193999999</v>
      </c>
      <c r="B629" s="21">
        <v>67.001473000000004</v>
      </c>
      <c r="C629" s="22"/>
      <c r="D629" s="23"/>
    </row>
    <row r="630" spans="1:4" x14ac:dyDescent="0.3">
      <c r="A630" s="24">
        <v>45455.013889000002</v>
      </c>
      <c r="B630" s="21">
        <v>66.202016999999998</v>
      </c>
      <c r="C630" s="22"/>
      <c r="D630" s="23"/>
    </row>
    <row r="631" spans="1:4" x14ac:dyDescent="0.3">
      <c r="A631" s="24">
        <v>45455.014582999996</v>
      </c>
      <c r="B631" s="21">
        <v>66.655966000000006</v>
      </c>
      <c r="C631" s="22"/>
      <c r="D631" s="23"/>
    </row>
    <row r="632" spans="1:4" x14ac:dyDescent="0.3">
      <c r="A632" s="24">
        <v>45455.015277999999</v>
      </c>
      <c r="B632" s="21">
        <v>66.620726000000005</v>
      </c>
      <c r="C632" s="22"/>
      <c r="D632" s="23"/>
    </row>
    <row r="633" spans="1:4" x14ac:dyDescent="0.3">
      <c r="A633" s="24">
        <v>45455.015972000001</v>
      </c>
      <c r="B633" s="21">
        <v>66.803364000000002</v>
      </c>
      <c r="C633" s="22"/>
      <c r="D633" s="23"/>
    </row>
    <row r="634" spans="1:4" x14ac:dyDescent="0.3">
      <c r="A634" s="24">
        <v>45455.016667000004</v>
      </c>
      <c r="B634" s="21">
        <v>66.543232000000003</v>
      </c>
      <c r="C634" s="22"/>
      <c r="D634" s="23"/>
    </row>
    <row r="635" spans="1:4" x14ac:dyDescent="0.3">
      <c r="A635" s="24">
        <v>45455.017360999998</v>
      </c>
      <c r="B635" s="21">
        <v>66.425989999999999</v>
      </c>
      <c r="C635" s="22"/>
      <c r="D635" s="23"/>
    </row>
    <row r="636" spans="1:4" x14ac:dyDescent="0.3">
      <c r="A636" s="24">
        <v>45455.018056000001</v>
      </c>
      <c r="B636" s="21">
        <v>66.228719999999996</v>
      </c>
      <c r="C636" s="22"/>
      <c r="D636" s="23"/>
    </row>
    <row r="637" spans="1:4" x14ac:dyDescent="0.3">
      <c r="A637" s="24">
        <v>45455.018750000003</v>
      </c>
      <c r="B637" s="21">
        <v>66.699053000000006</v>
      </c>
      <c r="C637" s="22"/>
      <c r="D637" s="23"/>
    </row>
    <row r="638" spans="1:4" x14ac:dyDescent="0.3">
      <c r="A638" s="24">
        <v>45455.019443999998</v>
      </c>
      <c r="B638" s="21">
        <v>66.633942000000005</v>
      </c>
      <c r="C638" s="22"/>
      <c r="D638" s="23"/>
    </row>
    <row r="639" spans="1:4" x14ac:dyDescent="0.3">
      <c r="A639" s="24">
        <v>45455.020139</v>
      </c>
      <c r="B639" s="21">
        <v>66.112604000000005</v>
      </c>
      <c r="C639" s="22"/>
      <c r="D639" s="23"/>
    </row>
    <row r="640" spans="1:4" x14ac:dyDescent="0.3">
      <c r="A640" s="24">
        <v>45455.020833000002</v>
      </c>
      <c r="B640" s="21">
        <v>66.037716000000003</v>
      </c>
      <c r="C640" s="22"/>
      <c r="D640" s="23"/>
    </row>
    <row r="641" spans="1:4" x14ac:dyDescent="0.3">
      <c r="A641" s="24">
        <v>45455.021527999997</v>
      </c>
      <c r="B641" s="21">
        <v>66.427419999999998</v>
      </c>
      <c r="C641" s="22"/>
      <c r="D641" s="23"/>
    </row>
    <row r="642" spans="1:4" x14ac:dyDescent="0.3">
      <c r="A642" s="24">
        <v>45455.022222</v>
      </c>
      <c r="B642" s="21">
        <v>66.788116000000002</v>
      </c>
      <c r="C642" s="22"/>
      <c r="D642" s="23"/>
    </row>
    <row r="643" spans="1:4" x14ac:dyDescent="0.3">
      <c r="A643" s="24">
        <v>45455.022917000002</v>
      </c>
      <c r="B643" s="21">
        <v>65.785989000000001</v>
      </c>
      <c r="C643" s="22"/>
      <c r="D643" s="23"/>
    </row>
    <row r="644" spans="1:4" x14ac:dyDescent="0.3">
      <c r="A644" s="24">
        <v>45455.023610999997</v>
      </c>
      <c r="B644" s="21">
        <v>66.347402000000002</v>
      </c>
      <c r="C644" s="22"/>
      <c r="D644" s="23"/>
    </row>
    <row r="645" spans="1:4" x14ac:dyDescent="0.3">
      <c r="A645" s="24">
        <v>45455.024305999999</v>
      </c>
      <c r="B645" s="21">
        <v>66.044849999999997</v>
      </c>
      <c r="C645" s="22"/>
      <c r="D645" s="23"/>
    </row>
    <row r="646" spans="1:4" x14ac:dyDescent="0.3">
      <c r="A646" s="24">
        <v>45455.025000000001</v>
      </c>
      <c r="B646" s="21">
        <v>66.280092999999994</v>
      </c>
      <c r="C646" s="22"/>
      <c r="D646" s="23"/>
    </row>
    <row r="647" spans="1:4" x14ac:dyDescent="0.3">
      <c r="A647" s="24">
        <v>45455.025694000004</v>
      </c>
      <c r="B647" s="21">
        <v>66.027863999999994</v>
      </c>
      <c r="C647" s="22"/>
      <c r="D647" s="23"/>
    </row>
    <row r="648" spans="1:4" x14ac:dyDescent="0.3">
      <c r="A648" s="24">
        <v>45455.026388999999</v>
      </c>
      <c r="B648" s="21">
        <v>66.466842999999997</v>
      </c>
      <c r="C648" s="22"/>
      <c r="D648" s="23"/>
    </row>
    <row r="649" spans="1:4" x14ac:dyDescent="0.3">
      <c r="A649" s="24">
        <v>45455.027083000001</v>
      </c>
      <c r="B649" s="21">
        <v>66.181832999999997</v>
      </c>
      <c r="C649" s="22"/>
      <c r="D649" s="23"/>
    </row>
    <row r="650" spans="1:4" x14ac:dyDescent="0.3">
      <c r="A650" s="24">
        <v>45455.027778000003</v>
      </c>
      <c r="B650" s="21">
        <v>65.815360999999996</v>
      </c>
      <c r="C650" s="22"/>
      <c r="D650" s="23"/>
    </row>
    <row r="651" spans="1:4" x14ac:dyDescent="0.3">
      <c r="A651" s="24">
        <v>45455.028471999998</v>
      </c>
      <c r="B651" s="21">
        <v>66.804837000000006</v>
      </c>
      <c r="C651" s="22"/>
      <c r="D651" s="23"/>
    </row>
    <row r="652" spans="1:4" x14ac:dyDescent="0.3">
      <c r="A652" s="24">
        <v>45455.029167000001</v>
      </c>
      <c r="B652" s="21">
        <v>65.493707999999998</v>
      </c>
      <c r="C652" s="22"/>
      <c r="D652" s="23"/>
    </row>
    <row r="653" spans="1:4" x14ac:dyDescent="0.3">
      <c r="A653" s="24">
        <v>45455.029861000003</v>
      </c>
      <c r="B653" s="21">
        <v>65.707552000000007</v>
      </c>
      <c r="C653" s="22"/>
      <c r="D653" s="23"/>
    </row>
    <row r="654" spans="1:4" x14ac:dyDescent="0.3">
      <c r="A654" s="24">
        <v>45455.030555999998</v>
      </c>
      <c r="B654" s="21">
        <v>65.894889000000006</v>
      </c>
      <c r="C654" s="22"/>
      <c r="D654" s="23"/>
    </row>
    <row r="655" spans="1:4" x14ac:dyDescent="0.3">
      <c r="A655" s="24">
        <v>45455.03125</v>
      </c>
      <c r="B655" s="21">
        <v>65.808040000000005</v>
      </c>
      <c r="C655" s="22"/>
      <c r="D655" s="23"/>
    </row>
    <row r="656" spans="1:4" x14ac:dyDescent="0.3">
      <c r="A656" s="24">
        <v>45455.031944000002</v>
      </c>
      <c r="B656" s="21">
        <v>66.400039000000007</v>
      </c>
      <c r="C656" s="22"/>
      <c r="D656" s="23"/>
    </row>
    <row r="657" spans="1:4" x14ac:dyDescent="0.3">
      <c r="A657" s="24">
        <v>45455.032638999997</v>
      </c>
      <c r="B657" s="21">
        <v>65.381966000000006</v>
      </c>
      <c r="C657" s="22"/>
      <c r="D657" s="23"/>
    </row>
    <row r="658" spans="1:4" x14ac:dyDescent="0.3">
      <c r="A658" s="24">
        <v>45455.033332999999</v>
      </c>
      <c r="B658" s="21">
        <v>65.835545999999994</v>
      </c>
      <c r="C658" s="22"/>
      <c r="D658" s="23"/>
    </row>
    <row r="659" spans="1:4" x14ac:dyDescent="0.3">
      <c r="A659" s="24">
        <v>45455.034028000002</v>
      </c>
      <c r="B659" s="21">
        <v>66.040992000000003</v>
      </c>
      <c r="C659" s="22"/>
      <c r="D659" s="23"/>
    </row>
    <row r="660" spans="1:4" x14ac:dyDescent="0.3">
      <c r="A660" s="24">
        <v>45455.034721999997</v>
      </c>
      <c r="B660" s="21">
        <v>66.320106999999993</v>
      </c>
      <c r="C660" s="22"/>
      <c r="D660" s="23"/>
    </row>
    <row r="661" spans="1:4" x14ac:dyDescent="0.3">
      <c r="A661" s="24">
        <v>45455.035416999999</v>
      </c>
      <c r="B661" s="21">
        <v>65.466596999999993</v>
      </c>
      <c r="C661" s="22"/>
      <c r="D661" s="23"/>
    </row>
    <row r="662" spans="1:4" x14ac:dyDescent="0.3">
      <c r="A662" s="24">
        <v>45455.036111000001</v>
      </c>
      <c r="B662" s="21">
        <v>66.333781000000002</v>
      </c>
      <c r="C662" s="22"/>
      <c r="D662" s="23"/>
    </row>
    <row r="663" spans="1:4" x14ac:dyDescent="0.3">
      <c r="A663" s="24">
        <v>45455.036805999996</v>
      </c>
      <c r="B663" s="21">
        <v>66.328922000000006</v>
      </c>
      <c r="C663" s="22"/>
      <c r="D663" s="23"/>
    </row>
    <row r="664" spans="1:4" x14ac:dyDescent="0.3">
      <c r="A664" s="24">
        <v>45455.037499999999</v>
      </c>
      <c r="B664" s="21">
        <v>65.820418000000004</v>
      </c>
      <c r="C664" s="22"/>
      <c r="D664" s="23"/>
    </row>
    <row r="665" spans="1:4" x14ac:dyDescent="0.3">
      <c r="A665" s="24">
        <v>45455.038194000001</v>
      </c>
      <c r="B665" s="21">
        <v>65.860906</v>
      </c>
      <c r="C665" s="22"/>
      <c r="D665" s="23"/>
    </row>
    <row r="666" spans="1:4" x14ac:dyDescent="0.3">
      <c r="A666" s="24">
        <v>45455.038889000003</v>
      </c>
      <c r="B666" s="21">
        <v>65.744399999999999</v>
      </c>
      <c r="C666" s="22"/>
      <c r="D666" s="23"/>
    </row>
    <row r="667" spans="1:4" x14ac:dyDescent="0.3">
      <c r="A667" s="24">
        <v>45455.039582999998</v>
      </c>
      <c r="B667" s="21">
        <v>65.641121999999996</v>
      </c>
      <c r="C667" s="22"/>
      <c r="D667" s="23"/>
    </row>
    <row r="668" spans="1:4" x14ac:dyDescent="0.3">
      <c r="A668" s="24">
        <v>45455.040278</v>
      </c>
      <c r="B668" s="21">
        <v>65.599198999999999</v>
      </c>
      <c r="C668" s="22"/>
      <c r="D668" s="23"/>
    </row>
    <row r="669" spans="1:4" x14ac:dyDescent="0.3">
      <c r="A669" s="24">
        <v>45455.040972000003</v>
      </c>
      <c r="B669" s="21">
        <v>65.680141000000006</v>
      </c>
      <c r="C669" s="22"/>
      <c r="D669" s="23"/>
    </row>
    <row r="670" spans="1:4" x14ac:dyDescent="0.3">
      <c r="A670" s="24">
        <v>45455.041666999998</v>
      </c>
      <c r="B670" s="21">
        <v>66.037075999999999</v>
      </c>
      <c r="C670" s="22"/>
      <c r="D670" s="23"/>
    </row>
    <row r="671" spans="1:4" x14ac:dyDescent="0.3">
      <c r="A671" s="24">
        <v>45455.042361</v>
      </c>
      <c r="B671" s="21">
        <v>65.853615000000005</v>
      </c>
      <c r="C671" s="22"/>
      <c r="D671" s="23"/>
    </row>
    <row r="672" spans="1:4" x14ac:dyDescent="0.3">
      <c r="A672" s="24">
        <v>45455.043056000002</v>
      </c>
      <c r="B672" s="21">
        <v>65.858715000000004</v>
      </c>
      <c r="C672" s="22"/>
      <c r="D672" s="23"/>
    </row>
    <row r="673" spans="1:4" x14ac:dyDescent="0.3">
      <c r="A673" s="24">
        <v>45455.043749999997</v>
      </c>
      <c r="B673" s="21">
        <v>65.786328999999995</v>
      </c>
      <c r="C673" s="22"/>
      <c r="D673" s="23"/>
    </row>
    <row r="674" spans="1:4" x14ac:dyDescent="0.3">
      <c r="A674" s="24">
        <v>45455.044443999999</v>
      </c>
      <c r="B674" s="21">
        <v>66.284567999999993</v>
      </c>
      <c r="C674" s="22"/>
      <c r="D674" s="23"/>
    </row>
    <row r="675" spans="1:4" x14ac:dyDescent="0.3">
      <c r="A675" s="24">
        <v>45455.045139000002</v>
      </c>
      <c r="B675" s="21">
        <v>65.788263000000001</v>
      </c>
      <c r="C675" s="22"/>
      <c r="D675" s="23"/>
    </row>
    <row r="676" spans="1:4" x14ac:dyDescent="0.3">
      <c r="A676" s="24">
        <v>45455.045832999996</v>
      </c>
      <c r="B676" s="21">
        <v>65.532798999999997</v>
      </c>
      <c r="C676" s="22"/>
      <c r="D676" s="23"/>
    </row>
    <row r="677" spans="1:4" x14ac:dyDescent="0.3">
      <c r="A677" s="24">
        <v>45455.046527999999</v>
      </c>
      <c r="B677" s="21">
        <v>65.472665000000006</v>
      </c>
      <c r="C677" s="22"/>
      <c r="D677" s="23"/>
    </row>
    <row r="678" spans="1:4" x14ac:dyDescent="0.3">
      <c r="A678" s="24">
        <v>45455.047222000001</v>
      </c>
      <c r="B678" s="21">
        <v>65.097001000000006</v>
      </c>
      <c r="C678" s="22"/>
      <c r="D678" s="23"/>
    </row>
    <row r="679" spans="1:4" x14ac:dyDescent="0.3">
      <c r="A679" s="24">
        <v>45455.047917000004</v>
      </c>
      <c r="B679" s="21">
        <v>65.496081000000004</v>
      </c>
      <c r="C679" s="22"/>
      <c r="D679" s="23"/>
    </row>
    <row r="680" spans="1:4" x14ac:dyDescent="0.3">
      <c r="A680" s="24">
        <v>45455.048610999998</v>
      </c>
      <c r="B680" s="21">
        <v>65.964737</v>
      </c>
      <c r="C680" s="22"/>
      <c r="D680" s="23"/>
    </row>
    <row r="681" spans="1:4" x14ac:dyDescent="0.3">
      <c r="A681" s="24">
        <v>45455.049306000001</v>
      </c>
      <c r="B681" s="21">
        <v>66.152649999999994</v>
      </c>
      <c r="C681" s="22"/>
      <c r="D681" s="23"/>
    </row>
    <row r="682" spans="1:4" x14ac:dyDescent="0.3">
      <c r="A682" s="24">
        <v>45455.05</v>
      </c>
      <c r="B682" s="21">
        <v>65.332565000000002</v>
      </c>
      <c r="C682" s="22"/>
      <c r="D682" s="23"/>
    </row>
    <row r="683" spans="1:4" x14ac:dyDescent="0.3">
      <c r="A683" s="24">
        <v>45455.050693999998</v>
      </c>
      <c r="B683" s="21">
        <v>65.724652000000006</v>
      </c>
      <c r="C683" s="22"/>
      <c r="D683" s="23"/>
    </row>
    <row r="684" spans="1:4" x14ac:dyDescent="0.3">
      <c r="A684" s="24">
        <v>45455.051389</v>
      </c>
      <c r="B684" s="21">
        <v>65.525319999999994</v>
      </c>
      <c r="C684" s="22"/>
      <c r="D684" s="23"/>
    </row>
    <row r="685" spans="1:4" x14ac:dyDescent="0.3">
      <c r="A685" s="24">
        <v>45455.052083000002</v>
      </c>
      <c r="B685" s="21">
        <v>65.964990999999998</v>
      </c>
      <c r="C685" s="22"/>
      <c r="D685" s="23"/>
    </row>
    <row r="686" spans="1:4" x14ac:dyDescent="0.3">
      <c r="A686" s="24">
        <v>45455.052777999997</v>
      </c>
      <c r="B686" s="21">
        <v>65.436244000000002</v>
      </c>
      <c r="C686" s="22"/>
      <c r="D686" s="23"/>
    </row>
    <row r="687" spans="1:4" x14ac:dyDescent="0.3">
      <c r="A687" s="24">
        <v>45455.053472</v>
      </c>
      <c r="B687" s="21">
        <v>65.898561000000001</v>
      </c>
      <c r="C687" s="22"/>
      <c r="D687" s="23"/>
    </row>
    <row r="688" spans="1:4" x14ac:dyDescent="0.3">
      <c r="A688" s="24">
        <v>45455.054167000002</v>
      </c>
      <c r="B688" s="21">
        <v>65.676911000000004</v>
      </c>
      <c r="C688" s="22"/>
      <c r="D688" s="23"/>
    </row>
    <row r="689" spans="1:4" x14ac:dyDescent="0.3">
      <c r="A689" s="24">
        <v>45455.054860999997</v>
      </c>
      <c r="B689" s="21">
        <v>66.113471000000004</v>
      </c>
      <c r="C689" s="22"/>
      <c r="D689" s="23"/>
    </row>
    <row r="690" spans="1:4" x14ac:dyDescent="0.3">
      <c r="A690" s="24">
        <v>45455.055555999999</v>
      </c>
      <c r="B690" s="21">
        <v>65.673120999999995</v>
      </c>
      <c r="C690" s="22"/>
      <c r="D690" s="23"/>
    </row>
    <row r="691" spans="1:4" x14ac:dyDescent="0.3">
      <c r="A691" s="24">
        <v>45455.056250000001</v>
      </c>
      <c r="B691" s="21">
        <v>65.719043999999997</v>
      </c>
      <c r="C691" s="22"/>
      <c r="D691" s="23"/>
    </row>
    <row r="692" spans="1:4" x14ac:dyDescent="0.3">
      <c r="A692" s="24">
        <v>45455.056944000004</v>
      </c>
      <c r="B692" s="21">
        <v>66.129726000000005</v>
      </c>
      <c r="C692" s="22"/>
      <c r="D692" s="23"/>
    </row>
    <row r="693" spans="1:4" x14ac:dyDescent="0.3">
      <c r="A693" s="24">
        <v>45455.057638999999</v>
      </c>
      <c r="B693" s="21">
        <v>65.231661000000003</v>
      </c>
      <c r="C693" s="22"/>
      <c r="D693" s="23"/>
    </row>
    <row r="694" spans="1:4" x14ac:dyDescent="0.3">
      <c r="A694" s="24">
        <v>45455.058333000001</v>
      </c>
      <c r="B694" s="21">
        <v>66.007322000000002</v>
      </c>
      <c r="C694" s="22"/>
      <c r="D694" s="23"/>
    </row>
    <row r="695" spans="1:4" x14ac:dyDescent="0.3">
      <c r="A695" s="24">
        <v>45455.059028000003</v>
      </c>
      <c r="B695" s="21">
        <v>66.203299000000001</v>
      </c>
      <c r="C695" s="22"/>
      <c r="D695" s="23"/>
    </row>
    <row r="696" spans="1:4" x14ac:dyDescent="0.3">
      <c r="A696" s="24">
        <v>45455.059721999998</v>
      </c>
      <c r="B696" s="21">
        <v>65.122962999999999</v>
      </c>
      <c r="C696" s="22"/>
      <c r="D696" s="23"/>
    </row>
    <row r="697" spans="1:4" x14ac:dyDescent="0.3">
      <c r="A697" s="24">
        <v>45455.060417000001</v>
      </c>
      <c r="B697" s="21">
        <v>65.589059000000006</v>
      </c>
      <c r="C697" s="22"/>
      <c r="D697" s="23"/>
    </row>
    <row r="698" spans="1:4" x14ac:dyDescent="0.3">
      <c r="A698" s="24">
        <v>45455.061111000003</v>
      </c>
      <c r="B698" s="21">
        <v>65.881394</v>
      </c>
      <c r="C698" s="22"/>
      <c r="D698" s="23"/>
    </row>
    <row r="699" spans="1:4" x14ac:dyDescent="0.3">
      <c r="A699" s="24">
        <v>45455.061805999998</v>
      </c>
      <c r="B699" s="21">
        <v>66.141660000000002</v>
      </c>
      <c r="C699" s="22"/>
      <c r="D699" s="23"/>
    </row>
    <row r="700" spans="1:4" x14ac:dyDescent="0.3">
      <c r="A700" s="24">
        <v>45455.0625</v>
      </c>
      <c r="B700" s="21">
        <v>66.059630999999996</v>
      </c>
      <c r="C700" s="22"/>
      <c r="D700" s="23"/>
    </row>
    <row r="701" spans="1:4" x14ac:dyDescent="0.3">
      <c r="A701" s="24">
        <v>45455.063194000002</v>
      </c>
      <c r="B701" s="21">
        <v>66.038060999999999</v>
      </c>
      <c r="C701" s="22"/>
      <c r="D701" s="23"/>
    </row>
    <row r="702" spans="1:4" x14ac:dyDescent="0.3">
      <c r="A702" s="24">
        <v>45455.063888999997</v>
      </c>
      <c r="B702" s="21">
        <v>65.642543000000003</v>
      </c>
      <c r="C702" s="22"/>
      <c r="D702" s="23"/>
    </row>
    <row r="703" spans="1:4" x14ac:dyDescent="0.3">
      <c r="A703" s="24">
        <v>45455.064582999999</v>
      </c>
      <c r="B703" s="21">
        <v>65.817374000000001</v>
      </c>
      <c r="C703" s="22"/>
      <c r="D703" s="23"/>
    </row>
    <row r="704" spans="1:4" x14ac:dyDescent="0.3">
      <c r="A704" s="24">
        <v>45455.065278000002</v>
      </c>
      <c r="B704" s="21">
        <v>66.020015000000001</v>
      </c>
      <c r="C704" s="22"/>
      <c r="D704" s="23"/>
    </row>
    <row r="705" spans="1:4" x14ac:dyDescent="0.3">
      <c r="A705" s="24">
        <v>45455.065971999997</v>
      </c>
      <c r="B705" s="21">
        <v>65.449202999999997</v>
      </c>
      <c r="C705" s="22"/>
      <c r="D705" s="23"/>
    </row>
    <row r="706" spans="1:4" x14ac:dyDescent="0.3">
      <c r="A706" s="24">
        <v>45455.066666999999</v>
      </c>
      <c r="B706" s="21">
        <v>65.391553000000002</v>
      </c>
      <c r="C706" s="22"/>
      <c r="D706" s="23"/>
    </row>
    <row r="707" spans="1:4" x14ac:dyDescent="0.3">
      <c r="A707" s="24">
        <v>45455.067361000001</v>
      </c>
      <c r="B707" s="21">
        <v>65.491304999999997</v>
      </c>
      <c r="C707" s="22"/>
      <c r="D707" s="23"/>
    </row>
    <row r="708" spans="1:4" x14ac:dyDescent="0.3">
      <c r="A708" s="24">
        <v>45455.068055999996</v>
      </c>
      <c r="B708" s="21">
        <v>65.841691999999995</v>
      </c>
      <c r="C708" s="22"/>
      <c r="D708" s="23"/>
    </row>
    <row r="709" spans="1:4" x14ac:dyDescent="0.3">
      <c r="A709" s="24">
        <v>45455.068749999999</v>
      </c>
      <c r="B709" s="21">
        <v>65.646652000000003</v>
      </c>
      <c r="C709" s="22"/>
      <c r="D709" s="23"/>
    </row>
    <row r="710" spans="1:4" x14ac:dyDescent="0.3">
      <c r="A710" s="24">
        <v>45455.069444000001</v>
      </c>
      <c r="B710" s="21">
        <v>65.891623999999993</v>
      </c>
      <c r="C710" s="22"/>
      <c r="D710" s="23"/>
    </row>
    <row r="711" spans="1:4" x14ac:dyDescent="0.3">
      <c r="A711" s="24">
        <v>45455.070139000003</v>
      </c>
      <c r="B711" s="21">
        <v>65.254827000000006</v>
      </c>
      <c r="C711" s="22"/>
      <c r="D711" s="23"/>
    </row>
    <row r="712" spans="1:4" x14ac:dyDescent="0.3">
      <c r="A712" s="24">
        <v>45455.070832999998</v>
      </c>
      <c r="B712" s="21">
        <v>65.998361000000003</v>
      </c>
      <c r="C712" s="22"/>
      <c r="D712" s="23"/>
    </row>
    <row r="713" spans="1:4" x14ac:dyDescent="0.3">
      <c r="A713" s="24">
        <v>45455.071528</v>
      </c>
      <c r="B713" s="21">
        <v>65.991834999999995</v>
      </c>
      <c r="C713" s="22"/>
      <c r="D713" s="23"/>
    </row>
    <row r="714" spans="1:4" x14ac:dyDescent="0.3">
      <c r="A714" s="24">
        <v>45455.072222000003</v>
      </c>
      <c r="B714" s="21">
        <v>65.224463999999998</v>
      </c>
      <c r="C714" s="22"/>
      <c r="D714" s="23"/>
    </row>
    <row r="715" spans="1:4" x14ac:dyDescent="0.3">
      <c r="A715" s="24">
        <v>45455.072916999998</v>
      </c>
      <c r="B715" s="21">
        <v>65.577573000000001</v>
      </c>
      <c r="C715" s="22"/>
      <c r="D715" s="23"/>
    </row>
    <row r="716" spans="1:4" x14ac:dyDescent="0.3">
      <c r="A716" s="24">
        <v>45455.073611</v>
      </c>
      <c r="B716" s="21">
        <v>65.388029000000003</v>
      </c>
      <c r="C716" s="22"/>
      <c r="D716" s="23"/>
    </row>
    <row r="717" spans="1:4" x14ac:dyDescent="0.3">
      <c r="A717" s="24">
        <v>45455.074306000002</v>
      </c>
      <c r="B717" s="21">
        <v>65.420129000000003</v>
      </c>
      <c r="C717" s="22"/>
      <c r="D717" s="23"/>
    </row>
    <row r="718" spans="1:4" x14ac:dyDescent="0.3">
      <c r="A718" s="24">
        <v>45455.074999999997</v>
      </c>
      <c r="B718" s="21">
        <v>65.488472000000002</v>
      </c>
      <c r="C718" s="22"/>
      <c r="D718" s="23"/>
    </row>
    <row r="719" spans="1:4" x14ac:dyDescent="0.3">
      <c r="A719" s="24">
        <v>45455.075693999999</v>
      </c>
      <c r="B719" s="21">
        <v>65.730097999999998</v>
      </c>
      <c r="C719" s="22"/>
      <c r="D719" s="23"/>
    </row>
    <row r="720" spans="1:4" x14ac:dyDescent="0.3">
      <c r="A720" s="24">
        <v>45455.076389000002</v>
      </c>
      <c r="B720" s="21">
        <v>65.512013999999994</v>
      </c>
      <c r="C720" s="22"/>
      <c r="D720" s="23"/>
    </row>
    <row r="721" spans="1:4" x14ac:dyDescent="0.3">
      <c r="A721" s="24">
        <v>45455.077082999996</v>
      </c>
      <c r="B721" s="21">
        <v>65.301173000000006</v>
      </c>
      <c r="C721" s="22"/>
      <c r="D721" s="23"/>
    </row>
    <row r="722" spans="1:4" x14ac:dyDescent="0.3">
      <c r="A722" s="24">
        <v>45455.077777999999</v>
      </c>
      <c r="B722" s="21">
        <v>65.433969000000005</v>
      </c>
      <c r="C722" s="22"/>
      <c r="D722" s="23"/>
    </row>
    <row r="723" spans="1:4" x14ac:dyDescent="0.3">
      <c r="A723" s="24">
        <v>45455.078472000001</v>
      </c>
      <c r="B723" s="21">
        <v>65.744884999999996</v>
      </c>
      <c r="C723" s="22"/>
      <c r="D723" s="23"/>
    </row>
    <row r="724" spans="1:4" x14ac:dyDescent="0.3">
      <c r="A724" s="24">
        <v>45455.079167000004</v>
      </c>
      <c r="B724" s="21">
        <v>66.026599000000004</v>
      </c>
      <c r="C724" s="22"/>
      <c r="D724" s="23"/>
    </row>
    <row r="725" spans="1:4" x14ac:dyDescent="0.3">
      <c r="A725" s="24">
        <v>45455.079860999998</v>
      </c>
      <c r="B725" s="21">
        <v>66.130807000000004</v>
      </c>
      <c r="C725" s="22"/>
      <c r="D725" s="23"/>
    </row>
    <row r="726" spans="1:4" x14ac:dyDescent="0.3">
      <c r="A726" s="24">
        <v>45455.080556000001</v>
      </c>
      <c r="B726" s="21">
        <v>65.652614</v>
      </c>
      <c r="C726" s="22"/>
      <c r="D726" s="23"/>
    </row>
    <row r="727" spans="1:4" x14ac:dyDescent="0.3">
      <c r="A727" s="24">
        <v>45455.081250000003</v>
      </c>
      <c r="B727" s="21">
        <v>65.197650999999993</v>
      </c>
      <c r="C727" s="22"/>
      <c r="D727" s="23"/>
    </row>
    <row r="728" spans="1:4" x14ac:dyDescent="0.3">
      <c r="A728" s="24">
        <v>45455.081943999998</v>
      </c>
      <c r="B728" s="21">
        <v>65.577878999999996</v>
      </c>
      <c r="C728" s="22"/>
      <c r="D728" s="23"/>
    </row>
    <row r="729" spans="1:4" x14ac:dyDescent="0.3">
      <c r="A729" s="24">
        <v>45455.082639</v>
      </c>
      <c r="B729" s="21">
        <v>65.565956</v>
      </c>
      <c r="C729" s="22"/>
      <c r="D729" s="23"/>
    </row>
    <row r="730" spans="1:4" x14ac:dyDescent="0.3">
      <c r="A730" s="24">
        <v>45455.083333000002</v>
      </c>
      <c r="B730" s="21">
        <v>65.716730999999996</v>
      </c>
      <c r="C730" s="22"/>
      <c r="D730" s="23"/>
    </row>
    <row r="731" spans="1:4" x14ac:dyDescent="0.3">
      <c r="A731" s="24">
        <v>45455.084027999997</v>
      </c>
      <c r="B731" s="21">
        <v>65.068550999999999</v>
      </c>
      <c r="C731" s="22"/>
      <c r="D731" s="23"/>
    </row>
    <row r="732" spans="1:4" x14ac:dyDescent="0.3">
      <c r="A732" s="24">
        <v>45455.084722</v>
      </c>
      <c r="B732" s="21">
        <v>65.181067999999996</v>
      </c>
      <c r="C732" s="22"/>
      <c r="D732" s="23"/>
    </row>
    <row r="733" spans="1:4" x14ac:dyDescent="0.3">
      <c r="A733" s="24">
        <v>45455.085417000002</v>
      </c>
      <c r="B733" s="21">
        <v>65.347376999999994</v>
      </c>
      <c r="C733" s="22"/>
      <c r="D733" s="23"/>
    </row>
    <row r="734" spans="1:4" x14ac:dyDescent="0.3">
      <c r="A734" s="24">
        <v>45455.086110999997</v>
      </c>
      <c r="B734" s="21">
        <v>65.473782</v>
      </c>
      <c r="C734" s="22"/>
      <c r="D734" s="23"/>
    </row>
    <row r="735" spans="1:4" x14ac:dyDescent="0.3">
      <c r="A735" s="24">
        <v>45455.086805999999</v>
      </c>
      <c r="B735" s="21">
        <v>65.955806999999993</v>
      </c>
      <c r="C735" s="22"/>
      <c r="D735" s="23"/>
    </row>
    <row r="736" spans="1:4" x14ac:dyDescent="0.3">
      <c r="A736" s="24">
        <v>45455.087500000001</v>
      </c>
      <c r="B736" s="21">
        <v>65.765941999999995</v>
      </c>
      <c r="C736" s="22"/>
      <c r="D736" s="23"/>
    </row>
    <row r="737" spans="1:4" x14ac:dyDescent="0.3">
      <c r="A737" s="24">
        <v>45455.088194000004</v>
      </c>
      <c r="B737" s="21">
        <v>65.280446999999995</v>
      </c>
      <c r="C737" s="22"/>
      <c r="D737" s="23"/>
    </row>
    <row r="738" spans="1:4" x14ac:dyDescent="0.3">
      <c r="A738" s="24">
        <v>45455.088888999999</v>
      </c>
      <c r="B738" s="21">
        <v>65.966166000000001</v>
      </c>
      <c r="C738" s="22"/>
      <c r="D738" s="23"/>
    </row>
    <row r="739" spans="1:4" x14ac:dyDescent="0.3">
      <c r="A739" s="24">
        <v>45455.089583000001</v>
      </c>
      <c r="B739" s="21">
        <v>69.679958999999997</v>
      </c>
      <c r="C739" s="22"/>
      <c r="D739" s="23"/>
    </row>
    <row r="740" spans="1:4" x14ac:dyDescent="0.3">
      <c r="A740" s="24">
        <v>45455.090278000003</v>
      </c>
      <c r="B740" s="21">
        <v>69.710559000000003</v>
      </c>
      <c r="C740" s="22"/>
      <c r="D740" s="23"/>
    </row>
    <row r="741" spans="1:4" x14ac:dyDescent="0.3">
      <c r="A741" s="24">
        <v>45455.090971999998</v>
      </c>
      <c r="B741" s="21">
        <v>69.790130000000005</v>
      </c>
      <c r="C741" s="22"/>
      <c r="D741" s="23"/>
    </row>
    <row r="742" spans="1:4" x14ac:dyDescent="0.3">
      <c r="A742" s="24">
        <v>45455.091667000001</v>
      </c>
      <c r="B742" s="21">
        <v>69.637366</v>
      </c>
      <c r="C742" s="22"/>
      <c r="D742" s="23"/>
    </row>
    <row r="743" spans="1:4" x14ac:dyDescent="0.3">
      <c r="A743" s="24">
        <v>45455.092361000003</v>
      </c>
      <c r="B743" s="21">
        <v>69.747084000000001</v>
      </c>
      <c r="C743" s="22"/>
      <c r="D743" s="23"/>
    </row>
    <row r="744" spans="1:4" x14ac:dyDescent="0.3">
      <c r="A744" s="24">
        <v>45455.093055999998</v>
      </c>
      <c r="B744" s="21">
        <v>69.858559999999997</v>
      </c>
      <c r="C744" s="22"/>
      <c r="D744" s="23"/>
    </row>
    <row r="745" spans="1:4" x14ac:dyDescent="0.3">
      <c r="A745" s="24">
        <v>45455.09375</v>
      </c>
      <c r="B745" s="21">
        <v>69.791655000000006</v>
      </c>
      <c r="C745" s="22"/>
      <c r="D745" s="23"/>
    </row>
    <row r="746" spans="1:4" x14ac:dyDescent="0.3">
      <c r="A746" s="24">
        <v>45455.094444000002</v>
      </c>
      <c r="B746" s="21">
        <v>69.808586000000005</v>
      </c>
      <c r="C746" s="22"/>
      <c r="D746" s="23"/>
    </row>
    <row r="747" spans="1:4" x14ac:dyDescent="0.3">
      <c r="A747" s="24">
        <v>45455.095138999997</v>
      </c>
      <c r="B747" s="21">
        <v>69.829323000000002</v>
      </c>
      <c r="C747" s="22"/>
      <c r="D747" s="23"/>
    </row>
    <row r="748" spans="1:4" x14ac:dyDescent="0.3">
      <c r="A748" s="24">
        <v>45455.095832999999</v>
      </c>
      <c r="B748" s="21">
        <v>69.760723999999996</v>
      </c>
      <c r="C748" s="22"/>
      <c r="D748" s="23"/>
    </row>
    <row r="749" spans="1:4" x14ac:dyDescent="0.3">
      <c r="A749" s="24">
        <v>45455.096528000002</v>
      </c>
      <c r="B749" s="21">
        <v>69.851975999999993</v>
      </c>
      <c r="C749" s="22"/>
      <c r="D749" s="23"/>
    </row>
    <row r="750" spans="1:4" x14ac:dyDescent="0.3">
      <c r="A750" s="24">
        <v>45455.097221999997</v>
      </c>
      <c r="B750" s="21">
        <v>70.185329999999993</v>
      </c>
      <c r="C750" s="22"/>
      <c r="D750" s="23"/>
    </row>
    <row r="751" spans="1:4" x14ac:dyDescent="0.3">
      <c r="A751" s="24">
        <v>45455.097916999999</v>
      </c>
      <c r="B751" s="21">
        <v>69.710819999999998</v>
      </c>
      <c r="C751" s="22"/>
      <c r="D751" s="23"/>
    </row>
    <row r="752" spans="1:4" x14ac:dyDescent="0.3">
      <c r="A752" s="24">
        <v>45455.098611000001</v>
      </c>
      <c r="B752" s="21">
        <v>70.215123000000006</v>
      </c>
      <c r="C752" s="22"/>
      <c r="D752" s="23"/>
    </row>
    <row r="753" spans="1:4" x14ac:dyDescent="0.3">
      <c r="A753" s="24">
        <v>45455.099305999996</v>
      </c>
      <c r="B753" s="21">
        <v>70.280080999999996</v>
      </c>
      <c r="C753" s="22"/>
      <c r="D753" s="23"/>
    </row>
    <row r="754" spans="1:4" x14ac:dyDescent="0.3">
      <c r="A754" s="24">
        <v>45455.1</v>
      </c>
      <c r="B754" s="21">
        <v>69.962791999999993</v>
      </c>
      <c r="C754" s="22"/>
      <c r="D754" s="23"/>
    </row>
    <row r="755" spans="1:4" x14ac:dyDescent="0.3">
      <c r="A755" s="24">
        <v>45455.100694000001</v>
      </c>
      <c r="B755" s="21">
        <v>70.037448999999995</v>
      </c>
      <c r="C755" s="22"/>
      <c r="D755" s="23"/>
    </row>
    <row r="756" spans="1:4" x14ac:dyDescent="0.3">
      <c r="A756" s="24">
        <v>45455.101389000003</v>
      </c>
      <c r="B756" s="21">
        <v>69.718193999999997</v>
      </c>
      <c r="C756" s="22"/>
      <c r="D756" s="23"/>
    </row>
    <row r="757" spans="1:4" x14ac:dyDescent="0.3">
      <c r="A757" s="24">
        <v>45455.102082999998</v>
      </c>
      <c r="B757" s="21">
        <v>69.818093000000005</v>
      </c>
      <c r="C757" s="22"/>
      <c r="D757" s="23"/>
    </row>
    <row r="758" spans="1:4" x14ac:dyDescent="0.3">
      <c r="A758" s="24">
        <v>45455.102778</v>
      </c>
      <c r="B758" s="21">
        <v>69.518810000000002</v>
      </c>
      <c r="C758" s="22"/>
      <c r="D758" s="23"/>
    </row>
    <row r="759" spans="1:4" x14ac:dyDescent="0.3">
      <c r="A759" s="24">
        <v>45455.103472000003</v>
      </c>
      <c r="B759" s="21">
        <v>69.256272999999993</v>
      </c>
      <c r="C759" s="22"/>
      <c r="D759" s="23"/>
    </row>
    <row r="760" spans="1:4" x14ac:dyDescent="0.3">
      <c r="A760" s="24">
        <v>45455.104166999998</v>
      </c>
      <c r="B760" s="21">
        <v>69.554990000000004</v>
      </c>
      <c r="C760" s="22"/>
      <c r="D760" s="23"/>
    </row>
    <row r="761" spans="1:4" x14ac:dyDescent="0.3">
      <c r="A761" s="24">
        <v>45455.104861</v>
      </c>
      <c r="B761" s="21">
        <v>69.718903999999995</v>
      </c>
      <c r="C761" s="22"/>
      <c r="D761" s="23"/>
    </row>
    <row r="762" spans="1:4" x14ac:dyDescent="0.3">
      <c r="A762" s="24">
        <v>45455.105556000002</v>
      </c>
      <c r="B762" s="21">
        <v>69.173175999999998</v>
      </c>
      <c r="C762" s="22"/>
      <c r="D762" s="23"/>
    </row>
    <row r="763" spans="1:4" x14ac:dyDescent="0.3">
      <c r="A763" s="24">
        <v>45455.106249999997</v>
      </c>
      <c r="B763" s="21">
        <v>69.977586000000002</v>
      </c>
      <c r="C763" s="22"/>
      <c r="D763" s="23"/>
    </row>
    <row r="764" spans="1:4" x14ac:dyDescent="0.3">
      <c r="A764" s="24">
        <v>45455.106943999999</v>
      </c>
      <c r="B764" s="21">
        <v>69.725877999999994</v>
      </c>
      <c r="C764" s="22"/>
      <c r="D764" s="23"/>
    </row>
    <row r="765" spans="1:4" x14ac:dyDescent="0.3">
      <c r="A765" s="24">
        <v>45455.107639000002</v>
      </c>
      <c r="B765" s="21">
        <v>69.479063999999994</v>
      </c>
      <c r="C765" s="22"/>
      <c r="D765" s="23"/>
    </row>
    <row r="766" spans="1:4" x14ac:dyDescent="0.3">
      <c r="A766" s="24">
        <v>45455.108332999996</v>
      </c>
      <c r="B766" s="21">
        <v>69.254818</v>
      </c>
      <c r="C766" s="22"/>
      <c r="D766" s="23"/>
    </row>
    <row r="767" spans="1:4" x14ac:dyDescent="0.3">
      <c r="A767" s="24">
        <v>45455.109027999999</v>
      </c>
      <c r="B767" s="21">
        <v>68.959128000000007</v>
      </c>
      <c r="C767" s="22"/>
      <c r="D767" s="23"/>
    </row>
    <row r="768" spans="1:4" x14ac:dyDescent="0.3">
      <c r="A768" s="24">
        <v>45455.109722000001</v>
      </c>
      <c r="B768" s="21">
        <v>69.071269999999998</v>
      </c>
      <c r="C768" s="22"/>
      <c r="D768" s="23"/>
    </row>
    <row r="769" spans="1:4" x14ac:dyDescent="0.3">
      <c r="A769" s="24">
        <v>45455.110417000004</v>
      </c>
      <c r="B769" s="21">
        <v>69.724682000000001</v>
      </c>
      <c r="C769" s="22"/>
      <c r="D769" s="23"/>
    </row>
    <row r="770" spans="1:4" x14ac:dyDescent="0.3">
      <c r="A770" s="24">
        <v>45455.111110999998</v>
      </c>
      <c r="B770" s="21">
        <v>69.707342999999995</v>
      </c>
      <c r="C770" s="22"/>
      <c r="D770" s="23"/>
    </row>
    <row r="771" spans="1:4" x14ac:dyDescent="0.3">
      <c r="A771" s="24">
        <v>45455.111806000001</v>
      </c>
      <c r="B771" s="21">
        <v>68.989491000000001</v>
      </c>
      <c r="C771" s="22"/>
      <c r="D771" s="23"/>
    </row>
    <row r="772" spans="1:4" x14ac:dyDescent="0.3">
      <c r="A772" s="24">
        <v>45455.112500000003</v>
      </c>
      <c r="B772" s="21">
        <v>70.029791000000003</v>
      </c>
      <c r="C772" s="22"/>
      <c r="D772" s="23"/>
    </row>
    <row r="773" spans="1:4" x14ac:dyDescent="0.3">
      <c r="A773" s="24">
        <v>45455.113193999998</v>
      </c>
      <c r="B773" s="21">
        <v>69.707357000000002</v>
      </c>
      <c r="C773" s="22"/>
      <c r="D773" s="23"/>
    </row>
    <row r="774" spans="1:4" x14ac:dyDescent="0.3">
      <c r="A774" s="24">
        <v>45455.113889</v>
      </c>
      <c r="B774" s="21">
        <v>69.603694000000004</v>
      </c>
      <c r="C774" s="22"/>
      <c r="D774" s="23"/>
    </row>
    <row r="775" spans="1:4" x14ac:dyDescent="0.3">
      <c r="A775" s="24">
        <v>45455.114583000002</v>
      </c>
      <c r="B775" s="21">
        <v>69.458580999999995</v>
      </c>
      <c r="C775" s="22"/>
      <c r="D775" s="23"/>
    </row>
    <row r="776" spans="1:4" x14ac:dyDescent="0.3">
      <c r="A776" s="24">
        <v>45455.115277999997</v>
      </c>
      <c r="B776" s="21">
        <v>69.585751000000002</v>
      </c>
      <c r="C776" s="22"/>
      <c r="D776" s="23"/>
    </row>
    <row r="777" spans="1:4" x14ac:dyDescent="0.3">
      <c r="A777" s="24">
        <v>45455.115972</v>
      </c>
      <c r="B777" s="21">
        <v>69.745199999999997</v>
      </c>
      <c r="C777" s="22"/>
      <c r="D777" s="23"/>
    </row>
    <row r="778" spans="1:4" x14ac:dyDescent="0.3">
      <c r="A778" s="24">
        <v>45455.116667000002</v>
      </c>
      <c r="B778" s="21">
        <v>69.005763999999999</v>
      </c>
      <c r="C778" s="22"/>
      <c r="D778" s="23"/>
    </row>
    <row r="779" spans="1:4" x14ac:dyDescent="0.3">
      <c r="A779" s="24">
        <v>45455.117360999997</v>
      </c>
      <c r="B779" s="21">
        <v>69.331625000000003</v>
      </c>
      <c r="C779" s="22"/>
      <c r="D779" s="23"/>
    </row>
    <row r="780" spans="1:4" x14ac:dyDescent="0.3">
      <c r="A780" s="24">
        <v>45455.118055999999</v>
      </c>
      <c r="B780" s="21">
        <v>68.824065000000004</v>
      </c>
      <c r="C780" s="22"/>
      <c r="D780" s="23"/>
    </row>
    <row r="781" spans="1:4" x14ac:dyDescent="0.3">
      <c r="A781" s="24">
        <v>45455.118750000001</v>
      </c>
      <c r="B781" s="21">
        <v>69.329593000000003</v>
      </c>
      <c r="C781" s="22"/>
      <c r="D781" s="23"/>
    </row>
    <row r="782" spans="1:4" x14ac:dyDescent="0.3">
      <c r="A782" s="24">
        <v>45455.119444000004</v>
      </c>
      <c r="B782" s="21">
        <v>69.558242000000007</v>
      </c>
      <c r="C782" s="22"/>
      <c r="D782" s="23"/>
    </row>
    <row r="783" spans="1:4" x14ac:dyDescent="0.3">
      <c r="A783" s="24">
        <v>45455.120138999999</v>
      </c>
      <c r="B783" s="21">
        <v>69.914381000000006</v>
      </c>
      <c r="C783" s="22"/>
      <c r="D783" s="23"/>
    </row>
    <row r="784" spans="1:4" x14ac:dyDescent="0.3">
      <c r="A784" s="24">
        <v>45455.120833000001</v>
      </c>
      <c r="B784" s="21">
        <v>68.895906999999994</v>
      </c>
      <c r="C784" s="22"/>
      <c r="D784" s="23"/>
    </row>
    <row r="785" spans="1:4" x14ac:dyDescent="0.3">
      <c r="A785" s="24">
        <v>45455.121528000003</v>
      </c>
      <c r="B785" s="21">
        <v>68.839850999999996</v>
      </c>
      <c r="C785" s="22"/>
      <c r="D785" s="23"/>
    </row>
    <row r="786" spans="1:4" x14ac:dyDescent="0.3">
      <c r="A786" s="24">
        <v>45455.122221999998</v>
      </c>
      <c r="B786" s="21">
        <v>69.183490000000006</v>
      </c>
      <c r="C786" s="22"/>
      <c r="D786" s="23"/>
    </row>
    <row r="787" spans="1:4" x14ac:dyDescent="0.3">
      <c r="A787" s="24">
        <v>45455.122917000001</v>
      </c>
      <c r="B787" s="21">
        <v>69.089472000000001</v>
      </c>
      <c r="C787" s="22"/>
      <c r="D787" s="23"/>
    </row>
    <row r="788" spans="1:4" x14ac:dyDescent="0.3">
      <c r="A788" s="24">
        <v>45455.123611000003</v>
      </c>
      <c r="B788" s="21">
        <v>69.268531999999993</v>
      </c>
      <c r="C788" s="22"/>
      <c r="D788" s="23"/>
    </row>
    <row r="789" spans="1:4" x14ac:dyDescent="0.3">
      <c r="A789" s="24">
        <v>45455.124305999998</v>
      </c>
      <c r="B789" s="21">
        <v>69.276452000000006</v>
      </c>
      <c r="C789" s="22"/>
      <c r="D789" s="23"/>
    </row>
    <row r="790" spans="1:4" x14ac:dyDescent="0.3">
      <c r="A790" s="24">
        <v>45455.125</v>
      </c>
      <c r="B790" s="21">
        <v>68.796398999999994</v>
      </c>
      <c r="C790" s="22"/>
      <c r="D790" s="23"/>
    </row>
    <row r="791" spans="1:4" x14ac:dyDescent="0.3">
      <c r="A791" s="24">
        <v>45455.125694000002</v>
      </c>
      <c r="B791" s="21">
        <v>68.803077000000002</v>
      </c>
      <c r="C791" s="22"/>
      <c r="D791" s="23"/>
    </row>
    <row r="792" spans="1:4" x14ac:dyDescent="0.3">
      <c r="A792" s="24">
        <v>45455.126388999997</v>
      </c>
      <c r="B792" s="21">
        <v>69.196348999999998</v>
      </c>
      <c r="C792" s="22"/>
      <c r="D792" s="23"/>
    </row>
    <row r="793" spans="1:4" x14ac:dyDescent="0.3">
      <c r="A793" s="24">
        <v>45455.127082999999</v>
      </c>
      <c r="B793" s="21">
        <v>69.179311999999996</v>
      </c>
      <c r="C793" s="22"/>
      <c r="D793" s="23"/>
    </row>
    <row r="794" spans="1:4" x14ac:dyDescent="0.3">
      <c r="A794" s="24">
        <v>45455.127778000002</v>
      </c>
      <c r="B794" s="21">
        <v>68.999101999999993</v>
      </c>
      <c r="C794" s="22"/>
      <c r="D794" s="23"/>
    </row>
    <row r="795" spans="1:4" x14ac:dyDescent="0.3">
      <c r="A795" s="24">
        <v>45455.128471999997</v>
      </c>
      <c r="B795" s="21">
        <v>69.272227000000001</v>
      </c>
      <c r="C795" s="22"/>
      <c r="D795" s="23"/>
    </row>
    <row r="796" spans="1:4" x14ac:dyDescent="0.3">
      <c r="A796" s="24">
        <v>45455.129166999999</v>
      </c>
      <c r="B796" s="21">
        <v>69.863698999999997</v>
      </c>
      <c r="C796" s="22"/>
      <c r="D796" s="23"/>
    </row>
    <row r="797" spans="1:4" x14ac:dyDescent="0.3">
      <c r="A797" s="24">
        <v>45455.129861000001</v>
      </c>
      <c r="B797" s="21">
        <v>69.180571</v>
      </c>
      <c r="C797" s="22"/>
      <c r="D797" s="23"/>
    </row>
    <row r="798" spans="1:4" x14ac:dyDescent="0.3">
      <c r="A798" s="24">
        <v>45455.130555999996</v>
      </c>
      <c r="B798" s="21">
        <v>68.861672999999996</v>
      </c>
      <c r="C798" s="22"/>
      <c r="D798" s="23"/>
    </row>
    <row r="799" spans="1:4" x14ac:dyDescent="0.3">
      <c r="A799" s="24">
        <v>45455.131249999999</v>
      </c>
      <c r="B799" s="21">
        <v>69.117996000000005</v>
      </c>
      <c r="C799" s="22"/>
      <c r="D799" s="23"/>
    </row>
    <row r="800" spans="1:4" x14ac:dyDescent="0.3">
      <c r="A800" s="24">
        <v>45455.131944000001</v>
      </c>
      <c r="B800" s="21">
        <v>69.468082999999993</v>
      </c>
      <c r="C800" s="22"/>
      <c r="D800" s="23"/>
    </row>
    <row r="801" spans="1:4" x14ac:dyDescent="0.3">
      <c r="A801" s="24">
        <v>45455.132639000003</v>
      </c>
      <c r="B801" s="21">
        <v>68.683312999999998</v>
      </c>
      <c r="C801" s="22"/>
      <c r="D801" s="23"/>
    </row>
    <row r="802" spans="1:4" x14ac:dyDescent="0.3">
      <c r="A802" s="24">
        <v>45455.133332999998</v>
      </c>
      <c r="B802" s="21">
        <v>68.708040999999994</v>
      </c>
      <c r="C802" s="22"/>
      <c r="D802" s="23"/>
    </row>
    <row r="803" spans="1:4" x14ac:dyDescent="0.3">
      <c r="A803" s="24">
        <v>45455.134028</v>
      </c>
      <c r="B803" s="21">
        <v>68.973297000000002</v>
      </c>
      <c r="C803" s="22"/>
      <c r="D803" s="23"/>
    </row>
    <row r="804" spans="1:4" x14ac:dyDescent="0.3">
      <c r="A804" s="24">
        <v>45455.134722000003</v>
      </c>
      <c r="B804" s="21">
        <v>69.197242000000003</v>
      </c>
      <c r="C804" s="22"/>
      <c r="D804" s="23"/>
    </row>
    <row r="805" spans="1:4" x14ac:dyDescent="0.3">
      <c r="A805" s="24">
        <v>45455.135416999998</v>
      </c>
      <c r="B805" s="21">
        <v>69.170193999999995</v>
      </c>
      <c r="C805" s="22"/>
      <c r="D805" s="23"/>
    </row>
    <row r="806" spans="1:4" x14ac:dyDescent="0.3">
      <c r="A806" s="24">
        <v>45455.136111</v>
      </c>
      <c r="B806" s="21">
        <v>69.309884999999994</v>
      </c>
      <c r="C806" s="22"/>
      <c r="D806" s="23"/>
    </row>
    <row r="807" spans="1:4" x14ac:dyDescent="0.3">
      <c r="A807" s="24">
        <v>45455.136806000002</v>
      </c>
      <c r="B807" s="21">
        <v>69.165701999999996</v>
      </c>
      <c r="C807" s="22"/>
      <c r="D807" s="23"/>
    </row>
    <row r="808" spans="1:4" x14ac:dyDescent="0.3">
      <c r="A808" s="24">
        <v>45455.137499999997</v>
      </c>
      <c r="B808" s="21">
        <v>69.004980000000003</v>
      </c>
      <c r="C808" s="22"/>
      <c r="D808" s="23"/>
    </row>
    <row r="809" spans="1:4" x14ac:dyDescent="0.3">
      <c r="A809" s="24">
        <v>45455.138193999999</v>
      </c>
      <c r="B809" s="21">
        <v>68.949107999999995</v>
      </c>
      <c r="C809" s="22"/>
      <c r="D809" s="23"/>
    </row>
    <row r="810" spans="1:4" x14ac:dyDescent="0.3">
      <c r="A810" s="24">
        <v>45455.138889000002</v>
      </c>
      <c r="B810" s="21">
        <v>69.119720000000001</v>
      </c>
      <c r="C810" s="22"/>
      <c r="D810" s="23"/>
    </row>
    <row r="811" spans="1:4" x14ac:dyDescent="0.3">
      <c r="A811" s="24">
        <v>45455.139582999996</v>
      </c>
      <c r="B811" s="21">
        <v>69.101596999999998</v>
      </c>
      <c r="C811" s="22"/>
      <c r="D811" s="23"/>
    </row>
    <row r="812" spans="1:4" x14ac:dyDescent="0.3">
      <c r="A812" s="24">
        <v>45455.140277999999</v>
      </c>
      <c r="B812" s="21">
        <v>69.209850000000003</v>
      </c>
      <c r="C812" s="22"/>
      <c r="D812" s="23"/>
    </row>
    <row r="813" spans="1:4" x14ac:dyDescent="0.3">
      <c r="A813" s="24">
        <v>45455.140972000001</v>
      </c>
      <c r="B813" s="21">
        <v>68.970771999999997</v>
      </c>
      <c r="C813" s="22"/>
      <c r="D813" s="23"/>
    </row>
    <row r="814" spans="1:4" x14ac:dyDescent="0.3">
      <c r="A814" s="24">
        <v>45455.141667000004</v>
      </c>
      <c r="B814" s="21">
        <v>68.646296000000007</v>
      </c>
      <c r="C814" s="22"/>
      <c r="D814" s="23"/>
    </row>
    <row r="815" spans="1:4" x14ac:dyDescent="0.3">
      <c r="A815" s="24">
        <v>45455.142360999998</v>
      </c>
      <c r="B815" s="21">
        <v>68.624167999999997</v>
      </c>
      <c r="C815" s="22"/>
      <c r="D815" s="23"/>
    </row>
    <row r="816" spans="1:4" x14ac:dyDescent="0.3">
      <c r="A816" s="24">
        <v>45455.143056000001</v>
      </c>
      <c r="B816" s="21">
        <v>68.66986</v>
      </c>
      <c r="C816" s="22"/>
      <c r="D816" s="23"/>
    </row>
    <row r="817" spans="1:4" x14ac:dyDescent="0.3">
      <c r="A817" s="24">
        <v>45455.143750000003</v>
      </c>
      <c r="B817" s="21">
        <v>68.664182999999994</v>
      </c>
      <c r="C817" s="22"/>
      <c r="D817" s="23"/>
    </row>
    <row r="818" spans="1:4" x14ac:dyDescent="0.3">
      <c r="A818" s="24">
        <v>45455.144443999998</v>
      </c>
      <c r="B818" s="21">
        <v>69.614762999999996</v>
      </c>
      <c r="C818" s="22"/>
      <c r="D818" s="23"/>
    </row>
    <row r="819" spans="1:4" x14ac:dyDescent="0.3">
      <c r="A819" s="24">
        <v>45455.145139</v>
      </c>
      <c r="B819" s="21">
        <v>68.961701000000005</v>
      </c>
      <c r="C819" s="22"/>
      <c r="D819" s="23"/>
    </row>
    <row r="820" spans="1:4" x14ac:dyDescent="0.3">
      <c r="A820" s="24">
        <v>45455.145833000002</v>
      </c>
      <c r="B820" s="21">
        <v>69.145420999999999</v>
      </c>
      <c r="C820" s="22"/>
      <c r="D820" s="23"/>
    </row>
    <row r="821" spans="1:4" x14ac:dyDescent="0.3">
      <c r="A821" s="24">
        <v>45455.146527999997</v>
      </c>
      <c r="B821" s="21">
        <v>68.939014</v>
      </c>
      <c r="C821" s="22"/>
      <c r="D821" s="23"/>
    </row>
    <row r="822" spans="1:4" x14ac:dyDescent="0.3">
      <c r="A822" s="24">
        <v>45455.147222</v>
      </c>
      <c r="B822" s="21">
        <v>68.908691000000005</v>
      </c>
      <c r="C822" s="22"/>
      <c r="D822" s="23"/>
    </row>
    <row r="823" spans="1:4" x14ac:dyDescent="0.3">
      <c r="A823" s="24">
        <v>45455.147917000002</v>
      </c>
      <c r="B823" s="21">
        <v>68.595905000000002</v>
      </c>
      <c r="C823" s="22"/>
      <c r="D823" s="23"/>
    </row>
    <row r="824" spans="1:4" x14ac:dyDescent="0.3">
      <c r="A824" s="24">
        <v>45455.148610999997</v>
      </c>
      <c r="B824" s="21">
        <v>69.080370000000002</v>
      </c>
      <c r="C824" s="22"/>
      <c r="D824" s="23"/>
    </row>
    <row r="825" spans="1:4" x14ac:dyDescent="0.3">
      <c r="A825" s="24">
        <v>45455.149305999999</v>
      </c>
      <c r="B825" s="21">
        <v>68.711168000000001</v>
      </c>
      <c r="C825" s="22"/>
      <c r="D825" s="23"/>
    </row>
    <row r="826" spans="1:4" x14ac:dyDescent="0.3">
      <c r="A826" s="24">
        <v>45455.15</v>
      </c>
      <c r="B826" s="21">
        <v>69.330405999999996</v>
      </c>
      <c r="C826" s="22"/>
      <c r="D826" s="23"/>
    </row>
    <row r="827" spans="1:4" x14ac:dyDescent="0.3">
      <c r="A827" s="24">
        <v>45455.150694000004</v>
      </c>
      <c r="B827" s="21">
        <v>68.753274000000005</v>
      </c>
      <c r="C827" s="22"/>
      <c r="D827" s="23"/>
    </row>
    <row r="828" spans="1:4" x14ac:dyDescent="0.3">
      <c r="A828" s="24">
        <v>45455.151388999999</v>
      </c>
      <c r="B828" s="21">
        <v>68.518456</v>
      </c>
      <c r="C828" s="22"/>
      <c r="D828" s="23"/>
    </row>
    <row r="829" spans="1:4" x14ac:dyDescent="0.3">
      <c r="A829" s="24">
        <v>45455.152083000001</v>
      </c>
      <c r="B829" s="21">
        <v>68.515394000000001</v>
      </c>
      <c r="C829" s="22"/>
      <c r="D829" s="23"/>
    </row>
    <row r="830" spans="1:4" x14ac:dyDescent="0.3">
      <c r="A830" s="24">
        <v>45455.152778000003</v>
      </c>
      <c r="B830" s="21">
        <v>68.59263</v>
      </c>
      <c r="C830" s="22"/>
      <c r="D830" s="23"/>
    </row>
    <row r="831" spans="1:4" x14ac:dyDescent="0.3">
      <c r="A831" s="24">
        <v>45455.153471999998</v>
      </c>
      <c r="B831" s="21">
        <v>68.969057000000006</v>
      </c>
      <c r="C831" s="22"/>
      <c r="D831" s="23"/>
    </row>
    <row r="832" spans="1:4" x14ac:dyDescent="0.3">
      <c r="A832" s="24">
        <v>45455.154167000001</v>
      </c>
      <c r="B832" s="21">
        <v>69.192609000000004</v>
      </c>
      <c r="C832" s="22"/>
      <c r="D832" s="23"/>
    </row>
    <row r="833" spans="1:4" x14ac:dyDescent="0.3">
      <c r="A833" s="24">
        <v>45455.154861000003</v>
      </c>
      <c r="B833" s="21">
        <v>69.030595000000005</v>
      </c>
      <c r="C833" s="22"/>
      <c r="D833" s="23"/>
    </row>
    <row r="834" spans="1:4" x14ac:dyDescent="0.3">
      <c r="A834" s="24">
        <v>45455.155555999998</v>
      </c>
      <c r="B834" s="21">
        <v>69.107911999999999</v>
      </c>
      <c r="C834" s="22"/>
      <c r="D834" s="23"/>
    </row>
    <row r="835" spans="1:4" x14ac:dyDescent="0.3">
      <c r="A835" s="24">
        <v>45455.15625</v>
      </c>
      <c r="B835" s="21">
        <v>68.990521999999999</v>
      </c>
      <c r="C835" s="22"/>
      <c r="D835" s="23"/>
    </row>
    <row r="836" spans="1:4" x14ac:dyDescent="0.3">
      <c r="A836" s="24">
        <v>45455.156944000002</v>
      </c>
      <c r="B836" s="21">
        <v>69.050693999999993</v>
      </c>
      <c r="C836" s="22"/>
      <c r="D836" s="23"/>
    </row>
    <row r="837" spans="1:4" x14ac:dyDescent="0.3">
      <c r="A837" s="24">
        <v>45455.157638999997</v>
      </c>
      <c r="B837" s="21">
        <v>69.462873000000002</v>
      </c>
      <c r="C837" s="22"/>
      <c r="D837" s="23"/>
    </row>
    <row r="838" spans="1:4" x14ac:dyDescent="0.3">
      <c r="A838" s="24">
        <v>45455.158332999999</v>
      </c>
      <c r="B838" s="21">
        <v>68.459592000000001</v>
      </c>
      <c r="C838" s="22"/>
      <c r="D838" s="23"/>
    </row>
    <row r="839" spans="1:4" x14ac:dyDescent="0.3">
      <c r="A839" s="24">
        <v>45455.159028000002</v>
      </c>
      <c r="B839" s="21">
        <v>69.217157</v>
      </c>
      <c r="C839" s="22"/>
      <c r="D839" s="23"/>
    </row>
    <row r="840" spans="1:4" x14ac:dyDescent="0.3">
      <c r="A840" s="24">
        <v>45455.159721999997</v>
      </c>
      <c r="B840" s="21">
        <v>68.729095999999998</v>
      </c>
      <c r="C840" s="22"/>
      <c r="D840" s="23"/>
    </row>
    <row r="841" spans="1:4" x14ac:dyDescent="0.3">
      <c r="A841" s="24">
        <v>45455.160416999999</v>
      </c>
      <c r="B841" s="21">
        <v>68.851499000000004</v>
      </c>
      <c r="C841" s="22"/>
      <c r="D841" s="23"/>
    </row>
    <row r="842" spans="1:4" x14ac:dyDescent="0.3">
      <c r="A842" s="24">
        <v>45455.161111000001</v>
      </c>
      <c r="B842" s="21">
        <v>69.608422000000004</v>
      </c>
      <c r="C842" s="22"/>
      <c r="D842" s="23"/>
    </row>
    <row r="843" spans="1:4" x14ac:dyDescent="0.3">
      <c r="A843" s="24">
        <v>45455.161805999996</v>
      </c>
      <c r="B843" s="21">
        <v>68.543863999999999</v>
      </c>
      <c r="C843" s="22"/>
      <c r="D843" s="23"/>
    </row>
    <row r="844" spans="1:4" x14ac:dyDescent="0.3">
      <c r="A844" s="24">
        <v>45455.162499999999</v>
      </c>
      <c r="B844" s="21">
        <v>68.816164999999998</v>
      </c>
      <c r="C844" s="22"/>
      <c r="D844" s="23"/>
    </row>
    <row r="845" spans="1:4" x14ac:dyDescent="0.3">
      <c r="A845" s="24">
        <v>45455.163194000001</v>
      </c>
      <c r="B845" s="21">
        <v>69.200063999999998</v>
      </c>
      <c r="C845" s="22"/>
      <c r="D845" s="23"/>
    </row>
    <row r="846" spans="1:4" x14ac:dyDescent="0.3">
      <c r="A846" s="24">
        <v>45455.163889000003</v>
      </c>
      <c r="B846" s="21">
        <v>69.281687000000005</v>
      </c>
      <c r="C846" s="22"/>
      <c r="D846" s="23"/>
    </row>
    <row r="847" spans="1:4" x14ac:dyDescent="0.3">
      <c r="A847" s="24">
        <v>45455.164582999998</v>
      </c>
      <c r="B847" s="21">
        <v>69.232547999999994</v>
      </c>
      <c r="C847" s="22"/>
      <c r="D847" s="23"/>
    </row>
    <row r="848" spans="1:4" x14ac:dyDescent="0.3">
      <c r="A848" s="24">
        <v>45455.165278</v>
      </c>
      <c r="B848" s="21">
        <v>69.277966000000006</v>
      </c>
      <c r="C848" s="22"/>
      <c r="D848" s="23"/>
    </row>
    <row r="849" spans="1:4" x14ac:dyDescent="0.3">
      <c r="A849" s="24">
        <v>45455.165972000003</v>
      </c>
      <c r="B849" s="21">
        <v>68.766501000000005</v>
      </c>
      <c r="C849" s="22"/>
      <c r="D849" s="23"/>
    </row>
    <row r="850" spans="1:4" x14ac:dyDescent="0.3">
      <c r="A850" s="24">
        <v>45455.166666999998</v>
      </c>
      <c r="B850" s="21">
        <v>68.850679999999997</v>
      </c>
      <c r="C850" s="22"/>
      <c r="D850" s="23"/>
    </row>
    <row r="851" spans="1:4" x14ac:dyDescent="0.3">
      <c r="A851" s="24">
        <v>45455.167361</v>
      </c>
      <c r="B851" s="21">
        <v>68.441299000000001</v>
      </c>
      <c r="C851" s="22"/>
      <c r="D851" s="23"/>
    </row>
    <row r="852" spans="1:4" x14ac:dyDescent="0.3">
      <c r="A852" s="24">
        <v>45455.168056000002</v>
      </c>
      <c r="B852" s="21">
        <v>68.862311000000005</v>
      </c>
      <c r="C852" s="22"/>
      <c r="D852" s="23"/>
    </row>
    <row r="853" spans="1:4" x14ac:dyDescent="0.3">
      <c r="A853" s="24">
        <v>45455.168749999997</v>
      </c>
      <c r="B853" s="21">
        <v>68.764739000000006</v>
      </c>
      <c r="C853" s="22"/>
      <c r="D853" s="23"/>
    </row>
    <row r="854" spans="1:4" x14ac:dyDescent="0.3">
      <c r="A854" s="24">
        <v>45455.169443999999</v>
      </c>
      <c r="B854" s="21">
        <v>69.237745000000004</v>
      </c>
      <c r="C854" s="22"/>
      <c r="D854" s="23"/>
    </row>
    <row r="855" spans="1:4" x14ac:dyDescent="0.3">
      <c r="A855" s="24">
        <v>45455.170139000002</v>
      </c>
      <c r="B855" s="21">
        <v>68.204538999999997</v>
      </c>
      <c r="C855" s="22"/>
      <c r="D855" s="23"/>
    </row>
    <row r="856" spans="1:4" x14ac:dyDescent="0.3">
      <c r="A856" s="24">
        <v>45455.170832999996</v>
      </c>
      <c r="B856" s="21">
        <v>68.810575</v>
      </c>
      <c r="C856" s="22"/>
      <c r="D856" s="23"/>
    </row>
    <row r="857" spans="1:4" x14ac:dyDescent="0.3">
      <c r="A857" s="24">
        <v>45455.171527999999</v>
      </c>
      <c r="B857" s="21">
        <v>68.413494</v>
      </c>
      <c r="C857" s="22"/>
      <c r="D857" s="23"/>
    </row>
    <row r="858" spans="1:4" x14ac:dyDescent="0.3">
      <c r="A858" s="24">
        <v>45455.172222000001</v>
      </c>
      <c r="B858" s="21">
        <v>69.136210000000005</v>
      </c>
      <c r="C858" s="22"/>
      <c r="D858" s="23"/>
    </row>
    <row r="859" spans="1:4" x14ac:dyDescent="0.3">
      <c r="A859" s="24">
        <v>45455.172917000004</v>
      </c>
      <c r="B859" s="21">
        <v>78.887343000000001</v>
      </c>
      <c r="C859" s="22"/>
      <c r="D859" s="23"/>
    </row>
    <row r="860" spans="1:4" x14ac:dyDescent="0.3">
      <c r="A860" s="24">
        <v>45455.173610999998</v>
      </c>
      <c r="B860" s="21">
        <v>78.572787000000005</v>
      </c>
      <c r="C860" s="22"/>
      <c r="D860" s="23"/>
    </row>
    <row r="861" spans="1:4" x14ac:dyDescent="0.3">
      <c r="A861" s="24">
        <v>45455.174306000001</v>
      </c>
      <c r="B861" s="21">
        <v>78.771820000000005</v>
      </c>
      <c r="C861" s="22"/>
      <c r="D861" s="23"/>
    </row>
    <row r="862" spans="1:4" x14ac:dyDescent="0.3">
      <c r="A862" s="24">
        <v>45455.175000000003</v>
      </c>
      <c r="B862" s="21">
        <v>79.117980000000003</v>
      </c>
      <c r="C862" s="22"/>
      <c r="D862" s="23"/>
    </row>
    <row r="863" spans="1:4" x14ac:dyDescent="0.3">
      <c r="A863" s="24">
        <v>45455.175693999998</v>
      </c>
      <c r="B863" s="21">
        <v>79.608513000000002</v>
      </c>
      <c r="C863" s="22"/>
      <c r="D863" s="23"/>
    </row>
    <row r="864" spans="1:4" x14ac:dyDescent="0.3">
      <c r="A864" s="24">
        <v>45455.176389</v>
      </c>
      <c r="B864" s="21">
        <v>79.445329000000001</v>
      </c>
      <c r="C864" s="22"/>
      <c r="D864" s="23"/>
    </row>
    <row r="865" spans="1:4" x14ac:dyDescent="0.3">
      <c r="A865" s="24">
        <v>45455.177083000002</v>
      </c>
      <c r="B865" s="21">
        <v>79.773393999999996</v>
      </c>
      <c r="C865" s="22"/>
      <c r="D865" s="23"/>
    </row>
    <row r="866" spans="1:4" x14ac:dyDescent="0.3">
      <c r="A866" s="24">
        <v>45455.177777999997</v>
      </c>
      <c r="B866" s="21">
        <v>79.615584999999996</v>
      </c>
      <c r="C866" s="22"/>
      <c r="D866" s="23"/>
    </row>
    <row r="867" spans="1:4" x14ac:dyDescent="0.3">
      <c r="A867" s="24">
        <v>45455.178472</v>
      </c>
      <c r="B867" s="21">
        <v>79.112047000000004</v>
      </c>
      <c r="C867" s="22"/>
      <c r="D867" s="23"/>
    </row>
    <row r="868" spans="1:4" x14ac:dyDescent="0.3">
      <c r="A868" s="24">
        <v>45455.179167000002</v>
      </c>
      <c r="B868" s="21">
        <v>79.982652999999999</v>
      </c>
      <c r="C868" s="22"/>
      <c r="D868" s="23"/>
    </row>
    <row r="869" spans="1:4" x14ac:dyDescent="0.3">
      <c r="A869" s="24">
        <v>45455.179860999997</v>
      </c>
      <c r="B869" s="21">
        <v>79.315072999999998</v>
      </c>
      <c r="C869" s="22"/>
      <c r="D869" s="23"/>
    </row>
    <row r="870" spans="1:4" x14ac:dyDescent="0.3">
      <c r="A870" s="24">
        <v>45455.180555999999</v>
      </c>
      <c r="B870" s="21">
        <v>78.915890000000005</v>
      </c>
      <c r="C870" s="22"/>
      <c r="D870" s="23"/>
    </row>
    <row r="871" spans="1:4" x14ac:dyDescent="0.3">
      <c r="A871" s="24">
        <v>45455.181250000001</v>
      </c>
      <c r="B871" s="21">
        <v>79.139078999999995</v>
      </c>
      <c r="C871" s="22"/>
      <c r="D871" s="23"/>
    </row>
    <row r="872" spans="1:4" x14ac:dyDescent="0.3">
      <c r="A872" s="24">
        <v>45455.181944000004</v>
      </c>
      <c r="B872" s="21">
        <v>78.855165</v>
      </c>
      <c r="C872" s="22"/>
      <c r="D872" s="23"/>
    </row>
    <row r="873" spans="1:4" x14ac:dyDescent="0.3">
      <c r="A873" s="24">
        <v>45455.182638999999</v>
      </c>
      <c r="B873" s="21">
        <v>78.864478000000005</v>
      </c>
      <c r="C873" s="22"/>
      <c r="D873" s="23"/>
    </row>
    <row r="874" spans="1:4" x14ac:dyDescent="0.3">
      <c r="A874" s="24">
        <v>45455.183333000001</v>
      </c>
      <c r="B874" s="21">
        <v>78.912396999999999</v>
      </c>
      <c r="C874" s="22"/>
      <c r="D874" s="23"/>
    </row>
    <row r="875" spans="1:4" x14ac:dyDescent="0.3">
      <c r="A875" s="24">
        <v>45455.184028000003</v>
      </c>
      <c r="B875" s="21">
        <v>79.456564999999998</v>
      </c>
      <c r="C875" s="22"/>
      <c r="D875" s="23"/>
    </row>
    <row r="876" spans="1:4" x14ac:dyDescent="0.3">
      <c r="A876" s="24">
        <v>45455.184721999998</v>
      </c>
      <c r="B876" s="21">
        <v>79.136332999999993</v>
      </c>
      <c r="C876" s="22"/>
      <c r="D876" s="23"/>
    </row>
    <row r="877" spans="1:4" x14ac:dyDescent="0.3">
      <c r="A877" s="24">
        <v>45455.185417000001</v>
      </c>
      <c r="B877" s="21">
        <v>78.961637999999994</v>
      </c>
      <c r="C877" s="22"/>
      <c r="D877" s="23"/>
    </row>
    <row r="878" spans="1:4" x14ac:dyDescent="0.3">
      <c r="A878" s="24">
        <v>45455.186111000003</v>
      </c>
      <c r="B878" s="21">
        <v>79.513694000000001</v>
      </c>
      <c r="C878" s="22"/>
      <c r="D878" s="23"/>
    </row>
    <row r="879" spans="1:4" x14ac:dyDescent="0.3">
      <c r="A879" s="24">
        <v>45455.186805999998</v>
      </c>
      <c r="B879" s="21">
        <v>78.986078000000006</v>
      </c>
      <c r="C879" s="22"/>
      <c r="D879" s="23"/>
    </row>
    <row r="880" spans="1:4" x14ac:dyDescent="0.3">
      <c r="A880" s="24">
        <v>45455.1875</v>
      </c>
      <c r="B880" s="21">
        <v>79.096898999999993</v>
      </c>
      <c r="C880" s="22"/>
      <c r="D880" s="23"/>
    </row>
    <row r="881" spans="1:4" x14ac:dyDescent="0.3">
      <c r="A881" s="24">
        <v>45455.188194000002</v>
      </c>
      <c r="B881" s="21">
        <v>78.637100000000004</v>
      </c>
      <c r="C881" s="22"/>
      <c r="D881" s="23"/>
    </row>
    <row r="882" spans="1:4" x14ac:dyDescent="0.3">
      <c r="A882" s="24">
        <v>45455.188888999997</v>
      </c>
      <c r="B882" s="21">
        <v>78.638002999999998</v>
      </c>
      <c r="C882" s="22"/>
      <c r="D882" s="23"/>
    </row>
    <row r="883" spans="1:4" x14ac:dyDescent="0.3">
      <c r="A883" s="24">
        <v>45455.189582999999</v>
      </c>
      <c r="B883" s="21">
        <v>79.476000999999997</v>
      </c>
      <c r="C883" s="22"/>
      <c r="D883" s="23"/>
    </row>
    <row r="884" spans="1:4" x14ac:dyDescent="0.3">
      <c r="A884" s="24">
        <v>45455.190278000002</v>
      </c>
      <c r="B884" s="21">
        <v>79.264481000000004</v>
      </c>
      <c r="C884" s="22"/>
      <c r="D884" s="23"/>
    </row>
    <row r="885" spans="1:4" x14ac:dyDescent="0.3">
      <c r="A885" s="24">
        <v>45455.190971999997</v>
      </c>
      <c r="B885" s="21">
        <v>78.277249999999995</v>
      </c>
      <c r="C885" s="22"/>
      <c r="D885" s="23"/>
    </row>
    <row r="886" spans="1:4" x14ac:dyDescent="0.3">
      <c r="A886" s="24">
        <v>45455.191666999999</v>
      </c>
      <c r="B886" s="21">
        <v>78.596058999999997</v>
      </c>
      <c r="C886" s="22"/>
      <c r="D886" s="23"/>
    </row>
    <row r="887" spans="1:4" x14ac:dyDescent="0.3">
      <c r="A887" s="24">
        <v>45455.192361000001</v>
      </c>
      <c r="B887" s="21">
        <v>78.622310999999996</v>
      </c>
      <c r="C887" s="22"/>
      <c r="D887" s="23"/>
    </row>
    <row r="888" spans="1:4" x14ac:dyDescent="0.3">
      <c r="A888" s="24">
        <v>45455.193055999996</v>
      </c>
      <c r="B888" s="21">
        <v>78.671745000000001</v>
      </c>
      <c r="C888" s="22"/>
      <c r="D888" s="23"/>
    </row>
    <row r="889" spans="1:4" x14ac:dyDescent="0.3">
      <c r="A889" s="24">
        <v>45455.193749999999</v>
      </c>
      <c r="B889" s="21">
        <v>78.768341000000007</v>
      </c>
      <c r="C889" s="22"/>
      <c r="D889" s="23"/>
    </row>
    <row r="890" spans="1:4" x14ac:dyDescent="0.3">
      <c r="A890" s="24">
        <v>45455.194444000001</v>
      </c>
      <c r="B890" s="21">
        <v>78.418935000000005</v>
      </c>
      <c r="C890" s="22"/>
      <c r="D890" s="23"/>
    </row>
    <row r="891" spans="1:4" x14ac:dyDescent="0.3">
      <c r="A891" s="24">
        <v>45455.195139000003</v>
      </c>
      <c r="B891" s="21">
        <v>78.706716</v>
      </c>
      <c r="C891" s="22"/>
      <c r="D891" s="23"/>
    </row>
    <row r="892" spans="1:4" x14ac:dyDescent="0.3">
      <c r="A892" s="24">
        <v>45455.195832999998</v>
      </c>
      <c r="B892" s="21">
        <v>79.192464000000001</v>
      </c>
      <c r="C892" s="22"/>
      <c r="D892" s="23"/>
    </row>
    <row r="893" spans="1:4" x14ac:dyDescent="0.3">
      <c r="A893" s="24">
        <v>45455.196528</v>
      </c>
      <c r="B893" s="21">
        <v>78.687230999999997</v>
      </c>
      <c r="C893" s="22"/>
      <c r="D893" s="23"/>
    </row>
    <row r="894" spans="1:4" x14ac:dyDescent="0.3">
      <c r="A894" s="24">
        <v>45455.197222000003</v>
      </c>
      <c r="B894" s="21">
        <v>78.380194000000003</v>
      </c>
      <c r="C894" s="22"/>
      <c r="D894" s="23"/>
    </row>
    <row r="895" spans="1:4" x14ac:dyDescent="0.3">
      <c r="A895" s="24">
        <v>45455.197916999998</v>
      </c>
      <c r="B895" s="21">
        <v>78.395097000000007</v>
      </c>
      <c r="C895" s="22"/>
      <c r="D895" s="23"/>
    </row>
    <row r="896" spans="1:4" x14ac:dyDescent="0.3">
      <c r="A896" s="24">
        <v>45455.198611</v>
      </c>
      <c r="B896" s="21">
        <v>78.433481999999998</v>
      </c>
      <c r="C896" s="22"/>
      <c r="D896" s="23"/>
    </row>
    <row r="897" spans="1:4" x14ac:dyDescent="0.3">
      <c r="A897" s="24">
        <v>45455.199306000002</v>
      </c>
      <c r="B897" s="21">
        <v>79.042179000000004</v>
      </c>
      <c r="C897" s="22"/>
      <c r="D897" s="23"/>
    </row>
    <row r="898" spans="1:4" x14ac:dyDescent="0.3">
      <c r="A898" s="24">
        <v>45455.199999999997</v>
      </c>
      <c r="B898" s="21">
        <v>78.873102000000003</v>
      </c>
      <c r="C898" s="22"/>
      <c r="D898" s="23"/>
    </row>
    <row r="899" spans="1:4" x14ac:dyDescent="0.3">
      <c r="A899" s="24">
        <v>45455.200693999999</v>
      </c>
      <c r="B899" s="21">
        <v>78.218643999999998</v>
      </c>
      <c r="C899" s="22"/>
      <c r="D899" s="23"/>
    </row>
    <row r="900" spans="1:4" x14ac:dyDescent="0.3">
      <c r="A900" s="24">
        <v>45455.201389000002</v>
      </c>
      <c r="B900" s="21">
        <v>77.548389999999998</v>
      </c>
      <c r="C900" s="22"/>
      <c r="D900" s="23"/>
    </row>
    <row r="901" spans="1:4" x14ac:dyDescent="0.3">
      <c r="A901" s="24">
        <v>45455.202082999996</v>
      </c>
      <c r="B901" s="21">
        <v>78.825300999999996</v>
      </c>
      <c r="C901" s="22"/>
      <c r="D901" s="23"/>
    </row>
    <row r="902" spans="1:4" x14ac:dyDescent="0.3">
      <c r="A902" s="24">
        <v>45455.202777999999</v>
      </c>
      <c r="B902" s="21">
        <v>78.374438999999995</v>
      </c>
      <c r="C902" s="22"/>
      <c r="D902" s="23"/>
    </row>
    <row r="903" spans="1:4" x14ac:dyDescent="0.3">
      <c r="A903" s="24">
        <v>45455.203472000001</v>
      </c>
      <c r="B903" s="21">
        <v>79.112611000000001</v>
      </c>
      <c r="C903" s="22"/>
      <c r="D903" s="23"/>
    </row>
    <row r="904" spans="1:4" x14ac:dyDescent="0.3">
      <c r="A904" s="24">
        <v>45455.204167000004</v>
      </c>
      <c r="B904" s="21">
        <v>78.530614999999997</v>
      </c>
      <c r="C904" s="22"/>
      <c r="D904" s="23"/>
    </row>
    <row r="905" spans="1:4" x14ac:dyDescent="0.3">
      <c r="A905" s="24">
        <v>45455.204860999998</v>
      </c>
      <c r="B905" s="21">
        <v>79.667482000000007</v>
      </c>
      <c r="C905" s="22"/>
      <c r="D905" s="23"/>
    </row>
    <row r="906" spans="1:4" x14ac:dyDescent="0.3">
      <c r="A906" s="24">
        <v>45455.205556000001</v>
      </c>
      <c r="B906" s="21">
        <v>78.386235999999997</v>
      </c>
      <c r="C906" s="22"/>
      <c r="D906" s="23"/>
    </row>
    <row r="907" spans="1:4" x14ac:dyDescent="0.3">
      <c r="A907" s="24">
        <v>45455.206250000003</v>
      </c>
      <c r="B907" s="21">
        <v>78.771007999999995</v>
      </c>
      <c r="C907" s="22"/>
      <c r="D907" s="23"/>
    </row>
    <row r="908" spans="1:4" x14ac:dyDescent="0.3">
      <c r="A908" s="24">
        <v>45455.206943999998</v>
      </c>
      <c r="B908" s="21">
        <v>78.188353000000006</v>
      </c>
      <c r="C908" s="22"/>
      <c r="D908" s="23"/>
    </row>
    <row r="909" spans="1:4" x14ac:dyDescent="0.3">
      <c r="A909" s="24">
        <v>45455.207639</v>
      </c>
      <c r="B909" s="21">
        <v>69.231830000000002</v>
      </c>
      <c r="C909" s="22"/>
      <c r="D909" s="23"/>
    </row>
    <row r="910" spans="1:4" x14ac:dyDescent="0.3">
      <c r="A910" s="24">
        <v>45455.208333000002</v>
      </c>
      <c r="B910" s="21">
        <v>59.487613000000003</v>
      </c>
      <c r="C910" s="22"/>
      <c r="D910" s="23"/>
    </row>
    <row r="911" spans="1:4" x14ac:dyDescent="0.3">
      <c r="A911" s="24">
        <v>45455.209027999997</v>
      </c>
      <c r="B911" s="21">
        <v>55.243001</v>
      </c>
      <c r="C911" s="22"/>
      <c r="D911" s="23"/>
    </row>
    <row r="912" spans="1:4" x14ac:dyDescent="0.3">
      <c r="A912" s="24">
        <v>45455.209722</v>
      </c>
      <c r="B912" s="21">
        <v>53.746108999999997</v>
      </c>
      <c r="C912" s="22"/>
      <c r="D912" s="23"/>
    </row>
    <row r="913" spans="1:4" x14ac:dyDescent="0.3">
      <c r="A913" s="24">
        <v>45455.210417000002</v>
      </c>
      <c r="B913" s="21">
        <v>53.510990999999997</v>
      </c>
      <c r="C913" s="22"/>
      <c r="D913" s="23"/>
    </row>
    <row r="914" spans="1:4" x14ac:dyDescent="0.3">
      <c r="A914" s="24">
        <v>45455.211110999997</v>
      </c>
      <c r="B914" s="21">
        <v>54.075527999999998</v>
      </c>
      <c r="C914" s="22"/>
      <c r="D914" s="23"/>
    </row>
    <row r="915" spans="1:4" x14ac:dyDescent="0.3">
      <c r="A915" s="24">
        <v>45455.211805999999</v>
      </c>
      <c r="B915" s="21">
        <v>52.566353999999997</v>
      </c>
      <c r="C915" s="22"/>
      <c r="D915" s="23"/>
    </row>
    <row r="916" spans="1:4" x14ac:dyDescent="0.3">
      <c r="A916" s="24">
        <v>45455.212500000001</v>
      </c>
      <c r="B916" s="21">
        <v>52.295932000000001</v>
      </c>
      <c r="C916" s="22"/>
      <c r="D916" s="23"/>
    </row>
    <row r="917" spans="1:4" x14ac:dyDescent="0.3">
      <c r="A917" s="24">
        <v>45455.213194000004</v>
      </c>
      <c r="B917" s="21">
        <v>53.454946999999997</v>
      </c>
      <c r="C917" s="22"/>
      <c r="D917" s="23"/>
    </row>
    <row r="918" spans="1:4" x14ac:dyDescent="0.3">
      <c r="A918" s="24">
        <v>45455.213888999999</v>
      </c>
      <c r="B918" s="21">
        <v>53.169094000000001</v>
      </c>
      <c r="C918" s="22"/>
      <c r="D918" s="23"/>
    </row>
    <row r="919" spans="1:4" x14ac:dyDescent="0.3">
      <c r="A919" s="24">
        <v>45455.214583000001</v>
      </c>
      <c r="B919" s="21">
        <v>53.591555999999997</v>
      </c>
      <c r="C919" s="22"/>
      <c r="D919" s="23"/>
    </row>
    <row r="920" spans="1:4" x14ac:dyDescent="0.3">
      <c r="A920" s="24">
        <v>45455.215278000003</v>
      </c>
      <c r="B920" s="21">
        <v>53.744363999999997</v>
      </c>
      <c r="C920" s="22"/>
      <c r="D920" s="23"/>
    </row>
    <row r="921" spans="1:4" x14ac:dyDescent="0.3">
      <c r="A921" s="24">
        <v>45455.215971999998</v>
      </c>
      <c r="B921" s="21">
        <v>53.948045</v>
      </c>
      <c r="C921" s="22"/>
      <c r="D921" s="23"/>
    </row>
    <row r="922" spans="1:4" x14ac:dyDescent="0.3">
      <c r="A922" s="24">
        <v>45455.216667000001</v>
      </c>
      <c r="B922" s="21">
        <v>55.056364000000002</v>
      </c>
      <c r="C922" s="22"/>
      <c r="D922" s="23"/>
    </row>
    <row r="923" spans="1:4" x14ac:dyDescent="0.3">
      <c r="A923" s="24">
        <v>45455.217361000003</v>
      </c>
      <c r="B923" s="21">
        <v>55.532567999999998</v>
      </c>
      <c r="C923" s="22"/>
      <c r="D923" s="23"/>
    </row>
    <row r="924" spans="1:4" x14ac:dyDescent="0.3">
      <c r="A924" s="24">
        <v>45455.218055999998</v>
      </c>
      <c r="B924" s="21">
        <v>55.546711000000002</v>
      </c>
      <c r="C924" s="22"/>
      <c r="D924" s="23"/>
    </row>
    <row r="925" spans="1:4" x14ac:dyDescent="0.3">
      <c r="A925" s="24">
        <v>45455.21875</v>
      </c>
      <c r="B925" s="21">
        <v>55.318714</v>
      </c>
      <c r="C925" s="22"/>
      <c r="D925" s="23"/>
    </row>
    <row r="926" spans="1:4" x14ac:dyDescent="0.3">
      <c r="A926" s="24">
        <v>45455.219444000002</v>
      </c>
      <c r="B926" s="21">
        <v>55.656868000000003</v>
      </c>
      <c r="C926" s="22"/>
      <c r="D926" s="23"/>
    </row>
    <row r="927" spans="1:4" x14ac:dyDescent="0.3">
      <c r="A927" s="24">
        <v>45455.220138999997</v>
      </c>
      <c r="B927" s="21">
        <v>56.353693999999997</v>
      </c>
      <c r="C927" s="22"/>
      <c r="D927" s="23"/>
    </row>
    <row r="928" spans="1:4" x14ac:dyDescent="0.3">
      <c r="A928" s="24">
        <v>45455.220832999999</v>
      </c>
      <c r="B928" s="21">
        <v>56.135472999999998</v>
      </c>
      <c r="C928" s="22"/>
      <c r="D928" s="23"/>
    </row>
    <row r="929" spans="1:4" x14ac:dyDescent="0.3">
      <c r="A929" s="24">
        <v>45455.221528000002</v>
      </c>
      <c r="B929" s="21">
        <v>56.774603999999997</v>
      </c>
      <c r="C929" s="22"/>
      <c r="D929" s="23"/>
    </row>
    <row r="930" spans="1:4" x14ac:dyDescent="0.3">
      <c r="A930" s="24">
        <v>45455.222221999997</v>
      </c>
      <c r="B930" s="21">
        <v>56.138361000000003</v>
      </c>
      <c r="C930" s="22"/>
      <c r="D930" s="23"/>
    </row>
    <row r="931" spans="1:4" x14ac:dyDescent="0.3">
      <c r="A931" s="24">
        <v>45455.222916999999</v>
      </c>
      <c r="B931" s="21">
        <v>55.851517999999999</v>
      </c>
      <c r="C931" s="22"/>
      <c r="D931" s="23"/>
    </row>
    <row r="932" spans="1:4" x14ac:dyDescent="0.3">
      <c r="A932" s="24">
        <v>45455.223611000001</v>
      </c>
      <c r="B932" s="21">
        <v>56.285482999999999</v>
      </c>
      <c r="C932" s="22"/>
      <c r="D932" s="23"/>
    </row>
    <row r="933" spans="1:4" x14ac:dyDescent="0.3">
      <c r="A933" s="24">
        <v>45455.224305999996</v>
      </c>
      <c r="B933" s="21">
        <v>56.284897000000001</v>
      </c>
      <c r="C933" s="22"/>
      <c r="D933" s="23"/>
    </row>
    <row r="934" spans="1:4" x14ac:dyDescent="0.3">
      <c r="A934" s="24">
        <v>45455.224999999999</v>
      </c>
      <c r="B934" s="21">
        <v>56.972897000000003</v>
      </c>
      <c r="C934" s="22"/>
      <c r="D934" s="23"/>
    </row>
    <row r="935" spans="1:4" x14ac:dyDescent="0.3">
      <c r="A935" s="24">
        <v>45455.225694000001</v>
      </c>
      <c r="B935" s="21">
        <v>56.533893999999997</v>
      </c>
      <c r="C935" s="22"/>
      <c r="D935" s="23"/>
    </row>
    <row r="936" spans="1:4" x14ac:dyDescent="0.3">
      <c r="A936" s="24">
        <v>45455.226389000003</v>
      </c>
      <c r="B936" s="21">
        <v>57.120719999999999</v>
      </c>
      <c r="C936" s="22"/>
      <c r="D936" s="23"/>
    </row>
    <row r="937" spans="1:4" x14ac:dyDescent="0.3">
      <c r="A937" s="24">
        <v>45455.227082999998</v>
      </c>
      <c r="B937" s="21">
        <v>57.445132999999998</v>
      </c>
      <c r="C937" s="22"/>
      <c r="D937" s="23"/>
    </row>
    <row r="938" spans="1:4" x14ac:dyDescent="0.3">
      <c r="A938" s="24">
        <v>45455.227778</v>
      </c>
      <c r="B938" s="21">
        <v>57.201605999999998</v>
      </c>
      <c r="C938" s="22"/>
      <c r="D938" s="23"/>
    </row>
    <row r="939" spans="1:4" x14ac:dyDescent="0.3">
      <c r="A939" s="24">
        <v>45455.228472000003</v>
      </c>
      <c r="B939" s="21">
        <v>58.004997000000003</v>
      </c>
      <c r="C939" s="22"/>
      <c r="D939" s="23"/>
    </row>
    <row r="940" spans="1:4" x14ac:dyDescent="0.3">
      <c r="A940" s="24">
        <v>45455.229166999998</v>
      </c>
      <c r="B940" s="21">
        <v>58.133271999999998</v>
      </c>
      <c r="C940" s="22"/>
      <c r="D940" s="23"/>
    </row>
    <row r="941" spans="1:4" x14ac:dyDescent="0.3">
      <c r="A941" s="24">
        <v>45455.229861</v>
      </c>
      <c r="B941" s="21">
        <v>58.223581000000003</v>
      </c>
      <c r="C941" s="22"/>
      <c r="D941" s="23"/>
    </row>
    <row r="942" spans="1:4" x14ac:dyDescent="0.3">
      <c r="A942" s="24">
        <v>45455.230556000002</v>
      </c>
      <c r="B942" s="21">
        <v>57.470013000000002</v>
      </c>
      <c r="C942" s="22"/>
      <c r="D942" s="23"/>
    </row>
    <row r="943" spans="1:4" x14ac:dyDescent="0.3">
      <c r="A943" s="24">
        <v>45455.231249999997</v>
      </c>
      <c r="B943" s="21">
        <v>58.122011999999998</v>
      </c>
      <c r="C943" s="22"/>
      <c r="D943" s="23"/>
    </row>
    <row r="944" spans="1:4" x14ac:dyDescent="0.3">
      <c r="A944" s="24">
        <v>45455.231943999999</v>
      </c>
      <c r="B944" s="21">
        <v>58.412868000000003</v>
      </c>
      <c r="C944" s="22"/>
      <c r="D944" s="23"/>
    </row>
    <row r="945" spans="1:4" x14ac:dyDescent="0.3">
      <c r="A945" s="24">
        <v>45455.232639000002</v>
      </c>
      <c r="B945" s="21">
        <v>57.428341000000003</v>
      </c>
      <c r="C945" s="22"/>
      <c r="D945" s="23"/>
    </row>
    <row r="946" spans="1:4" x14ac:dyDescent="0.3">
      <c r="A946" s="24">
        <v>45455.233332999996</v>
      </c>
      <c r="B946" s="21">
        <v>58.701618000000003</v>
      </c>
      <c r="C946" s="22"/>
      <c r="D946" s="23"/>
    </row>
    <row r="947" spans="1:4" x14ac:dyDescent="0.3">
      <c r="A947" s="24">
        <v>45455.234027999999</v>
      </c>
      <c r="B947" s="21">
        <v>57.761083999999997</v>
      </c>
      <c r="C947" s="22"/>
      <c r="D947" s="23"/>
    </row>
    <row r="948" spans="1:4" x14ac:dyDescent="0.3">
      <c r="A948" s="24">
        <v>45455.234722000001</v>
      </c>
      <c r="B948" s="21">
        <v>58.408385000000003</v>
      </c>
      <c r="C948" s="22"/>
      <c r="D948" s="23"/>
    </row>
    <row r="949" spans="1:4" x14ac:dyDescent="0.3">
      <c r="A949" s="24">
        <v>45455.235417000004</v>
      </c>
      <c r="B949" s="21">
        <v>58.801487999999999</v>
      </c>
      <c r="C949" s="22"/>
      <c r="D949" s="23"/>
    </row>
    <row r="950" spans="1:4" x14ac:dyDescent="0.3">
      <c r="A950" s="24">
        <v>45455.236110999998</v>
      </c>
      <c r="B950" s="21">
        <v>59.174380999999997</v>
      </c>
      <c r="C950" s="22"/>
      <c r="D950" s="23"/>
    </row>
    <row r="951" spans="1:4" x14ac:dyDescent="0.3">
      <c r="A951" s="24">
        <v>45455.236806000001</v>
      </c>
      <c r="B951" s="21">
        <v>58.580711999999998</v>
      </c>
      <c r="C951" s="22"/>
      <c r="D951" s="23"/>
    </row>
    <row r="952" spans="1:4" x14ac:dyDescent="0.3">
      <c r="A952" s="24">
        <v>45455.237500000003</v>
      </c>
      <c r="B952" s="21">
        <v>59.410662000000002</v>
      </c>
      <c r="C952" s="22"/>
      <c r="D952" s="23"/>
    </row>
    <row r="953" spans="1:4" x14ac:dyDescent="0.3">
      <c r="A953" s="24">
        <v>45455.238193999998</v>
      </c>
      <c r="B953" s="21">
        <v>60.485227000000002</v>
      </c>
      <c r="C953" s="22"/>
      <c r="D953" s="23"/>
    </row>
    <row r="954" spans="1:4" x14ac:dyDescent="0.3">
      <c r="A954" s="24">
        <v>45455.238889</v>
      </c>
      <c r="B954" s="21">
        <v>60.521307999999998</v>
      </c>
      <c r="C954" s="22"/>
      <c r="D954" s="23"/>
    </row>
    <row r="955" spans="1:4" x14ac:dyDescent="0.3">
      <c r="A955" s="24">
        <v>45455.239583000002</v>
      </c>
      <c r="B955" s="21">
        <v>59.995714999999997</v>
      </c>
      <c r="C955" s="22"/>
      <c r="D955" s="23"/>
    </row>
    <row r="956" spans="1:4" x14ac:dyDescent="0.3">
      <c r="A956" s="24">
        <v>45455.240277999997</v>
      </c>
      <c r="B956" s="21">
        <v>60.360616</v>
      </c>
      <c r="C956" s="22"/>
      <c r="D956" s="23"/>
    </row>
    <row r="957" spans="1:4" x14ac:dyDescent="0.3">
      <c r="A957" s="24">
        <v>45455.240972</v>
      </c>
      <c r="B957" s="21">
        <v>59.524236999999999</v>
      </c>
      <c r="C957" s="22"/>
      <c r="D957" s="23"/>
    </row>
    <row r="958" spans="1:4" x14ac:dyDescent="0.3">
      <c r="A958" s="24">
        <v>45455.241667000002</v>
      </c>
      <c r="B958" s="21">
        <v>58.964979999999997</v>
      </c>
      <c r="C958" s="22"/>
      <c r="D958" s="23"/>
    </row>
    <row r="959" spans="1:4" x14ac:dyDescent="0.3">
      <c r="A959" s="24">
        <v>45455.242360999997</v>
      </c>
      <c r="B959" s="21">
        <v>59.560386999999999</v>
      </c>
      <c r="C959" s="22"/>
      <c r="D959" s="23"/>
    </row>
    <row r="960" spans="1:4" x14ac:dyDescent="0.3">
      <c r="A960" s="24">
        <v>45455.243055999999</v>
      </c>
      <c r="B960" s="21">
        <v>59.265315000000001</v>
      </c>
      <c r="C960" s="22"/>
      <c r="D960" s="23"/>
    </row>
    <row r="961" spans="1:4" x14ac:dyDescent="0.3">
      <c r="A961" s="24">
        <v>45455.243750000001</v>
      </c>
      <c r="B961" s="21">
        <v>60.411614999999998</v>
      </c>
      <c r="C961" s="22"/>
      <c r="D961" s="23"/>
    </row>
    <row r="962" spans="1:4" x14ac:dyDescent="0.3">
      <c r="A962" s="24">
        <v>45455.244444000004</v>
      </c>
      <c r="B962" s="21">
        <v>57.114268000000003</v>
      </c>
      <c r="C962" s="22"/>
      <c r="D962" s="23"/>
    </row>
    <row r="963" spans="1:4" x14ac:dyDescent="0.3">
      <c r="A963" s="24">
        <v>45455.245138999999</v>
      </c>
      <c r="B963" s="21">
        <v>55.522095999999998</v>
      </c>
      <c r="C963" s="22"/>
      <c r="D963" s="23"/>
    </row>
    <row r="964" spans="1:4" x14ac:dyDescent="0.3">
      <c r="A964" s="24">
        <v>45455.245833000001</v>
      </c>
      <c r="B964" s="21">
        <v>55.561095999999999</v>
      </c>
      <c r="C964" s="22"/>
      <c r="D964" s="23"/>
    </row>
    <row r="965" spans="1:4" x14ac:dyDescent="0.3">
      <c r="A965" s="24">
        <v>45455.246528000003</v>
      </c>
      <c r="B965" s="21">
        <v>57.013494999999999</v>
      </c>
      <c r="C965" s="22"/>
      <c r="D965" s="23"/>
    </row>
    <row r="966" spans="1:4" x14ac:dyDescent="0.3">
      <c r="A966" s="24">
        <v>45455.247221999998</v>
      </c>
      <c r="B966" s="21">
        <v>57.252948000000004</v>
      </c>
      <c r="C966" s="22"/>
      <c r="D966" s="23"/>
    </row>
    <row r="967" spans="1:4" x14ac:dyDescent="0.3">
      <c r="A967" s="24">
        <v>45455.247917000001</v>
      </c>
      <c r="B967" s="21">
        <v>59.102747999999998</v>
      </c>
      <c r="C967" s="22"/>
      <c r="D967" s="23"/>
    </row>
    <row r="968" spans="1:4" x14ac:dyDescent="0.3">
      <c r="A968" s="24">
        <v>45455.248611000003</v>
      </c>
      <c r="B968" s="21">
        <v>59.488331000000002</v>
      </c>
      <c r="C968" s="22"/>
      <c r="D968" s="23"/>
    </row>
    <row r="969" spans="1:4" x14ac:dyDescent="0.3">
      <c r="A969" s="24">
        <v>45455.249305999998</v>
      </c>
      <c r="B969" s="21">
        <v>59.077311999999999</v>
      </c>
      <c r="C969" s="22"/>
      <c r="D969" s="23"/>
    </row>
    <row r="970" spans="1:4" x14ac:dyDescent="0.3">
      <c r="A970" s="24">
        <v>45455.25</v>
      </c>
      <c r="B970" s="21">
        <v>59.945199000000002</v>
      </c>
      <c r="C970" s="22"/>
      <c r="D970" s="23"/>
    </row>
    <row r="971" spans="1:4" x14ac:dyDescent="0.3">
      <c r="A971" s="24">
        <v>45455.250694000002</v>
      </c>
      <c r="B971" s="21">
        <v>60.152810000000002</v>
      </c>
      <c r="C971" s="22"/>
      <c r="D971" s="23"/>
    </row>
    <row r="972" spans="1:4" x14ac:dyDescent="0.3">
      <c r="A972" s="24">
        <v>45455.251388999997</v>
      </c>
      <c r="B972" s="21">
        <v>60.503073000000001</v>
      </c>
      <c r="C972" s="22"/>
      <c r="D972" s="23"/>
    </row>
    <row r="973" spans="1:4" x14ac:dyDescent="0.3">
      <c r="A973" s="24">
        <v>45455.252082999999</v>
      </c>
      <c r="B973" s="21">
        <v>61.299847</v>
      </c>
      <c r="C973" s="22"/>
      <c r="D973" s="23"/>
    </row>
    <row r="974" spans="1:4" x14ac:dyDescent="0.3">
      <c r="A974" s="24">
        <v>45455.252778000002</v>
      </c>
      <c r="B974" s="21">
        <v>62.114486999999997</v>
      </c>
      <c r="C974" s="22"/>
      <c r="D974" s="23"/>
    </row>
    <row r="975" spans="1:4" x14ac:dyDescent="0.3">
      <c r="A975" s="24">
        <v>45455.253471999997</v>
      </c>
      <c r="B975" s="21">
        <v>62.601511000000002</v>
      </c>
      <c r="C975" s="22"/>
      <c r="D975" s="23"/>
    </row>
    <row r="976" spans="1:4" x14ac:dyDescent="0.3">
      <c r="A976" s="24">
        <v>45455.254166999999</v>
      </c>
      <c r="B976" s="21">
        <v>66.079216000000002</v>
      </c>
      <c r="C976" s="22"/>
      <c r="D976" s="23"/>
    </row>
    <row r="977" spans="1:4" x14ac:dyDescent="0.3">
      <c r="A977" s="24">
        <v>45455.254861000001</v>
      </c>
      <c r="B977" s="21">
        <v>59.975456999999999</v>
      </c>
      <c r="C977" s="22"/>
      <c r="D977" s="23"/>
    </row>
    <row r="978" spans="1:4" x14ac:dyDescent="0.3">
      <c r="A978" s="24">
        <v>45455.255555999996</v>
      </c>
      <c r="B978" s="21">
        <v>58.725555999999997</v>
      </c>
      <c r="C978" s="22"/>
      <c r="D978" s="23"/>
    </row>
    <row r="979" spans="1:4" x14ac:dyDescent="0.3">
      <c r="A979" s="24">
        <v>45455.256249999999</v>
      </c>
      <c r="B979" s="21">
        <v>43.512801000000003</v>
      </c>
      <c r="C979" s="22"/>
      <c r="D979" s="23"/>
    </row>
    <row r="980" spans="1:4" x14ac:dyDescent="0.3">
      <c r="A980" s="24">
        <v>45455.256944000001</v>
      </c>
      <c r="B980" s="21">
        <v>44.008598999999997</v>
      </c>
      <c r="C980" s="22"/>
      <c r="D980" s="23"/>
    </row>
    <row r="981" spans="1:4" x14ac:dyDescent="0.3">
      <c r="A981" s="24">
        <v>45455.257639000003</v>
      </c>
      <c r="B981" s="21">
        <v>43.516902000000002</v>
      </c>
      <c r="C981" s="22"/>
      <c r="D981" s="23"/>
    </row>
    <row r="982" spans="1:4" x14ac:dyDescent="0.3">
      <c r="A982" s="24">
        <v>45455.258332999998</v>
      </c>
      <c r="B982" s="21">
        <v>43.821734999999997</v>
      </c>
      <c r="C982" s="22"/>
      <c r="D982" s="23"/>
    </row>
    <row r="983" spans="1:4" x14ac:dyDescent="0.3">
      <c r="A983" s="24">
        <v>45455.259028</v>
      </c>
      <c r="B983" s="21">
        <v>43.751285000000003</v>
      </c>
      <c r="C983" s="22"/>
      <c r="D983" s="23"/>
    </row>
    <row r="984" spans="1:4" x14ac:dyDescent="0.3">
      <c r="A984" s="24">
        <v>45455.259722000003</v>
      </c>
      <c r="B984" s="21">
        <v>44.176354000000003</v>
      </c>
      <c r="C984" s="22"/>
      <c r="D984" s="23"/>
    </row>
    <row r="985" spans="1:4" x14ac:dyDescent="0.3">
      <c r="A985" s="24">
        <v>45455.260416999998</v>
      </c>
      <c r="B985" s="21">
        <v>44.053728999999997</v>
      </c>
      <c r="C985" s="22"/>
      <c r="D985" s="23"/>
    </row>
    <row r="986" spans="1:4" x14ac:dyDescent="0.3">
      <c r="A986" s="24">
        <v>45455.261111</v>
      </c>
      <c r="B986" s="21">
        <v>44.108786000000002</v>
      </c>
      <c r="C986" s="22"/>
      <c r="D986" s="23"/>
    </row>
    <row r="987" spans="1:4" x14ac:dyDescent="0.3">
      <c r="A987" s="24">
        <v>45455.261806000002</v>
      </c>
      <c r="B987" s="21">
        <v>44.001229000000002</v>
      </c>
      <c r="C987" s="22"/>
      <c r="D987" s="23"/>
    </row>
    <row r="988" spans="1:4" x14ac:dyDescent="0.3">
      <c r="A988" s="24">
        <v>45455.262499999997</v>
      </c>
      <c r="B988" s="21">
        <v>37.986491000000001</v>
      </c>
      <c r="C988" s="22"/>
      <c r="D988" s="23"/>
    </row>
    <row r="989" spans="1:4" x14ac:dyDescent="0.3">
      <c r="A989" s="24">
        <v>45455.263193999999</v>
      </c>
      <c r="B989" s="21">
        <v>36.014634000000001</v>
      </c>
      <c r="C989" s="22"/>
      <c r="D989" s="23"/>
    </row>
    <row r="990" spans="1:4" x14ac:dyDescent="0.3">
      <c r="A990" s="24">
        <v>45455.263889000002</v>
      </c>
      <c r="B990" s="21">
        <v>36.705123</v>
      </c>
      <c r="C990" s="22"/>
      <c r="D990" s="23"/>
    </row>
    <row r="991" spans="1:4" x14ac:dyDescent="0.3">
      <c r="A991" s="24">
        <v>45455.264582999996</v>
      </c>
      <c r="B991" s="21">
        <v>36.173192</v>
      </c>
      <c r="C991" s="22"/>
      <c r="D991" s="23"/>
    </row>
    <row r="992" spans="1:4" x14ac:dyDescent="0.3">
      <c r="A992" s="24">
        <v>45455.265277999999</v>
      </c>
      <c r="B992" s="21">
        <v>35.766261</v>
      </c>
      <c r="C992" s="22"/>
      <c r="D992" s="23"/>
    </row>
    <row r="993" spans="1:4" x14ac:dyDescent="0.3">
      <c r="A993" s="24">
        <v>45455.265972000001</v>
      </c>
      <c r="B993" s="21">
        <v>36.096919999999997</v>
      </c>
      <c r="C993" s="22"/>
      <c r="D993" s="23"/>
    </row>
    <row r="994" spans="1:4" x14ac:dyDescent="0.3">
      <c r="A994" s="24">
        <v>45455.266667000004</v>
      </c>
      <c r="B994" s="21">
        <v>36.034194999999997</v>
      </c>
      <c r="C994" s="22"/>
      <c r="D994" s="23"/>
    </row>
    <row r="995" spans="1:4" x14ac:dyDescent="0.3">
      <c r="A995" s="24">
        <v>45455.267360999998</v>
      </c>
      <c r="B995" s="21">
        <v>35.087274999999998</v>
      </c>
      <c r="C995" s="22"/>
      <c r="D995" s="23"/>
    </row>
    <row r="996" spans="1:4" x14ac:dyDescent="0.3">
      <c r="A996" s="24">
        <v>45455.268056000001</v>
      </c>
      <c r="B996" s="21">
        <v>35.685811999999999</v>
      </c>
      <c r="C996" s="22"/>
      <c r="D996" s="23"/>
    </row>
    <row r="997" spans="1:4" x14ac:dyDescent="0.3">
      <c r="A997" s="24">
        <v>45455.268750000003</v>
      </c>
      <c r="B997" s="21">
        <v>35.620970999999997</v>
      </c>
      <c r="C997" s="22"/>
      <c r="D997" s="23"/>
    </row>
    <row r="998" spans="1:4" x14ac:dyDescent="0.3">
      <c r="A998" s="24">
        <v>45455.269443999998</v>
      </c>
      <c r="B998" s="21">
        <v>35.303556</v>
      </c>
      <c r="C998" s="22"/>
      <c r="D998" s="23"/>
    </row>
    <row r="999" spans="1:4" x14ac:dyDescent="0.3">
      <c r="A999" s="24">
        <v>45455.270139</v>
      </c>
      <c r="B999" s="21">
        <v>35.338036000000002</v>
      </c>
      <c r="C999" s="22"/>
      <c r="D999" s="23"/>
    </row>
    <row r="1000" spans="1:4" x14ac:dyDescent="0.3">
      <c r="A1000" s="24">
        <v>45455.270833000002</v>
      </c>
      <c r="B1000" s="21">
        <v>34.995758000000002</v>
      </c>
      <c r="C1000" s="22"/>
      <c r="D1000" s="23"/>
    </row>
    <row r="1001" spans="1:4" x14ac:dyDescent="0.3">
      <c r="A1001" s="24">
        <v>45455.271527999997</v>
      </c>
      <c r="B1001" s="21">
        <v>35.207115999999999</v>
      </c>
      <c r="C1001" s="22"/>
      <c r="D1001" s="23"/>
    </row>
    <row r="1002" spans="1:4" x14ac:dyDescent="0.3">
      <c r="A1002" s="24">
        <v>45455.272222</v>
      </c>
      <c r="B1002" s="21">
        <v>34.975513999999997</v>
      </c>
      <c r="C1002" s="22"/>
      <c r="D1002" s="23"/>
    </row>
    <row r="1003" spans="1:4" x14ac:dyDescent="0.3">
      <c r="A1003" s="24">
        <v>45455.272917000002</v>
      </c>
      <c r="B1003" s="21">
        <v>35.507385999999997</v>
      </c>
      <c r="C1003" s="22"/>
      <c r="D1003" s="23"/>
    </row>
    <row r="1004" spans="1:4" x14ac:dyDescent="0.3">
      <c r="A1004" s="24">
        <v>45455.273610999997</v>
      </c>
      <c r="B1004" s="21">
        <v>34.994968999999998</v>
      </c>
      <c r="C1004" s="22"/>
      <c r="D1004" s="23"/>
    </row>
    <row r="1005" spans="1:4" x14ac:dyDescent="0.3">
      <c r="A1005" s="24">
        <v>45455.274305999999</v>
      </c>
      <c r="B1005" s="21">
        <v>35.108947999999998</v>
      </c>
      <c r="C1005" s="22"/>
      <c r="D1005" s="23"/>
    </row>
    <row r="1006" spans="1:4" x14ac:dyDescent="0.3">
      <c r="A1006" s="24">
        <v>45455.275000000001</v>
      </c>
      <c r="B1006" s="21">
        <v>34.839483999999999</v>
      </c>
      <c r="C1006" s="22"/>
      <c r="D1006" s="23"/>
    </row>
    <row r="1007" spans="1:4" x14ac:dyDescent="0.3">
      <c r="A1007" s="24">
        <v>45455.275694000004</v>
      </c>
      <c r="B1007" s="21">
        <v>35.139597999999999</v>
      </c>
      <c r="C1007" s="22"/>
      <c r="D1007" s="23"/>
    </row>
    <row r="1008" spans="1:4" x14ac:dyDescent="0.3">
      <c r="A1008" s="24">
        <v>45455.276388999999</v>
      </c>
      <c r="B1008" s="21">
        <v>35.458350000000003</v>
      </c>
      <c r="C1008" s="22"/>
      <c r="D1008" s="23"/>
    </row>
    <row r="1009" spans="1:4" x14ac:dyDescent="0.3">
      <c r="A1009" s="24">
        <v>45455.277083000001</v>
      </c>
      <c r="B1009" s="21">
        <v>41.199381000000002</v>
      </c>
      <c r="C1009" s="22"/>
      <c r="D1009" s="23"/>
    </row>
    <row r="1010" spans="1:4" x14ac:dyDescent="0.3">
      <c r="A1010" s="24">
        <v>45455.277778000003</v>
      </c>
      <c r="B1010" s="21">
        <v>39.961961000000002</v>
      </c>
      <c r="C1010" s="22"/>
      <c r="D1010" s="23"/>
    </row>
    <row r="1011" spans="1:4" x14ac:dyDescent="0.3">
      <c r="A1011" s="24">
        <v>45455.278471999998</v>
      </c>
      <c r="B1011" s="21">
        <v>40.047305999999999</v>
      </c>
      <c r="C1011" s="22"/>
      <c r="D1011" s="23"/>
    </row>
    <row r="1012" spans="1:4" x14ac:dyDescent="0.3">
      <c r="A1012" s="24">
        <v>45455.279167000001</v>
      </c>
      <c r="B1012" s="21">
        <v>39.590767</v>
      </c>
      <c r="C1012" s="22"/>
      <c r="D1012" s="23"/>
    </row>
    <row r="1013" spans="1:4" x14ac:dyDescent="0.3">
      <c r="A1013" s="24">
        <v>45455.279861000003</v>
      </c>
      <c r="B1013" s="21">
        <v>39.907924999999999</v>
      </c>
      <c r="C1013" s="22"/>
      <c r="D1013" s="23"/>
    </row>
    <row r="1014" spans="1:4" x14ac:dyDescent="0.3">
      <c r="A1014" s="24">
        <v>45455.280555999998</v>
      </c>
      <c r="B1014" s="21">
        <v>40.422404999999998</v>
      </c>
      <c r="C1014" s="22"/>
      <c r="D1014" s="23"/>
    </row>
    <row r="1015" spans="1:4" x14ac:dyDescent="0.3">
      <c r="A1015" s="24">
        <v>45455.28125</v>
      </c>
      <c r="B1015" s="21">
        <v>40.124656999999999</v>
      </c>
      <c r="C1015" s="22"/>
      <c r="D1015" s="23"/>
    </row>
    <row r="1016" spans="1:4" x14ac:dyDescent="0.3">
      <c r="A1016" s="24">
        <v>45455.281944000002</v>
      </c>
      <c r="B1016" s="21">
        <v>39.851883000000001</v>
      </c>
      <c r="C1016" s="22"/>
      <c r="D1016" s="23"/>
    </row>
    <row r="1017" spans="1:4" x14ac:dyDescent="0.3">
      <c r="A1017" s="24">
        <v>45455.282638999997</v>
      </c>
      <c r="B1017" s="21">
        <v>40.086424000000001</v>
      </c>
      <c r="C1017" s="22"/>
      <c r="D1017" s="23"/>
    </row>
    <row r="1018" spans="1:4" x14ac:dyDescent="0.3">
      <c r="A1018" s="24">
        <v>45455.283332999999</v>
      </c>
      <c r="B1018" s="21">
        <v>39.940933000000001</v>
      </c>
      <c r="C1018" s="22"/>
      <c r="D1018" s="23"/>
    </row>
    <row r="1019" spans="1:4" x14ac:dyDescent="0.3">
      <c r="A1019" s="24">
        <v>45455.284028000002</v>
      </c>
      <c r="B1019" s="21">
        <v>40.148180000000004</v>
      </c>
      <c r="C1019" s="22"/>
      <c r="D1019" s="23"/>
    </row>
    <row r="1020" spans="1:4" x14ac:dyDescent="0.3">
      <c r="A1020" s="24">
        <v>45455.284721999997</v>
      </c>
      <c r="B1020" s="21">
        <v>40.172449999999998</v>
      </c>
      <c r="C1020" s="22"/>
      <c r="D1020" s="23"/>
    </row>
    <row r="1021" spans="1:4" x14ac:dyDescent="0.3">
      <c r="A1021" s="24">
        <v>45455.285416999999</v>
      </c>
      <c r="B1021" s="21">
        <v>40.181776999999997</v>
      </c>
      <c r="C1021" s="22"/>
      <c r="D1021" s="23"/>
    </row>
    <row r="1022" spans="1:4" x14ac:dyDescent="0.3">
      <c r="A1022" s="24">
        <v>45455.286111000001</v>
      </c>
      <c r="B1022" s="21">
        <v>40.182304000000002</v>
      </c>
      <c r="C1022" s="22"/>
      <c r="D1022" s="23"/>
    </row>
    <row r="1023" spans="1:4" x14ac:dyDescent="0.3">
      <c r="A1023" s="24">
        <v>45455.286805999996</v>
      </c>
      <c r="B1023" s="21">
        <v>40.301136999999997</v>
      </c>
      <c r="C1023" s="22"/>
      <c r="D1023" s="23"/>
    </row>
    <row r="1024" spans="1:4" x14ac:dyDescent="0.3">
      <c r="A1024" s="24">
        <v>45455.287499999999</v>
      </c>
      <c r="B1024" s="21">
        <v>39.947181999999998</v>
      </c>
      <c r="C1024" s="22"/>
      <c r="D1024" s="23"/>
    </row>
    <row r="1025" spans="1:4" x14ac:dyDescent="0.3">
      <c r="A1025" s="24">
        <v>45455.288194000001</v>
      </c>
      <c r="B1025" s="21">
        <v>40.198594999999997</v>
      </c>
      <c r="C1025" s="22"/>
      <c r="D1025" s="23"/>
    </row>
    <row r="1026" spans="1:4" x14ac:dyDescent="0.3">
      <c r="A1026" s="24">
        <v>45455.288889000003</v>
      </c>
      <c r="B1026" s="21">
        <v>40.200603999999998</v>
      </c>
      <c r="C1026" s="22"/>
      <c r="D1026" s="23"/>
    </row>
    <row r="1027" spans="1:4" x14ac:dyDescent="0.3">
      <c r="A1027" s="24">
        <v>45455.289582999998</v>
      </c>
      <c r="B1027" s="21">
        <v>39.783729000000001</v>
      </c>
      <c r="C1027" s="22"/>
      <c r="D1027" s="23"/>
    </row>
    <row r="1028" spans="1:4" x14ac:dyDescent="0.3">
      <c r="A1028" s="24">
        <v>45455.290278</v>
      </c>
      <c r="B1028" s="21">
        <v>40.196849</v>
      </c>
      <c r="C1028" s="22"/>
      <c r="D1028" s="23"/>
    </row>
    <row r="1029" spans="1:4" x14ac:dyDescent="0.3">
      <c r="A1029" s="24">
        <v>45455.290972000003</v>
      </c>
      <c r="B1029" s="21">
        <v>40.240634</v>
      </c>
      <c r="C1029" s="22"/>
      <c r="D1029" s="23"/>
    </row>
    <row r="1030" spans="1:4" x14ac:dyDescent="0.3">
      <c r="A1030" s="24">
        <v>45455.291666999998</v>
      </c>
      <c r="B1030" s="21">
        <v>39.599504000000003</v>
      </c>
      <c r="C1030" s="22"/>
      <c r="D1030" s="23"/>
    </row>
    <row r="1031" spans="1:4" x14ac:dyDescent="0.3">
      <c r="A1031" s="24">
        <v>45455.292361</v>
      </c>
      <c r="B1031" s="21">
        <v>39.449871999999999</v>
      </c>
      <c r="C1031" s="22"/>
      <c r="D1031" s="23"/>
    </row>
    <row r="1032" spans="1:4" x14ac:dyDescent="0.3">
      <c r="A1032" s="24">
        <v>45455.293056000002</v>
      </c>
      <c r="B1032" s="21">
        <v>39.896284000000001</v>
      </c>
      <c r="C1032" s="22"/>
      <c r="D1032" s="23"/>
    </row>
    <row r="1033" spans="1:4" x14ac:dyDescent="0.3">
      <c r="A1033" s="24">
        <v>45455.293749999997</v>
      </c>
      <c r="B1033" s="21">
        <v>39.840141000000003</v>
      </c>
      <c r="C1033" s="22"/>
      <c r="D1033" s="23"/>
    </row>
    <row r="1034" spans="1:4" x14ac:dyDescent="0.3">
      <c r="A1034" s="24">
        <v>45455.294443999999</v>
      </c>
      <c r="B1034" s="21">
        <v>39.608043000000002</v>
      </c>
      <c r="C1034" s="22"/>
      <c r="D1034" s="23"/>
    </row>
    <row r="1035" spans="1:4" x14ac:dyDescent="0.3">
      <c r="A1035" s="24">
        <v>45455.295139000002</v>
      </c>
      <c r="B1035" s="21">
        <v>40.012782000000001</v>
      </c>
      <c r="C1035" s="22"/>
      <c r="D1035" s="23"/>
    </row>
    <row r="1036" spans="1:4" x14ac:dyDescent="0.3">
      <c r="A1036" s="24">
        <v>45455.295832999996</v>
      </c>
      <c r="B1036" s="21">
        <v>39.924379000000002</v>
      </c>
      <c r="C1036" s="22"/>
      <c r="D1036" s="23"/>
    </row>
    <row r="1037" spans="1:4" x14ac:dyDescent="0.3">
      <c r="A1037" s="24">
        <v>45455.296527999999</v>
      </c>
      <c r="B1037" s="21">
        <v>39.399265</v>
      </c>
      <c r="C1037" s="22"/>
      <c r="D1037" s="23"/>
    </row>
    <row r="1038" spans="1:4" x14ac:dyDescent="0.3">
      <c r="A1038" s="24">
        <v>45455.297222000001</v>
      </c>
      <c r="B1038" s="21">
        <v>38.997996000000001</v>
      </c>
      <c r="C1038" s="22"/>
      <c r="D1038" s="23"/>
    </row>
    <row r="1039" spans="1:4" x14ac:dyDescent="0.3">
      <c r="A1039" s="24">
        <v>45455.297917000004</v>
      </c>
      <c r="B1039" s="21">
        <v>39.061366</v>
      </c>
      <c r="C1039" s="22"/>
      <c r="D1039" s="23"/>
    </row>
    <row r="1040" spans="1:4" x14ac:dyDescent="0.3">
      <c r="A1040" s="24">
        <v>45455.298610999998</v>
      </c>
      <c r="B1040" s="21">
        <v>39.159751999999997</v>
      </c>
      <c r="C1040" s="22"/>
      <c r="D1040" s="23"/>
    </row>
    <row r="1041" spans="1:4" x14ac:dyDescent="0.3">
      <c r="A1041" s="24">
        <v>45455.299306000001</v>
      </c>
      <c r="B1041" s="21">
        <v>39.029677</v>
      </c>
      <c r="C1041" s="22"/>
      <c r="D1041" s="23"/>
    </row>
    <row r="1042" spans="1:4" x14ac:dyDescent="0.3">
      <c r="A1042" s="24">
        <v>45455.3</v>
      </c>
      <c r="B1042" s="21">
        <v>39.123772000000002</v>
      </c>
      <c r="C1042" s="22"/>
      <c r="D1042" s="23"/>
    </row>
    <row r="1043" spans="1:4" x14ac:dyDescent="0.3">
      <c r="A1043" s="24">
        <v>45455.300693999998</v>
      </c>
      <c r="B1043" s="21">
        <v>38.828927999999998</v>
      </c>
      <c r="C1043" s="22"/>
      <c r="D1043" s="23"/>
    </row>
    <row r="1044" spans="1:4" x14ac:dyDescent="0.3">
      <c r="A1044" s="24">
        <v>45455.301389</v>
      </c>
      <c r="B1044" s="21">
        <v>38.668429000000003</v>
      </c>
      <c r="C1044" s="22"/>
      <c r="D1044" s="23"/>
    </row>
    <row r="1045" spans="1:4" x14ac:dyDescent="0.3">
      <c r="A1045" s="24">
        <v>45455.302083000002</v>
      </c>
      <c r="B1045" s="21">
        <v>38.560088999999998</v>
      </c>
      <c r="C1045" s="22"/>
      <c r="D1045" s="23"/>
    </row>
    <row r="1046" spans="1:4" x14ac:dyDescent="0.3">
      <c r="A1046" s="24">
        <v>45455.302777999997</v>
      </c>
      <c r="B1046" s="21">
        <v>38.216622000000001</v>
      </c>
      <c r="C1046" s="22"/>
      <c r="D1046" s="23"/>
    </row>
    <row r="1047" spans="1:4" x14ac:dyDescent="0.3">
      <c r="A1047" s="24">
        <v>45455.303472</v>
      </c>
      <c r="B1047" s="21">
        <v>38.383248000000002</v>
      </c>
      <c r="C1047" s="22"/>
      <c r="D1047" s="23"/>
    </row>
    <row r="1048" spans="1:4" x14ac:dyDescent="0.3">
      <c r="A1048" s="24">
        <v>45455.304167000002</v>
      </c>
      <c r="B1048" s="21">
        <v>37.865101000000003</v>
      </c>
      <c r="C1048" s="22"/>
      <c r="D1048" s="23"/>
    </row>
    <row r="1049" spans="1:4" x14ac:dyDescent="0.3">
      <c r="A1049" s="24">
        <v>45455.304860999997</v>
      </c>
      <c r="B1049" s="21">
        <v>38.105170999999999</v>
      </c>
      <c r="C1049" s="22"/>
      <c r="D1049" s="23"/>
    </row>
    <row r="1050" spans="1:4" x14ac:dyDescent="0.3">
      <c r="A1050" s="24">
        <v>45455.305555999999</v>
      </c>
      <c r="B1050" s="21">
        <v>38.016551</v>
      </c>
      <c r="C1050" s="22"/>
      <c r="D1050" s="23"/>
    </row>
    <row r="1051" spans="1:4" x14ac:dyDescent="0.3">
      <c r="A1051" s="24">
        <v>45455.306250000001</v>
      </c>
      <c r="B1051" s="21">
        <v>38.134061000000003</v>
      </c>
      <c r="C1051" s="22"/>
      <c r="D1051" s="23"/>
    </row>
    <row r="1052" spans="1:4" x14ac:dyDescent="0.3">
      <c r="A1052" s="24">
        <v>45455.306944000004</v>
      </c>
      <c r="B1052" s="21">
        <v>38.009740000000001</v>
      </c>
      <c r="C1052" s="22"/>
      <c r="D1052" s="23"/>
    </row>
    <row r="1053" spans="1:4" x14ac:dyDescent="0.3">
      <c r="A1053" s="24">
        <v>45455.307638999999</v>
      </c>
      <c r="B1053" s="21">
        <v>37.734338000000001</v>
      </c>
      <c r="C1053" s="22"/>
      <c r="D1053" s="23"/>
    </row>
    <row r="1054" spans="1:4" x14ac:dyDescent="0.3">
      <c r="A1054" s="24">
        <v>45455.308333000001</v>
      </c>
      <c r="B1054" s="21">
        <v>37.731918999999998</v>
      </c>
      <c r="C1054" s="22"/>
      <c r="D1054" s="23"/>
    </row>
    <row r="1055" spans="1:4" x14ac:dyDescent="0.3">
      <c r="A1055" s="24">
        <v>45455.309028000003</v>
      </c>
      <c r="B1055" s="21">
        <v>37.967694999999999</v>
      </c>
      <c r="C1055" s="22"/>
      <c r="D1055" s="23"/>
    </row>
    <row r="1056" spans="1:4" x14ac:dyDescent="0.3">
      <c r="A1056" s="24">
        <v>45455.309721999998</v>
      </c>
      <c r="B1056" s="21">
        <v>37.671140000000001</v>
      </c>
      <c r="C1056" s="22"/>
      <c r="D1056" s="23"/>
    </row>
    <row r="1057" spans="1:4" x14ac:dyDescent="0.3">
      <c r="A1057" s="24">
        <v>45455.310417000001</v>
      </c>
      <c r="B1057" s="21">
        <v>37.950006000000002</v>
      </c>
      <c r="C1057" s="22"/>
      <c r="D1057" s="23"/>
    </row>
    <row r="1058" spans="1:4" x14ac:dyDescent="0.3">
      <c r="A1058" s="24">
        <v>45455.311111000003</v>
      </c>
      <c r="B1058" s="21">
        <v>37.884914999999999</v>
      </c>
      <c r="C1058" s="22"/>
      <c r="D1058" s="23"/>
    </row>
    <row r="1059" spans="1:4" x14ac:dyDescent="0.3">
      <c r="A1059" s="24">
        <v>45455.311805999998</v>
      </c>
      <c r="B1059" s="21">
        <v>38.253601000000003</v>
      </c>
      <c r="C1059" s="22"/>
      <c r="D1059" s="23"/>
    </row>
    <row r="1060" spans="1:4" x14ac:dyDescent="0.3">
      <c r="A1060" s="24">
        <v>45455.3125</v>
      </c>
      <c r="B1060" s="21">
        <v>37.889313000000001</v>
      </c>
      <c r="C1060" s="22"/>
      <c r="D1060" s="23"/>
    </row>
    <row r="1061" spans="1:4" x14ac:dyDescent="0.3">
      <c r="A1061" s="24">
        <v>45455.313194000002</v>
      </c>
      <c r="B1061" s="21">
        <v>38.012967000000003</v>
      </c>
      <c r="C1061" s="22"/>
      <c r="D1061" s="23"/>
    </row>
    <row r="1062" spans="1:4" x14ac:dyDescent="0.3">
      <c r="A1062" s="24">
        <v>45455.313888999997</v>
      </c>
      <c r="B1062" s="21">
        <v>38.115926000000002</v>
      </c>
      <c r="C1062" s="22"/>
      <c r="D1062" s="23"/>
    </row>
    <row r="1063" spans="1:4" x14ac:dyDescent="0.3">
      <c r="A1063" s="24">
        <v>45455.314582999999</v>
      </c>
      <c r="B1063" s="21">
        <v>38.118259000000002</v>
      </c>
      <c r="C1063" s="22"/>
      <c r="D1063" s="23"/>
    </row>
    <row r="1064" spans="1:4" x14ac:dyDescent="0.3">
      <c r="A1064" s="24">
        <v>45455.315278000002</v>
      </c>
      <c r="B1064" s="21">
        <v>38.210014000000001</v>
      </c>
      <c r="C1064" s="22"/>
      <c r="D1064" s="23"/>
    </row>
    <row r="1065" spans="1:4" x14ac:dyDescent="0.3">
      <c r="A1065" s="24">
        <v>45455.315971999997</v>
      </c>
      <c r="B1065" s="21">
        <v>37.709947</v>
      </c>
      <c r="C1065" s="22"/>
      <c r="D1065" s="23"/>
    </row>
    <row r="1066" spans="1:4" x14ac:dyDescent="0.3">
      <c r="A1066" s="24">
        <v>45455.316666999999</v>
      </c>
      <c r="B1066" s="21">
        <v>37.670222000000003</v>
      </c>
      <c r="C1066" s="22"/>
      <c r="D1066" s="23"/>
    </row>
    <row r="1067" spans="1:4" x14ac:dyDescent="0.3">
      <c r="A1067" s="24">
        <v>45455.317361000001</v>
      </c>
      <c r="B1067" s="21">
        <v>37.434837000000002</v>
      </c>
      <c r="C1067" s="22"/>
      <c r="D1067" s="23"/>
    </row>
    <row r="1068" spans="1:4" x14ac:dyDescent="0.3">
      <c r="A1068" s="24">
        <v>45455.318055999996</v>
      </c>
      <c r="B1068" s="21">
        <v>37.542872000000003</v>
      </c>
      <c r="C1068" s="22"/>
      <c r="D1068" s="23"/>
    </row>
    <row r="1069" spans="1:4" x14ac:dyDescent="0.3">
      <c r="A1069" s="24">
        <v>45455.318749999999</v>
      </c>
      <c r="B1069" s="21">
        <v>37.276245000000003</v>
      </c>
      <c r="C1069" s="22"/>
      <c r="D1069" s="23"/>
    </row>
    <row r="1070" spans="1:4" x14ac:dyDescent="0.3">
      <c r="A1070" s="24">
        <v>45455.319444000001</v>
      </c>
      <c r="B1070" s="21">
        <v>37.592120000000001</v>
      </c>
      <c r="C1070" s="22"/>
      <c r="D1070" s="23"/>
    </row>
    <row r="1071" spans="1:4" x14ac:dyDescent="0.3">
      <c r="A1071" s="24">
        <v>45455.320139000003</v>
      </c>
      <c r="B1071" s="21">
        <v>37.926501999999999</v>
      </c>
      <c r="C1071" s="22"/>
      <c r="D1071" s="23"/>
    </row>
    <row r="1072" spans="1:4" x14ac:dyDescent="0.3">
      <c r="A1072" s="24">
        <v>45455.320832999998</v>
      </c>
      <c r="B1072" s="21">
        <v>37.829920000000001</v>
      </c>
      <c r="C1072" s="22"/>
      <c r="D1072" s="23"/>
    </row>
    <row r="1073" spans="1:4" x14ac:dyDescent="0.3">
      <c r="A1073" s="24">
        <v>45455.321528</v>
      </c>
      <c r="B1073" s="21">
        <v>37.547766000000003</v>
      </c>
      <c r="C1073" s="22"/>
      <c r="D1073" s="23"/>
    </row>
    <row r="1074" spans="1:4" x14ac:dyDescent="0.3">
      <c r="A1074" s="24">
        <v>45455.322222000003</v>
      </c>
      <c r="B1074" s="21">
        <v>37.700290000000003</v>
      </c>
      <c r="C1074" s="22"/>
      <c r="D1074" s="23"/>
    </row>
    <row r="1075" spans="1:4" x14ac:dyDescent="0.3">
      <c r="A1075" s="24">
        <v>45455.322916999998</v>
      </c>
      <c r="B1075" s="21">
        <v>37.849890000000002</v>
      </c>
      <c r="C1075" s="22"/>
      <c r="D1075" s="23"/>
    </row>
    <row r="1076" spans="1:4" x14ac:dyDescent="0.3">
      <c r="A1076" s="24">
        <v>45455.323611</v>
      </c>
      <c r="B1076" s="21">
        <v>37.612549000000001</v>
      </c>
      <c r="C1076" s="22"/>
      <c r="D1076" s="23"/>
    </row>
    <row r="1077" spans="1:4" x14ac:dyDescent="0.3">
      <c r="A1077" s="24">
        <v>45455.324306000002</v>
      </c>
      <c r="B1077" s="21">
        <v>37.724618</v>
      </c>
      <c r="C1077" s="22"/>
      <c r="D1077" s="23"/>
    </row>
    <row r="1078" spans="1:4" x14ac:dyDescent="0.3">
      <c r="A1078" s="24">
        <v>45455.324999999997</v>
      </c>
      <c r="B1078" s="21">
        <v>37.637535999999997</v>
      </c>
      <c r="C1078" s="22"/>
      <c r="D1078" s="23"/>
    </row>
    <row r="1079" spans="1:4" x14ac:dyDescent="0.3">
      <c r="A1079" s="24">
        <v>45455.325693999999</v>
      </c>
      <c r="B1079" s="21">
        <v>37.853631</v>
      </c>
      <c r="C1079" s="22"/>
      <c r="D1079" s="23"/>
    </row>
    <row r="1080" spans="1:4" x14ac:dyDescent="0.3">
      <c r="A1080" s="24">
        <v>45455.326389000002</v>
      </c>
      <c r="B1080" s="21">
        <v>37.989448000000003</v>
      </c>
      <c r="C1080" s="22"/>
      <c r="D1080" s="23"/>
    </row>
    <row r="1081" spans="1:4" x14ac:dyDescent="0.3">
      <c r="A1081" s="24">
        <v>45455.327082999996</v>
      </c>
      <c r="B1081" s="21">
        <v>37.955803000000003</v>
      </c>
      <c r="C1081" s="22"/>
      <c r="D1081" s="23"/>
    </row>
    <row r="1082" spans="1:4" x14ac:dyDescent="0.3">
      <c r="A1082" s="24">
        <v>45455.327777999999</v>
      </c>
      <c r="B1082" s="21">
        <v>37.541066000000001</v>
      </c>
      <c r="C1082" s="22"/>
      <c r="D1082" s="23"/>
    </row>
    <row r="1083" spans="1:4" x14ac:dyDescent="0.3">
      <c r="A1083" s="24">
        <v>45455.328472000001</v>
      </c>
      <c r="B1083" s="21">
        <v>37.885741000000003</v>
      </c>
      <c r="C1083" s="22"/>
      <c r="D1083" s="23"/>
    </row>
    <row r="1084" spans="1:4" x14ac:dyDescent="0.3">
      <c r="A1084" s="24">
        <v>45455.329167000004</v>
      </c>
      <c r="B1084" s="21">
        <v>38.699312999999997</v>
      </c>
      <c r="C1084" s="22"/>
      <c r="D1084" s="23"/>
    </row>
    <row r="1085" spans="1:4" x14ac:dyDescent="0.3">
      <c r="A1085" s="24">
        <v>45455.329860999998</v>
      </c>
      <c r="B1085" s="21">
        <v>38.413705999999998</v>
      </c>
      <c r="C1085" s="22"/>
      <c r="D1085" s="23"/>
    </row>
    <row r="1086" spans="1:4" x14ac:dyDescent="0.3">
      <c r="A1086" s="24">
        <v>45455.330556000001</v>
      </c>
      <c r="B1086" s="21">
        <v>38.198340000000002</v>
      </c>
      <c r="C1086" s="22"/>
      <c r="D1086" s="23"/>
    </row>
    <row r="1087" spans="1:4" x14ac:dyDescent="0.3">
      <c r="A1087" s="24">
        <v>45455.331250000003</v>
      </c>
      <c r="B1087" s="21">
        <v>37.810197000000002</v>
      </c>
      <c r="C1087" s="22"/>
      <c r="D1087" s="23"/>
    </row>
    <row r="1088" spans="1:4" x14ac:dyDescent="0.3">
      <c r="A1088" s="24">
        <v>45455.331943999998</v>
      </c>
      <c r="B1088" s="21">
        <v>38.201158</v>
      </c>
      <c r="C1088" s="22"/>
      <c r="D1088" s="23"/>
    </row>
    <row r="1089" spans="1:4" x14ac:dyDescent="0.3">
      <c r="A1089" s="24">
        <v>45455.332639</v>
      </c>
      <c r="B1089" s="21">
        <v>38.194591000000003</v>
      </c>
      <c r="C1089" s="22"/>
      <c r="D1089" s="23"/>
    </row>
    <row r="1090" spans="1:4" x14ac:dyDescent="0.3">
      <c r="A1090" s="24">
        <v>45455.333333000002</v>
      </c>
      <c r="B1090" s="21">
        <v>38.039617999999997</v>
      </c>
      <c r="C1090" s="22"/>
      <c r="D1090" s="23"/>
    </row>
    <row r="1091" spans="1:4" x14ac:dyDescent="0.3">
      <c r="A1091" s="24">
        <v>45455.334027999997</v>
      </c>
      <c r="B1091" s="21">
        <v>38.354768</v>
      </c>
      <c r="C1091" s="22"/>
      <c r="D1091" s="23"/>
    </row>
    <row r="1092" spans="1:4" x14ac:dyDescent="0.3">
      <c r="A1092" s="24">
        <v>45455.334722</v>
      </c>
      <c r="B1092" s="21">
        <v>38.168228999999997</v>
      </c>
      <c r="C1092" s="22"/>
      <c r="D1092" s="23"/>
    </row>
    <row r="1093" spans="1:4" x14ac:dyDescent="0.3">
      <c r="A1093" s="24">
        <v>45455.335417000002</v>
      </c>
      <c r="B1093" s="21">
        <v>38.225825</v>
      </c>
      <c r="C1093" s="22"/>
      <c r="D1093" s="23"/>
    </row>
    <row r="1094" spans="1:4" x14ac:dyDescent="0.3">
      <c r="A1094" s="24">
        <v>45455.336110999997</v>
      </c>
      <c r="B1094" s="21">
        <v>38.286009</v>
      </c>
      <c r="C1094" s="22"/>
      <c r="D1094" s="23"/>
    </row>
    <row r="1095" spans="1:4" x14ac:dyDescent="0.3">
      <c r="A1095" s="24">
        <v>45455.336805999999</v>
      </c>
      <c r="B1095" s="21">
        <v>38.311025000000001</v>
      </c>
      <c r="C1095" s="22"/>
      <c r="D1095" s="23"/>
    </row>
    <row r="1096" spans="1:4" x14ac:dyDescent="0.3">
      <c r="A1096" s="24">
        <v>45455.337500000001</v>
      </c>
      <c r="B1096" s="21">
        <v>38.428476000000003</v>
      </c>
      <c r="C1096" s="22"/>
      <c r="D1096" s="23"/>
    </row>
    <row r="1097" spans="1:4" x14ac:dyDescent="0.3">
      <c r="A1097" s="24">
        <v>45455.338194000004</v>
      </c>
      <c r="B1097" s="21">
        <v>38.322724000000001</v>
      </c>
      <c r="C1097" s="22"/>
      <c r="D1097" s="23"/>
    </row>
    <row r="1098" spans="1:4" x14ac:dyDescent="0.3">
      <c r="A1098" s="24">
        <v>45455.338888999999</v>
      </c>
      <c r="B1098" s="21">
        <v>38.442045</v>
      </c>
      <c r="C1098" s="22"/>
      <c r="D1098" s="23"/>
    </row>
    <row r="1099" spans="1:4" x14ac:dyDescent="0.3">
      <c r="A1099" s="24">
        <v>45455.339583000001</v>
      </c>
      <c r="B1099" s="21">
        <v>38.549098999999998</v>
      </c>
      <c r="C1099" s="22"/>
      <c r="D1099" s="23"/>
    </row>
    <row r="1100" spans="1:4" x14ac:dyDescent="0.3">
      <c r="A1100" s="24">
        <v>45455.340278000003</v>
      </c>
      <c r="B1100" s="21">
        <v>38.973917999999998</v>
      </c>
      <c r="C1100" s="22"/>
      <c r="D1100" s="23"/>
    </row>
    <row r="1101" spans="1:4" x14ac:dyDescent="0.3">
      <c r="A1101" s="24">
        <v>45455.340971999998</v>
      </c>
      <c r="B1101" s="21">
        <v>38.677883000000001</v>
      </c>
      <c r="C1101" s="22"/>
      <c r="D1101" s="23"/>
    </row>
    <row r="1102" spans="1:4" x14ac:dyDescent="0.3">
      <c r="A1102" s="24">
        <v>45455.341667000001</v>
      </c>
      <c r="B1102" s="21">
        <v>38.304282000000001</v>
      </c>
      <c r="C1102" s="22"/>
      <c r="D1102" s="23"/>
    </row>
    <row r="1103" spans="1:4" x14ac:dyDescent="0.3">
      <c r="A1103" s="24">
        <v>45455.342361000003</v>
      </c>
      <c r="B1103" s="21">
        <v>38.548524999999998</v>
      </c>
      <c r="C1103" s="22"/>
      <c r="D1103" s="23"/>
    </row>
    <row r="1104" spans="1:4" x14ac:dyDescent="0.3">
      <c r="A1104" s="24">
        <v>45455.343055999998</v>
      </c>
      <c r="B1104" s="21">
        <v>38.680382000000002</v>
      </c>
      <c r="C1104" s="22"/>
      <c r="D1104" s="23"/>
    </row>
    <row r="1105" spans="1:4" x14ac:dyDescent="0.3">
      <c r="A1105" s="24">
        <v>45455.34375</v>
      </c>
      <c r="B1105" s="21">
        <v>38.16236</v>
      </c>
      <c r="C1105" s="22"/>
      <c r="D1105" s="23"/>
    </row>
    <row r="1106" spans="1:4" x14ac:dyDescent="0.3">
      <c r="A1106" s="24">
        <v>45455.344444000002</v>
      </c>
      <c r="B1106" s="21">
        <v>38.139436000000003</v>
      </c>
      <c r="C1106" s="22"/>
      <c r="D1106" s="23"/>
    </row>
    <row r="1107" spans="1:4" x14ac:dyDescent="0.3">
      <c r="A1107" s="24">
        <v>45455.345138999997</v>
      </c>
      <c r="B1107" s="21">
        <v>38.332227000000003</v>
      </c>
      <c r="C1107" s="22"/>
      <c r="D1107" s="23"/>
    </row>
    <row r="1108" spans="1:4" x14ac:dyDescent="0.3">
      <c r="A1108" s="24">
        <v>45455.345832999999</v>
      </c>
      <c r="B1108" s="21">
        <v>38.082776000000003</v>
      </c>
      <c r="C1108" s="22"/>
      <c r="D1108" s="23"/>
    </row>
    <row r="1109" spans="1:4" x14ac:dyDescent="0.3">
      <c r="A1109" s="24">
        <v>45455.346528000002</v>
      </c>
      <c r="B1109" s="21">
        <v>38.229925000000001</v>
      </c>
      <c r="C1109" s="22"/>
      <c r="D1109" s="23"/>
    </row>
    <row r="1110" spans="1:4" x14ac:dyDescent="0.3">
      <c r="A1110" s="24">
        <v>45455.347221999997</v>
      </c>
      <c r="B1110" s="21">
        <v>38.278846999999999</v>
      </c>
      <c r="C1110" s="22"/>
      <c r="D1110" s="23"/>
    </row>
    <row r="1111" spans="1:4" x14ac:dyDescent="0.3">
      <c r="A1111" s="24">
        <v>45455.347916999999</v>
      </c>
      <c r="B1111" s="21">
        <v>38.300471000000002</v>
      </c>
      <c r="C1111" s="22"/>
      <c r="D1111" s="23"/>
    </row>
    <row r="1112" spans="1:4" x14ac:dyDescent="0.3">
      <c r="A1112" s="24">
        <v>45455.348611000001</v>
      </c>
      <c r="B1112" s="21">
        <v>37.742772000000002</v>
      </c>
      <c r="C1112" s="22"/>
      <c r="D1112" s="23"/>
    </row>
    <row r="1113" spans="1:4" x14ac:dyDescent="0.3">
      <c r="A1113" s="24">
        <v>45455.349305999996</v>
      </c>
      <c r="B1113" s="21">
        <v>38.045602000000002</v>
      </c>
      <c r="C1113" s="22"/>
      <c r="D1113" s="23"/>
    </row>
    <row r="1114" spans="1:4" x14ac:dyDescent="0.3">
      <c r="A1114" s="24">
        <v>45455.35</v>
      </c>
      <c r="B1114" s="21">
        <v>38.051639000000002</v>
      </c>
      <c r="C1114" s="22"/>
      <c r="D1114" s="23"/>
    </row>
    <row r="1115" spans="1:4" x14ac:dyDescent="0.3">
      <c r="A1115" s="24">
        <v>45455.350694000001</v>
      </c>
      <c r="B1115" s="21">
        <v>37.762309000000002</v>
      </c>
      <c r="C1115" s="22"/>
      <c r="D1115" s="23"/>
    </row>
    <row r="1116" spans="1:4" x14ac:dyDescent="0.3">
      <c r="A1116" s="24">
        <v>45455.351389000003</v>
      </c>
      <c r="B1116" s="21">
        <v>37.874634999999998</v>
      </c>
      <c r="C1116" s="22"/>
      <c r="D1116" s="23"/>
    </row>
    <row r="1117" spans="1:4" x14ac:dyDescent="0.3">
      <c r="A1117" s="24">
        <v>45455.352082999998</v>
      </c>
      <c r="B1117" s="21">
        <v>37.824925</v>
      </c>
      <c r="C1117" s="22"/>
      <c r="D1117" s="23"/>
    </row>
    <row r="1118" spans="1:4" x14ac:dyDescent="0.3">
      <c r="A1118" s="24">
        <v>45455.352778</v>
      </c>
      <c r="B1118" s="21">
        <v>37.796396000000001</v>
      </c>
      <c r="C1118" s="22"/>
      <c r="D1118" s="23"/>
    </row>
    <row r="1119" spans="1:4" x14ac:dyDescent="0.3">
      <c r="A1119" s="24">
        <v>45455.353472000003</v>
      </c>
      <c r="B1119" s="21">
        <v>37.896067000000002</v>
      </c>
      <c r="C1119" s="22"/>
      <c r="D1119" s="23"/>
    </row>
    <row r="1120" spans="1:4" x14ac:dyDescent="0.3">
      <c r="A1120" s="24">
        <v>45455.354166999998</v>
      </c>
      <c r="B1120" s="21">
        <v>37.535848999999999</v>
      </c>
      <c r="C1120" s="22"/>
      <c r="D1120" s="23"/>
    </row>
    <row r="1121" spans="1:4" x14ac:dyDescent="0.3">
      <c r="A1121" s="24">
        <v>45455.354861</v>
      </c>
      <c r="B1121" s="21">
        <v>37.538097999999998</v>
      </c>
      <c r="C1121" s="22"/>
      <c r="D1121" s="23"/>
    </row>
    <row r="1122" spans="1:4" x14ac:dyDescent="0.3">
      <c r="A1122" s="24">
        <v>45455.355556000002</v>
      </c>
      <c r="B1122" s="21">
        <v>37.479385999999998</v>
      </c>
      <c r="C1122" s="22"/>
      <c r="D1122" s="23"/>
    </row>
    <row r="1123" spans="1:4" x14ac:dyDescent="0.3">
      <c r="A1123" s="24">
        <v>45455.356249999997</v>
      </c>
      <c r="B1123" s="21">
        <v>37.261429999999997</v>
      </c>
      <c r="C1123" s="22"/>
      <c r="D1123" s="23"/>
    </row>
    <row r="1124" spans="1:4" x14ac:dyDescent="0.3">
      <c r="A1124" s="24">
        <v>45455.356943999999</v>
      </c>
      <c r="B1124" s="21">
        <v>37.342916000000002</v>
      </c>
      <c r="C1124" s="22"/>
      <c r="D1124" s="23"/>
    </row>
    <row r="1125" spans="1:4" x14ac:dyDescent="0.3">
      <c r="A1125" s="24">
        <v>45455.357639000002</v>
      </c>
      <c r="B1125" s="21">
        <v>37.134492999999999</v>
      </c>
      <c r="C1125" s="22"/>
      <c r="D1125" s="23"/>
    </row>
    <row r="1126" spans="1:4" x14ac:dyDescent="0.3">
      <c r="A1126" s="24">
        <v>45455.358332999996</v>
      </c>
      <c r="B1126" s="21">
        <v>37.186056999999998</v>
      </c>
      <c r="C1126" s="22"/>
      <c r="D1126" s="23"/>
    </row>
    <row r="1127" spans="1:4" x14ac:dyDescent="0.3">
      <c r="A1127" s="24">
        <v>45455.359027999999</v>
      </c>
      <c r="B1127" s="21">
        <v>37.006036999999999</v>
      </c>
      <c r="C1127" s="22"/>
      <c r="D1127" s="23"/>
    </row>
    <row r="1128" spans="1:4" x14ac:dyDescent="0.3">
      <c r="A1128" s="24">
        <v>45455.359722000001</v>
      </c>
      <c r="B1128" s="21">
        <v>36.402847000000001</v>
      </c>
      <c r="C1128" s="22"/>
      <c r="D1128" s="23"/>
    </row>
    <row r="1129" spans="1:4" x14ac:dyDescent="0.3">
      <c r="A1129" s="24">
        <v>45455.360417000004</v>
      </c>
      <c r="B1129" s="21">
        <v>35.934696000000002</v>
      </c>
      <c r="C1129" s="22"/>
      <c r="D1129" s="23"/>
    </row>
    <row r="1130" spans="1:4" x14ac:dyDescent="0.3">
      <c r="A1130" s="24">
        <v>45455.361110999998</v>
      </c>
      <c r="B1130" s="21">
        <v>36.405904</v>
      </c>
      <c r="C1130" s="22"/>
      <c r="D1130" s="23"/>
    </row>
    <row r="1131" spans="1:4" x14ac:dyDescent="0.3">
      <c r="A1131" s="24">
        <v>45455.361806000001</v>
      </c>
      <c r="B1131" s="21">
        <v>36.196171</v>
      </c>
      <c r="C1131" s="22"/>
      <c r="D1131" s="23"/>
    </row>
    <row r="1132" spans="1:4" x14ac:dyDescent="0.3">
      <c r="A1132" s="24">
        <v>45455.362500000003</v>
      </c>
      <c r="B1132" s="21">
        <v>36.257947999999999</v>
      </c>
      <c r="C1132" s="22"/>
      <c r="D1132" s="23"/>
    </row>
    <row r="1133" spans="1:4" x14ac:dyDescent="0.3">
      <c r="A1133" s="24">
        <v>45455.363193999998</v>
      </c>
      <c r="B1133" s="21">
        <v>36.326371999999999</v>
      </c>
      <c r="C1133" s="22"/>
      <c r="D1133" s="23"/>
    </row>
    <row r="1134" spans="1:4" x14ac:dyDescent="0.3">
      <c r="A1134" s="24">
        <v>45455.363889</v>
      </c>
      <c r="B1134" s="21">
        <v>35.634596000000002</v>
      </c>
      <c r="C1134" s="22"/>
      <c r="D1134" s="23"/>
    </row>
    <row r="1135" spans="1:4" x14ac:dyDescent="0.3">
      <c r="A1135" s="24">
        <v>45455.364583000002</v>
      </c>
      <c r="B1135" s="21">
        <v>35.906827</v>
      </c>
      <c r="C1135" s="22"/>
      <c r="D1135" s="23"/>
    </row>
    <row r="1136" spans="1:4" x14ac:dyDescent="0.3">
      <c r="A1136" s="24">
        <v>45455.365277999997</v>
      </c>
      <c r="B1136" s="21">
        <v>35.866056999999998</v>
      </c>
      <c r="C1136" s="22"/>
      <c r="D1136" s="23"/>
    </row>
    <row r="1137" spans="1:4" x14ac:dyDescent="0.3">
      <c r="A1137" s="24">
        <v>45455.365972</v>
      </c>
      <c r="B1137" s="21">
        <v>36.267359999999996</v>
      </c>
      <c r="C1137" s="22"/>
      <c r="D1137" s="23"/>
    </row>
    <row r="1138" spans="1:4" x14ac:dyDescent="0.3">
      <c r="A1138" s="24">
        <v>45455.366667000002</v>
      </c>
      <c r="B1138" s="21">
        <v>36.042994999999998</v>
      </c>
      <c r="C1138" s="22"/>
      <c r="D1138" s="23"/>
    </row>
    <row r="1139" spans="1:4" x14ac:dyDescent="0.3">
      <c r="A1139" s="24">
        <v>45455.367360999997</v>
      </c>
      <c r="B1139" s="21">
        <v>36.037312</v>
      </c>
      <c r="C1139" s="22"/>
      <c r="D1139" s="23"/>
    </row>
    <row r="1140" spans="1:4" x14ac:dyDescent="0.3">
      <c r="A1140" s="24">
        <v>45455.368055999999</v>
      </c>
      <c r="B1140" s="21">
        <v>36.166632999999997</v>
      </c>
      <c r="C1140" s="22"/>
      <c r="D1140" s="23"/>
    </row>
    <row r="1141" spans="1:4" x14ac:dyDescent="0.3">
      <c r="A1141" s="24">
        <v>45455.368750000001</v>
      </c>
      <c r="B1141" s="21">
        <v>36.256833</v>
      </c>
      <c r="C1141" s="22"/>
      <c r="D1141" s="23"/>
    </row>
    <row r="1142" spans="1:4" x14ac:dyDescent="0.3">
      <c r="A1142" s="24">
        <v>45455.369444000004</v>
      </c>
      <c r="B1142" s="21">
        <v>36.726266000000003</v>
      </c>
      <c r="C1142" s="22"/>
      <c r="D1142" s="23"/>
    </row>
    <row r="1143" spans="1:4" x14ac:dyDescent="0.3">
      <c r="A1143" s="24">
        <v>45455.370138999999</v>
      </c>
      <c r="B1143" s="21">
        <v>36.645682000000001</v>
      </c>
      <c r="C1143" s="22"/>
      <c r="D1143" s="23"/>
    </row>
    <row r="1144" spans="1:4" x14ac:dyDescent="0.3">
      <c r="A1144" s="24">
        <v>45455.370833000001</v>
      </c>
      <c r="B1144" s="21">
        <v>36.365107999999999</v>
      </c>
      <c r="C1144" s="22"/>
      <c r="D1144" s="23"/>
    </row>
    <row r="1145" spans="1:4" x14ac:dyDescent="0.3">
      <c r="A1145" s="24">
        <v>45455.371528000003</v>
      </c>
      <c r="B1145" s="21">
        <v>36.567143000000002</v>
      </c>
      <c r="C1145" s="22"/>
      <c r="D1145" s="23"/>
    </row>
    <row r="1146" spans="1:4" x14ac:dyDescent="0.3">
      <c r="A1146" s="24">
        <v>45455.372221999998</v>
      </c>
      <c r="B1146" s="21">
        <v>36.251775000000002</v>
      </c>
      <c r="C1146" s="22"/>
      <c r="D1146" s="23"/>
    </row>
    <row r="1147" spans="1:4" x14ac:dyDescent="0.3">
      <c r="A1147" s="24">
        <v>45455.372917000001</v>
      </c>
      <c r="B1147" s="21">
        <v>36.500247000000002</v>
      </c>
      <c r="C1147" s="22"/>
      <c r="D1147" s="23"/>
    </row>
    <row r="1148" spans="1:4" x14ac:dyDescent="0.3">
      <c r="A1148" s="24">
        <v>45455.373611000003</v>
      </c>
      <c r="B1148" s="21">
        <v>36.391792000000002</v>
      </c>
      <c r="C1148" s="22"/>
      <c r="D1148" s="23"/>
    </row>
    <row r="1149" spans="1:4" x14ac:dyDescent="0.3">
      <c r="A1149" s="24">
        <v>45455.374305999998</v>
      </c>
      <c r="B1149" s="21">
        <v>36.512830000000001</v>
      </c>
      <c r="C1149" s="22"/>
      <c r="D1149" s="23"/>
    </row>
    <row r="1150" spans="1:4" x14ac:dyDescent="0.3">
      <c r="A1150" s="24">
        <v>45455.375</v>
      </c>
      <c r="B1150" s="21">
        <v>36.078200000000002</v>
      </c>
      <c r="C1150" s="22"/>
      <c r="D1150" s="23"/>
    </row>
    <row r="1151" spans="1:4" x14ac:dyDescent="0.3">
      <c r="A1151" s="24">
        <v>45455.375694000002</v>
      </c>
      <c r="B1151" s="21">
        <v>36.440083000000001</v>
      </c>
      <c r="C1151" s="22"/>
      <c r="D1151" s="23"/>
    </row>
    <row r="1152" spans="1:4" x14ac:dyDescent="0.3">
      <c r="A1152" s="24">
        <v>45455.376388999997</v>
      </c>
      <c r="B1152" s="21">
        <v>35.929602000000003</v>
      </c>
      <c r="C1152" s="22"/>
      <c r="D1152" s="23"/>
    </row>
    <row r="1153" spans="1:4" x14ac:dyDescent="0.3">
      <c r="A1153" s="24">
        <v>45455.377082999999</v>
      </c>
      <c r="B1153" s="21">
        <v>36.252107000000002</v>
      </c>
      <c r="C1153" s="22"/>
      <c r="D1153" s="23"/>
    </row>
    <row r="1154" spans="1:4" x14ac:dyDescent="0.3">
      <c r="A1154" s="24">
        <v>45455.377778000002</v>
      </c>
      <c r="B1154" s="21">
        <v>36.366126000000001</v>
      </c>
      <c r="C1154" s="22"/>
      <c r="D1154" s="23"/>
    </row>
    <row r="1155" spans="1:4" x14ac:dyDescent="0.3">
      <c r="A1155" s="24">
        <v>45455.378471999997</v>
      </c>
      <c r="B1155" s="21">
        <v>36.324562</v>
      </c>
      <c r="C1155" s="22"/>
      <c r="D1155" s="23"/>
    </row>
    <row r="1156" spans="1:4" x14ac:dyDescent="0.3">
      <c r="A1156" s="24">
        <v>45455.379166999999</v>
      </c>
      <c r="B1156" s="21">
        <v>36.491117000000003</v>
      </c>
      <c r="C1156" s="22"/>
      <c r="D1156" s="23"/>
    </row>
    <row r="1157" spans="1:4" x14ac:dyDescent="0.3">
      <c r="A1157" s="24">
        <v>45455.379861000001</v>
      </c>
      <c r="B1157" s="21">
        <v>36.236266999999998</v>
      </c>
      <c r="C1157" s="22"/>
      <c r="D1157" s="23"/>
    </row>
    <row r="1158" spans="1:4" x14ac:dyDescent="0.3">
      <c r="A1158" s="24">
        <v>45455.380555999996</v>
      </c>
      <c r="B1158" s="21">
        <v>36.163159999999998</v>
      </c>
      <c r="C1158" s="22"/>
      <c r="D1158" s="23"/>
    </row>
    <row r="1159" spans="1:4" x14ac:dyDescent="0.3">
      <c r="A1159" s="24">
        <v>45455.381249999999</v>
      </c>
      <c r="B1159" s="21">
        <v>36.146439999999998</v>
      </c>
      <c r="C1159" s="22"/>
      <c r="D1159" s="23"/>
    </row>
    <row r="1160" spans="1:4" x14ac:dyDescent="0.3">
      <c r="A1160" s="24">
        <v>45455.381944000001</v>
      </c>
      <c r="B1160" s="21">
        <v>36.334198000000001</v>
      </c>
      <c r="C1160" s="22"/>
      <c r="D1160" s="23"/>
    </row>
    <row r="1161" spans="1:4" x14ac:dyDescent="0.3">
      <c r="A1161" s="24">
        <v>45455.382639000003</v>
      </c>
      <c r="B1161" s="21">
        <v>36.272917</v>
      </c>
      <c r="C1161" s="22"/>
      <c r="D1161" s="23"/>
    </row>
    <row r="1162" spans="1:4" x14ac:dyDescent="0.3">
      <c r="A1162" s="24">
        <v>45455.383332999998</v>
      </c>
      <c r="B1162" s="21">
        <v>35.829808</v>
      </c>
      <c r="C1162" s="22"/>
      <c r="D1162" s="23"/>
    </row>
    <row r="1163" spans="1:4" x14ac:dyDescent="0.3">
      <c r="A1163" s="24">
        <v>45455.384028</v>
      </c>
      <c r="B1163" s="21">
        <v>35.995192000000003</v>
      </c>
      <c r="C1163" s="22"/>
      <c r="D1163" s="23"/>
    </row>
    <row r="1164" spans="1:4" x14ac:dyDescent="0.3">
      <c r="A1164" s="24">
        <v>45455.384722000003</v>
      </c>
      <c r="B1164" s="21">
        <v>36.033225999999999</v>
      </c>
      <c r="C1164" s="22"/>
      <c r="D1164" s="23"/>
    </row>
    <row r="1165" spans="1:4" x14ac:dyDescent="0.3">
      <c r="A1165" s="24">
        <v>45455.385416999998</v>
      </c>
      <c r="B1165" s="21">
        <v>36.430503000000002</v>
      </c>
      <c r="C1165" s="22"/>
      <c r="D1165" s="23"/>
    </row>
    <row r="1166" spans="1:4" x14ac:dyDescent="0.3">
      <c r="A1166" s="24">
        <v>45455.386111</v>
      </c>
      <c r="B1166" s="21">
        <v>36.212980000000002</v>
      </c>
      <c r="C1166" s="22"/>
      <c r="D1166" s="23"/>
    </row>
    <row r="1167" spans="1:4" x14ac:dyDescent="0.3">
      <c r="A1167" s="24">
        <v>45455.386806000002</v>
      </c>
      <c r="B1167" s="21">
        <v>35.933548999999999</v>
      </c>
      <c r="C1167" s="22"/>
      <c r="D1167" s="23"/>
    </row>
    <row r="1168" spans="1:4" x14ac:dyDescent="0.3">
      <c r="A1168" s="24">
        <v>45455.387499999997</v>
      </c>
      <c r="B1168" s="21">
        <v>36.010204000000002</v>
      </c>
      <c r="C1168" s="22"/>
      <c r="D1168" s="23"/>
    </row>
    <row r="1169" spans="1:4" x14ac:dyDescent="0.3">
      <c r="A1169" s="24">
        <v>45455.388193999999</v>
      </c>
      <c r="B1169" s="21">
        <v>36.187407</v>
      </c>
      <c r="C1169" s="22"/>
      <c r="D1169" s="23"/>
    </row>
    <row r="1170" spans="1:4" x14ac:dyDescent="0.3">
      <c r="A1170" s="24">
        <v>45455.388889000002</v>
      </c>
      <c r="B1170" s="21">
        <v>36.035077999999999</v>
      </c>
      <c r="C1170" s="22"/>
      <c r="D1170" s="23"/>
    </row>
    <row r="1171" spans="1:4" x14ac:dyDescent="0.3">
      <c r="A1171" s="24">
        <v>45455.389582999996</v>
      </c>
      <c r="B1171" s="21">
        <v>36.073158999999997</v>
      </c>
      <c r="C1171" s="22"/>
      <c r="D1171" s="23"/>
    </row>
    <row r="1172" spans="1:4" x14ac:dyDescent="0.3">
      <c r="A1172" s="24">
        <v>45455.390277999999</v>
      </c>
      <c r="B1172" s="21">
        <v>36.055165000000002</v>
      </c>
      <c r="C1172" s="22"/>
      <c r="D1172" s="23"/>
    </row>
    <row r="1173" spans="1:4" x14ac:dyDescent="0.3">
      <c r="A1173" s="24">
        <v>45455.390972000001</v>
      </c>
      <c r="B1173" s="21">
        <v>36.087063999999998</v>
      </c>
      <c r="C1173" s="22"/>
      <c r="D1173" s="23"/>
    </row>
    <row r="1174" spans="1:4" x14ac:dyDescent="0.3">
      <c r="A1174" s="24">
        <v>45455.391667000004</v>
      </c>
      <c r="B1174" s="21">
        <v>36.046961000000003</v>
      </c>
      <c r="C1174" s="22"/>
      <c r="D1174" s="23"/>
    </row>
    <row r="1175" spans="1:4" x14ac:dyDescent="0.3">
      <c r="A1175" s="24">
        <v>45455.392360999998</v>
      </c>
      <c r="B1175" s="21">
        <v>35.995184000000002</v>
      </c>
      <c r="C1175" s="22"/>
      <c r="D1175" s="23"/>
    </row>
    <row r="1176" spans="1:4" x14ac:dyDescent="0.3">
      <c r="A1176" s="24">
        <v>45455.393056000001</v>
      </c>
      <c r="B1176" s="21">
        <v>36.024580999999998</v>
      </c>
      <c r="C1176" s="22"/>
      <c r="D1176" s="23"/>
    </row>
    <row r="1177" spans="1:4" x14ac:dyDescent="0.3">
      <c r="A1177" s="24">
        <v>45455.393750000003</v>
      </c>
      <c r="B1177" s="21">
        <v>36.074603000000003</v>
      </c>
      <c r="C1177" s="22"/>
      <c r="D1177" s="23"/>
    </row>
    <row r="1178" spans="1:4" x14ac:dyDescent="0.3">
      <c r="A1178" s="24">
        <v>45455.394443999998</v>
      </c>
      <c r="B1178" s="21">
        <v>35.715114999999997</v>
      </c>
      <c r="C1178" s="22"/>
      <c r="D1178" s="23"/>
    </row>
    <row r="1179" spans="1:4" x14ac:dyDescent="0.3">
      <c r="A1179" s="24">
        <v>45455.395139</v>
      </c>
      <c r="B1179" s="21">
        <v>36.232368000000001</v>
      </c>
      <c r="C1179" s="22"/>
      <c r="D1179" s="23"/>
    </row>
    <row r="1180" spans="1:4" x14ac:dyDescent="0.3">
      <c r="A1180" s="24">
        <v>45455.395833000002</v>
      </c>
      <c r="B1180" s="21">
        <v>35.925263999999999</v>
      </c>
      <c r="C1180" s="22"/>
      <c r="D1180" s="23"/>
    </row>
    <row r="1181" spans="1:4" x14ac:dyDescent="0.3">
      <c r="A1181" s="24">
        <v>45455.396527999997</v>
      </c>
      <c r="B1181" s="21">
        <v>36.066850000000002</v>
      </c>
      <c r="C1181" s="22"/>
      <c r="D1181" s="23"/>
    </row>
    <row r="1182" spans="1:4" x14ac:dyDescent="0.3">
      <c r="A1182" s="24">
        <v>45455.397222</v>
      </c>
      <c r="B1182" s="21">
        <v>36.194848</v>
      </c>
      <c r="C1182" s="22"/>
      <c r="D1182" s="23"/>
    </row>
    <row r="1183" spans="1:4" x14ac:dyDescent="0.3">
      <c r="A1183" s="24">
        <v>45455.397917000002</v>
      </c>
      <c r="B1183" s="21">
        <v>36.271740999999999</v>
      </c>
      <c r="C1183" s="22"/>
      <c r="D1183" s="23"/>
    </row>
    <row r="1184" spans="1:4" x14ac:dyDescent="0.3">
      <c r="A1184" s="24">
        <v>45455.398610999997</v>
      </c>
      <c r="B1184" s="21">
        <v>35.992966000000003</v>
      </c>
      <c r="C1184" s="22"/>
      <c r="D1184" s="23"/>
    </row>
    <row r="1185" spans="1:4" x14ac:dyDescent="0.3">
      <c r="A1185" s="24">
        <v>45455.399305999999</v>
      </c>
      <c r="B1185" s="21">
        <v>36.253124</v>
      </c>
      <c r="C1185" s="22"/>
      <c r="D1185" s="23"/>
    </row>
    <row r="1186" spans="1:4" x14ac:dyDescent="0.3">
      <c r="A1186" s="24">
        <v>45455.4</v>
      </c>
      <c r="B1186" s="21">
        <v>35.851162000000002</v>
      </c>
      <c r="C1186" s="22"/>
      <c r="D1186" s="23"/>
    </row>
    <row r="1187" spans="1:4" x14ac:dyDescent="0.3">
      <c r="A1187" s="24">
        <v>45455.400694000004</v>
      </c>
      <c r="B1187" s="21">
        <v>36.095241000000001</v>
      </c>
      <c r="C1187" s="22"/>
      <c r="D1187" s="23"/>
    </row>
    <row r="1188" spans="1:4" x14ac:dyDescent="0.3">
      <c r="A1188" s="24">
        <v>45455.401388999999</v>
      </c>
      <c r="B1188" s="21">
        <v>36.217503999999998</v>
      </c>
      <c r="C1188" s="22"/>
      <c r="D1188" s="23"/>
    </row>
    <row r="1189" spans="1:4" x14ac:dyDescent="0.3">
      <c r="A1189" s="24">
        <v>45455.402083000001</v>
      </c>
      <c r="B1189" s="21">
        <v>36.504852</v>
      </c>
      <c r="C1189" s="22"/>
      <c r="D1189" s="23"/>
    </row>
    <row r="1190" spans="1:4" x14ac:dyDescent="0.3">
      <c r="A1190" s="24">
        <v>45455.402778000003</v>
      </c>
      <c r="B1190" s="21">
        <v>36.159821999999998</v>
      </c>
      <c r="C1190" s="22"/>
      <c r="D1190" s="23"/>
    </row>
    <row r="1191" spans="1:4" x14ac:dyDescent="0.3">
      <c r="A1191" s="24">
        <v>45455.403471999998</v>
      </c>
      <c r="B1191" s="21">
        <v>36.102328999999997</v>
      </c>
      <c r="C1191" s="22"/>
      <c r="D1191" s="23"/>
    </row>
    <row r="1192" spans="1:4" x14ac:dyDescent="0.3">
      <c r="A1192" s="24">
        <v>45455.404167000001</v>
      </c>
      <c r="B1192" s="21">
        <v>36.145871</v>
      </c>
      <c r="C1192" s="22"/>
      <c r="D1192" s="23"/>
    </row>
    <row r="1193" spans="1:4" x14ac:dyDescent="0.3">
      <c r="A1193" s="24">
        <v>45455.404861000003</v>
      </c>
      <c r="B1193" s="21">
        <v>35.966605000000001</v>
      </c>
      <c r="C1193" s="22"/>
      <c r="D1193" s="23"/>
    </row>
    <row r="1194" spans="1:4" x14ac:dyDescent="0.3">
      <c r="A1194" s="24">
        <v>45455.405555999998</v>
      </c>
      <c r="B1194" s="21">
        <v>36.275171999999998</v>
      </c>
      <c r="C1194" s="22"/>
      <c r="D1194" s="23"/>
    </row>
    <row r="1195" spans="1:4" x14ac:dyDescent="0.3">
      <c r="A1195" s="24">
        <v>45455.40625</v>
      </c>
      <c r="B1195" s="21">
        <v>11.286161999999999</v>
      </c>
      <c r="C1195" s="22"/>
      <c r="D1195" s="2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Flow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2024-05-17T15:35:51Z</dcterms:created>
  <dcterms:modified xsi:type="dcterms:W3CDTF">2026-08-11T07:56:14Z</dcterms:modified>
</cp:coreProperties>
</file>